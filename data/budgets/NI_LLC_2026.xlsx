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kormancommercial.sharepoint.com/sites/KormanCommercialProperties/Shared Documents/Data/Shared/Properties/Business Plans - All Entities/2026/NI LLC 2026 Budget/"/>
    </mc:Choice>
  </mc:AlternateContent>
  <xr:revisionPtr revIDLastSave="1920" documentId="14_{C0EC6281-BFC8-43AE-8176-68BE249B1D3F}" xr6:coauthVersionLast="47" xr6:coauthVersionMax="47" xr10:uidLastSave="{FC6D0D63-284F-4D02-A853-4C7EF8953A08}"/>
  <bookViews>
    <workbookView xWindow="-11925" yWindow="-21720" windowWidth="51840" windowHeight="21120" firstSheet="2" xr2:uid="{017F1C7D-DE66-43A8-959F-A08DAB693DF1}"/>
  </bookViews>
  <sheets>
    <sheet name="Cover Sheet" sheetId="66" r:id="rId1"/>
    <sheet name="Source and Use of Cash" sheetId="59" r:id="rId2"/>
    <sheet name="Assumptions" sheetId="65" r:id="rId3"/>
    <sheet name="NI LLC-Consolidated" sheetId="27" r:id="rId4"/>
    <sheet name="4000" sheetId="28" r:id="rId5"/>
    <sheet name="4050" sheetId="6" r:id="rId6"/>
    <sheet name="4060" sheetId="22" r:id="rId7"/>
    <sheet name="4070" sheetId="8" r:id="rId8"/>
    <sheet name="4080" sheetId="9" r:id="rId9"/>
    <sheet name="40A0" sheetId="10" r:id="rId10"/>
    <sheet name="40B0" sheetId="31" r:id="rId11"/>
    <sheet name="40C0" sheetId="32" r:id="rId12"/>
    <sheet name="In Place Revenue" sheetId="38" r:id="rId13"/>
    <sheet name="Renew &amp; Vac" sheetId="41" r:id="rId14"/>
    <sheet name="Tenant Recoveries" sheetId="46" r:id="rId15"/>
    <sheet name="Allocated Expenses" sheetId="44" r:id="rId16"/>
    <sheet name="Water Sewer" sheetId="64" r:id="rId17"/>
    <sheet name="INS RET" sheetId="43" r:id="rId18"/>
    <sheet name="Building Maint" sheetId="60" r:id="rId19"/>
    <sheet name="Parking Lot Maint" sheetId="61" r:id="rId20"/>
    <sheet name="Landscaping" sheetId="63" r:id="rId21"/>
    <sheet name="Trash" sheetId="62" r:id="rId22"/>
    <sheet name="DSCR calc" sheetId="49" state="hidden" r:id="rId23"/>
    <sheet name="Trusts" sheetId="58" state="hidden" r:id="rId24"/>
    <sheet name="Sheet2" sheetId="48" state="hidden" r:id="rId25"/>
  </sheets>
  <definedNames>
    <definedName name="_Order1" hidden="1">255</definedName>
    <definedName name="_Order2" hidden="1">255</definedName>
    <definedName name="_xlcn.WorksheetConnection_JMRevenueA1H5871" hidden="1">'In Place Revenue'!$A$1:$H$602</definedName>
    <definedName name="PaiementsParAn" localSheetId="16">'Water Sewer'!$F$6</definedName>
    <definedName name="PaiementsParAn">'INS RET'!$G$6</definedName>
    <definedName name="pmtType" localSheetId="17">'INS RET'!$F$20</definedName>
    <definedName name="pmtType" localSheetId="16">'Water Sewer'!$E$18</definedName>
    <definedName name="_xlnm.Print_Area" localSheetId="4">'4000'!$B$1:$Q$133</definedName>
    <definedName name="_xlnm.Print_Area" localSheetId="5">'4050'!$B$1:$Q$131</definedName>
    <definedName name="_xlnm.Print_Area" localSheetId="6">'4060'!$B$1:$Q$132</definedName>
    <definedName name="_xlnm.Print_Area" localSheetId="7">'4070'!$B$1:$Q$131</definedName>
    <definedName name="_xlnm.Print_Area" localSheetId="8">'4080'!$B$1:$Q$131</definedName>
    <definedName name="_xlnm.Print_Area" localSheetId="9">'40A0'!$A$1:$Q$131</definedName>
    <definedName name="_xlnm.Print_Area" localSheetId="10">'40B0'!$A$1:$Q$132</definedName>
    <definedName name="_xlnm.Print_Area" localSheetId="11">'40C0'!$A$1:$Q$131</definedName>
    <definedName name="_xlnm.Print_Area" localSheetId="15">'Allocated Expenses'!$A$4:$W$215</definedName>
    <definedName name="_xlnm.Print_Area" localSheetId="2">Assumptions!$A$1:$L$61</definedName>
    <definedName name="_xlnm.Print_Area" localSheetId="18">'Building Maint'!$A$1:$O$256</definedName>
    <definedName name="_xlnm.Print_Area" localSheetId="0">'Cover Sheet'!$A$1:$A$3</definedName>
    <definedName name="_xlnm.Print_Area" localSheetId="17">'INS RET'!$A$1:$Q$66</definedName>
    <definedName name="_xlnm.Print_Area" localSheetId="20">Landscaping!$A$1:$O$47</definedName>
    <definedName name="_xlnm.Print_Area" localSheetId="3">'NI LLC-Consolidated'!$B$1:$Q$134</definedName>
    <definedName name="_xlnm.Print_Area" localSheetId="19">'Parking Lot Maint'!$A$1:$O$36</definedName>
    <definedName name="_xlnm.Print_Area" localSheetId="13">'Renew &amp; Vac'!$A$1:$U$135</definedName>
    <definedName name="_xlnm.Print_Area" localSheetId="21">Trash!$A$1:$O$47</definedName>
    <definedName name="_xlnm.Print_Area" localSheetId="23">Trusts!$A$1:$B$9</definedName>
    <definedName name="_xlnm.Print_Area" localSheetId="16">'Water Sewer'!$A$1:$P$43</definedName>
    <definedName name="_xlnm.Print_Titles" localSheetId="4">'4000'!$A:$D,'4000'!$1:$4</definedName>
    <definedName name="_xlnm.Print_Titles" localSheetId="5">'4050'!$A:$D,'4050'!$1:$4</definedName>
    <definedName name="_xlnm.Print_Titles" localSheetId="6">'4060'!$A:$D,'4060'!$1:$4</definedName>
    <definedName name="_xlnm.Print_Titles" localSheetId="7">'4070'!$A:$D,'4070'!$1:$4</definedName>
    <definedName name="_xlnm.Print_Titles" localSheetId="8">'4080'!$A:$D,'4080'!$1:$4</definedName>
    <definedName name="_xlnm.Print_Titles" localSheetId="9">'40A0'!$A:$D,'40A0'!$1:$4</definedName>
    <definedName name="_xlnm.Print_Titles" localSheetId="10">'40B0'!$A:$D,'40B0'!$1:$4</definedName>
    <definedName name="_xlnm.Print_Titles" localSheetId="11">'40C0'!$A:$D,'40C0'!$1:$4</definedName>
    <definedName name="_xlnm.Print_Titles" localSheetId="3">'NI LLC-Consolidated'!$A:$D,'NI LLC-Consolidated'!$1:$4</definedName>
    <definedName name="rate" localSheetId="17">'INS RET'!$J$6</definedName>
    <definedName name="rate" localSheetId="16">'Water Sewer'!$I$6</definedName>
    <definedName name="roundOpt" localSheetId="17">'INS RET'!$F$24</definedName>
    <definedName name="roundOpt" localSheetId="16">'Water Sewer'!$E$21</definedName>
    <definedName name="TauxIntérêt" localSheetId="16">'Water Sewer'!$F$3</definedName>
    <definedName name="TauxIntérêt">'INS RET'!$G$3</definedName>
  </definedNames>
  <calcPr calcId="191029"/>
  <pivotCaches>
    <pivotCache cacheId="4" r:id="rId2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JM Revenue!$A$1:$H$587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Charge Date" columnId="Charge Date">
                <x16:calculatedTimeColumn columnName="Charge Date (Month Index)" columnId="Charge Date (Month Index)" contentType="monthsindex" isSelected="1"/>
                <x16:calculatedTimeColumn columnName="Charge Date (Month)" columnId="Charg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1" i="10" l="1"/>
  <c r="V71" i="9"/>
  <c r="V71" i="8"/>
  <c r="V71" i="22"/>
  <c r="V71" i="6"/>
  <c r="H38" i="41"/>
  <c r="C46" i="41"/>
  <c r="D139" i="27"/>
  <c r="S65" i="43" l="1"/>
  <c r="S64" i="43"/>
  <c r="S63" i="43"/>
  <c r="F143" i="32"/>
  <c r="G143" i="32"/>
  <c r="H143" i="32"/>
  <c r="I143" i="32"/>
  <c r="J143" i="32"/>
  <c r="K143" i="32"/>
  <c r="L143" i="32"/>
  <c r="M143" i="32"/>
  <c r="N143" i="32"/>
  <c r="O143" i="32"/>
  <c r="P143" i="32"/>
  <c r="E143" i="32"/>
  <c r="E144" i="32"/>
  <c r="F144" i="32"/>
  <c r="G144" i="32"/>
  <c r="H144" i="32"/>
  <c r="I144" i="32"/>
  <c r="J144" i="32"/>
  <c r="K144" i="32"/>
  <c r="L144" i="32"/>
  <c r="M144" i="32"/>
  <c r="N144" i="32"/>
  <c r="O144" i="32"/>
  <c r="P144" i="32"/>
  <c r="E145" i="32"/>
  <c r="F145" i="32"/>
  <c r="G145" i="32"/>
  <c r="H145" i="32"/>
  <c r="I145" i="32"/>
  <c r="J145" i="32"/>
  <c r="K145" i="32"/>
  <c r="L145" i="32"/>
  <c r="M145" i="32"/>
  <c r="N145" i="32"/>
  <c r="O145" i="32"/>
  <c r="P145" i="32"/>
  <c r="E146" i="32"/>
  <c r="F146" i="32"/>
  <c r="G146" i="32"/>
  <c r="H146" i="32"/>
  <c r="I146" i="32"/>
  <c r="J146" i="32"/>
  <c r="K146" i="32"/>
  <c r="L146" i="32"/>
  <c r="M146" i="32"/>
  <c r="N146" i="32"/>
  <c r="O146" i="32"/>
  <c r="P146" i="32"/>
  <c r="F147" i="32"/>
  <c r="G147" i="32"/>
  <c r="H147" i="32"/>
  <c r="I147" i="32"/>
  <c r="J147" i="32"/>
  <c r="K147" i="32"/>
  <c r="L147" i="32"/>
  <c r="M147" i="32"/>
  <c r="N147" i="32"/>
  <c r="O147" i="32"/>
  <c r="P147" i="32"/>
  <c r="E147" i="32"/>
  <c r="E149" i="32"/>
  <c r="F149" i="32"/>
  <c r="G149" i="32"/>
  <c r="H149" i="32"/>
  <c r="I149" i="32"/>
  <c r="J149" i="32"/>
  <c r="K149" i="32"/>
  <c r="L149" i="32"/>
  <c r="M149" i="32"/>
  <c r="N149" i="32"/>
  <c r="O149" i="32"/>
  <c r="P149" i="32"/>
  <c r="E150" i="32"/>
  <c r="F150" i="32"/>
  <c r="G150" i="32"/>
  <c r="H150" i="32"/>
  <c r="I150" i="32"/>
  <c r="J150" i="32"/>
  <c r="K150" i="32"/>
  <c r="L150" i="32"/>
  <c r="M150" i="32"/>
  <c r="N150" i="32"/>
  <c r="O150" i="32"/>
  <c r="P150" i="32"/>
  <c r="E151" i="32"/>
  <c r="F151" i="32"/>
  <c r="G151" i="32"/>
  <c r="H151" i="32"/>
  <c r="I151" i="32"/>
  <c r="J151" i="32"/>
  <c r="K151" i="32"/>
  <c r="L151" i="32"/>
  <c r="M151" i="32"/>
  <c r="N151" i="32"/>
  <c r="O151" i="32"/>
  <c r="P151" i="32"/>
  <c r="E152" i="32"/>
  <c r="F152" i="32"/>
  <c r="G152" i="32"/>
  <c r="H152" i="32"/>
  <c r="I152" i="32"/>
  <c r="J152" i="32"/>
  <c r="K152" i="32"/>
  <c r="L152" i="32"/>
  <c r="M152" i="32"/>
  <c r="N152" i="32"/>
  <c r="O152" i="32"/>
  <c r="P152" i="32"/>
  <c r="E153" i="32"/>
  <c r="F153" i="32"/>
  <c r="G153" i="32"/>
  <c r="H153" i="32"/>
  <c r="I153" i="32"/>
  <c r="J153" i="32"/>
  <c r="K153" i="32"/>
  <c r="L153" i="32"/>
  <c r="M153" i="32"/>
  <c r="N153" i="32"/>
  <c r="O153" i="32"/>
  <c r="P153" i="32"/>
  <c r="E154" i="32"/>
  <c r="F154" i="32"/>
  <c r="G154" i="32"/>
  <c r="H154" i="32"/>
  <c r="I154" i="32"/>
  <c r="J154" i="32"/>
  <c r="K154" i="32"/>
  <c r="L154" i="32"/>
  <c r="M154" i="32"/>
  <c r="N154" i="32"/>
  <c r="O154" i="32"/>
  <c r="P154" i="32"/>
  <c r="E155" i="32"/>
  <c r="F155" i="32"/>
  <c r="G155" i="32"/>
  <c r="H155" i="32"/>
  <c r="I155" i="32"/>
  <c r="J155" i="32"/>
  <c r="K155" i="32"/>
  <c r="L155" i="32"/>
  <c r="M155" i="32"/>
  <c r="N155" i="32"/>
  <c r="O155" i="32"/>
  <c r="P155" i="32"/>
  <c r="E156" i="32"/>
  <c r="F156" i="32"/>
  <c r="G156" i="32"/>
  <c r="H156" i="32"/>
  <c r="I156" i="32"/>
  <c r="J156" i="32"/>
  <c r="K156" i="32"/>
  <c r="L156" i="32"/>
  <c r="M156" i="32"/>
  <c r="N156" i="32"/>
  <c r="O156" i="32"/>
  <c r="P156" i="32"/>
  <c r="E157" i="32"/>
  <c r="F157" i="32"/>
  <c r="G157" i="32"/>
  <c r="H157" i="32"/>
  <c r="I157" i="32"/>
  <c r="J157" i="32"/>
  <c r="K157" i="32"/>
  <c r="L157" i="32"/>
  <c r="M157" i="32"/>
  <c r="N157" i="32"/>
  <c r="O157" i="32"/>
  <c r="P157" i="32"/>
  <c r="E159" i="32"/>
  <c r="F159" i="32"/>
  <c r="G159" i="32"/>
  <c r="H159" i="32"/>
  <c r="I159" i="32"/>
  <c r="J159" i="32"/>
  <c r="K159" i="32"/>
  <c r="L159" i="32"/>
  <c r="M159" i="32"/>
  <c r="N159" i="32"/>
  <c r="O159" i="32"/>
  <c r="P159" i="32"/>
  <c r="E160" i="32"/>
  <c r="F160" i="32"/>
  <c r="G160" i="32"/>
  <c r="H160" i="32"/>
  <c r="I160" i="32"/>
  <c r="J160" i="32"/>
  <c r="K160" i="32"/>
  <c r="L160" i="32"/>
  <c r="M160" i="32"/>
  <c r="N160" i="32"/>
  <c r="O160" i="32"/>
  <c r="P160" i="32"/>
  <c r="E161" i="32"/>
  <c r="F161" i="32"/>
  <c r="G161" i="32"/>
  <c r="H161" i="32"/>
  <c r="I161" i="32"/>
  <c r="J161" i="32"/>
  <c r="K161" i="32"/>
  <c r="L161" i="32"/>
  <c r="M161" i="32"/>
  <c r="N161" i="32"/>
  <c r="O161" i="32"/>
  <c r="P161" i="32"/>
  <c r="E162" i="32"/>
  <c r="F162" i="32"/>
  <c r="G162" i="32"/>
  <c r="H162" i="32"/>
  <c r="I162" i="32"/>
  <c r="J162" i="32"/>
  <c r="K162" i="32"/>
  <c r="L162" i="32"/>
  <c r="M162" i="32"/>
  <c r="N162" i="32"/>
  <c r="O162" i="32"/>
  <c r="P162" i="32"/>
  <c r="E163" i="32"/>
  <c r="F163" i="32"/>
  <c r="G163" i="32"/>
  <c r="H163" i="32"/>
  <c r="I163" i="32"/>
  <c r="J163" i="32"/>
  <c r="K163" i="32"/>
  <c r="L163" i="32"/>
  <c r="M163" i="32"/>
  <c r="N163" i="32"/>
  <c r="O163" i="32"/>
  <c r="P163" i="32"/>
  <c r="E164" i="32"/>
  <c r="F164" i="32"/>
  <c r="G164" i="32"/>
  <c r="H164" i="32"/>
  <c r="I164" i="32"/>
  <c r="J164" i="32"/>
  <c r="K164" i="32"/>
  <c r="L164" i="32"/>
  <c r="M164" i="32"/>
  <c r="N164" i="32"/>
  <c r="O164" i="32"/>
  <c r="P164" i="32"/>
  <c r="E165" i="32"/>
  <c r="F165" i="32"/>
  <c r="G165" i="32"/>
  <c r="H165" i="32"/>
  <c r="I165" i="32"/>
  <c r="J165" i="32"/>
  <c r="K165" i="32"/>
  <c r="L165" i="32"/>
  <c r="M165" i="32"/>
  <c r="N165" i="32"/>
  <c r="O165" i="32"/>
  <c r="P165" i="32"/>
  <c r="E166" i="32"/>
  <c r="F166" i="32"/>
  <c r="G166" i="32"/>
  <c r="H166" i="32"/>
  <c r="I166" i="32"/>
  <c r="J166" i="32"/>
  <c r="K166" i="32"/>
  <c r="L166" i="32"/>
  <c r="M166" i="32"/>
  <c r="N166" i="32"/>
  <c r="O166" i="32"/>
  <c r="P166" i="32"/>
  <c r="E167" i="32"/>
  <c r="F167" i="32"/>
  <c r="G167" i="32"/>
  <c r="H167" i="32"/>
  <c r="I167" i="32"/>
  <c r="J167" i="32"/>
  <c r="K167" i="32"/>
  <c r="L167" i="32"/>
  <c r="M167" i="32"/>
  <c r="N167" i="32"/>
  <c r="O167" i="32"/>
  <c r="P167" i="32"/>
  <c r="E168" i="32"/>
  <c r="F168" i="32"/>
  <c r="G168" i="32"/>
  <c r="H168" i="32"/>
  <c r="I168" i="32"/>
  <c r="J168" i="32"/>
  <c r="K168" i="32"/>
  <c r="L168" i="32"/>
  <c r="M168" i="32"/>
  <c r="N168" i="32"/>
  <c r="O168" i="32"/>
  <c r="P168" i="32"/>
  <c r="E169" i="32"/>
  <c r="F169" i="32"/>
  <c r="G169" i="32"/>
  <c r="H169" i="32"/>
  <c r="I169" i="32"/>
  <c r="J169" i="32"/>
  <c r="K169" i="32"/>
  <c r="L169" i="32"/>
  <c r="M169" i="32"/>
  <c r="N169" i="32"/>
  <c r="O169" i="32"/>
  <c r="P169" i="32"/>
  <c r="E170" i="32"/>
  <c r="F170" i="32"/>
  <c r="G170" i="32"/>
  <c r="H170" i="32"/>
  <c r="I170" i="32"/>
  <c r="J170" i="32"/>
  <c r="K170" i="32"/>
  <c r="L170" i="32"/>
  <c r="M170" i="32"/>
  <c r="N170" i="32"/>
  <c r="O170" i="32"/>
  <c r="P170" i="32"/>
  <c r="E171" i="32"/>
  <c r="F171" i="32"/>
  <c r="G171" i="32"/>
  <c r="H171" i="32"/>
  <c r="I171" i="32"/>
  <c r="J171" i="32"/>
  <c r="K171" i="32"/>
  <c r="L171" i="32"/>
  <c r="M171" i="32"/>
  <c r="N171" i="32"/>
  <c r="O171" i="32"/>
  <c r="P171" i="32"/>
  <c r="E172" i="32"/>
  <c r="F172" i="32"/>
  <c r="G172" i="32"/>
  <c r="H172" i="32"/>
  <c r="I172" i="32"/>
  <c r="J172" i="32"/>
  <c r="K172" i="32"/>
  <c r="L172" i="32"/>
  <c r="M172" i="32"/>
  <c r="N172" i="32"/>
  <c r="O172" i="32"/>
  <c r="P172" i="32"/>
  <c r="E173" i="32"/>
  <c r="F173" i="32"/>
  <c r="G173" i="32"/>
  <c r="H173" i="32"/>
  <c r="I173" i="32"/>
  <c r="J173" i="32"/>
  <c r="K173" i="32"/>
  <c r="L173" i="32"/>
  <c r="M173" i="32"/>
  <c r="N173" i="32"/>
  <c r="O173" i="32"/>
  <c r="P173" i="32"/>
  <c r="E174" i="32"/>
  <c r="F174" i="32"/>
  <c r="G174" i="32"/>
  <c r="H174" i="32"/>
  <c r="I174" i="32"/>
  <c r="J174" i="32"/>
  <c r="K174" i="32"/>
  <c r="L174" i="32"/>
  <c r="M174" i="32"/>
  <c r="N174" i="32"/>
  <c r="O174" i="32"/>
  <c r="P174" i="32"/>
  <c r="E175" i="32"/>
  <c r="F175" i="32"/>
  <c r="G175" i="32"/>
  <c r="H175" i="32"/>
  <c r="I175" i="32"/>
  <c r="J175" i="32"/>
  <c r="K175" i="32"/>
  <c r="L175" i="32"/>
  <c r="M175" i="32"/>
  <c r="N175" i="32"/>
  <c r="O175" i="32"/>
  <c r="P175" i="32"/>
  <c r="E176" i="32"/>
  <c r="F176" i="32"/>
  <c r="G176" i="32"/>
  <c r="H176" i="32"/>
  <c r="I176" i="32"/>
  <c r="J176" i="32"/>
  <c r="K176" i="32"/>
  <c r="L176" i="32"/>
  <c r="M176" i="32"/>
  <c r="N176" i="32"/>
  <c r="O176" i="32"/>
  <c r="P176" i="32"/>
  <c r="F148" i="32"/>
  <c r="G148" i="32"/>
  <c r="H148" i="32"/>
  <c r="I148" i="32"/>
  <c r="J148" i="32"/>
  <c r="K148" i="32"/>
  <c r="L148" i="32"/>
  <c r="M148" i="32"/>
  <c r="N148" i="32"/>
  <c r="O148" i="32"/>
  <c r="P148" i="32"/>
  <c r="F141" i="32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E148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J147" i="31"/>
  <c r="K147" i="31"/>
  <c r="L147" i="31"/>
  <c r="M147" i="31"/>
  <c r="E147" i="31"/>
  <c r="E149" i="31"/>
  <c r="M149" i="31"/>
  <c r="N149" i="31"/>
  <c r="O149" i="31"/>
  <c r="P149" i="31"/>
  <c r="H153" i="31"/>
  <c r="I153" i="31"/>
  <c r="J153" i="31"/>
  <c r="E170" i="31"/>
  <c r="N170" i="31"/>
  <c r="O170" i="31"/>
  <c r="P170" i="31"/>
  <c r="E171" i="31"/>
  <c r="P171" i="31"/>
  <c r="E172" i="31"/>
  <c r="F172" i="31"/>
  <c r="G172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F141" i="3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F148" i="10"/>
  <c r="G148" i="10"/>
  <c r="I148" i="10"/>
  <c r="E148" i="10"/>
  <c r="E150" i="10"/>
  <c r="H150" i="10"/>
  <c r="J150" i="10"/>
  <c r="L150" i="10"/>
  <c r="M150" i="10"/>
  <c r="N150" i="10"/>
  <c r="H154" i="10"/>
  <c r="E171" i="10"/>
  <c r="E172" i="10"/>
  <c r="G172" i="10"/>
  <c r="H172" i="10"/>
  <c r="P172" i="10"/>
  <c r="E173" i="10"/>
  <c r="G173" i="10"/>
  <c r="H173" i="10"/>
  <c r="I173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F142" i="10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E242" i="9"/>
  <c r="F242" i="9"/>
  <c r="G242" i="9"/>
  <c r="H242" i="9"/>
  <c r="I242" i="9"/>
  <c r="J242" i="9"/>
  <c r="K242" i="9"/>
  <c r="L242" i="9"/>
  <c r="M242" i="9"/>
  <c r="N242" i="9"/>
  <c r="O242" i="9"/>
  <c r="P242" i="9"/>
  <c r="E244" i="9"/>
  <c r="F244" i="9"/>
  <c r="G244" i="9"/>
  <c r="H244" i="9"/>
  <c r="I244" i="9"/>
  <c r="J244" i="9"/>
  <c r="K244" i="9"/>
  <c r="L244" i="9"/>
  <c r="M244" i="9"/>
  <c r="N244" i="9"/>
  <c r="O244" i="9"/>
  <c r="P244" i="9"/>
  <c r="E245" i="9"/>
  <c r="F245" i="9"/>
  <c r="G245" i="9"/>
  <c r="H245" i="9"/>
  <c r="I245" i="9"/>
  <c r="J245" i="9"/>
  <c r="K245" i="9"/>
  <c r="L245" i="9"/>
  <c r="M245" i="9"/>
  <c r="N245" i="9"/>
  <c r="O245" i="9"/>
  <c r="P245" i="9"/>
  <c r="F246" i="9"/>
  <c r="G246" i="9"/>
  <c r="H246" i="9"/>
  <c r="I246" i="9"/>
  <c r="J246" i="9"/>
  <c r="K246" i="9"/>
  <c r="L246" i="9"/>
  <c r="M246" i="9"/>
  <c r="N246" i="9"/>
  <c r="O246" i="9"/>
  <c r="P246" i="9"/>
  <c r="E246" i="9"/>
  <c r="E248" i="9"/>
  <c r="F248" i="9"/>
  <c r="G248" i="9"/>
  <c r="H248" i="9"/>
  <c r="I248" i="9"/>
  <c r="J248" i="9"/>
  <c r="K248" i="9"/>
  <c r="L248" i="9"/>
  <c r="M248" i="9"/>
  <c r="N248" i="9"/>
  <c r="O248" i="9"/>
  <c r="P248" i="9"/>
  <c r="E249" i="9"/>
  <c r="F249" i="9"/>
  <c r="G249" i="9"/>
  <c r="H249" i="9"/>
  <c r="I249" i="9"/>
  <c r="J249" i="9"/>
  <c r="K249" i="9"/>
  <c r="L249" i="9"/>
  <c r="M249" i="9"/>
  <c r="N249" i="9"/>
  <c r="O249" i="9"/>
  <c r="P249" i="9"/>
  <c r="E250" i="9"/>
  <c r="F250" i="9"/>
  <c r="G250" i="9"/>
  <c r="H250" i="9"/>
  <c r="I250" i="9"/>
  <c r="J250" i="9"/>
  <c r="K250" i="9"/>
  <c r="L250" i="9"/>
  <c r="M250" i="9"/>
  <c r="N250" i="9"/>
  <c r="O250" i="9"/>
  <c r="P250" i="9"/>
  <c r="E251" i="9"/>
  <c r="F251" i="9"/>
  <c r="G251" i="9"/>
  <c r="H251" i="9"/>
  <c r="I251" i="9"/>
  <c r="J251" i="9"/>
  <c r="K251" i="9"/>
  <c r="L251" i="9"/>
  <c r="M251" i="9"/>
  <c r="N251" i="9"/>
  <c r="O251" i="9"/>
  <c r="P251" i="9"/>
  <c r="E252" i="9"/>
  <c r="F252" i="9"/>
  <c r="G252" i="9"/>
  <c r="H252" i="9"/>
  <c r="I252" i="9"/>
  <c r="J252" i="9"/>
  <c r="K252" i="9"/>
  <c r="L252" i="9"/>
  <c r="M252" i="9"/>
  <c r="N252" i="9"/>
  <c r="O252" i="9"/>
  <c r="P252" i="9"/>
  <c r="E254" i="9"/>
  <c r="F254" i="9"/>
  <c r="G254" i="9"/>
  <c r="H254" i="9"/>
  <c r="I254" i="9"/>
  <c r="J254" i="9"/>
  <c r="K254" i="9"/>
  <c r="L254" i="9"/>
  <c r="M254" i="9"/>
  <c r="N254" i="9"/>
  <c r="O254" i="9"/>
  <c r="P254" i="9"/>
  <c r="E256" i="9"/>
  <c r="F256" i="9"/>
  <c r="G256" i="9"/>
  <c r="H256" i="9"/>
  <c r="I256" i="9"/>
  <c r="J256" i="9"/>
  <c r="K256" i="9"/>
  <c r="L256" i="9"/>
  <c r="M256" i="9"/>
  <c r="N256" i="9"/>
  <c r="O256" i="9"/>
  <c r="P256" i="9"/>
  <c r="E258" i="9"/>
  <c r="F258" i="9"/>
  <c r="G258" i="9"/>
  <c r="H258" i="9"/>
  <c r="I258" i="9"/>
  <c r="J258" i="9"/>
  <c r="K258" i="9"/>
  <c r="L258" i="9"/>
  <c r="M258" i="9"/>
  <c r="N258" i="9"/>
  <c r="O258" i="9"/>
  <c r="P258" i="9"/>
  <c r="F261" i="9"/>
  <c r="G261" i="9"/>
  <c r="I261" i="9"/>
  <c r="J261" i="9"/>
  <c r="L261" i="9"/>
  <c r="M261" i="9"/>
  <c r="O261" i="9"/>
  <c r="P261" i="9"/>
  <c r="E262" i="9"/>
  <c r="F262" i="9"/>
  <c r="G262" i="9"/>
  <c r="H262" i="9"/>
  <c r="I262" i="9"/>
  <c r="J262" i="9"/>
  <c r="K262" i="9"/>
  <c r="L262" i="9"/>
  <c r="M262" i="9"/>
  <c r="N262" i="9"/>
  <c r="O262" i="9"/>
  <c r="P262" i="9"/>
  <c r="E264" i="9"/>
  <c r="F264" i="9"/>
  <c r="G264" i="9"/>
  <c r="I264" i="9"/>
  <c r="J264" i="9"/>
  <c r="K264" i="9"/>
  <c r="L264" i="9"/>
  <c r="M264" i="9"/>
  <c r="N264" i="9"/>
  <c r="O264" i="9"/>
  <c r="P264" i="9"/>
  <c r="E268" i="9"/>
  <c r="F268" i="9"/>
  <c r="G268" i="9"/>
  <c r="H268" i="9"/>
  <c r="I268" i="9"/>
  <c r="J268" i="9"/>
  <c r="K268" i="9"/>
  <c r="L268" i="9"/>
  <c r="M268" i="9"/>
  <c r="N268" i="9"/>
  <c r="O268" i="9"/>
  <c r="P268" i="9"/>
  <c r="E269" i="9"/>
  <c r="F269" i="9"/>
  <c r="G269" i="9"/>
  <c r="H269" i="9"/>
  <c r="I269" i="9"/>
  <c r="J269" i="9"/>
  <c r="K269" i="9"/>
  <c r="L269" i="9"/>
  <c r="M269" i="9"/>
  <c r="N269" i="9"/>
  <c r="O269" i="9"/>
  <c r="P269" i="9"/>
  <c r="E270" i="9"/>
  <c r="F270" i="9"/>
  <c r="G270" i="9"/>
  <c r="H270" i="9"/>
  <c r="I270" i="9"/>
  <c r="J270" i="9"/>
  <c r="K270" i="9"/>
  <c r="L270" i="9"/>
  <c r="M270" i="9"/>
  <c r="N270" i="9"/>
  <c r="O270" i="9"/>
  <c r="P270" i="9"/>
  <c r="E271" i="9"/>
  <c r="F271" i="9"/>
  <c r="G271" i="9"/>
  <c r="H271" i="9"/>
  <c r="I271" i="9"/>
  <c r="J271" i="9"/>
  <c r="K271" i="9"/>
  <c r="L271" i="9"/>
  <c r="M271" i="9"/>
  <c r="N271" i="9"/>
  <c r="O271" i="9"/>
  <c r="P271" i="9"/>
  <c r="E275" i="9"/>
  <c r="F275" i="9"/>
  <c r="G275" i="9"/>
  <c r="H275" i="9"/>
  <c r="I275" i="9"/>
  <c r="J275" i="9"/>
  <c r="K275" i="9"/>
  <c r="L275" i="9"/>
  <c r="M275" i="9"/>
  <c r="N275" i="9"/>
  <c r="O275" i="9"/>
  <c r="P275" i="9"/>
  <c r="A242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1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F239" i="9"/>
  <c r="G239" i="9" s="1"/>
  <c r="H239" i="9" s="1"/>
  <c r="I239" i="9" s="1"/>
  <c r="J239" i="9" s="1"/>
  <c r="K239" i="9" s="1"/>
  <c r="L239" i="9" s="1"/>
  <c r="M239" i="9" s="1"/>
  <c r="N239" i="9" s="1"/>
  <c r="O239" i="9" s="1"/>
  <c r="P239" i="9" s="1"/>
  <c r="F215" i="8"/>
  <c r="G215" i="8"/>
  <c r="H215" i="8"/>
  <c r="I215" i="8"/>
  <c r="J215" i="8"/>
  <c r="K215" i="8"/>
  <c r="L215" i="8"/>
  <c r="M215" i="8"/>
  <c r="N215" i="8"/>
  <c r="O215" i="8"/>
  <c r="P215" i="8"/>
  <c r="E215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F219" i="8"/>
  <c r="G219" i="8"/>
  <c r="H219" i="8"/>
  <c r="I219" i="8"/>
  <c r="J219" i="8"/>
  <c r="K219" i="8"/>
  <c r="L219" i="8"/>
  <c r="M219" i="8"/>
  <c r="N219" i="8"/>
  <c r="O219" i="8"/>
  <c r="P219" i="8"/>
  <c r="E219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F234" i="8"/>
  <c r="G234" i="8"/>
  <c r="I234" i="8"/>
  <c r="J234" i="8"/>
  <c r="L234" i="8"/>
  <c r="M234" i="8"/>
  <c r="O234" i="8"/>
  <c r="P234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E237" i="8"/>
  <c r="F237" i="8"/>
  <c r="G237" i="8"/>
  <c r="I237" i="8"/>
  <c r="J237" i="8"/>
  <c r="K237" i="8"/>
  <c r="L237" i="8"/>
  <c r="M237" i="8"/>
  <c r="N237" i="8"/>
  <c r="O237" i="8"/>
  <c r="P237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A246" i="8"/>
  <c r="A248" i="8"/>
  <c r="A247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71" i="22"/>
  <c r="F213" i="8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E242" i="22"/>
  <c r="F242" i="22"/>
  <c r="G242" i="22"/>
  <c r="H242" i="22"/>
  <c r="I242" i="22"/>
  <c r="J242" i="22"/>
  <c r="K242" i="22"/>
  <c r="L242" i="22"/>
  <c r="M242" i="22"/>
  <c r="N242" i="22"/>
  <c r="O242" i="22"/>
  <c r="P242" i="22"/>
  <c r="E243" i="22"/>
  <c r="F243" i="22"/>
  <c r="G243" i="22"/>
  <c r="H243" i="22"/>
  <c r="I243" i="22"/>
  <c r="J243" i="22"/>
  <c r="K243" i="22"/>
  <c r="L243" i="22"/>
  <c r="M243" i="22"/>
  <c r="N243" i="22"/>
  <c r="O243" i="22"/>
  <c r="P243" i="22"/>
  <c r="F244" i="22"/>
  <c r="G244" i="22"/>
  <c r="H244" i="22"/>
  <c r="I244" i="22"/>
  <c r="J244" i="22"/>
  <c r="K244" i="22"/>
  <c r="L244" i="22"/>
  <c r="M244" i="22"/>
  <c r="N244" i="22"/>
  <c r="O244" i="22"/>
  <c r="P244" i="22"/>
  <c r="E244" i="22"/>
  <c r="E273" i="22"/>
  <c r="F273" i="22"/>
  <c r="G273" i="22"/>
  <c r="H273" i="22"/>
  <c r="I273" i="22"/>
  <c r="J273" i="22"/>
  <c r="K273" i="22"/>
  <c r="L273" i="22"/>
  <c r="M273" i="22"/>
  <c r="N273" i="22"/>
  <c r="O273" i="22"/>
  <c r="P273" i="22"/>
  <c r="E266" i="22"/>
  <c r="F266" i="22"/>
  <c r="G266" i="22"/>
  <c r="H266" i="22"/>
  <c r="I266" i="22"/>
  <c r="J266" i="22"/>
  <c r="K266" i="22"/>
  <c r="L266" i="22"/>
  <c r="M266" i="22"/>
  <c r="N266" i="22"/>
  <c r="O266" i="22"/>
  <c r="P266" i="22"/>
  <c r="E267" i="22"/>
  <c r="F267" i="22"/>
  <c r="G267" i="22"/>
  <c r="H267" i="22"/>
  <c r="I267" i="22"/>
  <c r="J267" i="22"/>
  <c r="K267" i="22"/>
  <c r="L267" i="22"/>
  <c r="M267" i="22"/>
  <c r="N267" i="22"/>
  <c r="O267" i="22"/>
  <c r="P267" i="22"/>
  <c r="E268" i="22"/>
  <c r="F268" i="22"/>
  <c r="G268" i="22"/>
  <c r="H268" i="22"/>
  <c r="I268" i="22"/>
  <c r="J268" i="22"/>
  <c r="K268" i="22"/>
  <c r="L268" i="22"/>
  <c r="M268" i="22"/>
  <c r="N268" i="22"/>
  <c r="O268" i="22"/>
  <c r="P268" i="22"/>
  <c r="E269" i="22"/>
  <c r="F269" i="22"/>
  <c r="G269" i="22"/>
  <c r="H269" i="22"/>
  <c r="I269" i="22"/>
  <c r="J269" i="22"/>
  <c r="K269" i="22"/>
  <c r="L269" i="22"/>
  <c r="M269" i="22"/>
  <c r="N269" i="22"/>
  <c r="O269" i="22"/>
  <c r="P269" i="22"/>
  <c r="E260" i="22"/>
  <c r="F260" i="22"/>
  <c r="G260" i="22"/>
  <c r="H260" i="22"/>
  <c r="I260" i="22"/>
  <c r="J260" i="22"/>
  <c r="K260" i="22"/>
  <c r="L260" i="22"/>
  <c r="M260" i="22"/>
  <c r="N260" i="22"/>
  <c r="O260" i="22"/>
  <c r="P260" i="22"/>
  <c r="E262" i="22"/>
  <c r="F262" i="22"/>
  <c r="G262" i="22"/>
  <c r="I262" i="22"/>
  <c r="J262" i="22"/>
  <c r="K262" i="22"/>
  <c r="L262" i="22"/>
  <c r="M262" i="22"/>
  <c r="N262" i="22"/>
  <c r="O262" i="22"/>
  <c r="P262" i="22"/>
  <c r="F259" i="22"/>
  <c r="G259" i="22"/>
  <c r="I259" i="22"/>
  <c r="J259" i="22"/>
  <c r="L259" i="22"/>
  <c r="M259" i="22"/>
  <c r="O259" i="22"/>
  <c r="P259" i="22"/>
  <c r="E252" i="22"/>
  <c r="F252" i="22"/>
  <c r="G252" i="22"/>
  <c r="H252" i="22"/>
  <c r="I252" i="22"/>
  <c r="J252" i="22"/>
  <c r="K252" i="22"/>
  <c r="L252" i="22"/>
  <c r="M252" i="22"/>
  <c r="N252" i="22"/>
  <c r="O252" i="22"/>
  <c r="P252" i="22"/>
  <c r="E254" i="22"/>
  <c r="F254" i="22"/>
  <c r="G254" i="22"/>
  <c r="H254" i="22"/>
  <c r="I254" i="22"/>
  <c r="J254" i="22"/>
  <c r="K254" i="22"/>
  <c r="L254" i="22"/>
  <c r="M254" i="22"/>
  <c r="N254" i="22"/>
  <c r="O254" i="22"/>
  <c r="P254" i="22"/>
  <c r="E256" i="22"/>
  <c r="F256" i="22"/>
  <c r="G256" i="22"/>
  <c r="H256" i="22"/>
  <c r="I256" i="22"/>
  <c r="J256" i="22"/>
  <c r="K256" i="22"/>
  <c r="L256" i="22"/>
  <c r="M256" i="22"/>
  <c r="N256" i="22"/>
  <c r="O256" i="22"/>
  <c r="P256" i="22"/>
  <c r="E249" i="22"/>
  <c r="F249" i="22"/>
  <c r="G249" i="22"/>
  <c r="H249" i="22"/>
  <c r="I249" i="22"/>
  <c r="J249" i="22"/>
  <c r="K249" i="22"/>
  <c r="L249" i="22"/>
  <c r="M249" i="22"/>
  <c r="N249" i="22"/>
  <c r="O249" i="22"/>
  <c r="P249" i="22"/>
  <c r="E250" i="22"/>
  <c r="F250" i="22"/>
  <c r="G250" i="22"/>
  <c r="H250" i="22"/>
  <c r="I250" i="22"/>
  <c r="J250" i="22"/>
  <c r="K250" i="22"/>
  <c r="L250" i="22"/>
  <c r="M250" i="22"/>
  <c r="N250" i="22"/>
  <c r="O250" i="22"/>
  <c r="P250" i="22"/>
  <c r="E246" i="22"/>
  <c r="F246" i="22"/>
  <c r="G246" i="22"/>
  <c r="H246" i="22"/>
  <c r="I246" i="22"/>
  <c r="J246" i="22"/>
  <c r="K246" i="22"/>
  <c r="L246" i="22"/>
  <c r="M246" i="22"/>
  <c r="N246" i="22"/>
  <c r="O246" i="22"/>
  <c r="P246" i="22"/>
  <c r="E247" i="22"/>
  <c r="F247" i="22"/>
  <c r="G247" i="22"/>
  <c r="H247" i="22"/>
  <c r="I247" i="22"/>
  <c r="J247" i="22"/>
  <c r="K247" i="22"/>
  <c r="L247" i="22"/>
  <c r="M247" i="22"/>
  <c r="N247" i="22"/>
  <c r="O247" i="22"/>
  <c r="P247" i="22"/>
  <c r="E248" i="22"/>
  <c r="F248" i="22"/>
  <c r="G248" i="22"/>
  <c r="H248" i="22"/>
  <c r="I248" i="22"/>
  <c r="J248" i="22"/>
  <c r="K248" i="22"/>
  <c r="L248" i="22"/>
  <c r="M248" i="22"/>
  <c r="N248" i="22"/>
  <c r="O248" i="22"/>
  <c r="P248" i="22"/>
  <c r="A273" i="22"/>
  <c r="A272" i="22"/>
  <c r="A270" i="22"/>
  <c r="A264" i="22"/>
  <c r="A260" i="22"/>
  <c r="A258" i="22"/>
  <c r="A269" i="22"/>
  <c r="A268" i="22"/>
  <c r="A267" i="22"/>
  <c r="A266" i="22"/>
  <c r="A265" i="22"/>
  <c r="A263" i="22"/>
  <c r="A262" i="22"/>
  <c r="A261" i="22"/>
  <c r="A259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P290" i="22"/>
  <c r="O290" i="22"/>
  <c r="N290" i="22"/>
  <c r="M290" i="22"/>
  <c r="L290" i="22"/>
  <c r="K290" i="22"/>
  <c r="J290" i="22"/>
  <c r="I290" i="22"/>
  <c r="H290" i="22"/>
  <c r="G290" i="22"/>
  <c r="F290" i="22"/>
  <c r="E290" i="22"/>
  <c r="F238" i="22"/>
  <c r="G238" i="22" s="1"/>
  <c r="H238" i="22" s="1"/>
  <c r="I238" i="22" s="1"/>
  <c r="J238" i="22" s="1"/>
  <c r="K238" i="22" s="1"/>
  <c r="L238" i="22" s="1"/>
  <c r="M238" i="22" s="1"/>
  <c r="N238" i="22" s="1"/>
  <c r="O238" i="22" s="1"/>
  <c r="P238" i="22" s="1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48" i="6"/>
  <c r="Q47" i="6"/>
  <c r="Q43" i="6"/>
  <c r="Q42" i="6"/>
  <c r="Q41" i="6"/>
  <c r="Q40" i="6"/>
  <c r="Q36" i="6"/>
  <c r="Q35" i="6"/>
  <c r="Q34" i="6"/>
  <c r="Q33" i="6"/>
  <c r="Q31" i="6"/>
  <c r="Q29" i="6"/>
  <c r="F206" i="6"/>
  <c r="G206" i="6"/>
  <c r="H206" i="6"/>
  <c r="I206" i="6"/>
  <c r="J206" i="6"/>
  <c r="K206" i="6"/>
  <c r="L206" i="6"/>
  <c r="M206" i="6"/>
  <c r="N206" i="6"/>
  <c r="O206" i="6"/>
  <c r="P206" i="6"/>
  <c r="E206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F211" i="6"/>
  <c r="G211" i="6"/>
  <c r="H211" i="6"/>
  <c r="I211" i="6"/>
  <c r="J211" i="6"/>
  <c r="K211" i="6"/>
  <c r="L211" i="6"/>
  <c r="M211" i="6"/>
  <c r="N211" i="6"/>
  <c r="O211" i="6"/>
  <c r="P211" i="6"/>
  <c r="E211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F226" i="6"/>
  <c r="G226" i="6"/>
  <c r="I226" i="6"/>
  <c r="J226" i="6"/>
  <c r="L226" i="6"/>
  <c r="M226" i="6"/>
  <c r="O226" i="6"/>
  <c r="P226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E229" i="6"/>
  <c r="F229" i="6"/>
  <c r="G229" i="6"/>
  <c r="I229" i="6"/>
  <c r="J229" i="6"/>
  <c r="K229" i="6"/>
  <c r="L229" i="6"/>
  <c r="M229" i="6"/>
  <c r="N229" i="6"/>
  <c r="O229" i="6"/>
  <c r="P229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A207" i="6"/>
  <c r="A240" i="6"/>
  <c r="A238" i="6"/>
  <c r="A237" i="6"/>
  <c r="A231" i="6"/>
  <c r="A227" i="6"/>
  <c r="A225" i="6"/>
  <c r="A206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6" i="6"/>
  <c r="A228" i="6"/>
  <c r="A229" i="6"/>
  <c r="A230" i="6"/>
  <c r="A232" i="6"/>
  <c r="A233" i="6"/>
  <c r="A234" i="6"/>
  <c r="A235" i="6"/>
  <c r="A236" i="6"/>
  <c r="A239" i="6"/>
  <c r="P257" i="6"/>
  <c r="O257" i="6"/>
  <c r="N257" i="6"/>
  <c r="M257" i="6"/>
  <c r="L257" i="6"/>
  <c r="K257" i="6"/>
  <c r="J257" i="6"/>
  <c r="I257" i="6"/>
  <c r="H257" i="6"/>
  <c r="G257" i="6"/>
  <c r="F257" i="6"/>
  <c r="E257" i="6"/>
  <c r="F204" i="6"/>
  <c r="G204" i="6" s="1"/>
  <c r="H204" i="6" s="1"/>
  <c r="I204" i="6" s="1"/>
  <c r="J204" i="6" s="1"/>
  <c r="K204" i="6" s="1"/>
  <c r="L204" i="6" s="1"/>
  <c r="M204" i="6" s="1"/>
  <c r="N204" i="6" s="1"/>
  <c r="O204" i="6" s="1"/>
  <c r="P204" i="6" s="1"/>
  <c r="Q65" i="43"/>
  <c r="W65" i="43" s="1"/>
  <c r="Q64" i="43"/>
  <c r="W64" i="43" s="1"/>
  <c r="Q63" i="43"/>
  <c r="W63" i="43" s="1"/>
  <c r="Q62" i="43"/>
  <c r="W62" i="43" s="1"/>
  <c r="Q61" i="43"/>
  <c r="W61" i="43" s="1"/>
  <c r="Q60" i="43"/>
  <c r="W60" i="43" s="1"/>
  <c r="Q59" i="43"/>
  <c r="W59" i="43" s="1"/>
  <c r="X60" i="43"/>
  <c r="X61" i="43"/>
  <c r="X62" i="43"/>
  <c r="X63" i="43"/>
  <c r="X64" i="43"/>
  <c r="X65" i="43"/>
  <c r="X59" i="43"/>
  <c r="B165" i="9"/>
  <c r="B166" i="9"/>
  <c r="B229" i="9"/>
  <c r="P229" i="9" s="1"/>
  <c r="D229" i="9"/>
  <c r="B230" i="9"/>
  <c r="D230" i="9" s="1"/>
  <c r="D197" i="9"/>
  <c r="D165" i="9" s="1"/>
  <c r="E197" i="9"/>
  <c r="F197" i="9"/>
  <c r="G197" i="9"/>
  <c r="H197" i="9"/>
  <c r="I197" i="9"/>
  <c r="J197" i="9"/>
  <c r="K197" i="9"/>
  <c r="L197" i="9"/>
  <c r="M197" i="9"/>
  <c r="N197" i="9"/>
  <c r="O197" i="9"/>
  <c r="P197" i="9"/>
  <c r="D198" i="9"/>
  <c r="D166" i="9" s="1"/>
  <c r="E198" i="9"/>
  <c r="F198" i="9"/>
  <c r="G198" i="9"/>
  <c r="H198" i="9"/>
  <c r="I198" i="9"/>
  <c r="J198" i="9"/>
  <c r="K198" i="9"/>
  <c r="L198" i="9"/>
  <c r="M198" i="9"/>
  <c r="N198" i="9"/>
  <c r="O198" i="9"/>
  <c r="P198" i="9"/>
  <c r="B228" i="9"/>
  <c r="B227" i="9"/>
  <c r="B226" i="9"/>
  <c r="B225" i="9"/>
  <c r="B224" i="9"/>
  <c r="B223" i="9"/>
  <c r="O223" i="9" s="1"/>
  <c r="B222" i="9"/>
  <c r="B221" i="9"/>
  <c r="K221" i="9" s="1"/>
  <c r="B220" i="9"/>
  <c r="B219" i="9"/>
  <c r="B218" i="9"/>
  <c r="I218" i="9" s="1"/>
  <c r="B217" i="9"/>
  <c r="D217" i="9" s="1"/>
  <c r="B216" i="9"/>
  <c r="B215" i="9"/>
  <c r="B214" i="9"/>
  <c r="B213" i="9"/>
  <c r="B212" i="9"/>
  <c r="B211" i="9"/>
  <c r="B210" i="9"/>
  <c r="B209" i="9"/>
  <c r="D209" i="9" s="1"/>
  <c r="B208" i="9"/>
  <c r="O208" i="9" s="1"/>
  <c r="B207" i="9"/>
  <c r="B206" i="9"/>
  <c r="B205" i="9"/>
  <c r="B204" i="9"/>
  <c r="I204" i="9" s="1"/>
  <c r="P203" i="9"/>
  <c r="O203" i="9"/>
  <c r="N203" i="9"/>
  <c r="M203" i="9"/>
  <c r="L203" i="9"/>
  <c r="K203" i="9"/>
  <c r="J203" i="9"/>
  <c r="I203" i="9"/>
  <c r="H203" i="9"/>
  <c r="H204" i="9" s="1"/>
  <c r="G203" i="9"/>
  <c r="G204" i="9" s="1"/>
  <c r="F203" i="9"/>
  <c r="F229" i="9" s="1"/>
  <c r="E203" i="9"/>
  <c r="E223" i="9" s="1"/>
  <c r="P196" i="9"/>
  <c r="O196" i="9"/>
  <c r="N196" i="9"/>
  <c r="M196" i="9"/>
  <c r="L196" i="9"/>
  <c r="K196" i="9"/>
  <c r="J196" i="9"/>
  <c r="I196" i="9"/>
  <c r="H196" i="9"/>
  <c r="G196" i="9"/>
  <c r="F196" i="9"/>
  <c r="E196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B138" i="9"/>
  <c r="F184" i="8"/>
  <c r="G184" i="8"/>
  <c r="H184" i="8"/>
  <c r="F185" i="8"/>
  <c r="G185" i="8"/>
  <c r="K185" i="8"/>
  <c r="L185" i="8"/>
  <c r="F186" i="8"/>
  <c r="H186" i="8"/>
  <c r="M186" i="8"/>
  <c r="N186" i="8"/>
  <c r="O186" i="8"/>
  <c r="H188" i="8"/>
  <c r="O188" i="8"/>
  <c r="P188" i="8"/>
  <c r="F189" i="8"/>
  <c r="H189" i="8"/>
  <c r="O189" i="8"/>
  <c r="P189" i="8"/>
  <c r="L191" i="8"/>
  <c r="N192" i="8"/>
  <c r="O192" i="8"/>
  <c r="P193" i="8"/>
  <c r="F194" i="8"/>
  <c r="G194" i="8"/>
  <c r="P194" i="8"/>
  <c r="H195" i="8"/>
  <c r="J195" i="8"/>
  <c r="H196" i="8"/>
  <c r="L196" i="8"/>
  <c r="M196" i="8"/>
  <c r="G197" i="8"/>
  <c r="M197" i="8"/>
  <c r="N197" i="8"/>
  <c r="O197" i="8"/>
  <c r="P197" i="8"/>
  <c r="M198" i="8"/>
  <c r="P198" i="8"/>
  <c r="F199" i="8"/>
  <c r="G199" i="8"/>
  <c r="H199" i="8"/>
  <c r="P199" i="8"/>
  <c r="F200" i="8"/>
  <c r="G200" i="8"/>
  <c r="H200" i="8"/>
  <c r="K200" i="8"/>
  <c r="P200" i="8"/>
  <c r="E186" i="8"/>
  <c r="E188" i="8"/>
  <c r="E189" i="8"/>
  <c r="E193" i="8"/>
  <c r="E194" i="8"/>
  <c r="E200" i="8"/>
  <c r="E184" i="8"/>
  <c r="H56" i="41"/>
  <c r="F56" i="41"/>
  <c r="B56" i="41"/>
  <c r="D185" i="8"/>
  <c r="D187" i="8"/>
  <c r="D193" i="8"/>
  <c r="D198" i="8"/>
  <c r="B200" i="8"/>
  <c r="O200" i="8" s="1"/>
  <c r="B199" i="8"/>
  <c r="J199" i="8" s="1"/>
  <c r="B198" i="8"/>
  <c r="H198" i="8" s="1"/>
  <c r="B197" i="8"/>
  <c r="D197" i="8" s="1"/>
  <c r="B196" i="8"/>
  <c r="O196" i="8" s="1"/>
  <c r="B195" i="8"/>
  <c r="L195" i="8" s="1"/>
  <c r="B194" i="8"/>
  <c r="I194" i="8" s="1"/>
  <c r="B193" i="8"/>
  <c r="F193" i="8" s="1"/>
  <c r="B192" i="8"/>
  <c r="G192" i="8" s="1"/>
  <c r="B191" i="8"/>
  <c r="N191" i="8" s="1"/>
  <c r="B190" i="8"/>
  <c r="K190" i="8" s="1"/>
  <c r="B189" i="8"/>
  <c r="J189" i="8" s="1"/>
  <c r="B188" i="8"/>
  <c r="F188" i="8" s="1"/>
  <c r="B187" i="8"/>
  <c r="P187" i="8" s="1"/>
  <c r="B186" i="8"/>
  <c r="G186" i="8" s="1"/>
  <c r="B185" i="8"/>
  <c r="N185" i="8" s="1"/>
  <c r="B184" i="8"/>
  <c r="K184" i="8" s="1"/>
  <c r="P183" i="8"/>
  <c r="O183" i="8"/>
  <c r="O194" i="8" s="1"/>
  <c r="N183" i="8"/>
  <c r="N200" i="8" s="1"/>
  <c r="M183" i="8"/>
  <c r="M200" i="8" s="1"/>
  <c r="L183" i="8"/>
  <c r="L198" i="8" s="1"/>
  <c r="K183" i="8"/>
  <c r="K196" i="8" s="1"/>
  <c r="J183" i="8"/>
  <c r="J198" i="8" s="1"/>
  <c r="I183" i="8"/>
  <c r="I189" i="8" s="1"/>
  <c r="H183" i="8"/>
  <c r="G183" i="8"/>
  <c r="G198" i="8" s="1"/>
  <c r="F183" i="8"/>
  <c r="E183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B138" i="8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G10" i="22"/>
  <c r="G194" i="22"/>
  <c r="O171" i="31" l="1"/>
  <c r="M170" i="31"/>
  <c r="L149" i="31"/>
  <c r="I147" i="31"/>
  <c r="P172" i="31"/>
  <c r="N171" i="31"/>
  <c r="L170" i="31"/>
  <c r="K149" i="31"/>
  <c r="H147" i="31"/>
  <c r="K170" i="31"/>
  <c r="G147" i="31"/>
  <c r="N172" i="31"/>
  <c r="L171" i="31"/>
  <c r="J170" i="31"/>
  <c r="I149" i="31"/>
  <c r="F147" i="31"/>
  <c r="M172" i="31"/>
  <c r="K171" i="31"/>
  <c r="I170" i="31"/>
  <c r="H149" i="31"/>
  <c r="J171" i="31"/>
  <c r="K172" i="31"/>
  <c r="I171" i="31"/>
  <c r="G170" i="31"/>
  <c r="N153" i="31"/>
  <c r="F149" i="31"/>
  <c r="M171" i="31"/>
  <c r="J149" i="31"/>
  <c r="L172" i="31"/>
  <c r="G149" i="31"/>
  <c r="J172" i="31"/>
  <c r="H171" i="31"/>
  <c r="F170" i="31"/>
  <c r="M153" i="31"/>
  <c r="P147" i="31"/>
  <c r="O172" i="31"/>
  <c r="I172" i="31"/>
  <c r="G171" i="31"/>
  <c r="L153" i="31"/>
  <c r="O147" i="31"/>
  <c r="H170" i="31"/>
  <c r="H172" i="31"/>
  <c r="F171" i="31"/>
  <c r="K153" i="31"/>
  <c r="N147" i="31"/>
  <c r="I172" i="10"/>
  <c r="K150" i="10"/>
  <c r="F172" i="10"/>
  <c r="G150" i="10"/>
  <c r="O171" i="10"/>
  <c r="N171" i="10"/>
  <c r="M148" i="10"/>
  <c r="K173" i="10"/>
  <c r="G171" i="10"/>
  <c r="K148" i="10"/>
  <c r="J173" i="10"/>
  <c r="F171" i="10"/>
  <c r="J148" i="10"/>
  <c r="L148" i="10"/>
  <c r="F173" i="10"/>
  <c r="P171" i="10"/>
  <c r="I150" i="10"/>
  <c r="H148" i="10"/>
  <c r="O172" i="10"/>
  <c r="M171" i="10"/>
  <c r="N154" i="10"/>
  <c r="F150" i="10"/>
  <c r="P173" i="10"/>
  <c r="N172" i="10"/>
  <c r="L171" i="10"/>
  <c r="M154" i="10"/>
  <c r="O173" i="10"/>
  <c r="M172" i="10"/>
  <c r="K171" i="10"/>
  <c r="L154" i="10"/>
  <c r="N173" i="10"/>
  <c r="L172" i="10"/>
  <c r="J171" i="10"/>
  <c r="K154" i="10"/>
  <c r="P148" i="10"/>
  <c r="M173" i="10"/>
  <c r="K172" i="10"/>
  <c r="I171" i="10"/>
  <c r="J154" i="10"/>
  <c r="P150" i="10"/>
  <c r="O148" i="10"/>
  <c r="L173" i="10"/>
  <c r="J172" i="10"/>
  <c r="H171" i="10"/>
  <c r="I154" i="10"/>
  <c r="O150" i="10"/>
  <c r="N148" i="10"/>
  <c r="Q271" i="9"/>
  <c r="Q242" i="9"/>
  <c r="G229" i="9"/>
  <c r="G165" i="9" s="1"/>
  <c r="H210" i="9"/>
  <c r="H146" i="9" s="1"/>
  <c r="K229" i="9"/>
  <c r="K165" i="9" s="1"/>
  <c r="D208" i="9"/>
  <c r="M229" i="9"/>
  <c r="M165" i="9" s="1"/>
  <c r="E218" i="9"/>
  <c r="G222" i="9"/>
  <c r="P217" i="9"/>
  <c r="P153" i="9" s="1"/>
  <c r="O222" i="9"/>
  <c r="O158" i="9" s="1"/>
  <c r="P204" i="9"/>
  <c r="P140" i="9" s="1"/>
  <c r="O229" i="9"/>
  <c r="O165" i="9" s="1"/>
  <c r="L229" i="9"/>
  <c r="L165" i="9" s="1"/>
  <c r="I225" i="9"/>
  <c r="I161" i="9" s="1"/>
  <c r="G210" i="9"/>
  <c r="G146" i="9" s="1"/>
  <c r="D222" i="9"/>
  <c r="P209" i="9"/>
  <c r="P145" i="9" s="1"/>
  <c r="Q227" i="6"/>
  <c r="Q221" i="6"/>
  <c r="Q215" i="6"/>
  <c r="Q213" i="6"/>
  <c r="G214" i="9"/>
  <c r="G150" i="9" s="1"/>
  <c r="P208" i="9"/>
  <c r="P144" i="9" s="1"/>
  <c r="Q211" i="6"/>
  <c r="N204" i="9"/>
  <c r="N140" i="9" s="1"/>
  <c r="H215" i="9"/>
  <c r="H151" i="9" s="1"/>
  <c r="G208" i="9"/>
  <c r="G144" i="9" s="1"/>
  <c r="J225" i="9"/>
  <c r="J161" i="9" s="1"/>
  <c r="H230" i="9"/>
  <c r="H166" i="9" s="1"/>
  <c r="K220" i="9"/>
  <c r="K156" i="9" s="1"/>
  <c r="H222" i="9"/>
  <c r="H158" i="9" s="1"/>
  <c r="G230" i="9"/>
  <c r="G166" i="9" s="1"/>
  <c r="F217" i="9"/>
  <c r="F153" i="9" s="1"/>
  <c r="J207" i="9"/>
  <c r="J143" i="9" s="1"/>
  <c r="P222" i="9"/>
  <c r="P158" i="9" s="1"/>
  <c r="I195" i="8"/>
  <c r="E192" i="8"/>
  <c r="L188" i="8"/>
  <c r="O195" i="8"/>
  <c r="L194" i="8"/>
  <c r="I193" i="8"/>
  <c r="F192" i="8"/>
  <c r="N190" i="8"/>
  <c r="K189" i="8"/>
  <c r="Q235" i="6"/>
  <c r="D194" i="8"/>
  <c r="E195" i="8"/>
  <c r="L200" i="8"/>
  <c r="I199" i="8"/>
  <c r="F198" i="8"/>
  <c r="N196" i="8"/>
  <c r="K195" i="8"/>
  <c r="H194" i="8"/>
  <c r="P192" i="8"/>
  <c r="M191" i="8"/>
  <c r="J190" i="8"/>
  <c r="G189" i="8"/>
  <c r="P186" i="8"/>
  <c r="M185" i="8"/>
  <c r="J184" i="8"/>
  <c r="Q237" i="6"/>
  <c r="I184" i="8"/>
  <c r="K191" i="8"/>
  <c r="Q238" i="6"/>
  <c r="M192" i="8"/>
  <c r="J191" i="8"/>
  <c r="E191" i="8"/>
  <c r="J196" i="8"/>
  <c r="G195" i="8"/>
  <c r="O193" i="8"/>
  <c r="L192" i="8"/>
  <c r="I191" i="8"/>
  <c r="F190" i="8"/>
  <c r="N188" i="8"/>
  <c r="L186" i="8"/>
  <c r="I185" i="8"/>
  <c r="Q240" i="6"/>
  <c r="Q233" i="6"/>
  <c r="E190" i="8"/>
  <c r="O198" i="8"/>
  <c r="L197" i="8"/>
  <c r="I196" i="8"/>
  <c r="F195" i="8"/>
  <c r="N193" i="8"/>
  <c r="K192" i="8"/>
  <c r="H191" i="8"/>
  <c r="M188" i="8"/>
  <c r="K186" i="8"/>
  <c r="H185" i="8"/>
  <c r="Q223" i="6"/>
  <c r="Q216" i="6"/>
  <c r="Q207" i="6"/>
  <c r="I190" i="8"/>
  <c r="Q214" i="6"/>
  <c r="G190" i="8"/>
  <c r="N198" i="8"/>
  <c r="K197" i="8"/>
  <c r="J192" i="8"/>
  <c r="O199" i="8"/>
  <c r="I197" i="8"/>
  <c r="F196" i="8"/>
  <c r="N194" i="8"/>
  <c r="K193" i="8"/>
  <c r="H192" i="8"/>
  <c r="P190" i="8"/>
  <c r="M189" i="8"/>
  <c r="J188" i="8"/>
  <c r="P184" i="8"/>
  <c r="Q220" i="6"/>
  <c r="I200" i="8"/>
  <c r="J197" i="8"/>
  <c r="G196" i="8"/>
  <c r="L193" i="8"/>
  <c r="I192" i="8"/>
  <c r="F191" i="8"/>
  <c r="N189" i="8"/>
  <c r="K188" i="8"/>
  <c r="I186" i="8"/>
  <c r="Q224" i="6"/>
  <c r="Q208" i="6"/>
  <c r="E185" i="8"/>
  <c r="N199" i="8"/>
  <c r="K198" i="8"/>
  <c r="H197" i="8"/>
  <c r="P195" i="8"/>
  <c r="M194" i="8"/>
  <c r="J193" i="8"/>
  <c r="O190" i="8"/>
  <c r="L189" i="8"/>
  <c r="I188" i="8"/>
  <c r="O184" i="8"/>
  <c r="Q219" i="6"/>
  <c r="Q209" i="6"/>
  <c r="E198" i="8"/>
  <c r="L199" i="8"/>
  <c r="I198" i="8"/>
  <c r="F197" i="8"/>
  <c r="N195" i="8"/>
  <c r="K194" i="8"/>
  <c r="H193" i="8"/>
  <c r="P191" i="8"/>
  <c r="M190" i="8"/>
  <c r="G188" i="8"/>
  <c r="P185" i="8"/>
  <c r="M184" i="8"/>
  <c r="Q210" i="6"/>
  <c r="D190" i="8"/>
  <c r="H190" i="8"/>
  <c r="Q217" i="6"/>
  <c r="E199" i="8"/>
  <c r="M199" i="8"/>
  <c r="N184" i="8"/>
  <c r="E197" i="8"/>
  <c r="K199" i="8"/>
  <c r="P196" i="8"/>
  <c r="M195" i="8"/>
  <c r="J194" i="8"/>
  <c r="G193" i="8"/>
  <c r="O191" i="8"/>
  <c r="L190" i="8"/>
  <c r="O185" i="8"/>
  <c r="L184" i="8"/>
  <c r="Q236" i="6"/>
  <c r="J200" i="8"/>
  <c r="J185" i="8"/>
  <c r="Q234" i="6"/>
  <c r="M193" i="8"/>
  <c r="G191" i="8"/>
  <c r="J186" i="8"/>
  <c r="E196" i="8"/>
  <c r="F165" i="9"/>
  <c r="I219" i="9"/>
  <c r="I155" i="9" s="1"/>
  <c r="G219" i="9"/>
  <c r="G155" i="9" s="1"/>
  <c r="F219" i="9"/>
  <c r="F155" i="9" s="1"/>
  <c r="E154" i="9"/>
  <c r="G158" i="9"/>
  <c r="I221" i="9"/>
  <c r="I157" i="9" s="1"/>
  <c r="J221" i="9"/>
  <c r="J157" i="9" s="1"/>
  <c r="E205" i="9"/>
  <c r="E141" i="9" s="1"/>
  <c r="F210" i="9"/>
  <c r="F146" i="9" s="1"/>
  <c r="F228" i="9"/>
  <c r="F164" i="9" s="1"/>
  <c r="F223" i="9"/>
  <c r="F159" i="9" s="1"/>
  <c r="I140" i="9"/>
  <c r="I230" i="9"/>
  <c r="I166" i="9" s="1"/>
  <c r="I229" i="9"/>
  <c r="I165" i="9" s="1"/>
  <c r="J210" i="9"/>
  <c r="J146" i="9" s="1"/>
  <c r="I210" i="9"/>
  <c r="I146" i="9" s="1"/>
  <c r="D210" i="9"/>
  <c r="D224" i="9"/>
  <c r="H219" i="9"/>
  <c r="H155" i="9" s="1"/>
  <c r="I205" i="9"/>
  <c r="I141" i="9" s="1"/>
  <c r="G205" i="9"/>
  <c r="G141" i="9" s="1"/>
  <c r="I154" i="9"/>
  <c r="H140" i="9"/>
  <c r="H205" i="9"/>
  <c r="H141" i="9" s="1"/>
  <c r="D205" i="9"/>
  <c r="J206" i="9"/>
  <c r="J142" i="9" s="1"/>
  <c r="K206" i="9"/>
  <c r="K142" i="9" s="1"/>
  <c r="G220" i="9"/>
  <c r="G156" i="9" s="1"/>
  <c r="E220" i="9"/>
  <c r="E156" i="9" s="1"/>
  <c r="E209" i="9"/>
  <c r="E145" i="9" s="1"/>
  <c r="P220" i="9"/>
  <c r="P156" i="9" s="1"/>
  <c r="E229" i="9"/>
  <c r="E165" i="9" s="1"/>
  <c r="E159" i="9"/>
  <c r="J220" i="9"/>
  <c r="J156" i="9" s="1"/>
  <c r="F220" i="9"/>
  <c r="F156" i="9" s="1"/>
  <c r="F209" i="9"/>
  <c r="F145" i="9" s="1"/>
  <c r="J229" i="9"/>
  <c r="J165" i="9" s="1"/>
  <c r="J223" i="9"/>
  <c r="J159" i="9" s="1"/>
  <c r="J230" i="9"/>
  <c r="J166" i="9" s="1"/>
  <c r="I211" i="9"/>
  <c r="I147" i="9" s="1"/>
  <c r="H211" i="9"/>
  <c r="H147" i="9" s="1"/>
  <c r="D211" i="9"/>
  <c r="G225" i="9"/>
  <c r="G161" i="9" s="1"/>
  <c r="K225" i="9"/>
  <c r="K161" i="9" s="1"/>
  <c r="P225" i="9"/>
  <c r="P161" i="9" s="1"/>
  <c r="H225" i="9"/>
  <c r="H161" i="9" s="1"/>
  <c r="J218" i="9"/>
  <c r="J154" i="9" s="1"/>
  <c r="E230" i="9"/>
  <c r="E166" i="9" s="1"/>
  <c r="P165" i="9"/>
  <c r="N212" i="9"/>
  <c r="N148" i="9" s="1"/>
  <c r="F212" i="9"/>
  <c r="F148" i="9" s="1"/>
  <c r="D212" i="9"/>
  <c r="K207" i="9"/>
  <c r="K143" i="9" s="1"/>
  <c r="K216" i="9"/>
  <c r="K152" i="9" s="1"/>
  <c r="I206" i="9"/>
  <c r="F199" i="9"/>
  <c r="J199" i="9"/>
  <c r="P199" i="9"/>
  <c r="H206" i="9"/>
  <c r="H142" i="9" s="1"/>
  <c r="M216" i="9"/>
  <c r="M152" i="9" s="1"/>
  <c r="K223" i="9"/>
  <c r="K159" i="9" s="1"/>
  <c r="K212" i="9"/>
  <c r="K148" i="9" s="1"/>
  <c r="G206" i="9"/>
  <c r="G142" i="9" s="1"/>
  <c r="N229" i="9"/>
  <c r="N165" i="9" s="1"/>
  <c r="K199" i="9"/>
  <c r="N226" i="9"/>
  <c r="N162" i="9" s="1"/>
  <c r="K226" i="9"/>
  <c r="K162" i="9" s="1"/>
  <c r="O159" i="9"/>
  <c r="K157" i="9"/>
  <c r="E199" i="9"/>
  <c r="H199" i="9"/>
  <c r="D207" i="9"/>
  <c r="K211" i="9"/>
  <c r="K147" i="9" s="1"/>
  <c r="F205" i="9"/>
  <c r="F141" i="9" s="1"/>
  <c r="O144" i="9"/>
  <c r="E219" i="9"/>
  <c r="E155" i="9" s="1"/>
  <c r="J211" i="9"/>
  <c r="J147" i="9" s="1"/>
  <c r="G199" i="9"/>
  <c r="I199" i="9"/>
  <c r="O199" i="9"/>
  <c r="P210" i="9"/>
  <c r="P146" i="9" s="1"/>
  <c r="F218" i="9"/>
  <c r="F154" i="9" s="1"/>
  <c r="P218" i="9"/>
  <c r="P154" i="9" s="1"/>
  <c r="H229" i="9"/>
  <c r="H165" i="9" s="1"/>
  <c r="F208" i="9"/>
  <c r="F144" i="9" s="1"/>
  <c r="F222" i="9"/>
  <c r="F158" i="9" s="1"/>
  <c r="G217" i="9"/>
  <c r="G153" i="9" s="1"/>
  <c r="G209" i="9"/>
  <c r="G145" i="9" s="1"/>
  <c r="G223" i="9"/>
  <c r="G159" i="9" s="1"/>
  <c r="K209" i="9"/>
  <c r="K145" i="9" s="1"/>
  <c r="G140" i="9"/>
  <c r="L207" i="9"/>
  <c r="L143" i="9" s="1"/>
  <c r="M227" i="9"/>
  <c r="M163" i="9" s="1"/>
  <c r="E208" i="9"/>
  <c r="E144" i="9" s="1"/>
  <c r="P223" i="9"/>
  <c r="P159" i="9" s="1"/>
  <c r="H208" i="9"/>
  <c r="H144" i="9" s="1"/>
  <c r="F230" i="9"/>
  <c r="M204" i="9"/>
  <c r="M140" i="9" s="1"/>
  <c r="M218" i="9"/>
  <c r="M154" i="9" s="1"/>
  <c r="H214" i="9"/>
  <c r="H150" i="9" s="1"/>
  <c r="I214" i="9"/>
  <c r="I150" i="9" s="1"/>
  <c r="J214" i="9"/>
  <c r="J150" i="9" s="1"/>
  <c r="M214" i="9"/>
  <c r="M150" i="9" s="1"/>
  <c r="N214" i="9"/>
  <c r="N150" i="9" s="1"/>
  <c r="O214" i="9"/>
  <c r="O150" i="9" s="1"/>
  <c r="P214" i="9"/>
  <c r="P150" i="9" s="1"/>
  <c r="H228" i="9"/>
  <c r="H164" i="9" s="1"/>
  <c r="I228" i="9"/>
  <c r="I164" i="9" s="1"/>
  <c r="J228" i="9"/>
  <c r="J164" i="9" s="1"/>
  <c r="M228" i="9"/>
  <c r="M164" i="9" s="1"/>
  <c r="N228" i="9"/>
  <c r="N164" i="9" s="1"/>
  <c r="O228" i="9"/>
  <c r="O164" i="9" s="1"/>
  <c r="D228" i="9"/>
  <c r="P227" i="9"/>
  <c r="P163" i="9" s="1"/>
  <c r="L225" i="9"/>
  <c r="L161" i="9" s="1"/>
  <c r="E213" i="9"/>
  <c r="E149" i="9" s="1"/>
  <c r="N210" i="9"/>
  <c r="N146" i="9" s="1"/>
  <c r="H227" i="9"/>
  <c r="H163" i="9" s="1"/>
  <c r="N215" i="9"/>
  <c r="N151" i="9" s="1"/>
  <c r="M210" i="9"/>
  <c r="M146" i="9" s="1"/>
  <c r="L206" i="9"/>
  <c r="L142" i="9" s="1"/>
  <c r="M206" i="9"/>
  <c r="M142" i="9" s="1"/>
  <c r="N206" i="9"/>
  <c r="N142" i="9" s="1"/>
  <c r="D206" i="9"/>
  <c r="F206" i="9"/>
  <c r="F142" i="9" s="1"/>
  <c r="L220" i="9"/>
  <c r="L156" i="9" s="1"/>
  <c r="M220" i="9"/>
  <c r="M156" i="9" s="1"/>
  <c r="N220" i="9"/>
  <c r="N156" i="9" s="1"/>
  <c r="D220" i="9"/>
  <c r="E207" i="9"/>
  <c r="E143" i="9" s="1"/>
  <c r="O226" i="9"/>
  <c r="O162" i="9" s="1"/>
  <c r="M222" i="9"/>
  <c r="M158" i="9" s="1"/>
  <c r="I220" i="9"/>
  <c r="I156" i="9" s="1"/>
  <c r="J215" i="9"/>
  <c r="J151" i="9" s="1"/>
  <c r="O212" i="9"/>
  <c r="O148" i="9" s="1"/>
  <c r="N207" i="9"/>
  <c r="N143" i="9" s="1"/>
  <c r="L199" i="9"/>
  <c r="O207" i="9"/>
  <c r="O143" i="9" s="1"/>
  <c r="P207" i="9"/>
  <c r="P143" i="9" s="1"/>
  <c r="F207" i="9"/>
  <c r="F143" i="9" s="1"/>
  <c r="G207" i="9"/>
  <c r="G143" i="9" s="1"/>
  <c r="H207" i="9"/>
  <c r="H143" i="9" s="1"/>
  <c r="I207" i="9"/>
  <c r="I143" i="9" s="1"/>
  <c r="O221" i="9"/>
  <c r="O157" i="9" s="1"/>
  <c r="P221" i="9"/>
  <c r="P157" i="9" s="1"/>
  <c r="F221" i="9"/>
  <c r="F157" i="9" s="1"/>
  <c r="G221" i="9"/>
  <c r="G157" i="9" s="1"/>
  <c r="H221" i="9"/>
  <c r="H157" i="9" s="1"/>
  <c r="E206" i="9"/>
  <c r="E142" i="9" s="1"/>
  <c r="L222" i="9"/>
  <c r="L158" i="9" s="1"/>
  <c r="H220" i="9"/>
  <c r="H156" i="9" s="1"/>
  <c r="O217" i="9"/>
  <c r="O153" i="9" s="1"/>
  <c r="I215" i="9"/>
  <c r="I151" i="9" s="1"/>
  <c r="M207" i="9"/>
  <c r="M143" i="9" s="1"/>
  <c r="N222" i="9"/>
  <c r="N158" i="9" s="1"/>
  <c r="L205" i="9"/>
  <c r="L141" i="9" s="1"/>
  <c r="M199" i="9"/>
  <c r="E228" i="9"/>
  <c r="E164" i="9" s="1"/>
  <c r="M226" i="9"/>
  <c r="M162" i="9" s="1"/>
  <c r="N217" i="9"/>
  <c r="N153" i="9" s="1"/>
  <c r="M212" i="9"/>
  <c r="M148" i="9" s="1"/>
  <c r="L210" i="9"/>
  <c r="L146" i="9" s="1"/>
  <c r="L208" i="9"/>
  <c r="L144" i="9" s="1"/>
  <c r="D213" i="9"/>
  <c r="F213" i="9"/>
  <c r="F149" i="9" s="1"/>
  <c r="G213" i="9"/>
  <c r="G149" i="9" s="1"/>
  <c r="J213" i="9"/>
  <c r="J149" i="9" s="1"/>
  <c r="L216" i="9"/>
  <c r="L152" i="9" s="1"/>
  <c r="F214" i="9"/>
  <c r="F150" i="9" s="1"/>
  <c r="F227" i="9"/>
  <c r="F163" i="9" s="1"/>
  <c r="G227" i="9"/>
  <c r="G163" i="9" s="1"/>
  <c r="J227" i="9"/>
  <c r="J163" i="9" s="1"/>
  <c r="K227" i="9"/>
  <c r="K163" i="9" s="1"/>
  <c r="L227" i="9"/>
  <c r="L163" i="9" s="1"/>
  <c r="K215" i="9"/>
  <c r="K151" i="9" s="1"/>
  <c r="L215" i="9"/>
  <c r="L151" i="9" s="1"/>
  <c r="M215" i="9"/>
  <c r="M151" i="9" s="1"/>
  <c r="P215" i="9"/>
  <c r="P151" i="9" s="1"/>
  <c r="E215" i="9"/>
  <c r="E151" i="9" s="1"/>
  <c r="O205" i="9"/>
  <c r="O141" i="9" s="1"/>
  <c r="O219" i="9"/>
  <c r="O155" i="9" s="1"/>
  <c r="O209" i="9"/>
  <c r="O145" i="9" s="1"/>
  <c r="N216" i="9"/>
  <c r="N152" i="9" s="1"/>
  <c r="O216" i="9"/>
  <c r="O152" i="9" s="1"/>
  <c r="P216" i="9"/>
  <c r="P152" i="9" s="1"/>
  <c r="F216" i="9"/>
  <c r="F152" i="9" s="1"/>
  <c r="E216" i="9"/>
  <c r="E152" i="9" s="1"/>
  <c r="G216" i="9"/>
  <c r="G152" i="9" s="1"/>
  <c r="H216" i="9"/>
  <c r="H152" i="9" s="1"/>
  <c r="N227" i="9"/>
  <c r="N163" i="9" s="1"/>
  <c r="M208" i="9"/>
  <c r="M144" i="9" s="1"/>
  <c r="L228" i="9"/>
  <c r="L164" i="9" s="1"/>
  <c r="J205" i="9"/>
  <c r="J141" i="9" s="1"/>
  <c r="J219" i="9"/>
  <c r="J155" i="9" s="1"/>
  <c r="M211" i="9"/>
  <c r="M147" i="9" s="1"/>
  <c r="N211" i="9"/>
  <c r="N147" i="9" s="1"/>
  <c r="E211" i="9"/>
  <c r="E147" i="9" s="1"/>
  <c r="O211" i="9"/>
  <c r="O147" i="9" s="1"/>
  <c r="F211" i="9"/>
  <c r="F147" i="9" s="1"/>
  <c r="G211" i="9"/>
  <c r="G147" i="9" s="1"/>
  <c r="M225" i="9"/>
  <c r="M161" i="9" s="1"/>
  <c r="N225" i="9"/>
  <c r="N161" i="9" s="1"/>
  <c r="E225" i="9"/>
  <c r="E161" i="9" s="1"/>
  <c r="O225" i="9"/>
  <c r="O161" i="9" s="1"/>
  <c r="D225" i="9"/>
  <c r="F225" i="9"/>
  <c r="F161" i="9" s="1"/>
  <c r="E222" i="9"/>
  <c r="E158" i="9" s="1"/>
  <c r="K228" i="9"/>
  <c r="K164" i="9" s="1"/>
  <c r="J226" i="9"/>
  <c r="J162" i="9" s="1"/>
  <c r="M221" i="9"/>
  <c r="M157" i="9" s="1"/>
  <c r="L219" i="9"/>
  <c r="L155" i="9" s="1"/>
  <c r="L214" i="9"/>
  <c r="L150" i="9" s="1"/>
  <c r="P206" i="9"/>
  <c r="P142" i="9" s="1"/>
  <c r="J204" i="9"/>
  <c r="L211" i="9"/>
  <c r="L147" i="9" s="1"/>
  <c r="O227" i="9"/>
  <c r="O163" i="9" s="1"/>
  <c r="E214" i="9"/>
  <c r="E150" i="9" s="1"/>
  <c r="O218" i="9"/>
  <c r="O154" i="9" s="1"/>
  <c r="J216" i="9"/>
  <c r="J152" i="9" s="1"/>
  <c r="N208" i="9"/>
  <c r="N144" i="9" s="1"/>
  <c r="O220" i="9"/>
  <c r="O156" i="9" s="1"/>
  <c r="N218" i="9"/>
  <c r="N154" i="9" s="1"/>
  <c r="I216" i="9"/>
  <c r="I152" i="9" s="1"/>
  <c r="I227" i="9"/>
  <c r="I163" i="9" s="1"/>
  <c r="O215" i="9"/>
  <c r="O151" i="9" s="1"/>
  <c r="M205" i="9"/>
  <c r="M141" i="9" s="1"/>
  <c r="N199" i="9"/>
  <c r="E227" i="9"/>
  <c r="E163" i="9" s="1"/>
  <c r="P228" i="9"/>
  <c r="P164" i="9" s="1"/>
  <c r="L226" i="9"/>
  <c r="L162" i="9" s="1"/>
  <c r="M217" i="9"/>
  <c r="M153" i="9" s="1"/>
  <c r="G215" i="9"/>
  <c r="G151" i="9" s="1"/>
  <c r="L212" i="9"/>
  <c r="L148" i="9" s="1"/>
  <c r="N221" i="9"/>
  <c r="N157" i="9" s="1"/>
  <c r="M219" i="9"/>
  <c r="M155" i="9" s="1"/>
  <c r="L217" i="9"/>
  <c r="L153" i="9" s="1"/>
  <c r="F215" i="9"/>
  <c r="F151" i="9" s="1"/>
  <c r="O204" i="9"/>
  <c r="K210" i="9"/>
  <c r="K146" i="9" s="1"/>
  <c r="K205" i="9"/>
  <c r="K141" i="9" s="1"/>
  <c r="K219" i="9"/>
  <c r="K155" i="9" s="1"/>
  <c r="K217" i="9"/>
  <c r="K153" i="9" s="1"/>
  <c r="P212" i="9"/>
  <c r="P148" i="9" s="1"/>
  <c r="E212" i="9"/>
  <c r="E148" i="9" s="1"/>
  <c r="G212" i="9"/>
  <c r="G148" i="9" s="1"/>
  <c r="H212" i="9"/>
  <c r="H148" i="9" s="1"/>
  <c r="I212" i="9"/>
  <c r="I148" i="9" s="1"/>
  <c r="J212" i="9"/>
  <c r="J148" i="9" s="1"/>
  <c r="P226" i="9"/>
  <c r="P162" i="9" s="1"/>
  <c r="E226" i="9"/>
  <c r="E162" i="9" s="1"/>
  <c r="G226" i="9"/>
  <c r="G162" i="9" s="1"/>
  <c r="H226" i="9"/>
  <c r="H162" i="9" s="1"/>
  <c r="D226" i="9"/>
  <c r="I226" i="9"/>
  <c r="I162" i="9" s="1"/>
  <c r="E221" i="9"/>
  <c r="E157" i="9" s="1"/>
  <c r="G228" i="9"/>
  <c r="G164" i="9" s="1"/>
  <c r="F226" i="9"/>
  <c r="F162" i="9" s="1"/>
  <c r="L221" i="9"/>
  <c r="L157" i="9" s="1"/>
  <c r="K214" i="9"/>
  <c r="K150" i="9" s="1"/>
  <c r="P211" i="9"/>
  <c r="P147" i="9" s="1"/>
  <c r="J209" i="9"/>
  <c r="J145" i="9" s="1"/>
  <c r="O206" i="9"/>
  <c r="O142" i="9" s="1"/>
  <c r="E217" i="9"/>
  <c r="E153" i="9" s="1"/>
  <c r="N223" i="9"/>
  <c r="N159" i="9" s="1"/>
  <c r="K222" i="9"/>
  <c r="K158" i="9" s="1"/>
  <c r="P219" i="9"/>
  <c r="P155" i="9" s="1"/>
  <c r="J217" i="9"/>
  <c r="J153" i="9" s="1"/>
  <c r="N209" i="9"/>
  <c r="N145" i="9" s="1"/>
  <c r="K208" i="9"/>
  <c r="K144" i="9" s="1"/>
  <c r="P205" i="9"/>
  <c r="P141" i="9" s="1"/>
  <c r="P224" i="9"/>
  <c r="P160" i="9" s="1"/>
  <c r="M223" i="9"/>
  <c r="M159" i="9" s="1"/>
  <c r="J222" i="9"/>
  <c r="J158" i="9" s="1"/>
  <c r="L218" i="9"/>
  <c r="L154" i="9" s="1"/>
  <c r="I217" i="9"/>
  <c r="I153" i="9" s="1"/>
  <c r="M209" i="9"/>
  <c r="M145" i="9" s="1"/>
  <c r="J208" i="9"/>
  <c r="J144" i="9" s="1"/>
  <c r="L204" i="9"/>
  <c r="L140" i="9" s="1"/>
  <c r="E204" i="9"/>
  <c r="E140" i="9" s="1"/>
  <c r="L223" i="9"/>
  <c r="L159" i="9" s="1"/>
  <c r="I222" i="9"/>
  <c r="I158" i="9" s="1"/>
  <c r="N219" i="9"/>
  <c r="N155" i="9" s="1"/>
  <c r="K218" i="9"/>
  <c r="K154" i="9" s="1"/>
  <c r="H217" i="9"/>
  <c r="H153" i="9" s="1"/>
  <c r="O210" i="9"/>
  <c r="O146" i="9" s="1"/>
  <c r="L209" i="9"/>
  <c r="L145" i="9" s="1"/>
  <c r="I208" i="9"/>
  <c r="I144" i="9" s="1"/>
  <c r="N205" i="9"/>
  <c r="K204" i="9"/>
  <c r="I223" i="9"/>
  <c r="I159" i="9" s="1"/>
  <c r="H218" i="9"/>
  <c r="H154" i="9" s="1"/>
  <c r="I209" i="9"/>
  <c r="I145" i="9" s="1"/>
  <c r="H223" i="9"/>
  <c r="H159" i="9" s="1"/>
  <c r="G218" i="9"/>
  <c r="G154" i="9" s="1"/>
  <c r="H209" i="9"/>
  <c r="H145" i="9" s="1"/>
  <c r="E224" i="9"/>
  <c r="E160" i="9" s="1"/>
  <c r="E210" i="9"/>
  <c r="E146" i="9" s="1"/>
  <c r="F204" i="9"/>
  <c r="Q198" i="9"/>
  <c r="Q197" i="9"/>
  <c r="Q193" i="9"/>
  <c r="Q177" i="9"/>
  <c r="Q182" i="9"/>
  <c r="Q191" i="9"/>
  <c r="Q185" i="9"/>
  <c r="Q176" i="9"/>
  <c r="Q179" i="9"/>
  <c r="Q178" i="9"/>
  <c r="Q174" i="9"/>
  <c r="Q192" i="9"/>
  <c r="Q175" i="9"/>
  <c r="Q172" i="9"/>
  <c r="Q173" i="9"/>
  <c r="Q183" i="9"/>
  <c r="Q184" i="9"/>
  <c r="Q181" i="9"/>
  <c r="Q194" i="9"/>
  <c r="Q180" i="9"/>
  <c r="Q190" i="9"/>
  <c r="Q188" i="9"/>
  <c r="Q187" i="9"/>
  <c r="Q196" i="9"/>
  <c r="Q189" i="9"/>
  <c r="Q186" i="9"/>
  <c r="Q195" i="9"/>
  <c r="Q178" i="8"/>
  <c r="F179" i="8"/>
  <c r="Q167" i="8"/>
  <c r="Q166" i="8"/>
  <c r="E179" i="8"/>
  <c r="Q165" i="8"/>
  <c r="Q177" i="8"/>
  <c r="J179" i="8"/>
  <c r="Q176" i="8"/>
  <c r="Q164" i="8"/>
  <c r="Q163" i="8"/>
  <c r="K179" i="8"/>
  <c r="L179" i="8"/>
  <c r="M179" i="8"/>
  <c r="Q171" i="8"/>
  <c r="N179" i="8"/>
  <c r="Q170" i="8"/>
  <c r="Q169" i="8"/>
  <c r="Q168" i="8"/>
  <c r="Q175" i="8"/>
  <c r="O179" i="8"/>
  <c r="Q173" i="8"/>
  <c r="Q172" i="8"/>
  <c r="G179" i="8"/>
  <c r="Q162" i="8"/>
  <c r="Q174" i="8"/>
  <c r="P179" i="8"/>
  <c r="K150" i="8"/>
  <c r="H179" i="8"/>
  <c r="I179" i="8"/>
  <c r="G193" i="22"/>
  <c r="G190" i="22"/>
  <c r="G186" i="22"/>
  <c r="G178" i="22"/>
  <c r="G170" i="22"/>
  <c r="L215" i="22"/>
  <c r="L216" i="22"/>
  <c r="G221" i="22"/>
  <c r="M223" i="22"/>
  <c r="H33" i="41"/>
  <c r="E171" i="22"/>
  <c r="F171" i="22"/>
  <c r="G171" i="22"/>
  <c r="H171" i="22"/>
  <c r="I171" i="22"/>
  <c r="J171" i="22"/>
  <c r="K171" i="22"/>
  <c r="L171" i="22"/>
  <c r="M171" i="22"/>
  <c r="N171" i="22"/>
  <c r="O171" i="22"/>
  <c r="P171" i="22"/>
  <c r="E172" i="22"/>
  <c r="F172" i="22"/>
  <c r="G172" i="22"/>
  <c r="H172" i="22"/>
  <c r="I172" i="22"/>
  <c r="J172" i="22"/>
  <c r="K172" i="22"/>
  <c r="L172" i="22"/>
  <c r="M172" i="22"/>
  <c r="N172" i="22"/>
  <c r="O172" i="22"/>
  <c r="P172" i="22"/>
  <c r="E173" i="22"/>
  <c r="F173" i="22"/>
  <c r="G173" i="22"/>
  <c r="H173" i="22"/>
  <c r="I173" i="22"/>
  <c r="J173" i="22"/>
  <c r="K173" i="22"/>
  <c r="L173" i="22"/>
  <c r="M173" i="22"/>
  <c r="N173" i="22"/>
  <c r="O173" i="22"/>
  <c r="P173" i="22"/>
  <c r="E174" i="22"/>
  <c r="F174" i="22"/>
  <c r="G174" i="22"/>
  <c r="H174" i="22"/>
  <c r="I174" i="22"/>
  <c r="J174" i="22"/>
  <c r="K174" i="22"/>
  <c r="L174" i="22"/>
  <c r="M174" i="22"/>
  <c r="N174" i="22"/>
  <c r="O174" i="22"/>
  <c r="P174" i="22"/>
  <c r="E175" i="22"/>
  <c r="F175" i="22"/>
  <c r="G175" i="22"/>
  <c r="H175" i="22"/>
  <c r="I175" i="22"/>
  <c r="J175" i="22"/>
  <c r="K175" i="22"/>
  <c r="L175" i="22"/>
  <c r="M175" i="22"/>
  <c r="N175" i="22"/>
  <c r="O175" i="22"/>
  <c r="P175" i="22"/>
  <c r="E176" i="22"/>
  <c r="F176" i="22"/>
  <c r="G176" i="22"/>
  <c r="H176" i="22"/>
  <c r="I176" i="22"/>
  <c r="J176" i="22"/>
  <c r="K176" i="22"/>
  <c r="L176" i="22"/>
  <c r="M176" i="22"/>
  <c r="N176" i="22"/>
  <c r="O176" i="22"/>
  <c r="P176" i="22"/>
  <c r="E177" i="22"/>
  <c r="F177" i="22"/>
  <c r="G177" i="22"/>
  <c r="H177" i="22"/>
  <c r="I177" i="22"/>
  <c r="J177" i="22"/>
  <c r="K177" i="22"/>
  <c r="L177" i="22"/>
  <c r="M177" i="22"/>
  <c r="N177" i="22"/>
  <c r="O177" i="22"/>
  <c r="P177" i="22"/>
  <c r="E178" i="22"/>
  <c r="F178" i="22"/>
  <c r="H178" i="22"/>
  <c r="I178" i="22"/>
  <c r="J178" i="22"/>
  <c r="K178" i="22"/>
  <c r="L178" i="22"/>
  <c r="M178" i="22"/>
  <c r="N178" i="22"/>
  <c r="O178" i="22"/>
  <c r="P178" i="22"/>
  <c r="E179" i="22"/>
  <c r="F179" i="22"/>
  <c r="G179" i="22"/>
  <c r="H179" i="22"/>
  <c r="I179" i="22"/>
  <c r="J179" i="22"/>
  <c r="K179" i="22"/>
  <c r="L179" i="22"/>
  <c r="M179" i="22"/>
  <c r="N179" i="22"/>
  <c r="O179" i="22"/>
  <c r="P179" i="22"/>
  <c r="E180" i="22"/>
  <c r="F180" i="22"/>
  <c r="G180" i="22"/>
  <c r="H180" i="22"/>
  <c r="I180" i="22"/>
  <c r="J180" i="22"/>
  <c r="K180" i="22"/>
  <c r="L180" i="22"/>
  <c r="M180" i="22"/>
  <c r="N180" i="22"/>
  <c r="O180" i="22"/>
  <c r="P180" i="22"/>
  <c r="E181" i="22"/>
  <c r="F181" i="22"/>
  <c r="G181" i="22"/>
  <c r="H181" i="22"/>
  <c r="I181" i="22"/>
  <c r="J181" i="22"/>
  <c r="K181" i="22"/>
  <c r="L181" i="22"/>
  <c r="M181" i="22"/>
  <c r="N181" i="22"/>
  <c r="O181" i="22"/>
  <c r="P181" i="22"/>
  <c r="E182" i="22"/>
  <c r="F182" i="22"/>
  <c r="G182" i="22"/>
  <c r="H182" i="22"/>
  <c r="I182" i="22"/>
  <c r="J182" i="22"/>
  <c r="K182" i="22"/>
  <c r="L182" i="22"/>
  <c r="M182" i="22"/>
  <c r="N182" i="22"/>
  <c r="O182" i="22"/>
  <c r="P182" i="22"/>
  <c r="E183" i="22"/>
  <c r="F183" i="22"/>
  <c r="G183" i="22"/>
  <c r="H183" i="22"/>
  <c r="I183" i="22"/>
  <c r="J183" i="22"/>
  <c r="K183" i="22"/>
  <c r="L183" i="22"/>
  <c r="M183" i="22"/>
  <c r="N183" i="22"/>
  <c r="O183" i="22"/>
  <c r="P183" i="22"/>
  <c r="E184" i="22"/>
  <c r="F184" i="22"/>
  <c r="G184" i="22"/>
  <c r="H184" i="22"/>
  <c r="I184" i="22"/>
  <c r="J184" i="22"/>
  <c r="K184" i="22"/>
  <c r="L184" i="22"/>
  <c r="M184" i="22"/>
  <c r="N184" i="22"/>
  <c r="O184" i="22"/>
  <c r="P184" i="22"/>
  <c r="E185" i="22"/>
  <c r="F185" i="22"/>
  <c r="G185" i="22"/>
  <c r="H185" i="22"/>
  <c r="I185" i="22"/>
  <c r="J185" i="22"/>
  <c r="K185" i="22"/>
  <c r="L185" i="22"/>
  <c r="M185" i="22"/>
  <c r="N185" i="22"/>
  <c r="O185" i="22"/>
  <c r="P185" i="22"/>
  <c r="E186" i="22"/>
  <c r="F186" i="22"/>
  <c r="H186" i="22"/>
  <c r="I186" i="22"/>
  <c r="J186" i="22"/>
  <c r="K186" i="22"/>
  <c r="L186" i="22"/>
  <c r="M186" i="22"/>
  <c r="N186" i="22"/>
  <c r="O186" i="22"/>
  <c r="P186" i="22"/>
  <c r="E187" i="22"/>
  <c r="F187" i="22"/>
  <c r="G187" i="22"/>
  <c r="H187" i="22"/>
  <c r="I187" i="22"/>
  <c r="J187" i="22"/>
  <c r="K187" i="22"/>
  <c r="L187" i="22"/>
  <c r="M187" i="22"/>
  <c r="N187" i="22"/>
  <c r="O187" i="22"/>
  <c r="P187" i="22"/>
  <c r="E188" i="22"/>
  <c r="F188" i="22"/>
  <c r="G188" i="22"/>
  <c r="H188" i="22"/>
  <c r="I188" i="22"/>
  <c r="J188" i="22"/>
  <c r="K188" i="22"/>
  <c r="L188" i="22"/>
  <c r="M188" i="22"/>
  <c r="N188" i="22"/>
  <c r="O188" i="22"/>
  <c r="P188" i="22"/>
  <c r="E189" i="22"/>
  <c r="F189" i="22"/>
  <c r="G189" i="22"/>
  <c r="H189" i="22"/>
  <c r="I189" i="22"/>
  <c r="J189" i="22"/>
  <c r="K189" i="22"/>
  <c r="L189" i="22"/>
  <c r="M189" i="22"/>
  <c r="N189" i="22"/>
  <c r="O189" i="22"/>
  <c r="P189" i="22"/>
  <c r="E190" i="22"/>
  <c r="F190" i="22"/>
  <c r="H190" i="22"/>
  <c r="I190" i="22"/>
  <c r="J190" i="22"/>
  <c r="K190" i="22"/>
  <c r="L190" i="22"/>
  <c r="M190" i="22"/>
  <c r="N190" i="22"/>
  <c r="O190" i="22"/>
  <c r="P190" i="22"/>
  <c r="E191" i="22"/>
  <c r="F191" i="22"/>
  <c r="G191" i="22"/>
  <c r="H191" i="22"/>
  <c r="I191" i="22"/>
  <c r="J191" i="22"/>
  <c r="K191" i="22"/>
  <c r="L191" i="22"/>
  <c r="M191" i="22"/>
  <c r="N191" i="22"/>
  <c r="O191" i="22"/>
  <c r="P191" i="22"/>
  <c r="E192" i="22"/>
  <c r="F192" i="22"/>
  <c r="G192" i="22"/>
  <c r="H192" i="22"/>
  <c r="I192" i="22"/>
  <c r="J192" i="22"/>
  <c r="K192" i="22"/>
  <c r="L192" i="22"/>
  <c r="M192" i="22"/>
  <c r="N192" i="22"/>
  <c r="O192" i="22"/>
  <c r="P192" i="22"/>
  <c r="E193" i="22"/>
  <c r="F193" i="22"/>
  <c r="H193" i="22"/>
  <c r="I193" i="22"/>
  <c r="J193" i="22"/>
  <c r="K193" i="22"/>
  <c r="L193" i="22"/>
  <c r="M193" i="22"/>
  <c r="N193" i="22"/>
  <c r="O193" i="22"/>
  <c r="P193" i="22"/>
  <c r="E194" i="22"/>
  <c r="F194" i="22"/>
  <c r="H194" i="22"/>
  <c r="I194" i="22"/>
  <c r="J194" i="22"/>
  <c r="K194" i="22"/>
  <c r="L194" i="22"/>
  <c r="M194" i="22"/>
  <c r="N194" i="22"/>
  <c r="O194" i="22"/>
  <c r="P194" i="22"/>
  <c r="F170" i="22"/>
  <c r="H170" i="22"/>
  <c r="I170" i="22"/>
  <c r="J170" i="22"/>
  <c r="K170" i="22"/>
  <c r="L170" i="22"/>
  <c r="M170" i="22"/>
  <c r="N170" i="22"/>
  <c r="O170" i="22"/>
  <c r="P170" i="22"/>
  <c r="E170" i="22"/>
  <c r="D187" i="22"/>
  <c r="D157" i="22" s="1"/>
  <c r="D191" i="22"/>
  <c r="D161" i="22" s="1"/>
  <c r="D217" i="22"/>
  <c r="D183" i="22"/>
  <c r="D182" i="22"/>
  <c r="D181" i="22"/>
  <c r="D179" i="22"/>
  <c r="D178" i="22"/>
  <c r="D148" i="22" s="1"/>
  <c r="D177" i="22"/>
  <c r="D147" i="22" s="1"/>
  <c r="D176" i="22"/>
  <c r="D146" i="22" s="1"/>
  <c r="D174" i="22"/>
  <c r="D144" i="22" s="1"/>
  <c r="D172" i="22"/>
  <c r="D142" i="22" s="1"/>
  <c r="D170" i="22"/>
  <c r="B201" i="22"/>
  <c r="B202" i="22"/>
  <c r="B203" i="22"/>
  <c r="B204" i="22"/>
  <c r="B205" i="22"/>
  <c r="B206" i="22"/>
  <c r="B207" i="22"/>
  <c r="B208" i="22"/>
  <c r="G208" i="22" s="1"/>
  <c r="B209" i="22"/>
  <c r="B210" i="22"/>
  <c r="N210" i="22" s="1"/>
  <c r="B211" i="22"/>
  <c r="E211" i="22" s="1"/>
  <c r="B212" i="22"/>
  <c r="P212" i="22" s="1"/>
  <c r="B213" i="22"/>
  <c r="E213" i="22" s="1"/>
  <c r="E153" i="22" s="1"/>
  <c r="B214" i="22"/>
  <c r="B215" i="22"/>
  <c r="B216" i="22"/>
  <c r="B217" i="22"/>
  <c r="B218" i="22"/>
  <c r="B219" i="22"/>
  <c r="B220" i="22"/>
  <c r="B221" i="22"/>
  <c r="B222" i="22"/>
  <c r="B223" i="22"/>
  <c r="O223" i="22" s="1"/>
  <c r="B224" i="22"/>
  <c r="E224" i="22" s="1"/>
  <c r="B200" i="22"/>
  <c r="P199" i="22"/>
  <c r="O199" i="22"/>
  <c r="N199" i="22"/>
  <c r="M199" i="22"/>
  <c r="L199" i="22"/>
  <c r="K199" i="22"/>
  <c r="J199" i="22"/>
  <c r="I199" i="22"/>
  <c r="I202" i="22" s="1"/>
  <c r="H199" i="22"/>
  <c r="G199" i="22"/>
  <c r="F199" i="22"/>
  <c r="E199" i="22"/>
  <c r="B140" i="22"/>
  <c r="B138" i="22"/>
  <c r="H11" i="41"/>
  <c r="S9" i="41"/>
  <c r="E180" i="6"/>
  <c r="B181" i="6"/>
  <c r="E160" i="6"/>
  <c r="S155" i="41"/>
  <c r="S154" i="41"/>
  <c r="S153" i="41"/>
  <c r="S152" i="41"/>
  <c r="S151" i="41"/>
  <c r="S150" i="41"/>
  <c r="S149" i="41"/>
  <c r="S148" i="41"/>
  <c r="S147" i="41"/>
  <c r="S146" i="41"/>
  <c r="S145" i="41"/>
  <c r="S144" i="41"/>
  <c r="S143" i="41"/>
  <c r="S142" i="41"/>
  <c r="S141" i="41"/>
  <c r="H155" i="41"/>
  <c r="H154" i="41"/>
  <c r="H153" i="41"/>
  <c r="H152" i="41"/>
  <c r="H151" i="41"/>
  <c r="H150" i="41"/>
  <c r="H149" i="41"/>
  <c r="H148" i="41"/>
  <c r="H147" i="41"/>
  <c r="H146" i="41"/>
  <c r="H145" i="41"/>
  <c r="H144" i="41"/>
  <c r="H143" i="41"/>
  <c r="H142" i="41"/>
  <c r="H141" i="41"/>
  <c r="H133" i="41"/>
  <c r="H132" i="41"/>
  <c r="H131" i="41"/>
  <c r="H130" i="41"/>
  <c r="H129" i="41"/>
  <c r="H128" i="41"/>
  <c r="H127" i="41"/>
  <c r="H126" i="41"/>
  <c r="H125" i="41"/>
  <c r="H124" i="41"/>
  <c r="H123" i="41"/>
  <c r="H122" i="41"/>
  <c r="H121" i="41"/>
  <c r="H120" i="41"/>
  <c r="H119" i="41"/>
  <c r="S133" i="41"/>
  <c r="S132" i="41"/>
  <c r="S131" i="41"/>
  <c r="S130" i="41"/>
  <c r="S129" i="41"/>
  <c r="S128" i="41"/>
  <c r="S127" i="41"/>
  <c r="S126" i="41"/>
  <c r="S125" i="41"/>
  <c r="S124" i="41"/>
  <c r="S123" i="41"/>
  <c r="S122" i="41"/>
  <c r="S121" i="41"/>
  <c r="S120" i="41"/>
  <c r="S119" i="41"/>
  <c r="S111" i="41"/>
  <c r="S110" i="41"/>
  <c r="S109" i="41"/>
  <c r="S108" i="41"/>
  <c r="S107" i="41"/>
  <c r="S106" i="41"/>
  <c r="S105" i="41"/>
  <c r="S104" i="41"/>
  <c r="S103" i="41"/>
  <c r="S102" i="41"/>
  <c r="S101" i="41"/>
  <c r="S100" i="41"/>
  <c r="S99" i="41"/>
  <c r="S98" i="41"/>
  <c r="S97" i="41"/>
  <c r="H111" i="41"/>
  <c r="H110" i="41"/>
  <c r="H109" i="41"/>
  <c r="H108" i="41"/>
  <c r="H107" i="41"/>
  <c r="H106" i="41"/>
  <c r="H105" i="41"/>
  <c r="H104" i="41"/>
  <c r="H103" i="41"/>
  <c r="H102" i="41"/>
  <c r="H101" i="41"/>
  <c r="H100" i="41"/>
  <c r="H99" i="41"/>
  <c r="H98" i="41"/>
  <c r="H97" i="41"/>
  <c r="H89" i="41"/>
  <c r="H88" i="41"/>
  <c r="H87" i="41"/>
  <c r="H86" i="41"/>
  <c r="H85" i="41"/>
  <c r="H84" i="41"/>
  <c r="H83" i="41"/>
  <c r="H82" i="41"/>
  <c r="H81" i="41"/>
  <c r="O224" i="9" s="1"/>
  <c r="O160" i="9" s="1"/>
  <c r="H80" i="41"/>
  <c r="H79" i="41"/>
  <c r="H78" i="41"/>
  <c r="O213" i="9" s="1"/>
  <c r="O149" i="9" s="1"/>
  <c r="H77" i="41"/>
  <c r="H76" i="41"/>
  <c r="H75" i="41"/>
  <c r="S89" i="41"/>
  <c r="S88" i="41"/>
  <c r="S87" i="41"/>
  <c r="S86" i="41"/>
  <c r="S85" i="41"/>
  <c r="S84" i="41"/>
  <c r="S83" i="41"/>
  <c r="S82" i="41"/>
  <c r="S81" i="41"/>
  <c r="K230" i="9" s="1"/>
  <c r="K166" i="9" s="1"/>
  <c r="S80" i="41"/>
  <c r="S79" i="41"/>
  <c r="S78" i="41"/>
  <c r="S77" i="41"/>
  <c r="S76" i="41"/>
  <c r="S75" i="41"/>
  <c r="S67" i="41"/>
  <c r="S66" i="41"/>
  <c r="S65" i="41"/>
  <c r="S64" i="41"/>
  <c r="S63" i="41"/>
  <c r="S62" i="41"/>
  <c r="S61" i="41"/>
  <c r="S60" i="41"/>
  <c r="S59" i="41"/>
  <c r="S58" i="41"/>
  <c r="S57" i="41"/>
  <c r="S56" i="41"/>
  <c r="S55" i="41"/>
  <c r="S54" i="41"/>
  <c r="S53" i="41"/>
  <c r="H67" i="41"/>
  <c r="H66" i="41"/>
  <c r="H65" i="41"/>
  <c r="H64" i="41"/>
  <c r="H63" i="41"/>
  <c r="H62" i="41"/>
  <c r="H61" i="41"/>
  <c r="H60" i="41"/>
  <c r="H59" i="41"/>
  <c r="H58" i="41"/>
  <c r="H57" i="41"/>
  <c r="H55" i="41"/>
  <c r="H54" i="41"/>
  <c r="H53" i="41"/>
  <c r="H45" i="41"/>
  <c r="H44" i="41"/>
  <c r="H43" i="41"/>
  <c r="H42" i="41"/>
  <c r="H41" i="41"/>
  <c r="H40" i="41"/>
  <c r="H39" i="41"/>
  <c r="H36" i="41"/>
  <c r="H35" i="41"/>
  <c r="H34" i="41"/>
  <c r="H32" i="41"/>
  <c r="H31" i="41"/>
  <c r="S45" i="41"/>
  <c r="S44" i="41"/>
  <c r="S43" i="41"/>
  <c r="S42" i="41"/>
  <c r="S41" i="41"/>
  <c r="S40" i="41"/>
  <c r="S39" i="41"/>
  <c r="S38" i="41"/>
  <c r="S37" i="41"/>
  <c r="S36" i="41"/>
  <c r="S35" i="41"/>
  <c r="S34" i="41"/>
  <c r="S33" i="41"/>
  <c r="S32" i="41"/>
  <c r="S31" i="41"/>
  <c r="S23" i="41"/>
  <c r="S22" i="41"/>
  <c r="S21" i="41"/>
  <c r="S20" i="41"/>
  <c r="S19" i="41"/>
  <c r="S18" i="41"/>
  <c r="S17" i="41"/>
  <c r="S16" i="41"/>
  <c r="S15" i="41"/>
  <c r="S14" i="41"/>
  <c r="S13" i="41"/>
  <c r="S12" i="41"/>
  <c r="S11" i="41"/>
  <c r="S10" i="41"/>
  <c r="H10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9" i="41"/>
  <c r="F160" i="6"/>
  <c r="G160" i="6"/>
  <c r="H160" i="6"/>
  <c r="I160" i="6"/>
  <c r="J160" i="6"/>
  <c r="K160" i="6"/>
  <c r="L160" i="6"/>
  <c r="M160" i="6"/>
  <c r="N160" i="6"/>
  <c r="O160" i="6"/>
  <c r="P160" i="6"/>
  <c r="F161" i="6"/>
  <c r="G161" i="6"/>
  <c r="H161" i="6"/>
  <c r="I161" i="6"/>
  <c r="J161" i="6"/>
  <c r="K161" i="6"/>
  <c r="L161" i="6"/>
  <c r="M161" i="6"/>
  <c r="N161" i="6"/>
  <c r="O161" i="6"/>
  <c r="P161" i="6"/>
  <c r="F162" i="6"/>
  <c r="G162" i="6"/>
  <c r="H162" i="6"/>
  <c r="I162" i="6"/>
  <c r="J162" i="6"/>
  <c r="K162" i="6"/>
  <c r="L162" i="6"/>
  <c r="M162" i="6"/>
  <c r="N162" i="6"/>
  <c r="O162" i="6"/>
  <c r="P162" i="6"/>
  <c r="F163" i="6"/>
  <c r="G163" i="6"/>
  <c r="H163" i="6"/>
  <c r="I163" i="6"/>
  <c r="J163" i="6"/>
  <c r="K163" i="6"/>
  <c r="L163" i="6"/>
  <c r="M163" i="6"/>
  <c r="N163" i="6"/>
  <c r="O163" i="6"/>
  <c r="P163" i="6"/>
  <c r="F164" i="6"/>
  <c r="G164" i="6"/>
  <c r="H164" i="6"/>
  <c r="I164" i="6"/>
  <c r="J164" i="6"/>
  <c r="K164" i="6"/>
  <c r="L164" i="6"/>
  <c r="M164" i="6"/>
  <c r="N164" i="6"/>
  <c r="O164" i="6"/>
  <c r="P164" i="6"/>
  <c r="F165" i="6"/>
  <c r="G165" i="6"/>
  <c r="H165" i="6"/>
  <c r="I165" i="6"/>
  <c r="J165" i="6"/>
  <c r="K165" i="6"/>
  <c r="L165" i="6"/>
  <c r="M165" i="6"/>
  <c r="N165" i="6"/>
  <c r="O165" i="6"/>
  <c r="P165" i="6"/>
  <c r="F166" i="6"/>
  <c r="G166" i="6"/>
  <c r="H166" i="6"/>
  <c r="I166" i="6"/>
  <c r="J166" i="6"/>
  <c r="K166" i="6"/>
  <c r="L166" i="6"/>
  <c r="M166" i="6"/>
  <c r="N166" i="6"/>
  <c r="O166" i="6"/>
  <c r="P166" i="6"/>
  <c r="F167" i="6"/>
  <c r="G167" i="6"/>
  <c r="H167" i="6"/>
  <c r="I167" i="6"/>
  <c r="J167" i="6"/>
  <c r="K167" i="6"/>
  <c r="L167" i="6"/>
  <c r="M167" i="6"/>
  <c r="N167" i="6"/>
  <c r="O167" i="6"/>
  <c r="P167" i="6"/>
  <c r="F168" i="6"/>
  <c r="G168" i="6"/>
  <c r="H168" i="6"/>
  <c r="I168" i="6"/>
  <c r="J168" i="6"/>
  <c r="K168" i="6"/>
  <c r="L168" i="6"/>
  <c r="M168" i="6"/>
  <c r="N168" i="6"/>
  <c r="O168" i="6"/>
  <c r="P168" i="6"/>
  <c r="F169" i="6"/>
  <c r="G169" i="6"/>
  <c r="H169" i="6"/>
  <c r="I169" i="6"/>
  <c r="J169" i="6"/>
  <c r="K169" i="6"/>
  <c r="L169" i="6"/>
  <c r="M169" i="6"/>
  <c r="N169" i="6"/>
  <c r="O169" i="6"/>
  <c r="P169" i="6"/>
  <c r="F170" i="6"/>
  <c r="G170" i="6"/>
  <c r="H170" i="6"/>
  <c r="I170" i="6"/>
  <c r="J170" i="6"/>
  <c r="K170" i="6"/>
  <c r="L170" i="6"/>
  <c r="M170" i="6"/>
  <c r="N170" i="6"/>
  <c r="O170" i="6"/>
  <c r="P170" i="6"/>
  <c r="F171" i="6"/>
  <c r="G171" i="6"/>
  <c r="H171" i="6"/>
  <c r="I171" i="6"/>
  <c r="J171" i="6"/>
  <c r="K171" i="6"/>
  <c r="L171" i="6"/>
  <c r="M171" i="6"/>
  <c r="N171" i="6"/>
  <c r="O171" i="6"/>
  <c r="P171" i="6"/>
  <c r="F172" i="6"/>
  <c r="G172" i="6"/>
  <c r="H172" i="6"/>
  <c r="I172" i="6"/>
  <c r="J172" i="6"/>
  <c r="K172" i="6"/>
  <c r="L172" i="6"/>
  <c r="M172" i="6"/>
  <c r="N172" i="6"/>
  <c r="O172" i="6"/>
  <c r="P172" i="6"/>
  <c r="F173" i="6"/>
  <c r="G173" i="6"/>
  <c r="H173" i="6"/>
  <c r="I173" i="6"/>
  <c r="J173" i="6"/>
  <c r="K173" i="6"/>
  <c r="L173" i="6"/>
  <c r="M173" i="6"/>
  <c r="N173" i="6"/>
  <c r="O173" i="6"/>
  <c r="P173" i="6"/>
  <c r="F174" i="6"/>
  <c r="G174" i="6"/>
  <c r="H174" i="6"/>
  <c r="I174" i="6"/>
  <c r="J174" i="6"/>
  <c r="K174" i="6"/>
  <c r="L174" i="6"/>
  <c r="M174" i="6"/>
  <c r="N174" i="6"/>
  <c r="O174" i="6"/>
  <c r="P174" i="6"/>
  <c r="F175" i="6"/>
  <c r="G175" i="6"/>
  <c r="H175" i="6"/>
  <c r="I175" i="6"/>
  <c r="J175" i="6"/>
  <c r="K175" i="6"/>
  <c r="L175" i="6"/>
  <c r="M175" i="6"/>
  <c r="N175" i="6"/>
  <c r="O175" i="6"/>
  <c r="P175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S66" i="43"/>
  <c r="X66" i="43" s="1"/>
  <c r="R105" i="44"/>
  <c r="B146" i="6"/>
  <c r="B147" i="6"/>
  <c r="B188" i="6"/>
  <c r="B189" i="6"/>
  <c r="H213" i="9" l="1"/>
  <c r="H149" i="9" s="1"/>
  <c r="I213" i="9"/>
  <c r="I149" i="9" s="1"/>
  <c r="N213" i="9"/>
  <c r="N149" i="9" s="1"/>
  <c r="P213" i="9"/>
  <c r="P149" i="9" s="1"/>
  <c r="M213" i="9"/>
  <c r="M149" i="9" s="1"/>
  <c r="L213" i="9"/>
  <c r="L149" i="9" s="1"/>
  <c r="K213" i="9"/>
  <c r="K149" i="9" s="1"/>
  <c r="L211" i="22"/>
  <c r="N211" i="22"/>
  <c r="O210" i="22"/>
  <c r="E219" i="22"/>
  <c r="E159" i="22" s="1"/>
  <c r="I142" i="22"/>
  <c r="E205" i="22"/>
  <c r="E145" i="22" s="1"/>
  <c r="J215" i="22"/>
  <c r="J155" i="22" s="1"/>
  <c r="K211" i="22"/>
  <c r="K151" i="22" s="1"/>
  <c r="O217" i="22"/>
  <c r="O157" i="22" s="1"/>
  <c r="P203" i="22"/>
  <c r="O218" i="22"/>
  <c r="O158" i="22" s="1"/>
  <c r="M204" i="22"/>
  <c r="M144" i="22" s="1"/>
  <c r="L212" i="22"/>
  <c r="O216" i="22"/>
  <c r="O156" i="22" s="1"/>
  <c r="N202" i="22"/>
  <c r="P152" i="22"/>
  <c r="M209" i="22"/>
  <c r="M149" i="22" s="1"/>
  <c r="N213" i="22"/>
  <c r="N153" i="22" s="1"/>
  <c r="D200" i="22"/>
  <c r="E181" i="6"/>
  <c r="P230" i="9"/>
  <c r="P166" i="9" s="1"/>
  <c r="L230" i="9"/>
  <c r="L166" i="9" s="1"/>
  <c r="M230" i="9"/>
  <c r="M166" i="9" s="1"/>
  <c r="N230" i="9"/>
  <c r="N166" i="9" s="1"/>
  <c r="O230" i="9"/>
  <c r="O166" i="9" s="1"/>
  <c r="F224" i="9"/>
  <c r="F160" i="9" s="1"/>
  <c r="I224" i="9"/>
  <c r="I160" i="9" s="1"/>
  <c r="L224" i="9"/>
  <c r="L160" i="9" s="1"/>
  <c r="K224" i="9"/>
  <c r="K160" i="9" s="1"/>
  <c r="M224" i="9"/>
  <c r="M160" i="9" s="1"/>
  <c r="J224" i="9"/>
  <c r="J160" i="9" s="1"/>
  <c r="G224" i="9"/>
  <c r="G160" i="9" s="1"/>
  <c r="H224" i="9"/>
  <c r="H160" i="9" s="1"/>
  <c r="N224" i="9"/>
  <c r="N160" i="9" s="1"/>
  <c r="F187" i="8"/>
  <c r="I187" i="8"/>
  <c r="M187" i="8"/>
  <c r="M201" i="8" s="1"/>
  <c r="G187" i="8"/>
  <c r="H187" i="8"/>
  <c r="H201" i="8" s="1"/>
  <c r="E187" i="8"/>
  <c r="E143" i="8" s="1"/>
  <c r="J187" i="8"/>
  <c r="J143" i="8" s="1"/>
  <c r="L187" i="8"/>
  <c r="L143" i="8" s="1"/>
  <c r="K187" i="8"/>
  <c r="O187" i="8"/>
  <c r="O143" i="8" s="1"/>
  <c r="N187" i="8"/>
  <c r="N201" i="8" s="1"/>
  <c r="E167" i="9"/>
  <c r="F140" i="9"/>
  <c r="K140" i="9"/>
  <c r="Q229" i="9"/>
  <c r="F166" i="9"/>
  <c r="J231" i="9"/>
  <c r="E231" i="9"/>
  <c r="I142" i="9"/>
  <c r="J140" i="9"/>
  <c r="O140" i="9"/>
  <c r="N141" i="9"/>
  <c r="Q199" i="9"/>
  <c r="Q165" i="9"/>
  <c r="Q226" i="9"/>
  <c r="Q212" i="9"/>
  <c r="Q206" i="9"/>
  <c r="Q218" i="9"/>
  <c r="Q208" i="9"/>
  <c r="Q204" i="9"/>
  <c r="Q225" i="9"/>
  <c r="Q222" i="9"/>
  <c r="Q228" i="9"/>
  <c r="Q211" i="9"/>
  <c r="Q214" i="9"/>
  <c r="Q207" i="9"/>
  <c r="Q205" i="9"/>
  <c r="Q223" i="9"/>
  <c r="Q220" i="9"/>
  <c r="Q219" i="9"/>
  <c r="Q209" i="9"/>
  <c r="Q221" i="9"/>
  <c r="Q217" i="9"/>
  <c r="Q215" i="9"/>
  <c r="Q210" i="9"/>
  <c r="Q227" i="9"/>
  <c r="Q216" i="9"/>
  <c r="P149" i="8"/>
  <c r="M149" i="8"/>
  <c r="K144" i="8"/>
  <c r="J151" i="8"/>
  <c r="N155" i="8"/>
  <c r="P144" i="8"/>
  <c r="I152" i="8"/>
  <c r="K147" i="8"/>
  <c r="I147" i="8"/>
  <c r="O142" i="8"/>
  <c r="N149" i="8"/>
  <c r="N140" i="8"/>
  <c r="E146" i="8"/>
  <c r="E150" i="8"/>
  <c r="L154" i="8"/>
  <c r="O145" i="8"/>
  <c r="N144" i="8"/>
  <c r="G155" i="8"/>
  <c r="L153" i="8"/>
  <c r="L146" i="8"/>
  <c r="M141" i="8"/>
  <c r="F144" i="8"/>
  <c r="L151" i="8"/>
  <c r="H155" i="8"/>
  <c r="M147" i="8"/>
  <c r="K142" i="8"/>
  <c r="H147" i="8"/>
  <c r="L148" i="8"/>
  <c r="L145" i="8"/>
  <c r="K152" i="8"/>
  <c r="O149" i="8"/>
  <c r="F141" i="8"/>
  <c r="F156" i="8"/>
  <c r="O140" i="8"/>
  <c r="N146" i="8"/>
  <c r="G153" i="8"/>
  <c r="F151" i="8"/>
  <c r="L141" i="8"/>
  <c r="O151" i="8"/>
  <c r="E145" i="8"/>
  <c r="P154" i="8"/>
  <c r="G150" i="8"/>
  <c r="G154" i="8"/>
  <c r="H154" i="8"/>
  <c r="I155" i="8"/>
  <c r="L144" i="8"/>
  <c r="H150" i="8"/>
  <c r="F142" i="8"/>
  <c r="L152" i="8"/>
  <c r="G141" i="8"/>
  <c r="G156" i="8"/>
  <c r="M140" i="8"/>
  <c r="M144" i="8"/>
  <c r="G148" i="8"/>
  <c r="J146" i="8"/>
  <c r="I154" i="8"/>
  <c r="N151" i="8"/>
  <c r="J155" i="8"/>
  <c r="L142" i="8"/>
  <c r="P150" i="8"/>
  <c r="G142" i="8"/>
  <c r="F149" i="8"/>
  <c r="M152" i="8"/>
  <c r="O141" i="8"/>
  <c r="H141" i="8"/>
  <c r="H156" i="8"/>
  <c r="F147" i="8"/>
  <c r="I144" i="8"/>
  <c r="F150" i="8"/>
  <c r="H142" i="8"/>
  <c r="O144" i="8"/>
  <c r="N154" i="8"/>
  <c r="E147" i="8"/>
  <c r="J147" i="8"/>
  <c r="M150" i="8"/>
  <c r="F146" i="8"/>
  <c r="L140" i="8"/>
  <c r="P143" i="8"/>
  <c r="K148" i="8"/>
  <c r="G151" i="8"/>
  <c r="L155" i="8"/>
  <c r="J152" i="8"/>
  <c r="I141" i="8"/>
  <c r="L150" i="8"/>
  <c r="J141" i="8"/>
  <c r="K146" i="8"/>
  <c r="P146" i="8"/>
  <c r="I146" i="8"/>
  <c r="N150" i="8"/>
  <c r="M154" i="8"/>
  <c r="P152" i="8"/>
  <c r="H148" i="8"/>
  <c r="E149" i="8"/>
  <c r="M145" i="8"/>
  <c r="E153" i="8"/>
  <c r="J145" i="8"/>
  <c r="K151" i="8"/>
  <c r="I156" i="8"/>
  <c r="F153" i="8"/>
  <c r="P145" i="8"/>
  <c r="N153" i="8"/>
  <c r="I145" i="8"/>
  <c r="P153" i="8"/>
  <c r="G145" i="8"/>
  <c r="O150" i="8"/>
  <c r="J150" i="8"/>
  <c r="J142" i="8"/>
  <c r="O155" i="8"/>
  <c r="F152" i="8"/>
  <c r="P141" i="8"/>
  <c r="H149" i="8"/>
  <c r="M148" i="8"/>
  <c r="H144" i="8"/>
  <c r="O154" i="8"/>
  <c r="E140" i="8"/>
  <c r="G143" i="8"/>
  <c r="L147" i="8"/>
  <c r="F145" i="8"/>
  <c r="I148" i="8"/>
  <c r="G149" i="8"/>
  <c r="E156" i="8"/>
  <c r="J154" i="8"/>
  <c r="P151" i="8"/>
  <c r="F154" i="8"/>
  <c r="M151" i="8"/>
  <c r="I143" i="8"/>
  <c r="I142" i="8"/>
  <c r="M146" i="8"/>
  <c r="O147" i="8"/>
  <c r="J144" i="8"/>
  <c r="P148" i="8"/>
  <c r="N147" i="8"/>
  <c r="H153" i="8"/>
  <c r="P156" i="8"/>
  <c r="H151" i="8"/>
  <c r="G152" i="8"/>
  <c r="I149" i="8"/>
  <c r="L156" i="8"/>
  <c r="F148" i="8"/>
  <c r="P155" i="8"/>
  <c r="K156" i="8"/>
  <c r="K143" i="8"/>
  <c r="I153" i="8"/>
  <c r="H152" i="8"/>
  <c r="J149" i="8"/>
  <c r="M156" i="8"/>
  <c r="F155" i="8"/>
  <c r="G146" i="8"/>
  <c r="O146" i="8"/>
  <c r="K154" i="8"/>
  <c r="O153" i="8"/>
  <c r="N148" i="8"/>
  <c r="N152" i="8"/>
  <c r="K149" i="8"/>
  <c r="N156" i="8"/>
  <c r="P140" i="8"/>
  <c r="J148" i="8"/>
  <c r="I150" i="8"/>
  <c r="K145" i="8"/>
  <c r="I151" i="8"/>
  <c r="H145" i="8"/>
  <c r="O148" i="8"/>
  <c r="K155" i="8"/>
  <c r="E154" i="8"/>
  <c r="P147" i="8"/>
  <c r="E144" i="8"/>
  <c r="M155" i="8"/>
  <c r="J153" i="8"/>
  <c r="K153" i="8"/>
  <c r="N142" i="8"/>
  <c r="O152" i="8"/>
  <c r="L149" i="8"/>
  <c r="K141" i="8"/>
  <c r="O156" i="8"/>
  <c r="J156" i="8"/>
  <c r="F143" i="8"/>
  <c r="M153" i="8"/>
  <c r="H146" i="8"/>
  <c r="G147" i="8"/>
  <c r="G144" i="8"/>
  <c r="N145" i="8"/>
  <c r="P201" i="8"/>
  <c r="Q198" i="8"/>
  <c r="Q189" i="8"/>
  <c r="G201" i="8"/>
  <c r="G140" i="8"/>
  <c r="F201" i="8"/>
  <c r="Q184" i="8"/>
  <c r="F140" i="8"/>
  <c r="M142" i="8"/>
  <c r="I201" i="8"/>
  <c r="I140" i="8"/>
  <c r="K201" i="8"/>
  <c r="Q179" i="8"/>
  <c r="Q199" i="8"/>
  <c r="Q185" i="8"/>
  <c r="E141" i="8"/>
  <c r="Q196" i="8"/>
  <c r="P142" i="8"/>
  <c r="K140" i="8"/>
  <c r="H140" i="8"/>
  <c r="E155" i="8"/>
  <c r="Q195" i="8"/>
  <c r="Q194" i="8"/>
  <c r="E152" i="8"/>
  <c r="Q200" i="8"/>
  <c r="L201" i="8"/>
  <c r="Q186" i="8"/>
  <c r="E151" i="8"/>
  <c r="J140" i="8"/>
  <c r="Q197" i="8"/>
  <c r="Q192" i="8"/>
  <c r="E148" i="8"/>
  <c r="N141" i="8"/>
  <c r="Q188" i="8"/>
  <c r="Q191" i="8"/>
  <c r="E142" i="8"/>
  <c r="Q193" i="8"/>
  <c r="Q190" i="8"/>
  <c r="E201" i="8"/>
  <c r="L156" i="22"/>
  <c r="L155" i="22"/>
  <c r="N203" i="22"/>
  <c r="N143" i="22" s="1"/>
  <c r="O150" i="22"/>
  <c r="M203" i="22"/>
  <c r="M143" i="22" s="1"/>
  <c r="M215" i="22"/>
  <c r="M155" i="22" s="1"/>
  <c r="K201" i="22"/>
  <c r="K141" i="22" s="1"/>
  <c r="I214" i="22"/>
  <c r="I154" i="22" s="1"/>
  <c r="K214" i="22"/>
  <c r="K154" i="22" s="1"/>
  <c r="G161" i="22"/>
  <c r="P213" i="22"/>
  <c r="P153" i="22" s="1"/>
  <c r="L210" i="22"/>
  <c r="L150" i="22" s="1"/>
  <c r="P217" i="22"/>
  <c r="P157" i="22" s="1"/>
  <c r="L202" i="22"/>
  <c r="L142" i="22" s="1"/>
  <c r="P200" i="22"/>
  <c r="P140" i="22" s="1"/>
  <c r="E164" i="22"/>
  <c r="P210" i="22"/>
  <c r="P150" i="22" s="1"/>
  <c r="O200" i="22"/>
  <c r="O140" i="22" s="1"/>
  <c r="N217" i="22"/>
  <c r="N157" i="22" s="1"/>
  <c r="O212" i="22"/>
  <c r="O152" i="22" s="1"/>
  <c r="L209" i="22"/>
  <c r="L149" i="22" s="1"/>
  <c r="J202" i="22"/>
  <c r="J142" i="22" s="1"/>
  <c r="P223" i="22"/>
  <c r="P163" i="22" s="1"/>
  <c r="N209" i="22"/>
  <c r="N149" i="22" s="1"/>
  <c r="N200" i="22"/>
  <c r="N140" i="22" s="1"/>
  <c r="M217" i="22"/>
  <c r="M157" i="22" s="1"/>
  <c r="N212" i="22"/>
  <c r="N152" i="22" s="1"/>
  <c r="K209" i="22"/>
  <c r="K149" i="22" s="1"/>
  <c r="E201" i="22"/>
  <c r="E141" i="22" s="1"/>
  <c r="F215" i="22"/>
  <c r="F155" i="22" s="1"/>
  <c r="J222" i="22"/>
  <c r="J162" i="22" s="1"/>
  <c r="M200" i="22"/>
  <c r="M140" i="22" s="1"/>
  <c r="L217" i="22"/>
  <c r="L157" i="22" s="1"/>
  <c r="E212" i="22"/>
  <c r="E152" i="22" s="1"/>
  <c r="I209" i="22"/>
  <c r="I149" i="22" s="1"/>
  <c r="L200" i="22"/>
  <c r="L140" i="22" s="1"/>
  <c r="N216" i="22"/>
  <c r="N156" i="22" s="1"/>
  <c r="P211" i="22"/>
  <c r="P151" i="22" s="1"/>
  <c r="K208" i="22"/>
  <c r="K148" i="22" s="1"/>
  <c r="O163" i="22"/>
  <c r="N151" i="22"/>
  <c r="P205" i="22"/>
  <c r="P145" i="22" s="1"/>
  <c r="P143" i="22"/>
  <c r="M163" i="22"/>
  <c r="L151" i="22"/>
  <c r="L152" i="22"/>
  <c r="N142" i="22"/>
  <c r="L223" i="22"/>
  <c r="L163" i="22" s="1"/>
  <c r="K215" i="22"/>
  <c r="K155" i="22" s="1"/>
  <c r="K223" i="22"/>
  <c r="K163" i="22" s="1"/>
  <c r="N150" i="22"/>
  <c r="L203" i="22"/>
  <c r="L143" i="22" s="1"/>
  <c r="K221" i="22"/>
  <c r="K161" i="22" s="1"/>
  <c r="E214" i="22"/>
  <c r="E154" i="22" s="1"/>
  <c r="M210" i="22"/>
  <c r="M150" i="22" s="1"/>
  <c r="K203" i="22"/>
  <c r="K143" i="22" s="1"/>
  <c r="M202" i="22"/>
  <c r="M142" i="22" s="1"/>
  <c r="K210" i="22"/>
  <c r="K150" i="22" s="1"/>
  <c r="E151" i="22"/>
  <c r="K202" i="22"/>
  <c r="K142" i="22" s="1"/>
  <c r="G148" i="22"/>
  <c r="G214" i="22"/>
  <c r="G154" i="22" s="1"/>
  <c r="J221" i="22"/>
  <c r="J161" i="22" s="1"/>
  <c r="F207" i="22"/>
  <c r="F147" i="22" s="1"/>
  <c r="H220" i="22"/>
  <c r="H160" i="22" s="1"/>
  <c r="K200" i="22"/>
  <c r="K140" i="22" s="1"/>
  <c r="M216" i="22"/>
  <c r="M156" i="22" s="1"/>
  <c r="O211" i="22"/>
  <c r="O151" i="22" s="1"/>
  <c r="E207" i="22"/>
  <c r="E147" i="22" s="1"/>
  <c r="N223" i="22"/>
  <c r="N163" i="22" s="1"/>
  <c r="K216" i="22"/>
  <c r="K156" i="22" s="1"/>
  <c r="M211" i="22"/>
  <c r="M151" i="22" s="1"/>
  <c r="O203" i="22"/>
  <c r="O143" i="22" s="1"/>
  <c r="D209" i="22"/>
  <c r="D149" i="22"/>
  <c r="D212" i="22"/>
  <c r="D152" i="22"/>
  <c r="D211" i="22"/>
  <c r="D151" i="22"/>
  <c r="D213" i="22"/>
  <c r="D153" i="22"/>
  <c r="F220" i="22"/>
  <c r="F160" i="22" s="1"/>
  <c r="G201" i="22"/>
  <c r="G141" i="22" s="1"/>
  <c r="H202" i="22"/>
  <c r="H142" i="22" s="1"/>
  <c r="H209" i="22"/>
  <c r="H149" i="22" s="1"/>
  <c r="H206" i="22"/>
  <c r="H146" i="22" s="1"/>
  <c r="O206" i="22"/>
  <c r="O146" i="22" s="1"/>
  <c r="I206" i="22"/>
  <c r="I146" i="22" s="1"/>
  <c r="J206" i="22"/>
  <c r="J146" i="22" s="1"/>
  <c r="K206" i="22"/>
  <c r="K146" i="22" s="1"/>
  <c r="M206" i="22"/>
  <c r="M146" i="22" s="1"/>
  <c r="P206" i="22"/>
  <c r="P146" i="22" s="1"/>
  <c r="L206" i="22"/>
  <c r="L146" i="22" s="1"/>
  <c r="N206" i="22"/>
  <c r="N146" i="22" s="1"/>
  <c r="H221" i="22"/>
  <c r="H161" i="22" s="1"/>
  <c r="J201" i="22"/>
  <c r="J141" i="22" s="1"/>
  <c r="H208" i="22"/>
  <c r="H148" i="22" s="1"/>
  <c r="O204" i="22"/>
  <c r="O144" i="22" s="1"/>
  <c r="I201" i="22"/>
  <c r="I141" i="22" s="1"/>
  <c r="E220" i="22"/>
  <c r="E160" i="22" s="1"/>
  <c r="N204" i="22"/>
  <c r="N144" i="22" s="1"/>
  <c r="H213" i="22"/>
  <c r="H153" i="22" s="1"/>
  <c r="I207" i="22"/>
  <c r="I147" i="22" s="1"/>
  <c r="I213" i="22"/>
  <c r="I153" i="22" s="1"/>
  <c r="L222" i="22"/>
  <c r="L162" i="22" s="1"/>
  <c r="F219" i="22"/>
  <c r="F159" i="22" s="1"/>
  <c r="J216" i="22"/>
  <c r="J156" i="22" s="1"/>
  <c r="G213" i="22"/>
  <c r="G153" i="22" s="1"/>
  <c r="H207" i="22"/>
  <c r="H147" i="22" s="1"/>
  <c r="F201" i="22"/>
  <c r="F141" i="22" s="1"/>
  <c r="H214" i="22"/>
  <c r="H154" i="22" s="1"/>
  <c r="O205" i="22"/>
  <c r="O145" i="22" s="1"/>
  <c r="E204" i="22"/>
  <c r="E144" i="22" s="1"/>
  <c r="F204" i="22"/>
  <c r="F144" i="22" s="1"/>
  <c r="G204" i="22"/>
  <c r="G144" i="22" s="1"/>
  <c r="I204" i="22"/>
  <c r="I144" i="22" s="1"/>
  <c r="K204" i="22"/>
  <c r="K144" i="22" s="1"/>
  <c r="L204" i="22"/>
  <c r="L144" i="22" s="1"/>
  <c r="H204" i="22"/>
  <c r="H144" i="22" s="1"/>
  <c r="J204" i="22"/>
  <c r="J144" i="22" s="1"/>
  <c r="I220" i="22"/>
  <c r="I160" i="22" s="1"/>
  <c r="J208" i="22"/>
  <c r="J148" i="22" s="1"/>
  <c r="J217" i="22"/>
  <c r="J157" i="22" s="1"/>
  <c r="F214" i="22"/>
  <c r="F154" i="22" s="1"/>
  <c r="I208" i="22"/>
  <c r="I148" i="22" s="1"/>
  <c r="P204" i="22"/>
  <c r="P144" i="22" s="1"/>
  <c r="H201" i="22"/>
  <c r="H141" i="22" s="1"/>
  <c r="M222" i="22"/>
  <c r="M162" i="22" s="1"/>
  <c r="P219" i="22"/>
  <c r="P159" i="22" s="1"/>
  <c r="F212" i="22"/>
  <c r="K222" i="22"/>
  <c r="K162" i="22" s="1"/>
  <c r="F213" i="22"/>
  <c r="F153" i="22" s="1"/>
  <c r="G207" i="22"/>
  <c r="P218" i="22"/>
  <c r="P158" i="22" s="1"/>
  <c r="J220" i="22"/>
  <c r="J160" i="22" s="1"/>
  <c r="K220" i="22"/>
  <c r="K160" i="22" s="1"/>
  <c r="L220" i="22"/>
  <c r="L160" i="22" s="1"/>
  <c r="M220" i="22"/>
  <c r="M160" i="22" s="1"/>
  <c r="O220" i="22"/>
  <c r="O160" i="22" s="1"/>
  <c r="N220" i="22"/>
  <c r="N160" i="22" s="1"/>
  <c r="G220" i="22"/>
  <c r="G160" i="22" s="1"/>
  <c r="P220" i="22"/>
  <c r="P160" i="22" s="1"/>
  <c r="I200" i="22"/>
  <c r="I140" i="22" s="1"/>
  <c r="I211" i="22"/>
  <c r="I151" i="22" s="1"/>
  <c r="I210" i="22"/>
  <c r="I150" i="22" s="1"/>
  <c r="I216" i="22"/>
  <c r="I156" i="22" s="1"/>
  <c r="I223" i="22"/>
  <c r="I163" i="22" s="1"/>
  <c r="G219" i="22"/>
  <c r="G159" i="22" s="1"/>
  <c r="H219" i="22"/>
  <c r="H159" i="22" s="1"/>
  <c r="I219" i="22"/>
  <c r="I159" i="22" s="1"/>
  <c r="J219" i="22"/>
  <c r="J159" i="22" s="1"/>
  <c r="L219" i="22"/>
  <c r="L159" i="22" s="1"/>
  <c r="O219" i="22"/>
  <c r="O159" i="22" s="1"/>
  <c r="K219" i="22"/>
  <c r="K159" i="22" s="1"/>
  <c r="N219" i="22"/>
  <c r="N159" i="22" s="1"/>
  <c r="M219" i="22"/>
  <c r="M159" i="22" s="1"/>
  <c r="F205" i="22"/>
  <c r="G205" i="22"/>
  <c r="G145" i="22" s="1"/>
  <c r="H205" i="22"/>
  <c r="H145" i="22" s="1"/>
  <c r="I205" i="22"/>
  <c r="I145" i="22" s="1"/>
  <c r="K205" i="22"/>
  <c r="K145" i="22" s="1"/>
  <c r="M205" i="22"/>
  <c r="M145" i="22" s="1"/>
  <c r="N205" i="22"/>
  <c r="N145" i="22" s="1"/>
  <c r="J205" i="22"/>
  <c r="J145" i="22" s="1"/>
  <c r="L205" i="22"/>
  <c r="L145" i="22" s="1"/>
  <c r="I222" i="22"/>
  <c r="I162" i="22" s="1"/>
  <c r="H215" i="22"/>
  <c r="H155" i="22" s="1"/>
  <c r="F206" i="22"/>
  <c r="F146" i="22" s="1"/>
  <c r="J210" i="22"/>
  <c r="J150" i="22" s="1"/>
  <c r="J223" i="22"/>
  <c r="J163" i="22" s="1"/>
  <c r="J200" i="22"/>
  <c r="J140" i="22" s="1"/>
  <c r="E218" i="22"/>
  <c r="E158" i="22" s="1"/>
  <c r="F218" i="22"/>
  <c r="F158" i="22" s="1"/>
  <c r="L218" i="22"/>
  <c r="L158" i="22" s="1"/>
  <c r="G218" i="22"/>
  <c r="G158" i="22" s="1"/>
  <c r="H218" i="22"/>
  <c r="H158" i="22" s="1"/>
  <c r="J218" i="22"/>
  <c r="J158" i="22" s="1"/>
  <c r="M218" i="22"/>
  <c r="M158" i="22" s="1"/>
  <c r="I218" i="22"/>
  <c r="I158" i="22" s="1"/>
  <c r="K218" i="22"/>
  <c r="K158" i="22" s="1"/>
  <c r="N218" i="22"/>
  <c r="N158" i="22" s="1"/>
  <c r="I215" i="22"/>
  <c r="I155" i="22" s="1"/>
  <c r="G206" i="22"/>
  <c r="G146" i="22" s="1"/>
  <c r="N222" i="22"/>
  <c r="N162" i="22" s="1"/>
  <c r="O222" i="22"/>
  <c r="O162" i="22" s="1"/>
  <c r="G222" i="22"/>
  <c r="G162" i="22" s="1"/>
  <c r="P222" i="22"/>
  <c r="P162" i="22" s="1"/>
  <c r="E222" i="22"/>
  <c r="E162" i="22" s="1"/>
  <c r="H222" i="22"/>
  <c r="H162" i="22" s="1"/>
  <c r="F222" i="22"/>
  <c r="F162" i="22" s="1"/>
  <c r="L208" i="22"/>
  <c r="L148" i="22" s="1"/>
  <c r="F208" i="22"/>
  <c r="F148" i="22" s="1"/>
  <c r="M208" i="22"/>
  <c r="M148" i="22" s="1"/>
  <c r="N208" i="22"/>
  <c r="N148" i="22" s="1"/>
  <c r="O208" i="22"/>
  <c r="O148" i="22" s="1"/>
  <c r="P208" i="22"/>
  <c r="P148" i="22" s="1"/>
  <c r="E208" i="22"/>
  <c r="E148" i="22" s="1"/>
  <c r="G212" i="22"/>
  <c r="G152" i="22" s="1"/>
  <c r="G211" i="22"/>
  <c r="G151" i="22" s="1"/>
  <c r="G200" i="22"/>
  <c r="G209" i="22"/>
  <c r="G149" i="22" s="1"/>
  <c r="G215" i="22"/>
  <c r="G155" i="22" s="1"/>
  <c r="L221" i="22"/>
  <c r="L161" i="22" s="1"/>
  <c r="M221" i="22"/>
  <c r="M161" i="22" s="1"/>
  <c r="N221" i="22"/>
  <c r="N161" i="22" s="1"/>
  <c r="O221" i="22"/>
  <c r="O161" i="22" s="1"/>
  <c r="E221" i="22"/>
  <c r="E161" i="22" s="1"/>
  <c r="F221" i="22"/>
  <c r="F161" i="22" s="1"/>
  <c r="P221" i="22"/>
  <c r="P161" i="22" s="1"/>
  <c r="J207" i="22"/>
  <c r="J147" i="22" s="1"/>
  <c r="K207" i="22"/>
  <c r="K147" i="22" s="1"/>
  <c r="L207" i="22"/>
  <c r="L147" i="22" s="1"/>
  <c r="M207" i="22"/>
  <c r="M147" i="22" s="1"/>
  <c r="O207" i="22"/>
  <c r="O147" i="22" s="1"/>
  <c r="N207" i="22"/>
  <c r="N147" i="22" s="1"/>
  <c r="P207" i="22"/>
  <c r="P147" i="22" s="1"/>
  <c r="I221" i="22"/>
  <c r="I161" i="22" s="1"/>
  <c r="J214" i="22"/>
  <c r="J154" i="22" s="1"/>
  <c r="J209" i="22"/>
  <c r="J149" i="22" s="1"/>
  <c r="E206" i="22"/>
  <c r="E146" i="22" s="1"/>
  <c r="H200" i="22"/>
  <c r="H140" i="22" s="1"/>
  <c r="H223" i="22"/>
  <c r="H163" i="22" s="1"/>
  <c r="I217" i="22"/>
  <c r="I157" i="22" s="1"/>
  <c r="G216" i="22"/>
  <c r="G156" i="22" s="1"/>
  <c r="E215" i="22"/>
  <c r="E155" i="22" s="1"/>
  <c r="O213" i="22"/>
  <c r="O153" i="22" s="1"/>
  <c r="M212" i="22"/>
  <c r="M152" i="22" s="1"/>
  <c r="J211" i="22"/>
  <c r="H210" i="22"/>
  <c r="H150" i="22" s="1"/>
  <c r="F209" i="22"/>
  <c r="F149" i="22" s="1"/>
  <c r="H203" i="22"/>
  <c r="H143" i="22" s="1"/>
  <c r="E202" i="22"/>
  <c r="E142" i="22" s="1"/>
  <c r="H216" i="22"/>
  <c r="H156" i="22" s="1"/>
  <c r="F200" i="22"/>
  <c r="F140" i="22" s="1"/>
  <c r="F223" i="22"/>
  <c r="F163" i="22" s="1"/>
  <c r="G217" i="22"/>
  <c r="G157" i="22" s="1"/>
  <c r="E216" i="22"/>
  <c r="E156" i="22" s="1"/>
  <c r="O214" i="22"/>
  <c r="O154" i="22" s="1"/>
  <c r="M213" i="22"/>
  <c r="M153" i="22" s="1"/>
  <c r="K212" i="22"/>
  <c r="K152" i="22" s="1"/>
  <c r="H211" i="22"/>
  <c r="H151" i="22" s="1"/>
  <c r="F210" i="22"/>
  <c r="F150" i="22" s="1"/>
  <c r="F203" i="22"/>
  <c r="F143" i="22" s="1"/>
  <c r="O201" i="22"/>
  <c r="D221" i="22"/>
  <c r="K217" i="22"/>
  <c r="K157" i="22" s="1"/>
  <c r="F202" i="22"/>
  <c r="F142" i="22" s="1"/>
  <c r="G223" i="22"/>
  <c r="G163" i="22" s="1"/>
  <c r="H217" i="22"/>
  <c r="H157" i="22" s="1"/>
  <c r="F216" i="22"/>
  <c r="F156" i="22" s="1"/>
  <c r="P214" i="22"/>
  <c r="P154" i="22" s="1"/>
  <c r="G210" i="22"/>
  <c r="G150" i="22" s="1"/>
  <c r="E209" i="22"/>
  <c r="E149" i="22" s="1"/>
  <c r="G203" i="22"/>
  <c r="G143" i="22" s="1"/>
  <c r="P201" i="22"/>
  <c r="P141" i="22" s="1"/>
  <c r="G202" i="22"/>
  <c r="G142" i="22" s="1"/>
  <c r="D202" i="22"/>
  <c r="D204" i="22"/>
  <c r="Q180" i="22"/>
  <c r="P224" i="22"/>
  <c r="P164" i="22" s="1"/>
  <c r="E223" i="22"/>
  <c r="E163" i="22" s="1"/>
  <c r="F217" i="22"/>
  <c r="F157" i="22" s="1"/>
  <c r="P215" i="22"/>
  <c r="P155" i="22" s="1"/>
  <c r="N214" i="22"/>
  <c r="N154" i="22" s="1"/>
  <c r="L213" i="22"/>
  <c r="L153" i="22" s="1"/>
  <c r="J212" i="22"/>
  <c r="J152" i="22" s="1"/>
  <c r="E210" i="22"/>
  <c r="E203" i="22"/>
  <c r="E143" i="22" s="1"/>
  <c r="N201" i="22"/>
  <c r="N141" i="22" s="1"/>
  <c r="D206" i="22"/>
  <c r="G224" i="22"/>
  <c r="G164" i="22" s="1"/>
  <c r="E217" i="22"/>
  <c r="E157" i="22" s="1"/>
  <c r="O215" i="22"/>
  <c r="O155" i="22" s="1"/>
  <c r="M214" i="22"/>
  <c r="M154" i="22" s="1"/>
  <c r="K213" i="22"/>
  <c r="K153" i="22" s="1"/>
  <c r="I212" i="22"/>
  <c r="I152" i="22" s="1"/>
  <c r="F211" i="22"/>
  <c r="F151" i="22" s="1"/>
  <c r="P209" i="22"/>
  <c r="P149" i="22" s="1"/>
  <c r="P202" i="22"/>
  <c r="P142" i="22" s="1"/>
  <c r="M201" i="22"/>
  <c r="M141" i="22" s="1"/>
  <c r="I203" i="22"/>
  <c r="I143" i="22" s="1"/>
  <c r="E200" i="22"/>
  <c r="P216" i="22"/>
  <c r="P156" i="22" s="1"/>
  <c r="N215" i="22"/>
  <c r="N155" i="22" s="1"/>
  <c r="L214" i="22"/>
  <c r="J213" i="22"/>
  <c r="H212" i="22"/>
  <c r="H152" i="22" s="1"/>
  <c r="O209" i="22"/>
  <c r="O149" i="22" s="1"/>
  <c r="O202" i="22"/>
  <c r="O142" i="22" s="1"/>
  <c r="L201" i="22"/>
  <c r="L141" i="22" s="1"/>
  <c r="J203" i="22"/>
  <c r="J143" i="22" s="1"/>
  <c r="H224" i="22"/>
  <c r="H164" i="22" s="1"/>
  <c r="D207" i="22"/>
  <c r="D208" i="22"/>
  <c r="G195" i="22"/>
  <c r="G196" i="22" s="1"/>
  <c r="F224" i="22"/>
  <c r="F164" i="22" s="1"/>
  <c r="O224" i="22"/>
  <c r="O164" i="22" s="1"/>
  <c r="N224" i="22"/>
  <c r="N164" i="22" s="1"/>
  <c r="M224" i="22"/>
  <c r="M164" i="22" s="1"/>
  <c r="L224" i="22"/>
  <c r="L164" i="22" s="1"/>
  <c r="K224" i="22"/>
  <c r="K164" i="22" s="1"/>
  <c r="I224" i="22"/>
  <c r="I164" i="22" s="1"/>
  <c r="J224" i="22"/>
  <c r="J164" i="22" s="1"/>
  <c r="Q178" i="22"/>
  <c r="Q179" i="22"/>
  <c r="Q181" i="22"/>
  <c r="Q182" i="22"/>
  <c r="Q175" i="22"/>
  <c r="Q176" i="22"/>
  <c r="Q183" i="22"/>
  <c r="Q177" i="22"/>
  <c r="Q171" i="22"/>
  <c r="F195" i="22"/>
  <c r="Q189" i="22"/>
  <c r="I195" i="22"/>
  <c r="O195" i="22"/>
  <c r="P195" i="22"/>
  <c r="Q190" i="22"/>
  <c r="Q188" i="22"/>
  <c r="H195" i="22"/>
  <c r="M195" i="22"/>
  <c r="Q174" i="22"/>
  <c r="Q194" i="22"/>
  <c r="J195" i="22"/>
  <c r="N195" i="22"/>
  <c r="Q173" i="22"/>
  <c r="Q192" i="22"/>
  <c r="E195" i="22"/>
  <c r="Q187" i="22"/>
  <c r="K195" i="22"/>
  <c r="L195" i="22"/>
  <c r="Q193" i="22"/>
  <c r="Q186" i="22"/>
  <c r="Q172" i="22"/>
  <c r="Q191" i="22"/>
  <c r="Q170" i="22"/>
  <c r="Q184" i="22"/>
  <c r="Q185" i="22"/>
  <c r="D189" i="6"/>
  <c r="D188" i="6"/>
  <c r="Q213" i="9" l="1"/>
  <c r="P231" i="9"/>
  <c r="K231" i="9"/>
  <c r="O231" i="9"/>
  <c r="Q230" i="9"/>
  <c r="Q166" i="9"/>
  <c r="L231" i="9"/>
  <c r="M143" i="8"/>
  <c r="J201" i="8"/>
  <c r="N231" i="9"/>
  <c r="F231" i="9"/>
  <c r="I231" i="9"/>
  <c r="M231" i="9"/>
  <c r="Q224" i="9"/>
  <c r="G231" i="9"/>
  <c r="H231" i="9"/>
  <c r="O201" i="8"/>
  <c r="N143" i="8"/>
  <c r="N157" i="8" s="1"/>
  <c r="Q187" i="8"/>
  <c r="Q201" i="8" s="1"/>
  <c r="H143" i="8"/>
  <c r="Q143" i="8" s="1"/>
  <c r="O167" i="9"/>
  <c r="M167" i="9"/>
  <c r="I167" i="9"/>
  <c r="L167" i="9"/>
  <c r="G167" i="9"/>
  <c r="F167" i="9"/>
  <c r="H167" i="9"/>
  <c r="N167" i="9"/>
  <c r="P167" i="9"/>
  <c r="K167" i="9"/>
  <c r="J167" i="9"/>
  <c r="Q144" i="9"/>
  <c r="Q153" i="9"/>
  <c r="Q164" i="9"/>
  <c r="Q156" i="9"/>
  <c r="Q155" i="9"/>
  <c r="Q159" i="9"/>
  <c r="Q142" i="9"/>
  <c r="Q152" i="9"/>
  <c r="Q160" i="9"/>
  <c r="Q150" i="9"/>
  <c r="Q157" i="9"/>
  <c r="Q158" i="9"/>
  <c r="Q146" i="9"/>
  <c r="Q163" i="9"/>
  <c r="Q145" i="9"/>
  <c r="Q162" i="9"/>
  <c r="Q143" i="9"/>
  <c r="Q148" i="9"/>
  <c r="Q161" i="9"/>
  <c r="Q149" i="9"/>
  <c r="Q151" i="9"/>
  <c r="Q147" i="9"/>
  <c r="Q154" i="9"/>
  <c r="Q141" i="9"/>
  <c r="Q140" i="9"/>
  <c r="Q146" i="8"/>
  <c r="Q144" i="8"/>
  <c r="Q156" i="8"/>
  <c r="Q153" i="8"/>
  <c r="Q147" i="8"/>
  <c r="Q148" i="8"/>
  <c r="Q145" i="8"/>
  <c r="L157" i="8"/>
  <c r="Q149" i="8"/>
  <c r="O157" i="8"/>
  <c r="Q154" i="8"/>
  <c r="Q150" i="8"/>
  <c r="Q152" i="8"/>
  <c r="K157" i="8"/>
  <c r="J157" i="8"/>
  <c r="M157" i="8"/>
  <c r="Q151" i="8"/>
  <c r="Q155" i="8"/>
  <c r="P157" i="8"/>
  <c r="G157" i="8"/>
  <c r="I157" i="8"/>
  <c r="F157" i="8"/>
  <c r="Q140" i="8"/>
  <c r="Q141" i="8"/>
  <c r="E157" i="8"/>
  <c r="Q142" i="8"/>
  <c r="Q159" i="22"/>
  <c r="Q164" i="22"/>
  <c r="Q155" i="22"/>
  <c r="Q163" i="22"/>
  <c r="Q142" i="22"/>
  <c r="Q162" i="22"/>
  <c r="Q214" i="22"/>
  <c r="L154" i="22"/>
  <c r="Q154" i="22" s="1"/>
  <c r="Q158" i="22"/>
  <c r="Q212" i="22"/>
  <c r="F152" i="22"/>
  <c r="Q152" i="22" s="1"/>
  <c r="Q205" i="22"/>
  <c r="F145" i="22"/>
  <c r="Q145" i="22" s="1"/>
  <c r="G225" i="22"/>
  <c r="G140" i="22"/>
  <c r="Q200" i="22"/>
  <c r="E140" i="22"/>
  <c r="Q143" i="22"/>
  <c r="Q160" i="22"/>
  <c r="Q213" i="22"/>
  <c r="J153" i="22"/>
  <c r="Q153" i="22" s="1"/>
  <c r="Q201" i="22"/>
  <c r="O141" i="22"/>
  <c r="Q141" i="22" s="1"/>
  <c r="Q211" i="22"/>
  <c r="J151" i="22"/>
  <c r="Q151" i="22" s="1"/>
  <c r="Q210" i="22"/>
  <c r="E150" i="22"/>
  <c r="Q150" i="22" s="1"/>
  <c r="Q148" i="22"/>
  <c r="Q144" i="22"/>
  <c r="Q156" i="22"/>
  <c r="Q161" i="22"/>
  <c r="Q207" i="22"/>
  <c r="G147" i="22"/>
  <c r="Q147" i="22" s="1"/>
  <c r="Q149" i="22"/>
  <c r="Q202" i="22"/>
  <c r="Q157" i="22"/>
  <c r="Q146" i="22"/>
  <c r="Q209" i="22"/>
  <c r="Q208" i="22"/>
  <c r="E225" i="22"/>
  <c r="Q206" i="22"/>
  <c r="Q203" i="22"/>
  <c r="Q195" i="22"/>
  <c r="Q231" i="9" l="1"/>
  <c r="H157" i="8"/>
  <c r="Q140" i="22"/>
  <c r="Q167" i="9"/>
  <c r="Q157" i="8"/>
  <c r="G165" i="22"/>
  <c r="B137" i="6" l="1"/>
  <c r="B196" i="6"/>
  <c r="B195" i="6"/>
  <c r="B194" i="6"/>
  <c r="B193" i="6"/>
  <c r="B192" i="6"/>
  <c r="D192" i="6" s="1"/>
  <c r="B191" i="6"/>
  <c r="B190" i="6"/>
  <c r="B187" i="6"/>
  <c r="B186" i="6"/>
  <c r="B185" i="6"/>
  <c r="B184" i="6"/>
  <c r="B183" i="6"/>
  <c r="B182" i="6"/>
  <c r="P180" i="6"/>
  <c r="P181" i="6" s="1"/>
  <c r="O180" i="6"/>
  <c r="O181" i="6" s="1"/>
  <c r="N180" i="6"/>
  <c r="N181" i="6" s="1"/>
  <c r="M180" i="6"/>
  <c r="M181" i="6" s="1"/>
  <c r="L180" i="6"/>
  <c r="L181" i="6" s="1"/>
  <c r="K180" i="6"/>
  <c r="K181" i="6" s="1"/>
  <c r="J180" i="6"/>
  <c r="J181" i="6" s="1"/>
  <c r="I180" i="6"/>
  <c r="I181" i="6" s="1"/>
  <c r="H180" i="6"/>
  <c r="H181" i="6" s="1"/>
  <c r="G180" i="6"/>
  <c r="G181" i="6" s="1"/>
  <c r="F180" i="6"/>
  <c r="F181" i="6" s="1"/>
  <c r="B154" i="6"/>
  <c r="B153" i="6"/>
  <c r="B152" i="6"/>
  <c r="B151" i="6"/>
  <c r="B150" i="6"/>
  <c r="B149" i="6"/>
  <c r="B148" i="6"/>
  <c r="B145" i="6"/>
  <c r="B144" i="6"/>
  <c r="B143" i="6"/>
  <c r="B142" i="6"/>
  <c r="B141" i="6"/>
  <c r="B140" i="6"/>
  <c r="B139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P182" i="6" l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N182" i="6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O182" i="6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E182" i="6"/>
  <c r="F182" i="6"/>
  <c r="G182" i="6"/>
  <c r="G183" i="6" s="1"/>
  <c r="H182" i="6"/>
  <c r="I182" i="6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M182" i="6"/>
  <c r="M183" i="6" s="1"/>
  <c r="M184" i="6" s="1"/>
  <c r="M185" i="6" s="1"/>
  <c r="M186" i="6" s="1"/>
  <c r="M187" i="6" s="1"/>
  <c r="M188" i="6" s="1"/>
  <c r="M189" i="6" s="1"/>
  <c r="M190" i="6" s="1"/>
  <c r="M191" i="6" s="1"/>
  <c r="M192" i="6" s="1"/>
  <c r="M193" i="6" s="1"/>
  <c r="M194" i="6" s="1"/>
  <c r="M195" i="6" s="1"/>
  <c r="M196" i="6" s="1"/>
  <c r="J182" i="6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K182" i="6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L182" i="6"/>
  <c r="L183" i="6" s="1"/>
  <c r="L184" i="6" s="1"/>
  <c r="L185" i="6" s="1"/>
  <c r="L186" i="6" s="1"/>
  <c r="L187" i="6" s="1"/>
  <c r="L188" i="6" s="1"/>
  <c r="L189" i="6" s="1"/>
  <c r="L190" i="6" s="1"/>
  <c r="L191" i="6" s="1"/>
  <c r="L192" i="6" s="1"/>
  <c r="L193" i="6" s="1"/>
  <c r="L194" i="6" s="1"/>
  <c r="L195" i="6" s="1"/>
  <c r="L196" i="6" s="1"/>
  <c r="E183" i="6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F183" i="6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H183" i="6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G184" i="6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D187" i="6"/>
  <c r="D196" i="6"/>
  <c r="P146" i="6"/>
  <c r="G143" i="6"/>
  <c r="P143" i="6"/>
  <c r="E143" i="6"/>
  <c r="D161" i="6"/>
  <c r="D182" i="6" s="1"/>
  <c r="D162" i="6"/>
  <c r="D183" i="6" s="1"/>
  <c r="J143" i="6" l="1"/>
  <c r="H143" i="6"/>
  <c r="F142" i="6"/>
  <c r="F143" i="6"/>
  <c r="O141" i="6"/>
  <c r="N141" i="6"/>
  <c r="G142" i="6"/>
  <c r="K141" i="6"/>
  <c r="J146" i="6"/>
  <c r="P151" i="6"/>
  <c r="L141" i="6"/>
  <c r="I141" i="6"/>
  <c r="I143" i="6"/>
  <c r="P141" i="6"/>
  <c r="P142" i="6"/>
  <c r="M141" i="6"/>
  <c r="K142" i="6"/>
  <c r="J147" i="6"/>
  <c r="I146" i="6"/>
  <c r="O143" i="6"/>
  <c r="M143" i="6"/>
  <c r="J148" i="6"/>
  <c r="N143" i="6"/>
  <c r="L143" i="6"/>
  <c r="K143" i="6"/>
  <c r="G147" i="6"/>
  <c r="L148" i="6"/>
  <c r="M152" i="6"/>
  <c r="M147" i="6"/>
  <c r="E148" i="6"/>
  <c r="E153" i="6"/>
  <c r="G141" i="6"/>
  <c r="E142" i="6"/>
  <c r="O142" i="6"/>
  <c r="H153" i="6"/>
  <c r="N142" i="6"/>
  <c r="J141" i="6"/>
  <c r="E141" i="6"/>
  <c r="G153" i="6"/>
  <c r="M142" i="6"/>
  <c r="F141" i="6"/>
  <c r="L142" i="6"/>
  <c r="H141" i="6"/>
  <c r="L146" i="6"/>
  <c r="I147" i="6"/>
  <c r="J142" i="6"/>
  <c r="I142" i="6"/>
  <c r="H142" i="6"/>
  <c r="P153" i="6" l="1"/>
  <c r="L153" i="6"/>
  <c r="N152" i="6"/>
  <c r="M153" i="6"/>
  <c r="N147" i="6"/>
  <c r="O147" i="6"/>
  <c r="E151" i="6"/>
  <c r="E146" i="6"/>
  <c r="N153" i="6"/>
  <c r="P148" i="6"/>
  <c r="I151" i="6"/>
  <c r="I153" i="6"/>
  <c r="F152" i="6"/>
  <c r="F147" i="6"/>
  <c r="J153" i="6"/>
  <c r="L152" i="6"/>
  <c r="L147" i="6"/>
  <c r="G148" i="6"/>
  <c r="O153" i="6"/>
  <c r="J152" i="6"/>
  <c r="G151" i="6"/>
  <c r="H151" i="6"/>
  <c r="H146" i="6"/>
  <c r="N151" i="6"/>
  <c r="Q216" i="22"/>
  <c r="G152" i="6"/>
  <c r="I152" i="6"/>
  <c r="O152" i="6"/>
  <c r="O148" i="6"/>
  <c r="N146" i="6"/>
  <c r="I148" i="6"/>
  <c r="G146" i="6"/>
  <c r="F151" i="6"/>
  <c r="F146" i="6"/>
  <c r="O151" i="6"/>
  <c r="Q217" i="22"/>
  <c r="L151" i="6"/>
  <c r="N148" i="6"/>
  <c r="H152" i="6"/>
  <c r="H147" i="6"/>
  <c r="K148" i="6"/>
  <c r="K153" i="6"/>
  <c r="E152" i="6"/>
  <c r="E147" i="6"/>
  <c r="M148" i="6"/>
  <c r="O146" i="6"/>
  <c r="Q215" i="22"/>
  <c r="J151" i="6"/>
  <c r="H148" i="6"/>
  <c r="K152" i="6"/>
  <c r="K147" i="6"/>
  <c r="F153" i="6"/>
  <c r="F148" i="6"/>
  <c r="M151" i="6"/>
  <c r="M146" i="6"/>
  <c r="K151" i="6"/>
  <c r="K146" i="6"/>
  <c r="P152" i="6"/>
  <c r="P147" i="6"/>
  <c r="Q222" i="22" l="1"/>
  <c r="A3" i="66"/>
  <c r="A2" i="66"/>
  <c r="A1" i="66"/>
  <c r="C2" i="62" l="1"/>
  <c r="O1" i="62"/>
  <c r="O1" i="63"/>
  <c r="O1" i="61"/>
  <c r="O1" i="60"/>
  <c r="Q1" i="43"/>
  <c r="P1" i="64"/>
  <c r="E17" i="59" l="1"/>
  <c r="Q38" i="41"/>
  <c r="E140" i="27"/>
  <c r="H496" i="38"/>
  <c r="H495" i="38"/>
  <c r="H494" i="38"/>
  <c r="H493" i="38"/>
  <c r="H492" i="38"/>
  <c r="H491" i="38"/>
  <c r="F88" i="41"/>
  <c r="C9" i="65" l="1"/>
  <c r="C10" i="65"/>
  <c r="D13" i="65" l="1"/>
  <c r="D18" i="65"/>
  <c r="D33" i="65"/>
  <c r="D50" i="65"/>
  <c r="B58" i="65"/>
  <c r="B59" i="65"/>
  <c r="B60" i="65"/>
  <c r="B9" i="65"/>
  <c r="D9" i="65" s="1"/>
  <c r="B10" i="65"/>
  <c r="D10" i="65" s="1"/>
  <c r="B11" i="65"/>
  <c r="B12" i="65"/>
  <c r="B14" i="65"/>
  <c r="B15" i="65"/>
  <c r="B16" i="65"/>
  <c r="B17" i="65"/>
  <c r="B19" i="65"/>
  <c r="B20" i="65"/>
  <c r="B21" i="65"/>
  <c r="B22" i="65"/>
  <c r="B23" i="65"/>
  <c r="B24" i="65"/>
  <c r="B25" i="65"/>
  <c r="B26" i="65"/>
  <c r="B27" i="65"/>
  <c r="B28" i="65"/>
  <c r="B29" i="65"/>
  <c r="B30" i="65"/>
  <c r="B31" i="65"/>
  <c r="B32" i="65"/>
  <c r="B34" i="65"/>
  <c r="B35" i="65"/>
  <c r="B36" i="65"/>
  <c r="B37" i="65"/>
  <c r="B38" i="65"/>
  <c r="B39" i="65"/>
  <c r="B40" i="65"/>
  <c r="B41" i="65"/>
  <c r="B42" i="65"/>
  <c r="B43" i="65"/>
  <c r="B44" i="65"/>
  <c r="B45" i="65"/>
  <c r="B46" i="65"/>
  <c r="B47" i="65"/>
  <c r="B48" i="65"/>
  <c r="B49" i="65"/>
  <c r="B51" i="65"/>
  <c r="B52" i="65"/>
  <c r="B53" i="65"/>
  <c r="B54" i="65"/>
  <c r="B55" i="65"/>
  <c r="B56" i="65"/>
  <c r="B57" i="65"/>
  <c r="B8" i="65"/>
  <c r="B2" i="65"/>
  <c r="D2" i="64"/>
  <c r="C2" i="61"/>
  <c r="F31" i="32"/>
  <c r="G31" i="32"/>
  <c r="H31" i="32"/>
  <c r="I31" i="32"/>
  <c r="J31" i="32"/>
  <c r="K31" i="32"/>
  <c r="L31" i="32"/>
  <c r="M31" i="32"/>
  <c r="N31" i="32"/>
  <c r="O31" i="32"/>
  <c r="P31" i="32"/>
  <c r="E31" i="32"/>
  <c r="F31" i="31"/>
  <c r="F150" i="31" s="1"/>
  <c r="G31" i="31"/>
  <c r="G150" i="31" s="1"/>
  <c r="H31" i="31"/>
  <c r="H150" i="31" s="1"/>
  <c r="I31" i="31"/>
  <c r="I150" i="31" s="1"/>
  <c r="J31" i="31"/>
  <c r="J150" i="31" s="1"/>
  <c r="K31" i="31"/>
  <c r="K150" i="31" s="1"/>
  <c r="L31" i="31"/>
  <c r="L150" i="31" s="1"/>
  <c r="M31" i="31"/>
  <c r="M150" i="31" s="1"/>
  <c r="N31" i="31"/>
  <c r="N150" i="31" s="1"/>
  <c r="O31" i="31"/>
  <c r="O150" i="31" s="1"/>
  <c r="P31" i="31"/>
  <c r="P150" i="31" s="1"/>
  <c r="E31" i="31"/>
  <c r="E150" i="31" s="1"/>
  <c r="F31" i="10"/>
  <c r="F151" i="10" s="1"/>
  <c r="G31" i="10"/>
  <c r="G151" i="10" s="1"/>
  <c r="H31" i="10"/>
  <c r="H151" i="10" s="1"/>
  <c r="I31" i="10"/>
  <c r="I151" i="10" s="1"/>
  <c r="J31" i="10"/>
  <c r="J151" i="10" s="1"/>
  <c r="K31" i="10"/>
  <c r="K151" i="10" s="1"/>
  <c r="L31" i="10"/>
  <c r="L151" i="10" s="1"/>
  <c r="M31" i="10"/>
  <c r="M151" i="10" s="1"/>
  <c r="N31" i="10"/>
  <c r="N151" i="10" s="1"/>
  <c r="O31" i="10"/>
  <c r="O151" i="10" s="1"/>
  <c r="P31" i="10"/>
  <c r="P151" i="10" s="1"/>
  <c r="E31" i="10"/>
  <c r="E151" i="10" s="1"/>
  <c r="F31" i="9"/>
  <c r="G31" i="9"/>
  <c r="H31" i="9"/>
  <c r="I31" i="9"/>
  <c r="J31" i="9"/>
  <c r="K31" i="9"/>
  <c r="L31" i="9"/>
  <c r="M31" i="9"/>
  <c r="N31" i="9"/>
  <c r="O31" i="9"/>
  <c r="P31" i="9"/>
  <c r="E31" i="9"/>
  <c r="G31" i="8"/>
  <c r="H31" i="8"/>
  <c r="I31" i="8"/>
  <c r="J31" i="8"/>
  <c r="K31" i="8"/>
  <c r="L31" i="8"/>
  <c r="M31" i="8"/>
  <c r="N31" i="8"/>
  <c r="O31" i="8"/>
  <c r="P31" i="8"/>
  <c r="F31" i="8"/>
  <c r="E31" i="8"/>
  <c r="G31" i="22"/>
  <c r="H31" i="22"/>
  <c r="I31" i="22"/>
  <c r="J31" i="22"/>
  <c r="K31" i="22"/>
  <c r="L31" i="22"/>
  <c r="M31" i="22"/>
  <c r="N31" i="22"/>
  <c r="O31" i="22"/>
  <c r="P31" i="22"/>
  <c r="F31" i="22"/>
  <c r="E31" i="22"/>
  <c r="F31" i="6"/>
  <c r="G31" i="6"/>
  <c r="H31" i="6"/>
  <c r="I31" i="6"/>
  <c r="J31" i="6"/>
  <c r="K31" i="6"/>
  <c r="L31" i="6"/>
  <c r="M31" i="6"/>
  <c r="N31" i="6"/>
  <c r="O31" i="6"/>
  <c r="P31" i="6"/>
  <c r="E31" i="6"/>
  <c r="P43" i="64"/>
  <c r="O43" i="64"/>
  <c r="N43" i="64"/>
  <c r="M43" i="64"/>
  <c r="L43" i="64"/>
  <c r="K43" i="64"/>
  <c r="J43" i="64"/>
  <c r="I43" i="64"/>
  <c r="H43" i="64"/>
  <c r="G43" i="64"/>
  <c r="F43" i="64"/>
  <c r="E43" i="64"/>
  <c r="D43" i="64"/>
  <c r="P37" i="64"/>
  <c r="O37" i="64"/>
  <c r="N37" i="64"/>
  <c r="M37" i="64"/>
  <c r="L37" i="64"/>
  <c r="K37" i="64"/>
  <c r="J37" i="64"/>
  <c r="I37" i="64"/>
  <c r="H37" i="64"/>
  <c r="G37" i="64"/>
  <c r="F37" i="64"/>
  <c r="E37" i="64"/>
  <c r="D37" i="64"/>
  <c r="P33" i="64"/>
  <c r="O33" i="64"/>
  <c r="N33" i="64"/>
  <c r="M33" i="64"/>
  <c r="L33" i="64"/>
  <c r="K33" i="64"/>
  <c r="J33" i="64"/>
  <c r="I33" i="64"/>
  <c r="H33" i="64"/>
  <c r="G33" i="64"/>
  <c r="F33" i="64"/>
  <c r="E33" i="64"/>
  <c r="D33" i="64"/>
  <c r="P28" i="64"/>
  <c r="O28" i="64"/>
  <c r="N28" i="64"/>
  <c r="M28" i="64"/>
  <c r="L28" i="64"/>
  <c r="K28" i="64"/>
  <c r="J28" i="64"/>
  <c r="I28" i="64"/>
  <c r="H28" i="64"/>
  <c r="G28" i="64"/>
  <c r="F28" i="64"/>
  <c r="E28" i="64"/>
  <c r="D28" i="64"/>
  <c r="P22" i="64"/>
  <c r="O22" i="64"/>
  <c r="N22" i="64"/>
  <c r="M22" i="64"/>
  <c r="L22" i="64"/>
  <c r="K22" i="64"/>
  <c r="J22" i="64"/>
  <c r="I22" i="64"/>
  <c r="H22" i="64"/>
  <c r="G22" i="64"/>
  <c r="F22" i="64"/>
  <c r="E22" i="64"/>
  <c r="D22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P10" i="64"/>
  <c r="E10" i="64"/>
  <c r="F10" i="64"/>
  <c r="G10" i="64"/>
  <c r="H10" i="64"/>
  <c r="I10" i="64"/>
  <c r="J10" i="64"/>
  <c r="K10" i="64"/>
  <c r="L10" i="64"/>
  <c r="M10" i="64"/>
  <c r="N10" i="64"/>
  <c r="O10" i="64"/>
  <c r="D10" i="64"/>
  <c r="P42" i="64"/>
  <c r="P41" i="64"/>
  <c r="P40" i="64"/>
  <c r="P39" i="64"/>
  <c r="P36" i="64"/>
  <c r="P35" i="64"/>
  <c r="P32" i="64"/>
  <c r="P31" i="64"/>
  <c r="P30" i="64"/>
  <c r="P27" i="64"/>
  <c r="P26" i="64"/>
  <c r="P25" i="64"/>
  <c r="P24" i="64"/>
  <c r="P21" i="64"/>
  <c r="P20" i="64"/>
  <c r="P19" i="64"/>
  <c r="P18" i="64"/>
  <c r="P15" i="64"/>
  <c r="P14" i="64"/>
  <c r="P13" i="64"/>
  <c r="P12" i="64"/>
  <c r="B39" i="64"/>
  <c r="B35" i="64"/>
  <c r="B30" i="64"/>
  <c r="B24" i="64"/>
  <c r="B18" i="64"/>
  <c r="B12" i="64"/>
  <c r="B6" i="64"/>
  <c r="D28" i="65" l="1"/>
  <c r="C28" i="65"/>
  <c r="D57" i="65"/>
  <c r="C57" i="65"/>
  <c r="D11" i="65"/>
  <c r="C11" i="65"/>
  <c r="D56" i="65"/>
  <c r="C56" i="65"/>
  <c r="D41" i="65"/>
  <c r="C41" i="65"/>
  <c r="D26" i="65"/>
  <c r="C26" i="65"/>
  <c r="D12" i="65"/>
  <c r="C12" i="65"/>
  <c r="D43" i="65"/>
  <c r="C43" i="65"/>
  <c r="D42" i="65"/>
  <c r="C42" i="65"/>
  <c r="D55" i="65"/>
  <c r="C55" i="65"/>
  <c r="D25" i="65"/>
  <c r="C25" i="65"/>
  <c r="D54" i="65"/>
  <c r="C54" i="65"/>
  <c r="D39" i="65"/>
  <c r="C39" i="65"/>
  <c r="D24" i="65"/>
  <c r="C24" i="65"/>
  <c r="D60" i="65"/>
  <c r="C60" i="65"/>
  <c r="D53" i="65"/>
  <c r="C53" i="65"/>
  <c r="D38" i="65"/>
  <c r="C38" i="65"/>
  <c r="D23" i="65"/>
  <c r="C23" i="65"/>
  <c r="D59" i="65"/>
  <c r="C59" i="65"/>
  <c r="D52" i="65"/>
  <c r="C52" i="65"/>
  <c r="D37" i="65"/>
  <c r="C37" i="65"/>
  <c r="D22" i="65"/>
  <c r="C22" i="65"/>
  <c r="D58" i="65"/>
  <c r="C58" i="65"/>
  <c r="D51" i="65"/>
  <c r="C51" i="65"/>
  <c r="D36" i="65"/>
  <c r="C36" i="65"/>
  <c r="D21" i="65"/>
  <c r="C21" i="65"/>
  <c r="D49" i="65"/>
  <c r="C49" i="65"/>
  <c r="D20" i="65"/>
  <c r="C20" i="65"/>
  <c r="D48" i="65"/>
  <c r="C48" i="65"/>
  <c r="D32" i="65"/>
  <c r="C32" i="65"/>
  <c r="D46" i="65"/>
  <c r="C46" i="65"/>
  <c r="D31" i="65"/>
  <c r="C31" i="65"/>
  <c r="D16" i="65"/>
  <c r="C16" i="65"/>
  <c r="C8" i="65"/>
  <c r="D8" i="65"/>
  <c r="D27" i="65"/>
  <c r="C27" i="65"/>
  <c r="D40" i="65"/>
  <c r="C40" i="65"/>
  <c r="D35" i="65"/>
  <c r="C35" i="65"/>
  <c r="D19" i="65"/>
  <c r="C19" i="65"/>
  <c r="D47" i="65"/>
  <c r="C47" i="65"/>
  <c r="D45" i="65"/>
  <c r="C45" i="65"/>
  <c r="D30" i="65"/>
  <c r="C30" i="65"/>
  <c r="D15" i="65"/>
  <c r="C15" i="65"/>
  <c r="D34" i="65"/>
  <c r="C34" i="65"/>
  <c r="D17" i="65"/>
  <c r="C17" i="65"/>
  <c r="D44" i="65"/>
  <c r="C44" i="65"/>
  <c r="D29" i="65"/>
  <c r="C29" i="65"/>
  <c r="D14" i="65"/>
  <c r="C14" i="65"/>
  <c r="P8" i="64"/>
  <c r="P7" i="64"/>
  <c r="F47" i="32"/>
  <c r="P47" i="32"/>
  <c r="E47" i="32"/>
  <c r="F47" i="31"/>
  <c r="P47" i="31"/>
  <c r="E47" i="31"/>
  <c r="F47" i="10"/>
  <c r="P47" i="10"/>
  <c r="E47" i="10"/>
  <c r="F47" i="9"/>
  <c r="P47" i="9"/>
  <c r="E47" i="9"/>
  <c r="F47" i="8"/>
  <c r="P47" i="8"/>
  <c r="E47" i="8"/>
  <c r="F47" i="22"/>
  <c r="P47" i="22"/>
  <c r="E47" i="22"/>
  <c r="F47" i="6"/>
  <c r="P47" i="6"/>
  <c r="E47" i="6"/>
  <c r="E13" i="44"/>
  <c r="U18" i="44"/>
  <c r="U20" i="44" s="1"/>
  <c r="R15" i="44" s="1"/>
  <c r="C23" i="44"/>
  <c r="I23" i="44" l="1"/>
  <c r="H47" i="32" s="1"/>
  <c r="I21" i="44"/>
  <c r="H47" i="10" s="1"/>
  <c r="I19" i="44"/>
  <c r="H47" i="8" s="1"/>
  <c r="I17" i="44"/>
  <c r="H47" i="6" s="1"/>
  <c r="O22" i="44"/>
  <c r="N47" i="31" s="1"/>
  <c r="O20" i="44"/>
  <c r="N47" i="9" s="1"/>
  <c r="N22" i="44"/>
  <c r="M47" i="31" s="1"/>
  <c r="H17" i="44"/>
  <c r="G47" i="6" s="1"/>
  <c r="L22" i="44"/>
  <c r="K47" i="31" s="1"/>
  <c r="L18" i="44"/>
  <c r="K47" i="22" s="1"/>
  <c r="H22" i="44"/>
  <c r="G47" i="31" s="1"/>
  <c r="K22" i="44"/>
  <c r="J47" i="31" s="1"/>
  <c r="J20" i="44"/>
  <c r="I47" i="9" s="1"/>
  <c r="I20" i="44"/>
  <c r="H47" i="9" s="1"/>
  <c r="P23" i="44"/>
  <c r="O47" i="32" s="1"/>
  <c r="H18" i="44"/>
  <c r="G47" i="22" s="1"/>
  <c r="O21" i="44"/>
  <c r="N47" i="10" s="1"/>
  <c r="O19" i="44"/>
  <c r="N47" i="8" s="1"/>
  <c r="O17" i="44"/>
  <c r="N47" i="6" s="1"/>
  <c r="M19" i="44"/>
  <c r="L47" i="8" s="1"/>
  <c r="L23" i="44"/>
  <c r="K47" i="32" s="1"/>
  <c r="J21" i="44"/>
  <c r="I47" i="10" s="1"/>
  <c r="J17" i="44"/>
  <c r="I47" i="6" s="1"/>
  <c r="H23" i="44"/>
  <c r="G47" i="32" s="1"/>
  <c r="P22" i="44"/>
  <c r="O47" i="31" s="1"/>
  <c r="P20" i="44"/>
  <c r="O47" i="9" s="1"/>
  <c r="P18" i="44"/>
  <c r="O47" i="22" s="1"/>
  <c r="O18" i="44"/>
  <c r="N47" i="22" s="1"/>
  <c r="N18" i="44"/>
  <c r="M47" i="22" s="1"/>
  <c r="M22" i="44"/>
  <c r="L47" i="31" s="1"/>
  <c r="H20" i="44"/>
  <c r="G47" i="9" s="1"/>
  <c r="N21" i="44"/>
  <c r="M47" i="10" s="1"/>
  <c r="M21" i="44"/>
  <c r="L47" i="10" s="1"/>
  <c r="L17" i="44"/>
  <c r="K47" i="6" s="1"/>
  <c r="J19" i="44"/>
  <c r="I47" i="8" s="1"/>
  <c r="N20" i="44"/>
  <c r="M47" i="9" s="1"/>
  <c r="M20" i="44"/>
  <c r="L47" i="9" s="1"/>
  <c r="M18" i="44"/>
  <c r="L47" i="22" s="1"/>
  <c r="L20" i="44"/>
  <c r="K47" i="9" s="1"/>
  <c r="K20" i="44"/>
  <c r="J47" i="9" s="1"/>
  <c r="K18" i="44"/>
  <c r="J47" i="22" s="1"/>
  <c r="H21" i="44"/>
  <c r="G47" i="10" s="1"/>
  <c r="I18" i="44"/>
  <c r="H47" i="22" s="1"/>
  <c r="P19" i="44"/>
  <c r="O47" i="8" s="1"/>
  <c r="K23" i="44"/>
  <c r="J47" i="32" s="1"/>
  <c r="J18" i="44"/>
  <c r="I47" i="22" s="1"/>
  <c r="N23" i="44"/>
  <c r="M47" i="32" s="1"/>
  <c r="L19" i="44"/>
  <c r="K47" i="8" s="1"/>
  <c r="J23" i="44"/>
  <c r="I47" i="32" s="1"/>
  <c r="M23" i="44"/>
  <c r="L47" i="32" s="1"/>
  <c r="K19" i="44"/>
  <c r="J47" i="8" s="1"/>
  <c r="J22" i="44"/>
  <c r="I47" i="31" s="1"/>
  <c r="H19" i="44"/>
  <c r="G47" i="8" s="1"/>
  <c r="P21" i="44"/>
  <c r="O47" i="10" s="1"/>
  <c r="O23" i="44"/>
  <c r="N47" i="32" s="1"/>
  <c r="K21" i="44"/>
  <c r="J47" i="10" s="1"/>
  <c r="K17" i="44"/>
  <c r="J47" i="6" s="1"/>
  <c r="I22" i="44"/>
  <c r="H47" i="31" s="1"/>
  <c r="P17" i="44"/>
  <c r="O47" i="6" s="1"/>
  <c r="N19" i="44"/>
  <c r="M47" i="8" s="1"/>
  <c r="N17" i="44"/>
  <c r="M47" i="6" s="1"/>
  <c r="M17" i="44"/>
  <c r="L47" i="6" s="1"/>
  <c r="L21" i="44"/>
  <c r="K47" i="10" s="1"/>
  <c r="P9" i="64"/>
  <c r="F48" i="32" l="1"/>
  <c r="J48" i="32"/>
  <c r="K48" i="32"/>
  <c r="P48" i="32"/>
  <c r="P48" i="31"/>
  <c r="E48" i="31"/>
  <c r="M44" i="63"/>
  <c r="M10" i="63" s="1"/>
  <c r="O48" i="10" s="1"/>
  <c r="E48" i="10"/>
  <c r="F48" i="9"/>
  <c r="L48" i="9"/>
  <c r="P48" i="9"/>
  <c r="E48" i="9"/>
  <c r="F48" i="8"/>
  <c r="I48" i="8"/>
  <c r="F48" i="22"/>
  <c r="F48" i="6"/>
  <c r="L48" i="6"/>
  <c r="L44" i="63"/>
  <c r="K44" i="63"/>
  <c r="J44" i="63"/>
  <c r="I44" i="63"/>
  <c r="H44" i="63"/>
  <c r="G44" i="63"/>
  <c r="F44" i="63"/>
  <c r="E44" i="63"/>
  <c r="M42" i="63"/>
  <c r="M8" i="63" s="1"/>
  <c r="O48" i="8" s="1"/>
  <c r="L42" i="63"/>
  <c r="L8" i="63" s="1"/>
  <c r="N48" i="8" s="1"/>
  <c r="K42" i="63"/>
  <c r="J42" i="63"/>
  <c r="I42" i="63"/>
  <c r="H42" i="63"/>
  <c r="G42" i="63"/>
  <c r="F42" i="63"/>
  <c r="O42" i="63" s="1"/>
  <c r="E42" i="63"/>
  <c r="M43" i="63"/>
  <c r="L43" i="63"/>
  <c r="K43" i="63"/>
  <c r="J43" i="63"/>
  <c r="J9" i="63" s="1"/>
  <c r="I43" i="63"/>
  <c r="I9" i="63" s="1"/>
  <c r="K48" i="9" s="1"/>
  <c r="H43" i="63"/>
  <c r="H9" i="63" s="1"/>
  <c r="J48" i="9" s="1"/>
  <c r="G43" i="63"/>
  <c r="F43" i="63"/>
  <c r="F9" i="63" s="1"/>
  <c r="H48" i="9" s="1"/>
  <c r="E43" i="63"/>
  <c r="M41" i="63"/>
  <c r="L41" i="63"/>
  <c r="K41" i="63"/>
  <c r="J41" i="63"/>
  <c r="J7" i="63" s="1"/>
  <c r="L48" i="22" s="1"/>
  <c r="I41" i="63"/>
  <c r="H41" i="63"/>
  <c r="G41" i="63"/>
  <c r="F41" i="63"/>
  <c r="E41" i="63"/>
  <c r="M40" i="63"/>
  <c r="M47" i="63" s="1"/>
  <c r="M46" i="63"/>
  <c r="L46" i="63"/>
  <c r="K46" i="63"/>
  <c r="K12" i="63" s="1"/>
  <c r="M48" i="32" s="1"/>
  <c r="J46" i="63"/>
  <c r="J12" i="63" s="1"/>
  <c r="L48" i="32" s="1"/>
  <c r="I46" i="63"/>
  <c r="H46" i="63"/>
  <c r="H12" i="63" s="1"/>
  <c r="G46" i="63"/>
  <c r="F46" i="63"/>
  <c r="F12" i="63" s="1"/>
  <c r="H48" i="32" s="1"/>
  <c r="E46" i="63"/>
  <c r="M45" i="63"/>
  <c r="L45" i="63"/>
  <c r="K45" i="63"/>
  <c r="J45" i="63"/>
  <c r="I45" i="63"/>
  <c r="I11" i="63" s="1"/>
  <c r="K48" i="31" s="1"/>
  <c r="H45" i="63"/>
  <c r="H11" i="63" s="1"/>
  <c r="J48" i="31" s="1"/>
  <c r="G45" i="63"/>
  <c r="F45" i="63"/>
  <c r="F11" i="63" s="1"/>
  <c r="H48" i="31" s="1"/>
  <c r="E45" i="63"/>
  <c r="L40" i="63"/>
  <c r="K40" i="63"/>
  <c r="J40" i="63"/>
  <c r="I40" i="63"/>
  <c r="H40" i="63"/>
  <c r="G40" i="63"/>
  <c r="F40" i="63"/>
  <c r="E40" i="63"/>
  <c r="E47" i="63" s="1"/>
  <c r="F35" i="63"/>
  <c r="F36" i="63" s="1"/>
  <c r="L35" i="63"/>
  <c r="L12" i="63" s="1"/>
  <c r="N48" i="32" s="1"/>
  <c r="L34" i="63"/>
  <c r="G34" i="63"/>
  <c r="G11" i="63" s="1"/>
  <c r="I48" i="31" s="1"/>
  <c r="K33" i="63"/>
  <c r="K10" i="63" s="1"/>
  <c r="M48" i="10" s="1"/>
  <c r="G33" i="63"/>
  <c r="L32" i="63"/>
  <c r="G32" i="63"/>
  <c r="K29" i="63"/>
  <c r="L30" i="63"/>
  <c r="L36" i="63" s="1"/>
  <c r="K31" i="63"/>
  <c r="G31" i="63"/>
  <c r="G30" i="63"/>
  <c r="G29" i="63"/>
  <c r="F20" i="63"/>
  <c r="G20" i="63"/>
  <c r="G8" i="63" s="1"/>
  <c r="H20" i="63"/>
  <c r="H8" i="63" s="1"/>
  <c r="J48" i="8" s="1"/>
  <c r="I20" i="63"/>
  <c r="I8" i="63" s="1"/>
  <c r="K48" i="8" s="1"/>
  <c r="J20" i="63"/>
  <c r="K20" i="63"/>
  <c r="L20" i="63"/>
  <c r="F21" i="63"/>
  <c r="G21" i="63"/>
  <c r="H21" i="63"/>
  <c r="I21" i="63"/>
  <c r="J21" i="63"/>
  <c r="K21" i="63"/>
  <c r="L21" i="63"/>
  <c r="E21" i="63"/>
  <c r="E9" i="63" s="1"/>
  <c r="G48" i="9" s="1"/>
  <c r="E20" i="63"/>
  <c r="F19" i="63"/>
  <c r="F7" i="63" s="1"/>
  <c r="H48" i="22" s="1"/>
  <c r="G19" i="63"/>
  <c r="G7" i="63" s="1"/>
  <c r="I48" i="22" s="1"/>
  <c r="H19" i="63"/>
  <c r="H7" i="63" s="1"/>
  <c r="J48" i="22" s="1"/>
  <c r="I19" i="63"/>
  <c r="I7" i="63" s="1"/>
  <c r="K48" i="22" s="1"/>
  <c r="J19" i="63"/>
  <c r="K19" i="63"/>
  <c r="L19" i="63"/>
  <c r="E19" i="63"/>
  <c r="F18" i="63"/>
  <c r="G18" i="63"/>
  <c r="H18" i="63"/>
  <c r="H25" i="63" s="1"/>
  <c r="I18" i="63"/>
  <c r="J18" i="63"/>
  <c r="K18" i="63"/>
  <c r="K25" i="63" s="1"/>
  <c r="L18" i="63"/>
  <c r="L6" i="63" s="1"/>
  <c r="N48" i="6" s="1"/>
  <c r="E18" i="63"/>
  <c r="E6" i="63" s="1"/>
  <c r="G48" i="6" s="1"/>
  <c r="N47" i="63"/>
  <c r="D47" i="63"/>
  <c r="C47" i="63"/>
  <c r="B46" i="63"/>
  <c r="B45" i="63"/>
  <c r="B44" i="63"/>
  <c r="B43" i="63"/>
  <c r="B42" i="63"/>
  <c r="O41" i="63"/>
  <c r="B41" i="63"/>
  <c r="O40" i="63"/>
  <c r="B40" i="63"/>
  <c r="I36" i="63"/>
  <c r="H36" i="63"/>
  <c r="C36" i="63"/>
  <c r="B35" i="63"/>
  <c r="N11" i="63"/>
  <c r="M11" i="63"/>
  <c r="O48" i="31" s="1"/>
  <c r="D11" i="63"/>
  <c r="F48" i="31" s="1"/>
  <c r="B34" i="63"/>
  <c r="E10" i="63"/>
  <c r="G48" i="10" s="1"/>
  <c r="D10" i="63"/>
  <c r="F48" i="10" s="1"/>
  <c r="B33" i="63"/>
  <c r="D9" i="63"/>
  <c r="B32" i="63"/>
  <c r="D8" i="63"/>
  <c r="B31" i="63"/>
  <c r="K7" i="63"/>
  <c r="M48" i="22" s="1"/>
  <c r="E7" i="63"/>
  <c r="G48" i="22" s="1"/>
  <c r="D7" i="63"/>
  <c r="B30" i="63"/>
  <c r="N36" i="63"/>
  <c r="M36" i="63"/>
  <c r="K36" i="63"/>
  <c r="J36" i="63"/>
  <c r="D6" i="63"/>
  <c r="B29" i="63"/>
  <c r="D25" i="63"/>
  <c r="O24" i="63"/>
  <c r="B24" i="63"/>
  <c r="O23" i="63"/>
  <c r="B23" i="63"/>
  <c r="N10" i="63"/>
  <c r="P48" i="10" s="1"/>
  <c r="J10" i="63"/>
  <c r="L48" i="10" s="1"/>
  <c r="I10" i="63"/>
  <c r="K48" i="10" s="1"/>
  <c r="H10" i="63"/>
  <c r="J48" i="10" s="1"/>
  <c r="C10" i="63"/>
  <c r="B22" i="63"/>
  <c r="N9" i="63"/>
  <c r="M9" i="63"/>
  <c r="O48" i="9" s="1"/>
  <c r="C9" i="63"/>
  <c r="B21" i="63"/>
  <c r="N8" i="63"/>
  <c r="P48" i="8" s="1"/>
  <c r="C8" i="63"/>
  <c r="E48" i="8" s="1"/>
  <c r="B20" i="63"/>
  <c r="N7" i="63"/>
  <c r="P48" i="22" s="1"/>
  <c r="M7" i="63"/>
  <c r="O48" i="22" s="1"/>
  <c r="C7" i="63"/>
  <c r="E48" i="22" s="1"/>
  <c r="B19" i="63"/>
  <c r="N25" i="63"/>
  <c r="M25" i="63"/>
  <c r="J6" i="63"/>
  <c r="C25" i="63"/>
  <c r="B18" i="63"/>
  <c r="N12" i="63"/>
  <c r="M12" i="63"/>
  <c r="O48" i="32" s="1"/>
  <c r="I12" i="63"/>
  <c r="E12" i="63"/>
  <c r="G48" i="32" s="1"/>
  <c r="D12" i="63"/>
  <c r="C12" i="63"/>
  <c r="E48" i="32" s="1"/>
  <c r="B12" i="63"/>
  <c r="C11" i="63"/>
  <c r="B11" i="63"/>
  <c r="L10" i="63"/>
  <c r="N48" i="10" s="1"/>
  <c r="F10" i="63"/>
  <c r="H48" i="10" s="1"/>
  <c r="B10" i="63"/>
  <c r="B9" i="63"/>
  <c r="B8" i="63"/>
  <c r="B7" i="63"/>
  <c r="F6" i="63"/>
  <c r="H48" i="6" s="1"/>
  <c r="B6" i="63"/>
  <c r="C2" i="63"/>
  <c r="F56" i="32"/>
  <c r="G56" i="32"/>
  <c r="H56" i="32"/>
  <c r="I56" i="32"/>
  <c r="J56" i="32"/>
  <c r="K56" i="32"/>
  <c r="L56" i="32"/>
  <c r="M56" i="32"/>
  <c r="N56" i="32"/>
  <c r="O56" i="32"/>
  <c r="P56" i="32"/>
  <c r="E56" i="32"/>
  <c r="G56" i="31"/>
  <c r="G157" i="31" s="1"/>
  <c r="I56" i="31"/>
  <c r="I157" i="31" s="1"/>
  <c r="J56" i="31"/>
  <c r="J157" i="31" s="1"/>
  <c r="L56" i="31"/>
  <c r="L157" i="31" s="1"/>
  <c r="F56" i="8"/>
  <c r="L45" i="62"/>
  <c r="F45" i="62"/>
  <c r="O45" i="62" s="1"/>
  <c r="D33" i="62"/>
  <c r="E33" i="62"/>
  <c r="F33" i="62"/>
  <c r="G33" i="62"/>
  <c r="H33" i="62"/>
  <c r="I33" i="62"/>
  <c r="J33" i="62"/>
  <c r="K33" i="62"/>
  <c r="L33" i="62"/>
  <c r="M33" i="62"/>
  <c r="N33" i="62"/>
  <c r="N10" i="62" s="1"/>
  <c r="P56" i="10" s="1"/>
  <c r="P158" i="10" s="1"/>
  <c r="D34" i="62"/>
  <c r="D11" i="62" s="1"/>
  <c r="F56" i="31" s="1"/>
  <c r="F157" i="31" s="1"/>
  <c r="E34" i="62"/>
  <c r="E11" i="62" s="1"/>
  <c r="F34" i="62"/>
  <c r="G34" i="62"/>
  <c r="H34" i="62"/>
  <c r="I34" i="62"/>
  <c r="I11" i="62" s="1"/>
  <c r="K56" i="31" s="1"/>
  <c r="K157" i="31" s="1"/>
  <c r="J34" i="62"/>
  <c r="K34" i="62"/>
  <c r="L34" i="62"/>
  <c r="M34" i="62"/>
  <c r="M11" i="62" s="1"/>
  <c r="O56" i="31" s="1"/>
  <c r="O157" i="31" s="1"/>
  <c r="N34" i="62"/>
  <c r="C34" i="62"/>
  <c r="C11" i="62" s="1"/>
  <c r="E56" i="31" s="1"/>
  <c r="E157" i="31" s="1"/>
  <c r="C33" i="62"/>
  <c r="N32" i="62"/>
  <c r="M32" i="62"/>
  <c r="L32" i="62"/>
  <c r="K32" i="62"/>
  <c r="J32" i="62"/>
  <c r="I32" i="62"/>
  <c r="H32" i="62"/>
  <c r="H9" i="62" s="1"/>
  <c r="J56" i="9" s="1"/>
  <c r="G32" i="62"/>
  <c r="F32" i="62"/>
  <c r="E32" i="62"/>
  <c r="E9" i="62" s="1"/>
  <c r="G56" i="9" s="1"/>
  <c r="D32" i="62"/>
  <c r="D9" i="62" s="1"/>
  <c r="F56" i="9" s="1"/>
  <c r="C32" i="62"/>
  <c r="N31" i="62"/>
  <c r="N8" i="62" s="1"/>
  <c r="P56" i="8" s="1"/>
  <c r="M31" i="62"/>
  <c r="L31" i="62"/>
  <c r="K31" i="62"/>
  <c r="J31" i="62"/>
  <c r="I31" i="62"/>
  <c r="H31" i="62"/>
  <c r="G31" i="62"/>
  <c r="F31" i="62"/>
  <c r="F8" i="62" s="1"/>
  <c r="H56" i="8" s="1"/>
  <c r="E31" i="62"/>
  <c r="D31" i="62"/>
  <c r="D8" i="62" s="1"/>
  <c r="C31" i="62"/>
  <c r="N30" i="62"/>
  <c r="M30" i="62"/>
  <c r="L30" i="62"/>
  <c r="K30" i="62"/>
  <c r="J30" i="62"/>
  <c r="I30" i="62"/>
  <c r="I7" i="62" s="1"/>
  <c r="K56" i="22" s="1"/>
  <c r="H30" i="62"/>
  <c r="G30" i="62"/>
  <c r="F30" i="62"/>
  <c r="E30" i="62"/>
  <c r="D30" i="62"/>
  <c r="C30" i="62"/>
  <c r="D29" i="62"/>
  <c r="E29" i="62"/>
  <c r="F29" i="62"/>
  <c r="G29" i="62"/>
  <c r="H29" i="62"/>
  <c r="H36" i="62" s="1"/>
  <c r="I29" i="62"/>
  <c r="J29" i="62"/>
  <c r="K29" i="62"/>
  <c r="L29" i="62"/>
  <c r="M29" i="62"/>
  <c r="N29" i="62"/>
  <c r="C29" i="62"/>
  <c r="D22" i="62"/>
  <c r="E22" i="62"/>
  <c r="F22" i="62"/>
  <c r="G22" i="62"/>
  <c r="H22" i="62"/>
  <c r="H25" i="62" s="1"/>
  <c r="I22" i="62"/>
  <c r="J22" i="62"/>
  <c r="J25" i="62" s="1"/>
  <c r="K22" i="62"/>
  <c r="K10" i="62" s="1"/>
  <c r="M56" i="10" s="1"/>
  <c r="M158" i="10" s="1"/>
  <c r="L22" i="62"/>
  <c r="L10" i="62" s="1"/>
  <c r="N56" i="10" s="1"/>
  <c r="N158" i="10" s="1"/>
  <c r="M22" i="62"/>
  <c r="N22" i="62"/>
  <c r="C22" i="62"/>
  <c r="C10" i="62" s="1"/>
  <c r="E56" i="10" s="1"/>
  <c r="D21" i="62"/>
  <c r="E21" i="62"/>
  <c r="F21" i="62"/>
  <c r="G21" i="62"/>
  <c r="H21" i="62"/>
  <c r="I21" i="62"/>
  <c r="I9" i="62" s="1"/>
  <c r="K56" i="9" s="1"/>
  <c r="J21" i="62"/>
  <c r="J9" i="62" s="1"/>
  <c r="L56" i="9" s="1"/>
  <c r="K21" i="62"/>
  <c r="K9" i="62" s="1"/>
  <c r="M56" i="9" s="1"/>
  <c r="L21" i="62"/>
  <c r="L9" i="62" s="1"/>
  <c r="N56" i="9" s="1"/>
  <c r="M21" i="62"/>
  <c r="N21" i="62"/>
  <c r="C21" i="62"/>
  <c r="D20" i="62"/>
  <c r="E20" i="62"/>
  <c r="F20" i="62"/>
  <c r="G20" i="62"/>
  <c r="G8" i="62" s="1"/>
  <c r="I56" i="8" s="1"/>
  <c r="H20" i="62"/>
  <c r="H8" i="62" s="1"/>
  <c r="J56" i="8" s="1"/>
  <c r="I20" i="62"/>
  <c r="J20" i="62"/>
  <c r="J8" i="62" s="1"/>
  <c r="L56" i="8" s="1"/>
  <c r="K20" i="62"/>
  <c r="K8" i="62" s="1"/>
  <c r="M56" i="8" s="1"/>
  <c r="L20" i="62"/>
  <c r="L8" i="62" s="1"/>
  <c r="N56" i="8" s="1"/>
  <c r="M20" i="62"/>
  <c r="M8" i="62" s="1"/>
  <c r="O56" i="8" s="1"/>
  <c r="N20" i="62"/>
  <c r="C20" i="62"/>
  <c r="N19" i="62"/>
  <c r="D19" i="62"/>
  <c r="D7" i="62" s="1"/>
  <c r="F56" i="22" s="1"/>
  <c r="E19" i="62"/>
  <c r="F19" i="62"/>
  <c r="G19" i="62"/>
  <c r="H19" i="62"/>
  <c r="I19" i="62"/>
  <c r="J19" i="62"/>
  <c r="K19" i="62"/>
  <c r="L19" i="62"/>
  <c r="M19" i="62"/>
  <c r="C19" i="62"/>
  <c r="O19" i="62" s="1"/>
  <c r="D18" i="62"/>
  <c r="D6" i="62" s="1"/>
  <c r="F56" i="6" s="1"/>
  <c r="E18" i="62"/>
  <c r="E25" i="62" s="1"/>
  <c r="F18" i="62"/>
  <c r="G18" i="62"/>
  <c r="G25" i="62" s="1"/>
  <c r="H18" i="62"/>
  <c r="I18" i="62"/>
  <c r="J18" i="62"/>
  <c r="K18" i="62"/>
  <c r="K6" i="62" s="1"/>
  <c r="M56" i="6" s="1"/>
  <c r="L18" i="62"/>
  <c r="L6" i="62" s="1"/>
  <c r="N56" i="6" s="1"/>
  <c r="M18" i="62"/>
  <c r="N18" i="62"/>
  <c r="C18" i="62"/>
  <c r="C6" i="62" s="1"/>
  <c r="E56" i="6" s="1"/>
  <c r="C7" i="62"/>
  <c r="E56" i="22" s="1"/>
  <c r="E7" i="62"/>
  <c r="G56" i="22" s="1"/>
  <c r="F7" i="62"/>
  <c r="H56" i="22" s="1"/>
  <c r="J7" i="62"/>
  <c r="L56" i="22" s="1"/>
  <c r="I8" i="62"/>
  <c r="K56" i="8" s="1"/>
  <c r="D10" i="62"/>
  <c r="F56" i="10" s="1"/>
  <c r="F158" i="10" s="1"/>
  <c r="F10" i="62"/>
  <c r="H56" i="10" s="1"/>
  <c r="H158" i="10" s="1"/>
  <c r="G10" i="62"/>
  <c r="I56" i="10" s="1"/>
  <c r="I158" i="10" s="1"/>
  <c r="H10" i="62"/>
  <c r="J56" i="10" s="1"/>
  <c r="J158" i="10" s="1"/>
  <c r="I10" i="62"/>
  <c r="K56" i="10" s="1"/>
  <c r="K158" i="10" s="1"/>
  <c r="J10" i="62"/>
  <c r="L56" i="10" s="1"/>
  <c r="L158" i="10" s="1"/>
  <c r="G11" i="62"/>
  <c r="H11" i="62"/>
  <c r="J11" i="62"/>
  <c r="K11" i="62"/>
  <c r="M56" i="31" s="1"/>
  <c r="M157" i="31" s="1"/>
  <c r="L11" i="62"/>
  <c r="N56" i="31" s="1"/>
  <c r="N157" i="31" s="1"/>
  <c r="N11" i="62"/>
  <c r="P56" i="31" s="1"/>
  <c r="P157" i="31" s="1"/>
  <c r="C12" i="62"/>
  <c r="D12" i="62"/>
  <c r="E12" i="62"/>
  <c r="F12" i="62"/>
  <c r="G12" i="62"/>
  <c r="H12" i="62"/>
  <c r="I12" i="62"/>
  <c r="J12" i="62"/>
  <c r="K12" i="62"/>
  <c r="L12" i="62"/>
  <c r="M12" i="62"/>
  <c r="N12" i="62"/>
  <c r="H6" i="62"/>
  <c r="J56" i="6" s="1"/>
  <c r="I6" i="62"/>
  <c r="K56" i="6" s="1"/>
  <c r="J6" i="62"/>
  <c r="L56" i="6" s="1"/>
  <c r="N47" i="62"/>
  <c r="M47" i="62"/>
  <c r="K47" i="62"/>
  <c r="J47" i="62"/>
  <c r="I47" i="62"/>
  <c r="H47" i="62"/>
  <c r="G47" i="62"/>
  <c r="F47" i="62"/>
  <c r="E47" i="62"/>
  <c r="D47" i="62"/>
  <c r="C47" i="62"/>
  <c r="O46" i="62"/>
  <c r="B46" i="62"/>
  <c r="B45" i="62"/>
  <c r="O44" i="62"/>
  <c r="B44" i="62"/>
  <c r="O43" i="62"/>
  <c r="B43" i="62"/>
  <c r="O42" i="62"/>
  <c r="B42" i="62"/>
  <c r="O41" i="62"/>
  <c r="B41" i="62"/>
  <c r="O40" i="62"/>
  <c r="L47" i="62"/>
  <c r="B40" i="62"/>
  <c r="O35" i="62"/>
  <c r="B35" i="62"/>
  <c r="B34" i="62"/>
  <c r="B33" i="62"/>
  <c r="B32" i="62"/>
  <c r="B31" i="62"/>
  <c r="B30" i="62"/>
  <c r="B29" i="62"/>
  <c r="B24" i="62"/>
  <c r="O23" i="62"/>
  <c r="B23" i="62"/>
  <c r="B22" i="62"/>
  <c r="O21" i="62"/>
  <c r="B21" i="62"/>
  <c r="B20" i="62"/>
  <c r="B19" i="62"/>
  <c r="B18" i="62"/>
  <c r="B12" i="62"/>
  <c r="B11" i="62"/>
  <c r="B10" i="62"/>
  <c r="B9" i="62"/>
  <c r="B8" i="62"/>
  <c r="B7" i="62"/>
  <c r="B6" i="62"/>
  <c r="N41" i="32"/>
  <c r="O41" i="32"/>
  <c r="O41" i="31"/>
  <c r="P41" i="31"/>
  <c r="N41" i="10"/>
  <c r="O41" i="10"/>
  <c r="I41" i="8"/>
  <c r="I41" i="22"/>
  <c r="J41" i="22"/>
  <c r="N35" i="61"/>
  <c r="M35" i="61"/>
  <c r="L35" i="61"/>
  <c r="K35" i="61"/>
  <c r="K12" i="61" s="1"/>
  <c r="M41" i="32" s="1"/>
  <c r="J35" i="61"/>
  <c r="J12" i="61" s="1"/>
  <c r="L41" i="32" s="1"/>
  <c r="I35" i="61"/>
  <c r="I12" i="61" s="1"/>
  <c r="K41" i="32" s="1"/>
  <c r="H35" i="61"/>
  <c r="H12" i="61" s="1"/>
  <c r="J41" i="32" s="1"/>
  <c r="G35" i="61"/>
  <c r="G12" i="61" s="1"/>
  <c r="I41" i="32" s="1"/>
  <c r="F35" i="61"/>
  <c r="F12" i="61" s="1"/>
  <c r="H41" i="32" s="1"/>
  <c r="E35" i="61"/>
  <c r="E12" i="61" s="1"/>
  <c r="G41" i="32" s="1"/>
  <c r="D35" i="61"/>
  <c r="C35" i="61"/>
  <c r="N34" i="61"/>
  <c r="M34" i="61"/>
  <c r="L34" i="61"/>
  <c r="K34" i="61"/>
  <c r="J34" i="61"/>
  <c r="I34" i="61"/>
  <c r="H34" i="61"/>
  <c r="G34" i="61"/>
  <c r="F34" i="61"/>
  <c r="E34" i="61"/>
  <c r="E11" i="61" s="1"/>
  <c r="G41" i="31" s="1"/>
  <c r="D34" i="61"/>
  <c r="D11" i="61" s="1"/>
  <c r="F41" i="31" s="1"/>
  <c r="C34" i="61"/>
  <c r="N33" i="61"/>
  <c r="M33" i="61"/>
  <c r="L33" i="61"/>
  <c r="K33" i="61"/>
  <c r="J33" i="61"/>
  <c r="I33" i="61"/>
  <c r="H33" i="61"/>
  <c r="G33" i="61"/>
  <c r="F33" i="61"/>
  <c r="E33" i="61"/>
  <c r="E10" i="61" s="1"/>
  <c r="G41" i="10" s="1"/>
  <c r="D33" i="61"/>
  <c r="C33" i="61"/>
  <c r="N32" i="61"/>
  <c r="M32" i="61"/>
  <c r="L32" i="61"/>
  <c r="K32" i="61"/>
  <c r="J32" i="61"/>
  <c r="I32" i="61"/>
  <c r="H32" i="61"/>
  <c r="G32" i="61"/>
  <c r="F32" i="61"/>
  <c r="E32" i="61"/>
  <c r="E9" i="61" s="1"/>
  <c r="G41" i="9" s="1"/>
  <c r="D32" i="61"/>
  <c r="D9" i="61" s="1"/>
  <c r="F41" i="9" s="1"/>
  <c r="C32" i="61"/>
  <c r="N31" i="61"/>
  <c r="M31" i="61"/>
  <c r="L31" i="61"/>
  <c r="K31" i="61"/>
  <c r="J31" i="61"/>
  <c r="I31" i="61"/>
  <c r="H31" i="61"/>
  <c r="G31" i="61"/>
  <c r="F31" i="61"/>
  <c r="E31" i="61"/>
  <c r="D31" i="61"/>
  <c r="D8" i="61" s="1"/>
  <c r="F41" i="8" s="1"/>
  <c r="C31" i="61"/>
  <c r="O31" i="61" s="1"/>
  <c r="N30" i="61"/>
  <c r="M30" i="61"/>
  <c r="L30" i="61"/>
  <c r="K30" i="61"/>
  <c r="J30" i="61"/>
  <c r="I30" i="61"/>
  <c r="H30" i="61"/>
  <c r="G30" i="61"/>
  <c r="F30" i="61"/>
  <c r="E30" i="61"/>
  <c r="D30" i="61"/>
  <c r="C30" i="61"/>
  <c r="N29" i="61"/>
  <c r="M29" i="61"/>
  <c r="M36" i="61" s="1"/>
  <c r="L29" i="61"/>
  <c r="L36" i="61" s="1"/>
  <c r="K29" i="61"/>
  <c r="J29" i="61"/>
  <c r="J36" i="61" s="1"/>
  <c r="I29" i="61"/>
  <c r="I36" i="61" s="1"/>
  <c r="H29" i="61"/>
  <c r="H36" i="61" s="1"/>
  <c r="G29" i="61"/>
  <c r="G6" i="61" s="1"/>
  <c r="I41" i="6" s="1"/>
  <c r="F29" i="61"/>
  <c r="E29" i="61"/>
  <c r="D29" i="61"/>
  <c r="C29" i="61"/>
  <c r="M24" i="61"/>
  <c r="J24" i="61"/>
  <c r="G24" i="61"/>
  <c r="D24" i="61"/>
  <c r="D23" i="61"/>
  <c r="E23" i="61"/>
  <c r="F23" i="61"/>
  <c r="F11" i="61" s="1"/>
  <c r="H41" i="31" s="1"/>
  <c r="G23" i="61"/>
  <c r="G11" i="61" s="1"/>
  <c r="I41" i="31" s="1"/>
  <c r="H23" i="61"/>
  <c r="H11" i="61" s="1"/>
  <c r="J41" i="31" s="1"/>
  <c r="I23" i="61"/>
  <c r="I11" i="61" s="1"/>
  <c r="K41" i="31" s="1"/>
  <c r="J23" i="61"/>
  <c r="K23" i="61"/>
  <c r="L23" i="61"/>
  <c r="M23" i="61"/>
  <c r="M11" i="61" s="1"/>
  <c r="N23" i="61"/>
  <c r="N11" i="61" s="1"/>
  <c r="C23" i="61"/>
  <c r="C11" i="61" s="1"/>
  <c r="E41" i="31" s="1"/>
  <c r="D22" i="61"/>
  <c r="D10" i="61" s="1"/>
  <c r="F41" i="10" s="1"/>
  <c r="E22" i="61"/>
  <c r="F22" i="61"/>
  <c r="F10" i="61" s="1"/>
  <c r="H41" i="10" s="1"/>
  <c r="G22" i="61"/>
  <c r="G10" i="61" s="1"/>
  <c r="I41" i="10" s="1"/>
  <c r="H22" i="61"/>
  <c r="H10" i="61" s="1"/>
  <c r="J41" i="10" s="1"/>
  <c r="I22" i="61"/>
  <c r="I10" i="61" s="1"/>
  <c r="K41" i="10" s="1"/>
  <c r="J22" i="61"/>
  <c r="J10" i="61" s="1"/>
  <c r="L41" i="10" s="1"/>
  <c r="K22" i="61"/>
  <c r="K10" i="61" s="1"/>
  <c r="M41" i="10" s="1"/>
  <c r="L22" i="61"/>
  <c r="L10" i="61" s="1"/>
  <c r="M22" i="61"/>
  <c r="M10" i="61" s="1"/>
  <c r="N22" i="61"/>
  <c r="C22" i="61"/>
  <c r="D21" i="61"/>
  <c r="E21" i="61"/>
  <c r="F21" i="61"/>
  <c r="G21" i="61"/>
  <c r="H21" i="61"/>
  <c r="I21" i="61"/>
  <c r="I9" i="61" s="1"/>
  <c r="K41" i="9" s="1"/>
  <c r="J21" i="61"/>
  <c r="K21" i="61"/>
  <c r="L21" i="61"/>
  <c r="M21" i="61"/>
  <c r="M9" i="61" s="1"/>
  <c r="O41" i="9" s="1"/>
  <c r="N21" i="61"/>
  <c r="C21" i="61"/>
  <c r="D20" i="61"/>
  <c r="E20" i="61"/>
  <c r="F20" i="61"/>
  <c r="F8" i="61" s="1"/>
  <c r="H41" i="8" s="1"/>
  <c r="G20" i="61"/>
  <c r="G8" i="61" s="1"/>
  <c r="H20" i="61"/>
  <c r="H8" i="61" s="1"/>
  <c r="J41" i="8" s="1"/>
  <c r="I20" i="61"/>
  <c r="I8" i="61" s="1"/>
  <c r="K41" i="8" s="1"/>
  <c r="J20" i="61"/>
  <c r="J8" i="61" s="1"/>
  <c r="L41" i="8" s="1"/>
  <c r="K20" i="61"/>
  <c r="L20" i="61"/>
  <c r="M20" i="61"/>
  <c r="M8" i="61" s="1"/>
  <c r="O41" i="8" s="1"/>
  <c r="N20" i="61"/>
  <c r="N8" i="61" s="1"/>
  <c r="P41" i="8" s="1"/>
  <c r="C20" i="61"/>
  <c r="O20" i="61" s="1"/>
  <c r="D19" i="61"/>
  <c r="E19" i="61"/>
  <c r="F19" i="61"/>
  <c r="G19" i="61"/>
  <c r="G7" i="61" s="1"/>
  <c r="H19" i="61"/>
  <c r="H7" i="61" s="1"/>
  <c r="I19" i="61"/>
  <c r="J19" i="61"/>
  <c r="K19" i="61"/>
  <c r="L19" i="61"/>
  <c r="M19" i="61"/>
  <c r="M7" i="61" s="1"/>
  <c r="O41" i="22" s="1"/>
  <c r="N19" i="61"/>
  <c r="N7" i="61" s="1"/>
  <c r="P41" i="22" s="1"/>
  <c r="C19" i="61"/>
  <c r="C7" i="61" s="1"/>
  <c r="E41" i="22" s="1"/>
  <c r="D18" i="61"/>
  <c r="D25" i="61" s="1"/>
  <c r="E18" i="61"/>
  <c r="E6" i="61" s="1"/>
  <c r="G41" i="6" s="1"/>
  <c r="F18" i="61"/>
  <c r="G18" i="61"/>
  <c r="H18" i="61"/>
  <c r="I18" i="61"/>
  <c r="J18" i="61"/>
  <c r="J6" i="61" s="1"/>
  <c r="L41" i="6" s="1"/>
  <c r="K18" i="61"/>
  <c r="K6" i="61" s="1"/>
  <c r="M41" i="6" s="1"/>
  <c r="L18" i="61"/>
  <c r="M18" i="61"/>
  <c r="M6" i="61" s="1"/>
  <c r="O41" i="6" s="1"/>
  <c r="N18" i="61"/>
  <c r="N6" i="61" s="1"/>
  <c r="P41" i="6" s="1"/>
  <c r="C18" i="61"/>
  <c r="E7" i="61"/>
  <c r="G41" i="22" s="1"/>
  <c r="F7" i="61"/>
  <c r="H41" i="22" s="1"/>
  <c r="C8" i="61"/>
  <c r="E41" i="8" s="1"/>
  <c r="F9" i="61"/>
  <c r="H41" i="9" s="1"/>
  <c r="G9" i="61"/>
  <c r="I41" i="9" s="1"/>
  <c r="H9" i="61"/>
  <c r="J41" i="9" s="1"/>
  <c r="J9" i="61"/>
  <c r="L41" i="9" s="1"/>
  <c r="K9" i="61"/>
  <c r="M41" i="9" s="1"/>
  <c r="N9" i="61"/>
  <c r="P41" i="9" s="1"/>
  <c r="C12" i="61"/>
  <c r="E41" i="32" s="1"/>
  <c r="L12" i="61"/>
  <c r="M12" i="61"/>
  <c r="N12" i="61"/>
  <c r="P41" i="32" s="1"/>
  <c r="F6" i="61"/>
  <c r="H41" i="6" s="1"/>
  <c r="H6" i="61"/>
  <c r="J41" i="6" s="1"/>
  <c r="B35" i="61"/>
  <c r="B34" i="61"/>
  <c r="B33" i="61"/>
  <c r="B32" i="61"/>
  <c r="B31" i="61"/>
  <c r="B30" i="61"/>
  <c r="B29" i="61"/>
  <c r="O24" i="61"/>
  <c r="B24" i="61"/>
  <c r="B23" i="61"/>
  <c r="B22" i="61"/>
  <c r="B21" i="61"/>
  <c r="B20" i="61"/>
  <c r="B19" i="61"/>
  <c r="B18" i="61"/>
  <c r="B12" i="61"/>
  <c r="B11" i="61"/>
  <c r="B10" i="61"/>
  <c r="B9" i="61"/>
  <c r="B8" i="61"/>
  <c r="B7" i="61"/>
  <c r="B6" i="61"/>
  <c r="E158" i="10" l="1"/>
  <c r="K47" i="63"/>
  <c r="O46" i="63"/>
  <c r="K8" i="63"/>
  <c r="M48" i="8" s="1"/>
  <c r="G10" i="63"/>
  <c r="I48" i="10" s="1"/>
  <c r="O45" i="63"/>
  <c r="O43" i="63"/>
  <c r="O47" i="63" s="1"/>
  <c r="K11" i="63"/>
  <c r="M48" i="31" s="1"/>
  <c r="F25" i="63"/>
  <c r="J47" i="63"/>
  <c r="O44" i="63"/>
  <c r="K9" i="63"/>
  <c r="M48" i="9" s="1"/>
  <c r="J25" i="63"/>
  <c r="I25" i="63"/>
  <c r="L11" i="63"/>
  <c r="N48" i="31" s="1"/>
  <c r="O35" i="63"/>
  <c r="E8" i="63"/>
  <c r="G48" i="8" s="1"/>
  <c r="G9" i="63"/>
  <c r="I48" i="9" s="1"/>
  <c r="L47" i="63"/>
  <c r="J8" i="63"/>
  <c r="L48" i="8" s="1"/>
  <c r="H47" i="63"/>
  <c r="L9" i="63"/>
  <c r="N48" i="9" s="1"/>
  <c r="L7" i="63"/>
  <c r="N48" i="22" s="1"/>
  <c r="G47" i="63"/>
  <c r="G12" i="63"/>
  <c r="I48" i="32" s="1"/>
  <c r="E11" i="63"/>
  <c r="G48" i="31" s="1"/>
  <c r="J11" i="63"/>
  <c r="I47" i="63"/>
  <c r="G36" i="63"/>
  <c r="G6" i="63"/>
  <c r="I48" i="6" s="1"/>
  <c r="F8" i="63"/>
  <c r="L25" i="63"/>
  <c r="E25" i="63"/>
  <c r="K36" i="61"/>
  <c r="G36" i="61"/>
  <c r="E25" i="61"/>
  <c r="F25" i="61"/>
  <c r="O21" i="61"/>
  <c r="K8" i="61"/>
  <c r="M41" i="8" s="1"/>
  <c r="I7" i="61"/>
  <c r="K41" i="22" s="1"/>
  <c r="O18" i="61"/>
  <c r="O19" i="61"/>
  <c r="O22" i="61"/>
  <c r="L6" i="61"/>
  <c r="N41" i="6" s="1"/>
  <c r="D6" i="61"/>
  <c r="F41" i="6" s="1"/>
  <c r="O35" i="61"/>
  <c r="G25" i="61"/>
  <c r="J7" i="61"/>
  <c r="L41" i="22" s="1"/>
  <c r="E8" i="61"/>
  <c r="G41" i="8" s="1"/>
  <c r="K11" i="61"/>
  <c r="M41" i="31" s="1"/>
  <c r="F36" i="61"/>
  <c r="J11" i="61"/>
  <c r="L41" i="31" s="1"/>
  <c r="L9" i="61"/>
  <c r="N41" i="9" s="1"/>
  <c r="N36" i="61"/>
  <c r="D12" i="61"/>
  <c r="F41" i="32" s="1"/>
  <c r="M10" i="62"/>
  <c r="O56" i="10" s="1"/>
  <c r="O158" i="10" s="1"/>
  <c r="G6" i="62"/>
  <c r="I56" i="6" s="1"/>
  <c r="C9" i="62"/>
  <c r="E56" i="9" s="1"/>
  <c r="O29" i="62"/>
  <c r="O31" i="62"/>
  <c r="G9" i="62"/>
  <c r="I56" i="9" s="1"/>
  <c r="N9" i="62"/>
  <c r="P56" i="9" s="1"/>
  <c r="M9" i="62"/>
  <c r="O56" i="9" s="1"/>
  <c r="I36" i="62"/>
  <c r="O30" i="62"/>
  <c r="K36" i="62"/>
  <c r="O20" i="62"/>
  <c r="N7" i="62"/>
  <c r="P56" i="22" s="1"/>
  <c r="J36" i="62"/>
  <c r="M6" i="62"/>
  <c r="O56" i="6" s="1"/>
  <c r="G7" i="62"/>
  <c r="I56" i="22" s="1"/>
  <c r="F36" i="62"/>
  <c r="O18" i="62"/>
  <c r="D13" i="63"/>
  <c r="O10" i="63"/>
  <c r="O7" i="63"/>
  <c r="D36" i="63"/>
  <c r="H6" i="63"/>
  <c r="E36" i="63"/>
  <c r="I6" i="63"/>
  <c r="G25" i="63"/>
  <c r="F47" i="63"/>
  <c r="K6" i="63"/>
  <c r="M6" i="63"/>
  <c r="N6" i="63"/>
  <c r="O18" i="63"/>
  <c r="O19" i="63"/>
  <c r="O20" i="63"/>
  <c r="O21" i="63"/>
  <c r="O22" i="63"/>
  <c r="C6" i="63"/>
  <c r="E48" i="6" s="1"/>
  <c r="O29" i="63"/>
  <c r="O30" i="63"/>
  <c r="O31" i="63"/>
  <c r="O32" i="63"/>
  <c r="O33" i="63"/>
  <c r="O34" i="63"/>
  <c r="H7" i="62"/>
  <c r="J56" i="22" s="1"/>
  <c r="O33" i="62"/>
  <c r="O34" i="62"/>
  <c r="F11" i="62"/>
  <c r="H56" i="31" s="1"/>
  <c r="H157" i="31" s="1"/>
  <c r="E36" i="62"/>
  <c r="E10" i="62"/>
  <c r="O10" i="62" s="1"/>
  <c r="M7" i="62"/>
  <c r="O56" i="22" s="1"/>
  <c r="L7" i="62"/>
  <c r="G36" i="62"/>
  <c r="C36" i="62"/>
  <c r="K7" i="62"/>
  <c r="M56" i="22" s="1"/>
  <c r="D36" i="62"/>
  <c r="F9" i="62"/>
  <c r="C8" i="62"/>
  <c r="N36" i="62"/>
  <c r="E8" i="62"/>
  <c r="G56" i="8" s="1"/>
  <c r="L36" i="62"/>
  <c r="O32" i="62"/>
  <c r="F6" i="62"/>
  <c r="H56" i="6" s="1"/>
  <c r="E6" i="62"/>
  <c r="G56" i="6" s="1"/>
  <c r="M36" i="62"/>
  <c r="O22" i="62"/>
  <c r="C25" i="62"/>
  <c r="N25" i="62"/>
  <c r="I25" i="62"/>
  <c r="L25" i="62"/>
  <c r="M25" i="62"/>
  <c r="K25" i="62"/>
  <c r="N6" i="62"/>
  <c r="K13" i="62"/>
  <c r="O47" i="62"/>
  <c r="D13" i="62"/>
  <c r="O12" i="62"/>
  <c r="O24" i="62"/>
  <c r="I13" i="62"/>
  <c r="D25" i="62"/>
  <c r="J13" i="62"/>
  <c r="F25" i="62"/>
  <c r="O8" i="62"/>
  <c r="L11" i="61"/>
  <c r="N41" i="31" s="1"/>
  <c r="O34" i="61"/>
  <c r="N10" i="61"/>
  <c r="P41" i="10" s="1"/>
  <c r="E36" i="61"/>
  <c r="O33" i="61"/>
  <c r="O32" i="61"/>
  <c r="C9" i="61"/>
  <c r="E41" i="9" s="1"/>
  <c r="L8" i="61"/>
  <c r="N41" i="8" s="1"/>
  <c r="L7" i="61"/>
  <c r="N41" i="22" s="1"/>
  <c r="K7" i="61"/>
  <c r="M41" i="22" s="1"/>
  <c r="O30" i="61"/>
  <c r="D7" i="61"/>
  <c r="F41" i="22" s="1"/>
  <c r="D36" i="61"/>
  <c r="O29" i="61"/>
  <c r="C36" i="61"/>
  <c r="C6" i="61"/>
  <c r="E41" i="6" s="1"/>
  <c r="O23" i="61"/>
  <c r="L25" i="61"/>
  <c r="K25" i="61"/>
  <c r="C25" i="61"/>
  <c r="C10" i="61"/>
  <c r="M25" i="61"/>
  <c r="N25" i="61"/>
  <c r="J25" i="61"/>
  <c r="I25" i="61"/>
  <c r="H25" i="61"/>
  <c r="I6" i="61"/>
  <c r="E13" i="61"/>
  <c r="F13" i="61"/>
  <c r="G13" i="61"/>
  <c r="J13" i="61"/>
  <c r="O11" i="61"/>
  <c r="M13" i="61"/>
  <c r="N13" i="61"/>
  <c r="O25" i="61"/>
  <c r="O9" i="61"/>
  <c r="O8" i="61"/>
  <c r="H13" i="61"/>
  <c r="H13" i="63" l="1"/>
  <c r="J48" i="6"/>
  <c r="J13" i="63"/>
  <c r="L48" i="31"/>
  <c r="N13" i="63"/>
  <c r="P48" i="6"/>
  <c r="O12" i="63"/>
  <c r="L13" i="63"/>
  <c r="E13" i="63"/>
  <c r="O11" i="63"/>
  <c r="O9" i="63"/>
  <c r="G13" i="63"/>
  <c r="M13" i="63"/>
  <c r="O48" i="6"/>
  <c r="K13" i="63"/>
  <c r="M48" i="6"/>
  <c r="I13" i="63"/>
  <c r="K48" i="6"/>
  <c r="F13" i="63"/>
  <c r="H48" i="8"/>
  <c r="O8" i="63"/>
  <c r="L13" i="61"/>
  <c r="O6" i="61"/>
  <c r="K41" i="6"/>
  <c r="O12" i="61"/>
  <c r="D13" i="61"/>
  <c r="C13" i="61"/>
  <c r="E41" i="10"/>
  <c r="M13" i="62"/>
  <c r="C13" i="62"/>
  <c r="E56" i="8"/>
  <c r="O9" i="62"/>
  <c r="H56" i="9"/>
  <c r="O7" i="62"/>
  <c r="H13" i="62"/>
  <c r="G13" i="62"/>
  <c r="O25" i="62"/>
  <c r="O11" i="62"/>
  <c r="E13" i="62"/>
  <c r="G56" i="10"/>
  <c r="O25" i="63"/>
  <c r="O36" i="63"/>
  <c r="C13" i="63"/>
  <c r="O6" i="63"/>
  <c r="L13" i="62"/>
  <c r="N56" i="22"/>
  <c r="N13" i="62"/>
  <c r="P56" i="6"/>
  <c r="O36" i="62"/>
  <c r="F13" i="62"/>
  <c r="O6" i="62"/>
  <c r="O36" i="61"/>
  <c r="O7" i="61"/>
  <c r="K13" i="61"/>
  <c r="O10" i="61"/>
  <c r="I13" i="61"/>
  <c r="C214" i="44"/>
  <c r="Q233" i="44"/>
  <c r="E236" i="44"/>
  <c r="F236" i="44"/>
  <c r="G236" i="44"/>
  <c r="H236" i="44"/>
  <c r="I236" i="44"/>
  <c r="J236" i="44"/>
  <c r="K236" i="44"/>
  <c r="L236" i="44"/>
  <c r="M236" i="44"/>
  <c r="N236" i="44"/>
  <c r="O236" i="44"/>
  <c r="P236" i="44"/>
  <c r="Q243" i="44"/>
  <c r="Q249" i="44"/>
  <c r="Q250" i="44"/>
  <c r="Q251" i="44"/>
  <c r="Q252" i="44"/>
  <c r="Q253" i="44"/>
  <c r="Q254" i="44"/>
  <c r="Q255" i="44"/>
  <c r="Q258" i="44"/>
  <c r="M33" i="32"/>
  <c r="P33" i="32"/>
  <c r="K34" i="32"/>
  <c r="E33" i="32"/>
  <c r="J33" i="31"/>
  <c r="N33" i="31"/>
  <c r="F34" i="31"/>
  <c r="G34" i="31"/>
  <c r="H34" i="31"/>
  <c r="E34" i="31"/>
  <c r="H33" i="10"/>
  <c r="I33" i="10"/>
  <c r="J33" i="10"/>
  <c r="I34" i="10"/>
  <c r="N34" i="10"/>
  <c r="G33" i="9"/>
  <c r="H33" i="9"/>
  <c r="K33" i="9"/>
  <c r="L33" i="9"/>
  <c r="M33" i="9"/>
  <c r="N34" i="9"/>
  <c r="O34" i="9"/>
  <c r="P34" i="9"/>
  <c r="H33" i="8"/>
  <c r="L33" i="8"/>
  <c r="F34" i="8"/>
  <c r="O34" i="8"/>
  <c r="E33" i="8"/>
  <c r="F33" i="22"/>
  <c r="G33" i="22"/>
  <c r="K33" i="22"/>
  <c r="O33" i="22"/>
  <c r="P33" i="22"/>
  <c r="H34" i="22"/>
  <c r="I34" i="22"/>
  <c r="J34" i="22"/>
  <c r="F33" i="6"/>
  <c r="I33" i="6"/>
  <c r="J33" i="6"/>
  <c r="K33" i="6"/>
  <c r="O33" i="6"/>
  <c r="P33" i="6"/>
  <c r="I34" i="6"/>
  <c r="L34" i="6"/>
  <c r="M34" i="6"/>
  <c r="N34" i="6"/>
  <c r="C18" i="60"/>
  <c r="E33" i="22" s="1"/>
  <c r="D18" i="60"/>
  <c r="E18" i="60"/>
  <c r="F18" i="60"/>
  <c r="H33" i="22" s="1"/>
  <c r="G18" i="60"/>
  <c r="I33" i="22" s="1"/>
  <c r="H18" i="60"/>
  <c r="J33" i="22" s="1"/>
  <c r="I18" i="60"/>
  <c r="J18" i="60"/>
  <c r="L33" i="22" s="1"/>
  <c r="K18" i="60"/>
  <c r="M33" i="22" s="1"/>
  <c r="L18" i="60"/>
  <c r="N33" i="22" s="1"/>
  <c r="M18" i="60"/>
  <c r="N18" i="60"/>
  <c r="C19" i="60"/>
  <c r="D19" i="60"/>
  <c r="F33" i="8" s="1"/>
  <c r="E19" i="60"/>
  <c r="G33" i="8" s="1"/>
  <c r="F19" i="60"/>
  <c r="G19" i="60"/>
  <c r="I33" i="8" s="1"/>
  <c r="H19" i="60"/>
  <c r="J33" i="8" s="1"/>
  <c r="I19" i="60"/>
  <c r="K33" i="8" s="1"/>
  <c r="J19" i="60"/>
  <c r="K19" i="60"/>
  <c r="M33" i="8" s="1"/>
  <c r="L19" i="60"/>
  <c r="N33" i="8" s="1"/>
  <c r="M19" i="60"/>
  <c r="O33" i="8" s="1"/>
  <c r="N19" i="60"/>
  <c r="P33" i="8" s="1"/>
  <c r="C20" i="60"/>
  <c r="E33" i="9" s="1"/>
  <c r="D20" i="60"/>
  <c r="F33" i="9" s="1"/>
  <c r="E20" i="60"/>
  <c r="F20" i="60"/>
  <c r="G20" i="60"/>
  <c r="I33" i="9" s="1"/>
  <c r="H20" i="60"/>
  <c r="J33" i="9" s="1"/>
  <c r="I20" i="60"/>
  <c r="J20" i="60"/>
  <c r="K20" i="60"/>
  <c r="L20" i="60"/>
  <c r="N33" i="9" s="1"/>
  <c r="M20" i="60"/>
  <c r="O33" i="9" s="1"/>
  <c r="N20" i="60"/>
  <c r="P33" i="9" s="1"/>
  <c r="C21" i="60"/>
  <c r="E33" i="10" s="1"/>
  <c r="D21" i="60"/>
  <c r="F33" i="10" s="1"/>
  <c r="E21" i="60"/>
  <c r="G33" i="10" s="1"/>
  <c r="F21" i="60"/>
  <c r="G21" i="60"/>
  <c r="H21" i="60"/>
  <c r="I21" i="60"/>
  <c r="K33" i="10" s="1"/>
  <c r="J21" i="60"/>
  <c r="L33" i="10" s="1"/>
  <c r="K21" i="60"/>
  <c r="M33" i="10" s="1"/>
  <c r="L21" i="60"/>
  <c r="N33" i="10" s="1"/>
  <c r="M21" i="60"/>
  <c r="O33" i="10" s="1"/>
  <c r="N21" i="60"/>
  <c r="P33" i="10" s="1"/>
  <c r="C22" i="60"/>
  <c r="E33" i="31" s="1"/>
  <c r="D22" i="60"/>
  <c r="F33" i="31" s="1"/>
  <c r="E22" i="60"/>
  <c r="G33" i="31" s="1"/>
  <c r="F22" i="60"/>
  <c r="H33" i="31" s="1"/>
  <c r="G22" i="60"/>
  <c r="I33" i="31" s="1"/>
  <c r="H22" i="60"/>
  <c r="I22" i="60"/>
  <c r="K33" i="31" s="1"/>
  <c r="J22" i="60"/>
  <c r="L33" i="31" s="1"/>
  <c r="K22" i="60"/>
  <c r="M33" i="31" s="1"/>
  <c r="L22" i="60"/>
  <c r="M22" i="60"/>
  <c r="O33" i="31" s="1"/>
  <c r="N22" i="60"/>
  <c r="P33" i="31" s="1"/>
  <c r="C23" i="60"/>
  <c r="D23" i="60"/>
  <c r="F33" i="32" s="1"/>
  <c r="E23" i="60"/>
  <c r="G33" i="32" s="1"/>
  <c r="F23" i="60"/>
  <c r="H33" i="32" s="1"/>
  <c r="G23" i="60"/>
  <c r="I33" i="32" s="1"/>
  <c r="H23" i="60"/>
  <c r="J33" i="32" s="1"/>
  <c r="I23" i="60"/>
  <c r="K33" i="32" s="1"/>
  <c r="J23" i="60"/>
  <c r="L33" i="32" s="1"/>
  <c r="K23" i="60"/>
  <c r="L23" i="60"/>
  <c r="N33" i="32" s="1"/>
  <c r="M23" i="60"/>
  <c r="O33" i="32" s="1"/>
  <c r="N23" i="60"/>
  <c r="D17" i="60"/>
  <c r="E17" i="60"/>
  <c r="G33" i="6" s="1"/>
  <c r="F17" i="60"/>
  <c r="H33" i="6" s="1"/>
  <c r="G17" i="60"/>
  <c r="H17" i="60"/>
  <c r="I17" i="60"/>
  <c r="J17" i="60"/>
  <c r="L33" i="6" s="1"/>
  <c r="K17" i="60"/>
  <c r="M33" i="6" s="1"/>
  <c r="L17" i="60"/>
  <c r="N33" i="6" s="1"/>
  <c r="M17" i="60"/>
  <c r="N17" i="60"/>
  <c r="C17" i="60"/>
  <c r="E33" i="6" s="1"/>
  <c r="O255" i="60"/>
  <c r="O254" i="60"/>
  <c r="O253" i="60"/>
  <c r="O252" i="60"/>
  <c r="O251" i="60"/>
  <c r="O250" i="60"/>
  <c r="O249" i="60"/>
  <c r="O244" i="60"/>
  <c r="O243" i="60"/>
  <c r="O242" i="60"/>
  <c r="O241" i="60"/>
  <c r="O240" i="60"/>
  <c r="O239" i="60"/>
  <c r="O238" i="60"/>
  <c r="O233" i="60"/>
  <c r="O232" i="60"/>
  <c r="O231" i="60"/>
  <c r="O230" i="60"/>
  <c r="O229" i="60"/>
  <c r="O228" i="60"/>
  <c r="O227" i="60"/>
  <c r="O222" i="60"/>
  <c r="O221" i="60"/>
  <c r="O220" i="60"/>
  <c r="O219" i="60"/>
  <c r="O218" i="60"/>
  <c r="O217" i="60"/>
  <c r="O216" i="60"/>
  <c r="O211" i="60"/>
  <c r="O210" i="60"/>
  <c r="O209" i="60"/>
  <c r="O208" i="60"/>
  <c r="O207" i="60"/>
  <c r="O206" i="60"/>
  <c r="O205" i="60"/>
  <c r="O200" i="60"/>
  <c r="O199" i="60"/>
  <c r="O198" i="60"/>
  <c r="O197" i="60"/>
  <c r="O196" i="60"/>
  <c r="O195" i="60"/>
  <c r="O194" i="60"/>
  <c r="O189" i="60"/>
  <c r="O188" i="60"/>
  <c r="O187" i="60"/>
  <c r="O186" i="60"/>
  <c r="O185" i="60"/>
  <c r="O184" i="60"/>
  <c r="O183" i="60"/>
  <c r="O178" i="60"/>
  <c r="O177" i="60"/>
  <c r="O176" i="60"/>
  <c r="O175" i="60"/>
  <c r="O174" i="60"/>
  <c r="O173" i="60"/>
  <c r="O172" i="60"/>
  <c r="O167" i="60"/>
  <c r="O166" i="60"/>
  <c r="O165" i="60"/>
  <c r="O164" i="60"/>
  <c r="O163" i="60"/>
  <c r="O162" i="60"/>
  <c r="O161" i="60"/>
  <c r="O156" i="60"/>
  <c r="O155" i="60"/>
  <c r="O154" i="60"/>
  <c r="O153" i="60"/>
  <c r="O152" i="60"/>
  <c r="O151" i="60"/>
  <c r="O150" i="60"/>
  <c r="O145" i="60"/>
  <c r="O144" i="60"/>
  <c r="O143" i="60"/>
  <c r="O142" i="60"/>
  <c r="O141" i="60"/>
  <c r="O140" i="60"/>
  <c r="O139" i="60"/>
  <c r="O134" i="60"/>
  <c r="O133" i="60"/>
  <c r="O132" i="60"/>
  <c r="O131" i="60"/>
  <c r="O130" i="60"/>
  <c r="O129" i="60"/>
  <c r="O128" i="60"/>
  <c r="O123" i="60"/>
  <c r="O122" i="60"/>
  <c r="O121" i="60"/>
  <c r="O120" i="60"/>
  <c r="O119" i="60"/>
  <c r="O118" i="60"/>
  <c r="O117" i="60"/>
  <c r="O112" i="60"/>
  <c r="O111" i="60"/>
  <c r="O110" i="60"/>
  <c r="O109" i="60"/>
  <c r="O108" i="60"/>
  <c r="O107" i="60"/>
  <c r="O106" i="60"/>
  <c r="O101" i="60"/>
  <c r="O100" i="60"/>
  <c r="O99" i="60"/>
  <c r="O98" i="60"/>
  <c r="O97" i="60"/>
  <c r="O96" i="60"/>
  <c r="O95" i="60"/>
  <c r="O90" i="60"/>
  <c r="O89" i="60"/>
  <c r="O88" i="60"/>
  <c r="O87" i="60"/>
  <c r="O86" i="60"/>
  <c r="O85" i="60"/>
  <c r="O84" i="60"/>
  <c r="O79" i="60"/>
  <c r="O78" i="60"/>
  <c r="O77" i="60"/>
  <c r="O76" i="60"/>
  <c r="O75" i="60"/>
  <c r="O74" i="60"/>
  <c r="O73" i="60"/>
  <c r="O68" i="60"/>
  <c r="O67" i="60"/>
  <c r="O66" i="60"/>
  <c r="O65" i="60"/>
  <c r="O64" i="60"/>
  <c r="O63" i="60"/>
  <c r="O62" i="60"/>
  <c r="O57" i="60"/>
  <c r="O56" i="60"/>
  <c r="O55" i="60"/>
  <c r="O54" i="60"/>
  <c r="O53" i="60"/>
  <c r="O52" i="60"/>
  <c r="O51" i="60"/>
  <c r="O46" i="60"/>
  <c r="O45" i="60"/>
  <c r="O44" i="60"/>
  <c r="O43" i="60"/>
  <c r="O42" i="60"/>
  <c r="O41" i="60"/>
  <c r="O40" i="60"/>
  <c r="O35" i="60"/>
  <c r="O34" i="60"/>
  <c r="O33" i="60"/>
  <c r="O32" i="60"/>
  <c r="O31" i="60"/>
  <c r="O30" i="60"/>
  <c r="O29" i="60"/>
  <c r="C7" i="60"/>
  <c r="E34" i="22" s="1"/>
  <c r="D7" i="60"/>
  <c r="F34" i="22" s="1"/>
  <c r="E7" i="60"/>
  <c r="G34" i="22" s="1"/>
  <c r="F7" i="60"/>
  <c r="G7" i="60"/>
  <c r="H7" i="60"/>
  <c r="I7" i="60"/>
  <c r="K34" i="22" s="1"/>
  <c r="J7" i="60"/>
  <c r="L34" i="22" s="1"/>
  <c r="K7" i="60"/>
  <c r="M34" i="22" s="1"/>
  <c r="L7" i="60"/>
  <c r="N34" i="22" s="1"/>
  <c r="M7" i="60"/>
  <c r="O34" i="22" s="1"/>
  <c r="N7" i="60"/>
  <c r="P34" i="22" s="1"/>
  <c r="C8" i="60"/>
  <c r="E34" i="8" s="1"/>
  <c r="D8" i="60"/>
  <c r="E8" i="60"/>
  <c r="G34" i="8" s="1"/>
  <c r="F8" i="60"/>
  <c r="H34" i="8" s="1"/>
  <c r="G8" i="60"/>
  <c r="I34" i="8" s="1"/>
  <c r="H8" i="60"/>
  <c r="J34" i="8" s="1"/>
  <c r="I8" i="60"/>
  <c r="K34" i="8" s="1"/>
  <c r="J8" i="60"/>
  <c r="L34" i="8" s="1"/>
  <c r="K8" i="60"/>
  <c r="M34" i="8" s="1"/>
  <c r="L8" i="60"/>
  <c r="N34" i="8" s="1"/>
  <c r="M8" i="60"/>
  <c r="N8" i="60"/>
  <c r="P34" i="8" s="1"/>
  <c r="C9" i="60"/>
  <c r="E34" i="9" s="1"/>
  <c r="D9" i="60"/>
  <c r="F34" i="9" s="1"/>
  <c r="E9" i="60"/>
  <c r="G34" i="9" s="1"/>
  <c r="F9" i="60"/>
  <c r="H34" i="9" s="1"/>
  <c r="G9" i="60"/>
  <c r="I34" i="9" s="1"/>
  <c r="H9" i="60"/>
  <c r="J34" i="9" s="1"/>
  <c r="I9" i="60"/>
  <c r="K34" i="9" s="1"/>
  <c r="J9" i="60"/>
  <c r="L34" i="9" s="1"/>
  <c r="K9" i="60"/>
  <c r="M34" i="9" s="1"/>
  <c r="L9" i="60"/>
  <c r="M9" i="60"/>
  <c r="N9" i="60"/>
  <c r="C10" i="60"/>
  <c r="E34" i="10" s="1"/>
  <c r="D10" i="60"/>
  <c r="F34" i="10" s="1"/>
  <c r="E10" i="60"/>
  <c r="G34" i="10" s="1"/>
  <c r="F10" i="60"/>
  <c r="H34" i="10" s="1"/>
  <c r="G10" i="60"/>
  <c r="H10" i="60"/>
  <c r="J34" i="10" s="1"/>
  <c r="I10" i="60"/>
  <c r="K34" i="10" s="1"/>
  <c r="J10" i="60"/>
  <c r="L34" i="10" s="1"/>
  <c r="K10" i="60"/>
  <c r="M34" i="10" s="1"/>
  <c r="L10" i="60"/>
  <c r="M10" i="60"/>
  <c r="O34" i="10" s="1"/>
  <c r="N10" i="60"/>
  <c r="P34" i="10" s="1"/>
  <c r="C11" i="60"/>
  <c r="D11" i="60"/>
  <c r="E11" i="60"/>
  <c r="F11" i="60"/>
  <c r="G11" i="60"/>
  <c r="I34" i="31" s="1"/>
  <c r="H11" i="60"/>
  <c r="J34" i="31" s="1"/>
  <c r="I11" i="60"/>
  <c r="K34" i="31" s="1"/>
  <c r="J11" i="60"/>
  <c r="L34" i="31" s="1"/>
  <c r="K11" i="60"/>
  <c r="M34" i="31" s="1"/>
  <c r="L11" i="60"/>
  <c r="N34" i="31" s="1"/>
  <c r="M11" i="60"/>
  <c r="O34" i="31" s="1"/>
  <c r="N11" i="60"/>
  <c r="P34" i="31" s="1"/>
  <c r="C12" i="60"/>
  <c r="E34" i="32" s="1"/>
  <c r="D12" i="60"/>
  <c r="F34" i="32" s="1"/>
  <c r="E12" i="60"/>
  <c r="G34" i="32" s="1"/>
  <c r="F12" i="60"/>
  <c r="H34" i="32" s="1"/>
  <c r="G12" i="60"/>
  <c r="I34" i="32" s="1"/>
  <c r="H12" i="60"/>
  <c r="J34" i="32" s="1"/>
  <c r="I12" i="60"/>
  <c r="J12" i="60"/>
  <c r="L34" i="32" s="1"/>
  <c r="K12" i="60"/>
  <c r="M34" i="32" s="1"/>
  <c r="L12" i="60"/>
  <c r="N34" i="32" s="1"/>
  <c r="M12" i="60"/>
  <c r="O34" i="32" s="1"/>
  <c r="N12" i="60"/>
  <c r="P34" i="32" s="1"/>
  <c r="D6" i="60"/>
  <c r="F34" i="6" s="1"/>
  <c r="E6" i="60"/>
  <c r="G34" i="6" s="1"/>
  <c r="F6" i="60"/>
  <c r="H34" i="6" s="1"/>
  <c r="G6" i="60"/>
  <c r="H6" i="60"/>
  <c r="J34" i="6" s="1"/>
  <c r="I6" i="60"/>
  <c r="K34" i="6" s="1"/>
  <c r="J6" i="60"/>
  <c r="K6" i="60"/>
  <c r="L6" i="60"/>
  <c r="M6" i="60"/>
  <c r="O34" i="6" s="1"/>
  <c r="N6" i="60"/>
  <c r="P34" i="6" s="1"/>
  <c r="C6" i="60"/>
  <c r="E34" i="6" s="1"/>
  <c r="B255" i="60"/>
  <c r="B254" i="60"/>
  <c r="B253" i="60"/>
  <c r="B252" i="60"/>
  <c r="B251" i="60"/>
  <c r="B250" i="60"/>
  <c r="B249" i="60"/>
  <c r="B244" i="60"/>
  <c r="B243" i="60"/>
  <c r="B242" i="60"/>
  <c r="B241" i="60"/>
  <c r="B240" i="60"/>
  <c r="B239" i="60"/>
  <c r="B238" i="60"/>
  <c r="B233" i="60"/>
  <c r="B232" i="60"/>
  <c r="B231" i="60"/>
  <c r="B230" i="60"/>
  <c r="B229" i="60"/>
  <c r="B228" i="60"/>
  <c r="B227" i="60"/>
  <c r="B222" i="60"/>
  <c r="B221" i="60"/>
  <c r="B220" i="60"/>
  <c r="B219" i="60"/>
  <c r="B218" i="60"/>
  <c r="B217" i="60"/>
  <c r="B216" i="60"/>
  <c r="B211" i="60"/>
  <c r="B210" i="60"/>
  <c r="B209" i="60"/>
  <c r="B208" i="60"/>
  <c r="B207" i="60"/>
  <c r="B206" i="60"/>
  <c r="B205" i="60"/>
  <c r="B200" i="60"/>
  <c r="B199" i="60"/>
  <c r="B198" i="60"/>
  <c r="B197" i="60"/>
  <c r="B196" i="60"/>
  <c r="B195" i="60"/>
  <c r="B194" i="60"/>
  <c r="B189" i="60"/>
  <c r="B188" i="60"/>
  <c r="B187" i="60"/>
  <c r="B186" i="60"/>
  <c r="B185" i="60"/>
  <c r="B184" i="60"/>
  <c r="B183" i="60"/>
  <c r="B178" i="60"/>
  <c r="B177" i="60"/>
  <c r="B176" i="60"/>
  <c r="B175" i="60"/>
  <c r="B174" i="60"/>
  <c r="B173" i="60"/>
  <c r="B172" i="60"/>
  <c r="B167" i="60"/>
  <c r="B166" i="60"/>
  <c r="B165" i="60"/>
  <c r="B164" i="60"/>
  <c r="B163" i="60"/>
  <c r="B162" i="60"/>
  <c r="B161" i="60"/>
  <c r="B156" i="60"/>
  <c r="B155" i="60"/>
  <c r="B154" i="60"/>
  <c r="B153" i="60"/>
  <c r="B152" i="60"/>
  <c r="B151" i="60"/>
  <c r="B150" i="60"/>
  <c r="B145" i="60"/>
  <c r="B144" i="60"/>
  <c r="B143" i="60"/>
  <c r="B142" i="60"/>
  <c r="B141" i="60"/>
  <c r="B140" i="60"/>
  <c r="B139" i="60"/>
  <c r="B134" i="60"/>
  <c r="B133" i="60"/>
  <c r="B132" i="60"/>
  <c r="B131" i="60"/>
  <c r="B130" i="60"/>
  <c r="B129" i="60"/>
  <c r="B128" i="60"/>
  <c r="B123" i="60"/>
  <c r="B122" i="60"/>
  <c r="B121" i="60"/>
  <c r="B120" i="60"/>
  <c r="B119" i="60"/>
  <c r="B118" i="60"/>
  <c r="B117" i="60"/>
  <c r="B112" i="60"/>
  <c r="B111" i="60"/>
  <c r="B110" i="60"/>
  <c r="B109" i="60"/>
  <c r="B108" i="60"/>
  <c r="B107" i="60"/>
  <c r="B106" i="60"/>
  <c r="B101" i="60"/>
  <c r="B100" i="60"/>
  <c r="B99" i="60"/>
  <c r="B98" i="60"/>
  <c r="B97" i="60"/>
  <c r="B96" i="60"/>
  <c r="B95" i="60"/>
  <c r="B90" i="60"/>
  <c r="B89" i="60"/>
  <c r="B88" i="60"/>
  <c r="B87" i="60"/>
  <c r="B86" i="60"/>
  <c r="B85" i="60"/>
  <c r="B84" i="60"/>
  <c r="B79" i="60"/>
  <c r="B78" i="60"/>
  <c r="B77" i="60"/>
  <c r="B76" i="60"/>
  <c r="B75" i="60"/>
  <c r="B74" i="60"/>
  <c r="B73" i="60"/>
  <c r="B68" i="60"/>
  <c r="B67" i="60"/>
  <c r="B66" i="60"/>
  <c r="B65" i="60"/>
  <c r="B64" i="60"/>
  <c r="B63" i="60"/>
  <c r="B62" i="60"/>
  <c r="B57" i="60"/>
  <c r="B56" i="60"/>
  <c r="B55" i="60"/>
  <c r="B54" i="60"/>
  <c r="B53" i="60"/>
  <c r="B52" i="60"/>
  <c r="B51" i="60"/>
  <c r="B46" i="60"/>
  <c r="B45" i="60"/>
  <c r="B44" i="60"/>
  <c r="B43" i="60"/>
  <c r="B42" i="60"/>
  <c r="B41" i="60"/>
  <c r="B40" i="60"/>
  <c r="B35" i="60"/>
  <c r="B34" i="60"/>
  <c r="B33" i="60"/>
  <c r="B32" i="60"/>
  <c r="B31" i="60"/>
  <c r="B30" i="60"/>
  <c r="B29" i="60"/>
  <c r="B23" i="60"/>
  <c r="B22" i="60"/>
  <c r="B21" i="60"/>
  <c r="B20" i="60"/>
  <c r="B19" i="60"/>
  <c r="B18" i="60"/>
  <c r="B17" i="60"/>
  <c r="B12" i="60"/>
  <c r="B11" i="60"/>
  <c r="B10" i="60"/>
  <c r="B9" i="60"/>
  <c r="B8" i="60"/>
  <c r="B7" i="60"/>
  <c r="B6" i="60"/>
  <c r="C2" i="60"/>
  <c r="N256" i="60"/>
  <c r="M256" i="60"/>
  <c r="L256" i="60"/>
  <c r="K256" i="60"/>
  <c r="J256" i="60"/>
  <c r="I256" i="60"/>
  <c r="H256" i="60"/>
  <c r="G256" i="60"/>
  <c r="F256" i="60"/>
  <c r="E256" i="60"/>
  <c r="D256" i="60"/>
  <c r="C256" i="60"/>
  <c r="N245" i="60"/>
  <c r="M245" i="60"/>
  <c r="L245" i="60"/>
  <c r="K245" i="60"/>
  <c r="J245" i="60"/>
  <c r="I245" i="60"/>
  <c r="H245" i="60"/>
  <c r="G245" i="60"/>
  <c r="F245" i="60"/>
  <c r="E245" i="60"/>
  <c r="D245" i="60"/>
  <c r="C245" i="60"/>
  <c r="N234" i="60"/>
  <c r="M234" i="60"/>
  <c r="L234" i="60"/>
  <c r="K234" i="60"/>
  <c r="J234" i="60"/>
  <c r="I234" i="60"/>
  <c r="H234" i="60"/>
  <c r="G234" i="60"/>
  <c r="F234" i="60"/>
  <c r="E234" i="60"/>
  <c r="D234" i="60"/>
  <c r="C234" i="60"/>
  <c r="N223" i="60"/>
  <c r="M223" i="60"/>
  <c r="L223" i="60"/>
  <c r="K223" i="60"/>
  <c r="J223" i="60"/>
  <c r="I223" i="60"/>
  <c r="H223" i="60"/>
  <c r="G223" i="60"/>
  <c r="F223" i="60"/>
  <c r="E223" i="60"/>
  <c r="D223" i="60"/>
  <c r="C223" i="60"/>
  <c r="N212" i="60"/>
  <c r="M212" i="60"/>
  <c r="L212" i="60"/>
  <c r="K212" i="60"/>
  <c r="J212" i="60"/>
  <c r="I212" i="60"/>
  <c r="H212" i="60"/>
  <c r="G212" i="60"/>
  <c r="F212" i="60"/>
  <c r="E212" i="60"/>
  <c r="D212" i="60"/>
  <c r="C212" i="60"/>
  <c r="N201" i="60"/>
  <c r="M201" i="60"/>
  <c r="L201" i="60"/>
  <c r="K201" i="60"/>
  <c r="J201" i="60"/>
  <c r="I201" i="60"/>
  <c r="H201" i="60"/>
  <c r="G201" i="60"/>
  <c r="F201" i="60"/>
  <c r="E201" i="60"/>
  <c r="D201" i="60"/>
  <c r="C201" i="60"/>
  <c r="N190" i="60"/>
  <c r="M190" i="60"/>
  <c r="L190" i="60"/>
  <c r="K190" i="60"/>
  <c r="J190" i="60"/>
  <c r="I190" i="60"/>
  <c r="H190" i="60"/>
  <c r="G190" i="60"/>
  <c r="F190" i="60"/>
  <c r="E190" i="60"/>
  <c r="D190" i="60"/>
  <c r="C190" i="60"/>
  <c r="N179" i="60"/>
  <c r="M179" i="60"/>
  <c r="L179" i="60"/>
  <c r="K179" i="60"/>
  <c r="J179" i="60"/>
  <c r="I179" i="60"/>
  <c r="H179" i="60"/>
  <c r="G179" i="60"/>
  <c r="F179" i="60"/>
  <c r="E179" i="60"/>
  <c r="D179" i="60"/>
  <c r="C179" i="60"/>
  <c r="N168" i="60"/>
  <c r="M168" i="60"/>
  <c r="L168" i="60"/>
  <c r="K168" i="60"/>
  <c r="J168" i="60"/>
  <c r="I168" i="60"/>
  <c r="H168" i="60"/>
  <c r="G168" i="60"/>
  <c r="F168" i="60"/>
  <c r="E168" i="60"/>
  <c r="D168" i="60"/>
  <c r="C168" i="60"/>
  <c r="N157" i="60"/>
  <c r="M157" i="60"/>
  <c r="L157" i="60"/>
  <c r="K157" i="60"/>
  <c r="J157" i="60"/>
  <c r="I157" i="60"/>
  <c r="H157" i="60"/>
  <c r="G157" i="60"/>
  <c r="F157" i="60"/>
  <c r="E157" i="60"/>
  <c r="D157" i="60"/>
  <c r="C157" i="60"/>
  <c r="N146" i="60"/>
  <c r="M146" i="60"/>
  <c r="L146" i="60"/>
  <c r="K146" i="60"/>
  <c r="J146" i="60"/>
  <c r="I146" i="60"/>
  <c r="H146" i="60"/>
  <c r="G146" i="60"/>
  <c r="F146" i="60"/>
  <c r="E146" i="60"/>
  <c r="D146" i="60"/>
  <c r="C146" i="60"/>
  <c r="N135" i="60"/>
  <c r="M135" i="60"/>
  <c r="L135" i="60"/>
  <c r="K135" i="60"/>
  <c r="J135" i="60"/>
  <c r="I135" i="60"/>
  <c r="H135" i="60"/>
  <c r="G135" i="60"/>
  <c r="F135" i="60"/>
  <c r="E135" i="60"/>
  <c r="D135" i="60"/>
  <c r="C135" i="60"/>
  <c r="N124" i="60"/>
  <c r="M124" i="60"/>
  <c r="L124" i="60"/>
  <c r="K124" i="60"/>
  <c r="J124" i="60"/>
  <c r="I124" i="60"/>
  <c r="H124" i="60"/>
  <c r="G124" i="60"/>
  <c r="F124" i="60"/>
  <c r="E124" i="60"/>
  <c r="D124" i="60"/>
  <c r="C124" i="60"/>
  <c r="N113" i="60"/>
  <c r="M113" i="60"/>
  <c r="L113" i="60"/>
  <c r="K113" i="60"/>
  <c r="J113" i="60"/>
  <c r="I113" i="60"/>
  <c r="H113" i="60"/>
  <c r="G113" i="60"/>
  <c r="F113" i="60"/>
  <c r="E113" i="60"/>
  <c r="D113" i="60"/>
  <c r="C113" i="60"/>
  <c r="N102" i="60"/>
  <c r="M102" i="60"/>
  <c r="L102" i="60"/>
  <c r="K102" i="60"/>
  <c r="J102" i="60"/>
  <c r="I102" i="60"/>
  <c r="H102" i="60"/>
  <c r="G102" i="60"/>
  <c r="F102" i="60"/>
  <c r="E102" i="60"/>
  <c r="D102" i="60"/>
  <c r="C102" i="60"/>
  <c r="N91" i="60"/>
  <c r="M91" i="60"/>
  <c r="L91" i="60"/>
  <c r="K91" i="60"/>
  <c r="J91" i="60"/>
  <c r="I91" i="60"/>
  <c r="H91" i="60"/>
  <c r="G91" i="60"/>
  <c r="F91" i="60"/>
  <c r="E91" i="60"/>
  <c r="D91" i="60"/>
  <c r="C91" i="60"/>
  <c r="N80" i="60"/>
  <c r="M80" i="60"/>
  <c r="L80" i="60"/>
  <c r="K80" i="60"/>
  <c r="J80" i="60"/>
  <c r="I80" i="60"/>
  <c r="H80" i="60"/>
  <c r="G80" i="60"/>
  <c r="F80" i="60"/>
  <c r="E80" i="60"/>
  <c r="D80" i="60"/>
  <c r="C80" i="60"/>
  <c r="N69" i="60"/>
  <c r="M69" i="60"/>
  <c r="L69" i="60"/>
  <c r="K69" i="60"/>
  <c r="J69" i="60"/>
  <c r="I69" i="60"/>
  <c r="H69" i="60"/>
  <c r="G69" i="60"/>
  <c r="F69" i="60"/>
  <c r="E69" i="60"/>
  <c r="D69" i="60"/>
  <c r="C69" i="60"/>
  <c r="N58" i="60"/>
  <c r="M58" i="60"/>
  <c r="L58" i="60"/>
  <c r="K58" i="60"/>
  <c r="J58" i="60"/>
  <c r="I58" i="60"/>
  <c r="H58" i="60"/>
  <c r="G58" i="60"/>
  <c r="F58" i="60"/>
  <c r="E58" i="60"/>
  <c r="D58" i="60"/>
  <c r="C58" i="60"/>
  <c r="N47" i="60"/>
  <c r="M47" i="60"/>
  <c r="L47" i="60"/>
  <c r="K47" i="60"/>
  <c r="J47" i="60"/>
  <c r="I47" i="60"/>
  <c r="H47" i="60"/>
  <c r="G47" i="60"/>
  <c r="F47" i="60"/>
  <c r="E47" i="60"/>
  <c r="D47" i="60"/>
  <c r="C47" i="60"/>
  <c r="N36" i="60"/>
  <c r="M36" i="60"/>
  <c r="L36" i="60"/>
  <c r="K36" i="60"/>
  <c r="J36" i="60"/>
  <c r="I36" i="60"/>
  <c r="H36" i="60"/>
  <c r="G36" i="60"/>
  <c r="F36" i="60"/>
  <c r="E36" i="60"/>
  <c r="D36" i="60"/>
  <c r="C36" i="60"/>
  <c r="R139" i="44"/>
  <c r="G158" i="10" l="1"/>
  <c r="Q56" i="10"/>
  <c r="O13" i="63"/>
  <c r="O13" i="61"/>
  <c r="O13" i="62"/>
  <c r="O12" i="60"/>
  <c r="O23" i="60"/>
  <c r="O22" i="60"/>
  <c r="O11" i="60"/>
  <c r="O10" i="60"/>
  <c r="O21" i="60"/>
  <c r="O20" i="60"/>
  <c r="O9" i="60"/>
  <c r="O19" i="60"/>
  <c r="L13" i="60"/>
  <c r="O8" i="60"/>
  <c r="F13" i="60"/>
  <c r="E13" i="60"/>
  <c r="C24" i="60"/>
  <c r="O18" i="60"/>
  <c r="O7" i="60"/>
  <c r="O17" i="60"/>
  <c r="J13" i="60"/>
  <c r="K13" i="60"/>
  <c r="M13" i="60"/>
  <c r="I13" i="60"/>
  <c r="N13" i="60"/>
  <c r="C13" i="60"/>
  <c r="H13" i="60"/>
  <c r="G13" i="60"/>
  <c r="D13" i="60"/>
  <c r="O135" i="60"/>
  <c r="O212" i="60"/>
  <c r="O80" i="60"/>
  <c r="O157" i="60"/>
  <c r="O234" i="60"/>
  <c r="O168" i="60"/>
  <c r="O58" i="60"/>
  <c r="J24" i="60"/>
  <c r="K24" i="60"/>
  <c r="O102" i="60"/>
  <c r="O179" i="60"/>
  <c r="O256" i="60"/>
  <c r="L24" i="60"/>
  <c r="D24" i="60"/>
  <c r="F24" i="60"/>
  <c r="M24" i="60"/>
  <c r="N24" i="60"/>
  <c r="E24" i="60"/>
  <c r="I24" i="60"/>
  <c r="O124" i="60"/>
  <c r="O47" i="60"/>
  <c r="O91" i="60"/>
  <c r="O201" i="60"/>
  <c r="O245" i="60"/>
  <c r="G24" i="60"/>
  <c r="H24" i="60"/>
  <c r="O146" i="60"/>
  <c r="O223" i="60"/>
  <c r="O69" i="60"/>
  <c r="O36" i="60"/>
  <c r="O113" i="60"/>
  <c r="O190" i="60"/>
  <c r="O6" i="60"/>
  <c r="C37" i="41"/>
  <c r="H37" i="41" s="1"/>
  <c r="O13" i="60" l="1"/>
  <c r="O24" i="60"/>
  <c r="R59" i="44" l="1"/>
  <c r="G67" i="44" s="1"/>
  <c r="I67" i="44"/>
  <c r="J67" i="44"/>
  <c r="L67" i="44"/>
  <c r="M67" i="44"/>
  <c r="O67" i="44"/>
  <c r="L66" i="44"/>
  <c r="M66" i="44"/>
  <c r="N66" i="44"/>
  <c r="O66" i="44"/>
  <c r="O65" i="44"/>
  <c r="F64" i="44"/>
  <c r="G63" i="44"/>
  <c r="H63" i="44"/>
  <c r="I63" i="44"/>
  <c r="J62" i="44"/>
  <c r="K62" i="44"/>
  <c r="L62" i="44"/>
  <c r="I61" i="44"/>
  <c r="J61" i="44"/>
  <c r="L61" i="44"/>
  <c r="U51" i="44"/>
  <c r="T91" i="6"/>
  <c r="T91" i="22"/>
  <c r="T91" i="8"/>
  <c r="T91" i="9"/>
  <c r="T128" i="9"/>
  <c r="T91" i="10"/>
  <c r="T91" i="31"/>
  <c r="S71" i="32"/>
  <c r="T91" i="32"/>
  <c r="S105" i="32"/>
  <c r="S129" i="32"/>
  <c r="S22" i="32"/>
  <c r="S15" i="32"/>
  <c r="S71" i="31"/>
  <c r="S105" i="31"/>
  <c r="S129" i="31"/>
  <c r="S22" i="31"/>
  <c r="S15" i="31"/>
  <c r="E32" i="59"/>
  <c r="E34" i="59" s="1"/>
  <c r="E7" i="59"/>
  <c r="S129" i="9"/>
  <c r="S129" i="10"/>
  <c r="S105" i="10"/>
  <c r="S71" i="10"/>
  <c r="S22" i="10"/>
  <c r="S15" i="10"/>
  <c r="S105" i="9"/>
  <c r="S71" i="9"/>
  <c r="S22" i="9"/>
  <c r="S15" i="9"/>
  <c r="S129" i="8"/>
  <c r="S105" i="8"/>
  <c r="S71" i="8"/>
  <c r="S22" i="8"/>
  <c r="S15" i="8"/>
  <c r="S129" i="22"/>
  <c r="S105" i="22"/>
  <c r="S71" i="22"/>
  <c r="S22" i="22"/>
  <c r="S15" i="22"/>
  <c r="S129" i="6"/>
  <c r="S105" i="6"/>
  <c r="S71" i="6"/>
  <c r="S22" i="6"/>
  <c r="S15" i="6"/>
  <c r="S91" i="27"/>
  <c r="R131" i="27"/>
  <c r="R105" i="27"/>
  <c r="R71" i="27"/>
  <c r="R22" i="27"/>
  <c r="R15" i="27"/>
  <c r="S24" i="9" l="1"/>
  <c r="T132" i="44" s="1"/>
  <c r="V132" i="44" s="1"/>
  <c r="S24" i="22"/>
  <c r="T130" i="44" s="1"/>
  <c r="V130" i="44" s="1"/>
  <c r="S107" i="32"/>
  <c r="S24" i="32"/>
  <c r="S107" i="31"/>
  <c r="S24" i="31"/>
  <c r="T134" i="44" s="1"/>
  <c r="V134" i="44" s="1"/>
  <c r="S24" i="10"/>
  <c r="T133" i="44" s="1"/>
  <c r="V133" i="44" s="1"/>
  <c r="R24" i="27"/>
  <c r="Q64" i="44"/>
  <c r="G64" i="44"/>
  <c r="P65" i="44"/>
  <c r="N61" i="44"/>
  <c r="F65" i="44"/>
  <c r="M61" i="44"/>
  <c r="Q65" i="44"/>
  <c r="K61" i="44"/>
  <c r="P64" i="44"/>
  <c r="N67" i="44"/>
  <c r="I62" i="44"/>
  <c r="N65" i="44"/>
  <c r="H62" i="44"/>
  <c r="Q66" i="44"/>
  <c r="G62" i="44"/>
  <c r="P66" i="44"/>
  <c r="H61" i="44"/>
  <c r="Q63" i="44"/>
  <c r="O64" i="44"/>
  <c r="K66" i="44"/>
  <c r="G61" i="44"/>
  <c r="J66" i="44"/>
  <c r="F62" i="44"/>
  <c r="O63" i="44"/>
  <c r="M64" i="44"/>
  <c r="Q62" i="44"/>
  <c r="N63" i="44"/>
  <c r="F61" i="44"/>
  <c r="P62" i="44"/>
  <c r="M63" i="44"/>
  <c r="K64" i="44"/>
  <c r="I65" i="44"/>
  <c r="G66" i="44"/>
  <c r="P63" i="44"/>
  <c r="F63" i="44"/>
  <c r="H66" i="44"/>
  <c r="Q61" i="44"/>
  <c r="O62" i="44"/>
  <c r="L63" i="44"/>
  <c r="J64" i="44"/>
  <c r="H65" i="44"/>
  <c r="F67" i="44"/>
  <c r="M65" i="44"/>
  <c r="L65" i="44"/>
  <c r="I66" i="44"/>
  <c r="L64" i="44"/>
  <c r="P61" i="44"/>
  <c r="N62" i="44"/>
  <c r="K63" i="44"/>
  <c r="I64" i="44"/>
  <c r="G65" i="44"/>
  <c r="Q67" i="44"/>
  <c r="N64" i="44"/>
  <c r="K65" i="44"/>
  <c r="J65" i="44"/>
  <c r="O61" i="44"/>
  <c r="M62" i="44"/>
  <c r="J63" i="44"/>
  <c r="H64" i="44"/>
  <c r="F66" i="44"/>
  <c r="P67" i="44"/>
  <c r="K67" i="44"/>
  <c r="H67" i="44"/>
  <c r="S107" i="10"/>
  <c r="S107" i="9"/>
  <c r="S109" i="9" s="1"/>
  <c r="S123" i="9" s="1"/>
  <c r="S131" i="9" s="1"/>
  <c r="S107" i="8"/>
  <c r="S24" i="8"/>
  <c r="T131" i="44" s="1"/>
  <c r="V131" i="44" s="1"/>
  <c r="S107" i="22"/>
  <c r="S109" i="22" s="1"/>
  <c r="S123" i="22" s="1"/>
  <c r="S132" i="22" s="1"/>
  <c r="S107" i="6"/>
  <c r="S24" i="6"/>
  <c r="T129" i="44" s="1"/>
  <c r="R108" i="27"/>
  <c r="R111" i="27" l="1"/>
  <c r="R125" i="27" s="1"/>
  <c r="R134" i="27" s="1"/>
  <c r="S109" i="31"/>
  <c r="S123" i="31" s="1"/>
  <c r="S131" i="31" s="1"/>
  <c r="S109" i="10"/>
  <c r="S123" i="10" s="1"/>
  <c r="S131" i="10" s="1"/>
  <c r="S109" i="32"/>
  <c r="S123" i="32" s="1"/>
  <c r="S131" i="32" s="1"/>
  <c r="T135" i="44"/>
  <c r="V135" i="44" s="1"/>
  <c r="V129" i="44"/>
  <c r="T136" i="44"/>
  <c r="P6" i="64"/>
  <c r="F68" i="44"/>
  <c r="S109" i="8"/>
  <c r="S123" i="8" s="1"/>
  <c r="S131" i="8" s="1"/>
  <c r="S109" i="6"/>
  <c r="W129" i="44" l="1"/>
  <c r="X129" i="44" s="1"/>
  <c r="W135" i="44"/>
  <c r="X135" i="44" s="1"/>
  <c r="W130" i="44"/>
  <c r="X130" i="44" s="1"/>
  <c r="W133" i="44"/>
  <c r="X133" i="44" s="1"/>
  <c r="W134" i="44"/>
  <c r="X134" i="44" s="1"/>
  <c r="W132" i="44"/>
  <c r="W131" i="44"/>
  <c r="X131" i="44" s="1"/>
  <c r="V136" i="44"/>
  <c r="S123" i="6"/>
  <c r="S131" i="6" s="1"/>
  <c r="W136" i="44" l="1"/>
  <c r="X132" i="44"/>
  <c r="X136" i="44" s="1"/>
  <c r="L42" i="8"/>
  <c r="K42" i="22"/>
  <c r="L35" i="8"/>
  <c r="I35" i="8"/>
  <c r="B2" i="46"/>
  <c r="E20" i="46"/>
  <c r="E19" i="46"/>
  <c r="E15" i="46"/>
  <c r="F21" i="46" l="1"/>
  <c r="U39" i="44" l="1"/>
  <c r="U41" i="44" s="1"/>
  <c r="R37" i="44" s="1"/>
  <c r="C45" i="44"/>
  <c r="I40" i="44" l="1"/>
  <c r="H52" i="22" s="1"/>
  <c r="L41" i="44"/>
  <c r="K52" i="8" s="1"/>
  <c r="O42" i="44"/>
  <c r="N52" i="9" s="1"/>
  <c r="G44" i="44"/>
  <c r="F52" i="31" s="1"/>
  <c r="F155" i="31" s="1"/>
  <c r="J45" i="44"/>
  <c r="I52" i="32" s="1"/>
  <c r="G39" i="44"/>
  <c r="F52" i="6" s="1"/>
  <c r="J40" i="44"/>
  <c r="I52" i="22" s="1"/>
  <c r="M41" i="44"/>
  <c r="L52" i="8" s="1"/>
  <c r="P42" i="44"/>
  <c r="O52" i="9" s="1"/>
  <c r="H44" i="44"/>
  <c r="G52" i="31" s="1"/>
  <c r="G155" i="31" s="1"/>
  <c r="K45" i="44"/>
  <c r="J52" i="32" s="1"/>
  <c r="H39" i="44"/>
  <c r="G52" i="6" s="1"/>
  <c r="K40" i="44"/>
  <c r="J52" i="22" s="1"/>
  <c r="N41" i="44"/>
  <c r="M52" i="8" s="1"/>
  <c r="Q42" i="44"/>
  <c r="P52" i="9" s="1"/>
  <c r="I44" i="44"/>
  <c r="H52" i="31" s="1"/>
  <c r="H155" i="31" s="1"/>
  <c r="L45" i="44"/>
  <c r="K52" i="32" s="1"/>
  <c r="I39" i="44"/>
  <c r="H52" i="6" s="1"/>
  <c r="L40" i="44"/>
  <c r="K52" i="22" s="1"/>
  <c r="O41" i="44"/>
  <c r="N52" i="8" s="1"/>
  <c r="G43" i="44"/>
  <c r="F52" i="10" s="1"/>
  <c r="F156" i="10" s="1"/>
  <c r="J44" i="44"/>
  <c r="I52" i="31" s="1"/>
  <c r="I155" i="31" s="1"/>
  <c r="M45" i="44"/>
  <c r="L52" i="32" s="1"/>
  <c r="J39" i="44"/>
  <c r="I52" i="6" s="1"/>
  <c r="M40" i="44"/>
  <c r="L52" i="22" s="1"/>
  <c r="P41" i="44"/>
  <c r="O52" i="8" s="1"/>
  <c r="H43" i="44"/>
  <c r="G52" i="10" s="1"/>
  <c r="G156" i="10" s="1"/>
  <c r="K44" i="44"/>
  <c r="J52" i="31" s="1"/>
  <c r="J155" i="31" s="1"/>
  <c r="N45" i="44"/>
  <c r="M52" i="32" s="1"/>
  <c r="K39" i="44"/>
  <c r="J52" i="6" s="1"/>
  <c r="N40" i="44"/>
  <c r="M52" i="22" s="1"/>
  <c r="Q41" i="44"/>
  <c r="P52" i="8" s="1"/>
  <c r="I43" i="44"/>
  <c r="H52" i="10" s="1"/>
  <c r="H156" i="10" s="1"/>
  <c r="L44" i="44"/>
  <c r="K52" i="31" s="1"/>
  <c r="K155" i="31" s="1"/>
  <c r="O45" i="44"/>
  <c r="N52" i="32" s="1"/>
  <c r="L39" i="44"/>
  <c r="K52" i="6" s="1"/>
  <c r="O40" i="44"/>
  <c r="N52" i="22" s="1"/>
  <c r="G42" i="44"/>
  <c r="F52" i="9" s="1"/>
  <c r="J43" i="44"/>
  <c r="I52" i="10" s="1"/>
  <c r="I156" i="10" s="1"/>
  <c r="M44" i="44"/>
  <c r="L52" i="31" s="1"/>
  <c r="L155" i="31" s="1"/>
  <c r="P45" i="44"/>
  <c r="O52" i="32" s="1"/>
  <c r="M39" i="44"/>
  <c r="L52" i="6" s="1"/>
  <c r="P40" i="44"/>
  <c r="O52" i="22" s="1"/>
  <c r="K42" i="44"/>
  <c r="J52" i="9" s="1"/>
  <c r="Q44" i="44"/>
  <c r="P52" i="31" s="1"/>
  <c r="P155" i="31" s="1"/>
  <c r="Q39" i="44"/>
  <c r="P52" i="6" s="1"/>
  <c r="L42" i="44"/>
  <c r="K52" i="9" s="1"/>
  <c r="G45" i="44"/>
  <c r="F52" i="32" s="1"/>
  <c r="M42" i="44"/>
  <c r="L52" i="9" s="1"/>
  <c r="H45" i="44"/>
  <c r="G52" i="32" s="1"/>
  <c r="F45" i="44"/>
  <c r="E52" i="32" s="1"/>
  <c r="G41" i="44"/>
  <c r="F52" i="8" s="1"/>
  <c r="M43" i="44"/>
  <c r="L52" i="10" s="1"/>
  <c r="L156" i="10" s="1"/>
  <c r="F44" i="44"/>
  <c r="E52" i="31" s="1"/>
  <c r="E155" i="31" s="1"/>
  <c r="O43" i="44"/>
  <c r="N52" i="10" s="1"/>
  <c r="N156" i="10" s="1"/>
  <c r="J41" i="44"/>
  <c r="I52" i="8" s="1"/>
  <c r="F41" i="44"/>
  <c r="E52" i="8" s="1"/>
  <c r="K41" i="44"/>
  <c r="J52" i="8" s="1"/>
  <c r="Q43" i="44"/>
  <c r="P52" i="10" s="1"/>
  <c r="P156" i="10" s="1"/>
  <c r="N39" i="44"/>
  <c r="M52" i="6" s="1"/>
  <c r="O39" i="44"/>
  <c r="N52" i="6" s="1"/>
  <c r="J42" i="44"/>
  <c r="I52" i="9" s="1"/>
  <c r="P44" i="44"/>
  <c r="O52" i="31" s="1"/>
  <c r="O155" i="31" s="1"/>
  <c r="P39" i="44"/>
  <c r="O52" i="6" s="1"/>
  <c r="F39" i="44"/>
  <c r="E52" i="6" s="1"/>
  <c r="N44" i="44"/>
  <c r="M52" i="31" s="1"/>
  <c r="M155" i="31" s="1"/>
  <c r="G40" i="44"/>
  <c r="F52" i="22" s="1"/>
  <c r="N42" i="44"/>
  <c r="M52" i="9" s="1"/>
  <c r="I45" i="44"/>
  <c r="H52" i="32" s="1"/>
  <c r="H40" i="44"/>
  <c r="G52" i="22" s="1"/>
  <c r="K43" i="44"/>
  <c r="J52" i="10" s="1"/>
  <c r="J156" i="10" s="1"/>
  <c r="Q45" i="44"/>
  <c r="P52" i="32" s="1"/>
  <c r="Q40" i="44"/>
  <c r="P52" i="22" s="1"/>
  <c r="L43" i="44"/>
  <c r="K52" i="10" s="1"/>
  <c r="K156" i="10" s="1"/>
  <c r="H41" i="44"/>
  <c r="G52" i="8" s="1"/>
  <c r="I41" i="44"/>
  <c r="H52" i="8" s="1"/>
  <c r="P43" i="44"/>
  <c r="O52" i="10" s="1"/>
  <c r="O156" i="10" s="1"/>
  <c r="H42" i="44"/>
  <c r="G52" i="9" s="1"/>
  <c r="N43" i="44"/>
  <c r="M52" i="10" s="1"/>
  <c r="M156" i="10" s="1"/>
  <c r="F42" i="44"/>
  <c r="E52" i="9" s="1"/>
  <c r="F40" i="44"/>
  <c r="E52" i="22" s="1"/>
  <c r="F43" i="44"/>
  <c r="E52" i="10" s="1"/>
  <c r="E156" i="10" s="1"/>
  <c r="O44" i="44"/>
  <c r="N52" i="31" s="1"/>
  <c r="N155" i="31" s="1"/>
  <c r="I42" i="44"/>
  <c r="H52" i="9" s="1"/>
  <c r="U50" i="44"/>
  <c r="R72" i="44"/>
  <c r="C67" i="44"/>
  <c r="C80" i="44"/>
  <c r="C56" i="44"/>
  <c r="C34" i="44"/>
  <c r="C191" i="44"/>
  <c r="C102" i="44"/>
  <c r="C169" i="44"/>
  <c r="C180" i="44"/>
  <c r="C158" i="44"/>
  <c r="C147" i="44"/>
  <c r="C135" i="44"/>
  <c r="C124" i="44"/>
  <c r="C113" i="44"/>
  <c r="C91" i="44"/>
  <c r="A26" i="44"/>
  <c r="G22" i="46"/>
  <c r="U52" i="44" l="1"/>
  <c r="R48" i="44" s="1"/>
  <c r="E68" i="44"/>
  <c r="E70" i="44" l="1"/>
  <c r="P68" i="44" l="1"/>
  <c r="R65" i="44"/>
  <c r="Q68" i="44"/>
  <c r="H68" i="44"/>
  <c r="J68" i="44"/>
  <c r="I68" i="44"/>
  <c r="R62" i="44"/>
  <c r="R64" i="44" s="1"/>
  <c r="R63" i="44"/>
  <c r="M68" i="44"/>
  <c r="L68" i="44"/>
  <c r="O68" i="44"/>
  <c r="N68" i="44"/>
  <c r="K68" i="44"/>
  <c r="R61" i="44"/>
  <c r="R67" i="44"/>
  <c r="G68" i="44"/>
  <c r="R66" i="44" l="1"/>
  <c r="R68" i="44" s="1"/>
  <c r="Q139" i="27"/>
  <c r="H21" i="46"/>
  <c r="E19" i="8" s="1"/>
  <c r="Q39" i="41" l="1"/>
  <c r="Q37" i="41"/>
  <c r="Q36" i="41"/>
  <c r="Q35" i="41"/>
  <c r="Q34" i="41"/>
  <c r="C11" i="44" l="1"/>
  <c r="C10" i="44"/>
  <c r="C9" i="44"/>
  <c r="C8" i="44"/>
  <c r="C7" i="44"/>
  <c r="C6" i="44"/>
  <c r="C210" i="44" l="1"/>
  <c r="C19" i="44"/>
  <c r="C208" i="44"/>
  <c r="C17" i="44"/>
  <c r="C212" i="44"/>
  <c r="C21" i="44"/>
  <c r="C209" i="44"/>
  <c r="C18" i="44"/>
  <c r="C211" i="44"/>
  <c r="C20" i="44"/>
  <c r="C213" i="44"/>
  <c r="C22" i="44"/>
  <c r="C39" i="44"/>
  <c r="C74" i="44"/>
  <c r="C163" i="44"/>
  <c r="C28" i="44"/>
  <c r="C118" i="44"/>
  <c r="C85" i="44"/>
  <c r="C141" i="44"/>
  <c r="C61" i="44"/>
  <c r="C96" i="44"/>
  <c r="C174" i="44"/>
  <c r="C50" i="44"/>
  <c r="C107" i="44"/>
  <c r="C129" i="44"/>
  <c r="C152" i="44"/>
  <c r="C185" i="44"/>
  <c r="C40" i="44"/>
  <c r="C164" i="44"/>
  <c r="C29" i="44"/>
  <c r="C119" i="44"/>
  <c r="C86" i="44"/>
  <c r="C153" i="44"/>
  <c r="C142" i="44"/>
  <c r="C175" i="44"/>
  <c r="C108" i="44"/>
  <c r="C62" i="44"/>
  <c r="C97" i="44"/>
  <c r="C130" i="44"/>
  <c r="C51" i="44"/>
  <c r="C186" i="44"/>
  <c r="C75" i="44"/>
  <c r="C41" i="44"/>
  <c r="C30" i="44"/>
  <c r="C120" i="44"/>
  <c r="C87" i="44"/>
  <c r="C154" i="44"/>
  <c r="C98" i="44"/>
  <c r="C63" i="44"/>
  <c r="C176" i="44"/>
  <c r="C109" i="44"/>
  <c r="C131" i="44"/>
  <c r="C52" i="44"/>
  <c r="C143" i="44"/>
  <c r="C187" i="44"/>
  <c r="C165" i="44"/>
  <c r="C76" i="44"/>
  <c r="C42" i="44"/>
  <c r="C121" i="44"/>
  <c r="C88" i="44"/>
  <c r="C155" i="44"/>
  <c r="C99" i="44"/>
  <c r="C64" i="44"/>
  <c r="C53" i="44"/>
  <c r="C132" i="44"/>
  <c r="C177" i="44"/>
  <c r="C110" i="44"/>
  <c r="C31" i="44"/>
  <c r="C144" i="44"/>
  <c r="C166" i="44"/>
  <c r="C188" i="44"/>
  <c r="C77" i="44"/>
  <c r="C43" i="44"/>
  <c r="C100" i="44"/>
  <c r="C156" i="44"/>
  <c r="C65" i="44"/>
  <c r="C54" i="44"/>
  <c r="C133" i="44"/>
  <c r="C178" i="44"/>
  <c r="C111" i="44"/>
  <c r="C89" i="44"/>
  <c r="C32" i="44"/>
  <c r="C145" i="44"/>
  <c r="C167" i="44"/>
  <c r="C78" i="44"/>
  <c r="C122" i="44"/>
  <c r="C189" i="44"/>
  <c r="C44" i="44"/>
  <c r="C134" i="44"/>
  <c r="C66" i="44"/>
  <c r="C55" i="44"/>
  <c r="C179" i="44"/>
  <c r="C101" i="44"/>
  <c r="C90" i="44"/>
  <c r="C33" i="44"/>
  <c r="C79" i="44"/>
  <c r="C168" i="44"/>
  <c r="C157" i="44"/>
  <c r="C190" i="44"/>
  <c r="C146" i="44"/>
  <c r="C123" i="44"/>
  <c r="C112" i="44"/>
  <c r="F121" i="27"/>
  <c r="G121" i="27"/>
  <c r="H121" i="27"/>
  <c r="I121" i="27"/>
  <c r="J121" i="27"/>
  <c r="K121" i="27"/>
  <c r="L121" i="27"/>
  <c r="M121" i="27"/>
  <c r="N121" i="27"/>
  <c r="O121" i="27"/>
  <c r="P121" i="27"/>
  <c r="E121" i="27"/>
  <c r="C215" i="44" l="1"/>
  <c r="C24" i="44"/>
  <c r="C68" i="44"/>
  <c r="C70" i="44" s="1"/>
  <c r="C46" i="44"/>
  <c r="E149" i="27"/>
  <c r="Q130" i="27" l="1"/>
  <c r="R183" i="44"/>
  <c r="F78" i="31"/>
  <c r="F162" i="31" s="1"/>
  <c r="G78" i="31"/>
  <c r="G162" i="31" s="1"/>
  <c r="I78" i="31"/>
  <c r="I162" i="31" s="1"/>
  <c r="J78" i="31"/>
  <c r="J162" i="31" s="1"/>
  <c r="L78" i="31"/>
  <c r="L162" i="31" s="1"/>
  <c r="M78" i="31"/>
  <c r="M162" i="31" s="1"/>
  <c r="O78" i="31"/>
  <c r="O162" i="31" s="1"/>
  <c r="P78" i="31"/>
  <c r="P162" i="31" s="1"/>
  <c r="F78" i="10"/>
  <c r="F163" i="10" s="1"/>
  <c r="G78" i="10"/>
  <c r="G163" i="10" s="1"/>
  <c r="I78" i="10"/>
  <c r="I163" i="10" s="1"/>
  <c r="J78" i="10"/>
  <c r="J163" i="10" s="1"/>
  <c r="L78" i="10"/>
  <c r="L163" i="10" s="1"/>
  <c r="M78" i="10"/>
  <c r="M163" i="10" s="1"/>
  <c r="O78" i="10"/>
  <c r="O163" i="10" s="1"/>
  <c r="P78" i="10"/>
  <c r="P163" i="10" s="1"/>
  <c r="F78" i="9"/>
  <c r="G78" i="9"/>
  <c r="I78" i="9"/>
  <c r="J78" i="9"/>
  <c r="L78" i="9"/>
  <c r="M78" i="9"/>
  <c r="O78" i="9"/>
  <c r="P78" i="9"/>
  <c r="F78" i="8"/>
  <c r="G78" i="8"/>
  <c r="I78" i="8"/>
  <c r="J78" i="8"/>
  <c r="L78" i="8"/>
  <c r="M78" i="8"/>
  <c r="O78" i="8"/>
  <c r="P78" i="8"/>
  <c r="F78" i="22"/>
  <c r="G78" i="22"/>
  <c r="I78" i="22"/>
  <c r="J78" i="22"/>
  <c r="L78" i="22"/>
  <c r="M78" i="22"/>
  <c r="O78" i="22"/>
  <c r="P78" i="22"/>
  <c r="F78" i="6"/>
  <c r="G78" i="6"/>
  <c r="I78" i="6"/>
  <c r="J78" i="6"/>
  <c r="L78" i="6"/>
  <c r="M78" i="6"/>
  <c r="O78" i="6"/>
  <c r="P78" i="6"/>
  <c r="R94" i="44"/>
  <c r="Q121" i="27" l="1"/>
  <c r="B48" i="43"/>
  <c r="C65" i="43" s="1"/>
  <c r="B41" i="43"/>
  <c r="C64" i="43" s="1"/>
  <c r="B34" i="43"/>
  <c r="C63" i="43" s="1"/>
  <c r="B27" i="43"/>
  <c r="C62" i="43" s="1"/>
  <c r="B20" i="43"/>
  <c r="C61" i="43" s="1"/>
  <c r="B13" i="43"/>
  <c r="C60" i="43" s="1"/>
  <c r="B6" i="43"/>
  <c r="C59" i="43" s="1"/>
  <c r="L4" i="46"/>
  <c r="K4" i="46"/>
  <c r="J4" i="46"/>
  <c r="I4" i="46"/>
  <c r="H4" i="46"/>
  <c r="G4" i="46"/>
  <c r="F4" i="46"/>
  <c r="A137" i="41"/>
  <c r="A116" i="41"/>
  <c r="A115" i="41"/>
  <c r="A94" i="41"/>
  <c r="A93" i="41"/>
  <c r="A72" i="41"/>
  <c r="A71" i="41"/>
  <c r="A50" i="41"/>
  <c r="A49" i="41"/>
  <c r="A28" i="41"/>
  <c r="A27" i="41"/>
  <c r="A6" i="41"/>
  <c r="A5" i="41"/>
  <c r="B214" i="44" l="1"/>
  <c r="B230" i="44" s="1"/>
  <c r="V65" i="43"/>
  <c r="B213" i="44"/>
  <c r="B229" i="44" s="1"/>
  <c r="V64" i="43"/>
  <c r="B212" i="44"/>
  <c r="B228" i="44" s="1"/>
  <c r="V63" i="43"/>
  <c r="B211" i="44"/>
  <c r="B227" i="44" s="1"/>
  <c r="V62" i="43"/>
  <c r="B210" i="44"/>
  <c r="B226" i="44" s="1"/>
  <c r="V61" i="43"/>
  <c r="B209" i="44"/>
  <c r="B225" i="44" s="1"/>
  <c r="V60" i="43"/>
  <c r="B208" i="44"/>
  <c r="B224" i="44" s="1"/>
  <c r="V59" i="43"/>
  <c r="B111" i="41"/>
  <c r="B110" i="41"/>
  <c r="B109" i="41"/>
  <c r="B108" i="41"/>
  <c r="B107" i="41"/>
  <c r="B106" i="41"/>
  <c r="B105" i="41"/>
  <c r="B104" i="41"/>
  <c r="B103" i="41"/>
  <c r="B102" i="41"/>
  <c r="B101" i="41"/>
  <c r="B100" i="41"/>
  <c r="B99" i="41"/>
  <c r="B98" i="41"/>
  <c r="B97" i="41"/>
  <c r="B87" i="41"/>
  <c r="B86" i="41"/>
  <c r="B85" i="41"/>
  <c r="B84" i="41"/>
  <c r="B83" i="41"/>
  <c r="B82" i="41"/>
  <c r="B80" i="41"/>
  <c r="B79" i="41"/>
  <c r="B78" i="41"/>
  <c r="B77" i="41"/>
  <c r="B76" i="41"/>
  <c r="B75" i="41"/>
  <c r="B67" i="41"/>
  <c r="B66" i="41"/>
  <c r="B65" i="41"/>
  <c r="B64" i="41"/>
  <c r="B63" i="41"/>
  <c r="B62" i="41"/>
  <c r="B61" i="41"/>
  <c r="B60" i="41"/>
  <c r="B59" i="41"/>
  <c r="B57" i="41"/>
  <c r="B55" i="41"/>
  <c r="B54" i="41"/>
  <c r="B45" i="41"/>
  <c r="B44" i="41"/>
  <c r="B43" i="41"/>
  <c r="B42" i="41"/>
  <c r="B41" i="41"/>
  <c r="B40" i="41"/>
  <c r="B39" i="41"/>
  <c r="B38" i="41"/>
  <c r="B37" i="41"/>
  <c r="B36" i="41"/>
  <c r="B35" i="41"/>
  <c r="B34" i="41"/>
  <c r="B33" i="41"/>
  <c r="B32" i="41"/>
  <c r="B31" i="41"/>
  <c r="B23" i="41"/>
  <c r="B22" i="41"/>
  <c r="B21" i="41"/>
  <c r="B20" i="41"/>
  <c r="B19" i="41"/>
  <c r="B18" i="41"/>
  <c r="B17" i="41"/>
  <c r="B16" i="41"/>
  <c r="B15" i="41"/>
  <c r="B14" i="41"/>
  <c r="D194" i="6" s="1"/>
  <c r="B13" i="41"/>
  <c r="D193" i="6" s="1"/>
  <c r="B12" i="41"/>
  <c r="D190" i="6" s="1"/>
  <c r="B11" i="41"/>
  <c r="D185" i="6" s="1"/>
  <c r="B10" i="41"/>
  <c r="D184" i="6" s="1"/>
  <c r="B9" i="41"/>
  <c r="D181" i="6" s="1"/>
  <c r="R23" i="31" l="1"/>
  <c r="R23" i="10"/>
  <c r="R73" i="10"/>
  <c r="R114" i="9"/>
  <c r="R112" i="9"/>
  <c r="R111" i="9"/>
  <c r="R73" i="9"/>
  <c r="R23" i="9"/>
  <c r="R118" i="9"/>
  <c r="R114" i="8"/>
  <c r="R23" i="8"/>
  <c r="R113" i="8"/>
  <c r="R23" i="6"/>
  <c r="X119" i="41" a="1"/>
  <c r="X119" i="41" s="1"/>
  <c r="X97" i="41" a="1"/>
  <c r="X97" i="41" s="1"/>
  <c r="X75" i="41" a="1"/>
  <c r="X75" i="41" s="1"/>
  <c r="X53" i="41" a="1"/>
  <c r="X53" i="41" s="1"/>
  <c r="X9" i="41" a="1"/>
  <c r="X9" i="41" s="1"/>
  <c r="AJ9" i="41" a="1"/>
  <c r="AJ9" i="41" s="1"/>
  <c r="E6" i="6" s="1"/>
  <c r="AJ10" i="41" a="1"/>
  <c r="AJ10" i="41" s="1"/>
  <c r="AJ11" i="41" a="1"/>
  <c r="AJ11" i="41" s="1"/>
  <c r="AU140" i="41"/>
  <c r="AT140" i="41"/>
  <c r="AS140" i="41"/>
  <c r="AR140" i="41"/>
  <c r="AQ140" i="41"/>
  <c r="AP140" i="41"/>
  <c r="AO140" i="41"/>
  <c r="AN140" i="41"/>
  <c r="AM140" i="41"/>
  <c r="AL140" i="41"/>
  <c r="AK140" i="41"/>
  <c r="AJ140" i="41"/>
  <c r="AU118" i="41"/>
  <c r="AT118" i="41"/>
  <c r="AS118" i="41"/>
  <c r="AR118" i="41"/>
  <c r="AQ118" i="41"/>
  <c r="AP118" i="41"/>
  <c r="AO118" i="41"/>
  <c r="AN118" i="41"/>
  <c r="AM118" i="41"/>
  <c r="AL118" i="41"/>
  <c r="AK118" i="41"/>
  <c r="AJ118" i="41"/>
  <c r="AJ119" i="41" s="1" a="1"/>
  <c r="AJ119" i="41" s="1"/>
  <c r="E6" i="31" s="1"/>
  <c r="AU96" i="41"/>
  <c r="AT96" i="41"/>
  <c r="AS96" i="41"/>
  <c r="AR96" i="41"/>
  <c r="AQ96" i="41"/>
  <c r="AP96" i="41"/>
  <c r="AO96" i="41"/>
  <c r="AN96" i="41"/>
  <c r="AM96" i="41"/>
  <c r="AL96" i="41"/>
  <c r="AK96" i="41"/>
  <c r="AJ96" i="41"/>
  <c r="AU74" i="41"/>
  <c r="AT74" i="41"/>
  <c r="AS74" i="41"/>
  <c r="AR74" i="41"/>
  <c r="AQ74" i="41"/>
  <c r="AP74" i="41"/>
  <c r="AO74" i="41"/>
  <c r="AN74" i="41"/>
  <c r="AM74" i="41"/>
  <c r="AL74" i="41"/>
  <c r="AK74" i="41"/>
  <c r="AJ74" i="41"/>
  <c r="AU52" i="41"/>
  <c r="AT52" i="41"/>
  <c r="AS52" i="41"/>
  <c r="AR52" i="41"/>
  <c r="AQ52" i="41"/>
  <c r="AP52" i="41"/>
  <c r="AO52" i="41"/>
  <c r="AN52" i="41"/>
  <c r="AM52" i="41"/>
  <c r="AL52" i="41"/>
  <c r="AK52" i="41"/>
  <c r="AJ52" i="41"/>
  <c r="AK30" i="41"/>
  <c r="AL30" i="41"/>
  <c r="AM30" i="41"/>
  <c r="AN30" i="41"/>
  <c r="AO30" i="41"/>
  <c r="AP30" i="41"/>
  <c r="AQ30" i="41"/>
  <c r="AR30" i="41"/>
  <c r="AS30" i="41"/>
  <c r="AT30" i="41"/>
  <c r="AU30" i="41"/>
  <c r="AJ30" i="41"/>
  <c r="AJ97" i="41" l="1" a="1"/>
  <c r="AJ97" i="41" s="1"/>
  <c r="E6" i="10" s="1"/>
  <c r="E7" i="10" s="1"/>
  <c r="AJ75" i="41" a="1"/>
  <c r="AJ75" i="41" s="1"/>
  <c r="E6" i="9" s="1"/>
  <c r="E7" i="9" s="1"/>
  <c r="AJ53" i="41" a="1"/>
  <c r="AJ53" i="41" s="1"/>
  <c r="E6" i="8" s="1"/>
  <c r="E7" i="31"/>
  <c r="E18" i="31"/>
  <c r="E144" i="31" s="1"/>
  <c r="E7" i="6"/>
  <c r="R113" i="9"/>
  <c r="R111" i="8"/>
  <c r="R73" i="8"/>
  <c r="M6" i="31"/>
  <c r="L6" i="31"/>
  <c r="K6" i="31"/>
  <c r="H6" i="31"/>
  <c r="G6" i="31"/>
  <c r="J6" i="31"/>
  <c r="I6" i="31"/>
  <c r="F6" i="31"/>
  <c r="P6" i="31"/>
  <c r="O6" i="31"/>
  <c r="N6" i="31"/>
  <c r="O6" i="6"/>
  <c r="N6" i="6"/>
  <c r="L6" i="6"/>
  <c r="K6" i="6"/>
  <c r="J6" i="6"/>
  <c r="I6" i="6"/>
  <c r="H6" i="6"/>
  <c r="G6" i="6"/>
  <c r="M6" i="6"/>
  <c r="F6" i="6"/>
  <c r="P6" i="6"/>
  <c r="L6" i="10" l="1"/>
  <c r="H6" i="10"/>
  <c r="I6" i="10"/>
  <c r="I7" i="10" s="1"/>
  <c r="F6" i="10"/>
  <c r="M6" i="10"/>
  <c r="M7" i="10" s="1"/>
  <c r="N6" i="10"/>
  <c r="N7" i="10" s="1"/>
  <c r="J6" i="10"/>
  <c r="J7" i="10" s="1"/>
  <c r="O6" i="10"/>
  <c r="O7" i="10" s="1"/>
  <c r="P6" i="10"/>
  <c r="P7" i="10" s="1"/>
  <c r="G6" i="10"/>
  <c r="G7" i="10" s="1"/>
  <c r="K6" i="10"/>
  <c r="K7" i="10" s="1"/>
  <c r="O6" i="9"/>
  <c r="O7" i="9" s="1"/>
  <c r="J6" i="9"/>
  <c r="J7" i="9" s="1"/>
  <c r="K6" i="9"/>
  <c r="K7" i="9" s="1"/>
  <c r="L6" i="9"/>
  <c r="L7" i="9" s="1"/>
  <c r="G6" i="9"/>
  <c r="G7" i="9" s="1"/>
  <c r="F6" i="9"/>
  <c r="F7" i="9" s="1"/>
  <c r="H6" i="9"/>
  <c r="H7" i="9" s="1"/>
  <c r="P6" i="9"/>
  <c r="P7" i="9" s="1"/>
  <c r="I6" i="9"/>
  <c r="I7" i="9" s="1"/>
  <c r="M6" i="9"/>
  <c r="M7" i="9" s="1"/>
  <c r="N6" i="9"/>
  <c r="N7" i="9" s="1"/>
  <c r="N6" i="8"/>
  <c r="N7" i="8" s="1"/>
  <c r="K6" i="8"/>
  <c r="K7" i="8" s="1"/>
  <c r="F6" i="8"/>
  <c r="F7" i="8" s="1"/>
  <c r="H6" i="8"/>
  <c r="H7" i="8" s="1"/>
  <c r="L6" i="8"/>
  <c r="L7" i="8" s="1"/>
  <c r="I6" i="8"/>
  <c r="I7" i="8" s="1"/>
  <c r="O6" i="8"/>
  <c r="O7" i="8" s="1"/>
  <c r="M6" i="8"/>
  <c r="M7" i="8" s="1"/>
  <c r="P6" i="8"/>
  <c r="P7" i="8" s="1"/>
  <c r="J6" i="8"/>
  <c r="J7" i="8" s="1"/>
  <c r="G6" i="8"/>
  <c r="G7" i="8" s="1"/>
  <c r="O7" i="31"/>
  <c r="O18" i="31"/>
  <c r="O144" i="31" s="1"/>
  <c r="H7" i="31"/>
  <c r="H18" i="31"/>
  <c r="H144" i="31" s="1"/>
  <c r="K7" i="31"/>
  <c r="K18" i="31"/>
  <c r="K144" i="31" s="1"/>
  <c r="I7" i="31"/>
  <c r="I18" i="31"/>
  <c r="I144" i="31" s="1"/>
  <c r="P7" i="31"/>
  <c r="P18" i="31"/>
  <c r="P144" i="31" s="1"/>
  <c r="L7" i="31"/>
  <c r="L18" i="31"/>
  <c r="L144" i="31" s="1"/>
  <c r="F7" i="31"/>
  <c r="F18" i="31"/>
  <c r="F144" i="31" s="1"/>
  <c r="J7" i="31"/>
  <c r="J18" i="31"/>
  <c r="J144" i="31" s="1"/>
  <c r="G7" i="31"/>
  <c r="G18" i="31"/>
  <c r="G144" i="31" s="1"/>
  <c r="M7" i="31"/>
  <c r="M18" i="31"/>
  <c r="M144" i="31" s="1"/>
  <c r="N7" i="31"/>
  <c r="N18" i="31"/>
  <c r="N144" i="31" s="1"/>
  <c r="F79" i="44"/>
  <c r="E66" i="31" s="1"/>
  <c r="F55" i="44"/>
  <c r="E65" i="31" s="1"/>
  <c r="H7" i="10"/>
  <c r="L7" i="10"/>
  <c r="F7" i="10"/>
  <c r="F54" i="44"/>
  <c r="E65" i="10" s="1"/>
  <c r="F78" i="44"/>
  <c r="E66" i="10" s="1"/>
  <c r="F77" i="44"/>
  <c r="E66" i="9" s="1"/>
  <c r="F53" i="44"/>
  <c r="E65" i="9" s="1"/>
  <c r="E7" i="8"/>
  <c r="L7" i="6"/>
  <c r="I7" i="6"/>
  <c r="J7" i="6"/>
  <c r="K7" i="6"/>
  <c r="N7" i="6"/>
  <c r="O7" i="6"/>
  <c r="P7" i="6"/>
  <c r="F7" i="6"/>
  <c r="M7" i="6"/>
  <c r="G7" i="6"/>
  <c r="H7" i="6"/>
  <c r="F50" i="44"/>
  <c r="F74" i="44"/>
  <c r="E66" i="6" s="1"/>
  <c r="W139" i="41"/>
  <c r="W117" i="41"/>
  <c r="W95" i="41"/>
  <c r="W73" i="41"/>
  <c r="W51" i="41"/>
  <c r="W29" i="41"/>
  <c r="W7" i="41"/>
  <c r="X143" i="41" a="1"/>
  <c r="X143" i="41" s="1"/>
  <c r="Y143" i="41" a="1"/>
  <c r="Y143" i="41" s="1"/>
  <c r="Z143" i="41" a="1"/>
  <c r="Z143" i="41" s="1"/>
  <c r="AA143" i="41" a="1"/>
  <c r="AA143" i="41" s="1"/>
  <c r="AB143" i="41" a="1"/>
  <c r="AB143" i="41" s="1"/>
  <c r="AC143" i="41" a="1"/>
  <c r="AC143" i="41" s="1"/>
  <c r="AD143" i="41" a="1"/>
  <c r="AD143" i="41" s="1"/>
  <c r="AE143" i="41" a="1"/>
  <c r="AE143" i="41" s="1"/>
  <c r="AF143" i="41" a="1"/>
  <c r="AF143" i="41" s="1"/>
  <c r="AG143" i="41" a="1"/>
  <c r="AG143" i="41" s="1"/>
  <c r="AH143" i="41" a="1"/>
  <c r="AH143" i="41" s="1"/>
  <c r="AI143" i="41" a="1"/>
  <c r="AI143" i="41" s="1"/>
  <c r="AK143" i="41" a="1"/>
  <c r="AK143" i="41" s="1"/>
  <c r="AL143" i="41" a="1"/>
  <c r="AL143" i="41" s="1"/>
  <c r="AM143" i="41" a="1"/>
  <c r="AM143" i="41" s="1"/>
  <c r="AN143" i="41" a="1"/>
  <c r="AN143" i="41" s="1"/>
  <c r="AO143" i="41" a="1"/>
  <c r="AO143" i="41" s="1"/>
  <c r="AP143" i="41" a="1"/>
  <c r="AP143" i="41" s="1"/>
  <c r="AQ143" i="41" a="1"/>
  <c r="AQ143" i="41" s="1"/>
  <c r="AR143" i="41" a="1"/>
  <c r="AR143" i="41" s="1"/>
  <c r="AS143" i="41" a="1"/>
  <c r="AS143" i="41" s="1"/>
  <c r="AT143" i="41" a="1"/>
  <c r="AT143" i="41" s="1"/>
  <c r="AU143" i="41" a="1"/>
  <c r="AU143" i="41" s="1"/>
  <c r="AJ143" i="41" a="1"/>
  <c r="AJ143" i="41" s="1"/>
  <c r="AJ139" i="41"/>
  <c r="AV140" i="41" s="1"/>
  <c r="X121" i="41" a="1"/>
  <c r="X121" i="41" s="1"/>
  <c r="Y121" i="41" a="1"/>
  <c r="Y121" i="41" s="1"/>
  <c r="Z121" i="41" a="1"/>
  <c r="Z121" i="41" s="1"/>
  <c r="AA121" i="41" a="1"/>
  <c r="AA121" i="41" s="1"/>
  <c r="AB121" i="41" a="1"/>
  <c r="AB121" i="41" s="1"/>
  <c r="AC121" i="41" a="1"/>
  <c r="AC121" i="41" s="1"/>
  <c r="AD121" i="41" a="1"/>
  <c r="AD121" i="41" s="1"/>
  <c r="AE121" i="41" a="1"/>
  <c r="AE121" i="41" s="1"/>
  <c r="AF121" i="41" a="1"/>
  <c r="AF121" i="41" s="1"/>
  <c r="AG121" i="41" a="1"/>
  <c r="AG121" i="41" s="1"/>
  <c r="AH121" i="41" a="1"/>
  <c r="AH121" i="41" s="1"/>
  <c r="AI121" i="41" a="1"/>
  <c r="AI121" i="41" s="1"/>
  <c r="AK121" i="41" a="1"/>
  <c r="AK121" i="41" s="1"/>
  <c r="AL121" i="41" a="1"/>
  <c r="AL121" i="41" s="1"/>
  <c r="AM121" i="41" a="1"/>
  <c r="AM121" i="41" s="1"/>
  <c r="AN121" i="41" a="1"/>
  <c r="AN121" i="41" s="1"/>
  <c r="AO121" i="41" a="1"/>
  <c r="AO121" i="41" s="1"/>
  <c r="AP121" i="41" a="1"/>
  <c r="AP121" i="41" s="1"/>
  <c r="AQ121" i="41" a="1"/>
  <c r="AQ121" i="41" s="1"/>
  <c r="AR121" i="41" a="1"/>
  <c r="AR121" i="41" s="1"/>
  <c r="AS121" i="41" a="1"/>
  <c r="AS121" i="41" s="1"/>
  <c r="AT121" i="41" a="1"/>
  <c r="AT121" i="41" s="1"/>
  <c r="AU121" i="41" a="1"/>
  <c r="AU121" i="41" s="1"/>
  <c r="AJ121" i="41" a="1"/>
  <c r="AJ121" i="41" s="1"/>
  <c r="AJ117" i="41"/>
  <c r="AV118" i="41" s="1"/>
  <c r="X99" i="41" a="1"/>
  <c r="X99" i="41" s="1"/>
  <c r="Y99" i="41" a="1"/>
  <c r="Y99" i="41" s="1"/>
  <c r="Z99" i="41" a="1"/>
  <c r="Z99" i="41" s="1"/>
  <c r="AA99" i="41" a="1"/>
  <c r="AA99" i="41" s="1"/>
  <c r="AB99" i="41" a="1"/>
  <c r="AB99" i="41" s="1"/>
  <c r="AC99" i="41" a="1"/>
  <c r="AC99" i="41" s="1"/>
  <c r="AD99" i="41" a="1"/>
  <c r="AD99" i="41" s="1"/>
  <c r="AE99" i="41" a="1"/>
  <c r="AE99" i="41" s="1"/>
  <c r="AF99" i="41" a="1"/>
  <c r="AF99" i="41" s="1"/>
  <c r="AG99" i="41" a="1"/>
  <c r="AG99" i="41" s="1"/>
  <c r="AH99" i="41" a="1"/>
  <c r="AH99" i="41" s="1"/>
  <c r="AI99" i="41" a="1"/>
  <c r="AI99" i="41" s="1"/>
  <c r="AK99" i="41" a="1"/>
  <c r="AK99" i="41" s="1"/>
  <c r="AL99" i="41" a="1"/>
  <c r="AL99" i="41" s="1"/>
  <c r="AM99" i="41" a="1"/>
  <c r="AM99" i="41" s="1"/>
  <c r="AN99" i="41" a="1"/>
  <c r="AN99" i="41" s="1"/>
  <c r="AO99" i="41" a="1"/>
  <c r="AO99" i="41" s="1"/>
  <c r="AP99" i="41" a="1"/>
  <c r="AP99" i="41" s="1"/>
  <c r="AQ99" i="41" a="1"/>
  <c r="AQ99" i="41" s="1"/>
  <c r="AR99" i="41" a="1"/>
  <c r="AR99" i="41" s="1"/>
  <c r="AS99" i="41" a="1"/>
  <c r="AS99" i="41" s="1"/>
  <c r="AT99" i="41" a="1"/>
  <c r="AT99" i="41" s="1"/>
  <c r="AU99" i="41" a="1"/>
  <c r="AU99" i="41" s="1"/>
  <c r="AJ99" i="41" a="1"/>
  <c r="AJ99" i="41" s="1"/>
  <c r="AJ95" i="41"/>
  <c r="AV96" i="41" s="1"/>
  <c r="X77" i="41" a="1"/>
  <c r="X77" i="41" s="1"/>
  <c r="Y77" i="41" a="1"/>
  <c r="Y77" i="41" s="1"/>
  <c r="Z77" i="41" a="1"/>
  <c r="Z77" i="41" s="1"/>
  <c r="AA77" i="41" a="1"/>
  <c r="AA77" i="41" s="1"/>
  <c r="AB77" i="41" a="1"/>
  <c r="AB77" i="41" s="1"/>
  <c r="AC77" i="41" a="1"/>
  <c r="AC77" i="41" s="1"/>
  <c r="AD77" i="41" a="1"/>
  <c r="AD77" i="41" s="1"/>
  <c r="AE77" i="41" a="1"/>
  <c r="AE77" i="41" s="1"/>
  <c r="AF77" i="41" a="1"/>
  <c r="AF77" i="41" s="1"/>
  <c r="AG77" i="41" a="1"/>
  <c r="AG77" i="41" s="1"/>
  <c r="AH77" i="41" a="1"/>
  <c r="AH77" i="41" s="1"/>
  <c r="AI77" i="41" a="1"/>
  <c r="AI77" i="41" s="1"/>
  <c r="AK77" i="41" a="1"/>
  <c r="AK77" i="41" s="1"/>
  <c r="AL77" i="41" a="1"/>
  <c r="AL77" i="41" s="1"/>
  <c r="AM77" i="41" a="1"/>
  <c r="AM77" i="41" s="1"/>
  <c r="AN77" i="41" a="1"/>
  <c r="AN77" i="41" s="1"/>
  <c r="AO77" i="41" a="1"/>
  <c r="AO77" i="41" s="1"/>
  <c r="AP77" i="41" a="1"/>
  <c r="AP77" i="41" s="1"/>
  <c r="AQ77" i="41" a="1"/>
  <c r="AQ77" i="41" s="1"/>
  <c r="AR77" i="41" a="1"/>
  <c r="AR77" i="41" s="1"/>
  <c r="AS77" i="41" a="1"/>
  <c r="AS77" i="41" s="1"/>
  <c r="AT77" i="41" a="1"/>
  <c r="AT77" i="41" s="1"/>
  <c r="AU77" i="41" a="1"/>
  <c r="AU77" i="41" s="1"/>
  <c r="AJ77" i="41" a="1"/>
  <c r="AJ77" i="41" s="1"/>
  <c r="AJ73" i="41"/>
  <c r="AV74" i="41" s="1"/>
  <c r="X55" i="41" a="1"/>
  <c r="X55" i="41" s="1"/>
  <c r="Y55" i="41" a="1"/>
  <c r="Y55" i="41" s="1"/>
  <c r="Z55" i="41" a="1"/>
  <c r="Z55" i="41" s="1"/>
  <c r="AA55" i="41" a="1"/>
  <c r="AA55" i="41" s="1"/>
  <c r="AB55" i="41" a="1"/>
  <c r="AB55" i="41" s="1"/>
  <c r="AC55" i="41" a="1"/>
  <c r="AC55" i="41" s="1"/>
  <c r="AD55" i="41" a="1"/>
  <c r="AD55" i="41" s="1"/>
  <c r="AE55" i="41" a="1"/>
  <c r="AE55" i="41" s="1"/>
  <c r="AF55" i="41" a="1"/>
  <c r="AF55" i="41" s="1"/>
  <c r="AG55" i="41" a="1"/>
  <c r="AG55" i="41" s="1"/>
  <c r="AH55" i="41" a="1"/>
  <c r="AH55" i="41" s="1"/>
  <c r="AI55" i="41" a="1"/>
  <c r="AI55" i="41" s="1"/>
  <c r="AK55" i="41" a="1"/>
  <c r="AK55" i="41" s="1"/>
  <c r="AL55" i="41" a="1"/>
  <c r="AL55" i="41" s="1"/>
  <c r="AM55" i="41" a="1"/>
  <c r="AM55" i="41" s="1"/>
  <c r="AN55" i="41" a="1"/>
  <c r="AN55" i="41" s="1"/>
  <c r="AO55" i="41" a="1"/>
  <c r="AO55" i="41" s="1"/>
  <c r="AP55" i="41" a="1"/>
  <c r="AP55" i="41" s="1"/>
  <c r="AQ55" i="41" a="1"/>
  <c r="AQ55" i="41" s="1"/>
  <c r="AR55" i="41" a="1"/>
  <c r="AR55" i="41" s="1"/>
  <c r="AS55" i="41" a="1"/>
  <c r="AS55" i="41" s="1"/>
  <c r="AT55" i="41" a="1"/>
  <c r="AT55" i="41" s="1"/>
  <c r="AU55" i="41" a="1"/>
  <c r="AU55" i="41" s="1"/>
  <c r="AJ55" i="41" a="1"/>
  <c r="AJ55" i="41" s="1"/>
  <c r="AJ51" i="41"/>
  <c r="AV52" i="41" s="1"/>
  <c r="Y33" i="41" a="1"/>
  <c r="Y33" i="41" s="1"/>
  <c r="Z33" i="41" a="1"/>
  <c r="Z33" i="41" s="1"/>
  <c r="AA33" i="41" a="1"/>
  <c r="AA33" i="41" s="1"/>
  <c r="AB33" i="41" a="1"/>
  <c r="AB33" i="41" s="1"/>
  <c r="AC33" i="41" a="1"/>
  <c r="AC33" i="41" s="1"/>
  <c r="AD33" i="41" a="1"/>
  <c r="AD33" i="41" s="1"/>
  <c r="AE33" i="41" a="1"/>
  <c r="AE33" i="41" s="1"/>
  <c r="AF33" i="41" a="1"/>
  <c r="AF33" i="41" s="1"/>
  <c r="AG33" i="41" a="1"/>
  <c r="AG33" i="41" s="1"/>
  <c r="AH33" i="41" a="1"/>
  <c r="AH33" i="41" s="1"/>
  <c r="AI33" i="41" a="1"/>
  <c r="AI33" i="41" s="1"/>
  <c r="AJ33" i="41" a="1"/>
  <c r="AJ33" i="41" s="1"/>
  <c r="AK33" i="41" a="1"/>
  <c r="AK33" i="41" s="1"/>
  <c r="AL33" i="41" a="1"/>
  <c r="AL33" i="41" s="1"/>
  <c r="AM33" i="41" a="1"/>
  <c r="AM33" i="41" s="1"/>
  <c r="AN33" i="41" a="1"/>
  <c r="AN33" i="41" s="1"/>
  <c r="AO33" i="41" a="1"/>
  <c r="AO33" i="41" s="1"/>
  <c r="AP33" i="41" a="1"/>
  <c r="AP33" i="41" s="1"/>
  <c r="AQ33" i="41" a="1"/>
  <c r="AQ33" i="41" s="1"/>
  <c r="AR33" i="41" a="1"/>
  <c r="AR33" i="41" s="1"/>
  <c r="AS33" i="41" a="1"/>
  <c r="AS33" i="41" s="1"/>
  <c r="AT33" i="41" a="1"/>
  <c r="AT33" i="41" s="1"/>
  <c r="AU33" i="41" a="1"/>
  <c r="AU33" i="41" s="1"/>
  <c r="X33" i="41" a="1"/>
  <c r="X33" i="41" s="1"/>
  <c r="AJ29" i="41"/>
  <c r="AV30" i="41" s="1"/>
  <c r="E67" i="10" l="1"/>
  <c r="AV143" i="41"/>
  <c r="AV121" i="41"/>
  <c r="AV55" i="41"/>
  <c r="Q18" i="31"/>
  <c r="T18" i="31" s="1"/>
  <c r="G79" i="44"/>
  <c r="F66" i="31" s="1"/>
  <c r="G55" i="44"/>
  <c r="F65" i="31" s="1"/>
  <c r="L55" i="44"/>
  <c r="K65" i="31" s="1"/>
  <c r="L79" i="44"/>
  <c r="K66" i="31" s="1"/>
  <c r="I79" i="44"/>
  <c r="H66" i="31" s="1"/>
  <c r="I55" i="44"/>
  <c r="H65" i="31" s="1"/>
  <c r="O55" i="44"/>
  <c r="N65" i="31" s="1"/>
  <c r="O79" i="44"/>
  <c r="N66" i="31" s="1"/>
  <c r="M55" i="44"/>
  <c r="L65" i="31" s="1"/>
  <c r="M79" i="44"/>
  <c r="L66" i="31" s="1"/>
  <c r="J55" i="44"/>
  <c r="I65" i="31" s="1"/>
  <c r="J79" i="44"/>
  <c r="I66" i="31" s="1"/>
  <c r="N55" i="44"/>
  <c r="M65" i="31" s="1"/>
  <c r="N79" i="44"/>
  <c r="M66" i="31" s="1"/>
  <c r="H79" i="44"/>
  <c r="G66" i="31" s="1"/>
  <c r="H55" i="44"/>
  <c r="G65" i="31" s="1"/>
  <c r="K79" i="44"/>
  <c r="J66" i="31" s="1"/>
  <c r="K55" i="44"/>
  <c r="J65" i="31" s="1"/>
  <c r="Q79" i="44"/>
  <c r="P66" i="31" s="1"/>
  <c r="Q55" i="44"/>
  <c r="P65" i="31" s="1"/>
  <c r="P79" i="44"/>
  <c r="O66" i="31" s="1"/>
  <c r="P55" i="44"/>
  <c r="O65" i="31" s="1"/>
  <c r="P78" i="44"/>
  <c r="O66" i="10" s="1"/>
  <c r="P54" i="44"/>
  <c r="O65" i="10" s="1"/>
  <c r="K54" i="44"/>
  <c r="J65" i="10" s="1"/>
  <c r="J67" i="10" s="1"/>
  <c r="K78" i="44"/>
  <c r="J66" i="10" s="1"/>
  <c r="Q78" i="44"/>
  <c r="P66" i="10" s="1"/>
  <c r="Q54" i="44"/>
  <c r="P65" i="10" s="1"/>
  <c r="P67" i="10" s="1"/>
  <c r="L78" i="44"/>
  <c r="K66" i="10" s="1"/>
  <c r="L54" i="44"/>
  <c r="K65" i="10" s="1"/>
  <c r="K67" i="10" s="1"/>
  <c r="M78" i="44"/>
  <c r="L66" i="10" s="1"/>
  <c r="M54" i="44"/>
  <c r="L65" i="10" s="1"/>
  <c r="L67" i="10" s="1"/>
  <c r="J54" i="44"/>
  <c r="I65" i="10" s="1"/>
  <c r="J78" i="44"/>
  <c r="I66" i="10" s="1"/>
  <c r="I78" i="44"/>
  <c r="H66" i="10" s="1"/>
  <c r="I54" i="44"/>
  <c r="H65" i="10" s="1"/>
  <c r="G78" i="44"/>
  <c r="F66" i="10" s="1"/>
  <c r="Q66" i="10" s="1"/>
  <c r="G54" i="44"/>
  <c r="F65" i="10" s="1"/>
  <c r="H78" i="44"/>
  <c r="G66" i="10" s="1"/>
  <c r="H54" i="44"/>
  <c r="G65" i="10" s="1"/>
  <c r="N78" i="44"/>
  <c r="M66" i="10" s="1"/>
  <c r="N54" i="44"/>
  <c r="M65" i="10" s="1"/>
  <c r="M67" i="10" s="1"/>
  <c r="O78" i="44"/>
  <c r="N66" i="10" s="1"/>
  <c r="O54" i="44"/>
  <c r="N65" i="10" s="1"/>
  <c r="N67" i="10" s="1"/>
  <c r="H77" i="44"/>
  <c r="G66" i="9" s="1"/>
  <c r="H53" i="44"/>
  <c r="G65" i="9" s="1"/>
  <c r="P53" i="44"/>
  <c r="O65" i="9" s="1"/>
  <c r="P77" i="44"/>
  <c r="O66" i="9" s="1"/>
  <c r="G77" i="44"/>
  <c r="F66" i="9" s="1"/>
  <c r="G53" i="44"/>
  <c r="F65" i="9" s="1"/>
  <c r="I53" i="44"/>
  <c r="H65" i="9" s="1"/>
  <c r="I77" i="44"/>
  <c r="H66" i="9" s="1"/>
  <c r="K53" i="44"/>
  <c r="J65" i="9" s="1"/>
  <c r="K77" i="44"/>
  <c r="J66" i="9" s="1"/>
  <c r="M77" i="44"/>
  <c r="L66" i="9" s="1"/>
  <c r="M53" i="44"/>
  <c r="L65" i="9" s="1"/>
  <c r="Q77" i="44"/>
  <c r="P66" i="9" s="1"/>
  <c r="Q53" i="44"/>
  <c r="P65" i="9" s="1"/>
  <c r="L77" i="44"/>
  <c r="K66" i="9" s="1"/>
  <c r="L53" i="44"/>
  <c r="K65" i="9" s="1"/>
  <c r="O53" i="44"/>
  <c r="N65" i="9" s="1"/>
  <c r="O77" i="44"/>
  <c r="N66" i="9" s="1"/>
  <c r="J77" i="44"/>
  <c r="I66" i="9" s="1"/>
  <c r="J53" i="44"/>
  <c r="I65" i="9" s="1"/>
  <c r="N53" i="44"/>
  <c r="M65" i="9" s="1"/>
  <c r="N77" i="44"/>
  <c r="M66" i="9" s="1"/>
  <c r="J52" i="44"/>
  <c r="I65" i="8" s="1"/>
  <c r="J76" i="44"/>
  <c r="I66" i="8" s="1"/>
  <c r="O52" i="44"/>
  <c r="N65" i="8" s="1"/>
  <c r="O76" i="44"/>
  <c r="N66" i="8" s="1"/>
  <c r="L76" i="44"/>
  <c r="K66" i="8" s="1"/>
  <c r="L52" i="44"/>
  <c r="K65" i="8" s="1"/>
  <c r="N52" i="44"/>
  <c r="M65" i="8" s="1"/>
  <c r="N76" i="44"/>
  <c r="M66" i="8" s="1"/>
  <c r="M52" i="44"/>
  <c r="L65" i="8" s="1"/>
  <c r="M76" i="44"/>
  <c r="L66" i="8" s="1"/>
  <c r="K76" i="44"/>
  <c r="J66" i="8" s="1"/>
  <c r="K52" i="44"/>
  <c r="J65" i="8" s="1"/>
  <c r="F76" i="44"/>
  <c r="E66" i="8" s="1"/>
  <c r="F52" i="44"/>
  <c r="E65" i="8" s="1"/>
  <c r="P76" i="44"/>
  <c r="O66" i="8" s="1"/>
  <c r="P52" i="44"/>
  <c r="O65" i="8" s="1"/>
  <c r="H52" i="44"/>
  <c r="G65" i="8" s="1"/>
  <c r="H76" i="44"/>
  <c r="G66" i="8" s="1"/>
  <c r="Q76" i="44"/>
  <c r="P66" i="8" s="1"/>
  <c r="Q52" i="44"/>
  <c r="P65" i="8" s="1"/>
  <c r="G76" i="44"/>
  <c r="F66" i="8" s="1"/>
  <c r="G52" i="44"/>
  <c r="F65" i="8" s="1"/>
  <c r="I52" i="44"/>
  <c r="H65" i="8" s="1"/>
  <c r="I76" i="44"/>
  <c r="H66" i="8" s="1"/>
  <c r="Q50" i="44"/>
  <c r="P65" i="6" s="1"/>
  <c r="Q74" i="44"/>
  <c r="P66" i="6" s="1"/>
  <c r="O74" i="44"/>
  <c r="N66" i="6" s="1"/>
  <c r="O50" i="44"/>
  <c r="N65" i="6" s="1"/>
  <c r="K74" i="44"/>
  <c r="J66" i="6" s="1"/>
  <c r="K50" i="44"/>
  <c r="J65" i="6" s="1"/>
  <c r="E65" i="6"/>
  <c r="L50" i="44"/>
  <c r="K65" i="6" s="1"/>
  <c r="L74" i="44"/>
  <c r="K66" i="6" s="1"/>
  <c r="H50" i="44"/>
  <c r="G65" i="6" s="1"/>
  <c r="H74" i="44"/>
  <c r="G66" i="6" s="1"/>
  <c r="N74" i="44"/>
  <c r="M66" i="6" s="1"/>
  <c r="N50" i="44"/>
  <c r="M65" i="6" s="1"/>
  <c r="J50" i="44"/>
  <c r="I65" i="6" s="1"/>
  <c r="J74" i="44"/>
  <c r="I66" i="6" s="1"/>
  <c r="I50" i="44"/>
  <c r="H65" i="6" s="1"/>
  <c r="I74" i="44"/>
  <c r="H66" i="6" s="1"/>
  <c r="P74" i="44"/>
  <c r="O66" i="6" s="1"/>
  <c r="P50" i="44"/>
  <c r="O65" i="6" s="1"/>
  <c r="G50" i="44"/>
  <c r="F65" i="6" s="1"/>
  <c r="G74" i="44"/>
  <c r="F66" i="6" s="1"/>
  <c r="M74" i="44"/>
  <c r="L66" i="6" s="1"/>
  <c r="M50" i="44"/>
  <c r="L65" i="6" s="1"/>
  <c r="AV77" i="41"/>
  <c r="AV99" i="41"/>
  <c r="AV33" i="41"/>
  <c r="AJ7" i="41"/>
  <c r="AV8" i="41" s="1"/>
  <c r="AH11" i="41" a="1"/>
  <c r="AH11" i="41" s="1"/>
  <c r="X11" i="41" a="1"/>
  <c r="X11" i="41" s="1"/>
  <c r="Y11" i="41" a="1"/>
  <c r="Y11" i="41" s="1"/>
  <c r="Z11" i="41" a="1"/>
  <c r="Z11" i="41" s="1"/>
  <c r="AA11" i="41" a="1"/>
  <c r="AA11" i="41" s="1"/>
  <c r="AB11" i="41" a="1"/>
  <c r="AB11" i="41" s="1"/>
  <c r="AC11" i="41" a="1"/>
  <c r="AC11" i="41" s="1"/>
  <c r="AD11" i="41" a="1"/>
  <c r="AD11" i="41" s="1"/>
  <c r="AE11" i="41" a="1"/>
  <c r="AE11" i="41" s="1"/>
  <c r="AF11" i="41" a="1"/>
  <c r="AF11" i="41" s="1"/>
  <c r="AG11" i="41" a="1"/>
  <c r="AG11" i="41" s="1"/>
  <c r="AI11" i="41" a="1"/>
  <c r="AI11" i="41" s="1"/>
  <c r="AK11" i="41" a="1"/>
  <c r="AK11" i="41" s="1"/>
  <c r="AL11" i="41" a="1"/>
  <c r="AL11" i="41" s="1"/>
  <c r="AM11" i="41" a="1"/>
  <c r="AM11" i="41" s="1"/>
  <c r="AN11" i="41" a="1"/>
  <c r="AN11" i="41" s="1"/>
  <c r="AO11" i="41" a="1"/>
  <c r="AO11" i="41" s="1"/>
  <c r="AP11" i="41" a="1"/>
  <c r="AP11" i="41" s="1"/>
  <c r="AQ11" i="41" a="1"/>
  <c r="AQ11" i="41" s="1"/>
  <c r="AR11" i="41" a="1"/>
  <c r="AR11" i="41" s="1"/>
  <c r="AS11" i="41" a="1"/>
  <c r="AS11" i="41" s="1"/>
  <c r="AT11" i="41" a="1"/>
  <c r="AT11" i="41" s="1"/>
  <c r="AU11" i="41" a="1"/>
  <c r="AU11" i="41" s="1"/>
  <c r="AH10" i="41" a="1"/>
  <c r="AH10" i="41" s="1"/>
  <c r="B2" i="41"/>
  <c r="Y142" i="41" a="1"/>
  <c r="Y142" i="41" s="1"/>
  <c r="Z142" i="41" a="1"/>
  <c r="Z142" i="41" s="1"/>
  <c r="AA142" i="41" a="1"/>
  <c r="AA142" i="41" s="1"/>
  <c r="AB142" i="41" a="1"/>
  <c r="AB142" i="41" s="1"/>
  <c r="AC142" i="41" a="1"/>
  <c r="AC142" i="41" s="1"/>
  <c r="AD142" i="41" a="1"/>
  <c r="AD142" i="41" s="1"/>
  <c r="AE142" i="41" a="1"/>
  <c r="AE142" i="41" s="1"/>
  <c r="AF142" i="41" a="1"/>
  <c r="AF142" i="41" s="1"/>
  <c r="AG142" i="41" a="1"/>
  <c r="AG142" i="41" s="1"/>
  <c r="AH142" i="41" a="1"/>
  <c r="AH142" i="41" s="1"/>
  <c r="AI142" i="41" a="1"/>
  <c r="AI142" i="41" s="1"/>
  <c r="AJ142" i="41" a="1"/>
  <c r="AJ142" i="41" s="1"/>
  <c r="AK142" i="41" a="1"/>
  <c r="AK142" i="41" s="1"/>
  <c r="AL142" i="41" a="1"/>
  <c r="AL142" i="41" s="1"/>
  <c r="AM142" i="41" a="1"/>
  <c r="AM142" i="41" s="1"/>
  <c r="AN142" i="41" a="1"/>
  <c r="AN142" i="41" s="1"/>
  <c r="AO142" i="41" a="1"/>
  <c r="AO142" i="41" s="1"/>
  <c r="AP142" i="41" a="1"/>
  <c r="AP142" i="41" s="1"/>
  <c r="AQ142" i="41" a="1"/>
  <c r="AQ142" i="41" s="1"/>
  <c r="L11" i="32" s="1"/>
  <c r="AR142" i="41" a="1"/>
  <c r="AR142" i="41" s="1"/>
  <c r="AS142" i="41" a="1"/>
  <c r="AS142" i="41" s="1"/>
  <c r="AT142" i="41" a="1"/>
  <c r="AT142" i="41" s="1"/>
  <c r="AU142" i="41" a="1"/>
  <c r="AU142" i="41" s="1"/>
  <c r="X142" i="41" a="1"/>
  <c r="X142" i="41" s="1"/>
  <c r="AJ120" i="41" a="1"/>
  <c r="AJ120" i="41" s="1"/>
  <c r="AK120" i="41" a="1"/>
  <c r="AK120" i="41" s="1"/>
  <c r="AL120" i="41" a="1"/>
  <c r="AL120" i="41" s="1"/>
  <c r="AM120" i="41" a="1"/>
  <c r="AM120" i="41" s="1"/>
  <c r="AN120" i="41" a="1"/>
  <c r="AN120" i="41" s="1"/>
  <c r="AO120" i="41" a="1"/>
  <c r="AO120" i="41" s="1"/>
  <c r="AP120" i="41" a="1"/>
  <c r="AP120" i="41" s="1"/>
  <c r="AQ120" i="41" a="1"/>
  <c r="AQ120" i="41" s="1"/>
  <c r="AR120" i="41" a="1"/>
  <c r="AR120" i="41" s="1"/>
  <c r="M11" i="31" s="1"/>
  <c r="AS120" i="41" a="1"/>
  <c r="AS120" i="41" s="1"/>
  <c r="AT120" i="41" a="1"/>
  <c r="AT120" i="41" s="1"/>
  <c r="AU120" i="41" a="1"/>
  <c r="AU120" i="41" s="1"/>
  <c r="Y120" i="41" a="1"/>
  <c r="Y120" i="41" s="1"/>
  <c r="Z120" i="41" a="1"/>
  <c r="Z120" i="41" s="1"/>
  <c r="AA120" i="41" a="1"/>
  <c r="AA120" i="41" s="1"/>
  <c r="AB120" i="41" a="1"/>
  <c r="AB120" i="41" s="1"/>
  <c r="AC120" i="41" a="1"/>
  <c r="AC120" i="41" s="1"/>
  <c r="AD120" i="41" a="1"/>
  <c r="AD120" i="41" s="1"/>
  <c r="AE120" i="41" a="1"/>
  <c r="AE120" i="41" s="1"/>
  <c r="AF120" i="41" a="1"/>
  <c r="AF120" i="41" s="1"/>
  <c r="AG120" i="41" a="1"/>
  <c r="AG120" i="41" s="1"/>
  <c r="AH120" i="41" a="1"/>
  <c r="AH120" i="41" s="1"/>
  <c r="AI120" i="41" a="1"/>
  <c r="AI120" i="41" s="1"/>
  <c r="X120" i="41" a="1"/>
  <c r="X120" i="41" s="1"/>
  <c r="AK98" i="41" a="1"/>
  <c r="AK98" i="41" s="1"/>
  <c r="AL98" i="41" a="1"/>
  <c r="AL98" i="41" s="1"/>
  <c r="AM98" i="41" a="1"/>
  <c r="AM98" i="41" s="1"/>
  <c r="AN98" i="41" a="1"/>
  <c r="AN98" i="41" s="1"/>
  <c r="AO98" i="41" a="1"/>
  <c r="AO98" i="41" s="1"/>
  <c r="AP98" i="41" a="1"/>
  <c r="AP98" i="41" s="1"/>
  <c r="AQ98" i="41" a="1"/>
  <c r="AQ98" i="41" s="1"/>
  <c r="AR98" i="41" a="1"/>
  <c r="AR98" i="41" s="1"/>
  <c r="AS98" i="41" a="1"/>
  <c r="AS98" i="41" s="1"/>
  <c r="AT98" i="41" a="1"/>
  <c r="AT98" i="41" s="1"/>
  <c r="AU98" i="41" a="1"/>
  <c r="AU98" i="41" s="1"/>
  <c r="Y98" i="41" a="1"/>
  <c r="Y98" i="41" s="1"/>
  <c r="Z98" i="41" a="1"/>
  <c r="Z98" i="41" s="1"/>
  <c r="AA98" i="41" a="1"/>
  <c r="AA98" i="41" s="1"/>
  <c r="AB98" i="41" a="1"/>
  <c r="AB98" i="41" s="1"/>
  <c r="AC98" i="41" a="1"/>
  <c r="AC98" i="41" s="1"/>
  <c r="AD98" i="41" a="1"/>
  <c r="AD98" i="41" s="1"/>
  <c r="AE98" i="41" a="1"/>
  <c r="AE98" i="41" s="1"/>
  <c r="AF98" i="41" a="1"/>
  <c r="AF98" i="41" s="1"/>
  <c r="AG98" i="41" a="1"/>
  <c r="AG98" i="41" s="1"/>
  <c r="AH98" i="41" a="1"/>
  <c r="AH98" i="41" s="1"/>
  <c r="AI98" i="41" a="1"/>
  <c r="AI98" i="41" s="1"/>
  <c r="AJ98" i="41" a="1"/>
  <c r="AJ98" i="41" s="1"/>
  <c r="X98" i="41" a="1"/>
  <c r="X98" i="41" s="1"/>
  <c r="AT76" i="41" a="1"/>
  <c r="AT76" i="41" s="1"/>
  <c r="AU76" i="41" a="1"/>
  <c r="AU76" i="41" s="1"/>
  <c r="AS76" i="41" a="1"/>
  <c r="AS76" i="41" s="1"/>
  <c r="AR76" i="41" a="1"/>
  <c r="AR76" i="41" s="1"/>
  <c r="AP76" i="41" a="1"/>
  <c r="AP76" i="41" s="1"/>
  <c r="AQ76" i="41" a="1"/>
  <c r="AQ76" i="41" s="1"/>
  <c r="AM76" i="41" a="1"/>
  <c r="AM76" i="41" s="1"/>
  <c r="AN76" i="41" a="1"/>
  <c r="AN76" i="41" s="1"/>
  <c r="AO76" i="41" a="1"/>
  <c r="AO76" i="41" s="1"/>
  <c r="AH76" i="41" a="1"/>
  <c r="AH76" i="41" s="1"/>
  <c r="AI76" i="41" a="1"/>
  <c r="AI76" i="41" s="1"/>
  <c r="AJ76" i="41" a="1"/>
  <c r="AJ76" i="41" s="1"/>
  <c r="AK76" i="41" a="1"/>
  <c r="AK76" i="41" s="1"/>
  <c r="AL76" i="41" a="1"/>
  <c r="AL76" i="41" s="1"/>
  <c r="AF76" i="41" a="1"/>
  <c r="AF76" i="41" s="1"/>
  <c r="AG76" i="41" a="1"/>
  <c r="AG76" i="41" s="1"/>
  <c r="Y76" i="41" a="1"/>
  <c r="Y76" i="41" s="1"/>
  <c r="Z76" i="41" a="1"/>
  <c r="Z76" i="41" s="1"/>
  <c r="AA76" i="41" a="1"/>
  <c r="AA76" i="41" s="1"/>
  <c r="AB76" i="41" a="1"/>
  <c r="AB76" i="41" s="1"/>
  <c r="AC76" i="41" a="1"/>
  <c r="AC76" i="41" s="1"/>
  <c r="AD76" i="41" a="1"/>
  <c r="AD76" i="41" s="1"/>
  <c r="AE76" i="41" a="1"/>
  <c r="AE76" i="41" s="1"/>
  <c r="X76" i="41" a="1"/>
  <c r="X76" i="41" s="1"/>
  <c r="AU54" i="41" a="1"/>
  <c r="AU54" i="41" s="1"/>
  <c r="P11" i="8" s="1"/>
  <c r="P202" i="8" s="1"/>
  <c r="AM54" i="41" a="1"/>
  <c r="AM54" i="41" s="1"/>
  <c r="H11" i="8" s="1"/>
  <c r="H202" i="8" s="1"/>
  <c r="AN54" i="41" a="1"/>
  <c r="AN54" i="41" s="1"/>
  <c r="I11" i="8" s="1"/>
  <c r="I202" i="8" s="1"/>
  <c r="AO54" i="41" a="1"/>
  <c r="AO54" i="41" s="1"/>
  <c r="J11" i="8" s="1"/>
  <c r="J202" i="8" s="1"/>
  <c r="AP54" i="41" a="1"/>
  <c r="AP54" i="41" s="1"/>
  <c r="K11" i="8" s="1"/>
  <c r="K202" i="8" s="1"/>
  <c r="AQ54" i="41" a="1"/>
  <c r="AQ54" i="41" s="1"/>
  <c r="L11" i="8" s="1"/>
  <c r="L202" i="8" s="1"/>
  <c r="AR54" i="41" a="1"/>
  <c r="AR54" i="41" s="1"/>
  <c r="M11" i="8" s="1"/>
  <c r="M202" i="8" s="1"/>
  <c r="AS54" i="41" a="1"/>
  <c r="AS54" i="41" s="1"/>
  <c r="N11" i="8" s="1"/>
  <c r="N202" i="8" s="1"/>
  <c r="AT54" i="41" a="1"/>
  <c r="AT54" i="41" s="1"/>
  <c r="O11" i="8" s="1"/>
  <c r="O202" i="8" s="1"/>
  <c r="AJ54" i="41" a="1"/>
  <c r="AJ54" i="41" s="1"/>
  <c r="AK54" i="41" a="1"/>
  <c r="AK54" i="41" s="1"/>
  <c r="F11" i="8" s="1"/>
  <c r="F202" i="8" s="1"/>
  <c r="AL54" i="41" a="1"/>
  <c r="AL54" i="41" s="1"/>
  <c r="G11" i="8" s="1"/>
  <c r="G202" i="8" s="1"/>
  <c r="Y54" i="41" a="1"/>
  <c r="Y54" i="41" s="1"/>
  <c r="Z54" i="41" a="1"/>
  <c r="Z54" i="41" s="1"/>
  <c r="AA54" i="41" a="1"/>
  <c r="AA54" i="41" s="1"/>
  <c r="AB54" i="41" a="1"/>
  <c r="AB54" i="41" s="1"/>
  <c r="AC54" i="41" a="1"/>
  <c r="AC54" i="41" s="1"/>
  <c r="AD54" i="41" a="1"/>
  <c r="AD54" i="41" s="1"/>
  <c r="AE54" i="41" a="1"/>
  <c r="AE54" i="41" s="1"/>
  <c r="AF54" i="41" a="1"/>
  <c r="AF54" i="41" s="1"/>
  <c r="AG54" i="41" a="1"/>
  <c r="AG54" i="41" s="1"/>
  <c r="AH54" i="41" a="1"/>
  <c r="AH54" i="41" s="1"/>
  <c r="AI54" i="41" a="1"/>
  <c r="AI54" i="41" s="1"/>
  <c r="X54" i="41" a="1"/>
  <c r="X54" i="41" s="1"/>
  <c r="AT10" i="41" a="1"/>
  <c r="AT10" i="41" s="1"/>
  <c r="AU10" i="41" a="1"/>
  <c r="AU10" i="41" s="1"/>
  <c r="AN10" i="41" a="1"/>
  <c r="AN10" i="41" s="1"/>
  <c r="AO10" i="41" a="1"/>
  <c r="AO10" i="41" s="1"/>
  <c r="AP10" i="41" a="1"/>
  <c r="AP10" i="41" s="1"/>
  <c r="AQ10" i="41" a="1"/>
  <c r="AQ10" i="41" s="1"/>
  <c r="AR10" i="41" a="1"/>
  <c r="AR10" i="41" s="1"/>
  <c r="AS10" i="41" a="1"/>
  <c r="AS10" i="41" s="1"/>
  <c r="AL10" i="41" a="1"/>
  <c r="AL10" i="41" s="1"/>
  <c r="AM10" i="41" a="1"/>
  <c r="AM10" i="41" s="1"/>
  <c r="AK10" i="41" a="1"/>
  <c r="AK10" i="41" s="1"/>
  <c r="AI10" i="41" a="1"/>
  <c r="AI10" i="41" s="1"/>
  <c r="AG10" i="41" a="1"/>
  <c r="AG10" i="41" s="1"/>
  <c r="Y10" i="41" a="1"/>
  <c r="Y10" i="41" s="1"/>
  <c r="Z10" i="41" a="1"/>
  <c r="Z10" i="41" s="1"/>
  <c r="AA10" i="41" a="1"/>
  <c r="AA10" i="41" s="1"/>
  <c r="AB10" i="41" a="1"/>
  <c r="AB10" i="41" s="1"/>
  <c r="AC10" i="41" a="1"/>
  <c r="AC10" i="41" s="1"/>
  <c r="AD10" i="41" a="1"/>
  <c r="AD10" i="41" s="1"/>
  <c r="AE10" i="41" a="1"/>
  <c r="AE10" i="41" s="1"/>
  <c r="AF10" i="41" a="1"/>
  <c r="AF10" i="41" s="1"/>
  <c r="X10" i="41" a="1"/>
  <c r="X10" i="41" s="1"/>
  <c r="X32" i="41" a="1"/>
  <c r="X32" i="41" s="1"/>
  <c r="Y32" i="41" a="1"/>
  <c r="Y32" i="41" s="1"/>
  <c r="Z32" i="41" a="1"/>
  <c r="Z32" i="41" s="1"/>
  <c r="AA32" i="41" a="1"/>
  <c r="AA32" i="41" s="1"/>
  <c r="AB32" i="41" a="1"/>
  <c r="AB32" i="41" s="1"/>
  <c r="AC32" i="41" a="1"/>
  <c r="AC32" i="41" s="1"/>
  <c r="AD32" i="41" a="1"/>
  <c r="AD32" i="41" s="1"/>
  <c r="AE32" i="41" a="1"/>
  <c r="AE32" i="41" s="1"/>
  <c r="AF32" i="41" a="1"/>
  <c r="AF32" i="41" s="1"/>
  <c r="AG32" i="41" a="1"/>
  <c r="AG32" i="41" s="1"/>
  <c r="AH32" i="41" a="1"/>
  <c r="AH32" i="41" s="1"/>
  <c r="AI32" i="41" a="1"/>
  <c r="AI32" i="41" s="1"/>
  <c r="AJ32" i="41" a="1"/>
  <c r="AJ32" i="41" s="1"/>
  <c r="AK32" i="41" a="1"/>
  <c r="AK32" i="41" s="1"/>
  <c r="AL32" i="41" a="1"/>
  <c r="AL32" i="41" s="1"/>
  <c r="AM32" i="41" a="1"/>
  <c r="AM32" i="41" s="1"/>
  <c r="AN32" i="41" a="1"/>
  <c r="AN32" i="41" s="1"/>
  <c r="AO32" i="41" a="1"/>
  <c r="AO32" i="41" s="1"/>
  <c r="AR32" i="41" a="1"/>
  <c r="AR32" i="41" s="1"/>
  <c r="AS32" i="41" a="1"/>
  <c r="AS32" i="41" s="1"/>
  <c r="AT32" i="41" a="1"/>
  <c r="AT32" i="41" s="1"/>
  <c r="AU32" i="41" a="1"/>
  <c r="AU32" i="41" s="1"/>
  <c r="AQ32" i="41" a="1"/>
  <c r="AQ32" i="41" s="1"/>
  <c r="AP32" i="41" a="1"/>
  <c r="AP32" i="41" s="1"/>
  <c r="Q155" i="41"/>
  <c r="Q154" i="41"/>
  <c r="Q153" i="41"/>
  <c r="Q152" i="41"/>
  <c r="Q151" i="41"/>
  <c r="Q150" i="41"/>
  <c r="Q149" i="41"/>
  <c r="Q148" i="41"/>
  <c r="Q147" i="41"/>
  <c r="Q146" i="41"/>
  <c r="Q145" i="41"/>
  <c r="Q144" i="41"/>
  <c r="Q143" i="41"/>
  <c r="Q142" i="41"/>
  <c r="Q141" i="41"/>
  <c r="F155" i="41"/>
  <c r="F154" i="41"/>
  <c r="F153" i="41"/>
  <c r="F152" i="41"/>
  <c r="F151" i="41"/>
  <c r="F150" i="41"/>
  <c r="F149" i="41"/>
  <c r="F148" i="41"/>
  <c r="F147" i="41"/>
  <c r="F146" i="41"/>
  <c r="F145" i="41"/>
  <c r="F144" i="41"/>
  <c r="F143" i="41"/>
  <c r="F142" i="41"/>
  <c r="F141" i="41"/>
  <c r="Q133" i="41"/>
  <c r="Q132" i="41"/>
  <c r="Q131" i="41"/>
  <c r="Q130" i="41"/>
  <c r="Q129" i="41"/>
  <c r="Q128" i="41"/>
  <c r="Q127" i="41"/>
  <c r="Q126" i="41"/>
  <c r="Q125" i="41"/>
  <c r="Q124" i="41"/>
  <c r="Q123" i="41"/>
  <c r="Q122" i="41"/>
  <c r="Q121" i="41"/>
  <c r="Q120" i="41"/>
  <c r="Q119" i="41"/>
  <c r="F133" i="41"/>
  <c r="F132" i="41"/>
  <c r="F131" i="41"/>
  <c r="F130" i="41"/>
  <c r="F129" i="41"/>
  <c r="F128" i="41"/>
  <c r="F127" i="41"/>
  <c r="F126" i="41"/>
  <c r="F125" i="41"/>
  <c r="F124" i="41"/>
  <c r="F123" i="41"/>
  <c r="F122" i="41"/>
  <c r="F121" i="41"/>
  <c r="F120" i="41"/>
  <c r="F119" i="41"/>
  <c r="Q111" i="41"/>
  <c r="Q110" i="41"/>
  <c r="Q109" i="41"/>
  <c r="Q108" i="41"/>
  <c r="Q107" i="41"/>
  <c r="Q106" i="41"/>
  <c r="Q105" i="41"/>
  <c r="Q104" i="41"/>
  <c r="Q103" i="41"/>
  <c r="Q102" i="41"/>
  <c r="Q101" i="41"/>
  <c r="Q100" i="41"/>
  <c r="Q99" i="41"/>
  <c r="Q98" i="41"/>
  <c r="Q97" i="41"/>
  <c r="F111" i="41"/>
  <c r="F110" i="41"/>
  <c r="F109" i="41"/>
  <c r="F108" i="41"/>
  <c r="F107" i="41"/>
  <c r="F106" i="41"/>
  <c r="F105" i="41"/>
  <c r="F104" i="41"/>
  <c r="F103" i="41"/>
  <c r="F102" i="41"/>
  <c r="F101" i="41"/>
  <c r="F100" i="41"/>
  <c r="F99" i="41"/>
  <c r="F98" i="41"/>
  <c r="F97" i="41"/>
  <c r="Q89" i="41"/>
  <c r="Q88" i="41"/>
  <c r="Q87" i="41"/>
  <c r="Q86" i="41"/>
  <c r="Q85" i="41"/>
  <c r="Q84" i="41"/>
  <c r="Q83" i="41"/>
  <c r="Q82" i="41"/>
  <c r="Q81" i="41"/>
  <c r="Q80" i="41"/>
  <c r="Q79" i="41"/>
  <c r="Q78" i="41"/>
  <c r="Q77" i="41"/>
  <c r="Q76" i="41"/>
  <c r="Q75" i="41"/>
  <c r="F89" i="41"/>
  <c r="F87" i="41"/>
  <c r="F86" i="41"/>
  <c r="F85" i="41"/>
  <c r="F84" i="41"/>
  <c r="F83" i="41"/>
  <c r="F82" i="41"/>
  <c r="F81" i="41"/>
  <c r="F80" i="41"/>
  <c r="F79" i="41"/>
  <c r="F78" i="41"/>
  <c r="F77" i="41"/>
  <c r="F76" i="41"/>
  <c r="F75" i="41"/>
  <c r="Q67" i="41"/>
  <c r="Q66" i="41"/>
  <c r="Q65" i="41"/>
  <c r="Q64" i="41"/>
  <c r="Q63" i="41"/>
  <c r="Q62" i="41"/>
  <c r="Q61" i="41"/>
  <c r="Q60" i="41"/>
  <c r="Q59" i="41"/>
  <c r="Q58" i="41"/>
  <c r="Q57" i="41"/>
  <c r="Q56" i="41"/>
  <c r="Q55" i="41"/>
  <c r="Q54" i="41"/>
  <c r="Q53" i="41"/>
  <c r="F67" i="41"/>
  <c r="F66" i="41"/>
  <c r="F65" i="41"/>
  <c r="F64" i="41"/>
  <c r="F63" i="41"/>
  <c r="F62" i="41"/>
  <c r="F61" i="41"/>
  <c r="F60" i="41"/>
  <c r="F59" i="41"/>
  <c r="F58" i="41"/>
  <c r="F57" i="41"/>
  <c r="F55" i="41"/>
  <c r="F54" i="41"/>
  <c r="F53" i="41"/>
  <c r="Q45" i="41"/>
  <c r="Q44" i="41"/>
  <c r="Q43" i="41"/>
  <c r="Q42" i="41"/>
  <c r="Q41" i="41"/>
  <c r="Q40" i="41"/>
  <c r="Q33" i="41"/>
  <c r="Q32" i="41"/>
  <c r="Q31" i="41"/>
  <c r="F45" i="41"/>
  <c r="F44" i="41"/>
  <c r="F43" i="41"/>
  <c r="F42" i="41"/>
  <c r="F41" i="41"/>
  <c r="F40" i="41"/>
  <c r="F39" i="41"/>
  <c r="F38" i="41"/>
  <c r="F37" i="41"/>
  <c r="F36" i="41"/>
  <c r="F35" i="41"/>
  <c r="F34" i="41"/>
  <c r="F33" i="41"/>
  <c r="F32" i="41"/>
  <c r="F31" i="41"/>
  <c r="Q23" i="41"/>
  <c r="Q22" i="41"/>
  <c r="Q21" i="41"/>
  <c r="Q20" i="41"/>
  <c r="Q19" i="41"/>
  <c r="Q18" i="41"/>
  <c r="Q17" i="41"/>
  <c r="Q16" i="41"/>
  <c r="Q15" i="41"/>
  <c r="Q14" i="41"/>
  <c r="Q13" i="41"/>
  <c r="Q12" i="41"/>
  <c r="Q11" i="41"/>
  <c r="Q10" i="41"/>
  <c r="Q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9" i="41"/>
  <c r="J117" i="9"/>
  <c r="J272" i="9" s="1"/>
  <c r="L117" i="22"/>
  <c r="L270" i="22" s="1"/>
  <c r="M117" i="31"/>
  <c r="M173" i="31" s="1"/>
  <c r="N117" i="32"/>
  <c r="O117" i="9"/>
  <c r="O272" i="9" s="1"/>
  <c r="P117" i="22"/>
  <c r="P270" i="22" s="1"/>
  <c r="F117" i="32"/>
  <c r="H117" i="31"/>
  <c r="H173" i="31" s="1"/>
  <c r="F117" i="10"/>
  <c r="F174" i="10" s="1"/>
  <c r="F117" i="8"/>
  <c r="DK12" i="41"/>
  <c r="DY173" i="41"/>
  <c r="DX173" i="41"/>
  <c r="DW173" i="41"/>
  <c r="DV173" i="41"/>
  <c r="DU173" i="41"/>
  <c r="DT173" i="41"/>
  <c r="DS173" i="41"/>
  <c r="DR173" i="41"/>
  <c r="DQ173" i="41"/>
  <c r="DP173" i="41"/>
  <c r="DO173" i="41"/>
  <c r="DN173" i="41"/>
  <c r="DM173" i="41"/>
  <c r="DL173" i="41"/>
  <c r="DK173" i="41"/>
  <c r="DJ173" i="41"/>
  <c r="DI173" i="41"/>
  <c r="DH173" i="41"/>
  <c r="DG173" i="41"/>
  <c r="DF173" i="41"/>
  <c r="DE173" i="41"/>
  <c r="DD173" i="41"/>
  <c r="DC173" i="41"/>
  <c r="DB173" i="41"/>
  <c r="DY172" i="41"/>
  <c r="DX172" i="41"/>
  <c r="DW172" i="41"/>
  <c r="DV172" i="41"/>
  <c r="DU172" i="41"/>
  <c r="DT172" i="41"/>
  <c r="DS172" i="41"/>
  <c r="DR172" i="41"/>
  <c r="DQ172" i="41"/>
  <c r="DP172" i="41"/>
  <c r="DO172" i="41"/>
  <c r="DN172" i="41"/>
  <c r="DM172" i="41"/>
  <c r="DL172" i="41"/>
  <c r="DK172" i="41"/>
  <c r="DJ172" i="41"/>
  <c r="DI172" i="41"/>
  <c r="DH172" i="41"/>
  <c r="DG172" i="41"/>
  <c r="DF172" i="41"/>
  <c r="DE172" i="41"/>
  <c r="DD172" i="41"/>
  <c r="DC172" i="41"/>
  <c r="DB172" i="41"/>
  <c r="DY171" i="41"/>
  <c r="DX171" i="41"/>
  <c r="DW171" i="41"/>
  <c r="DV171" i="41"/>
  <c r="DU171" i="41"/>
  <c r="DT171" i="41"/>
  <c r="DS171" i="41"/>
  <c r="DR171" i="41"/>
  <c r="DQ171" i="41"/>
  <c r="DP171" i="41"/>
  <c r="DO171" i="41"/>
  <c r="DN171" i="41"/>
  <c r="DM171" i="41"/>
  <c r="DL171" i="41"/>
  <c r="DK171" i="41"/>
  <c r="DJ171" i="41"/>
  <c r="DI171" i="41"/>
  <c r="DH171" i="41"/>
  <c r="DG171" i="41"/>
  <c r="DF171" i="41"/>
  <c r="DE171" i="41"/>
  <c r="DD171" i="41"/>
  <c r="DC171" i="41"/>
  <c r="DB171" i="41"/>
  <c r="DY170" i="41"/>
  <c r="DX170" i="41"/>
  <c r="DW170" i="41"/>
  <c r="DV170" i="41"/>
  <c r="DU170" i="41"/>
  <c r="DT170" i="41"/>
  <c r="DS170" i="41"/>
  <c r="DR170" i="41"/>
  <c r="DQ170" i="41"/>
  <c r="DP170" i="41"/>
  <c r="DO170" i="41"/>
  <c r="DN170" i="41"/>
  <c r="DM170" i="41"/>
  <c r="DL170" i="41"/>
  <c r="DK170" i="41"/>
  <c r="DJ170" i="41"/>
  <c r="DI170" i="41"/>
  <c r="DH170" i="41"/>
  <c r="DG170" i="41"/>
  <c r="DF170" i="41"/>
  <c r="DE170" i="41"/>
  <c r="DD170" i="41"/>
  <c r="DC170" i="41"/>
  <c r="DB170" i="41"/>
  <c r="DY169" i="41"/>
  <c r="DX169" i="41"/>
  <c r="DW169" i="41"/>
  <c r="DV169" i="41"/>
  <c r="DU169" i="41"/>
  <c r="DT169" i="41"/>
  <c r="DS169" i="41"/>
  <c r="DR169" i="41"/>
  <c r="DQ169" i="41"/>
  <c r="DP169" i="41"/>
  <c r="DO169" i="41"/>
  <c r="DN169" i="41"/>
  <c r="DM169" i="41"/>
  <c r="DL169" i="41"/>
  <c r="DK169" i="41"/>
  <c r="DJ169" i="41"/>
  <c r="DI169" i="41"/>
  <c r="DH169" i="41"/>
  <c r="DG169" i="41"/>
  <c r="DF169" i="41"/>
  <c r="DE169" i="41"/>
  <c r="DD169" i="41"/>
  <c r="DC169" i="41"/>
  <c r="DB169" i="41"/>
  <c r="DY168" i="41"/>
  <c r="DX168" i="41"/>
  <c r="DW168" i="41"/>
  <c r="DV168" i="41"/>
  <c r="DU168" i="41"/>
  <c r="DT168" i="41"/>
  <c r="DS168" i="41"/>
  <c r="DR168" i="41"/>
  <c r="DQ168" i="41"/>
  <c r="DP168" i="41"/>
  <c r="DO168" i="41"/>
  <c r="DN168" i="41"/>
  <c r="DM168" i="41"/>
  <c r="DL168" i="41"/>
  <c r="DK168" i="41"/>
  <c r="DJ168" i="41"/>
  <c r="DI168" i="41"/>
  <c r="DH168" i="41"/>
  <c r="DG168" i="41"/>
  <c r="DF168" i="41"/>
  <c r="DE168" i="41"/>
  <c r="DD168" i="41"/>
  <c r="DC168" i="41"/>
  <c r="DB168" i="41"/>
  <c r="DY167" i="41"/>
  <c r="DX167" i="41"/>
  <c r="DW167" i="41"/>
  <c r="DV167" i="41"/>
  <c r="DU167" i="41"/>
  <c r="DT167" i="41"/>
  <c r="DS167" i="41"/>
  <c r="DR167" i="41"/>
  <c r="DQ167" i="41"/>
  <c r="DP167" i="41"/>
  <c r="DO167" i="41"/>
  <c r="DN167" i="41"/>
  <c r="DM167" i="41"/>
  <c r="DL167" i="41"/>
  <c r="DK167" i="41"/>
  <c r="DJ167" i="41"/>
  <c r="DI167" i="41"/>
  <c r="DH167" i="41"/>
  <c r="DG167" i="41"/>
  <c r="DF167" i="41"/>
  <c r="DE167" i="41"/>
  <c r="DD167" i="41"/>
  <c r="DC167" i="41"/>
  <c r="DB167" i="41"/>
  <c r="DY166" i="41"/>
  <c r="DX166" i="41"/>
  <c r="DW166" i="41"/>
  <c r="DV166" i="41"/>
  <c r="DU166" i="41"/>
  <c r="DT166" i="41"/>
  <c r="DS166" i="41"/>
  <c r="DR166" i="41"/>
  <c r="DQ166" i="41"/>
  <c r="DP166" i="41"/>
  <c r="DO166" i="41"/>
  <c r="DN166" i="41"/>
  <c r="DM166" i="41"/>
  <c r="DL166" i="41"/>
  <c r="DK166" i="41"/>
  <c r="DJ166" i="41"/>
  <c r="DI166" i="41"/>
  <c r="DH166" i="41"/>
  <c r="DG166" i="41"/>
  <c r="DF166" i="41"/>
  <c r="DE166" i="41"/>
  <c r="DD166" i="41"/>
  <c r="DC166" i="41"/>
  <c r="DB166" i="41"/>
  <c r="DY165" i="41"/>
  <c r="DX165" i="41"/>
  <c r="DW165" i="41"/>
  <c r="DV165" i="41"/>
  <c r="DU165" i="41"/>
  <c r="DT165" i="41"/>
  <c r="DS165" i="41"/>
  <c r="DR165" i="41"/>
  <c r="DQ165" i="41"/>
  <c r="DP165" i="41"/>
  <c r="DO165" i="41"/>
  <c r="DN165" i="41"/>
  <c r="DM165" i="41"/>
  <c r="DL165" i="41"/>
  <c r="DK165" i="41"/>
  <c r="DJ165" i="41"/>
  <c r="DI165" i="41"/>
  <c r="DH165" i="41"/>
  <c r="DG165" i="41"/>
  <c r="DF165" i="41"/>
  <c r="DE165" i="41"/>
  <c r="DD165" i="41"/>
  <c r="DC165" i="41"/>
  <c r="DB165" i="41"/>
  <c r="DY164" i="41"/>
  <c r="DX164" i="41"/>
  <c r="DW164" i="41"/>
  <c r="DV164" i="41"/>
  <c r="DU164" i="41"/>
  <c r="DT164" i="41"/>
  <c r="DS164" i="41"/>
  <c r="DR164" i="41"/>
  <c r="DQ164" i="41"/>
  <c r="DP164" i="41"/>
  <c r="DO164" i="41"/>
  <c r="DN164" i="41"/>
  <c r="DM164" i="41"/>
  <c r="DL164" i="41"/>
  <c r="DK164" i="41"/>
  <c r="DJ164" i="41"/>
  <c r="DI164" i="41"/>
  <c r="DH164" i="41"/>
  <c r="DG164" i="41"/>
  <c r="DF164" i="41"/>
  <c r="DE164" i="41"/>
  <c r="DD164" i="41"/>
  <c r="DC164" i="41"/>
  <c r="DB164" i="41"/>
  <c r="DY163" i="41"/>
  <c r="DX163" i="41"/>
  <c r="DW163" i="41"/>
  <c r="DV163" i="41"/>
  <c r="DU163" i="41"/>
  <c r="DT163" i="41"/>
  <c r="DS163" i="41"/>
  <c r="DR163" i="41"/>
  <c r="DQ163" i="41"/>
  <c r="DP163" i="41"/>
  <c r="DO163" i="41"/>
  <c r="DN163" i="41"/>
  <c r="DM163" i="41"/>
  <c r="DL163" i="41"/>
  <c r="DK163" i="41"/>
  <c r="DJ163" i="41"/>
  <c r="DI163" i="41"/>
  <c r="DH163" i="41"/>
  <c r="DG163" i="41"/>
  <c r="DF163" i="41"/>
  <c r="DE163" i="41"/>
  <c r="DD163" i="41"/>
  <c r="DC163" i="41"/>
  <c r="DB163" i="41"/>
  <c r="DY162" i="41"/>
  <c r="DX162" i="41"/>
  <c r="DW162" i="41"/>
  <c r="DV162" i="41"/>
  <c r="DU162" i="41"/>
  <c r="DT162" i="41"/>
  <c r="DS162" i="41"/>
  <c r="DR162" i="41"/>
  <c r="DQ162" i="41"/>
  <c r="DP162" i="41"/>
  <c r="DO162" i="41"/>
  <c r="DN162" i="41"/>
  <c r="DM162" i="41"/>
  <c r="DL162" i="41"/>
  <c r="DK162" i="41"/>
  <c r="DJ162" i="41"/>
  <c r="DI162" i="41"/>
  <c r="DH162" i="41"/>
  <c r="DG162" i="41"/>
  <c r="DF162" i="41"/>
  <c r="DE162" i="41"/>
  <c r="DD162" i="41"/>
  <c r="DC162" i="41"/>
  <c r="DB162" i="41"/>
  <c r="DY161" i="41"/>
  <c r="DX161" i="41"/>
  <c r="DW161" i="41"/>
  <c r="DV161" i="41"/>
  <c r="DU161" i="41"/>
  <c r="DT161" i="41"/>
  <c r="DS161" i="41"/>
  <c r="DR161" i="41"/>
  <c r="DQ161" i="41"/>
  <c r="DP161" i="41"/>
  <c r="DO161" i="41"/>
  <c r="DN161" i="41"/>
  <c r="DM161" i="41"/>
  <c r="DL161" i="41"/>
  <c r="DK161" i="41"/>
  <c r="DJ161" i="41"/>
  <c r="DI161" i="41"/>
  <c r="DH161" i="41"/>
  <c r="DG161" i="41"/>
  <c r="DF161" i="41"/>
  <c r="DE161" i="41"/>
  <c r="DD161" i="41"/>
  <c r="DC161" i="41"/>
  <c r="DB161" i="41"/>
  <c r="DY160" i="41"/>
  <c r="DX160" i="41"/>
  <c r="DW160" i="41"/>
  <c r="DV160" i="41"/>
  <c r="DU160" i="41"/>
  <c r="DT160" i="41"/>
  <c r="DS160" i="41"/>
  <c r="DR160" i="41"/>
  <c r="DQ160" i="41"/>
  <c r="DP160" i="41"/>
  <c r="DO160" i="41"/>
  <c r="DN160" i="41"/>
  <c r="DM160" i="41"/>
  <c r="DL160" i="41"/>
  <c r="DK160" i="41"/>
  <c r="DJ160" i="41"/>
  <c r="DI160" i="41"/>
  <c r="DH160" i="41"/>
  <c r="DG160" i="41"/>
  <c r="DF160" i="41"/>
  <c r="DE160" i="41"/>
  <c r="DD160" i="41"/>
  <c r="DC160" i="41"/>
  <c r="DB160" i="41"/>
  <c r="DY155" i="41"/>
  <c r="DX155" i="41"/>
  <c r="DW155" i="41"/>
  <c r="DV155" i="41"/>
  <c r="DU155" i="41"/>
  <c r="DT155" i="41"/>
  <c r="DS155" i="41"/>
  <c r="DR155" i="41"/>
  <c r="DQ155" i="41"/>
  <c r="DP155" i="41"/>
  <c r="DO155" i="41"/>
  <c r="DN155" i="41"/>
  <c r="DM155" i="41"/>
  <c r="DL155" i="41"/>
  <c r="DK155" i="41"/>
  <c r="DJ155" i="41"/>
  <c r="DI155" i="41"/>
  <c r="DH155" i="41"/>
  <c r="DG155" i="41"/>
  <c r="DF155" i="41"/>
  <c r="DE155" i="41"/>
  <c r="DD155" i="41"/>
  <c r="DC155" i="41"/>
  <c r="DB155" i="41"/>
  <c r="DY154" i="41"/>
  <c r="DX154" i="41"/>
  <c r="DW154" i="41"/>
  <c r="DV154" i="41"/>
  <c r="DU154" i="41"/>
  <c r="DT154" i="41"/>
  <c r="DS154" i="41"/>
  <c r="DR154" i="41"/>
  <c r="DQ154" i="41"/>
  <c r="DP154" i="41"/>
  <c r="DO154" i="41"/>
  <c r="DN154" i="41"/>
  <c r="DM154" i="41"/>
  <c r="DL154" i="41"/>
  <c r="DK154" i="41"/>
  <c r="DJ154" i="41"/>
  <c r="DI154" i="41"/>
  <c r="DH154" i="41"/>
  <c r="DG154" i="41"/>
  <c r="DF154" i="41"/>
  <c r="DE154" i="41"/>
  <c r="DD154" i="41"/>
  <c r="DC154" i="41"/>
  <c r="DB154" i="41"/>
  <c r="DY153" i="41"/>
  <c r="DX153" i="41"/>
  <c r="DW153" i="41"/>
  <c r="DV153" i="41"/>
  <c r="DU153" i="41"/>
  <c r="DT153" i="41"/>
  <c r="DS153" i="41"/>
  <c r="DR153" i="41"/>
  <c r="DQ153" i="41"/>
  <c r="DP153" i="41"/>
  <c r="DO153" i="41"/>
  <c r="DN153" i="41"/>
  <c r="DM153" i="41"/>
  <c r="DL153" i="41"/>
  <c r="DK153" i="41"/>
  <c r="DJ153" i="41"/>
  <c r="DI153" i="41"/>
  <c r="DH153" i="41"/>
  <c r="DG153" i="41"/>
  <c r="DF153" i="41"/>
  <c r="DE153" i="41"/>
  <c r="DD153" i="41"/>
  <c r="DC153" i="41"/>
  <c r="DB153" i="41"/>
  <c r="DY152" i="41"/>
  <c r="DX152" i="41"/>
  <c r="DW152" i="41"/>
  <c r="DV152" i="41"/>
  <c r="DU152" i="41"/>
  <c r="DT152" i="41"/>
  <c r="DS152" i="41"/>
  <c r="DR152" i="41"/>
  <c r="DQ152" i="41"/>
  <c r="DP152" i="41"/>
  <c r="DO152" i="41"/>
  <c r="DN152" i="41"/>
  <c r="DM152" i="41"/>
  <c r="DL152" i="41"/>
  <c r="DK152" i="41"/>
  <c r="DJ152" i="41"/>
  <c r="DI152" i="41"/>
  <c r="DH152" i="41"/>
  <c r="DG152" i="41"/>
  <c r="DF152" i="41"/>
  <c r="DE152" i="41"/>
  <c r="DD152" i="41"/>
  <c r="DC152" i="41"/>
  <c r="DB152" i="41"/>
  <c r="DY151" i="41"/>
  <c r="DX151" i="41"/>
  <c r="DW151" i="41"/>
  <c r="DV151" i="41"/>
  <c r="DU151" i="41"/>
  <c r="DT151" i="41"/>
  <c r="DS151" i="41"/>
  <c r="DR151" i="41"/>
  <c r="DQ151" i="41"/>
  <c r="DP151" i="41"/>
  <c r="DO151" i="41"/>
  <c r="DN151" i="41"/>
  <c r="DM151" i="41"/>
  <c r="DL151" i="41"/>
  <c r="DK151" i="41"/>
  <c r="DJ151" i="41"/>
  <c r="DI151" i="41"/>
  <c r="DH151" i="41"/>
  <c r="DG151" i="41"/>
  <c r="DF151" i="41"/>
  <c r="DE151" i="41"/>
  <c r="DD151" i="41"/>
  <c r="DC151" i="41"/>
  <c r="DB151" i="41"/>
  <c r="DY150" i="41"/>
  <c r="DX150" i="41"/>
  <c r="DW150" i="41"/>
  <c r="DV150" i="41"/>
  <c r="DU150" i="41"/>
  <c r="DT150" i="41"/>
  <c r="DS150" i="41"/>
  <c r="DR150" i="41"/>
  <c r="DQ150" i="41"/>
  <c r="DP150" i="41"/>
  <c r="DO150" i="41"/>
  <c r="DN150" i="41"/>
  <c r="DM150" i="41"/>
  <c r="DL150" i="41"/>
  <c r="DK150" i="41"/>
  <c r="DJ150" i="41"/>
  <c r="DI150" i="41"/>
  <c r="DH150" i="41"/>
  <c r="DG150" i="41"/>
  <c r="DF150" i="41"/>
  <c r="DE150" i="41"/>
  <c r="DD150" i="41"/>
  <c r="DC150" i="41"/>
  <c r="DB150" i="41"/>
  <c r="DY149" i="41"/>
  <c r="DX149" i="41"/>
  <c r="DW149" i="41"/>
  <c r="DV149" i="41"/>
  <c r="DU149" i="41"/>
  <c r="DT149" i="41"/>
  <c r="DS149" i="41"/>
  <c r="DR149" i="41"/>
  <c r="DQ149" i="41"/>
  <c r="DP149" i="41"/>
  <c r="DO149" i="41"/>
  <c r="DN149" i="41"/>
  <c r="DM149" i="41"/>
  <c r="DL149" i="41"/>
  <c r="DK149" i="41"/>
  <c r="DJ149" i="41"/>
  <c r="DI149" i="41"/>
  <c r="DH149" i="41"/>
  <c r="DG149" i="41"/>
  <c r="DF149" i="41"/>
  <c r="DE149" i="41"/>
  <c r="DD149" i="41"/>
  <c r="DC149" i="41"/>
  <c r="DB149" i="41"/>
  <c r="DY148" i="41"/>
  <c r="DX148" i="41"/>
  <c r="DW148" i="41"/>
  <c r="DV148" i="41"/>
  <c r="DU148" i="41"/>
  <c r="DT148" i="41"/>
  <c r="DS148" i="41"/>
  <c r="DR148" i="41"/>
  <c r="DQ148" i="41"/>
  <c r="DP148" i="41"/>
  <c r="DO148" i="41"/>
  <c r="DN148" i="41"/>
  <c r="DM148" i="41"/>
  <c r="DL148" i="41"/>
  <c r="DK148" i="41"/>
  <c r="DJ148" i="41"/>
  <c r="DI148" i="41"/>
  <c r="DH148" i="41"/>
  <c r="DG148" i="41"/>
  <c r="DF148" i="41"/>
  <c r="DE148" i="41"/>
  <c r="DD148" i="41"/>
  <c r="DC148" i="41"/>
  <c r="DB148" i="41"/>
  <c r="DY147" i="41"/>
  <c r="DX147" i="41"/>
  <c r="DW147" i="41"/>
  <c r="DV147" i="41"/>
  <c r="DU147" i="41"/>
  <c r="DT147" i="41"/>
  <c r="DS147" i="41"/>
  <c r="DR147" i="41"/>
  <c r="DQ147" i="41"/>
  <c r="DP147" i="41"/>
  <c r="DO147" i="41"/>
  <c r="DN147" i="41"/>
  <c r="DM147" i="41"/>
  <c r="DL147" i="41"/>
  <c r="DK147" i="41"/>
  <c r="DJ147" i="41"/>
  <c r="DI147" i="41"/>
  <c r="DH147" i="41"/>
  <c r="DG147" i="41"/>
  <c r="DF147" i="41"/>
  <c r="DE147" i="41"/>
  <c r="DD147" i="41"/>
  <c r="DC147" i="41"/>
  <c r="DB147" i="41"/>
  <c r="DY146" i="41"/>
  <c r="DX146" i="41"/>
  <c r="DW146" i="41"/>
  <c r="DV146" i="41"/>
  <c r="DU146" i="41"/>
  <c r="DT146" i="41"/>
  <c r="DS146" i="41"/>
  <c r="DR146" i="41"/>
  <c r="DQ146" i="41"/>
  <c r="DP146" i="41"/>
  <c r="DO146" i="41"/>
  <c r="DN146" i="41"/>
  <c r="DM146" i="41"/>
  <c r="DL146" i="41"/>
  <c r="DK146" i="41"/>
  <c r="DJ146" i="41"/>
  <c r="DI146" i="41"/>
  <c r="DH146" i="41"/>
  <c r="DG146" i="41"/>
  <c r="DF146" i="41"/>
  <c r="DE146" i="41"/>
  <c r="DD146" i="41"/>
  <c r="DC146" i="41"/>
  <c r="DB146" i="41"/>
  <c r="DY145" i="41"/>
  <c r="DX145" i="41"/>
  <c r="DW145" i="41"/>
  <c r="DV145" i="41"/>
  <c r="DU145" i="41"/>
  <c r="DT145" i="41"/>
  <c r="DS145" i="41"/>
  <c r="DR145" i="41"/>
  <c r="DQ145" i="41"/>
  <c r="DP145" i="41"/>
  <c r="DO145" i="41"/>
  <c r="DN145" i="41"/>
  <c r="DM145" i="41"/>
  <c r="DL145" i="41"/>
  <c r="DK145" i="41"/>
  <c r="DJ145" i="41"/>
  <c r="DI145" i="41"/>
  <c r="DH145" i="41"/>
  <c r="DG145" i="41"/>
  <c r="DF145" i="41"/>
  <c r="DE145" i="41"/>
  <c r="DD145" i="41"/>
  <c r="DC145" i="41"/>
  <c r="DB145" i="41"/>
  <c r="DY144" i="41"/>
  <c r="DX144" i="41"/>
  <c r="DW144" i="41"/>
  <c r="DV144" i="41"/>
  <c r="DU144" i="41"/>
  <c r="DT144" i="41"/>
  <c r="DS144" i="41"/>
  <c r="DR144" i="41"/>
  <c r="DQ144" i="41"/>
  <c r="DP144" i="41"/>
  <c r="DO144" i="41"/>
  <c r="DN144" i="41"/>
  <c r="DM144" i="41"/>
  <c r="DL144" i="41"/>
  <c r="DK144" i="41"/>
  <c r="DJ144" i="41"/>
  <c r="DI144" i="41"/>
  <c r="DH144" i="41"/>
  <c r="DG144" i="41"/>
  <c r="DF144" i="41"/>
  <c r="DE144" i="41"/>
  <c r="DD144" i="41"/>
  <c r="DC144" i="41"/>
  <c r="DB144" i="41"/>
  <c r="DY143" i="41"/>
  <c r="DX143" i="41"/>
  <c r="DW143" i="41"/>
  <c r="DV143" i="41"/>
  <c r="DU143" i="41"/>
  <c r="DT143" i="41"/>
  <c r="DS143" i="41"/>
  <c r="DR143" i="41"/>
  <c r="DQ143" i="41"/>
  <c r="DP143" i="41"/>
  <c r="DO143" i="41"/>
  <c r="DN143" i="41"/>
  <c r="DM143" i="41"/>
  <c r="DL143" i="41"/>
  <c r="DK143" i="41"/>
  <c r="DJ143" i="41"/>
  <c r="DI143" i="41"/>
  <c r="DH143" i="41"/>
  <c r="DG143" i="41"/>
  <c r="DF143" i="41"/>
  <c r="DE143" i="41"/>
  <c r="DD143" i="41"/>
  <c r="DC143" i="41"/>
  <c r="DB143" i="41"/>
  <c r="DY142" i="41"/>
  <c r="DX142" i="41"/>
  <c r="DW142" i="41"/>
  <c r="DV142" i="41"/>
  <c r="DU142" i="41"/>
  <c r="DT142" i="41"/>
  <c r="DS142" i="41"/>
  <c r="DR142" i="41"/>
  <c r="DQ142" i="41"/>
  <c r="DP142" i="41"/>
  <c r="DO142" i="41"/>
  <c r="DN142" i="41"/>
  <c r="DM142" i="41"/>
  <c r="DL142" i="41"/>
  <c r="DK142" i="41"/>
  <c r="DJ142" i="41"/>
  <c r="DI142" i="41"/>
  <c r="DH142" i="41"/>
  <c r="DG142" i="41"/>
  <c r="DF142" i="41"/>
  <c r="DE142" i="41"/>
  <c r="DD142" i="41"/>
  <c r="DC142" i="41"/>
  <c r="DB142" i="41"/>
  <c r="DY133" i="41"/>
  <c r="DX133" i="41"/>
  <c r="DW133" i="41"/>
  <c r="DV133" i="41"/>
  <c r="DU133" i="41"/>
  <c r="DT133" i="41"/>
  <c r="DS133" i="41"/>
  <c r="DR133" i="41"/>
  <c r="DQ133" i="41"/>
  <c r="DP133" i="41"/>
  <c r="DO133" i="41"/>
  <c r="DN133" i="41"/>
  <c r="DM133" i="41"/>
  <c r="DL133" i="41"/>
  <c r="DK133" i="41"/>
  <c r="DJ133" i="41"/>
  <c r="DI133" i="41"/>
  <c r="DH133" i="41"/>
  <c r="DG133" i="41"/>
  <c r="DF133" i="41"/>
  <c r="DE133" i="41"/>
  <c r="DD133" i="41"/>
  <c r="DC133" i="41"/>
  <c r="DB133" i="41"/>
  <c r="DY132" i="41"/>
  <c r="DX132" i="41"/>
  <c r="DW132" i="41"/>
  <c r="DV132" i="41"/>
  <c r="DU132" i="41"/>
  <c r="DT132" i="41"/>
  <c r="DS132" i="41"/>
  <c r="DR132" i="41"/>
  <c r="DQ132" i="41"/>
  <c r="DP132" i="41"/>
  <c r="DO132" i="41"/>
  <c r="DN132" i="41"/>
  <c r="DM132" i="41"/>
  <c r="DL132" i="41"/>
  <c r="DK132" i="41"/>
  <c r="DJ132" i="41"/>
  <c r="DI132" i="41"/>
  <c r="DH132" i="41"/>
  <c r="DG132" i="41"/>
  <c r="DF132" i="41"/>
  <c r="DE132" i="41"/>
  <c r="DD132" i="41"/>
  <c r="DC132" i="41"/>
  <c r="DB132" i="41"/>
  <c r="DY131" i="41"/>
  <c r="DX131" i="41"/>
  <c r="DW131" i="41"/>
  <c r="DV131" i="41"/>
  <c r="DU131" i="41"/>
  <c r="DT131" i="41"/>
  <c r="DS131" i="41"/>
  <c r="DR131" i="41"/>
  <c r="DQ131" i="41"/>
  <c r="DP131" i="41"/>
  <c r="DO131" i="41"/>
  <c r="DN131" i="41"/>
  <c r="DM131" i="41"/>
  <c r="DL131" i="41"/>
  <c r="DK131" i="41"/>
  <c r="DJ131" i="41"/>
  <c r="DI131" i="41"/>
  <c r="DH131" i="41"/>
  <c r="DG131" i="41"/>
  <c r="DF131" i="41"/>
  <c r="DE131" i="41"/>
  <c r="DD131" i="41"/>
  <c r="DC131" i="41"/>
  <c r="DB131" i="41"/>
  <c r="DY130" i="41"/>
  <c r="DX130" i="41"/>
  <c r="DW130" i="41"/>
  <c r="DV130" i="41"/>
  <c r="DU130" i="41"/>
  <c r="DT130" i="41"/>
  <c r="DS130" i="41"/>
  <c r="DR130" i="41"/>
  <c r="DQ130" i="41"/>
  <c r="DP130" i="41"/>
  <c r="DO130" i="41"/>
  <c r="DN130" i="41"/>
  <c r="DM130" i="41"/>
  <c r="DL130" i="41"/>
  <c r="DK130" i="41"/>
  <c r="DJ130" i="41"/>
  <c r="DI130" i="41"/>
  <c r="DH130" i="41"/>
  <c r="DG130" i="41"/>
  <c r="DF130" i="41"/>
  <c r="DE130" i="41"/>
  <c r="DD130" i="41"/>
  <c r="DC130" i="41"/>
  <c r="DB130" i="41"/>
  <c r="DY129" i="41"/>
  <c r="DX129" i="41"/>
  <c r="DW129" i="41"/>
  <c r="DV129" i="41"/>
  <c r="DU129" i="41"/>
  <c r="DT129" i="41"/>
  <c r="DS129" i="41"/>
  <c r="DR129" i="41"/>
  <c r="DQ129" i="41"/>
  <c r="DP129" i="41"/>
  <c r="DO129" i="41"/>
  <c r="DN129" i="41"/>
  <c r="DM129" i="41"/>
  <c r="DL129" i="41"/>
  <c r="DK129" i="41"/>
  <c r="DJ129" i="41"/>
  <c r="DI129" i="41"/>
  <c r="DH129" i="41"/>
  <c r="DG129" i="41"/>
  <c r="DF129" i="41"/>
  <c r="DE129" i="41"/>
  <c r="DD129" i="41"/>
  <c r="DC129" i="41"/>
  <c r="DB129" i="41"/>
  <c r="DY128" i="41"/>
  <c r="DX128" i="41"/>
  <c r="DW128" i="41"/>
  <c r="DV128" i="41"/>
  <c r="DU128" i="41"/>
  <c r="DT128" i="41"/>
  <c r="DS128" i="41"/>
  <c r="DR128" i="41"/>
  <c r="DQ128" i="41"/>
  <c r="DP128" i="41"/>
  <c r="DO128" i="41"/>
  <c r="DN128" i="41"/>
  <c r="DM128" i="41"/>
  <c r="DL128" i="41"/>
  <c r="DK128" i="41"/>
  <c r="DJ128" i="41"/>
  <c r="DI128" i="41"/>
  <c r="DH128" i="41"/>
  <c r="DG128" i="41"/>
  <c r="DF128" i="41"/>
  <c r="DE128" i="41"/>
  <c r="DD128" i="41"/>
  <c r="DC128" i="41"/>
  <c r="DB128" i="41"/>
  <c r="DY127" i="41"/>
  <c r="DX127" i="41"/>
  <c r="DW127" i="41"/>
  <c r="DV127" i="41"/>
  <c r="DU127" i="41"/>
  <c r="DT127" i="41"/>
  <c r="DS127" i="41"/>
  <c r="DR127" i="41"/>
  <c r="DQ127" i="41"/>
  <c r="DP127" i="41"/>
  <c r="DO127" i="41"/>
  <c r="DN127" i="41"/>
  <c r="DM127" i="41"/>
  <c r="DL127" i="41"/>
  <c r="DK127" i="41"/>
  <c r="DJ127" i="41"/>
  <c r="DI127" i="41"/>
  <c r="DH127" i="41"/>
  <c r="DG127" i="41"/>
  <c r="DF127" i="41"/>
  <c r="DE127" i="41"/>
  <c r="DD127" i="41"/>
  <c r="DC127" i="41"/>
  <c r="DB127" i="41"/>
  <c r="DY126" i="41"/>
  <c r="DX126" i="41"/>
  <c r="DW126" i="41"/>
  <c r="DV126" i="41"/>
  <c r="DU126" i="41"/>
  <c r="DT126" i="41"/>
  <c r="DS126" i="41"/>
  <c r="DR126" i="41"/>
  <c r="DQ126" i="41"/>
  <c r="DP126" i="41"/>
  <c r="DO126" i="41"/>
  <c r="DN126" i="41"/>
  <c r="DM126" i="41"/>
  <c r="DL126" i="41"/>
  <c r="DK126" i="41"/>
  <c r="DJ126" i="41"/>
  <c r="DI126" i="41"/>
  <c r="DH126" i="41"/>
  <c r="DG126" i="41"/>
  <c r="DF126" i="41"/>
  <c r="DE126" i="41"/>
  <c r="DD126" i="41"/>
  <c r="DC126" i="41"/>
  <c r="DB126" i="41"/>
  <c r="DY125" i="41"/>
  <c r="DX125" i="41"/>
  <c r="DW125" i="41"/>
  <c r="DV125" i="41"/>
  <c r="DU125" i="41"/>
  <c r="DT125" i="41"/>
  <c r="DS125" i="41"/>
  <c r="DR125" i="41"/>
  <c r="DQ125" i="41"/>
  <c r="DP125" i="41"/>
  <c r="DO125" i="41"/>
  <c r="DN125" i="41"/>
  <c r="DM125" i="41"/>
  <c r="DL125" i="41"/>
  <c r="DK125" i="41"/>
  <c r="DJ125" i="41"/>
  <c r="DI125" i="41"/>
  <c r="DH125" i="41"/>
  <c r="DG125" i="41"/>
  <c r="DF125" i="41"/>
  <c r="DE125" i="41"/>
  <c r="DD125" i="41"/>
  <c r="DC125" i="41"/>
  <c r="DB125" i="41"/>
  <c r="DY124" i="41"/>
  <c r="DX124" i="41"/>
  <c r="DW124" i="41"/>
  <c r="DV124" i="41"/>
  <c r="DU124" i="41"/>
  <c r="DT124" i="41"/>
  <c r="DS124" i="41"/>
  <c r="DR124" i="41"/>
  <c r="DQ124" i="41"/>
  <c r="DP124" i="41"/>
  <c r="DO124" i="41"/>
  <c r="DN124" i="41"/>
  <c r="DM124" i="41"/>
  <c r="DL124" i="41"/>
  <c r="DK124" i="41"/>
  <c r="DJ124" i="41"/>
  <c r="DI124" i="41"/>
  <c r="DH124" i="41"/>
  <c r="DG124" i="41"/>
  <c r="DF124" i="41"/>
  <c r="DE124" i="41"/>
  <c r="DD124" i="41"/>
  <c r="DC124" i="41"/>
  <c r="DB124" i="41"/>
  <c r="DY123" i="41"/>
  <c r="DX123" i="41"/>
  <c r="DW123" i="41"/>
  <c r="DV123" i="41"/>
  <c r="DU123" i="41"/>
  <c r="DT123" i="41"/>
  <c r="DS123" i="41"/>
  <c r="DR123" i="41"/>
  <c r="DQ123" i="41"/>
  <c r="DP123" i="41"/>
  <c r="DO123" i="41"/>
  <c r="DN123" i="41"/>
  <c r="DM123" i="41"/>
  <c r="DL123" i="41"/>
  <c r="DK123" i="41"/>
  <c r="DJ123" i="41"/>
  <c r="DI123" i="41"/>
  <c r="DH123" i="41"/>
  <c r="DG123" i="41"/>
  <c r="DF123" i="41"/>
  <c r="DE123" i="41"/>
  <c r="DD123" i="41"/>
  <c r="DC123" i="41"/>
  <c r="DB123" i="41"/>
  <c r="DY122" i="41"/>
  <c r="DX122" i="41"/>
  <c r="DW122" i="41"/>
  <c r="DV122" i="41"/>
  <c r="DU122" i="41"/>
  <c r="DT122" i="41"/>
  <c r="DS122" i="41"/>
  <c r="DR122" i="41"/>
  <c r="DQ122" i="41"/>
  <c r="DP122" i="41"/>
  <c r="DO122" i="41"/>
  <c r="DN122" i="41"/>
  <c r="DM122" i="41"/>
  <c r="DL122" i="41"/>
  <c r="DK122" i="41"/>
  <c r="DJ122" i="41"/>
  <c r="DI122" i="41"/>
  <c r="DH122" i="41"/>
  <c r="DG122" i="41"/>
  <c r="DF122" i="41"/>
  <c r="DE122" i="41"/>
  <c r="DD122" i="41"/>
  <c r="DC122" i="41"/>
  <c r="DB122" i="41"/>
  <c r="DY121" i="41"/>
  <c r="DX121" i="41"/>
  <c r="DW121" i="41"/>
  <c r="DV121" i="41"/>
  <c r="DU121" i="41"/>
  <c r="DT121" i="41"/>
  <c r="DS121" i="41"/>
  <c r="DR121" i="41"/>
  <c r="DQ121" i="41"/>
  <c r="DP121" i="41"/>
  <c r="DO121" i="41"/>
  <c r="DN121" i="41"/>
  <c r="DM121" i="41"/>
  <c r="DL121" i="41"/>
  <c r="DK121" i="41"/>
  <c r="DJ121" i="41"/>
  <c r="DI121" i="41"/>
  <c r="DH121" i="41"/>
  <c r="DG121" i="41"/>
  <c r="DF121" i="41"/>
  <c r="DE121" i="41"/>
  <c r="DD121" i="41"/>
  <c r="DC121" i="41"/>
  <c r="DB121" i="41"/>
  <c r="DY120" i="41"/>
  <c r="DX120" i="41"/>
  <c r="DW120" i="41"/>
  <c r="DV120" i="41"/>
  <c r="DU120" i="41"/>
  <c r="DT120" i="41"/>
  <c r="DS120" i="41"/>
  <c r="DR120" i="41"/>
  <c r="DQ120" i="41"/>
  <c r="DP120" i="41"/>
  <c r="DO120" i="41"/>
  <c r="DN120" i="41"/>
  <c r="DM120" i="41"/>
  <c r="DL120" i="41"/>
  <c r="DK120" i="41"/>
  <c r="DJ120" i="41"/>
  <c r="DI120" i="41"/>
  <c r="DH120" i="41"/>
  <c r="DG120" i="41"/>
  <c r="DF120" i="41"/>
  <c r="DE120" i="41"/>
  <c r="DD120" i="41"/>
  <c r="DC120" i="41"/>
  <c r="DB120" i="41"/>
  <c r="DY111" i="41"/>
  <c r="DX111" i="41"/>
  <c r="DW111" i="41"/>
  <c r="DV111" i="41"/>
  <c r="DU111" i="41"/>
  <c r="DT111" i="41"/>
  <c r="DS111" i="41"/>
  <c r="DR111" i="41"/>
  <c r="DQ111" i="41"/>
  <c r="DP111" i="41"/>
  <c r="DO111" i="41"/>
  <c r="DN111" i="41"/>
  <c r="DM111" i="41"/>
  <c r="DL111" i="41"/>
  <c r="DK111" i="41"/>
  <c r="DJ111" i="41"/>
  <c r="DI111" i="41"/>
  <c r="DH111" i="41"/>
  <c r="DG111" i="41"/>
  <c r="DF111" i="41"/>
  <c r="DE111" i="41"/>
  <c r="DD111" i="41"/>
  <c r="DC111" i="41"/>
  <c r="DB111" i="41"/>
  <c r="DY110" i="41"/>
  <c r="DX110" i="41"/>
  <c r="DW110" i="41"/>
  <c r="DV110" i="41"/>
  <c r="DU110" i="41"/>
  <c r="DT110" i="41"/>
  <c r="DS110" i="41"/>
  <c r="DR110" i="41"/>
  <c r="DQ110" i="41"/>
  <c r="DP110" i="41"/>
  <c r="DO110" i="41"/>
  <c r="DN110" i="41"/>
  <c r="DM110" i="41"/>
  <c r="DL110" i="41"/>
  <c r="DK110" i="41"/>
  <c r="DJ110" i="41"/>
  <c r="DI110" i="41"/>
  <c r="DH110" i="41"/>
  <c r="DG110" i="41"/>
  <c r="DF110" i="41"/>
  <c r="DE110" i="41"/>
  <c r="DD110" i="41"/>
  <c r="DC110" i="41"/>
  <c r="DB110" i="41"/>
  <c r="DY109" i="41"/>
  <c r="DX109" i="41"/>
  <c r="DW109" i="41"/>
  <c r="DV109" i="41"/>
  <c r="DU109" i="41"/>
  <c r="DT109" i="41"/>
  <c r="DS109" i="41"/>
  <c r="DR109" i="41"/>
  <c r="DQ109" i="41"/>
  <c r="DP109" i="41"/>
  <c r="DO109" i="41"/>
  <c r="DN109" i="41"/>
  <c r="DM109" i="41"/>
  <c r="DL109" i="41"/>
  <c r="DK109" i="41"/>
  <c r="DJ109" i="41"/>
  <c r="DI109" i="41"/>
  <c r="DH109" i="41"/>
  <c r="DG109" i="41"/>
  <c r="DF109" i="41"/>
  <c r="DE109" i="41"/>
  <c r="DD109" i="41"/>
  <c r="DC109" i="41"/>
  <c r="DB109" i="41"/>
  <c r="DY108" i="41"/>
  <c r="DX108" i="41"/>
  <c r="DW108" i="41"/>
  <c r="DV108" i="41"/>
  <c r="DU108" i="41"/>
  <c r="DT108" i="41"/>
  <c r="DS108" i="41"/>
  <c r="DR108" i="41"/>
  <c r="DQ108" i="41"/>
  <c r="DP108" i="41"/>
  <c r="DO108" i="41"/>
  <c r="DN108" i="41"/>
  <c r="DM108" i="41"/>
  <c r="DL108" i="41"/>
  <c r="DK108" i="41"/>
  <c r="DJ108" i="41"/>
  <c r="DI108" i="41"/>
  <c r="DH108" i="41"/>
  <c r="DG108" i="41"/>
  <c r="DF108" i="41"/>
  <c r="DE108" i="41"/>
  <c r="DD108" i="41"/>
  <c r="DC108" i="41"/>
  <c r="DB108" i="41"/>
  <c r="DY107" i="41"/>
  <c r="DX107" i="41"/>
  <c r="DW107" i="41"/>
  <c r="DV107" i="41"/>
  <c r="DU107" i="41"/>
  <c r="DT107" i="41"/>
  <c r="DS107" i="41"/>
  <c r="DR107" i="41"/>
  <c r="DQ107" i="41"/>
  <c r="DP107" i="41"/>
  <c r="DO107" i="41"/>
  <c r="DN107" i="41"/>
  <c r="DM107" i="41"/>
  <c r="DL107" i="41"/>
  <c r="DK107" i="41"/>
  <c r="DJ107" i="41"/>
  <c r="DI107" i="41"/>
  <c r="DH107" i="41"/>
  <c r="DG107" i="41"/>
  <c r="DF107" i="41"/>
  <c r="DE107" i="41"/>
  <c r="DD107" i="41"/>
  <c r="DC107" i="41"/>
  <c r="DB107" i="41"/>
  <c r="DY106" i="41"/>
  <c r="DX106" i="41"/>
  <c r="DW106" i="41"/>
  <c r="DV106" i="41"/>
  <c r="DU106" i="41"/>
  <c r="DT106" i="41"/>
  <c r="DS106" i="41"/>
  <c r="DR106" i="41"/>
  <c r="DQ106" i="41"/>
  <c r="DP106" i="41"/>
  <c r="DO106" i="41"/>
  <c r="DN106" i="41"/>
  <c r="DM106" i="41"/>
  <c r="DL106" i="41"/>
  <c r="DK106" i="41"/>
  <c r="DJ106" i="41"/>
  <c r="DI106" i="41"/>
  <c r="DH106" i="41"/>
  <c r="DG106" i="41"/>
  <c r="DF106" i="41"/>
  <c r="DE106" i="41"/>
  <c r="DD106" i="41"/>
  <c r="DC106" i="41"/>
  <c r="DB106" i="41"/>
  <c r="DY105" i="41"/>
  <c r="DX105" i="41"/>
  <c r="DW105" i="41"/>
  <c r="DV105" i="41"/>
  <c r="DU105" i="41"/>
  <c r="DT105" i="41"/>
  <c r="DS105" i="41"/>
  <c r="DR105" i="41"/>
  <c r="DQ105" i="41"/>
  <c r="DP105" i="41"/>
  <c r="DO105" i="41"/>
  <c r="DN105" i="41"/>
  <c r="DM105" i="41"/>
  <c r="DL105" i="41"/>
  <c r="DK105" i="41"/>
  <c r="DJ105" i="41"/>
  <c r="DI105" i="41"/>
  <c r="DH105" i="41"/>
  <c r="DG105" i="41"/>
  <c r="DF105" i="41"/>
  <c r="DE105" i="41"/>
  <c r="DD105" i="41"/>
  <c r="DC105" i="41"/>
  <c r="DB105" i="41"/>
  <c r="DY104" i="41"/>
  <c r="DX104" i="41"/>
  <c r="DW104" i="41"/>
  <c r="DV104" i="41"/>
  <c r="DU104" i="41"/>
  <c r="DT104" i="41"/>
  <c r="DS104" i="41"/>
  <c r="DR104" i="41"/>
  <c r="DQ104" i="41"/>
  <c r="DP104" i="41"/>
  <c r="DO104" i="41"/>
  <c r="DN104" i="41"/>
  <c r="DM104" i="41"/>
  <c r="DL104" i="41"/>
  <c r="DK104" i="41"/>
  <c r="DJ104" i="41"/>
  <c r="DI104" i="41"/>
  <c r="DH104" i="41"/>
  <c r="DG104" i="41"/>
  <c r="DF104" i="41"/>
  <c r="DE104" i="41"/>
  <c r="DD104" i="41"/>
  <c r="DC104" i="41"/>
  <c r="DB104" i="41"/>
  <c r="DY103" i="41"/>
  <c r="DX103" i="41"/>
  <c r="DW103" i="41"/>
  <c r="DV103" i="41"/>
  <c r="DU103" i="41"/>
  <c r="DT103" i="41"/>
  <c r="DS103" i="41"/>
  <c r="DR103" i="41"/>
  <c r="DQ103" i="41"/>
  <c r="DP103" i="41"/>
  <c r="DO103" i="41"/>
  <c r="DN103" i="41"/>
  <c r="DM103" i="41"/>
  <c r="DL103" i="41"/>
  <c r="DK103" i="41"/>
  <c r="DJ103" i="41"/>
  <c r="DI103" i="41"/>
  <c r="DH103" i="41"/>
  <c r="DG103" i="41"/>
  <c r="DF103" i="41"/>
  <c r="DE103" i="41"/>
  <c r="DD103" i="41"/>
  <c r="DC103" i="41"/>
  <c r="DB103" i="41"/>
  <c r="DY102" i="41"/>
  <c r="DX102" i="41"/>
  <c r="DW102" i="41"/>
  <c r="DV102" i="41"/>
  <c r="DU102" i="41"/>
  <c r="DT102" i="41"/>
  <c r="DS102" i="41"/>
  <c r="DR102" i="41"/>
  <c r="DQ102" i="41"/>
  <c r="DP102" i="41"/>
  <c r="DO102" i="41"/>
  <c r="DN102" i="41"/>
  <c r="DM102" i="41"/>
  <c r="DL102" i="41"/>
  <c r="DK102" i="41"/>
  <c r="DJ102" i="41"/>
  <c r="DI102" i="41"/>
  <c r="DH102" i="41"/>
  <c r="DG102" i="41"/>
  <c r="DF102" i="41"/>
  <c r="DE102" i="41"/>
  <c r="DD102" i="41"/>
  <c r="DC102" i="41"/>
  <c r="DB102" i="41"/>
  <c r="DY101" i="41"/>
  <c r="DX101" i="41"/>
  <c r="DW101" i="41"/>
  <c r="DV101" i="41"/>
  <c r="DU101" i="41"/>
  <c r="DT101" i="41"/>
  <c r="DS101" i="41"/>
  <c r="DR101" i="41"/>
  <c r="DQ101" i="41"/>
  <c r="DP101" i="41"/>
  <c r="DO101" i="41"/>
  <c r="DN101" i="41"/>
  <c r="DM101" i="41"/>
  <c r="DL101" i="41"/>
  <c r="DK101" i="41"/>
  <c r="DJ101" i="41"/>
  <c r="DI101" i="41"/>
  <c r="DH101" i="41"/>
  <c r="DG101" i="41"/>
  <c r="DF101" i="41"/>
  <c r="DE101" i="41"/>
  <c r="DD101" i="41"/>
  <c r="DC101" i="41"/>
  <c r="DB101" i="41"/>
  <c r="DY100" i="41"/>
  <c r="DX100" i="41"/>
  <c r="DW100" i="41"/>
  <c r="DV100" i="41"/>
  <c r="DU100" i="41"/>
  <c r="DT100" i="41"/>
  <c r="DS100" i="41"/>
  <c r="DR100" i="41"/>
  <c r="DQ100" i="41"/>
  <c r="DP100" i="41"/>
  <c r="DO100" i="41"/>
  <c r="DN100" i="41"/>
  <c r="DM100" i="41"/>
  <c r="DL100" i="41"/>
  <c r="DK100" i="41"/>
  <c r="DJ100" i="41"/>
  <c r="DI100" i="41"/>
  <c r="DH100" i="41"/>
  <c r="DG100" i="41"/>
  <c r="DF100" i="41"/>
  <c r="DE100" i="41"/>
  <c r="DD100" i="41"/>
  <c r="DC100" i="41"/>
  <c r="DB100" i="41"/>
  <c r="DY99" i="41"/>
  <c r="DX99" i="41"/>
  <c r="DW99" i="41"/>
  <c r="DV99" i="41"/>
  <c r="DU99" i="41"/>
  <c r="DT99" i="41"/>
  <c r="DS99" i="41"/>
  <c r="DR99" i="41"/>
  <c r="DQ99" i="41"/>
  <c r="DP99" i="41"/>
  <c r="DO99" i="41"/>
  <c r="DN99" i="41"/>
  <c r="DM99" i="41"/>
  <c r="DL99" i="41"/>
  <c r="DK99" i="41"/>
  <c r="DJ99" i="41"/>
  <c r="DI99" i="41"/>
  <c r="DH99" i="41"/>
  <c r="DG99" i="41"/>
  <c r="DF99" i="41"/>
  <c r="DE99" i="41"/>
  <c r="DD99" i="41"/>
  <c r="DC99" i="41"/>
  <c r="DB99" i="41"/>
  <c r="DY98" i="41"/>
  <c r="DX98" i="41"/>
  <c r="DW98" i="41"/>
  <c r="DV98" i="41"/>
  <c r="DU98" i="41"/>
  <c r="DT98" i="41"/>
  <c r="DS98" i="41"/>
  <c r="DR98" i="41"/>
  <c r="DQ98" i="41"/>
  <c r="DP98" i="41"/>
  <c r="DO98" i="41"/>
  <c r="DN98" i="41"/>
  <c r="DM98" i="41"/>
  <c r="DL98" i="41"/>
  <c r="DK98" i="41"/>
  <c r="DJ98" i="41"/>
  <c r="DI98" i="41"/>
  <c r="DH98" i="41"/>
  <c r="DG98" i="41"/>
  <c r="DF98" i="41"/>
  <c r="DE98" i="41"/>
  <c r="DD98" i="41"/>
  <c r="DC98" i="41"/>
  <c r="DB98" i="41"/>
  <c r="DY89" i="41"/>
  <c r="DX89" i="41"/>
  <c r="DW89" i="41"/>
  <c r="DV89" i="41"/>
  <c r="DU89" i="41"/>
  <c r="DT89" i="41"/>
  <c r="DS89" i="41"/>
  <c r="DR89" i="41"/>
  <c r="DQ89" i="41"/>
  <c r="DP89" i="41"/>
  <c r="DO89" i="41"/>
  <c r="DN89" i="41"/>
  <c r="DM89" i="41"/>
  <c r="DL89" i="41"/>
  <c r="DK89" i="41"/>
  <c r="DJ89" i="41"/>
  <c r="DI89" i="41"/>
  <c r="DH89" i="41"/>
  <c r="DG89" i="41"/>
  <c r="DF89" i="41"/>
  <c r="DE89" i="41"/>
  <c r="DD89" i="41"/>
  <c r="DC89" i="41"/>
  <c r="DB89" i="41"/>
  <c r="DY88" i="41"/>
  <c r="DX88" i="41"/>
  <c r="DW88" i="41"/>
  <c r="DV88" i="41"/>
  <c r="DU88" i="41"/>
  <c r="DT88" i="41"/>
  <c r="DS88" i="41"/>
  <c r="DR88" i="41"/>
  <c r="DQ88" i="41"/>
  <c r="DP88" i="41"/>
  <c r="DO88" i="41"/>
  <c r="DN88" i="41"/>
  <c r="DM88" i="41"/>
  <c r="DL88" i="41"/>
  <c r="DK88" i="41"/>
  <c r="DJ88" i="41"/>
  <c r="DI88" i="41"/>
  <c r="DH88" i="41"/>
  <c r="DG88" i="41"/>
  <c r="DF88" i="41"/>
  <c r="DE88" i="41"/>
  <c r="DD88" i="41"/>
  <c r="DC88" i="41"/>
  <c r="DB88" i="41"/>
  <c r="DY87" i="41"/>
  <c r="DX87" i="41"/>
  <c r="DW87" i="41"/>
  <c r="DV87" i="41"/>
  <c r="DU87" i="41"/>
  <c r="DT87" i="41"/>
  <c r="DS87" i="41"/>
  <c r="DR87" i="41"/>
  <c r="DQ87" i="41"/>
  <c r="DP87" i="41"/>
  <c r="DO87" i="41"/>
  <c r="DN87" i="41"/>
  <c r="DM87" i="41"/>
  <c r="DL87" i="41"/>
  <c r="DK87" i="41"/>
  <c r="DJ87" i="41"/>
  <c r="DI87" i="41"/>
  <c r="DH87" i="41"/>
  <c r="DG87" i="41"/>
  <c r="DF87" i="41"/>
  <c r="DE87" i="41"/>
  <c r="DD87" i="41"/>
  <c r="DC87" i="41"/>
  <c r="DB87" i="41"/>
  <c r="DY86" i="41"/>
  <c r="DX86" i="41"/>
  <c r="DW86" i="41"/>
  <c r="DV86" i="41"/>
  <c r="DU86" i="41"/>
  <c r="DT86" i="41"/>
  <c r="DS86" i="41"/>
  <c r="DR86" i="41"/>
  <c r="DQ86" i="41"/>
  <c r="DP86" i="41"/>
  <c r="DO86" i="41"/>
  <c r="DN86" i="41"/>
  <c r="DM86" i="41"/>
  <c r="DL86" i="41"/>
  <c r="DK86" i="41"/>
  <c r="DJ86" i="41"/>
  <c r="DI86" i="41"/>
  <c r="DH86" i="41"/>
  <c r="DG86" i="41"/>
  <c r="DF86" i="41"/>
  <c r="DE86" i="41"/>
  <c r="DD86" i="41"/>
  <c r="DC86" i="41"/>
  <c r="DB86" i="41"/>
  <c r="DY85" i="41"/>
  <c r="DX85" i="41"/>
  <c r="DW85" i="41"/>
  <c r="DV85" i="41"/>
  <c r="DU85" i="41"/>
  <c r="DT85" i="41"/>
  <c r="DS85" i="41"/>
  <c r="DR85" i="41"/>
  <c r="DQ85" i="41"/>
  <c r="DP85" i="41"/>
  <c r="DO85" i="41"/>
  <c r="DN85" i="41"/>
  <c r="DM85" i="41"/>
  <c r="DL85" i="41"/>
  <c r="DK85" i="41"/>
  <c r="DJ85" i="41"/>
  <c r="DI85" i="41"/>
  <c r="DH85" i="41"/>
  <c r="DG85" i="41"/>
  <c r="DF85" i="41"/>
  <c r="DE85" i="41"/>
  <c r="DD85" i="41"/>
  <c r="DC85" i="41"/>
  <c r="DB85" i="41"/>
  <c r="DY84" i="41"/>
  <c r="DX84" i="41"/>
  <c r="DW84" i="41"/>
  <c r="DV84" i="41"/>
  <c r="DU84" i="41"/>
  <c r="DT84" i="41"/>
  <c r="DS84" i="41"/>
  <c r="DR84" i="41"/>
  <c r="DQ84" i="41"/>
  <c r="DP84" i="41"/>
  <c r="DO84" i="41"/>
  <c r="DN84" i="41"/>
  <c r="DM84" i="41"/>
  <c r="DL84" i="41"/>
  <c r="DK84" i="41"/>
  <c r="DJ84" i="41"/>
  <c r="DI84" i="41"/>
  <c r="DH84" i="41"/>
  <c r="DG84" i="41"/>
  <c r="DF84" i="41"/>
  <c r="DE84" i="41"/>
  <c r="DD84" i="41"/>
  <c r="DC84" i="41"/>
  <c r="DB84" i="41"/>
  <c r="DY83" i="41"/>
  <c r="DX83" i="41"/>
  <c r="DW83" i="41"/>
  <c r="DV83" i="41"/>
  <c r="DU83" i="41"/>
  <c r="DT83" i="41"/>
  <c r="DS83" i="41"/>
  <c r="DR83" i="41"/>
  <c r="DQ83" i="41"/>
  <c r="DP83" i="41"/>
  <c r="DO83" i="41"/>
  <c r="DN83" i="41"/>
  <c r="DM83" i="41"/>
  <c r="DL83" i="41"/>
  <c r="DK83" i="41"/>
  <c r="DJ83" i="41"/>
  <c r="DI83" i="41"/>
  <c r="DH83" i="41"/>
  <c r="DG83" i="41"/>
  <c r="DF83" i="41"/>
  <c r="DE83" i="41"/>
  <c r="DD83" i="41"/>
  <c r="DC83" i="41"/>
  <c r="DB83" i="41"/>
  <c r="DY82" i="41"/>
  <c r="DX82" i="41"/>
  <c r="DW82" i="41"/>
  <c r="DV82" i="41"/>
  <c r="DU82" i="41"/>
  <c r="DT82" i="41"/>
  <c r="DS82" i="41"/>
  <c r="DR82" i="41"/>
  <c r="DQ82" i="41"/>
  <c r="DP82" i="41"/>
  <c r="DO82" i="41"/>
  <c r="DN82" i="41"/>
  <c r="DM82" i="41"/>
  <c r="DL82" i="41"/>
  <c r="DK82" i="41"/>
  <c r="DJ82" i="41"/>
  <c r="DI82" i="41"/>
  <c r="DH82" i="41"/>
  <c r="DG82" i="41"/>
  <c r="DF82" i="41"/>
  <c r="DE82" i="41"/>
  <c r="DD82" i="41"/>
  <c r="DC82" i="41"/>
  <c r="DB82" i="41"/>
  <c r="DY81" i="41"/>
  <c r="DX81" i="41"/>
  <c r="DW81" i="41"/>
  <c r="DV81" i="41"/>
  <c r="DU81" i="41"/>
  <c r="DT81" i="41"/>
  <c r="DS81" i="41"/>
  <c r="DR81" i="41"/>
  <c r="DQ81" i="41"/>
  <c r="DP81" i="41"/>
  <c r="DO81" i="41"/>
  <c r="DN81" i="41"/>
  <c r="DM81" i="41"/>
  <c r="DL81" i="41"/>
  <c r="DK81" i="41"/>
  <c r="DJ81" i="41"/>
  <c r="DI81" i="41"/>
  <c r="DH81" i="41"/>
  <c r="DG81" i="41"/>
  <c r="DF81" i="41"/>
  <c r="DE81" i="41"/>
  <c r="DD81" i="41"/>
  <c r="DC81" i="41"/>
  <c r="DB81" i="41"/>
  <c r="DY80" i="41"/>
  <c r="DX80" i="41"/>
  <c r="DW80" i="41"/>
  <c r="DV80" i="41"/>
  <c r="DU80" i="41"/>
  <c r="DT80" i="41"/>
  <c r="DS80" i="41"/>
  <c r="DR80" i="41"/>
  <c r="DQ80" i="41"/>
  <c r="DP80" i="41"/>
  <c r="DO80" i="41"/>
  <c r="DN80" i="41"/>
  <c r="DM80" i="41"/>
  <c r="DL80" i="41"/>
  <c r="DK80" i="41"/>
  <c r="DJ80" i="41"/>
  <c r="DI80" i="41"/>
  <c r="DH80" i="41"/>
  <c r="DG80" i="41"/>
  <c r="DF80" i="41"/>
  <c r="DE80" i="41"/>
  <c r="DD80" i="41"/>
  <c r="DC80" i="41"/>
  <c r="DB80" i="41"/>
  <c r="DY79" i="41"/>
  <c r="DX79" i="41"/>
  <c r="DW79" i="41"/>
  <c r="DV79" i="41"/>
  <c r="DU79" i="41"/>
  <c r="DT79" i="41"/>
  <c r="DS79" i="41"/>
  <c r="DR79" i="41"/>
  <c r="DQ79" i="41"/>
  <c r="DP79" i="41"/>
  <c r="DO79" i="41"/>
  <c r="DN79" i="41"/>
  <c r="DM79" i="41"/>
  <c r="DL79" i="41"/>
  <c r="DK79" i="41"/>
  <c r="DJ79" i="41"/>
  <c r="DI79" i="41"/>
  <c r="DH79" i="41"/>
  <c r="DG79" i="41"/>
  <c r="DF79" i="41"/>
  <c r="DE79" i="41"/>
  <c r="DD79" i="41"/>
  <c r="DC79" i="41"/>
  <c r="DB79" i="41"/>
  <c r="DY78" i="41"/>
  <c r="DX78" i="41"/>
  <c r="DW78" i="41"/>
  <c r="DV78" i="41"/>
  <c r="DU78" i="41"/>
  <c r="DT78" i="41"/>
  <c r="DS78" i="41"/>
  <c r="DR78" i="41"/>
  <c r="DQ78" i="41"/>
  <c r="DP78" i="41"/>
  <c r="DO78" i="41"/>
  <c r="DN78" i="41"/>
  <c r="DM78" i="41"/>
  <c r="DL78" i="41"/>
  <c r="DK78" i="41"/>
  <c r="DJ78" i="41"/>
  <c r="DI78" i="41"/>
  <c r="DH78" i="41"/>
  <c r="DG78" i="41"/>
  <c r="DF78" i="41"/>
  <c r="DE78" i="41"/>
  <c r="DD78" i="41"/>
  <c r="DC78" i="41"/>
  <c r="DB78" i="41"/>
  <c r="DY77" i="41"/>
  <c r="DX77" i="41"/>
  <c r="DW77" i="41"/>
  <c r="DV77" i="41"/>
  <c r="DU77" i="41"/>
  <c r="DT77" i="41"/>
  <c r="DS77" i="41"/>
  <c r="DR77" i="41"/>
  <c r="DQ77" i="41"/>
  <c r="DP77" i="41"/>
  <c r="DO77" i="41"/>
  <c r="DN77" i="41"/>
  <c r="DM77" i="41"/>
  <c r="DL77" i="41"/>
  <c r="DK77" i="41"/>
  <c r="DJ77" i="41"/>
  <c r="DI77" i="41"/>
  <c r="DH77" i="41"/>
  <c r="DG77" i="41"/>
  <c r="DF77" i="41"/>
  <c r="DE77" i="41"/>
  <c r="DD77" i="41"/>
  <c r="DC77" i="41"/>
  <c r="DB77" i="41"/>
  <c r="DY76" i="41"/>
  <c r="DX76" i="41"/>
  <c r="DW76" i="41"/>
  <c r="DV76" i="41"/>
  <c r="DU76" i="41"/>
  <c r="DT76" i="41"/>
  <c r="DS76" i="41"/>
  <c r="DR76" i="41"/>
  <c r="DQ76" i="41"/>
  <c r="DP76" i="41"/>
  <c r="DO76" i="41"/>
  <c r="DN76" i="41"/>
  <c r="DM76" i="41"/>
  <c r="DL76" i="41"/>
  <c r="DK76" i="41"/>
  <c r="DJ76" i="41"/>
  <c r="DI76" i="41"/>
  <c r="DH76" i="41"/>
  <c r="DG76" i="41"/>
  <c r="DF76" i="41"/>
  <c r="DE76" i="41"/>
  <c r="DD76" i="41"/>
  <c r="DC76" i="41"/>
  <c r="DB76" i="41"/>
  <c r="DY67" i="41"/>
  <c r="DX67" i="41"/>
  <c r="DW67" i="41"/>
  <c r="DV67" i="41"/>
  <c r="DU67" i="41"/>
  <c r="DT67" i="41"/>
  <c r="DS67" i="41"/>
  <c r="DR67" i="41"/>
  <c r="DQ67" i="41"/>
  <c r="DP67" i="41"/>
  <c r="DO67" i="41"/>
  <c r="DN67" i="41"/>
  <c r="DM67" i="41"/>
  <c r="DL67" i="41"/>
  <c r="DK67" i="41"/>
  <c r="DJ67" i="41"/>
  <c r="DI67" i="41"/>
  <c r="DH67" i="41"/>
  <c r="DG67" i="41"/>
  <c r="DF67" i="41"/>
  <c r="DE67" i="41"/>
  <c r="DD67" i="41"/>
  <c r="DC67" i="41"/>
  <c r="DB67" i="41"/>
  <c r="DY66" i="41"/>
  <c r="DX66" i="41"/>
  <c r="DW66" i="41"/>
  <c r="DV66" i="41"/>
  <c r="DU66" i="41"/>
  <c r="DT66" i="41"/>
  <c r="DS66" i="41"/>
  <c r="DR66" i="41"/>
  <c r="DQ66" i="41"/>
  <c r="DP66" i="41"/>
  <c r="DO66" i="41"/>
  <c r="DN66" i="41"/>
  <c r="DM66" i="41"/>
  <c r="DL66" i="41"/>
  <c r="DK66" i="41"/>
  <c r="DJ66" i="41"/>
  <c r="DI66" i="41"/>
  <c r="DH66" i="41"/>
  <c r="DG66" i="41"/>
  <c r="DF66" i="41"/>
  <c r="DE66" i="41"/>
  <c r="DD66" i="41"/>
  <c r="DC66" i="41"/>
  <c r="DB66" i="41"/>
  <c r="DY65" i="41"/>
  <c r="DX65" i="41"/>
  <c r="DW65" i="41"/>
  <c r="DV65" i="41"/>
  <c r="DU65" i="41"/>
  <c r="DT65" i="41"/>
  <c r="DS65" i="41"/>
  <c r="DR65" i="41"/>
  <c r="DQ65" i="41"/>
  <c r="DP65" i="41"/>
  <c r="DO65" i="41"/>
  <c r="DN65" i="41"/>
  <c r="DM65" i="41"/>
  <c r="DL65" i="41"/>
  <c r="DK65" i="41"/>
  <c r="DJ65" i="41"/>
  <c r="DI65" i="41"/>
  <c r="DH65" i="41"/>
  <c r="DG65" i="41"/>
  <c r="DF65" i="41"/>
  <c r="DE65" i="41"/>
  <c r="DD65" i="41"/>
  <c r="DC65" i="41"/>
  <c r="DB65" i="41"/>
  <c r="DY64" i="41"/>
  <c r="DX64" i="41"/>
  <c r="DW64" i="41"/>
  <c r="DV64" i="41"/>
  <c r="DU64" i="41"/>
  <c r="DT64" i="41"/>
  <c r="DS64" i="41"/>
  <c r="DR64" i="41"/>
  <c r="DQ64" i="41"/>
  <c r="DP64" i="41"/>
  <c r="DO64" i="41"/>
  <c r="DN64" i="41"/>
  <c r="DM64" i="41"/>
  <c r="DL64" i="41"/>
  <c r="DK64" i="41"/>
  <c r="DJ64" i="41"/>
  <c r="DI64" i="41"/>
  <c r="DH64" i="41"/>
  <c r="DG64" i="41"/>
  <c r="DF64" i="41"/>
  <c r="DE64" i="41"/>
  <c r="DD64" i="41"/>
  <c r="DC64" i="41"/>
  <c r="DB64" i="41"/>
  <c r="DY63" i="41"/>
  <c r="DX63" i="41"/>
  <c r="DW63" i="41"/>
  <c r="DV63" i="41"/>
  <c r="DU63" i="41"/>
  <c r="DT63" i="41"/>
  <c r="DS63" i="41"/>
  <c r="DR63" i="41"/>
  <c r="DQ63" i="41"/>
  <c r="DP63" i="41"/>
  <c r="DO63" i="41"/>
  <c r="DN63" i="41"/>
  <c r="DM63" i="41"/>
  <c r="DL63" i="41"/>
  <c r="DK63" i="41"/>
  <c r="DJ63" i="41"/>
  <c r="DI63" i="41"/>
  <c r="DH63" i="41"/>
  <c r="DG63" i="41"/>
  <c r="DF63" i="41"/>
  <c r="DE63" i="41"/>
  <c r="DD63" i="41"/>
  <c r="DC63" i="41"/>
  <c r="DB63" i="41"/>
  <c r="DY62" i="41"/>
  <c r="DX62" i="41"/>
  <c r="DW62" i="41"/>
  <c r="DV62" i="41"/>
  <c r="DU62" i="41"/>
  <c r="DT62" i="41"/>
  <c r="DS62" i="41"/>
  <c r="DR62" i="41"/>
  <c r="DQ62" i="41"/>
  <c r="DP62" i="41"/>
  <c r="DO62" i="41"/>
  <c r="DN62" i="41"/>
  <c r="DM62" i="41"/>
  <c r="DL62" i="41"/>
  <c r="DK62" i="41"/>
  <c r="DJ62" i="41"/>
  <c r="DI62" i="41"/>
  <c r="DH62" i="41"/>
  <c r="DG62" i="41"/>
  <c r="DF62" i="41"/>
  <c r="DE62" i="41"/>
  <c r="DD62" i="41"/>
  <c r="DC62" i="41"/>
  <c r="DB62" i="41"/>
  <c r="DY61" i="41"/>
  <c r="DX61" i="41"/>
  <c r="DW61" i="41"/>
  <c r="DV61" i="41"/>
  <c r="DU61" i="41"/>
  <c r="DT61" i="41"/>
  <c r="DS61" i="41"/>
  <c r="DR61" i="41"/>
  <c r="DQ61" i="41"/>
  <c r="DP61" i="41"/>
  <c r="DO61" i="41"/>
  <c r="DN61" i="41"/>
  <c r="DM61" i="41"/>
  <c r="DL61" i="41"/>
  <c r="DK61" i="41"/>
  <c r="DJ61" i="41"/>
  <c r="DI61" i="41"/>
  <c r="DH61" i="41"/>
  <c r="DG61" i="41"/>
  <c r="DF61" i="41"/>
  <c r="DE61" i="41"/>
  <c r="DD61" i="41"/>
  <c r="DC61" i="41"/>
  <c r="DB61" i="41"/>
  <c r="DY60" i="41"/>
  <c r="DX60" i="41"/>
  <c r="DW60" i="41"/>
  <c r="DV60" i="41"/>
  <c r="DU60" i="41"/>
  <c r="DT60" i="41"/>
  <c r="DS60" i="41"/>
  <c r="DR60" i="41"/>
  <c r="DQ60" i="41"/>
  <c r="DP60" i="41"/>
  <c r="DO60" i="41"/>
  <c r="DN60" i="41"/>
  <c r="DM60" i="41"/>
  <c r="DL60" i="41"/>
  <c r="DK60" i="41"/>
  <c r="DJ60" i="41"/>
  <c r="DI60" i="41"/>
  <c r="DH60" i="41"/>
  <c r="DG60" i="41"/>
  <c r="DF60" i="41"/>
  <c r="DE60" i="41"/>
  <c r="DD60" i="41"/>
  <c r="DC60" i="41"/>
  <c r="DB60" i="41"/>
  <c r="DY59" i="41"/>
  <c r="DX59" i="41"/>
  <c r="DW59" i="41"/>
  <c r="DV59" i="41"/>
  <c r="DU59" i="41"/>
  <c r="DT59" i="41"/>
  <c r="DS59" i="41"/>
  <c r="DR59" i="41"/>
  <c r="DQ59" i="41"/>
  <c r="DP59" i="41"/>
  <c r="DO59" i="41"/>
  <c r="DN59" i="41"/>
  <c r="DM59" i="41"/>
  <c r="DL59" i="41"/>
  <c r="DK59" i="41"/>
  <c r="DJ59" i="41"/>
  <c r="DI59" i="41"/>
  <c r="DH59" i="41"/>
  <c r="DG59" i="41"/>
  <c r="DF59" i="41"/>
  <c r="DE59" i="41"/>
  <c r="DD59" i="41"/>
  <c r="DC59" i="41"/>
  <c r="DB59" i="41"/>
  <c r="DY58" i="41"/>
  <c r="DX58" i="41"/>
  <c r="DW58" i="41"/>
  <c r="DV58" i="41"/>
  <c r="DU58" i="41"/>
  <c r="DT58" i="41"/>
  <c r="DS58" i="41"/>
  <c r="DR58" i="41"/>
  <c r="DQ58" i="41"/>
  <c r="DP58" i="41"/>
  <c r="DO58" i="41"/>
  <c r="DN58" i="41"/>
  <c r="DM58" i="41"/>
  <c r="DL58" i="41"/>
  <c r="DK58" i="41"/>
  <c r="DJ58" i="41"/>
  <c r="DI58" i="41"/>
  <c r="DH58" i="41"/>
  <c r="DG58" i="41"/>
  <c r="DF58" i="41"/>
  <c r="DE58" i="41"/>
  <c r="DD58" i="41"/>
  <c r="DC58" i="41"/>
  <c r="DB58" i="41"/>
  <c r="DY57" i="41"/>
  <c r="DX57" i="41"/>
  <c r="DW57" i="41"/>
  <c r="DV57" i="41"/>
  <c r="DU57" i="41"/>
  <c r="DT57" i="41"/>
  <c r="DS57" i="41"/>
  <c r="DR57" i="41"/>
  <c r="DQ57" i="41"/>
  <c r="DP57" i="41"/>
  <c r="DO57" i="41"/>
  <c r="DN57" i="41"/>
  <c r="DM57" i="41"/>
  <c r="DL57" i="41"/>
  <c r="DK57" i="41"/>
  <c r="DJ57" i="41"/>
  <c r="DI57" i="41"/>
  <c r="DH57" i="41"/>
  <c r="DG57" i="41"/>
  <c r="DF57" i="41"/>
  <c r="DE57" i="41"/>
  <c r="DD57" i="41"/>
  <c r="DC57" i="41"/>
  <c r="DB57" i="41"/>
  <c r="DY56" i="41"/>
  <c r="DX56" i="41"/>
  <c r="DW56" i="41"/>
  <c r="DV56" i="41"/>
  <c r="DU56" i="41"/>
  <c r="DT56" i="41"/>
  <c r="DS56" i="41"/>
  <c r="DR56" i="41"/>
  <c r="DQ56" i="41"/>
  <c r="DP56" i="41"/>
  <c r="DO56" i="41"/>
  <c r="DN56" i="41"/>
  <c r="DM56" i="41"/>
  <c r="DL56" i="41"/>
  <c r="DK56" i="41"/>
  <c r="DJ56" i="41"/>
  <c r="DI56" i="41"/>
  <c r="DH56" i="41"/>
  <c r="DG56" i="41"/>
  <c r="DF56" i="41"/>
  <c r="DE56" i="41"/>
  <c r="DD56" i="41"/>
  <c r="DC56" i="41"/>
  <c r="DB56" i="41"/>
  <c r="DY55" i="41"/>
  <c r="DX55" i="41"/>
  <c r="DW55" i="41"/>
  <c r="DV55" i="41"/>
  <c r="DU55" i="41"/>
  <c r="DT55" i="41"/>
  <c r="DS55" i="41"/>
  <c r="DR55" i="41"/>
  <c r="DQ55" i="41"/>
  <c r="DP55" i="41"/>
  <c r="DO55" i="41"/>
  <c r="DN55" i="41"/>
  <c r="DM55" i="41"/>
  <c r="DL55" i="41"/>
  <c r="DK55" i="41"/>
  <c r="DJ55" i="41"/>
  <c r="DI55" i="41"/>
  <c r="DH55" i="41"/>
  <c r="DG55" i="41"/>
  <c r="DF55" i="41"/>
  <c r="DE55" i="41"/>
  <c r="DD55" i="41"/>
  <c r="DC55" i="41"/>
  <c r="DB55" i="41"/>
  <c r="DY54" i="41"/>
  <c r="DX54" i="41"/>
  <c r="DW54" i="41"/>
  <c r="DV54" i="41"/>
  <c r="DU54" i="41"/>
  <c r="DT54" i="41"/>
  <c r="DS54" i="41"/>
  <c r="DR54" i="41"/>
  <c r="DQ54" i="41"/>
  <c r="DP54" i="41"/>
  <c r="DO54" i="41"/>
  <c r="DN54" i="41"/>
  <c r="DM54" i="41"/>
  <c r="DL54" i="41"/>
  <c r="DK54" i="41"/>
  <c r="DJ54" i="41"/>
  <c r="DI54" i="41"/>
  <c r="DH54" i="41"/>
  <c r="DG54" i="41"/>
  <c r="DF54" i="41"/>
  <c r="DE54" i="41"/>
  <c r="DD54" i="41"/>
  <c r="DC54" i="41"/>
  <c r="DB54" i="41"/>
  <c r="DY41" i="41"/>
  <c r="DX41" i="41"/>
  <c r="DW41" i="41"/>
  <c r="DV41" i="41"/>
  <c r="DU41" i="41"/>
  <c r="DT41" i="41"/>
  <c r="DS41" i="41"/>
  <c r="DR41" i="41"/>
  <c r="DQ41" i="41"/>
  <c r="DP41" i="41"/>
  <c r="DO41" i="41"/>
  <c r="DN41" i="41"/>
  <c r="DM41" i="41"/>
  <c r="DL41" i="41"/>
  <c r="DK41" i="41"/>
  <c r="DJ41" i="41"/>
  <c r="DI41" i="41"/>
  <c r="DH41" i="41"/>
  <c r="DG41" i="41"/>
  <c r="DF41" i="41"/>
  <c r="DE41" i="41"/>
  <c r="DD41" i="41"/>
  <c r="DC41" i="41"/>
  <c r="DB41" i="41"/>
  <c r="DY40" i="41"/>
  <c r="DX40" i="41"/>
  <c r="DW40" i="41"/>
  <c r="DV40" i="41"/>
  <c r="DU40" i="41"/>
  <c r="DT40" i="41"/>
  <c r="DS40" i="41"/>
  <c r="DR40" i="41"/>
  <c r="DQ40" i="41"/>
  <c r="DP40" i="41"/>
  <c r="DO40" i="41"/>
  <c r="DN40" i="41"/>
  <c r="DM40" i="41"/>
  <c r="DL40" i="41"/>
  <c r="DK40" i="41"/>
  <c r="DJ40" i="41"/>
  <c r="DI40" i="41"/>
  <c r="DH40" i="41"/>
  <c r="DG40" i="41"/>
  <c r="DF40" i="41"/>
  <c r="DE40" i="41"/>
  <c r="DD40" i="41"/>
  <c r="DC40" i="41"/>
  <c r="DB40" i="41"/>
  <c r="DY39" i="41"/>
  <c r="DX39" i="41"/>
  <c r="DW39" i="41"/>
  <c r="DV39" i="41"/>
  <c r="DU39" i="41"/>
  <c r="DT39" i="41"/>
  <c r="DS39" i="41"/>
  <c r="DR39" i="41"/>
  <c r="DQ39" i="41"/>
  <c r="DP39" i="41"/>
  <c r="DO39" i="41"/>
  <c r="DN39" i="41"/>
  <c r="DM39" i="41"/>
  <c r="DL39" i="41"/>
  <c r="DK39" i="41"/>
  <c r="DJ39" i="41"/>
  <c r="DI39" i="41"/>
  <c r="DH39" i="41"/>
  <c r="DG39" i="41"/>
  <c r="DF39" i="41"/>
  <c r="DE39" i="41"/>
  <c r="DD39" i="41"/>
  <c r="DC39" i="41"/>
  <c r="DB39" i="41"/>
  <c r="DY38" i="41"/>
  <c r="DX38" i="41"/>
  <c r="DW38" i="41"/>
  <c r="DV38" i="41"/>
  <c r="DU38" i="41"/>
  <c r="DT38" i="41"/>
  <c r="DS38" i="41"/>
  <c r="DR38" i="41"/>
  <c r="DQ38" i="41"/>
  <c r="DP38" i="41"/>
  <c r="DO38" i="41"/>
  <c r="DN38" i="41"/>
  <c r="DM38" i="41"/>
  <c r="DL38" i="41"/>
  <c r="DK38" i="41"/>
  <c r="DJ38" i="41"/>
  <c r="DI38" i="41"/>
  <c r="DH38" i="41"/>
  <c r="DG38" i="41"/>
  <c r="DF38" i="41"/>
  <c r="DE38" i="41"/>
  <c r="DD38" i="41"/>
  <c r="DC38" i="41"/>
  <c r="DB38" i="41"/>
  <c r="DY37" i="41"/>
  <c r="DX37" i="41"/>
  <c r="DW37" i="41"/>
  <c r="DV37" i="41"/>
  <c r="DU37" i="41"/>
  <c r="DT37" i="41"/>
  <c r="DS37" i="41"/>
  <c r="DR37" i="41"/>
  <c r="DQ37" i="41"/>
  <c r="DP37" i="41"/>
  <c r="DO37" i="41"/>
  <c r="DN37" i="41"/>
  <c r="DM37" i="41"/>
  <c r="DL37" i="41"/>
  <c r="DK37" i="41"/>
  <c r="DJ37" i="41"/>
  <c r="DI37" i="41"/>
  <c r="DH37" i="41"/>
  <c r="DG37" i="41"/>
  <c r="DF37" i="41"/>
  <c r="DE37" i="41"/>
  <c r="DD37" i="41"/>
  <c r="DC37" i="41"/>
  <c r="DB37" i="41"/>
  <c r="DY36" i="41"/>
  <c r="DX36" i="41"/>
  <c r="DW36" i="41"/>
  <c r="DV36" i="41"/>
  <c r="DU36" i="41"/>
  <c r="DT36" i="41"/>
  <c r="DS36" i="41"/>
  <c r="DR36" i="41"/>
  <c r="DQ36" i="41"/>
  <c r="DP36" i="41"/>
  <c r="DO36" i="41"/>
  <c r="DN36" i="41"/>
  <c r="DM36" i="41"/>
  <c r="DL36" i="41"/>
  <c r="DK36" i="41"/>
  <c r="DJ36" i="41"/>
  <c r="DI36" i="41"/>
  <c r="DH36" i="41"/>
  <c r="DG36" i="41"/>
  <c r="DF36" i="41"/>
  <c r="DE36" i="41"/>
  <c r="DD36" i="41"/>
  <c r="DC36" i="41"/>
  <c r="DB36" i="41"/>
  <c r="DY35" i="41"/>
  <c r="DX35" i="41"/>
  <c r="DW35" i="41"/>
  <c r="DV35" i="41"/>
  <c r="DU35" i="41"/>
  <c r="DT35" i="41"/>
  <c r="DS35" i="41"/>
  <c r="DR35" i="41"/>
  <c r="DQ35" i="41"/>
  <c r="DP35" i="41"/>
  <c r="DO35" i="41"/>
  <c r="DN35" i="41"/>
  <c r="DM35" i="41"/>
  <c r="DL35" i="41"/>
  <c r="DK35" i="41"/>
  <c r="DJ35" i="41"/>
  <c r="DI35" i="41"/>
  <c r="DH35" i="41"/>
  <c r="DG35" i="41"/>
  <c r="DF35" i="41"/>
  <c r="DE35" i="41"/>
  <c r="DD35" i="41"/>
  <c r="DC35" i="41"/>
  <c r="DB35" i="41"/>
  <c r="DY34" i="41"/>
  <c r="DX34" i="41"/>
  <c r="DW34" i="41"/>
  <c r="DV34" i="41"/>
  <c r="DU34" i="41"/>
  <c r="DT34" i="41"/>
  <c r="DS34" i="41"/>
  <c r="DR34" i="41"/>
  <c r="DQ34" i="41"/>
  <c r="DP34" i="41"/>
  <c r="DO34" i="41"/>
  <c r="DN34" i="41"/>
  <c r="DM34" i="41"/>
  <c r="DL34" i="41"/>
  <c r="DK34" i="41"/>
  <c r="DJ34" i="41"/>
  <c r="DI34" i="41"/>
  <c r="DH34" i="41"/>
  <c r="DG34" i="41"/>
  <c r="DF34" i="41"/>
  <c r="DE34" i="41"/>
  <c r="DD34" i="41"/>
  <c r="DC34" i="41"/>
  <c r="DB34" i="41"/>
  <c r="DY33" i="41"/>
  <c r="DX33" i="41"/>
  <c r="DW33" i="41"/>
  <c r="DV33" i="41"/>
  <c r="DU33" i="41"/>
  <c r="DT33" i="41"/>
  <c r="DS33" i="41"/>
  <c r="DR33" i="41"/>
  <c r="DQ33" i="41"/>
  <c r="DP33" i="41"/>
  <c r="DO33" i="41"/>
  <c r="DN33" i="41"/>
  <c r="DM33" i="41"/>
  <c r="DL33" i="41"/>
  <c r="DK33" i="41"/>
  <c r="DJ33" i="41"/>
  <c r="DI33" i="41"/>
  <c r="DH33" i="41"/>
  <c r="DG33" i="41"/>
  <c r="DF33" i="41"/>
  <c r="DE33" i="41"/>
  <c r="DD33" i="41"/>
  <c r="DC33" i="41"/>
  <c r="DB33" i="41"/>
  <c r="DY32" i="41"/>
  <c r="DX32" i="41"/>
  <c r="DW32" i="41"/>
  <c r="DV32" i="41"/>
  <c r="DU32" i="41"/>
  <c r="DT32" i="41"/>
  <c r="DS32" i="41"/>
  <c r="DR32" i="41"/>
  <c r="DQ32" i="41"/>
  <c r="DP32" i="41"/>
  <c r="DO32" i="41"/>
  <c r="DN32" i="41"/>
  <c r="DM32" i="41"/>
  <c r="DL32" i="41"/>
  <c r="DK32" i="41"/>
  <c r="DJ32" i="41"/>
  <c r="DI32" i="41"/>
  <c r="DH32" i="41"/>
  <c r="DG32" i="41"/>
  <c r="DF32" i="41"/>
  <c r="DE32" i="41"/>
  <c r="DD32" i="41"/>
  <c r="DC32" i="41"/>
  <c r="DB32" i="41"/>
  <c r="DY31" i="41"/>
  <c r="DX31" i="41"/>
  <c r="DW31" i="41"/>
  <c r="DV31" i="41"/>
  <c r="DU31" i="41"/>
  <c r="DT31" i="41"/>
  <c r="DS31" i="41"/>
  <c r="DR31" i="41"/>
  <c r="DQ31" i="41"/>
  <c r="DP31" i="41"/>
  <c r="DO31" i="41"/>
  <c r="DN31" i="41"/>
  <c r="DM31" i="41"/>
  <c r="DL31" i="41"/>
  <c r="DK31" i="41"/>
  <c r="DJ31" i="41"/>
  <c r="DI31" i="41"/>
  <c r="DH31" i="41"/>
  <c r="DG31" i="41"/>
  <c r="DF31" i="41"/>
  <c r="DE31" i="41"/>
  <c r="DD31" i="41"/>
  <c r="DC31" i="41"/>
  <c r="DB31" i="41"/>
  <c r="DY30" i="41"/>
  <c r="DX30" i="41"/>
  <c r="DW30" i="41"/>
  <c r="DV30" i="41"/>
  <c r="DU30" i="41"/>
  <c r="DT30" i="41"/>
  <c r="DS30" i="41"/>
  <c r="DR30" i="41"/>
  <c r="DQ30" i="41"/>
  <c r="DP30" i="41"/>
  <c r="DO30" i="41"/>
  <c r="DN30" i="41"/>
  <c r="DM30" i="41"/>
  <c r="DL30" i="41"/>
  <c r="DK30" i="41"/>
  <c r="DJ30" i="41"/>
  <c r="DI30" i="41"/>
  <c r="DH30" i="41"/>
  <c r="DG30" i="41"/>
  <c r="DF30" i="41"/>
  <c r="DE30" i="41"/>
  <c r="DD30" i="41"/>
  <c r="DC30" i="41"/>
  <c r="DB30" i="41"/>
  <c r="DY29" i="41"/>
  <c r="DX29" i="41"/>
  <c r="DW29" i="41"/>
  <c r="DV29" i="41"/>
  <c r="DU29" i="41"/>
  <c r="DT29" i="41"/>
  <c r="DS29" i="41"/>
  <c r="DR29" i="41"/>
  <c r="DQ29" i="41"/>
  <c r="DP29" i="41"/>
  <c r="DO29" i="41"/>
  <c r="DN29" i="41"/>
  <c r="DM29" i="41"/>
  <c r="DL29" i="41"/>
  <c r="DK29" i="41"/>
  <c r="DJ29" i="41"/>
  <c r="DI29" i="41"/>
  <c r="DH29" i="41"/>
  <c r="DG29" i="41"/>
  <c r="DF29" i="41"/>
  <c r="DE29" i="41"/>
  <c r="DD29" i="41"/>
  <c r="DC29" i="41"/>
  <c r="DB29" i="41"/>
  <c r="DY28" i="41"/>
  <c r="DX28" i="41"/>
  <c r="DW28" i="41"/>
  <c r="DV28" i="41"/>
  <c r="DU28" i="41"/>
  <c r="DT28" i="41"/>
  <c r="DS28" i="41"/>
  <c r="DR28" i="41"/>
  <c r="DQ28" i="41"/>
  <c r="DP28" i="41"/>
  <c r="DO28" i="41"/>
  <c r="DN28" i="41"/>
  <c r="DM28" i="41"/>
  <c r="DL28" i="41"/>
  <c r="DK28" i="41"/>
  <c r="DJ28" i="41"/>
  <c r="DI28" i="41"/>
  <c r="DH28" i="41"/>
  <c r="DG28" i="41"/>
  <c r="DF28" i="41"/>
  <c r="DE28" i="41"/>
  <c r="DD28" i="41"/>
  <c r="DC28" i="41"/>
  <c r="DB28" i="41"/>
  <c r="DC9" i="41"/>
  <c r="DD9" i="41"/>
  <c r="DE9" i="41"/>
  <c r="DF9" i="41"/>
  <c r="DG9" i="41"/>
  <c r="DH9" i="41"/>
  <c r="DI9" i="41"/>
  <c r="DJ9" i="41"/>
  <c r="DK9" i="41"/>
  <c r="DL9" i="41"/>
  <c r="DM9" i="41"/>
  <c r="DN9" i="41"/>
  <c r="DO9" i="41"/>
  <c r="DP9" i="41"/>
  <c r="DQ9" i="41"/>
  <c r="DR9" i="41"/>
  <c r="DS9" i="41"/>
  <c r="DT9" i="41"/>
  <c r="DU9" i="41"/>
  <c r="DV9" i="41"/>
  <c r="DW9" i="41"/>
  <c r="DX9" i="41"/>
  <c r="DY9" i="41"/>
  <c r="DC10" i="41"/>
  <c r="DD10" i="41"/>
  <c r="DE10" i="41"/>
  <c r="DF10" i="41"/>
  <c r="DG10" i="41"/>
  <c r="DH10" i="41"/>
  <c r="DI10" i="41"/>
  <c r="DJ10" i="41"/>
  <c r="DK10" i="41"/>
  <c r="DL10" i="41"/>
  <c r="DM10" i="41"/>
  <c r="DN10" i="41"/>
  <c r="DO10" i="41"/>
  <c r="DP10" i="41"/>
  <c r="DQ10" i="41"/>
  <c r="DR10" i="41"/>
  <c r="DS10" i="41"/>
  <c r="DT10" i="41"/>
  <c r="DU10" i="41"/>
  <c r="DV10" i="41"/>
  <c r="DW10" i="41"/>
  <c r="DX10" i="41"/>
  <c r="DY10" i="41"/>
  <c r="DC11" i="41"/>
  <c r="DD11" i="41"/>
  <c r="DE11" i="41"/>
  <c r="DF11" i="41"/>
  <c r="DG11" i="41"/>
  <c r="DH11" i="41"/>
  <c r="DI11" i="41"/>
  <c r="DJ11" i="41"/>
  <c r="DK11" i="41"/>
  <c r="DL11" i="41"/>
  <c r="DM11" i="41"/>
  <c r="DN11" i="41"/>
  <c r="DO11" i="41"/>
  <c r="DP11" i="41"/>
  <c r="DQ11" i="41"/>
  <c r="DR11" i="41"/>
  <c r="DS11" i="41"/>
  <c r="DT11" i="41"/>
  <c r="DU11" i="41"/>
  <c r="DV11" i="41"/>
  <c r="DW11" i="41"/>
  <c r="DX11" i="41"/>
  <c r="DY11" i="41"/>
  <c r="DC12" i="41"/>
  <c r="DD12" i="41"/>
  <c r="DE12" i="41"/>
  <c r="DF12" i="41"/>
  <c r="DG12" i="41"/>
  <c r="DH12" i="41"/>
  <c r="DI12" i="41"/>
  <c r="DJ12" i="41"/>
  <c r="DL12" i="41"/>
  <c r="DM12" i="41"/>
  <c r="DN12" i="41"/>
  <c r="DO12" i="41"/>
  <c r="DP12" i="41"/>
  <c r="DQ12" i="41"/>
  <c r="DR12" i="41"/>
  <c r="DS12" i="41"/>
  <c r="DT12" i="41"/>
  <c r="DU12" i="41"/>
  <c r="DV12" i="41"/>
  <c r="DW12" i="41"/>
  <c r="DX12" i="41"/>
  <c r="DY12" i="41"/>
  <c r="DC13" i="41"/>
  <c r="DD13" i="41"/>
  <c r="DE13" i="41"/>
  <c r="DF13" i="41"/>
  <c r="DG13" i="41"/>
  <c r="DH13" i="41"/>
  <c r="DI13" i="41"/>
  <c r="DJ13" i="41"/>
  <c r="DK13" i="41"/>
  <c r="DL13" i="41"/>
  <c r="DM13" i="41"/>
  <c r="DN13" i="41"/>
  <c r="DO13" i="41"/>
  <c r="DP13" i="41"/>
  <c r="DQ13" i="41"/>
  <c r="DR13" i="41"/>
  <c r="DS13" i="41"/>
  <c r="DT13" i="41"/>
  <c r="DU13" i="41"/>
  <c r="DV13" i="41"/>
  <c r="DW13" i="41"/>
  <c r="DX13" i="41"/>
  <c r="DY13" i="41"/>
  <c r="DC14" i="41"/>
  <c r="DD14" i="41"/>
  <c r="DE14" i="41"/>
  <c r="DF14" i="41"/>
  <c r="DG14" i="41"/>
  <c r="DH14" i="41"/>
  <c r="DI14" i="41"/>
  <c r="DJ14" i="41"/>
  <c r="DK14" i="41"/>
  <c r="DL14" i="41"/>
  <c r="DM14" i="41"/>
  <c r="DN14" i="41"/>
  <c r="DO14" i="41"/>
  <c r="DP14" i="41"/>
  <c r="DQ14" i="41"/>
  <c r="DR14" i="41"/>
  <c r="DS14" i="41"/>
  <c r="DT14" i="41"/>
  <c r="DU14" i="41"/>
  <c r="DV14" i="41"/>
  <c r="DW14" i="41"/>
  <c r="DX14" i="41"/>
  <c r="DY14" i="41"/>
  <c r="DC15" i="41"/>
  <c r="DD15" i="41"/>
  <c r="DE15" i="41"/>
  <c r="DF15" i="41"/>
  <c r="DG15" i="41"/>
  <c r="DH15" i="41"/>
  <c r="DI15" i="41"/>
  <c r="DJ15" i="41"/>
  <c r="DK15" i="41"/>
  <c r="DL15" i="41"/>
  <c r="DM15" i="41"/>
  <c r="DN15" i="41"/>
  <c r="DO15" i="41"/>
  <c r="DP15" i="41"/>
  <c r="DQ15" i="41"/>
  <c r="DR15" i="41"/>
  <c r="DS15" i="41"/>
  <c r="DT15" i="41"/>
  <c r="DU15" i="41"/>
  <c r="DV15" i="41"/>
  <c r="DW15" i="41"/>
  <c r="DX15" i="41"/>
  <c r="DY15" i="41"/>
  <c r="DC16" i="41"/>
  <c r="DD16" i="41"/>
  <c r="DE16" i="41"/>
  <c r="DF16" i="41"/>
  <c r="DG16" i="41"/>
  <c r="DH16" i="41"/>
  <c r="DI16" i="41"/>
  <c r="DJ16" i="41"/>
  <c r="DK16" i="41"/>
  <c r="DL16" i="41"/>
  <c r="DM16" i="41"/>
  <c r="DN16" i="41"/>
  <c r="DO16" i="41"/>
  <c r="DP16" i="41"/>
  <c r="DQ16" i="41"/>
  <c r="DR16" i="41"/>
  <c r="DS16" i="41"/>
  <c r="DT16" i="41"/>
  <c r="DU16" i="41"/>
  <c r="DV16" i="41"/>
  <c r="DW16" i="41"/>
  <c r="DX16" i="41"/>
  <c r="DY16" i="41"/>
  <c r="DC17" i="41"/>
  <c r="DD17" i="41"/>
  <c r="DE17" i="41"/>
  <c r="DF17" i="41"/>
  <c r="DG17" i="41"/>
  <c r="DH17" i="41"/>
  <c r="DI17" i="41"/>
  <c r="DJ17" i="41"/>
  <c r="DK17" i="41"/>
  <c r="DL17" i="41"/>
  <c r="DM17" i="41"/>
  <c r="DN17" i="41"/>
  <c r="DO17" i="41"/>
  <c r="DP17" i="41"/>
  <c r="DQ17" i="41"/>
  <c r="DR17" i="41"/>
  <c r="DS17" i="41"/>
  <c r="DT17" i="41"/>
  <c r="DU17" i="41"/>
  <c r="DV17" i="41"/>
  <c r="DW17" i="41"/>
  <c r="DX17" i="41"/>
  <c r="DY17" i="41"/>
  <c r="DC18" i="41"/>
  <c r="DD18" i="41"/>
  <c r="DE18" i="41"/>
  <c r="DF18" i="41"/>
  <c r="DG18" i="41"/>
  <c r="DH18" i="41"/>
  <c r="DI18" i="41"/>
  <c r="DJ18" i="41"/>
  <c r="DK18" i="41"/>
  <c r="DL18" i="41"/>
  <c r="DM18" i="41"/>
  <c r="DN18" i="41"/>
  <c r="DO18" i="41"/>
  <c r="DP18" i="41"/>
  <c r="DQ18" i="41"/>
  <c r="DR18" i="41"/>
  <c r="DS18" i="41"/>
  <c r="DT18" i="41"/>
  <c r="DU18" i="41"/>
  <c r="DV18" i="41"/>
  <c r="DW18" i="41"/>
  <c r="DX18" i="41"/>
  <c r="DY18" i="41"/>
  <c r="DC19" i="41"/>
  <c r="DD19" i="41"/>
  <c r="DE19" i="41"/>
  <c r="DF19" i="41"/>
  <c r="DG19" i="41"/>
  <c r="DH19" i="41"/>
  <c r="DI19" i="41"/>
  <c r="DJ19" i="41"/>
  <c r="DK19" i="41"/>
  <c r="DL19" i="41"/>
  <c r="DM19" i="41"/>
  <c r="DN19" i="41"/>
  <c r="DO19" i="41"/>
  <c r="DP19" i="41"/>
  <c r="DQ19" i="41"/>
  <c r="DR19" i="41"/>
  <c r="DS19" i="41"/>
  <c r="DT19" i="41"/>
  <c r="DU19" i="41"/>
  <c r="DV19" i="41"/>
  <c r="DW19" i="41"/>
  <c r="DX19" i="41"/>
  <c r="DY19" i="41"/>
  <c r="DC20" i="41"/>
  <c r="DD20" i="41"/>
  <c r="DE20" i="41"/>
  <c r="DF20" i="41"/>
  <c r="DG20" i="41"/>
  <c r="DH20" i="41"/>
  <c r="DI20" i="41"/>
  <c r="DJ20" i="41"/>
  <c r="DK20" i="41"/>
  <c r="DL20" i="41"/>
  <c r="DM20" i="41"/>
  <c r="DN20" i="41"/>
  <c r="DO20" i="41"/>
  <c r="DP20" i="41"/>
  <c r="DQ20" i="41"/>
  <c r="DR20" i="41"/>
  <c r="DS20" i="41"/>
  <c r="DT20" i="41"/>
  <c r="DU20" i="41"/>
  <c r="DV20" i="41"/>
  <c r="DW20" i="41"/>
  <c r="DX20" i="41"/>
  <c r="DY20" i="41"/>
  <c r="DC21" i="41"/>
  <c r="DD21" i="41"/>
  <c r="DE21" i="41"/>
  <c r="DF21" i="41"/>
  <c r="DG21" i="41"/>
  <c r="DH21" i="41"/>
  <c r="DI21" i="41"/>
  <c r="DJ21" i="41"/>
  <c r="DK21" i="41"/>
  <c r="DL21" i="41"/>
  <c r="DM21" i="41"/>
  <c r="DN21" i="41"/>
  <c r="DO21" i="41"/>
  <c r="DP21" i="41"/>
  <c r="DQ21" i="41"/>
  <c r="DR21" i="41"/>
  <c r="DS21" i="41"/>
  <c r="DT21" i="41"/>
  <c r="DU21" i="41"/>
  <c r="DV21" i="41"/>
  <c r="DW21" i="41"/>
  <c r="DX21" i="41"/>
  <c r="DY21" i="41"/>
  <c r="DC22" i="41"/>
  <c r="DD22" i="41"/>
  <c r="DE22" i="41"/>
  <c r="DF22" i="41"/>
  <c r="DG22" i="41"/>
  <c r="DH22" i="41"/>
  <c r="DI22" i="41"/>
  <c r="DJ22" i="41"/>
  <c r="DK22" i="41"/>
  <c r="DL22" i="41"/>
  <c r="DM22" i="41"/>
  <c r="DN22" i="41"/>
  <c r="DO22" i="41"/>
  <c r="DP22" i="41"/>
  <c r="DQ22" i="41"/>
  <c r="DR22" i="41"/>
  <c r="DS22" i="41"/>
  <c r="DT22" i="41"/>
  <c r="DU22" i="41"/>
  <c r="DV22" i="41"/>
  <c r="DW22" i="41"/>
  <c r="DX22" i="41"/>
  <c r="DY22" i="41"/>
  <c r="DC23" i="41"/>
  <c r="DD23" i="41"/>
  <c r="DE23" i="41"/>
  <c r="DF23" i="41"/>
  <c r="DG23" i="41"/>
  <c r="DH23" i="41"/>
  <c r="DI23" i="41"/>
  <c r="DJ23" i="41"/>
  <c r="DK23" i="41"/>
  <c r="DL23" i="41"/>
  <c r="DM23" i="41"/>
  <c r="DN23" i="41"/>
  <c r="DO23" i="41"/>
  <c r="DP23" i="41"/>
  <c r="DQ23" i="41"/>
  <c r="DR23" i="41"/>
  <c r="DS23" i="41"/>
  <c r="DT23" i="41"/>
  <c r="DU23" i="41"/>
  <c r="DV23" i="41"/>
  <c r="DW23" i="41"/>
  <c r="DX23" i="41"/>
  <c r="DY23" i="41"/>
  <c r="DB9" i="41"/>
  <c r="DB23" i="41"/>
  <c r="DB22" i="41"/>
  <c r="DB21" i="41"/>
  <c r="DB20" i="41"/>
  <c r="DB19" i="41"/>
  <c r="DB18" i="41"/>
  <c r="DB17" i="41"/>
  <c r="DB16" i="41"/>
  <c r="DB15" i="41"/>
  <c r="DB14" i="41"/>
  <c r="DB13" i="41"/>
  <c r="DB12" i="41"/>
  <c r="DB11" i="41"/>
  <c r="DB10" i="41"/>
  <c r="N156" i="41"/>
  <c r="C156" i="41"/>
  <c r="N134" i="41"/>
  <c r="C134" i="41"/>
  <c r="B116" i="41" s="1"/>
  <c r="N112" i="41"/>
  <c r="C112" i="41"/>
  <c r="B94" i="41" s="1"/>
  <c r="N90" i="41"/>
  <c r="C90" i="41"/>
  <c r="B72" i="41" s="1"/>
  <c r="N68" i="41"/>
  <c r="C68" i="41"/>
  <c r="B50" i="41" s="1"/>
  <c r="N46" i="41"/>
  <c r="N24" i="41"/>
  <c r="DY158" i="41"/>
  <c r="DY159" i="41" s="1"/>
  <c r="DX158" i="41"/>
  <c r="DX159" i="41" s="1"/>
  <c r="DW158" i="41"/>
  <c r="DW159" i="41" s="1"/>
  <c r="DV158" i="41"/>
  <c r="DV159" i="41" s="1"/>
  <c r="DU158" i="41"/>
  <c r="DU159" i="41" s="1"/>
  <c r="DT158" i="41"/>
  <c r="DT159" i="41" s="1"/>
  <c r="DS158" i="41"/>
  <c r="DS159" i="41" s="1"/>
  <c r="DR158" i="41"/>
  <c r="DR159" i="41" s="1"/>
  <c r="DQ158" i="41"/>
  <c r="DQ159" i="41" s="1"/>
  <c r="DP158" i="41"/>
  <c r="DP159" i="41" s="1"/>
  <c r="DO158" i="41"/>
  <c r="DO159" i="41" s="1"/>
  <c r="DN158" i="41"/>
  <c r="DN159" i="41" s="1"/>
  <c r="DM158" i="41"/>
  <c r="DM159" i="41" s="1"/>
  <c r="DL158" i="41"/>
  <c r="DL159" i="41" s="1"/>
  <c r="DK158" i="41"/>
  <c r="DK159" i="41" s="1"/>
  <c r="DJ158" i="41"/>
  <c r="DJ159" i="41" s="1"/>
  <c r="DI158" i="41"/>
  <c r="DI159" i="41" s="1"/>
  <c r="DH158" i="41"/>
  <c r="DH159" i="41" s="1"/>
  <c r="DG158" i="41"/>
  <c r="DG159" i="41" s="1"/>
  <c r="DF158" i="41"/>
  <c r="DF159" i="41" s="1"/>
  <c r="DE158" i="41"/>
  <c r="DE159" i="41" s="1"/>
  <c r="DD158" i="41"/>
  <c r="DD159" i="41" s="1"/>
  <c r="DC158" i="41"/>
  <c r="DC159" i="41" s="1"/>
  <c r="DB158" i="41"/>
  <c r="DB159" i="41" s="1"/>
  <c r="O138" i="41"/>
  <c r="DY140" i="41"/>
  <c r="DY141" i="41" s="1"/>
  <c r="DX140" i="41"/>
  <c r="DX141" i="41" s="1"/>
  <c r="DW140" i="41"/>
  <c r="DW141" i="41" s="1"/>
  <c r="DV140" i="41"/>
  <c r="DV141" i="41" s="1"/>
  <c r="DU140" i="41"/>
  <c r="DU141" i="41" s="1"/>
  <c r="DT140" i="41"/>
  <c r="DT141" i="41" s="1"/>
  <c r="DS140" i="41"/>
  <c r="DS141" i="41" s="1"/>
  <c r="DR140" i="41"/>
  <c r="DR141" i="41" s="1"/>
  <c r="DQ140" i="41"/>
  <c r="DQ141" i="41" s="1"/>
  <c r="DP140" i="41"/>
  <c r="DP141" i="41" s="1"/>
  <c r="DO140" i="41"/>
  <c r="DO141" i="41" s="1"/>
  <c r="DN140" i="41"/>
  <c r="DN141" i="41" s="1"/>
  <c r="DM140" i="41"/>
  <c r="DM141" i="41" s="1"/>
  <c r="DL140" i="41"/>
  <c r="DL141" i="41" s="1"/>
  <c r="DK140" i="41"/>
  <c r="DK141" i="41" s="1"/>
  <c r="DJ140" i="41"/>
  <c r="DJ141" i="41" s="1"/>
  <c r="DI140" i="41"/>
  <c r="DI141" i="41" s="1"/>
  <c r="DH140" i="41"/>
  <c r="DH141" i="41" s="1"/>
  <c r="DG140" i="41"/>
  <c r="DG141" i="41" s="1"/>
  <c r="DF140" i="41"/>
  <c r="DF141" i="41" s="1"/>
  <c r="DE140" i="41"/>
  <c r="DE141" i="41" s="1"/>
  <c r="DD140" i="41"/>
  <c r="DD141" i="41" s="1"/>
  <c r="DC140" i="41"/>
  <c r="DC141" i="41" s="1"/>
  <c r="DB140" i="41"/>
  <c r="DB141" i="41" s="1"/>
  <c r="DN139" i="41"/>
  <c r="DB139" i="41"/>
  <c r="D138" i="41"/>
  <c r="DY136" i="41"/>
  <c r="DX136" i="41"/>
  <c r="DW136" i="41"/>
  <c r="DV136" i="41"/>
  <c r="DU136" i="41"/>
  <c r="DT136" i="41"/>
  <c r="DS136" i="41"/>
  <c r="DR136" i="41"/>
  <c r="DQ136" i="41"/>
  <c r="DP136" i="41"/>
  <c r="DO136" i="41"/>
  <c r="DN136" i="41"/>
  <c r="DM136" i="41"/>
  <c r="DL136" i="41"/>
  <c r="DK136" i="41"/>
  <c r="DJ136" i="41"/>
  <c r="DI136" i="41"/>
  <c r="DH136" i="41"/>
  <c r="DG136" i="41"/>
  <c r="DF136" i="41"/>
  <c r="DE136" i="41"/>
  <c r="DD136" i="41"/>
  <c r="DC136" i="41"/>
  <c r="DB136" i="41"/>
  <c r="O116" i="41"/>
  <c r="DY118" i="41"/>
  <c r="DY119" i="41" s="1"/>
  <c r="DX118" i="41"/>
  <c r="DX119" i="41" s="1"/>
  <c r="DW118" i="41"/>
  <c r="DW119" i="41" s="1"/>
  <c r="DV118" i="41"/>
  <c r="DV119" i="41" s="1"/>
  <c r="DU118" i="41"/>
  <c r="DU119" i="41" s="1"/>
  <c r="DT118" i="41"/>
  <c r="DT119" i="41" s="1"/>
  <c r="DS118" i="41"/>
  <c r="DS119" i="41" s="1"/>
  <c r="DR118" i="41"/>
  <c r="DR119" i="41" s="1"/>
  <c r="DQ118" i="41"/>
  <c r="DQ119" i="41" s="1"/>
  <c r="DP118" i="41"/>
  <c r="DP119" i="41" s="1"/>
  <c r="DO118" i="41"/>
  <c r="DO119" i="41" s="1"/>
  <c r="DN118" i="41"/>
  <c r="DN119" i="41" s="1"/>
  <c r="DM118" i="41"/>
  <c r="DM119" i="41" s="1"/>
  <c r="DL118" i="41"/>
  <c r="DL119" i="41" s="1"/>
  <c r="DK118" i="41"/>
  <c r="DK119" i="41" s="1"/>
  <c r="DJ118" i="41"/>
  <c r="DJ119" i="41" s="1"/>
  <c r="DI118" i="41"/>
  <c r="DI119" i="41" s="1"/>
  <c r="DH118" i="41"/>
  <c r="DH119" i="41" s="1"/>
  <c r="DG118" i="41"/>
  <c r="DG119" i="41" s="1"/>
  <c r="DF118" i="41"/>
  <c r="DF119" i="41" s="1"/>
  <c r="DE118" i="41"/>
  <c r="DE119" i="41" s="1"/>
  <c r="DD118" i="41"/>
  <c r="DD119" i="41" s="1"/>
  <c r="DC118" i="41"/>
  <c r="DC119" i="41" s="1"/>
  <c r="DB118" i="41"/>
  <c r="DB119" i="41" s="1"/>
  <c r="DN117" i="41"/>
  <c r="DB117" i="41"/>
  <c r="D116" i="41"/>
  <c r="DY114" i="41"/>
  <c r="DX114" i="41"/>
  <c r="DW114" i="41"/>
  <c r="DV114" i="41"/>
  <c r="DU114" i="41"/>
  <c r="DT114" i="41"/>
  <c r="DS114" i="41"/>
  <c r="DR114" i="41"/>
  <c r="DQ114" i="41"/>
  <c r="DP114" i="41"/>
  <c r="DO114" i="41"/>
  <c r="DN114" i="41"/>
  <c r="DM114" i="41"/>
  <c r="DL114" i="41"/>
  <c r="DK114" i="41"/>
  <c r="DJ114" i="41"/>
  <c r="DI114" i="41"/>
  <c r="DH114" i="41"/>
  <c r="DG114" i="41"/>
  <c r="DF114" i="41"/>
  <c r="DE114" i="41"/>
  <c r="DD114" i="41"/>
  <c r="DC114" i="41"/>
  <c r="DB114" i="41"/>
  <c r="O94" i="41"/>
  <c r="DY96" i="41"/>
  <c r="DY97" i="41" s="1"/>
  <c r="DX96" i="41"/>
  <c r="DX97" i="41" s="1"/>
  <c r="DW96" i="41"/>
  <c r="DW97" i="41" s="1"/>
  <c r="DV96" i="41"/>
  <c r="DV97" i="41" s="1"/>
  <c r="DU96" i="41"/>
  <c r="DU97" i="41" s="1"/>
  <c r="DT96" i="41"/>
  <c r="DT97" i="41" s="1"/>
  <c r="DS96" i="41"/>
  <c r="DS97" i="41" s="1"/>
  <c r="DR96" i="41"/>
  <c r="DR97" i="41" s="1"/>
  <c r="DQ96" i="41"/>
  <c r="DQ97" i="41" s="1"/>
  <c r="DP96" i="41"/>
  <c r="DP97" i="41" s="1"/>
  <c r="DO96" i="41"/>
  <c r="DO97" i="41" s="1"/>
  <c r="DN96" i="41"/>
  <c r="DN97" i="41" s="1"/>
  <c r="DM96" i="41"/>
  <c r="DM97" i="41" s="1"/>
  <c r="DL96" i="41"/>
  <c r="DL97" i="41" s="1"/>
  <c r="DK96" i="41"/>
  <c r="DK97" i="41" s="1"/>
  <c r="DJ96" i="41"/>
  <c r="DJ97" i="41" s="1"/>
  <c r="DI96" i="41"/>
  <c r="DI97" i="41" s="1"/>
  <c r="DH96" i="41"/>
  <c r="DH97" i="41" s="1"/>
  <c r="DG96" i="41"/>
  <c r="DG97" i="41" s="1"/>
  <c r="DF96" i="41"/>
  <c r="DF97" i="41" s="1"/>
  <c r="DE96" i="41"/>
  <c r="DE97" i="41" s="1"/>
  <c r="DD96" i="41"/>
  <c r="DD97" i="41" s="1"/>
  <c r="DC96" i="41"/>
  <c r="DC97" i="41" s="1"/>
  <c r="DB96" i="41"/>
  <c r="DB97" i="41" s="1"/>
  <c r="DN95" i="41"/>
  <c r="DB95" i="41"/>
  <c r="D94" i="41"/>
  <c r="DY92" i="41"/>
  <c r="DX92" i="41"/>
  <c r="DW92" i="41"/>
  <c r="DV92" i="41"/>
  <c r="DU92" i="41"/>
  <c r="DT92" i="41"/>
  <c r="DS92" i="41"/>
  <c r="DR92" i="41"/>
  <c r="DQ92" i="41"/>
  <c r="DP92" i="41"/>
  <c r="DO92" i="41"/>
  <c r="DN92" i="41"/>
  <c r="DM92" i="41"/>
  <c r="DL92" i="41"/>
  <c r="DK92" i="41"/>
  <c r="DJ92" i="41"/>
  <c r="DI92" i="41"/>
  <c r="DH92" i="41"/>
  <c r="DG92" i="41"/>
  <c r="DF92" i="41"/>
  <c r="DE92" i="41"/>
  <c r="DD92" i="41"/>
  <c r="DC92" i="41"/>
  <c r="DB92" i="41"/>
  <c r="O72" i="41"/>
  <c r="DY74" i="41"/>
  <c r="DY75" i="41" s="1"/>
  <c r="DX74" i="41"/>
  <c r="DX75" i="41" s="1"/>
  <c r="DW74" i="41"/>
  <c r="DW75" i="41" s="1"/>
  <c r="DV74" i="41"/>
  <c r="DV75" i="41" s="1"/>
  <c r="DU74" i="41"/>
  <c r="DU75" i="41" s="1"/>
  <c r="DT74" i="41"/>
  <c r="DT75" i="41" s="1"/>
  <c r="DS74" i="41"/>
  <c r="DS75" i="41" s="1"/>
  <c r="DR74" i="41"/>
  <c r="DR75" i="41" s="1"/>
  <c r="DQ74" i="41"/>
  <c r="DQ75" i="41" s="1"/>
  <c r="DP74" i="41"/>
  <c r="DP75" i="41" s="1"/>
  <c r="DO74" i="41"/>
  <c r="DO75" i="41" s="1"/>
  <c r="DN74" i="41"/>
  <c r="DN75" i="41" s="1"/>
  <c r="DM74" i="41"/>
  <c r="DM75" i="41" s="1"/>
  <c r="DL74" i="41"/>
  <c r="DL75" i="41" s="1"/>
  <c r="DK74" i="41"/>
  <c r="DK75" i="41" s="1"/>
  <c r="DJ74" i="41"/>
  <c r="DJ75" i="41" s="1"/>
  <c r="DI74" i="41"/>
  <c r="DI75" i="41" s="1"/>
  <c r="DH74" i="41"/>
  <c r="DH75" i="41" s="1"/>
  <c r="DG74" i="41"/>
  <c r="DG75" i="41" s="1"/>
  <c r="DF74" i="41"/>
  <c r="DF75" i="41" s="1"/>
  <c r="DE74" i="41"/>
  <c r="DE75" i="41" s="1"/>
  <c r="DD74" i="41"/>
  <c r="DD75" i="41" s="1"/>
  <c r="DC74" i="41"/>
  <c r="DC75" i="41" s="1"/>
  <c r="DB74" i="41"/>
  <c r="DB75" i="41" s="1"/>
  <c r="DN73" i="41"/>
  <c r="DB73" i="41"/>
  <c r="D72" i="41"/>
  <c r="DY70" i="41"/>
  <c r="DX70" i="41"/>
  <c r="DW70" i="41"/>
  <c r="DV70" i="41"/>
  <c r="DU70" i="41"/>
  <c r="DT70" i="41"/>
  <c r="DS70" i="41"/>
  <c r="DR70" i="41"/>
  <c r="DQ70" i="41"/>
  <c r="DP70" i="41"/>
  <c r="DO70" i="41"/>
  <c r="DN70" i="41"/>
  <c r="DM70" i="41"/>
  <c r="DL70" i="41"/>
  <c r="DK70" i="41"/>
  <c r="DJ70" i="41"/>
  <c r="DI70" i="41"/>
  <c r="DH70" i="41"/>
  <c r="DG70" i="41"/>
  <c r="DF70" i="41"/>
  <c r="DE70" i="41"/>
  <c r="DD70" i="41"/>
  <c r="DC70" i="41"/>
  <c r="DB70" i="41"/>
  <c r="O50" i="41"/>
  <c r="DY52" i="41"/>
  <c r="DY53" i="41" s="1"/>
  <c r="DX52" i="41"/>
  <c r="DX53" i="41" s="1"/>
  <c r="DW52" i="41"/>
  <c r="DW53" i="41" s="1"/>
  <c r="DV52" i="41"/>
  <c r="DV53" i="41" s="1"/>
  <c r="DU52" i="41"/>
  <c r="DU53" i="41" s="1"/>
  <c r="DT52" i="41"/>
  <c r="DT53" i="41" s="1"/>
  <c r="DS52" i="41"/>
  <c r="DS53" i="41" s="1"/>
  <c r="DR52" i="41"/>
  <c r="DR53" i="41" s="1"/>
  <c r="DQ52" i="41"/>
  <c r="DQ53" i="41" s="1"/>
  <c r="DP52" i="41"/>
  <c r="DP53" i="41" s="1"/>
  <c r="DO52" i="41"/>
  <c r="DO53" i="41" s="1"/>
  <c r="DN52" i="41"/>
  <c r="DN53" i="41" s="1"/>
  <c r="DM52" i="41"/>
  <c r="DM53" i="41" s="1"/>
  <c r="DL52" i="41"/>
  <c r="DL53" i="41" s="1"/>
  <c r="DK52" i="41"/>
  <c r="DK53" i="41" s="1"/>
  <c r="DJ52" i="41"/>
  <c r="DJ53" i="41" s="1"/>
  <c r="DI52" i="41"/>
  <c r="DI53" i="41" s="1"/>
  <c r="DH52" i="41"/>
  <c r="DH53" i="41" s="1"/>
  <c r="DG52" i="41"/>
  <c r="DG53" i="41" s="1"/>
  <c r="DF52" i="41"/>
  <c r="DF53" i="41" s="1"/>
  <c r="DE52" i="41"/>
  <c r="DE53" i="41" s="1"/>
  <c r="DD52" i="41"/>
  <c r="DD53" i="41" s="1"/>
  <c r="DC52" i="41"/>
  <c r="DC53" i="41" s="1"/>
  <c r="DB52" i="41"/>
  <c r="DB53" i="41" s="1"/>
  <c r="DN51" i="41"/>
  <c r="DB51" i="41"/>
  <c r="D50" i="41"/>
  <c r="O28" i="41"/>
  <c r="D28" i="41"/>
  <c r="D6" i="41"/>
  <c r="O6" i="41"/>
  <c r="DC27" i="41"/>
  <c r="DD27" i="41"/>
  <c r="DE27" i="41"/>
  <c r="DF27" i="41"/>
  <c r="DG27" i="41"/>
  <c r="DH27" i="41"/>
  <c r="DI27" i="41"/>
  <c r="DJ27" i="41"/>
  <c r="DK27" i="41"/>
  <c r="DL27" i="41"/>
  <c r="DM27" i="41"/>
  <c r="DN27" i="41"/>
  <c r="DO27" i="41"/>
  <c r="DP27" i="41"/>
  <c r="DQ27" i="41"/>
  <c r="DR27" i="41"/>
  <c r="DS27" i="41"/>
  <c r="DT27" i="41"/>
  <c r="DU27" i="41"/>
  <c r="DV27" i="41"/>
  <c r="DW27" i="41"/>
  <c r="DX27" i="41"/>
  <c r="DY27" i="41"/>
  <c r="DB27" i="41"/>
  <c r="C24" i="41"/>
  <c r="B6" i="41" s="1"/>
  <c r="I67" i="10" l="1"/>
  <c r="G67" i="10"/>
  <c r="F67" i="10"/>
  <c r="O67" i="10"/>
  <c r="H67" i="10"/>
  <c r="Q65" i="10"/>
  <c r="Q67" i="10" s="1"/>
  <c r="AV142" i="41"/>
  <c r="AV120" i="41"/>
  <c r="E11" i="8"/>
  <c r="E202" i="8" s="1"/>
  <c r="AV54" i="41"/>
  <c r="AJ12" i="41" a="1"/>
  <c r="AJ12" i="41" s="1"/>
  <c r="E120" i="6" s="1"/>
  <c r="E121" i="6" s="1"/>
  <c r="AV11" i="41"/>
  <c r="R18" i="31"/>
  <c r="R50" i="44"/>
  <c r="AV98" i="41"/>
  <c r="AV76" i="41"/>
  <c r="AV32" i="41"/>
  <c r="AV10" i="41"/>
  <c r="F11" i="22"/>
  <c r="F240" i="22" s="1"/>
  <c r="O11" i="9"/>
  <c r="P11" i="10"/>
  <c r="K11" i="31"/>
  <c r="J11" i="32"/>
  <c r="E11" i="22"/>
  <c r="E240" i="22" s="1"/>
  <c r="N11" i="6"/>
  <c r="G11" i="9"/>
  <c r="J11" i="31"/>
  <c r="I11" i="32"/>
  <c r="M11" i="6"/>
  <c r="F11" i="9"/>
  <c r="E11" i="10"/>
  <c r="N11" i="10"/>
  <c r="I11" i="31"/>
  <c r="H11" i="32"/>
  <c r="O11" i="10"/>
  <c r="L11" i="6"/>
  <c r="E11" i="9"/>
  <c r="M11" i="10"/>
  <c r="H11" i="31"/>
  <c r="G11" i="32"/>
  <c r="G11" i="22"/>
  <c r="G240" i="22" s="1"/>
  <c r="P11" i="9"/>
  <c r="K11" i="22"/>
  <c r="K240" i="22" s="1"/>
  <c r="K11" i="6"/>
  <c r="L11" i="10"/>
  <c r="G11" i="31"/>
  <c r="F11" i="32"/>
  <c r="L11" i="31"/>
  <c r="G11" i="6"/>
  <c r="P11" i="6"/>
  <c r="I11" i="9"/>
  <c r="I11" i="10"/>
  <c r="H11" i="6"/>
  <c r="K11" i="32"/>
  <c r="L11" i="22"/>
  <c r="L240" i="22" s="1"/>
  <c r="E11" i="32"/>
  <c r="P11" i="22"/>
  <c r="P240" i="22" s="1"/>
  <c r="J11" i="10"/>
  <c r="H11" i="9"/>
  <c r="H11" i="10"/>
  <c r="P11" i="32"/>
  <c r="X56" i="41" a="1"/>
  <c r="X56" i="41" s="1"/>
  <c r="X57" i="41" s="1"/>
  <c r="AL56" i="41" a="1"/>
  <c r="AL56" i="41" s="1"/>
  <c r="AL57" i="41" s="1"/>
  <c r="Y56" i="41" a="1"/>
  <c r="Y56" i="41" s="1"/>
  <c r="Y57" i="41" s="1"/>
  <c r="AM56" i="41" a="1"/>
  <c r="AM56" i="41" s="1"/>
  <c r="AM57" i="41" s="1"/>
  <c r="AJ56" i="41" a="1"/>
  <c r="AJ56" i="41" s="1"/>
  <c r="Z56" i="41" a="1"/>
  <c r="Z56" i="41" s="1"/>
  <c r="Z57" i="41" s="1"/>
  <c r="AN56" i="41" a="1"/>
  <c r="AN56" i="41" s="1"/>
  <c r="AN57" i="41" s="1"/>
  <c r="AA56" i="41" a="1"/>
  <c r="AA56" i="41" s="1"/>
  <c r="AA57" i="41" s="1"/>
  <c r="AO56" i="41" a="1"/>
  <c r="AO56" i="41" s="1"/>
  <c r="AO57" i="41" s="1"/>
  <c r="AR56" i="41" a="1"/>
  <c r="AR56" i="41" s="1"/>
  <c r="AR57" i="41" s="1"/>
  <c r="AE56" i="41" a="1"/>
  <c r="AE56" i="41" s="1"/>
  <c r="AE57" i="41" s="1"/>
  <c r="AU56" i="41" a="1"/>
  <c r="AU56" i="41" s="1"/>
  <c r="P120" i="8" s="1"/>
  <c r="AD56" i="41" a="1"/>
  <c r="AD56" i="41" s="1"/>
  <c r="AD57" i="41" s="1"/>
  <c r="AS56" i="41" a="1"/>
  <c r="AS56" i="41" s="1"/>
  <c r="AS57" i="41" s="1"/>
  <c r="AG56" i="41" a="1"/>
  <c r="AG56" i="41" s="1"/>
  <c r="AG57" i="41" s="1"/>
  <c r="AH56" i="41" a="1"/>
  <c r="AH56" i="41" s="1"/>
  <c r="AH57" i="41" s="1"/>
  <c r="AI56" i="41" a="1"/>
  <c r="AI56" i="41" s="1"/>
  <c r="AI57" i="41" s="1"/>
  <c r="AK56" i="41" a="1"/>
  <c r="AK56" i="41" s="1"/>
  <c r="AK57" i="41" s="1"/>
  <c r="AB56" i="41" a="1"/>
  <c r="AB56" i="41" s="1"/>
  <c r="AB57" i="41" s="1"/>
  <c r="AP56" i="41" a="1"/>
  <c r="AP56" i="41" s="1"/>
  <c r="AP57" i="41" s="1"/>
  <c r="AC56" i="41" a="1"/>
  <c r="AC56" i="41" s="1"/>
  <c r="AC57" i="41" s="1"/>
  <c r="AQ56" i="41" a="1"/>
  <c r="AQ56" i="41" s="1"/>
  <c r="AQ57" i="41" s="1"/>
  <c r="AF56" i="41" a="1"/>
  <c r="AF56" i="41" s="1"/>
  <c r="AF57" i="41" s="1"/>
  <c r="AT56" i="41" a="1"/>
  <c r="AT56" i="41" s="1"/>
  <c r="O120" i="8" s="1"/>
  <c r="J11" i="6"/>
  <c r="K11" i="10"/>
  <c r="F11" i="31"/>
  <c r="I11" i="6"/>
  <c r="J11" i="9"/>
  <c r="E11" i="31"/>
  <c r="O11" i="22"/>
  <c r="O240" i="22" s="1"/>
  <c r="N11" i="22"/>
  <c r="N240" i="22" s="1"/>
  <c r="O11" i="6"/>
  <c r="M11" i="22"/>
  <c r="M240" i="22" s="1"/>
  <c r="L11" i="9"/>
  <c r="G11" i="10"/>
  <c r="P11" i="31"/>
  <c r="O11" i="32"/>
  <c r="J11" i="22"/>
  <c r="J240" i="22" s="1"/>
  <c r="K11" i="9"/>
  <c r="F11" i="10"/>
  <c r="O11" i="31"/>
  <c r="N11" i="32"/>
  <c r="I11" i="22"/>
  <c r="I240" i="22" s="1"/>
  <c r="F11" i="6"/>
  <c r="M11" i="9"/>
  <c r="N11" i="31"/>
  <c r="M11" i="32"/>
  <c r="H11" i="22"/>
  <c r="H240" i="22" s="1"/>
  <c r="E11" i="6"/>
  <c r="N11" i="9"/>
  <c r="X144" i="41" a="1"/>
  <c r="X144" i="41" s="1"/>
  <c r="X145" i="41" s="1"/>
  <c r="AG144" i="41" a="1"/>
  <c r="AG144" i="41" s="1"/>
  <c r="AG145" i="41" s="1"/>
  <c r="Y144" i="41" a="1"/>
  <c r="Y144" i="41" s="1"/>
  <c r="Y145" i="41" s="1"/>
  <c r="AK144" i="41" a="1"/>
  <c r="AK144" i="41" s="1"/>
  <c r="AK145" i="41" s="1"/>
  <c r="AJ144" i="41" a="1"/>
  <c r="AJ144" i="41" s="1"/>
  <c r="E120" i="32" s="1"/>
  <c r="AH144" i="41" a="1"/>
  <c r="AH144" i="41" s="1"/>
  <c r="AH145" i="41" s="1"/>
  <c r="AL144" i="41" a="1"/>
  <c r="AL144" i="41" s="1"/>
  <c r="G120" i="32" s="1"/>
  <c r="AT144" i="41" a="1"/>
  <c r="AT144" i="41" s="1"/>
  <c r="O120" i="32" s="1"/>
  <c r="Z144" i="41" a="1"/>
  <c r="Z144" i="41" s="1"/>
  <c r="Z145" i="41" s="1"/>
  <c r="AM144" i="41" a="1"/>
  <c r="AM144" i="41" s="1"/>
  <c r="AM145" i="41" s="1"/>
  <c r="AA144" i="41" a="1"/>
  <c r="AA144" i="41" s="1"/>
  <c r="AA145" i="41" s="1"/>
  <c r="AB144" i="41" a="1"/>
  <c r="AB144" i="41" s="1"/>
  <c r="AB145" i="41" s="1"/>
  <c r="AN144" i="41" a="1"/>
  <c r="AN144" i="41" s="1"/>
  <c r="I120" i="32" s="1"/>
  <c r="AQ144" i="41" a="1"/>
  <c r="AQ144" i="41" s="1"/>
  <c r="L120" i="32" s="1"/>
  <c r="AR144" i="41" a="1"/>
  <c r="AR144" i="41" s="1"/>
  <c r="AR145" i="41" s="1"/>
  <c r="AC144" i="41" a="1"/>
  <c r="AC144" i="41" s="1"/>
  <c r="AC145" i="41" s="1"/>
  <c r="AS144" i="41" a="1"/>
  <c r="AS144" i="41" s="1"/>
  <c r="N120" i="32" s="1"/>
  <c r="AD144" i="41" a="1"/>
  <c r="AD144" i="41" s="1"/>
  <c r="AD145" i="41" s="1"/>
  <c r="AO144" i="41" a="1"/>
  <c r="AO144" i="41" s="1"/>
  <c r="J120" i="32" s="1"/>
  <c r="AE144" i="41" a="1"/>
  <c r="AE144" i="41" s="1"/>
  <c r="AE145" i="41" s="1"/>
  <c r="AP144" i="41" a="1"/>
  <c r="AP144" i="41" s="1"/>
  <c r="K120" i="32" s="1"/>
  <c r="AF144" i="41" a="1"/>
  <c r="AF144" i="41" s="1"/>
  <c r="AF145" i="41" s="1"/>
  <c r="AI144" i="41" a="1"/>
  <c r="AI144" i="41" s="1"/>
  <c r="AI145" i="41" s="1"/>
  <c r="AU144" i="41" a="1"/>
  <c r="AU144" i="41" s="1"/>
  <c r="AU145" i="41" s="1"/>
  <c r="Z12" i="41" a="1"/>
  <c r="Z12" i="41" s="1"/>
  <c r="Z13" i="41" s="1"/>
  <c r="AM12" i="41" a="1"/>
  <c r="AM12" i="41" s="1"/>
  <c r="AM13" i="41" s="1"/>
  <c r="AM122" i="41" a="1"/>
  <c r="AM122" i="41" s="1"/>
  <c r="H120" i="31" s="1"/>
  <c r="H121" i="31" s="1"/>
  <c r="H174" i="31" s="1"/>
  <c r="AC122" i="41" a="1"/>
  <c r="AC122" i="41" s="1"/>
  <c r="AC123" i="41" s="1"/>
  <c r="AO122" i="41" a="1"/>
  <c r="AO122" i="41" s="1"/>
  <c r="AO123" i="41" s="1"/>
  <c r="AP122" i="41" a="1"/>
  <c r="AP122" i="41" s="1"/>
  <c r="K120" i="31" s="1"/>
  <c r="K121" i="31" s="1"/>
  <c r="K174" i="31" s="1"/>
  <c r="AD122" i="41" a="1"/>
  <c r="AD122" i="41" s="1"/>
  <c r="AD123" i="41" s="1"/>
  <c r="AQ122" i="41" a="1"/>
  <c r="AQ122" i="41" s="1"/>
  <c r="L120" i="31" s="1"/>
  <c r="L121" i="31" s="1"/>
  <c r="L174" i="31" s="1"/>
  <c r="AL122" i="41" a="1"/>
  <c r="AL122" i="41" s="1"/>
  <c r="AL123" i="41" s="1"/>
  <c r="AE122" i="41" a="1"/>
  <c r="AE122" i="41" s="1"/>
  <c r="AE123" i="41" s="1"/>
  <c r="AR122" i="41" a="1"/>
  <c r="AR122" i="41" s="1"/>
  <c r="M120" i="31" s="1"/>
  <c r="M121" i="31" s="1"/>
  <c r="M174" i="31" s="1"/>
  <c r="AF122" i="41" a="1"/>
  <c r="AF122" i="41" s="1"/>
  <c r="AF123" i="41" s="1"/>
  <c r="AS122" i="41" a="1"/>
  <c r="AS122" i="41" s="1"/>
  <c r="AS123" i="41" s="1"/>
  <c r="AA122" i="41" a="1"/>
  <c r="AA122" i="41" s="1"/>
  <c r="AA123" i="41" s="1"/>
  <c r="AN122" i="41" a="1"/>
  <c r="AN122" i="41" s="1"/>
  <c r="AN123" i="41" s="1"/>
  <c r="AG122" i="41" a="1"/>
  <c r="AG122" i="41" s="1"/>
  <c r="AG123" i="41" s="1"/>
  <c r="AT122" i="41" a="1"/>
  <c r="AT122" i="41" s="1"/>
  <c r="O120" i="31" s="1"/>
  <c r="O121" i="31" s="1"/>
  <c r="O174" i="31" s="1"/>
  <c r="AH122" i="41" a="1"/>
  <c r="AH122" i="41" s="1"/>
  <c r="AH123" i="41" s="1"/>
  <c r="AU122" i="41" a="1"/>
  <c r="AU122" i="41" s="1"/>
  <c r="P120" i="31" s="1"/>
  <c r="P121" i="31" s="1"/>
  <c r="P174" i="31" s="1"/>
  <c r="AB122" i="41" a="1"/>
  <c r="AB122" i="41" s="1"/>
  <c r="AB123" i="41" s="1"/>
  <c r="X122" i="41" a="1"/>
  <c r="X122" i="41" s="1"/>
  <c r="X123" i="41" s="1"/>
  <c r="AJ122" i="41" a="1"/>
  <c r="AJ122" i="41" s="1"/>
  <c r="Y122" i="41" a="1"/>
  <c r="Y122" i="41" s="1"/>
  <c r="Y123" i="41" s="1"/>
  <c r="AI122" i="41" a="1"/>
  <c r="AI122" i="41" s="1"/>
  <c r="AI123" i="41" s="1"/>
  <c r="Z122" i="41" a="1"/>
  <c r="Z122" i="41" s="1"/>
  <c r="Z123" i="41" s="1"/>
  <c r="AK122" i="41" a="1"/>
  <c r="AK122" i="41" s="1"/>
  <c r="F120" i="31" s="1"/>
  <c r="F121" i="31" s="1"/>
  <c r="F174" i="31" s="1"/>
  <c r="AF100" i="41" a="1"/>
  <c r="AF100" i="41" s="1"/>
  <c r="AF101" i="41" s="1"/>
  <c r="AS100" i="41" a="1"/>
  <c r="AS100" i="41" s="1"/>
  <c r="N120" i="10" s="1"/>
  <c r="AL100" i="41" a="1"/>
  <c r="AL100" i="41" s="1"/>
  <c r="G120" i="10" s="1"/>
  <c r="AM100" i="41" a="1"/>
  <c r="AM100" i="41" s="1"/>
  <c r="H120" i="10" s="1"/>
  <c r="AN100" i="41" a="1"/>
  <c r="AN100" i="41" s="1"/>
  <c r="I120" i="10" s="1"/>
  <c r="AG100" i="41" a="1"/>
  <c r="AG100" i="41" s="1"/>
  <c r="AG101" i="41" s="1"/>
  <c r="AT100" i="41" a="1"/>
  <c r="AT100" i="41" s="1"/>
  <c r="AT101" i="41" s="1"/>
  <c r="AA100" i="41" a="1"/>
  <c r="AA100" i="41" s="1"/>
  <c r="AA101" i="41" s="1"/>
  <c r="AD100" i="41" a="1"/>
  <c r="AD100" i="41" s="1"/>
  <c r="AD101" i="41" s="1"/>
  <c r="AH100" i="41" a="1"/>
  <c r="AH100" i="41" s="1"/>
  <c r="AH101" i="41" s="1"/>
  <c r="AU100" i="41" a="1"/>
  <c r="AU100" i="41" s="1"/>
  <c r="P120" i="10" s="1"/>
  <c r="Y100" i="41" a="1"/>
  <c r="Y100" i="41" s="1"/>
  <c r="Y101" i="41" s="1"/>
  <c r="AK100" i="41" a="1"/>
  <c r="AK100" i="41" s="1"/>
  <c r="F120" i="10" s="1"/>
  <c r="F121" i="10" s="1"/>
  <c r="F175" i="10" s="1"/>
  <c r="Z100" i="41" a="1"/>
  <c r="Z100" i="41" s="1"/>
  <c r="Z101" i="41" s="1"/>
  <c r="AQ100" i="41" a="1"/>
  <c r="AQ100" i="41" s="1"/>
  <c r="L120" i="10" s="1"/>
  <c r="AJ100" i="41" a="1"/>
  <c r="AJ100" i="41" s="1"/>
  <c r="AO100" i="41" a="1"/>
  <c r="AO100" i="41" s="1"/>
  <c r="J120" i="10" s="1"/>
  <c r="X100" i="41" a="1"/>
  <c r="X100" i="41" s="1"/>
  <c r="X101" i="41" s="1"/>
  <c r="AI100" i="41" a="1"/>
  <c r="AI100" i="41" s="1"/>
  <c r="AI101" i="41" s="1"/>
  <c r="AB100" i="41" a="1"/>
  <c r="AB100" i="41" s="1"/>
  <c r="AB101" i="41" s="1"/>
  <c r="AP100" i="41" a="1"/>
  <c r="AP100" i="41" s="1"/>
  <c r="K120" i="10" s="1"/>
  <c r="AC100" i="41" a="1"/>
  <c r="AC100" i="41" s="1"/>
  <c r="AC101" i="41" s="1"/>
  <c r="AE100" i="41" a="1"/>
  <c r="AE100" i="41" s="1"/>
  <c r="AE101" i="41" s="1"/>
  <c r="AR100" i="41" a="1"/>
  <c r="AR100" i="41" s="1"/>
  <c r="M120" i="10" s="1"/>
  <c r="Y78" i="41" a="1"/>
  <c r="Y78" i="41" s="1"/>
  <c r="Y79" i="41" s="1"/>
  <c r="AM78" i="41" a="1"/>
  <c r="AM78" i="41" s="1"/>
  <c r="AM79" i="41" s="1"/>
  <c r="AL78" i="41" a="1"/>
  <c r="AL78" i="41" s="1"/>
  <c r="G120" i="9" s="1"/>
  <c r="X78" i="41" a="1"/>
  <c r="X78" i="41" s="1"/>
  <c r="X79" i="41" s="1"/>
  <c r="Z78" i="41" a="1"/>
  <c r="Z78" i="41" s="1"/>
  <c r="Z79" i="41" s="1"/>
  <c r="AN78" i="41" a="1"/>
  <c r="AN78" i="41" s="1"/>
  <c r="I120" i="9" s="1"/>
  <c r="AS78" i="41" a="1"/>
  <c r="AS78" i="41" s="1"/>
  <c r="N120" i="9" s="1"/>
  <c r="AA78" i="41" a="1"/>
  <c r="AA78" i="41" s="1"/>
  <c r="AA79" i="41" s="1"/>
  <c r="AB78" i="41" a="1"/>
  <c r="AB78" i="41" s="1"/>
  <c r="AB79" i="41" s="1"/>
  <c r="AO78" i="41" a="1"/>
  <c r="AO78" i="41" s="1"/>
  <c r="J120" i="9" s="1"/>
  <c r="AF78" i="41" a="1"/>
  <c r="AF78" i="41" s="1"/>
  <c r="AF79" i="41" s="1"/>
  <c r="AC78" i="41" a="1"/>
  <c r="AC78" i="41" s="1"/>
  <c r="AC79" i="41" s="1"/>
  <c r="AP78" i="41" a="1"/>
  <c r="AP78" i="41" s="1"/>
  <c r="K120" i="9" s="1"/>
  <c r="AD78" i="41" a="1"/>
  <c r="AD78" i="41" s="1"/>
  <c r="AD79" i="41" s="1"/>
  <c r="AQ78" i="41" a="1"/>
  <c r="AQ78" i="41" s="1"/>
  <c r="L120" i="9" s="1"/>
  <c r="AE78" i="41" a="1"/>
  <c r="AE78" i="41" s="1"/>
  <c r="AE79" i="41" s="1"/>
  <c r="AR78" i="41" a="1"/>
  <c r="AR78" i="41" s="1"/>
  <c r="M120" i="9" s="1"/>
  <c r="AK78" i="41" a="1"/>
  <c r="AK78" i="41" s="1"/>
  <c r="F120" i="9" s="1"/>
  <c r="AG78" i="41" a="1"/>
  <c r="AG78" i="41" s="1"/>
  <c r="AG79" i="41" s="1"/>
  <c r="AT78" i="41" a="1"/>
  <c r="AT78" i="41" s="1"/>
  <c r="O120" i="9" s="1"/>
  <c r="AH78" i="41" a="1"/>
  <c r="AH78" i="41" s="1"/>
  <c r="AH79" i="41" s="1"/>
  <c r="AU78" i="41" a="1"/>
  <c r="AU78" i="41" s="1"/>
  <c r="P120" i="9" s="1"/>
  <c r="AI78" i="41" a="1"/>
  <c r="AI78" i="41" s="1"/>
  <c r="AI79" i="41" s="1"/>
  <c r="AJ78" i="41" a="1"/>
  <c r="AJ78" i="41" s="1"/>
  <c r="AN12" i="41" a="1"/>
  <c r="AN12" i="41" s="1"/>
  <c r="I120" i="6" s="1"/>
  <c r="AT12" i="41" a="1"/>
  <c r="AT12" i="41" s="1"/>
  <c r="O120" i="6" s="1"/>
  <c r="G117" i="6"/>
  <c r="AS12" i="41" a="1"/>
  <c r="AS12" i="41" s="1"/>
  <c r="N120" i="6" s="1"/>
  <c r="AK12" i="41" a="1"/>
  <c r="AK12" i="41" s="1"/>
  <c r="F120" i="6" s="1"/>
  <c r="AF12" i="41" a="1"/>
  <c r="AF12" i="41" s="1"/>
  <c r="AF13" i="41" s="1"/>
  <c r="AE12" i="41" a="1"/>
  <c r="AE12" i="41" s="1"/>
  <c r="AE13" i="41" s="1"/>
  <c r="AR12" i="41" a="1"/>
  <c r="AR12" i="41" s="1"/>
  <c r="AR13" i="41" s="1"/>
  <c r="X12" i="41" a="1"/>
  <c r="X12" i="41" s="1"/>
  <c r="X13" i="41" s="1"/>
  <c r="AD12" i="41" a="1"/>
  <c r="AD12" i="41" s="1"/>
  <c r="AD13" i="41" s="1"/>
  <c r="Y12" i="41" a="1"/>
  <c r="Y12" i="41" s="1"/>
  <c r="Y13" i="41" s="1"/>
  <c r="AL12" i="41" a="1"/>
  <c r="AL12" i="41" s="1"/>
  <c r="G120" i="6" s="1"/>
  <c r="AQ12" i="41" a="1"/>
  <c r="AQ12" i="41" s="1"/>
  <c r="L120" i="6" s="1"/>
  <c r="AI12" i="41" a="1"/>
  <c r="AI12" i="41" s="1"/>
  <c r="AI13" i="41" s="1"/>
  <c r="AU12" i="41" a="1"/>
  <c r="AU12" i="41" s="1"/>
  <c r="AU13" i="41" s="1"/>
  <c r="Y34" i="41" a="1"/>
  <c r="Y34" i="41" s="1"/>
  <c r="Y35" i="41" s="1"/>
  <c r="AM34" i="41" a="1"/>
  <c r="AM34" i="41" s="1"/>
  <c r="AM35" i="41" s="1"/>
  <c r="AN34" i="41" a="1"/>
  <c r="AN34" i="41" s="1"/>
  <c r="AN35" i="41" s="1"/>
  <c r="AS34" i="41" a="1"/>
  <c r="AS34" i="41" s="1"/>
  <c r="N120" i="22" s="1"/>
  <c r="Z34" i="41" a="1"/>
  <c r="Z34" i="41" s="1"/>
  <c r="Z35" i="41" s="1"/>
  <c r="AO34" i="41" a="1"/>
  <c r="AO34" i="41" s="1"/>
  <c r="J120" i="22" s="1"/>
  <c r="AT34" i="41" a="1"/>
  <c r="AT34" i="41" s="1"/>
  <c r="O120" i="22" s="1"/>
  <c r="AA34" i="41" a="1"/>
  <c r="AA34" i="41" s="1"/>
  <c r="AA35" i="41" s="1"/>
  <c r="AP34" i="41" a="1"/>
  <c r="AP34" i="41" s="1"/>
  <c r="K120" i="22" s="1"/>
  <c r="AC34" i="41" a="1"/>
  <c r="AC34" i="41" s="1"/>
  <c r="AC35" i="41" s="1"/>
  <c r="AQ34" i="41" a="1"/>
  <c r="AQ34" i="41" s="1"/>
  <c r="L120" i="22" s="1"/>
  <c r="AR34" i="41" a="1"/>
  <c r="AR34" i="41" s="1"/>
  <c r="M120" i="22" s="1"/>
  <c r="AB34" i="41" a="1"/>
  <c r="AB34" i="41" s="1"/>
  <c r="AB35" i="41" s="1"/>
  <c r="AD34" i="41" a="1"/>
  <c r="AD34" i="41" s="1"/>
  <c r="AD35" i="41" s="1"/>
  <c r="AG34" i="41" a="1"/>
  <c r="AG34" i="41" s="1"/>
  <c r="AG35" i="41" s="1"/>
  <c r="AK34" i="41" a="1"/>
  <c r="AK34" i="41" s="1"/>
  <c r="F120" i="22" s="1"/>
  <c r="AI34" i="41" a="1"/>
  <c r="AI34" i="41" s="1"/>
  <c r="AI35" i="41" s="1"/>
  <c r="AF34" i="41" a="1"/>
  <c r="AF34" i="41" s="1"/>
  <c r="AF35" i="41" s="1"/>
  <c r="AE34" i="41" a="1"/>
  <c r="AE34" i="41" s="1"/>
  <c r="AE35" i="41" s="1"/>
  <c r="AU34" i="41" a="1"/>
  <c r="AU34" i="41" s="1"/>
  <c r="P120" i="22" s="1"/>
  <c r="AH34" i="41" a="1"/>
  <c r="AH34" i="41" s="1"/>
  <c r="AH35" i="41" s="1"/>
  <c r="AJ34" i="41" a="1"/>
  <c r="AJ34" i="41" s="1"/>
  <c r="X34" i="41" a="1"/>
  <c r="X34" i="41" s="1"/>
  <c r="X35" i="41" s="1"/>
  <c r="AL34" i="41" a="1"/>
  <c r="AL34" i="41" s="1"/>
  <c r="G120" i="22" s="1"/>
  <c r="AC12" i="41" a="1"/>
  <c r="AC12" i="41" s="1"/>
  <c r="AC13" i="41" s="1"/>
  <c r="AH12" i="41" a="1"/>
  <c r="AH12" i="41" s="1"/>
  <c r="AH13" i="41" s="1"/>
  <c r="AB12" i="41" a="1"/>
  <c r="AB12" i="41" s="1"/>
  <c r="AB13" i="41" s="1"/>
  <c r="AP12" i="41" a="1"/>
  <c r="AP12" i="41" s="1"/>
  <c r="K120" i="6" s="1"/>
  <c r="AO12" i="41" a="1"/>
  <c r="AO12" i="41" s="1"/>
  <c r="J120" i="6" s="1"/>
  <c r="AG12" i="41" a="1"/>
  <c r="AG12" i="41" s="1"/>
  <c r="AG13" i="41" s="1"/>
  <c r="AA12" i="41" a="1"/>
  <c r="AA12" i="41" s="1"/>
  <c r="AA13" i="41" s="1"/>
  <c r="K117" i="6"/>
  <c r="J117" i="6"/>
  <c r="P117" i="6"/>
  <c r="F117" i="6"/>
  <c r="G117" i="9"/>
  <c r="G272" i="9" s="1"/>
  <c r="J117" i="32"/>
  <c r="P117" i="8"/>
  <c r="F117" i="9"/>
  <c r="F272" i="9" s="1"/>
  <c r="K117" i="9"/>
  <c r="K272" i="9" s="1"/>
  <c r="P117" i="10"/>
  <c r="P174" i="10" s="1"/>
  <c r="F117" i="22"/>
  <c r="F270" i="22" s="1"/>
  <c r="K117" i="31"/>
  <c r="K173" i="31" s="1"/>
  <c r="P117" i="31"/>
  <c r="P173" i="31" s="1"/>
  <c r="G117" i="31"/>
  <c r="G173" i="31" s="1"/>
  <c r="I117" i="9"/>
  <c r="I272" i="9" s="1"/>
  <c r="I117" i="22"/>
  <c r="I270" i="22" s="1"/>
  <c r="I117" i="31"/>
  <c r="I173" i="31" s="1"/>
  <c r="H117" i="9"/>
  <c r="H272" i="9" s="1"/>
  <c r="G117" i="32"/>
  <c r="P117" i="9"/>
  <c r="P272" i="9" s="1"/>
  <c r="H117" i="32"/>
  <c r="I117" i="6"/>
  <c r="I117" i="32"/>
  <c r="G117" i="10"/>
  <c r="G174" i="10" s="1"/>
  <c r="G117" i="8"/>
  <c r="H117" i="10"/>
  <c r="H174" i="10" s="1"/>
  <c r="P117" i="32"/>
  <c r="H117" i="8"/>
  <c r="I117" i="10"/>
  <c r="I174" i="10" s="1"/>
  <c r="I117" i="8"/>
  <c r="J117" i="8"/>
  <c r="F117" i="31"/>
  <c r="F173" i="31" s="1"/>
  <c r="J117" i="31"/>
  <c r="J173" i="31" s="1"/>
  <c r="J117" i="22"/>
  <c r="J270" i="22" s="1"/>
  <c r="K117" i="22"/>
  <c r="K270" i="22" s="1"/>
  <c r="H117" i="22"/>
  <c r="H270" i="22" s="1"/>
  <c r="K117" i="10"/>
  <c r="K174" i="10" s="1"/>
  <c r="K117" i="32"/>
  <c r="K117" i="8"/>
  <c r="E117" i="6"/>
  <c r="N117" i="9"/>
  <c r="N272" i="9" s="1"/>
  <c r="O117" i="22"/>
  <c r="O270" i="22" s="1"/>
  <c r="O117" i="10"/>
  <c r="O174" i="10" s="1"/>
  <c r="L117" i="9"/>
  <c r="L272" i="9" s="1"/>
  <c r="E117" i="31"/>
  <c r="E173" i="31" s="1"/>
  <c r="N117" i="22"/>
  <c r="N270" i="22" s="1"/>
  <c r="H117" i="6"/>
  <c r="O117" i="32"/>
  <c r="O117" i="8"/>
  <c r="G117" i="22"/>
  <c r="G270" i="22" s="1"/>
  <c r="E117" i="9"/>
  <c r="E272" i="9" s="1"/>
  <c r="N117" i="31"/>
  <c r="N173" i="31" s="1"/>
  <c r="O117" i="31"/>
  <c r="O173" i="31" s="1"/>
  <c r="O117" i="6"/>
  <c r="E117" i="10"/>
  <c r="E174" i="10" s="1"/>
  <c r="N117" i="6"/>
  <c r="E117" i="22"/>
  <c r="E270" i="22" s="1"/>
  <c r="N117" i="8"/>
  <c r="L117" i="10"/>
  <c r="L174" i="10" s="1"/>
  <c r="E117" i="32"/>
  <c r="E117" i="8"/>
  <c r="N117" i="10"/>
  <c r="N174" i="10" s="1"/>
  <c r="M117" i="10"/>
  <c r="M174" i="10" s="1"/>
  <c r="M117" i="9"/>
  <c r="M272" i="9" s="1"/>
  <c r="L117" i="8"/>
  <c r="M117" i="8"/>
  <c r="M117" i="6"/>
  <c r="L117" i="32"/>
  <c r="L117" i="6"/>
  <c r="M117" i="32"/>
  <c r="M117" i="22"/>
  <c r="M270" i="22" s="1"/>
  <c r="L117" i="31"/>
  <c r="L173" i="31" s="1"/>
  <c r="DN24" i="41"/>
  <c r="F86" i="31"/>
  <c r="G86" i="31"/>
  <c r="H86" i="31"/>
  <c r="I86" i="31"/>
  <c r="J86" i="31"/>
  <c r="K86" i="31"/>
  <c r="L86" i="31"/>
  <c r="M86" i="31"/>
  <c r="N86" i="31"/>
  <c r="O86" i="31"/>
  <c r="P86" i="31"/>
  <c r="E86" i="31"/>
  <c r="I86" i="10"/>
  <c r="F86" i="10"/>
  <c r="G86" i="10"/>
  <c r="H86" i="10"/>
  <c r="J86" i="10"/>
  <c r="K86" i="10"/>
  <c r="L86" i="10"/>
  <c r="M86" i="10"/>
  <c r="N86" i="10"/>
  <c r="O86" i="10"/>
  <c r="P86" i="10"/>
  <c r="E86" i="10"/>
  <c r="F86" i="9"/>
  <c r="G86" i="9"/>
  <c r="H86" i="9"/>
  <c r="I86" i="9"/>
  <c r="J86" i="9"/>
  <c r="K86" i="9"/>
  <c r="L86" i="9"/>
  <c r="M86" i="9"/>
  <c r="N86" i="9"/>
  <c r="O86" i="9"/>
  <c r="P86" i="9"/>
  <c r="E86" i="9"/>
  <c r="F86" i="8"/>
  <c r="F88" i="8" s="1"/>
  <c r="G86" i="8"/>
  <c r="G88" i="8" s="1"/>
  <c r="H86" i="8"/>
  <c r="H88" i="8" s="1"/>
  <c r="I86" i="8"/>
  <c r="I88" i="8" s="1"/>
  <c r="J86" i="8"/>
  <c r="J88" i="8" s="1"/>
  <c r="K86" i="8"/>
  <c r="K88" i="8" s="1"/>
  <c r="L86" i="8"/>
  <c r="L88" i="8" s="1"/>
  <c r="M86" i="8"/>
  <c r="M88" i="8" s="1"/>
  <c r="N86" i="8"/>
  <c r="N88" i="8" s="1"/>
  <c r="O86" i="8"/>
  <c r="O88" i="8" s="1"/>
  <c r="P86" i="8"/>
  <c r="P88" i="8" s="1"/>
  <c r="E86" i="8"/>
  <c r="E88" i="8" s="1"/>
  <c r="F86" i="22"/>
  <c r="G86" i="22"/>
  <c r="H86" i="22"/>
  <c r="I86" i="22"/>
  <c r="J86" i="22"/>
  <c r="K86" i="22"/>
  <c r="L86" i="22"/>
  <c r="M86" i="22"/>
  <c r="N86" i="22"/>
  <c r="O86" i="22"/>
  <c r="P86" i="22"/>
  <c r="E86" i="22"/>
  <c r="F86" i="6"/>
  <c r="G86" i="6"/>
  <c r="H86" i="6"/>
  <c r="I86" i="6"/>
  <c r="J86" i="6"/>
  <c r="K86" i="6"/>
  <c r="L86" i="6"/>
  <c r="M86" i="6"/>
  <c r="N86" i="6"/>
  <c r="O86" i="6"/>
  <c r="P86" i="6"/>
  <c r="E86" i="6"/>
  <c r="R150" i="44"/>
  <c r="R127" i="44"/>
  <c r="R116" i="44"/>
  <c r="P45" i="32"/>
  <c r="O45" i="32"/>
  <c r="G45" i="32"/>
  <c r="F45" i="32"/>
  <c r="E45" i="32"/>
  <c r="P45" i="31"/>
  <c r="P153" i="31" s="1"/>
  <c r="O45" i="31"/>
  <c r="O153" i="31" s="1"/>
  <c r="G45" i="31"/>
  <c r="G153" i="31" s="1"/>
  <c r="F45" i="31"/>
  <c r="F153" i="31" s="1"/>
  <c r="E45" i="31"/>
  <c r="E153" i="31" s="1"/>
  <c r="P45" i="10"/>
  <c r="P154" i="10" s="1"/>
  <c r="O45" i="10"/>
  <c r="O154" i="10" s="1"/>
  <c r="G45" i="10"/>
  <c r="G154" i="10" s="1"/>
  <c r="F45" i="10"/>
  <c r="F154" i="10" s="1"/>
  <c r="E45" i="10"/>
  <c r="E154" i="10" s="1"/>
  <c r="P45" i="9"/>
  <c r="O45" i="9"/>
  <c r="G45" i="9"/>
  <c r="F45" i="9"/>
  <c r="E45" i="9"/>
  <c r="P45" i="8"/>
  <c r="O45" i="8"/>
  <c r="G45" i="8"/>
  <c r="F45" i="8"/>
  <c r="E45" i="8"/>
  <c r="P45" i="22"/>
  <c r="O45" i="22"/>
  <c r="G45" i="22"/>
  <c r="F45" i="22"/>
  <c r="E45" i="22"/>
  <c r="O45" i="6"/>
  <c r="P45" i="6"/>
  <c r="G45" i="6"/>
  <c r="F45" i="6"/>
  <c r="E45" i="6"/>
  <c r="M42" i="32"/>
  <c r="H42" i="32"/>
  <c r="J42" i="31"/>
  <c r="J42" i="10"/>
  <c r="H42" i="8"/>
  <c r="M42" i="22"/>
  <c r="O35" i="9"/>
  <c r="J35" i="9"/>
  <c r="H35" i="9"/>
  <c r="F35" i="9"/>
  <c r="K35" i="8"/>
  <c r="M35" i="22"/>
  <c r="J35" i="22"/>
  <c r="G35" i="22"/>
  <c r="P232" i="9" l="1"/>
  <c r="P241" i="9"/>
  <c r="L232" i="9"/>
  <c r="L241" i="9"/>
  <c r="G232" i="9"/>
  <c r="G241" i="9"/>
  <c r="M232" i="9"/>
  <c r="M241" i="9"/>
  <c r="I232" i="9"/>
  <c r="I241" i="9"/>
  <c r="E232" i="9"/>
  <c r="E241" i="9"/>
  <c r="K232" i="9"/>
  <c r="K241" i="9"/>
  <c r="H232" i="9"/>
  <c r="H241" i="9"/>
  <c r="F232" i="9"/>
  <c r="F241" i="9"/>
  <c r="N232" i="9"/>
  <c r="N241" i="9"/>
  <c r="J232" i="9"/>
  <c r="J241" i="9"/>
  <c r="O232" i="9"/>
  <c r="O241" i="9"/>
  <c r="Q11" i="10"/>
  <c r="AJ145" i="41"/>
  <c r="AV144" i="41"/>
  <c r="AV145" i="41"/>
  <c r="E120" i="31"/>
  <c r="E121" i="31" s="1"/>
  <c r="E174" i="31" s="1"/>
  <c r="AV122" i="41"/>
  <c r="AV123" i="41" s="1"/>
  <c r="AJ57" i="41"/>
  <c r="AV56" i="41"/>
  <c r="AV57" i="41" s="1"/>
  <c r="AJ13" i="41"/>
  <c r="AV12" i="41"/>
  <c r="AV13" i="41" s="1"/>
  <c r="E120" i="10"/>
  <c r="E121" i="10" s="1"/>
  <c r="E175" i="10" s="1"/>
  <c r="AV100" i="41"/>
  <c r="AV101" i="41" s="1"/>
  <c r="E120" i="9"/>
  <c r="E121" i="9" s="1"/>
  <c r="E273" i="9" s="1"/>
  <c r="AV78" i="41"/>
  <c r="AV79" i="41" s="1"/>
  <c r="L121" i="32"/>
  <c r="O121" i="32"/>
  <c r="K121" i="32"/>
  <c r="G121" i="32"/>
  <c r="E121" i="32"/>
  <c r="J121" i="32"/>
  <c r="I121" i="32"/>
  <c r="N121" i="32"/>
  <c r="E120" i="22"/>
  <c r="E121" i="22" s="1"/>
  <c r="E271" i="22" s="1"/>
  <c r="AV34" i="41"/>
  <c r="AV35" i="41" s="1"/>
  <c r="M119" i="27"/>
  <c r="E119" i="27"/>
  <c r="H119" i="27"/>
  <c r="N119" i="27"/>
  <c r="I119" i="27"/>
  <c r="P119" i="27"/>
  <c r="L119" i="27"/>
  <c r="F119" i="27"/>
  <c r="K119" i="27"/>
  <c r="O119" i="27"/>
  <c r="G119" i="27"/>
  <c r="M120" i="6"/>
  <c r="H120" i="6"/>
  <c r="H120" i="8"/>
  <c r="I120" i="8"/>
  <c r="H120" i="32"/>
  <c r="G120" i="8"/>
  <c r="M120" i="8"/>
  <c r="J120" i="8"/>
  <c r="AN145" i="41"/>
  <c r="F120" i="32"/>
  <c r="M120" i="32"/>
  <c r="P120" i="32"/>
  <c r="I120" i="31"/>
  <c r="I121" i="31" s="1"/>
  <c r="I174" i="31" s="1"/>
  <c r="AM123" i="41"/>
  <c r="N120" i="31"/>
  <c r="N121" i="31" s="1"/>
  <c r="N174" i="31" s="1"/>
  <c r="AL101" i="41"/>
  <c r="O120" i="10"/>
  <c r="O122" i="27" s="1"/>
  <c r="O123" i="27" s="1"/>
  <c r="AO13" i="41"/>
  <c r="AL13" i="41"/>
  <c r="G120" i="31"/>
  <c r="G121" i="31" s="1"/>
  <c r="G174" i="31" s="1"/>
  <c r="AR35" i="41"/>
  <c r="AS145" i="41"/>
  <c r="J120" i="31"/>
  <c r="J121" i="31" s="1"/>
  <c r="J174" i="31" s="1"/>
  <c r="I120" i="22"/>
  <c r="H120" i="22"/>
  <c r="AO79" i="41"/>
  <c r="AN79" i="41"/>
  <c r="AS79" i="41"/>
  <c r="L120" i="8"/>
  <c r="L122" i="27" s="1"/>
  <c r="L123" i="27" s="1"/>
  <c r="AU57" i="41"/>
  <c r="K120" i="8"/>
  <c r="K122" i="27" s="1"/>
  <c r="K123" i="27" s="1"/>
  <c r="F120" i="8"/>
  <c r="E120" i="8"/>
  <c r="E121" i="8" s="1"/>
  <c r="P120" i="6"/>
  <c r="AO101" i="41"/>
  <c r="AL145" i="41"/>
  <c r="AS13" i="41"/>
  <c r="AT79" i="41"/>
  <c r="N120" i="8"/>
  <c r="AU35" i="41"/>
  <c r="AT123" i="41"/>
  <c r="AT145" i="41"/>
  <c r="AN101" i="41"/>
  <c r="AQ123" i="41"/>
  <c r="AP13" i="41"/>
  <c r="AJ35" i="41"/>
  <c r="AK35" i="41"/>
  <c r="H120" i="9"/>
  <c r="AR79" i="41"/>
  <c r="AT13" i="41"/>
  <c r="AK101" i="41"/>
  <c r="AU123" i="41"/>
  <c r="AN13" i="41"/>
  <c r="AR101" i="41"/>
  <c r="AK13" i="41"/>
  <c r="AQ35" i="41"/>
  <c r="AP35" i="41"/>
  <c r="AO145" i="41"/>
  <c r="AP79" i="41"/>
  <c r="AS35" i="41"/>
  <c r="AM101" i="41"/>
  <c r="AJ79" i="41"/>
  <c r="AT57" i="41"/>
  <c r="AK123" i="41"/>
  <c r="AU79" i="41"/>
  <c r="AS101" i="41"/>
  <c r="AP123" i="41"/>
  <c r="AQ79" i="41"/>
  <c r="AT35" i="41"/>
  <c r="AP145" i="41"/>
  <c r="AQ13" i="41"/>
  <c r="AL35" i="41"/>
  <c r="AJ101" i="41"/>
  <c r="AQ145" i="41"/>
  <c r="AJ123" i="41"/>
  <c r="AP101" i="41"/>
  <c r="AL79" i="41"/>
  <c r="AU101" i="41"/>
  <c r="AR123" i="41"/>
  <c r="AO35" i="41"/>
  <c r="AQ101" i="41"/>
  <c r="AK79" i="41"/>
  <c r="J117" i="10"/>
  <c r="DT134" i="41"/>
  <c r="DM156" i="41"/>
  <c r="DE174" i="41"/>
  <c r="DW174" i="41"/>
  <c r="DB156" i="41"/>
  <c r="DD156" i="41"/>
  <c r="DX174" i="41"/>
  <c r="DL174" i="41"/>
  <c r="DX156" i="41"/>
  <c r="DJ174" i="41"/>
  <c r="DJ156" i="41"/>
  <c r="DU174" i="41"/>
  <c r="DI174" i="41"/>
  <c r="DU156" i="41"/>
  <c r="DO156" i="41"/>
  <c r="DL156" i="41"/>
  <c r="DN174" i="41"/>
  <c r="DF174" i="41"/>
  <c r="DY156" i="41"/>
  <c r="DR156" i="41"/>
  <c r="DQ156" i="41"/>
  <c r="DG174" i="41"/>
  <c r="DG156" i="41"/>
  <c r="DK156" i="41"/>
  <c r="DO174" i="41"/>
  <c r="DC156" i="41"/>
  <c r="DT174" i="41"/>
  <c r="DS174" i="41"/>
  <c r="DY174" i="41"/>
  <c r="DD174" i="41"/>
  <c r="DW156" i="41"/>
  <c r="DR174" i="41"/>
  <c r="DI156" i="41"/>
  <c r="DE156" i="41"/>
  <c r="DN156" i="41"/>
  <c r="DQ174" i="41"/>
  <c r="DV156" i="41"/>
  <c r="DC174" i="41"/>
  <c r="DH156" i="41"/>
  <c r="DT156" i="41"/>
  <c r="DV174" i="41"/>
  <c r="DK174" i="41"/>
  <c r="DM174" i="41"/>
  <c r="DP174" i="41"/>
  <c r="DS156" i="41"/>
  <c r="DF156" i="41"/>
  <c r="DP156" i="41"/>
  <c r="DH174" i="41"/>
  <c r="DB174" i="41"/>
  <c r="DO134" i="41"/>
  <c r="DU134" i="41"/>
  <c r="DF134" i="41"/>
  <c r="DI134" i="41"/>
  <c r="DG134" i="41"/>
  <c r="DM134" i="41"/>
  <c r="DH134" i="41"/>
  <c r="DE134" i="41"/>
  <c r="DB134" i="41"/>
  <c r="DS134" i="41"/>
  <c r="DP134" i="41"/>
  <c r="DL134" i="41"/>
  <c r="DD134" i="41"/>
  <c r="DR134" i="41"/>
  <c r="DV134" i="41"/>
  <c r="DX134" i="41"/>
  <c r="DY134" i="41"/>
  <c r="DJ134" i="41"/>
  <c r="DQ134" i="41"/>
  <c r="DK134" i="41"/>
  <c r="DC134" i="41"/>
  <c r="DN134" i="41"/>
  <c r="DW134" i="41"/>
  <c r="DU112" i="41"/>
  <c r="DO112" i="41"/>
  <c r="DF112" i="41"/>
  <c r="DX112" i="41"/>
  <c r="DJ112" i="41"/>
  <c r="DH112" i="41"/>
  <c r="DN112" i="41"/>
  <c r="DG112" i="41"/>
  <c r="DT112" i="41"/>
  <c r="DW112" i="41"/>
  <c r="DI112" i="41"/>
  <c r="DR112" i="41"/>
  <c r="DC112" i="41"/>
  <c r="DB112" i="41"/>
  <c r="DK112" i="41"/>
  <c r="DV112" i="41"/>
  <c r="DS112" i="41"/>
  <c r="DL112" i="41"/>
  <c r="DQ112" i="41"/>
  <c r="DM112" i="41"/>
  <c r="DE112" i="41"/>
  <c r="DY112" i="41"/>
  <c r="DD112" i="41"/>
  <c r="DP112" i="41"/>
  <c r="DP90" i="41"/>
  <c r="DB90" i="41"/>
  <c r="DO90" i="41"/>
  <c r="DL90" i="41"/>
  <c r="DX90" i="41"/>
  <c r="DR90" i="41"/>
  <c r="DC90" i="41"/>
  <c r="DU90" i="41"/>
  <c r="DS90" i="41"/>
  <c r="DN90" i="41"/>
  <c r="DG90" i="41"/>
  <c r="DQ90" i="41"/>
  <c r="DY90" i="41"/>
  <c r="DE90" i="41"/>
  <c r="DM90" i="41"/>
  <c r="DK90" i="41"/>
  <c r="DD90" i="41"/>
  <c r="DI90" i="41"/>
  <c r="DV90" i="41"/>
  <c r="DT90" i="41"/>
  <c r="DJ90" i="41"/>
  <c r="DW90" i="41"/>
  <c r="DH90" i="41"/>
  <c r="DF90" i="41"/>
  <c r="P13" i="9"/>
  <c r="M13" i="9"/>
  <c r="J13" i="9"/>
  <c r="G13" i="9"/>
  <c r="J119" i="27" l="1"/>
  <c r="Q119" i="27" s="1"/>
  <c r="S119" i="27" s="1"/>
  <c r="J174" i="10"/>
  <c r="J122" i="27"/>
  <c r="J123" i="27" s="1"/>
  <c r="E122" i="27"/>
  <c r="E123" i="27" s="1"/>
  <c r="I122" i="27"/>
  <c r="I123" i="27" s="1"/>
  <c r="G122" i="27"/>
  <c r="G123" i="27" s="1"/>
  <c r="N122" i="27"/>
  <c r="N123" i="27" s="1"/>
  <c r="M121" i="32"/>
  <c r="M122" i="27"/>
  <c r="M123" i="27" s="1"/>
  <c r="P121" i="32"/>
  <c r="P122" i="27"/>
  <c r="P123" i="27" s="1"/>
  <c r="F121" i="32"/>
  <c r="F122" i="27"/>
  <c r="F123" i="27" s="1"/>
  <c r="H122" i="27"/>
  <c r="H123" i="27" s="1"/>
  <c r="H121" i="32"/>
  <c r="DF176" i="41"/>
  <c r="DP176" i="41"/>
  <c r="DJ176" i="41"/>
  <c r="DY176" i="41"/>
  <c r="DC176" i="41"/>
  <c r="DM176" i="41"/>
  <c r="DT176" i="41"/>
  <c r="DI176" i="41"/>
  <c r="DB176" i="41"/>
  <c r="DL176" i="41"/>
  <c r="DS176" i="41"/>
  <c r="DO176" i="41"/>
  <c r="DE176" i="41"/>
  <c r="DR176" i="41"/>
  <c r="DD176" i="41"/>
  <c r="DG176" i="41"/>
  <c r="DQ176" i="41"/>
  <c r="DN176" i="41"/>
  <c r="DU176" i="41"/>
  <c r="DK176" i="41"/>
  <c r="DH176" i="41"/>
  <c r="DV176" i="41"/>
  <c r="DX176" i="41"/>
  <c r="DW176" i="41"/>
  <c r="F18" i="10"/>
  <c r="F145" i="10" s="1"/>
  <c r="G18" i="10"/>
  <c r="G145" i="10" s="1"/>
  <c r="H18" i="10"/>
  <c r="H145" i="10" s="1"/>
  <c r="I18" i="10"/>
  <c r="I145" i="10" s="1"/>
  <c r="J18" i="10"/>
  <c r="J145" i="10" s="1"/>
  <c r="K18" i="10"/>
  <c r="K145" i="10" s="1"/>
  <c r="L18" i="10"/>
  <c r="L145" i="10" s="1"/>
  <c r="M18" i="10"/>
  <c r="M145" i="10" s="1"/>
  <c r="N18" i="10"/>
  <c r="N145" i="10" s="1"/>
  <c r="O18" i="10"/>
  <c r="O145" i="10" s="1"/>
  <c r="P18" i="10"/>
  <c r="P145" i="10" s="1"/>
  <c r="E18" i="10"/>
  <c r="F18" i="9"/>
  <c r="F243" i="9" s="1"/>
  <c r="G18" i="9"/>
  <c r="G243" i="9" s="1"/>
  <c r="H18" i="9"/>
  <c r="H243" i="9" s="1"/>
  <c r="I18" i="9"/>
  <c r="I243" i="9" s="1"/>
  <c r="J18" i="9"/>
  <c r="J243" i="9" s="1"/>
  <c r="K18" i="9"/>
  <c r="K243" i="9" s="1"/>
  <c r="L18" i="9"/>
  <c r="L243" i="9" s="1"/>
  <c r="M18" i="9"/>
  <c r="M243" i="9" s="1"/>
  <c r="N18" i="9"/>
  <c r="N243" i="9" s="1"/>
  <c r="O18" i="9"/>
  <c r="O243" i="9" s="1"/>
  <c r="P18" i="9"/>
  <c r="P243" i="9" s="1"/>
  <c r="E18" i="9"/>
  <c r="E243" i="9" s="1"/>
  <c r="F18" i="8"/>
  <c r="G18" i="8"/>
  <c r="H18" i="8"/>
  <c r="I18" i="8"/>
  <c r="J18" i="8"/>
  <c r="K18" i="8"/>
  <c r="L18" i="8"/>
  <c r="M18" i="8"/>
  <c r="N18" i="8"/>
  <c r="O18" i="8"/>
  <c r="P18" i="8"/>
  <c r="E18" i="8"/>
  <c r="F18" i="6"/>
  <c r="G18" i="6"/>
  <c r="H18" i="6"/>
  <c r="I18" i="6"/>
  <c r="J18" i="6"/>
  <c r="K18" i="6"/>
  <c r="L18" i="6"/>
  <c r="M18" i="6"/>
  <c r="N18" i="6"/>
  <c r="O18" i="6"/>
  <c r="P18" i="6"/>
  <c r="E18" i="6"/>
  <c r="E145" i="10" l="1"/>
  <c r="Q18" i="10"/>
  <c r="T18" i="10"/>
  <c r="Q18" i="9"/>
  <c r="T18" i="9" s="1"/>
  <c r="Q18" i="8"/>
  <c r="T18" i="8" s="1"/>
  <c r="Q122" i="27"/>
  <c r="Q123" i="27" s="1"/>
  <c r="S123" i="27" s="1"/>
  <c r="E102" i="32"/>
  <c r="E102" i="31"/>
  <c r="E169" i="31" s="1"/>
  <c r="E102" i="10"/>
  <c r="E170" i="10" s="1"/>
  <c r="E102" i="9"/>
  <c r="E102" i="8"/>
  <c r="E102" i="22"/>
  <c r="E102" i="6"/>
  <c r="G202" i="44"/>
  <c r="F102" i="32" s="1"/>
  <c r="G201" i="44"/>
  <c r="H201" i="44" s="1"/>
  <c r="I201" i="44" s="1"/>
  <c r="J201" i="44" s="1"/>
  <c r="K201" i="44" s="1"/>
  <c r="L201" i="44" s="1"/>
  <c r="M201" i="44" s="1"/>
  <c r="N201" i="44" s="1"/>
  <c r="O201" i="44" s="1"/>
  <c r="P201" i="44" s="1"/>
  <c r="Q201" i="44" s="1"/>
  <c r="P102" i="31" s="1"/>
  <c r="P169" i="31" s="1"/>
  <c r="G200" i="44"/>
  <c r="F102" i="10" s="1"/>
  <c r="F170" i="10" s="1"/>
  <c r="G199" i="44"/>
  <c r="H199" i="44" s="1"/>
  <c r="I199" i="44" s="1"/>
  <c r="J199" i="44" s="1"/>
  <c r="K199" i="44" s="1"/>
  <c r="L199" i="44" s="1"/>
  <c r="M199" i="44" s="1"/>
  <c r="N199" i="44" s="1"/>
  <c r="O199" i="44" s="1"/>
  <c r="P199" i="44" s="1"/>
  <c r="Q199" i="44" s="1"/>
  <c r="P102" i="9" s="1"/>
  <c r="G198" i="44"/>
  <c r="H198" i="44" s="1"/>
  <c r="G197" i="44"/>
  <c r="H197" i="44" s="1"/>
  <c r="G102" i="22" s="1"/>
  <c r="G196" i="44"/>
  <c r="F102" i="6" s="1"/>
  <c r="F203" i="44"/>
  <c r="F94" i="32"/>
  <c r="G94" i="32"/>
  <c r="I94" i="32"/>
  <c r="J94" i="32"/>
  <c r="K94" i="32"/>
  <c r="L94" i="32"/>
  <c r="M94" i="32"/>
  <c r="N94" i="32"/>
  <c r="O94" i="32"/>
  <c r="P94" i="32"/>
  <c r="E94" i="32"/>
  <c r="F94" i="31"/>
  <c r="F165" i="31" s="1"/>
  <c r="G94" i="31"/>
  <c r="G165" i="31" s="1"/>
  <c r="I94" i="31"/>
  <c r="I165" i="31" s="1"/>
  <c r="J94" i="31"/>
  <c r="J165" i="31" s="1"/>
  <c r="K94" i="31"/>
  <c r="K165" i="31" s="1"/>
  <c r="L94" i="31"/>
  <c r="L165" i="31" s="1"/>
  <c r="M94" i="31"/>
  <c r="M165" i="31" s="1"/>
  <c r="N94" i="31"/>
  <c r="N165" i="31" s="1"/>
  <c r="O94" i="31"/>
  <c r="O165" i="31" s="1"/>
  <c r="P94" i="31"/>
  <c r="P165" i="31" s="1"/>
  <c r="E94" i="31"/>
  <c r="E165" i="31" s="1"/>
  <c r="F94" i="10"/>
  <c r="F166" i="10" s="1"/>
  <c r="G94" i="10"/>
  <c r="G166" i="10" s="1"/>
  <c r="I94" i="10"/>
  <c r="I166" i="10" s="1"/>
  <c r="J94" i="10"/>
  <c r="J166" i="10" s="1"/>
  <c r="K94" i="10"/>
  <c r="K166" i="10" s="1"/>
  <c r="L94" i="10"/>
  <c r="L166" i="10" s="1"/>
  <c r="M94" i="10"/>
  <c r="M166" i="10" s="1"/>
  <c r="N94" i="10"/>
  <c r="N166" i="10" s="1"/>
  <c r="O94" i="10"/>
  <c r="O166" i="10" s="1"/>
  <c r="P94" i="10"/>
  <c r="P166" i="10" s="1"/>
  <c r="E94" i="10"/>
  <c r="E166" i="10" s="1"/>
  <c r="F94" i="9"/>
  <c r="G94" i="9"/>
  <c r="I94" i="9"/>
  <c r="J94" i="9"/>
  <c r="K94" i="9"/>
  <c r="L94" i="9"/>
  <c r="M94" i="9"/>
  <c r="N94" i="9"/>
  <c r="O94" i="9"/>
  <c r="P94" i="9"/>
  <c r="E94" i="9"/>
  <c r="F94" i="8"/>
  <c r="G94" i="8"/>
  <c r="I94" i="8"/>
  <c r="J94" i="8"/>
  <c r="K94" i="8"/>
  <c r="L94" i="8"/>
  <c r="M94" i="8"/>
  <c r="N94" i="8"/>
  <c r="O94" i="8"/>
  <c r="P94" i="8"/>
  <c r="E94" i="8"/>
  <c r="F94" i="22"/>
  <c r="G94" i="22"/>
  <c r="I94" i="22"/>
  <c r="J94" i="22"/>
  <c r="K94" i="22"/>
  <c r="L94" i="22"/>
  <c r="M94" i="22"/>
  <c r="N94" i="22"/>
  <c r="O94" i="22"/>
  <c r="P94" i="22"/>
  <c r="E94" i="22"/>
  <c r="F94" i="6"/>
  <c r="G94" i="6"/>
  <c r="I94" i="6"/>
  <c r="J94" i="6"/>
  <c r="K94" i="6"/>
  <c r="L94" i="6"/>
  <c r="M94" i="6"/>
  <c r="N94" i="6"/>
  <c r="O94" i="6"/>
  <c r="P94" i="6"/>
  <c r="E94" i="6"/>
  <c r="V196" i="44"/>
  <c r="R18" i="10" l="1"/>
  <c r="R18" i="9"/>
  <c r="R18" i="8"/>
  <c r="F102" i="22"/>
  <c r="N102" i="9"/>
  <c r="F102" i="9"/>
  <c r="J102" i="31"/>
  <c r="J169" i="31" s="1"/>
  <c r="H196" i="44"/>
  <c r="H102" i="31"/>
  <c r="H169" i="31" s="1"/>
  <c r="H200" i="44"/>
  <c r="I200" i="44" s="1"/>
  <c r="J200" i="44" s="1"/>
  <c r="K200" i="44" s="1"/>
  <c r="L200" i="44" s="1"/>
  <c r="M200" i="44" s="1"/>
  <c r="N200" i="44" s="1"/>
  <c r="O200" i="44" s="1"/>
  <c r="P200" i="44" s="1"/>
  <c r="Q200" i="44" s="1"/>
  <c r="P102" i="10" s="1"/>
  <c r="P170" i="10" s="1"/>
  <c r="O102" i="31"/>
  <c r="O169" i="31" s="1"/>
  <c r="M102" i="31"/>
  <c r="M169" i="31" s="1"/>
  <c r="H202" i="44"/>
  <c r="N102" i="31"/>
  <c r="N169" i="31" s="1"/>
  <c r="F102" i="8"/>
  <c r="I102" i="31"/>
  <c r="I169" i="31" s="1"/>
  <c r="G102" i="8"/>
  <c r="I198" i="44"/>
  <c r="L102" i="31"/>
  <c r="L169" i="31" s="1"/>
  <c r="O102" i="9"/>
  <c r="K102" i="31"/>
  <c r="K169" i="31" s="1"/>
  <c r="J102" i="9"/>
  <c r="F102" i="31"/>
  <c r="F169" i="31" s="1"/>
  <c r="I102" i="9"/>
  <c r="L102" i="9"/>
  <c r="K102" i="9"/>
  <c r="G102" i="31"/>
  <c r="G169" i="31" s="1"/>
  <c r="H102" i="9"/>
  <c r="M102" i="9"/>
  <c r="G102" i="9"/>
  <c r="I197" i="44"/>
  <c r="R199" i="44"/>
  <c r="R201" i="44"/>
  <c r="G203" i="44"/>
  <c r="Q136" i="44"/>
  <c r="N136" i="44"/>
  <c r="L136" i="44"/>
  <c r="O136" i="44"/>
  <c r="P136" i="44"/>
  <c r="D50" i="43"/>
  <c r="D53" i="43" s="1"/>
  <c r="D43" i="43"/>
  <c r="D46" i="43" s="1"/>
  <c r="D36" i="43"/>
  <c r="D39" i="43" s="1"/>
  <c r="D29" i="43"/>
  <c r="D32" i="43" s="1"/>
  <c r="D22" i="43"/>
  <c r="D25" i="43" s="1"/>
  <c r="D15" i="43"/>
  <c r="D18" i="43" s="1"/>
  <c r="Q66" i="43"/>
  <c r="W66" i="43" s="1"/>
  <c r="D8" i="43"/>
  <c r="D11" i="43" s="1"/>
  <c r="E60" i="43"/>
  <c r="E61" i="43"/>
  <c r="E62" i="43"/>
  <c r="E63" i="43"/>
  <c r="E64" i="43"/>
  <c r="E65" i="43"/>
  <c r="J2" i="22"/>
  <c r="J2" i="8" s="1"/>
  <c r="J2" i="9" s="1"/>
  <c r="J2" i="10" s="1"/>
  <c r="J2" i="31" s="1"/>
  <c r="J2" i="32" s="1"/>
  <c r="J2" i="6"/>
  <c r="J1" i="6"/>
  <c r="J2" i="28"/>
  <c r="D141" i="32"/>
  <c r="D141" i="31"/>
  <c r="D142" i="10"/>
  <c r="D239" i="9"/>
  <c r="D213" i="8"/>
  <c r="D238" i="22"/>
  <c r="R158" i="44" l="1"/>
  <c r="N102" i="10"/>
  <c r="N170" i="10" s="1"/>
  <c r="J102" i="10"/>
  <c r="J170" i="10" s="1"/>
  <c r="K102" i="10"/>
  <c r="K170" i="10" s="1"/>
  <c r="H102" i="10"/>
  <c r="H170" i="10" s="1"/>
  <c r="R200" i="44"/>
  <c r="L102" i="10"/>
  <c r="L170" i="10" s="1"/>
  <c r="M102" i="10"/>
  <c r="M170" i="10" s="1"/>
  <c r="I102" i="10"/>
  <c r="I170" i="10" s="1"/>
  <c r="G102" i="10"/>
  <c r="G170" i="10" s="1"/>
  <c r="O102" i="10"/>
  <c r="O170" i="10" s="1"/>
  <c r="G102" i="6"/>
  <c r="I196" i="44"/>
  <c r="I202" i="44"/>
  <c r="G102" i="32"/>
  <c r="H203" i="44"/>
  <c r="J197" i="44"/>
  <c r="H102" i="22"/>
  <c r="J198" i="44"/>
  <c r="H102" i="8"/>
  <c r="H136" i="44"/>
  <c r="M136" i="44"/>
  <c r="G136" i="44"/>
  <c r="K136" i="44"/>
  <c r="J136" i="44"/>
  <c r="F136" i="44"/>
  <c r="D55" i="43"/>
  <c r="I203" i="44" l="1"/>
  <c r="J196" i="44"/>
  <c r="H102" i="6"/>
  <c r="H102" i="32"/>
  <c r="J202" i="44"/>
  <c r="K198" i="44"/>
  <c r="I102" i="8"/>
  <c r="K197" i="44"/>
  <c r="I102" i="22"/>
  <c r="J203" i="44" l="1"/>
  <c r="I102" i="6"/>
  <c r="K196" i="44"/>
  <c r="K202" i="44"/>
  <c r="I102" i="32"/>
  <c r="L198" i="44"/>
  <c r="J102" i="8"/>
  <c r="L197" i="44"/>
  <c r="J102" i="22"/>
  <c r="K203" i="44" l="1"/>
  <c r="J102" i="6"/>
  <c r="L196" i="44"/>
  <c r="L202" i="44"/>
  <c r="J102" i="32"/>
  <c r="M197" i="44"/>
  <c r="K102" i="22"/>
  <c r="M198" i="44"/>
  <c r="K102" i="8"/>
  <c r="K102" i="6" l="1"/>
  <c r="M196" i="44"/>
  <c r="M202" i="44"/>
  <c r="K102" i="32"/>
  <c r="L203" i="44"/>
  <c r="N198" i="44"/>
  <c r="L102" i="8"/>
  <c r="N197" i="44"/>
  <c r="L102" i="22"/>
  <c r="M203" i="44" l="1"/>
  <c r="L102" i="6"/>
  <c r="N196" i="44"/>
  <c r="N202" i="44"/>
  <c r="L102" i="32"/>
  <c r="O197" i="44"/>
  <c r="M102" i="22"/>
  <c r="O198" i="44"/>
  <c r="M102" i="8"/>
  <c r="N203" i="44" l="1"/>
  <c r="M102" i="6"/>
  <c r="O196" i="44"/>
  <c r="O202" i="44"/>
  <c r="M102" i="32"/>
  <c r="P198" i="44"/>
  <c r="N102" i="8"/>
  <c r="P197" i="44"/>
  <c r="N102" i="22"/>
  <c r="O203" i="44" l="1"/>
  <c r="N102" i="6"/>
  <c r="P196" i="44"/>
  <c r="P202" i="44"/>
  <c r="N102" i="32"/>
  <c r="Q197" i="44"/>
  <c r="O102" i="22"/>
  <c r="Q198" i="44"/>
  <c r="P102" i="8" s="1"/>
  <c r="O102" i="8"/>
  <c r="P203" i="44" l="1"/>
  <c r="O102" i="6"/>
  <c r="Q196" i="44"/>
  <c r="P102" i="6" s="1"/>
  <c r="O102" i="32"/>
  <c r="Q202" i="44"/>
  <c r="P102" i="32" s="1"/>
  <c r="P102" i="22"/>
  <c r="R197" i="44"/>
  <c r="R198" i="44"/>
  <c r="R202" i="44" l="1"/>
  <c r="R196" i="44"/>
  <c r="Q203" i="44"/>
  <c r="R203" i="44" l="1"/>
  <c r="D204" i="6" l="1"/>
  <c r="D141" i="28"/>
  <c r="Q1" i="27" l="1"/>
  <c r="L1" i="46" l="1"/>
  <c r="E1" i="65"/>
  <c r="Q3" i="27"/>
  <c r="Q1" i="28"/>
  <c r="Q3" i="28" s="1"/>
  <c r="B5" i="46"/>
  <c r="U1" i="41"/>
  <c r="Q1" i="32"/>
  <c r="Q3" i="32" s="1"/>
  <c r="Q1" i="31"/>
  <c r="Q3" i="31" s="1"/>
  <c r="Q1" i="9"/>
  <c r="Q3" i="9" s="1"/>
  <c r="Q1" i="10"/>
  <c r="Q3" i="10" s="1"/>
  <c r="Q1" i="8"/>
  <c r="Q3" i="8" s="1"/>
  <c r="Q1" i="22"/>
  <c r="Q3" i="22" s="1"/>
  <c r="Q1" i="6"/>
  <c r="Q3" i="6" s="1"/>
  <c r="B8" i="58" l="1"/>
  <c r="C181" i="44" l="1"/>
  <c r="C13" i="44"/>
  <c r="F149" i="27"/>
  <c r="G149" i="27" s="1"/>
  <c r="H149" i="27" s="1"/>
  <c r="I149" i="27" s="1"/>
  <c r="J149" i="27" s="1"/>
  <c r="K149" i="27" s="1"/>
  <c r="L149" i="27" s="1"/>
  <c r="M149" i="27" s="1"/>
  <c r="N149" i="27" s="1"/>
  <c r="O149" i="27" s="1"/>
  <c r="P149" i="27" s="1"/>
  <c r="F140" i="27"/>
  <c r="D23" i="44" l="1"/>
  <c r="D20" i="44"/>
  <c r="D17" i="44"/>
  <c r="D19" i="44"/>
  <c r="D22" i="44"/>
  <c r="D18" i="44"/>
  <c r="D21" i="44"/>
  <c r="D39" i="44"/>
  <c r="D214" i="44"/>
  <c r="F214" i="44" s="1"/>
  <c r="D210" i="44"/>
  <c r="F210" i="44" s="1"/>
  <c r="D211" i="44"/>
  <c r="F211" i="44" s="1"/>
  <c r="D209" i="44"/>
  <c r="F209" i="44" s="1"/>
  <c r="D212" i="44"/>
  <c r="F212" i="44" s="1"/>
  <c r="D213" i="44"/>
  <c r="F213" i="44" s="1"/>
  <c r="D208" i="44"/>
  <c r="F208" i="44" s="1"/>
  <c r="G140" i="27"/>
  <c r="H140" i="27" s="1"/>
  <c r="I140" i="27" s="1"/>
  <c r="J140" i="27" s="1"/>
  <c r="K140" i="27" s="1"/>
  <c r="L140" i="27" s="1"/>
  <c r="M140" i="27" s="1"/>
  <c r="N140" i="27" s="1"/>
  <c r="O140" i="27" s="1"/>
  <c r="P140" i="27" s="1"/>
  <c r="D45" i="44"/>
  <c r="D191" i="44"/>
  <c r="D91" i="44"/>
  <c r="D135" i="44"/>
  <c r="D147" i="44"/>
  <c r="D67" i="44"/>
  <c r="D169" i="44"/>
  <c r="D102" i="44"/>
  <c r="D113" i="44"/>
  <c r="D158" i="44"/>
  <c r="D180" i="44"/>
  <c r="D124" i="44"/>
  <c r="D34" i="44"/>
  <c r="D179" i="44"/>
  <c r="D155" i="44"/>
  <c r="D88" i="44"/>
  <c r="D30" i="44"/>
  <c r="D163" i="44"/>
  <c r="D143" i="44"/>
  <c r="D177" i="44"/>
  <c r="D133" i="44"/>
  <c r="D96" i="44"/>
  <c r="D120" i="44"/>
  <c r="D66" i="44"/>
  <c r="D154" i="44"/>
  <c r="D87" i="44"/>
  <c r="D29" i="44"/>
  <c r="D157" i="44"/>
  <c r="D144" i="44"/>
  <c r="D109" i="44"/>
  <c r="D33" i="44"/>
  <c r="D131" i="44"/>
  <c r="D176" i="44"/>
  <c r="D65" i="44"/>
  <c r="D86" i="44"/>
  <c r="D153" i="44"/>
  <c r="D119" i="44"/>
  <c r="D28" i="44"/>
  <c r="D167" i="44"/>
  <c r="D187" i="44"/>
  <c r="D152" i="44"/>
  <c r="D89" i="44"/>
  <c r="D97" i="44"/>
  <c r="D99" i="44"/>
  <c r="D90" i="44"/>
  <c r="D108" i="44"/>
  <c r="D141" i="44"/>
  <c r="D85" i="44"/>
  <c r="D190" i="44"/>
  <c r="D186" i="44"/>
  <c r="D142" i="44"/>
  <c r="D123" i="44"/>
  <c r="D188" i="44"/>
  <c r="D185" i="44"/>
  <c r="D174" i="44"/>
  <c r="D61" i="44"/>
  <c r="D112" i="44"/>
  <c r="D146" i="44"/>
  <c r="D101" i="44"/>
  <c r="D64" i="44"/>
  <c r="D189" i="44"/>
  <c r="D40" i="44"/>
  <c r="D44" i="44"/>
  <c r="D122" i="44"/>
  <c r="D98" i="44"/>
  <c r="D63" i="44"/>
  <c r="D100" i="44"/>
  <c r="D32" i="44"/>
  <c r="D164" i="44"/>
  <c r="D175" i="44"/>
  <c r="D31" i="44"/>
  <c r="D118" i="44"/>
  <c r="D110" i="44"/>
  <c r="D165" i="44"/>
  <c r="D130" i="44"/>
  <c r="D132" i="44"/>
  <c r="D156" i="44"/>
  <c r="D168" i="44"/>
  <c r="Q168" i="44" s="1"/>
  <c r="D43" i="44"/>
  <c r="D111" i="44"/>
  <c r="D145" i="44"/>
  <c r="D166" i="44"/>
  <c r="D107" i="44"/>
  <c r="D178" i="44"/>
  <c r="D129" i="44"/>
  <c r="D134" i="44"/>
  <c r="D41" i="44"/>
  <c r="D62" i="44"/>
  <c r="D42" i="44"/>
  <c r="D121" i="44"/>
  <c r="D9" i="44"/>
  <c r="C136" i="44"/>
  <c r="C35" i="44"/>
  <c r="D6" i="44"/>
  <c r="C170" i="44"/>
  <c r="C92" i="44"/>
  <c r="D8" i="44"/>
  <c r="D12" i="44"/>
  <c r="D7" i="44"/>
  <c r="D10" i="44"/>
  <c r="D11" i="44"/>
  <c r="Q140" i="27" l="1"/>
  <c r="I24" i="44"/>
  <c r="D24" i="44"/>
  <c r="E24" i="44"/>
  <c r="H24" i="44"/>
  <c r="D215" i="44"/>
  <c r="G211" i="44"/>
  <c r="H211" i="44" s="1"/>
  <c r="I211" i="44" s="1"/>
  <c r="J211" i="44" s="1"/>
  <c r="K211" i="44" s="1"/>
  <c r="L211" i="44" s="1"/>
  <c r="M211" i="44" s="1"/>
  <c r="N211" i="44" s="1"/>
  <c r="O211" i="44" s="1"/>
  <c r="P211" i="44" s="1"/>
  <c r="Q211" i="44" s="1"/>
  <c r="G213" i="44"/>
  <c r="H213" i="44" s="1"/>
  <c r="I213" i="44" s="1"/>
  <c r="J213" i="44" s="1"/>
  <c r="K213" i="44" s="1"/>
  <c r="L213" i="44" s="1"/>
  <c r="M213" i="44" s="1"/>
  <c r="N213" i="44" s="1"/>
  <c r="O213" i="44" s="1"/>
  <c r="P213" i="44" s="1"/>
  <c r="Q213" i="44" s="1"/>
  <c r="G212" i="44"/>
  <c r="H212" i="44" s="1"/>
  <c r="I212" i="44" s="1"/>
  <c r="J212" i="44" s="1"/>
  <c r="K212" i="44" s="1"/>
  <c r="L212" i="44" s="1"/>
  <c r="M212" i="44" s="1"/>
  <c r="N212" i="44" s="1"/>
  <c r="O212" i="44" s="1"/>
  <c r="P212" i="44" s="1"/>
  <c r="Q212" i="44" s="1"/>
  <c r="G210" i="44"/>
  <c r="H210" i="44" s="1"/>
  <c r="I210" i="44" s="1"/>
  <c r="J210" i="44" s="1"/>
  <c r="K210" i="44" s="1"/>
  <c r="L210" i="44" s="1"/>
  <c r="M210" i="44" s="1"/>
  <c r="N210" i="44" s="1"/>
  <c r="O210" i="44" s="1"/>
  <c r="P210" i="44" s="1"/>
  <c r="Q210" i="44" s="1"/>
  <c r="G209" i="44"/>
  <c r="H209" i="44" s="1"/>
  <c r="I209" i="44" s="1"/>
  <c r="J209" i="44" s="1"/>
  <c r="K209" i="44" s="1"/>
  <c r="L209" i="44" s="1"/>
  <c r="M209" i="44" s="1"/>
  <c r="N209" i="44" s="1"/>
  <c r="O209" i="44" s="1"/>
  <c r="P209" i="44" s="1"/>
  <c r="Q209" i="44" s="1"/>
  <c r="G214" i="44"/>
  <c r="H214" i="44" s="1"/>
  <c r="I214" i="44" s="1"/>
  <c r="J214" i="44" s="1"/>
  <c r="K214" i="44" s="1"/>
  <c r="L214" i="44" s="1"/>
  <c r="M214" i="44" s="1"/>
  <c r="N214" i="44" s="1"/>
  <c r="O214" i="44" s="1"/>
  <c r="P214" i="44" s="1"/>
  <c r="Q214" i="44" s="1"/>
  <c r="Q6" i="44"/>
  <c r="J6" i="44"/>
  <c r="I6" i="44"/>
  <c r="O6" i="44"/>
  <c r="K6" i="44"/>
  <c r="P6" i="44"/>
  <c r="M6" i="44"/>
  <c r="H6" i="44"/>
  <c r="L6" i="44"/>
  <c r="G6" i="44"/>
  <c r="N6" i="44"/>
  <c r="L9" i="44"/>
  <c r="K9" i="44"/>
  <c r="I9" i="44"/>
  <c r="O9" i="44"/>
  <c r="F9" i="44"/>
  <c r="G9" i="44"/>
  <c r="Q9" i="44"/>
  <c r="M9" i="44"/>
  <c r="H9" i="44"/>
  <c r="N9" i="44"/>
  <c r="P9" i="44"/>
  <c r="J9" i="44"/>
  <c r="L11" i="44"/>
  <c r="F11" i="44"/>
  <c r="Q11" i="44"/>
  <c r="M11" i="44"/>
  <c r="G11" i="44"/>
  <c r="O11" i="44"/>
  <c r="I11" i="44"/>
  <c r="J11" i="44"/>
  <c r="N11" i="44"/>
  <c r="H11" i="44"/>
  <c r="P11" i="44"/>
  <c r="K11" i="44"/>
  <c r="Q10" i="44"/>
  <c r="H10" i="44"/>
  <c r="O10" i="44"/>
  <c r="J10" i="44"/>
  <c r="F10" i="44"/>
  <c r="N10" i="44"/>
  <c r="I10" i="44"/>
  <c r="P10" i="44"/>
  <c r="K10" i="44"/>
  <c r="G10" i="44"/>
  <c r="M10" i="44"/>
  <c r="L10" i="44"/>
  <c r="D68" i="44"/>
  <c r="E46" i="44"/>
  <c r="Q7" i="44"/>
  <c r="I7" i="44"/>
  <c r="N7" i="44"/>
  <c r="G7" i="44"/>
  <c r="J7" i="44"/>
  <c r="M7" i="44"/>
  <c r="H7" i="44"/>
  <c r="O7" i="44"/>
  <c r="L7" i="44"/>
  <c r="P7" i="44"/>
  <c r="K7" i="44"/>
  <c r="I12" i="44"/>
  <c r="H27" i="32" s="1"/>
  <c r="M12" i="44"/>
  <c r="L27" i="32" s="1"/>
  <c r="J12" i="44"/>
  <c r="I27" i="32" s="1"/>
  <c r="N12" i="44"/>
  <c r="M27" i="32" s="1"/>
  <c r="P12" i="44"/>
  <c r="O27" i="32" s="1"/>
  <c r="L12" i="44"/>
  <c r="K27" i="32" s="1"/>
  <c r="Q12" i="44"/>
  <c r="P27" i="32" s="1"/>
  <c r="H12" i="44"/>
  <c r="G27" i="32" s="1"/>
  <c r="K12" i="44"/>
  <c r="J27" i="32" s="1"/>
  <c r="O12" i="44"/>
  <c r="N27" i="32" s="1"/>
  <c r="F12" i="44"/>
  <c r="G12" i="44"/>
  <c r="F27" i="32" s="1"/>
  <c r="F8" i="44"/>
  <c r="P8" i="44"/>
  <c r="O8" i="44"/>
  <c r="I8" i="44"/>
  <c r="Q8" i="44"/>
  <c r="L8" i="44"/>
  <c r="G8" i="44"/>
  <c r="N8" i="44"/>
  <c r="J8" i="44"/>
  <c r="K8" i="44"/>
  <c r="H8" i="44"/>
  <c r="M8" i="44"/>
  <c r="D46" i="44"/>
  <c r="C148" i="44"/>
  <c r="C57" i="44"/>
  <c r="F6" i="44"/>
  <c r="E27" i="6" s="1"/>
  <c r="K186" i="44"/>
  <c r="J101" i="22" s="1"/>
  <c r="J265" i="22" s="1"/>
  <c r="F7" i="44"/>
  <c r="F174" i="44"/>
  <c r="E192" i="44"/>
  <c r="F189" i="44"/>
  <c r="O189" i="44"/>
  <c r="N101" i="10" s="1"/>
  <c r="N169" i="10" s="1"/>
  <c r="I189" i="44"/>
  <c r="H101" i="10" s="1"/>
  <c r="H169" i="10" s="1"/>
  <c r="H189" i="44"/>
  <c r="G101" i="10" s="1"/>
  <c r="G169" i="10" s="1"/>
  <c r="G189" i="44"/>
  <c r="F101" i="10" s="1"/>
  <c r="F169" i="10" s="1"/>
  <c r="P189" i="44"/>
  <c r="O101" i="10" s="1"/>
  <c r="O169" i="10" s="1"/>
  <c r="N189" i="44"/>
  <c r="M101" i="10" s="1"/>
  <c r="M169" i="10" s="1"/>
  <c r="J189" i="44"/>
  <c r="I101" i="10" s="1"/>
  <c r="I169" i="10" s="1"/>
  <c r="Q189" i="44"/>
  <c r="P101" i="10" s="1"/>
  <c r="P169" i="10" s="1"/>
  <c r="L189" i="44"/>
  <c r="K101" i="10" s="1"/>
  <c r="K169" i="10" s="1"/>
  <c r="M189" i="44"/>
  <c r="L101" i="10" s="1"/>
  <c r="L169" i="10" s="1"/>
  <c r="K189" i="44"/>
  <c r="J101" i="10" s="1"/>
  <c r="J169" i="10" s="1"/>
  <c r="Q190" i="44"/>
  <c r="P101" i="31" s="1"/>
  <c r="P168" i="31" s="1"/>
  <c r="P190" i="44"/>
  <c r="O101" i="31" s="1"/>
  <c r="O168" i="31" s="1"/>
  <c r="L190" i="44"/>
  <c r="K101" i="31" s="1"/>
  <c r="K168" i="31" s="1"/>
  <c r="K190" i="44"/>
  <c r="J101" i="31" s="1"/>
  <c r="J168" i="31" s="1"/>
  <c r="J190" i="44"/>
  <c r="I101" i="31" s="1"/>
  <c r="I168" i="31" s="1"/>
  <c r="H190" i="44"/>
  <c r="G101" i="31" s="1"/>
  <c r="G168" i="31" s="1"/>
  <c r="I190" i="44"/>
  <c r="H101" i="31" s="1"/>
  <c r="H168" i="31" s="1"/>
  <c r="F190" i="44"/>
  <c r="N190" i="44"/>
  <c r="M101" i="31" s="1"/>
  <c r="M168" i="31" s="1"/>
  <c r="G190" i="44"/>
  <c r="F101" i="31" s="1"/>
  <c r="F168" i="31" s="1"/>
  <c r="M190" i="44"/>
  <c r="L101" i="31" s="1"/>
  <c r="L168" i="31" s="1"/>
  <c r="O190" i="44"/>
  <c r="N101" i="31" s="1"/>
  <c r="N168" i="31" s="1"/>
  <c r="I186" i="44"/>
  <c r="H101" i="22" s="1"/>
  <c r="H265" i="22" s="1"/>
  <c r="Q186" i="44"/>
  <c r="P101" i="22" s="1"/>
  <c r="P265" i="22" s="1"/>
  <c r="O186" i="44"/>
  <c r="N101" i="22" s="1"/>
  <c r="N265" i="22" s="1"/>
  <c r="J186" i="44"/>
  <c r="I101" i="22" s="1"/>
  <c r="I265" i="22" s="1"/>
  <c r="N186" i="44"/>
  <c r="M101" i="22" s="1"/>
  <c r="M265" i="22" s="1"/>
  <c r="P186" i="44"/>
  <c r="O101" i="22" s="1"/>
  <c r="O265" i="22" s="1"/>
  <c r="H186" i="44"/>
  <c r="G101" i="22" s="1"/>
  <c r="G265" i="22" s="1"/>
  <c r="M186" i="44"/>
  <c r="L101" i="22" s="1"/>
  <c r="L265" i="22" s="1"/>
  <c r="L186" i="44"/>
  <c r="K101" i="22" s="1"/>
  <c r="K265" i="22" s="1"/>
  <c r="G186" i="44"/>
  <c r="F101" i="22" s="1"/>
  <c r="F265" i="22" s="1"/>
  <c r="F186" i="44"/>
  <c r="D13" i="44"/>
  <c r="H188" i="44"/>
  <c r="G101" i="9" s="1"/>
  <c r="G267" i="9" s="1"/>
  <c r="M188" i="44"/>
  <c r="L101" i="9" s="1"/>
  <c r="L267" i="9" s="1"/>
  <c r="L188" i="44"/>
  <c r="K101" i="9" s="1"/>
  <c r="K267" i="9" s="1"/>
  <c r="G188" i="44"/>
  <c r="F101" i="9" s="1"/>
  <c r="F267" i="9" s="1"/>
  <c r="N188" i="44"/>
  <c r="M101" i="9" s="1"/>
  <c r="M267" i="9" s="1"/>
  <c r="F188" i="44"/>
  <c r="P188" i="44"/>
  <c r="O101" i="9" s="1"/>
  <c r="O267" i="9" s="1"/>
  <c r="O188" i="44"/>
  <c r="N101" i="9" s="1"/>
  <c r="N267" i="9" s="1"/>
  <c r="Q188" i="44"/>
  <c r="P101" i="9" s="1"/>
  <c r="P267" i="9" s="1"/>
  <c r="J188" i="44"/>
  <c r="I101" i="9" s="1"/>
  <c r="I267" i="9" s="1"/>
  <c r="K188" i="44"/>
  <c r="J101" i="9" s="1"/>
  <c r="J267" i="9" s="1"/>
  <c r="I188" i="44"/>
  <c r="H101" i="9" s="1"/>
  <c r="H267" i="9" s="1"/>
  <c r="F191" i="44"/>
  <c r="N191" i="44"/>
  <c r="M101" i="32" s="1"/>
  <c r="K191" i="44"/>
  <c r="J101" i="32" s="1"/>
  <c r="J191" i="44"/>
  <c r="M191" i="44"/>
  <c r="L101" i="32" s="1"/>
  <c r="L191" i="44"/>
  <c r="K101" i="32" s="1"/>
  <c r="H191" i="44"/>
  <c r="G101" i="32" s="1"/>
  <c r="G191" i="44"/>
  <c r="F101" i="32" s="1"/>
  <c r="Q191" i="44"/>
  <c r="P101" i="32" s="1"/>
  <c r="P191" i="44"/>
  <c r="O101" i="32" s="1"/>
  <c r="I191" i="44"/>
  <c r="H101" i="32" s="1"/>
  <c r="O191" i="44"/>
  <c r="N101" i="32" s="1"/>
  <c r="O174" i="44"/>
  <c r="M174" i="44"/>
  <c r="L174" i="44"/>
  <c r="K174" i="44"/>
  <c r="J174" i="44"/>
  <c r="G174" i="44"/>
  <c r="C103" i="44"/>
  <c r="C114" i="44"/>
  <c r="I22" i="46"/>
  <c r="I21" i="46"/>
  <c r="E212" i="6" l="1"/>
  <c r="Q238" i="44"/>
  <c r="Q239" i="44"/>
  <c r="R212" i="44"/>
  <c r="R211" i="44"/>
  <c r="Q240" i="44"/>
  <c r="R209" i="44"/>
  <c r="R21" i="44"/>
  <c r="L24" i="44"/>
  <c r="R18" i="44"/>
  <c r="M24" i="44"/>
  <c r="R213" i="44"/>
  <c r="O24" i="44"/>
  <c r="P24" i="44"/>
  <c r="Q24" i="44"/>
  <c r="Q237" i="44"/>
  <c r="J24" i="44"/>
  <c r="R20" i="44"/>
  <c r="N24" i="44"/>
  <c r="F24" i="44"/>
  <c r="R17" i="44"/>
  <c r="R19" i="44"/>
  <c r="Q235" i="44"/>
  <c r="G24" i="44"/>
  <c r="R23" i="44"/>
  <c r="R22" i="44"/>
  <c r="K24" i="44"/>
  <c r="R210" i="44"/>
  <c r="Q236" i="44"/>
  <c r="R214" i="44"/>
  <c r="G208" i="44"/>
  <c r="F215" i="44"/>
  <c r="E27" i="32"/>
  <c r="R12" i="44"/>
  <c r="F107" i="44"/>
  <c r="Q107" i="44"/>
  <c r="P107" i="44"/>
  <c r="M107" i="44"/>
  <c r="L107" i="44"/>
  <c r="O107" i="44"/>
  <c r="N107" i="44"/>
  <c r="K107" i="44"/>
  <c r="J107" i="44"/>
  <c r="I107" i="44"/>
  <c r="H107" i="44"/>
  <c r="G107" i="44"/>
  <c r="C159" i="44"/>
  <c r="C81" i="44"/>
  <c r="C125" i="44"/>
  <c r="C192" i="44"/>
  <c r="H174" i="44"/>
  <c r="I174" i="44"/>
  <c r="Q174" i="44"/>
  <c r="N174" i="44"/>
  <c r="P174" i="44"/>
  <c r="P28" i="44"/>
  <c r="O49" i="6" s="1"/>
  <c r="O28" i="44"/>
  <c r="N49" i="6" s="1"/>
  <c r="N28" i="44"/>
  <c r="M49" i="6" s="1"/>
  <c r="M28" i="44"/>
  <c r="L49" i="6" s="1"/>
  <c r="L28" i="44"/>
  <c r="K49" i="6" s="1"/>
  <c r="K28" i="44"/>
  <c r="J49" i="6" s="1"/>
  <c r="J28" i="44"/>
  <c r="I49" i="6" s="1"/>
  <c r="I28" i="44"/>
  <c r="H49" i="6" s="1"/>
  <c r="H28" i="44"/>
  <c r="G49" i="6" s="1"/>
  <c r="G28" i="44"/>
  <c r="F49" i="6" s="1"/>
  <c r="F28" i="44"/>
  <c r="Q28" i="44"/>
  <c r="P49" i="6" s="1"/>
  <c r="F29" i="44"/>
  <c r="Q29" i="44"/>
  <c r="P29" i="44"/>
  <c r="O29" i="44"/>
  <c r="N29" i="44"/>
  <c r="M29" i="44"/>
  <c r="K29" i="44"/>
  <c r="I29" i="44"/>
  <c r="H29" i="44"/>
  <c r="G29" i="44"/>
  <c r="L29" i="44"/>
  <c r="J29" i="44"/>
  <c r="D35" i="44"/>
  <c r="H30" i="44"/>
  <c r="G49" i="8" s="1"/>
  <c r="G30" i="44"/>
  <c r="F49" i="8" s="1"/>
  <c r="F30" i="44"/>
  <c r="Q30" i="44"/>
  <c r="P49" i="8" s="1"/>
  <c r="P30" i="44"/>
  <c r="O49" i="8" s="1"/>
  <c r="O30" i="44"/>
  <c r="N49" i="8" s="1"/>
  <c r="K30" i="44"/>
  <c r="J49" i="8" s="1"/>
  <c r="N30" i="44"/>
  <c r="M49" i="8" s="1"/>
  <c r="M30" i="44"/>
  <c r="L49" i="8" s="1"/>
  <c r="J30" i="44"/>
  <c r="I49" i="8" s="1"/>
  <c r="I30" i="44"/>
  <c r="H49" i="8" s="1"/>
  <c r="L30" i="44"/>
  <c r="K49" i="8" s="1"/>
  <c r="L32" i="44"/>
  <c r="K49" i="10" s="1"/>
  <c r="K32" i="44"/>
  <c r="J49" i="10" s="1"/>
  <c r="J32" i="44"/>
  <c r="I49" i="10" s="1"/>
  <c r="I32" i="44"/>
  <c r="H49" i="10" s="1"/>
  <c r="H32" i="44"/>
  <c r="G49" i="10" s="1"/>
  <c r="G32" i="44"/>
  <c r="F49" i="10" s="1"/>
  <c r="F32" i="44"/>
  <c r="Q32" i="44"/>
  <c r="P49" i="10" s="1"/>
  <c r="P32" i="44"/>
  <c r="O49" i="10" s="1"/>
  <c r="O32" i="44"/>
  <c r="N49" i="10" s="1"/>
  <c r="N32" i="44"/>
  <c r="M49" i="10" s="1"/>
  <c r="M32" i="44"/>
  <c r="L49" i="10" s="1"/>
  <c r="N33" i="44"/>
  <c r="M49" i="31" s="1"/>
  <c r="M33" i="44"/>
  <c r="L49" i="31" s="1"/>
  <c r="L33" i="44"/>
  <c r="K49" i="31" s="1"/>
  <c r="K33" i="44"/>
  <c r="J49" i="31" s="1"/>
  <c r="J33" i="44"/>
  <c r="I49" i="31" s="1"/>
  <c r="I33" i="44"/>
  <c r="H49" i="31" s="1"/>
  <c r="G33" i="44"/>
  <c r="F49" i="31" s="1"/>
  <c r="Q33" i="44"/>
  <c r="P49" i="31" s="1"/>
  <c r="P33" i="44"/>
  <c r="O49" i="31" s="1"/>
  <c r="H33" i="44"/>
  <c r="G49" i="31" s="1"/>
  <c r="F33" i="44"/>
  <c r="O33" i="44"/>
  <c r="N49" i="31" s="1"/>
  <c r="J31" i="44"/>
  <c r="I49" i="9" s="1"/>
  <c r="I31" i="44"/>
  <c r="H49" i="9" s="1"/>
  <c r="H31" i="44"/>
  <c r="G49" i="9" s="1"/>
  <c r="G31" i="44"/>
  <c r="F49" i="9" s="1"/>
  <c r="F31" i="44"/>
  <c r="Q31" i="44"/>
  <c r="P49" i="9" s="1"/>
  <c r="P31" i="44"/>
  <c r="O49" i="9" s="1"/>
  <c r="N31" i="44"/>
  <c r="M49" i="9" s="1"/>
  <c r="M31" i="44"/>
  <c r="L49" i="9" s="1"/>
  <c r="L31" i="44"/>
  <c r="K49" i="9" s="1"/>
  <c r="K31" i="44"/>
  <c r="J49" i="9" s="1"/>
  <c r="O31" i="44"/>
  <c r="N49" i="9" s="1"/>
  <c r="P34" i="44"/>
  <c r="O49" i="32" s="1"/>
  <c r="O34" i="44"/>
  <c r="N49" i="32" s="1"/>
  <c r="N34" i="44"/>
  <c r="M49" i="32" s="1"/>
  <c r="M34" i="44"/>
  <c r="L49" i="32" s="1"/>
  <c r="L34" i="44"/>
  <c r="K49" i="32" s="1"/>
  <c r="K34" i="44"/>
  <c r="J49" i="32" s="1"/>
  <c r="J34" i="44"/>
  <c r="I49" i="32" s="1"/>
  <c r="I34" i="44"/>
  <c r="H49" i="32" s="1"/>
  <c r="F34" i="44"/>
  <c r="Q34" i="44"/>
  <c r="P49" i="32" s="1"/>
  <c r="H34" i="44"/>
  <c r="G49" i="32" s="1"/>
  <c r="G34" i="44"/>
  <c r="F49" i="32" s="1"/>
  <c r="F163" i="44"/>
  <c r="F85" i="44"/>
  <c r="E77" i="6" s="1"/>
  <c r="E225" i="6" s="1"/>
  <c r="G185" i="44"/>
  <c r="F185" i="44"/>
  <c r="P185" i="44"/>
  <c r="M185" i="44"/>
  <c r="L185" i="44"/>
  <c r="O185" i="44"/>
  <c r="H185" i="44"/>
  <c r="N185" i="44"/>
  <c r="K185" i="44"/>
  <c r="J185" i="44"/>
  <c r="I101" i="6" s="1"/>
  <c r="I232" i="6" s="1"/>
  <c r="I185" i="44"/>
  <c r="Q185" i="44"/>
  <c r="D192" i="44"/>
  <c r="J187" i="44"/>
  <c r="I101" i="8" s="1"/>
  <c r="I240" i="8" s="1"/>
  <c r="F187" i="44"/>
  <c r="Q187" i="44"/>
  <c r="P101" i="8" s="1"/>
  <c r="P240" i="8" s="1"/>
  <c r="P187" i="44"/>
  <c r="O101" i="8" s="1"/>
  <c r="O240" i="8" s="1"/>
  <c r="L187" i="44"/>
  <c r="K101" i="8" s="1"/>
  <c r="K240" i="8" s="1"/>
  <c r="K187" i="44"/>
  <c r="J101" i="8" s="1"/>
  <c r="J240" i="8" s="1"/>
  <c r="O187" i="44"/>
  <c r="N101" i="8" s="1"/>
  <c r="N240" i="8" s="1"/>
  <c r="N187" i="44"/>
  <c r="M101" i="8" s="1"/>
  <c r="M240" i="8" s="1"/>
  <c r="M187" i="44"/>
  <c r="L101" i="8" s="1"/>
  <c r="L240" i="8" s="1"/>
  <c r="I187" i="44"/>
  <c r="H101" i="8" s="1"/>
  <c r="H240" i="8" s="1"/>
  <c r="H187" i="44"/>
  <c r="G101" i="8" s="1"/>
  <c r="G240" i="8" s="1"/>
  <c r="G187" i="44"/>
  <c r="F101" i="8" s="1"/>
  <c r="F240" i="8" s="1"/>
  <c r="I101" i="32"/>
  <c r="E101" i="22"/>
  <c r="E265" i="22" s="1"/>
  <c r="R186" i="44"/>
  <c r="E101" i="31"/>
  <c r="E168" i="31" s="1"/>
  <c r="R190" i="44"/>
  <c r="E101" i="32"/>
  <c r="R191" i="44"/>
  <c r="E101" i="9"/>
  <c r="E267" i="9" s="1"/>
  <c r="R188" i="44"/>
  <c r="E101" i="10"/>
  <c r="R189" i="44"/>
  <c r="G176" i="44"/>
  <c r="F176" i="44"/>
  <c r="E100" i="8" s="1"/>
  <c r="Q176" i="44"/>
  <c r="L176" i="44"/>
  <c r="P176" i="44"/>
  <c r="O176" i="44"/>
  <c r="N176" i="44"/>
  <c r="M176" i="44"/>
  <c r="J176" i="44"/>
  <c r="I176" i="44"/>
  <c r="H176" i="44"/>
  <c r="K176" i="44"/>
  <c r="O179" i="44"/>
  <c r="N179" i="44"/>
  <c r="F179" i="44"/>
  <c r="E100" i="31" s="1"/>
  <c r="L179" i="44"/>
  <c r="M179" i="44"/>
  <c r="K179" i="44"/>
  <c r="I179" i="44"/>
  <c r="H179" i="44"/>
  <c r="G179" i="44"/>
  <c r="J179" i="44"/>
  <c r="Q179" i="44"/>
  <c r="P179" i="44"/>
  <c r="Q175" i="44"/>
  <c r="P175" i="44"/>
  <c r="O175" i="44"/>
  <c r="K175" i="44"/>
  <c r="J175" i="44"/>
  <c r="N175" i="44"/>
  <c r="M175" i="44"/>
  <c r="L175" i="44"/>
  <c r="I175" i="44"/>
  <c r="H175" i="44"/>
  <c r="G175" i="44"/>
  <c r="F175" i="44"/>
  <c r="E100" i="22" s="1"/>
  <c r="E136" i="44"/>
  <c r="L96" i="44"/>
  <c r="F96" i="44"/>
  <c r="I96" i="44"/>
  <c r="O96" i="44"/>
  <c r="D136" i="44"/>
  <c r="L178" i="44"/>
  <c r="K178" i="44"/>
  <c r="I178" i="44"/>
  <c r="H178" i="44"/>
  <c r="G178" i="44"/>
  <c r="F178" i="44"/>
  <c r="E100" i="10" s="1"/>
  <c r="Q178" i="44"/>
  <c r="J178" i="44"/>
  <c r="P178" i="44"/>
  <c r="O178" i="44"/>
  <c r="N178" i="44"/>
  <c r="M178" i="44"/>
  <c r="E181" i="44"/>
  <c r="I177" i="44"/>
  <c r="H177" i="44"/>
  <c r="F177" i="44"/>
  <c r="E100" i="9" s="1"/>
  <c r="O177" i="44"/>
  <c r="G177" i="44"/>
  <c r="N177" i="44"/>
  <c r="Q177" i="44"/>
  <c r="P177" i="44"/>
  <c r="M177" i="44"/>
  <c r="L177" i="44"/>
  <c r="K177" i="44"/>
  <c r="J177" i="44"/>
  <c r="G163" i="44"/>
  <c r="K180" i="44"/>
  <c r="L180" i="44"/>
  <c r="N180" i="44"/>
  <c r="O180" i="44"/>
  <c r="M180" i="44"/>
  <c r="P180" i="44"/>
  <c r="Q180" i="44"/>
  <c r="F180" i="44"/>
  <c r="E100" i="32" s="1"/>
  <c r="G180" i="44"/>
  <c r="H180" i="44"/>
  <c r="I180" i="44"/>
  <c r="J180" i="44"/>
  <c r="D92" i="44"/>
  <c r="F13" i="44"/>
  <c r="E27" i="10"/>
  <c r="E27" i="8"/>
  <c r="E220" i="8" s="1"/>
  <c r="F90" i="44"/>
  <c r="F91" i="44"/>
  <c r="E125" i="44"/>
  <c r="E27" i="9"/>
  <c r="E247" i="9" s="1"/>
  <c r="F88" i="44"/>
  <c r="F89" i="44"/>
  <c r="E92" i="44"/>
  <c r="F87" i="44"/>
  <c r="E27" i="31"/>
  <c r="E148" i="31" s="1"/>
  <c r="E27" i="22"/>
  <c r="E245" i="22" s="1"/>
  <c r="F86" i="44"/>
  <c r="D181" i="44"/>
  <c r="F27" i="6"/>
  <c r="F212" i="6" s="1"/>
  <c r="E100" i="6"/>
  <c r="K22" i="46"/>
  <c r="K21" i="46"/>
  <c r="E169" i="10" l="1"/>
  <c r="Q101" i="10"/>
  <c r="E149" i="10"/>
  <c r="R24" i="44"/>
  <c r="H208" i="44"/>
  <c r="G215" i="44"/>
  <c r="M152" i="44"/>
  <c r="L152" i="44"/>
  <c r="K152" i="44"/>
  <c r="J152" i="44"/>
  <c r="I152" i="44"/>
  <c r="F152" i="44"/>
  <c r="Q152" i="44"/>
  <c r="P152" i="44"/>
  <c r="O152" i="44"/>
  <c r="N152" i="44"/>
  <c r="H152" i="44"/>
  <c r="G152" i="44"/>
  <c r="Q113" i="44"/>
  <c r="P113" i="44"/>
  <c r="O113" i="44"/>
  <c r="N113" i="44"/>
  <c r="F113" i="44"/>
  <c r="M113" i="44"/>
  <c r="L113" i="44"/>
  <c r="K113" i="44"/>
  <c r="J113" i="44"/>
  <c r="I113" i="44"/>
  <c r="H113" i="44"/>
  <c r="G113" i="44"/>
  <c r="O142" i="44"/>
  <c r="N96" i="22" s="1"/>
  <c r="N263" i="22" s="1"/>
  <c r="N142" i="44"/>
  <c r="M96" i="22" s="1"/>
  <c r="M263" i="22" s="1"/>
  <c r="M142" i="44"/>
  <c r="L96" i="22" s="1"/>
  <c r="L263" i="22" s="1"/>
  <c r="L142" i="44"/>
  <c r="K96" i="22" s="1"/>
  <c r="K263" i="22" s="1"/>
  <c r="K142" i="44"/>
  <c r="J96" i="22" s="1"/>
  <c r="J263" i="22" s="1"/>
  <c r="Q142" i="44"/>
  <c r="P96" i="22" s="1"/>
  <c r="P263" i="22" s="1"/>
  <c r="H142" i="44"/>
  <c r="G96" i="22" s="1"/>
  <c r="G263" i="22" s="1"/>
  <c r="G142" i="44"/>
  <c r="F96" i="22" s="1"/>
  <c r="F263" i="22" s="1"/>
  <c r="P142" i="44"/>
  <c r="O96" i="22" s="1"/>
  <c r="O263" i="22" s="1"/>
  <c r="J142" i="44"/>
  <c r="I96" i="22" s="1"/>
  <c r="I263" i="22" s="1"/>
  <c r="I142" i="44"/>
  <c r="H96" i="22" s="1"/>
  <c r="H263" i="22" s="1"/>
  <c r="F142" i="44"/>
  <c r="K147" i="44"/>
  <c r="J96" i="32" s="1"/>
  <c r="J147" i="44"/>
  <c r="I96" i="32" s="1"/>
  <c r="I147" i="44"/>
  <c r="H96" i="32" s="1"/>
  <c r="H147" i="44"/>
  <c r="G96" i="32" s="1"/>
  <c r="G147" i="44"/>
  <c r="F96" i="32" s="1"/>
  <c r="N147" i="44"/>
  <c r="M96" i="32" s="1"/>
  <c r="M147" i="44"/>
  <c r="L96" i="32" s="1"/>
  <c r="Q147" i="44"/>
  <c r="P96" i="32" s="1"/>
  <c r="P147" i="44"/>
  <c r="O96" i="32" s="1"/>
  <c r="O147" i="44"/>
  <c r="N96" i="32" s="1"/>
  <c r="L147" i="44"/>
  <c r="K96" i="32" s="1"/>
  <c r="F147" i="44"/>
  <c r="Q143" i="44"/>
  <c r="P96" i="8" s="1"/>
  <c r="P238" i="8" s="1"/>
  <c r="P143" i="44"/>
  <c r="O96" i="8" s="1"/>
  <c r="O238" i="8" s="1"/>
  <c r="O143" i="44"/>
  <c r="N96" i="8" s="1"/>
  <c r="N238" i="8" s="1"/>
  <c r="N143" i="44"/>
  <c r="M96" i="8" s="1"/>
  <c r="M238" i="8" s="1"/>
  <c r="M143" i="44"/>
  <c r="L96" i="8" s="1"/>
  <c r="L238" i="8" s="1"/>
  <c r="F143" i="44"/>
  <c r="K143" i="44"/>
  <c r="J96" i="8" s="1"/>
  <c r="J238" i="8" s="1"/>
  <c r="H143" i="44"/>
  <c r="G96" i="8" s="1"/>
  <c r="G238" i="8" s="1"/>
  <c r="L143" i="44"/>
  <c r="K96" i="8" s="1"/>
  <c r="K238" i="8" s="1"/>
  <c r="J143" i="44"/>
  <c r="I96" i="8" s="1"/>
  <c r="I238" i="8" s="1"/>
  <c r="I143" i="44"/>
  <c r="H96" i="8" s="1"/>
  <c r="H238" i="8" s="1"/>
  <c r="G143" i="44"/>
  <c r="F96" i="8" s="1"/>
  <c r="F238" i="8" s="1"/>
  <c r="N111" i="44"/>
  <c r="M111" i="44"/>
  <c r="L111" i="44"/>
  <c r="K111" i="44"/>
  <c r="H111" i="44"/>
  <c r="G111" i="44"/>
  <c r="F111" i="44"/>
  <c r="I111" i="44"/>
  <c r="Q111" i="44"/>
  <c r="P111" i="44"/>
  <c r="O111" i="44"/>
  <c r="J111" i="44"/>
  <c r="L110" i="44"/>
  <c r="K110" i="44"/>
  <c r="J110" i="44"/>
  <c r="I110" i="44"/>
  <c r="P110" i="44"/>
  <c r="O110" i="44"/>
  <c r="Q110" i="44"/>
  <c r="N110" i="44"/>
  <c r="M110" i="44"/>
  <c r="H110" i="44"/>
  <c r="G110" i="44"/>
  <c r="F110" i="44"/>
  <c r="H108" i="44"/>
  <c r="G108" i="44"/>
  <c r="F108" i="44"/>
  <c r="Q108" i="44"/>
  <c r="P108" i="44"/>
  <c r="I108" i="44"/>
  <c r="O108" i="44"/>
  <c r="N108" i="44"/>
  <c r="M108" i="44"/>
  <c r="L108" i="44"/>
  <c r="K108" i="44"/>
  <c r="J108" i="44"/>
  <c r="M141" i="44"/>
  <c r="L96" i="6" s="1"/>
  <c r="L230" i="6" s="1"/>
  <c r="L141" i="44"/>
  <c r="K96" i="6" s="1"/>
  <c r="K230" i="6" s="1"/>
  <c r="K141" i="44"/>
  <c r="J96" i="6" s="1"/>
  <c r="J230" i="6" s="1"/>
  <c r="J141" i="44"/>
  <c r="I96" i="6" s="1"/>
  <c r="I230" i="6" s="1"/>
  <c r="I141" i="44"/>
  <c r="H96" i="6" s="1"/>
  <c r="H230" i="6" s="1"/>
  <c r="Q141" i="44"/>
  <c r="P96" i="6" s="1"/>
  <c r="P230" i="6" s="1"/>
  <c r="P141" i="44"/>
  <c r="O96" i="6" s="1"/>
  <c r="O230" i="6" s="1"/>
  <c r="O141" i="44"/>
  <c r="N96" i="6" s="1"/>
  <c r="N230" i="6" s="1"/>
  <c r="N141" i="44"/>
  <c r="M96" i="6" s="1"/>
  <c r="M230" i="6" s="1"/>
  <c r="H141" i="44"/>
  <c r="G96" i="6" s="1"/>
  <c r="G230" i="6" s="1"/>
  <c r="G141" i="44"/>
  <c r="F96" i="6" s="1"/>
  <c r="F230" i="6" s="1"/>
  <c r="F141" i="44"/>
  <c r="E96" i="6" s="1"/>
  <c r="E230" i="6" s="1"/>
  <c r="J109" i="44"/>
  <c r="I109" i="44"/>
  <c r="H109" i="44"/>
  <c r="G109" i="44"/>
  <c r="N109" i="44"/>
  <c r="K109" i="44"/>
  <c r="F109" i="44"/>
  <c r="M109" i="44"/>
  <c r="L109" i="44"/>
  <c r="Q109" i="44"/>
  <c r="P109" i="44"/>
  <c r="O109" i="44"/>
  <c r="Q144" i="44"/>
  <c r="P96" i="9" s="1"/>
  <c r="P265" i="9" s="1"/>
  <c r="P144" i="44"/>
  <c r="O96" i="9" s="1"/>
  <c r="O265" i="9" s="1"/>
  <c r="O144" i="44"/>
  <c r="N96" i="9" s="1"/>
  <c r="N265" i="9" s="1"/>
  <c r="L144" i="44"/>
  <c r="K96" i="9" s="1"/>
  <c r="K265" i="9" s="1"/>
  <c r="I144" i="44"/>
  <c r="H96" i="9" s="1"/>
  <c r="H265" i="9" s="1"/>
  <c r="H144" i="44"/>
  <c r="G96" i="9" s="1"/>
  <c r="G265" i="9" s="1"/>
  <c r="G144" i="44"/>
  <c r="F96" i="9" s="1"/>
  <c r="F265" i="9" s="1"/>
  <c r="K144" i="44"/>
  <c r="J96" i="9" s="1"/>
  <c r="J265" i="9" s="1"/>
  <c r="J144" i="44"/>
  <c r="I96" i="9" s="1"/>
  <c r="I265" i="9" s="1"/>
  <c r="F144" i="44"/>
  <c r="N144" i="44"/>
  <c r="M96" i="9" s="1"/>
  <c r="M265" i="9" s="1"/>
  <c r="M144" i="44"/>
  <c r="L96" i="9" s="1"/>
  <c r="L265" i="9" s="1"/>
  <c r="K118" i="44"/>
  <c r="J92" i="6" s="1"/>
  <c r="J228" i="6" s="1"/>
  <c r="J118" i="44"/>
  <c r="I92" i="6" s="1"/>
  <c r="I228" i="6" s="1"/>
  <c r="I118" i="44"/>
  <c r="H92" i="6" s="1"/>
  <c r="H228" i="6" s="1"/>
  <c r="H118" i="44"/>
  <c r="G92" i="6" s="1"/>
  <c r="G228" i="6" s="1"/>
  <c r="G118" i="44"/>
  <c r="F92" i="6" s="1"/>
  <c r="F228" i="6" s="1"/>
  <c r="F118" i="44"/>
  <c r="E92" i="6" s="1"/>
  <c r="E228" i="6" s="1"/>
  <c r="L118" i="44"/>
  <c r="K92" i="6" s="1"/>
  <c r="K228" i="6" s="1"/>
  <c r="P118" i="44"/>
  <c r="O92" i="6" s="1"/>
  <c r="O228" i="6" s="1"/>
  <c r="N118" i="44"/>
  <c r="M92" i="6" s="1"/>
  <c r="M228" i="6" s="1"/>
  <c r="Q118" i="44"/>
  <c r="P92" i="6" s="1"/>
  <c r="P228" i="6" s="1"/>
  <c r="M118" i="44"/>
  <c r="L92" i="6" s="1"/>
  <c r="L228" i="6" s="1"/>
  <c r="O118" i="44"/>
  <c r="N92" i="6" s="1"/>
  <c r="N228" i="6" s="1"/>
  <c r="I146" i="44"/>
  <c r="H96" i="31" s="1"/>
  <c r="H166" i="31" s="1"/>
  <c r="G146" i="44"/>
  <c r="F96" i="31" s="1"/>
  <c r="F166" i="31" s="1"/>
  <c r="F146" i="44"/>
  <c r="K146" i="44"/>
  <c r="J96" i="31" s="1"/>
  <c r="J166" i="31" s="1"/>
  <c r="J146" i="44"/>
  <c r="I96" i="31" s="1"/>
  <c r="I166" i="31" s="1"/>
  <c r="H146" i="44"/>
  <c r="G96" i="31" s="1"/>
  <c r="G166" i="31" s="1"/>
  <c r="L146" i="44"/>
  <c r="K96" i="31" s="1"/>
  <c r="K166" i="31" s="1"/>
  <c r="Q146" i="44"/>
  <c r="P96" i="31" s="1"/>
  <c r="P166" i="31" s="1"/>
  <c r="P146" i="44"/>
  <c r="O96" i="31" s="1"/>
  <c r="O166" i="31" s="1"/>
  <c r="O146" i="44"/>
  <c r="N96" i="31" s="1"/>
  <c r="N166" i="31" s="1"/>
  <c r="N146" i="44"/>
  <c r="M96" i="31" s="1"/>
  <c r="M166" i="31" s="1"/>
  <c r="M146" i="44"/>
  <c r="L96" i="31" s="1"/>
  <c r="L166" i="31" s="1"/>
  <c r="P112" i="44"/>
  <c r="O112" i="44"/>
  <c r="N112" i="44"/>
  <c r="M112" i="44"/>
  <c r="K112" i="44"/>
  <c r="J112" i="44"/>
  <c r="I112" i="44"/>
  <c r="Q112" i="44"/>
  <c r="L112" i="44"/>
  <c r="H112" i="44"/>
  <c r="G112" i="44"/>
  <c r="F112" i="44"/>
  <c r="G145" i="44"/>
  <c r="F96" i="10" s="1"/>
  <c r="F167" i="10" s="1"/>
  <c r="F145" i="44"/>
  <c r="Q145" i="44"/>
  <c r="P96" i="10" s="1"/>
  <c r="P167" i="10" s="1"/>
  <c r="O145" i="44"/>
  <c r="N96" i="10" s="1"/>
  <c r="N167" i="10" s="1"/>
  <c r="N145" i="44"/>
  <c r="M96" i="10" s="1"/>
  <c r="M167" i="10" s="1"/>
  <c r="P145" i="44"/>
  <c r="O96" i="10" s="1"/>
  <c r="O167" i="10" s="1"/>
  <c r="M145" i="44"/>
  <c r="L96" i="10" s="1"/>
  <c r="L167" i="10" s="1"/>
  <c r="L145" i="44"/>
  <c r="K96" i="10" s="1"/>
  <c r="K167" i="10" s="1"/>
  <c r="K145" i="44"/>
  <c r="J96" i="10" s="1"/>
  <c r="J167" i="10" s="1"/>
  <c r="J145" i="44"/>
  <c r="I96" i="10" s="1"/>
  <c r="I167" i="10" s="1"/>
  <c r="I145" i="44"/>
  <c r="H96" i="10" s="1"/>
  <c r="H167" i="10" s="1"/>
  <c r="H145" i="44"/>
  <c r="G96" i="10" s="1"/>
  <c r="G167" i="10" s="1"/>
  <c r="G85" i="44"/>
  <c r="F77" i="6" s="1"/>
  <c r="F225" i="6" s="1"/>
  <c r="E35" i="44"/>
  <c r="E49" i="6"/>
  <c r="Q49" i="6" s="1"/>
  <c r="Q50" i="6" s="1"/>
  <c r="R28" i="44"/>
  <c r="E49" i="32"/>
  <c r="R34" i="44"/>
  <c r="F49" i="22"/>
  <c r="G35" i="44"/>
  <c r="G49" i="22"/>
  <c r="H35" i="44"/>
  <c r="H49" i="22"/>
  <c r="I35" i="44"/>
  <c r="E49" i="9"/>
  <c r="R31" i="44"/>
  <c r="J49" i="22"/>
  <c r="K35" i="44"/>
  <c r="K49" i="22"/>
  <c r="L35" i="44"/>
  <c r="E49" i="31"/>
  <c r="R33" i="44"/>
  <c r="L49" i="22"/>
  <c r="M35" i="44"/>
  <c r="M49" i="22"/>
  <c r="N35" i="44"/>
  <c r="E49" i="10"/>
  <c r="R32" i="44"/>
  <c r="N49" i="22"/>
  <c r="O35" i="44"/>
  <c r="O49" i="22"/>
  <c r="P35" i="44"/>
  <c r="E49" i="8"/>
  <c r="R30" i="44"/>
  <c r="Q35" i="44"/>
  <c r="P49" i="22"/>
  <c r="I49" i="22"/>
  <c r="J35" i="44"/>
  <c r="E49" i="22"/>
  <c r="R29" i="44"/>
  <c r="F35" i="44"/>
  <c r="K163" i="44"/>
  <c r="H163" i="44"/>
  <c r="I163" i="44"/>
  <c r="L163" i="44"/>
  <c r="O163" i="44"/>
  <c r="P163" i="44"/>
  <c r="Q163" i="44"/>
  <c r="M163" i="44"/>
  <c r="N163" i="44"/>
  <c r="J163" i="44"/>
  <c r="H101" i="6"/>
  <c r="H232" i="6" s="1"/>
  <c r="I192" i="44"/>
  <c r="J192" i="44"/>
  <c r="R185" i="44"/>
  <c r="J101" i="6"/>
  <c r="J232" i="6" s="1"/>
  <c r="K192" i="44"/>
  <c r="H192" i="44"/>
  <c r="G101" i="6"/>
  <c r="G232" i="6" s="1"/>
  <c r="Q192" i="44"/>
  <c r="P101" i="6"/>
  <c r="P232" i="6" s="1"/>
  <c r="N192" i="44"/>
  <c r="M101" i="6"/>
  <c r="M232" i="6" s="1"/>
  <c r="N101" i="6"/>
  <c r="N232" i="6" s="1"/>
  <c r="O192" i="44"/>
  <c r="K101" i="6"/>
  <c r="K232" i="6" s="1"/>
  <c r="L192" i="44"/>
  <c r="M192" i="44"/>
  <c r="L101" i="6"/>
  <c r="L232" i="6" s="1"/>
  <c r="P192" i="44"/>
  <c r="O101" i="6"/>
  <c r="O232" i="6" s="1"/>
  <c r="D148" i="44"/>
  <c r="E101" i="6"/>
  <c r="E232" i="6" s="1"/>
  <c r="F192" i="44"/>
  <c r="E101" i="8"/>
  <c r="E240" i="8" s="1"/>
  <c r="R187" i="44"/>
  <c r="F101" i="6"/>
  <c r="F232" i="6" s="1"/>
  <c r="G192" i="44"/>
  <c r="G164" i="44"/>
  <c r="M164" i="44"/>
  <c r="F164" i="44"/>
  <c r="E99" i="22" s="1"/>
  <c r="Q164" i="44"/>
  <c r="L164" i="44"/>
  <c r="P164" i="44"/>
  <c r="O164" i="44"/>
  <c r="N164" i="44"/>
  <c r="J164" i="44"/>
  <c r="K164" i="44"/>
  <c r="H164" i="44"/>
  <c r="I164" i="44"/>
  <c r="O168" i="44"/>
  <c r="N168" i="44"/>
  <c r="M168" i="44"/>
  <c r="L168" i="44"/>
  <c r="K168" i="44"/>
  <c r="J168" i="44"/>
  <c r="I168" i="44"/>
  <c r="H168" i="44"/>
  <c r="G168" i="44"/>
  <c r="F168" i="44"/>
  <c r="E99" i="31" s="1"/>
  <c r="P168" i="44"/>
  <c r="F181" i="44"/>
  <c r="E148" i="44"/>
  <c r="I165" i="44"/>
  <c r="H165" i="44"/>
  <c r="F165" i="44"/>
  <c r="O165" i="44"/>
  <c r="G165" i="44"/>
  <c r="N165" i="44"/>
  <c r="Q165" i="44"/>
  <c r="P165" i="44"/>
  <c r="K165" i="44"/>
  <c r="J165" i="44"/>
  <c r="M165" i="44"/>
  <c r="L165" i="44"/>
  <c r="H78" i="6"/>
  <c r="H226" i="6" s="1"/>
  <c r="E78" i="6"/>
  <c r="E226" i="6" s="1"/>
  <c r="R96" i="44"/>
  <c r="K166" i="44"/>
  <c r="J166" i="44"/>
  <c r="I166" i="44"/>
  <c r="Q166" i="44"/>
  <c r="G166" i="44"/>
  <c r="H166" i="44"/>
  <c r="P166" i="44"/>
  <c r="F166" i="44"/>
  <c r="E99" i="9" s="1"/>
  <c r="O166" i="44"/>
  <c r="N166" i="44"/>
  <c r="M166" i="44"/>
  <c r="L166" i="44"/>
  <c r="I169" i="44"/>
  <c r="J169" i="44"/>
  <c r="F169" i="44"/>
  <c r="E99" i="32" s="1"/>
  <c r="K169" i="44"/>
  <c r="L169" i="44"/>
  <c r="M169" i="44"/>
  <c r="N169" i="44"/>
  <c r="O169" i="44"/>
  <c r="P169" i="44"/>
  <c r="Q169" i="44"/>
  <c r="G169" i="44"/>
  <c r="H169" i="44"/>
  <c r="M167" i="44"/>
  <c r="L167" i="44"/>
  <c r="J167" i="44"/>
  <c r="K167" i="44"/>
  <c r="I167" i="44"/>
  <c r="H167" i="44"/>
  <c r="G167" i="44"/>
  <c r="F167" i="44"/>
  <c r="E99" i="10" s="1"/>
  <c r="N167" i="44"/>
  <c r="P167" i="44"/>
  <c r="Q167" i="44"/>
  <c r="O167" i="44"/>
  <c r="N78" i="6"/>
  <c r="N226" i="6" s="1"/>
  <c r="K78" i="6"/>
  <c r="K226" i="6" s="1"/>
  <c r="R180" i="44"/>
  <c r="E114" i="44"/>
  <c r="G13" i="44"/>
  <c r="E170" i="44"/>
  <c r="F92" i="44"/>
  <c r="F27" i="8"/>
  <c r="F220" i="8" s="1"/>
  <c r="F27" i="22"/>
  <c r="F245" i="22" s="1"/>
  <c r="G27" i="6"/>
  <c r="G212" i="6" s="1"/>
  <c r="F27" i="31"/>
  <c r="F148" i="31" s="1"/>
  <c r="G91" i="44"/>
  <c r="E77" i="32"/>
  <c r="F100" i="22"/>
  <c r="F100" i="32"/>
  <c r="F100" i="31"/>
  <c r="G86" i="44"/>
  <c r="E77" i="22"/>
  <c r="E258" i="22" s="1"/>
  <c r="F100" i="8"/>
  <c r="E99" i="6"/>
  <c r="R107" i="44"/>
  <c r="D170" i="44"/>
  <c r="E77" i="8"/>
  <c r="E233" i="8" s="1"/>
  <c r="G87" i="44"/>
  <c r="E77" i="9"/>
  <c r="E260" i="9" s="1"/>
  <c r="G88" i="44"/>
  <c r="G90" i="44"/>
  <c r="E77" i="31"/>
  <c r="E161" i="31" s="1"/>
  <c r="G89" i="44"/>
  <c r="E77" i="10"/>
  <c r="E162" i="10" s="1"/>
  <c r="D114" i="44"/>
  <c r="F27" i="9"/>
  <c r="F247" i="9" s="1"/>
  <c r="F100" i="6"/>
  <c r="G181" i="44"/>
  <c r="F100" i="10"/>
  <c r="F100" i="9"/>
  <c r="F27" i="10"/>
  <c r="F149" i="10" s="1"/>
  <c r="G21" i="46"/>
  <c r="Q226" i="6" l="1"/>
  <c r="Q232" i="6"/>
  <c r="Q228" i="6"/>
  <c r="Q230" i="6"/>
  <c r="I208" i="44"/>
  <c r="H215" i="44"/>
  <c r="E19" i="22"/>
  <c r="H85" i="44"/>
  <c r="I85" i="44" s="1"/>
  <c r="Q154" i="44"/>
  <c r="P98" i="8" s="1"/>
  <c r="P239" i="8" s="1"/>
  <c r="P154" i="44"/>
  <c r="O98" i="8" s="1"/>
  <c r="O239" i="8" s="1"/>
  <c r="O154" i="44"/>
  <c r="N98" i="8" s="1"/>
  <c r="N239" i="8" s="1"/>
  <c r="N154" i="44"/>
  <c r="M98" i="8" s="1"/>
  <c r="M239" i="8" s="1"/>
  <c r="M154" i="44"/>
  <c r="L98" i="8" s="1"/>
  <c r="L239" i="8" s="1"/>
  <c r="F154" i="44"/>
  <c r="G154" i="44"/>
  <c r="F98" i="8" s="1"/>
  <c r="F239" i="8" s="1"/>
  <c r="L154" i="44"/>
  <c r="K98" i="8" s="1"/>
  <c r="K239" i="8" s="1"/>
  <c r="K154" i="44"/>
  <c r="J98" i="8" s="1"/>
  <c r="J239" i="8" s="1"/>
  <c r="J154" i="44"/>
  <c r="I98" i="8" s="1"/>
  <c r="I239" i="8" s="1"/>
  <c r="I154" i="44"/>
  <c r="H98" i="8" s="1"/>
  <c r="H239" i="8" s="1"/>
  <c r="H154" i="44"/>
  <c r="G98" i="8" s="1"/>
  <c r="G239" i="8" s="1"/>
  <c r="L121" i="44"/>
  <c r="K92" i="9" s="1"/>
  <c r="K263" i="9" s="1"/>
  <c r="O121" i="44"/>
  <c r="N92" i="9" s="1"/>
  <c r="N263" i="9" s="1"/>
  <c r="N121" i="44"/>
  <c r="M92" i="9" s="1"/>
  <c r="M263" i="9" s="1"/>
  <c r="M121" i="44"/>
  <c r="L92" i="9" s="1"/>
  <c r="L263" i="9" s="1"/>
  <c r="P121" i="44"/>
  <c r="O92" i="9" s="1"/>
  <c r="O263" i="9" s="1"/>
  <c r="Q121" i="44"/>
  <c r="P92" i="9" s="1"/>
  <c r="P263" i="9" s="1"/>
  <c r="G121" i="44"/>
  <c r="F92" i="9" s="1"/>
  <c r="F263" i="9" s="1"/>
  <c r="J121" i="44"/>
  <c r="I92" i="9" s="1"/>
  <c r="I263" i="9" s="1"/>
  <c r="K121" i="44"/>
  <c r="J92" i="9" s="1"/>
  <c r="J263" i="9" s="1"/>
  <c r="F121" i="44"/>
  <c r="E92" i="9" s="1"/>
  <c r="E263" i="9" s="1"/>
  <c r="I121" i="44"/>
  <c r="H92" i="9" s="1"/>
  <c r="H263" i="9" s="1"/>
  <c r="H121" i="44"/>
  <c r="G92" i="9" s="1"/>
  <c r="G263" i="9" s="1"/>
  <c r="R141" i="44"/>
  <c r="K158" i="44"/>
  <c r="J98" i="32" s="1"/>
  <c r="J158" i="44"/>
  <c r="I98" i="32" s="1"/>
  <c r="I158" i="44"/>
  <c r="H98" i="32" s="1"/>
  <c r="H158" i="44"/>
  <c r="G98" i="32" s="1"/>
  <c r="G158" i="44"/>
  <c r="F98" i="32" s="1"/>
  <c r="P158" i="44"/>
  <c r="O98" i="32" s="1"/>
  <c r="O158" i="44"/>
  <c r="N98" i="32" s="1"/>
  <c r="Q158" i="44"/>
  <c r="P98" i="32" s="1"/>
  <c r="N158" i="44"/>
  <c r="M98" i="32" s="1"/>
  <c r="M158" i="44"/>
  <c r="L98" i="32" s="1"/>
  <c r="L158" i="44"/>
  <c r="K98" i="32" s="1"/>
  <c r="F158" i="44"/>
  <c r="E98" i="32" s="1"/>
  <c r="Q155" i="44"/>
  <c r="P98" i="9" s="1"/>
  <c r="P266" i="9" s="1"/>
  <c r="P155" i="44"/>
  <c r="O98" i="9" s="1"/>
  <c r="O266" i="9" s="1"/>
  <c r="O155" i="44"/>
  <c r="N98" i="9" s="1"/>
  <c r="N266" i="9" s="1"/>
  <c r="M155" i="44"/>
  <c r="L98" i="9" s="1"/>
  <c r="L266" i="9" s="1"/>
  <c r="I155" i="44"/>
  <c r="H98" i="9" s="1"/>
  <c r="H266" i="9" s="1"/>
  <c r="H155" i="44"/>
  <c r="G98" i="9" s="1"/>
  <c r="G266" i="9" s="1"/>
  <c r="L155" i="44"/>
  <c r="K98" i="9" s="1"/>
  <c r="K266" i="9" s="1"/>
  <c r="K155" i="44"/>
  <c r="J98" i="9" s="1"/>
  <c r="J266" i="9" s="1"/>
  <c r="J155" i="44"/>
  <c r="I98" i="9" s="1"/>
  <c r="I266" i="9" s="1"/>
  <c r="G155" i="44"/>
  <c r="F98" i="9" s="1"/>
  <c r="F266" i="9" s="1"/>
  <c r="N155" i="44"/>
  <c r="M98" i="9" s="1"/>
  <c r="M266" i="9" s="1"/>
  <c r="F155" i="44"/>
  <c r="R118" i="44"/>
  <c r="E96" i="32"/>
  <c r="R147" i="44"/>
  <c r="G123" i="44"/>
  <c r="F92" i="31" s="1"/>
  <c r="F164" i="31" s="1"/>
  <c r="H123" i="44"/>
  <c r="G92" i="31" s="1"/>
  <c r="G164" i="31" s="1"/>
  <c r="N123" i="44"/>
  <c r="M92" i="31" s="1"/>
  <c r="M164" i="31" s="1"/>
  <c r="M123" i="44"/>
  <c r="L92" i="31" s="1"/>
  <c r="L164" i="31" s="1"/>
  <c r="Q123" i="44"/>
  <c r="P92" i="31" s="1"/>
  <c r="P164" i="31" s="1"/>
  <c r="P123" i="44"/>
  <c r="O92" i="31" s="1"/>
  <c r="O164" i="31" s="1"/>
  <c r="O123" i="44"/>
  <c r="N92" i="31" s="1"/>
  <c r="N164" i="31" s="1"/>
  <c r="L123" i="44"/>
  <c r="K92" i="31" s="1"/>
  <c r="K164" i="31" s="1"/>
  <c r="K123" i="44"/>
  <c r="J92" i="31" s="1"/>
  <c r="J164" i="31" s="1"/>
  <c r="J123" i="44"/>
  <c r="I92" i="31" s="1"/>
  <c r="I164" i="31" s="1"/>
  <c r="I123" i="44"/>
  <c r="H92" i="31" s="1"/>
  <c r="H164" i="31" s="1"/>
  <c r="F123" i="44"/>
  <c r="E92" i="31" s="1"/>
  <c r="E164" i="31" s="1"/>
  <c r="R113" i="44"/>
  <c r="G156" i="44"/>
  <c r="F98" i="10" s="1"/>
  <c r="F168" i="10" s="1"/>
  <c r="F156" i="44"/>
  <c r="Q156" i="44"/>
  <c r="P98" i="10" s="1"/>
  <c r="P168" i="10" s="1"/>
  <c r="P156" i="44"/>
  <c r="O98" i="10" s="1"/>
  <c r="O168" i="10" s="1"/>
  <c r="O156" i="44"/>
  <c r="N98" i="10" s="1"/>
  <c r="N168" i="10" s="1"/>
  <c r="N156" i="44"/>
  <c r="M98" i="10" s="1"/>
  <c r="M168" i="10" s="1"/>
  <c r="M156" i="44"/>
  <c r="L98" i="10" s="1"/>
  <c r="L168" i="10" s="1"/>
  <c r="L156" i="44"/>
  <c r="K98" i="10" s="1"/>
  <c r="K168" i="10" s="1"/>
  <c r="I156" i="44"/>
  <c r="H98" i="10" s="1"/>
  <c r="H168" i="10" s="1"/>
  <c r="K156" i="44"/>
  <c r="J98" i="10" s="1"/>
  <c r="J168" i="10" s="1"/>
  <c r="J156" i="44"/>
  <c r="I98" i="10" s="1"/>
  <c r="I168" i="10" s="1"/>
  <c r="H156" i="44"/>
  <c r="G98" i="10" s="1"/>
  <c r="G168" i="10" s="1"/>
  <c r="D125" i="44"/>
  <c r="Q124" i="44"/>
  <c r="P92" i="32" s="1"/>
  <c r="H124" i="44"/>
  <c r="G92" i="32" s="1"/>
  <c r="G124" i="44"/>
  <c r="F92" i="32" s="1"/>
  <c r="F124" i="44"/>
  <c r="I124" i="44"/>
  <c r="H92" i="32" s="1"/>
  <c r="P124" i="44"/>
  <c r="O92" i="32" s="1"/>
  <c r="O124" i="44"/>
  <c r="N92" i="32" s="1"/>
  <c r="N124" i="44"/>
  <c r="M92" i="32" s="1"/>
  <c r="M124" i="44"/>
  <c r="L92" i="32" s="1"/>
  <c r="L124" i="44"/>
  <c r="K92" i="32" s="1"/>
  <c r="K124" i="44"/>
  <c r="J92" i="32" s="1"/>
  <c r="J124" i="44"/>
  <c r="I92" i="32" s="1"/>
  <c r="J122" i="44"/>
  <c r="I92" i="10" s="1"/>
  <c r="I165" i="10" s="1"/>
  <c r="Q122" i="44"/>
  <c r="P92" i="10" s="1"/>
  <c r="P165" i="10" s="1"/>
  <c r="P122" i="44"/>
  <c r="O92" i="10" s="1"/>
  <c r="O165" i="10" s="1"/>
  <c r="K122" i="44"/>
  <c r="J92" i="10" s="1"/>
  <c r="J165" i="10" s="1"/>
  <c r="N122" i="44"/>
  <c r="M92" i="10" s="1"/>
  <c r="M165" i="10" s="1"/>
  <c r="M122" i="44"/>
  <c r="L92" i="10" s="1"/>
  <c r="L165" i="10" s="1"/>
  <c r="L122" i="44"/>
  <c r="K92" i="10" s="1"/>
  <c r="K165" i="10" s="1"/>
  <c r="O122" i="44"/>
  <c r="N92" i="10" s="1"/>
  <c r="N165" i="10" s="1"/>
  <c r="I122" i="44"/>
  <c r="H92" i="10" s="1"/>
  <c r="H165" i="10" s="1"/>
  <c r="H122" i="44"/>
  <c r="G92" i="10" s="1"/>
  <c r="G165" i="10" s="1"/>
  <c r="F122" i="44"/>
  <c r="E92" i="10" s="1"/>
  <c r="E165" i="10" s="1"/>
  <c r="G122" i="44"/>
  <c r="F92" i="10" s="1"/>
  <c r="F165" i="10" s="1"/>
  <c r="O153" i="44"/>
  <c r="N98" i="22" s="1"/>
  <c r="N264" i="22" s="1"/>
  <c r="N153" i="44"/>
  <c r="M98" i="22" s="1"/>
  <c r="M264" i="22" s="1"/>
  <c r="M153" i="44"/>
  <c r="L98" i="22" s="1"/>
  <c r="L264" i="22" s="1"/>
  <c r="L153" i="44"/>
  <c r="K98" i="22" s="1"/>
  <c r="K264" i="22" s="1"/>
  <c r="K153" i="44"/>
  <c r="J98" i="22" s="1"/>
  <c r="J264" i="22" s="1"/>
  <c r="I153" i="44"/>
  <c r="H98" i="22" s="1"/>
  <c r="H264" i="22" s="1"/>
  <c r="Q153" i="44"/>
  <c r="P98" i="22" s="1"/>
  <c r="P264" i="22" s="1"/>
  <c r="P153" i="44"/>
  <c r="O98" i="22" s="1"/>
  <c r="O264" i="22" s="1"/>
  <c r="J153" i="44"/>
  <c r="I98" i="22" s="1"/>
  <c r="I264" i="22" s="1"/>
  <c r="H153" i="44"/>
  <c r="G98" i="22" s="1"/>
  <c r="G264" i="22" s="1"/>
  <c r="G153" i="44"/>
  <c r="F98" i="22" s="1"/>
  <c r="F264" i="22" s="1"/>
  <c r="F153" i="44"/>
  <c r="I157" i="44"/>
  <c r="H98" i="31" s="1"/>
  <c r="H167" i="31" s="1"/>
  <c r="H157" i="44"/>
  <c r="G98" i="31" s="1"/>
  <c r="G167" i="31" s="1"/>
  <c r="G157" i="44"/>
  <c r="F98" i="31" s="1"/>
  <c r="F167" i="31" s="1"/>
  <c r="F157" i="44"/>
  <c r="M157" i="44"/>
  <c r="L98" i="31" s="1"/>
  <c r="L167" i="31" s="1"/>
  <c r="J157" i="44"/>
  <c r="I98" i="31" s="1"/>
  <c r="I167" i="31" s="1"/>
  <c r="L157" i="44"/>
  <c r="K98" i="31" s="1"/>
  <c r="K167" i="31" s="1"/>
  <c r="K157" i="44"/>
  <c r="J98" i="31" s="1"/>
  <c r="J167" i="31" s="1"/>
  <c r="N157" i="44"/>
  <c r="M98" i="31" s="1"/>
  <c r="M167" i="31" s="1"/>
  <c r="Q157" i="44"/>
  <c r="P98" i="31" s="1"/>
  <c r="P167" i="31" s="1"/>
  <c r="P157" i="44"/>
  <c r="O98" i="31" s="1"/>
  <c r="O167" i="31" s="1"/>
  <c r="O157" i="44"/>
  <c r="N98" i="31" s="1"/>
  <c r="N167" i="31" s="1"/>
  <c r="N120" i="44"/>
  <c r="M92" i="8" s="1"/>
  <c r="M236" i="8" s="1"/>
  <c r="Q120" i="44"/>
  <c r="P92" i="8" s="1"/>
  <c r="P236" i="8" s="1"/>
  <c r="P120" i="44"/>
  <c r="O92" i="8" s="1"/>
  <c r="O236" i="8" s="1"/>
  <c r="O120" i="44"/>
  <c r="N92" i="8" s="1"/>
  <c r="N236" i="8" s="1"/>
  <c r="L120" i="44"/>
  <c r="K92" i="8" s="1"/>
  <c r="K236" i="8" s="1"/>
  <c r="F120" i="44"/>
  <c r="E92" i="8" s="1"/>
  <c r="E236" i="8" s="1"/>
  <c r="K120" i="44"/>
  <c r="J92" i="8" s="1"/>
  <c r="J236" i="8" s="1"/>
  <c r="M120" i="44"/>
  <c r="L92" i="8" s="1"/>
  <c r="L236" i="8" s="1"/>
  <c r="J120" i="44"/>
  <c r="I92" i="8" s="1"/>
  <c r="I236" i="8" s="1"/>
  <c r="I120" i="44"/>
  <c r="H92" i="8" s="1"/>
  <c r="H236" i="8" s="1"/>
  <c r="G120" i="44"/>
  <c r="F92" i="8" s="1"/>
  <c r="F236" i="8" s="1"/>
  <c r="H120" i="44"/>
  <c r="G92" i="8" s="1"/>
  <c r="G236" i="8" s="1"/>
  <c r="P119" i="44"/>
  <c r="O92" i="22" s="1"/>
  <c r="O261" i="22" s="1"/>
  <c r="Q119" i="44"/>
  <c r="P92" i="22" s="1"/>
  <c r="P261" i="22" s="1"/>
  <c r="K119" i="44"/>
  <c r="N119" i="44"/>
  <c r="M92" i="22" s="1"/>
  <c r="M261" i="22" s="1"/>
  <c r="L119" i="44"/>
  <c r="I119" i="44"/>
  <c r="O119" i="44"/>
  <c r="N92" i="22" s="1"/>
  <c r="N261" i="22" s="1"/>
  <c r="F119" i="44"/>
  <c r="E92" i="22" s="1"/>
  <c r="E261" i="22" s="1"/>
  <c r="H119" i="44"/>
  <c r="G119" i="44"/>
  <c r="M119" i="44"/>
  <c r="L92" i="22" s="1"/>
  <c r="L261" i="22" s="1"/>
  <c r="J119" i="44"/>
  <c r="I92" i="22" s="1"/>
  <c r="I261" i="22" s="1"/>
  <c r="R35" i="44"/>
  <c r="F170" i="44"/>
  <c r="E103" i="44"/>
  <c r="D159" i="44"/>
  <c r="R192" i="44"/>
  <c r="O97" i="44"/>
  <c r="F97" i="44"/>
  <c r="I97" i="44"/>
  <c r="L97" i="44"/>
  <c r="D103" i="44"/>
  <c r="O101" i="44"/>
  <c r="N78" i="31" s="1"/>
  <c r="N162" i="31" s="1"/>
  <c r="I101" i="44"/>
  <c r="H78" i="31" s="1"/>
  <c r="H162" i="31" s="1"/>
  <c r="F101" i="44"/>
  <c r="L101" i="44"/>
  <c r="K78" i="31" s="1"/>
  <c r="K162" i="31" s="1"/>
  <c r="I100" i="44"/>
  <c r="H78" i="10" s="1"/>
  <c r="H163" i="10" s="1"/>
  <c r="L100" i="44"/>
  <c r="K78" i="10" s="1"/>
  <c r="K163" i="10" s="1"/>
  <c r="F100" i="44"/>
  <c r="O100" i="44"/>
  <c r="N78" i="10" s="1"/>
  <c r="N163" i="10" s="1"/>
  <c r="O98" i="44"/>
  <c r="N78" i="8" s="1"/>
  <c r="N234" i="8" s="1"/>
  <c r="F98" i="44"/>
  <c r="L98" i="44"/>
  <c r="K78" i="8" s="1"/>
  <c r="K234" i="8" s="1"/>
  <c r="I98" i="44"/>
  <c r="H78" i="8" s="1"/>
  <c r="H234" i="8" s="1"/>
  <c r="E99" i="8"/>
  <c r="I99" i="44"/>
  <c r="H78" i="9" s="1"/>
  <c r="H261" i="9" s="1"/>
  <c r="L99" i="44"/>
  <c r="K78" i="9" s="1"/>
  <c r="K261" i="9" s="1"/>
  <c r="F99" i="44"/>
  <c r="O99" i="44"/>
  <c r="N78" i="9" s="1"/>
  <c r="N261" i="9" s="1"/>
  <c r="F102" i="44"/>
  <c r="O102" i="44"/>
  <c r="N78" i="32" s="1"/>
  <c r="I102" i="44"/>
  <c r="H78" i="32" s="1"/>
  <c r="L102" i="44"/>
  <c r="K78" i="32" s="1"/>
  <c r="N148" i="44"/>
  <c r="E159" i="44"/>
  <c r="H148" i="44"/>
  <c r="H13" i="44"/>
  <c r="F148" i="44"/>
  <c r="O114" i="44"/>
  <c r="G92" i="44"/>
  <c r="M98" i="6"/>
  <c r="M231" i="6" s="1"/>
  <c r="F99" i="8"/>
  <c r="G27" i="10"/>
  <c r="G149" i="10" s="1"/>
  <c r="G100" i="6"/>
  <c r="H181" i="44"/>
  <c r="Q148" i="44"/>
  <c r="F77" i="8"/>
  <c r="F233" i="8" s="1"/>
  <c r="H87" i="44"/>
  <c r="G100" i="8"/>
  <c r="I98" i="6"/>
  <c r="I231" i="6" s="1"/>
  <c r="R109" i="44"/>
  <c r="H90" i="44"/>
  <c r="F77" i="31"/>
  <c r="F161" i="31" s="1"/>
  <c r="H98" i="6"/>
  <c r="H231" i="6" s="1"/>
  <c r="G27" i="31"/>
  <c r="G148" i="31" s="1"/>
  <c r="K98" i="6"/>
  <c r="K231" i="6" s="1"/>
  <c r="H91" i="44"/>
  <c r="F77" i="32"/>
  <c r="R108" i="44"/>
  <c r="F99" i="9"/>
  <c r="F99" i="32"/>
  <c r="F114" i="44"/>
  <c r="F99" i="22"/>
  <c r="G98" i="6"/>
  <c r="G231" i="6" s="1"/>
  <c r="G114" i="44"/>
  <c r="Q114" i="44"/>
  <c r="P98" i="6"/>
  <c r="P231" i="6" s="1"/>
  <c r="G100" i="31"/>
  <c r="E96" i="31"/>
  <c r="E166" i="31" s="1"/>
  <c r="R146" i="44"/>
  <c r="R112" i="44"/>
  <c r="G27" i="8"/>
  <c r="G220" i="8" s="1"/>
  <c r="P114" i="44"/>
  <c r="N114" i="44"/>
  <c r="O98" i="6"/>
  <c r="O231" i="6" s="1"/>
  <c r="E96" i="10"/>
  <c r="E167" i="10" s="1"/>
  <c r="R145" i="44"/>
  <c r="R110" i="44"/>
  <c r="H27" i="6"/>
  <c r="H212" i="6" s="1"/>
  <c r="E96" i="9"/>
  <c r="E265" i="9" s="1"/>
  <c r="R144" i="44"/>
  <c r="G100" i="32"/>
  <c r="O148" i="44"/>
  <c r="G27" i="9"/>
  <c r="G247" i="9" s="1"/>
  <c r="F77" i="9"/>
  <c r="F260" i="9" s="1"/>
  <c r="H88" i="44"/>
  <c r="J148" i="44"/>
  <c r="F98" i="6"/>
  <c r="F231" i="6" s="1"/>
  <c r="H89" i="44"/>
  <c r="F77" i="10"/>
  <c r="F162" i="10" s="1"/>
  <c r="E98" i="6"/>
  <c r="R152" i="44"/>
  <c r="M148" i="44"/>
  <c r="G100" i="22"/>
  <c r="I148" i="44"/>
  <c r="L114" i="44"/>
  <c r="K148" i="44"/>
  <c r="P148" i="44"/>
  <c r="J114" i="44"/>
  <c r="R142" i="44"/>
  <c r="E96" i="22"/>
  <c r="E263" i="22" s="1"/>
  <c r="N98" i="6"/>
  <c r="N231" i="6" s="1"/>
  <c r="G100" i="9"/>
  <c r="G100" i="10"/>
  <c r="E96" i="8"/>
  <c r="E238" i="8" s="1"/>
  <c r="R143" i="44"/>
  <c r="F99" i="31"/>
  <c r="F77" i="22"/>
  <c r="F258" i="22" s="1"/>
  <c r="H86" i="44"/>
  <c r="L98" i="6"/>
  <c r="L231" i="6" s="1"/>
  <c r="G27" i="22"/>
  <c r="G245" i="22" s="1"/>
  <c r="K114" i="44"/>
  <c r="M114" i="44"/>
  <c r="L148" i="44"/>
  <c r="R111" i="44"/>
  <c r="I114" i="44"/>
  <c r="F99" i="6"/>
  <c r="G170" i="44"/>
  <c r="J98" i="6"/>
  <c r="J231" i="6" s="1"/>
  <c r="H114" i="44"/>
  <c r="G148" i="44"/>
  <c r="F99" i="10"/>
  <c r="L22" i="46"/>
  <c r="L21" i="46"/>
  <c r="E103" i="6" l="1"/>
  <c r="E231" i="6"/>
  <c r="Q231" i="6" s="1"/>
  <c r="J208" i="44"/>
  <c r="I215" i="44"/>
  <c r="G77" i="6"/>
  <c r="G225" i="6" s="1"/>
  <c r="Q92" i="8"/>
  <c r="R74" i="44"/>
  <c r="H125" i="44"/>
  <c r="G92" i="22"/>
  <c r="G261" i="22" s="1"/>
  <c r="R53" i="44"/>
  <c r="J125" i="44"/>
  <c r="G125" i="44"/>
  <c r="F92" i="22"/>
  <c r="F261" i="22" s="1"/>
  <c r="R120" i="44"/>
  <c r="N125" i="44"/>
  <c r="R119" i="44"/>
  <c r="O125" i="44"/>
  <c r="Q125" i="44"/>
  <c r="F125" i="44"/>
  <c r="R124" i="44"/>
  <c r="I125" i="44"/>
  <c r="R122" i="44"/>
  <c r="K125" i="44"/>
  <c r="J92" i="22"/>
  <c r="J261" i="22" s="1"/>
  <c r="E92" i="32"/>
  <c r="M125" i="44"/>
  <c r="R123" i="44"/>
  <c r="R55" i="44"/>
  <c r="R121" i="44"/>
  <c r="L125" i="44"/>
  <c r="K92" i="22"/>
  <c r="K261" i="22" s="1"/>
  <c r="P125" i="44"/>
  <c r="R52" i="44"/>
  <c r="R54" i="44"/>
  <c r="H92" i="22"/>
  <c r="H261" i="22" s="1"/>
  <c r="J78" i="32"/>
  <c r="K103" i="44"/>
  <c r="E78" i="31"/>
  <c r="E162" i="31" s="1"/>
  <c r="R101" i="44"/>
  <c r="G78" i="32"/>
  <c r="H103" i="44"/>
  <c r="I78" i="32"/>
  <c r="J103" i="44"/>
  <c r="M78" i="32"/>
  <c r="N103" i="44"/>
  <c r="K78" i="22"/>
  <c r="K259" i="22" s="1"/>
  <c r="L103" i="44"/>
  <c r="E78" i="32"/>
  <c r="R102" i="44"/>
  <c r="H78" i="22"/>
  <c r="H259" i="22" s="1"/>
  <c r="I103" i="44"/>
  <c r="O78" i="32"/>
  <c r="P103" i="44"/>
  <c r="P78" i="32"/>
  <c r="Q103" i="44"/>
  <c r="E78" i="22"/>
  <c r="E259" i="22" s="1"/>
  <c r="R97" i="44"/>
  <c r="F103" i="44"/>
  <c r="E78" i="8"/>
  <c r="E234" i="8" s="1"/>
  <c r="R98" i="44"/>
  <c r="L78" i="32"/>
  <c r="M103" i="44"/>
  <c r="E78" i="10"/>
  <c r="E163" i="10" s="1"/>
  <c r="R100" i="44"/>
  <c r="F78" i="32"/>
  <c r="G103" i="44"/>
  <c r="E78" i="9"/>
  <c r="E261" i="9" s="1"/>
  <c r="R99" i="44"/>
  <c r="N78" i="22"/>
  <c r="N259" i="22" s="1"/>
  <c r="O103" i="44"/>
  <c r="R114" i="44"/>
  <c r="H159" i="44"/>
  <c r="R148" i="44"/>
  <c r="I13" i="44"/>
  <c r="K159" i="44"/>
  <c r="G159" i="44"/>
  <c r="H100" i="32"/>
  <c r="G99" i="22"/>
  <c r="G77" i="31"/>
  <c r="G161" i="31" s="1"/>
  <c r="I90" i="44"/>
  <c r="H100" i="6"/>
  <c r="I181" i="44"/>
  <c r="R153" i="44"/>
  <c r="E98" i="22"/>
  <c r="E264" i="22" s="1"/>
  <c r="E98" i="31"/>
  <c r="E167" i="31" s="1"/>
  <c r="R157" i="44"/>
  <c r="H100" i="10"/>
  <c r="I27" i="6"/>
  <c r="I212" i="6" s="1"/>
  <c r="G99" i="32"/>
  <c r="G99" i="9"/>
  <c r="H27" i="10"/>
  <c r="H149" i="10" s="1"/>
  <c r="I88" i="44"/>
  <c r="G77" i="9"/>
  <c r="G260" i="9" s="1"/>
  <c r="I159" i="44"/>
  <c r="H100" i="22"/>
  <c r="G99" i="8"/>
  <c r="G99" i="31"/>
  <c r="R155" i="44"/>
  <c r="E98" i="9"/>
  <c r="E266" i="9" s="1"/>
  <c r="J159" i="44"/>
  <c r="M159" i="44"/>
  <c r="H100" i="31"/>
  <c r="E98" i="8"/>
  <c r="E239" i="8" s="1"/>
  <c r="R154" i="44"/>
  <c r="I91" i="44"/>
  <c r="G77" i="32"/>
  <c r="R156" i="44"/>
  <c r="E98" i="10"/>
  <c r="H100" i="8"/>
  <c r="N159" i="44"/>
  <c r="H27" i="31"/>
  <c r="H148" i="31" s="1"/>
  <c r="G99" i="6"/>
  <c r="H170" i="44"/>
  <c r="H27" i="8"/>
  <c r="H220" i="8" s="1"/>
  <c r="H27" i="9"/>
  <c r="H247" i="9" s="1"/>
  <c r="H100" i="9"/>
  <c r="H27" i="22"/>
  <c r="H245" i="22" s="1"/>
  <c r="O159" i="44"/>
  <c r="F159" i="44"/>
  <c r="P159" i="44"/>
  <c r="Q159" i="44"/>
  <c r="L159" i="44"/>
  <c r="H92" i="44"/>
  <c r="I87" i="44"/>
  <c r="G77" i="8"/>
  <c r="G233" i="8" s="1"/>
  <c r="I86" i="44"/>
  <c r="G77" i="22"/>
  <c r="G258" i="22" s="1"/>
  <c r="H77" i="6"/>
  <c r="H225" i="6" s="1"/>
  <c r="J85" i="44"/>
  <c r="G99" i="10"/>
  <c r="I89" i="44"/>
  <c r="G77" i="10"/>
  <c r="G162" i="10" s="1"/>
  <c r="J22" i="46"/>
  <c r="J21" i="46"/>
  <c r="E21" i="46" s="1"/>
  <c r="E168" i="10" l="1"/>
  <c r="Q98" i="10"/>
  <c r="K208" i="44"/>
  <c r="J215" i="44"/>
  <c r="R92" i="8"/>
  <c r="T92" i="8"/>
  <c r="R78" i="44"/>
  <c r="R125" i="44"/>
  <c r="R79" i="44"/>
  <c r="R76" i="44"/>
  <c r="R77" i="44"/>
  <c r="R103" i="44"/>
  <c r="R159" i="44"/>
  <c r="H77" i="22"/>
  <c r="H258" i="22" s="1"/>
  <c r="J86" i="44"/>
  <c r="H77" i="31"/>
  <c r="H161" i="31" s="1"/>
  <c r="J90" i="44"/>
  <c r="H99" i="31"/>
  <c r="I100" i="9"/>
  <c r="H99" i="9"/>
  <c r="I27" i="9"/>
  <c r="I247" i="9" s="1"/>
  <c r="J13" i="44"/>
  <c r="H77" i="8"/>
  <c r="H233" i="8" s="1"/>
  <c r="J87" i="44"/>
  <c r="I77" i="6"/>
  <c r="I225" i="6" s="1"/>
  <c r="K85" i="44"/>
  <c r="I100" i="32"/>
  <c r="I27" i="10"/>
  <c r="I149" i="10" s="1"/>
  <c r="J89" i="44"/>
  <c r="H77" i="10"/>
  <c r="H162" i="10" s="1"/>
  <c r="J27" i="6"/>
  <c r="H99" i="10"/>
  <c r="I100" i="8"/>
  <c r="H99" i="32"/>
  <c r="J91" i="44"/>
  <c r="H77" i="32"/>
  <c r="H99" i="8"/>
  <c r="I27" i="8"/>
  <c r="I220" i="8" s="1"/>
  <c r="I100" i="22"/>
  <c r="H99" i="22"/>
  <c r="I100" i="10"/>
  <c r="H99" i="6"/>
  <c r="I170" i="44"/>
  <c r="I100" i="31"/>
  <c r="I92" i="44"/>
  <c r="J88" i="44"/>
  <c r="H77" i="9"/>
  <c r="H260" i="9" s="1"/>
  <c r="I27" i="31"/>
  <c r="I148" i="31" s="1"/>
  <c r="I100" i="6"/>
  <c r="J181" i="44"/>
  <c r="I27" i="22"/>
  <c r="I245" i="22" s="1"/>
  <c r="H22" i="46"/>
  <c r="J212" i="6" l="1"/>
  <c r="L208" i="44"/>
  <c r="K215" i="44"/>
  <c r="J92" i="44"/>
  <c r="K13" i="44"/>
  <c r="I99" i="8"/>
  <c r="J27" i="10"/>
  <c r="I99" i="22"/>
  <c r="I99" i="31"/>
  <c r="K90" i="44"/>
  <c r="I77" i="31"/>
  <c r="I161" i="31" s="1"/>
  <c r="K27" i="6"/>
  <c r="K212" i="6" s="1"/>
  <c r="J27" i="9"/>
  <c r="J247" i="9" s="1"/>
  <c r="I77" i="10"/>
  <c r="I162" i="10" s="1"/>
  <c r="K89" i="44"/>
  <c r="J100" i="10"/>
  <c r="I99" i="32"/>
  <c r="J100" i="22"/>
  <c r="J100" i="8"/>
  <c r="J100" i="32"/>
  <c r="J77" i="6"/>
  <c r="J225" i="6" s="1"/>
  <c r="L85" i="44"/>
  <c r="J27" i="8"/>
  <c r="J220" i="8" s="1"/>
  <c r="K87" i="44"/>
  <c r="I77" i="8"/>
  <c r="I233" i="8" s="1"/>
  <c r="K86" i="44"/>
  <c r="I77" i="22"/>
  <c r="I258" i="22" s="1"/>
  <c r="K88" i="44"/>
  <c r="I77" i="9"/>
  <c r="I260" i="9" s="1"/>
  <c r="K91" i="44"/>
  <c r="I77" i="32"/>
  <c r="I99" i="9"/>
  <c r="J27" i="31"/>
  <c r="J148" i="31" s="1"/>
  <c r="J100" i="9"/>
  <c r="J27" i="22"/>
  <c r="J245" i="22" s="1"/>
  <c r="J100" i="31"/>
  <c r="I99" i="10"/>
  <c r="J100" i="6"/>
  <c r="K181" i="44"/>
  <c r="I99" i="6"/>
  <c r="J170" i="44"/>
  <c r="E52" i="43"/>
  <c r="E51" i="43"/>
  <c r="E49" i="43"/>
  <c r="E48" i="43"/>
  <c r="E45" i="43"/>
  <c r="E44" i="43"/>
  <c r="E42" i="43"/>
  <c r="E41" i="43"/>
  <c r="E38" i="43"/>
  <c r="E37" i="43"/>
  <c r="E35" i="43"/>
  <c r="E34" i="43"/>
  <c r="E31" i="43"/>
  <c r="E30" i="43"/>
  <c r="E28" i="43"/>
  <c r="E27" i="43"/>
  <c r="E24" i="43"/>
  <c r="E23" i="43"/>
  <c r="E21" i="43"/>
  <c r="E20" i="43"/>
  <c r="E17" i="43"/>
  <c r="E16" i="43"/>
  <c r="E14" i="43"/>
  <c r="E13" i="43"/>
  <c r="E10" i="43"/>
  <c r="E9" i="43"/>
  <c r="E7" i="43"/>
  <c r="J149" i="10" l="1"/>
  <c r="M208" i="44"/>
  <c r="L215" i="44"/>
  <c r="F51" i="43"/>
  <c r="F49" i="43"/>
  <c r="G49" i="43" s="1"/>
  <c r="H49" i="43" s="1"/>
  <c r="I49" i="43" s="1"/>
  <c r="J49" i="43" s="1"/>
  <c r="K49" i="43" s="1"/>
  <c r="L49" i="43" s="1"/>
  <c r="M49" i="43" s="1"/>
  <c r="N49" i="43" s="1"/>
  <c r="F52" i="43"/>
  <c r="G52" i="43" s="1"/>
  <c r="F7" i="43"/>
  <c r="G7" i="43" s="1"/>
  <c r="H7" i="43" s="1"/>
  <c r="I7" i="43" s="1"/>
  <c r="J7" i="43" s="1"/>
  <c r="K7" i="43" s="1"/>
  <c r="L7" i="43" s="1"/>
  <c r="M7" i="43" s="1"/>
  <c r="N7" i="43" s="1"/>
  <c r="F9" i="43"/>
  <c r="F61" i="6" s="1"/>
  <c r="F10" i="43"/>
  <c r="F62" i="6" s="1"/>
  <c r="F37" i="43"/>
  <c r="F38" i="43"/>
  <c r="G38" i="43" s="1"/>
  <c r="F42" i="43"/>
  <c r="G42" i="43" s="1"/>
  <c r="H42" i="43" s="1"/>
  <c r="I42" i="43" s="1"/>
  <c r="J42" i="43" s="1"/>
  <c r="K42" i="43" s="1"/>
  <c r="L42" i="43" s="1"/>
  <c r="M42" i="43" s="1"/>
  <c r="N42" i="43" s="1"/>
  <c r="O42" i="43" s="1"/>
  <c r="P42" i="43" s="1"/>
  <c r="F44" i="43"/>
  <c r="G44" i="43" s="1"/>
  <c r="F35" i="43"/>
  <c r="G35" i="43" s="1"/>
  <c r="H35" i="43" s="1"/>
  <c r="I35" i="43" s="1"/>
  <c r="J35" i="43" s="1"/>
  <c r="K35" i="43" s="1"/>
  <c r="L35" i="43" s="1"/>
  <c r="M35" i="43" s="1"/>
  <c r="N35" i="43" s="1"/>
  <c r="O35" i="43" s="1"/>
  <c r="P35" i="43" s="1"/>
  <c r="F45" i="43"/>
  <c r="G45" i="43" s="1"/>
  <c r="F30" i="43"/>
  <c r="G30" i="43" s="1"/>
  <c r="F31" i="43"/>
  <c r="F28" i="43"/>
  <c r="G28" i="43" s="1"/>
  <c r="H28" i="43" s="1"/>
  <c r="I28" i="43" s="1"/>
  <c r="J28" i="43" s="1"/>
  <c r="K28" i="43" s="1"/>
  <c r="L28" i="43" s="1"/>
  <c r="M28" i="43" s="1"/>
  <c r="N28" i="43" s="1"/>
  <c r="O28" i="43" s="1"/>
  <c r="P28" i="43" s="1"/>
  <c r="F21" i="43"/>
  <c r="G21" i="43" s="1"/>
  <c r="H21" i="43" s="1"/>
  <c r="I21" i="43" s="1"/>
  <c r="J21" i="43" s="1"/>
  <c r="K21" i="43" s="1"/>
  <c r="L21" i="43" s="1"/>
  <c r="M21" i="43" s="1"/>
  <c r="N21" i="43" s="1"/>
  <c r="O21" i="43" s="1"/>
  <c r="P21" i="43" s="1"/>
  <c r="F23" i="43"/>
  <c r="G23" i="43" s="1"/>
  <c r="F24" i="43"/>
  <c r="F62" i="8" s="1"/>
  <c r="F16" i="43"/>
  <c r="G16" i="43" s="1"/>
  <c r="F17" i="43"/>
  <c r="F14" i="43"/>
  <c r="G14" i="43" s="1"/>
  <c r="H14" i="43" s="1"/>
  <c r="I14" i="43" s="1"/>
  <c r="J14" i="43" s="1"/>
  <c r="K14" i="43" s="1"/>
  <c r="L14" i="43" s="1"/>
  <c r="M14" i="43" s="1"/>
  <c r="N14" i="43" s="1"/>
  <c r="O49" i="43"/>
  <c r="P49" i="43" s="1"/>
  <c r="O14" i="43"/>
  <c r="P14" i="43" s="1"/>
  <c r="O7" i="43"/>
  <c r="P7" i="43" s="1"/>
  <c r="L27" i="6"/>
  <c r="L212" i="6" s="1"/>
  <c r="J99" i="6"/>
  <c r="K170" i="44"/>
  <c r="J99" i="9"/>
  <c r="K27" i="22"/>
  <c r="K245" i="22" s="1"/>
  <c r="L86" i="44"/>
  <c r="J77" i="22"/>
  <c r="J258" i="22" s="1"/>
  <c r="J99" i="31"/>
  <c r="J99" i="22"/>
  <c r="K100" i="8"/>
  <c r="K100" i="6"/>
  <c r="L181" i="44"/>
  <c r="K100" i="9"/>
  <c r="J99" i="32"/>
  <c r="K27" i="31"/>
  <c r="K148" i="31" s="1"/>
  <c r="K100" i="10"/>
  <c r="K27" i="9"/>
  <c r="K247" i="9" s="1"/>
  <c r="K27" i="10"/>
  <c r="K149" i="10" s="1"/>
  <c r="J77" i="9"/>
  <c r="J260" i="9" s="1"/>
  <c r="L88" i="44"/>
  <c r="L90" i="44"/>
  <c r="J77" i="31"/>
  <c r="J161" i="31" s="1"/>
  <c r="L87" i="44"/>
  <c r="J77" i="8"/>
  <c r="J233" i="8" s="1"/>
  <c r="K100" i="32"/>
  <c r="L13" i="44"/>
  <c r="K100" i="22"/>
  <c r="K27" i="8"/>
  <c r="K220" i="8" s="1"/>
  <c r="K92" i="44"/>
  <c r="L89" i="44"/>
  <c r="J77" i="10"/>
  <c r="J162" i="10" s="1"/>
  <c r="J77" i="32"/>
  <c r="L91" i="44"/>
  <c r="K77" i="6"/>
  <c r="K225" i="6" s="1"/>
  <c r="M85" i="44"/>
  <c r="J99" i="10"/>
  <c r="K100" i="31"/>
  <c r="J99" i="8"/>
  <c r="G17" i="43"/>
  <c r="F62" i="22"/>
  <c r="G9" i="43"/>
  <c r="G51" i="43"/>
  <c r="F61" i="32"/>
  <c r="F62" i="10"/>
  <c r="F61" i="31"/>
  <c r="F62" i="32"/>
  <c r="G31" i="43"/>
  <c r="F62" i="9"/>
  <c r="G37" i="43"/>
  <c r="F61" i="10"/>
  <c r="F48" i="43"/>
  <c r="F60" i="32" s="1"/>
  <c r="E50" i="43"/>
  <c r="E53" i="43" s="1"/>
  <c r="F41" i="43"/>
  <c r="F60" i="31" s="1"/>
  <c r="E43" i="43"/>
  <c r="E46" i="43" s="1"/>
  <c r="F34" i="43"/>
  <c r="E36" i="43"/>
  <c r="E39" i="43" s="1"/>
  <c r="F27" i="43"/>
  <c r="F60" i="9" s="1"/>
  <c r="E29" i="43"/>
  <c r="E32" i="43" s="1"/>
  <c r="F20" i="43"/>
  <c r="E22" i="43"/>
  <c r="E25" i="43" s="1"/>
  <c r="F13" i="43"/>
  <c r="E15" i="43"/>
  <c r="E18" i="43" s="1"/>
  <c r="Q29" i="9"/>
  <c r="T29" i="9" s="1"/>
  <c r="Q18" i="6"/>
  <c r="T18" i="6" s="1"/>
  <c r="F60" i="10" l="1"/>
  <c r="N208" i="44"/>
  <c r="M215" i="44"/>
  <c r="Q42" i="43"/>
  <c r="Q7" i="43"/>
  <c r="Q49" i="43"/>
  <c r="F61" i="22"/>
  <c r="G10" i="43"/>
  <c r="Q35" i="43"/>
  <c r="F61" i="9"/>
  <c r="G24" i="43"/>
  <c r="H24" i="43" s="1"/>
  <c r="F60" i="22"/>
  <c r="F62" i="31"/>
  <c r="F60" i="8"/>
  <c r="R29" i="9"/>
  <c r="V18" i="9"/>
  <c r="R18" i="6"/>
  <c r="Q28" i="43"/>
  <c r="F61" i="8"/>
  <c r="Q21" i="43"/>
  <c r="Q14" i="43"/>
  <c r="M13" i="44"/>
  <c r="L92" i="44"/>
  <c r="K99" i="32"/>
  <c r="L100" i="6"/>
  <c r="M181" i="44"/>
  <c r="K99" i="9"/>
  <c r="K99" i="8"/>
  <c r="K99" i="10"/>
  <c r="L100" i="31"/>
  <c r="L100" i="32"/>
  <c r="L100" i="10"/>
  <c r="L100" i="8"/>
  <c r="K99" i="6"/>
  <c r="L170" i="44"/>
  <c r="L100" i="9"/>
  <c r="L77" i="6"/>
  <c r="L225" i="6" s="1"/>
  <c r="N85" i="44"/>
  <c r="L27" i="10"/>
  <c r="L149" i="10" s="1"/>
  <c r="M91" i="44"/>
  <c r="K77" i="32"/>
  <c r="M87" i="44"/>
  <c r="K77" i="8"/>
  <c r="K233" i="8" s="1"/>
  <c r="L27" i="31"/>
  <c r="L148" i="31" s="1"/>
  <c r="K99" i="22"/>
  <c r="M86" i="44"/>
  <c r="K77" i="22"/>
  <c r="K258" i="22" s="1"/>
  <c r="L27" i="8"/>
  <c r="L220" i="8" s="1"/>
  <c r="L27" i="22"/>
  <c r="L245" i="22" s="1"/>
  <c r="L100" i="22"/>
  <c r="M89" i="44"/>
  <c r="K77" i="10"/>
  <c r="K162" i="10" s="1"/>
  <c r="M88" i="44"/>
  <c r="K77" i="9"/>
  <c r="K260" i="9" s="1"/>
  <c r="L27" i="9"/>
  <c r="L247" i="9" s="1"/>
  <c r="M90" i="44"/>
  <c r="K77" i="31"/>
  <c r="K161" i="31" s="1"/>
  <c r="K99" i="31"/>
  <c r="M27" i="6"/>
  <c r="M212" i="6" s="1"/>
  <c r="H38" i="43"/>
  <c r="G62" i="10"/>
  <c r="H30" i="43"/>
  <c r="G61" i="9"/>
  <c r="H51" i="43"/>
  <c r="G61" i="32"/>
  <c r="H16" i="43"/>
  <c r="G61" i="22"/>
  <c r="H31" i="43"/>
  <c r="G62" i="9"/>
  <c r="H9" i="43"/>
  <c r="G61" i="6"/>
  <c r="H37" i="43"/>
  <c r="G61" i="10"/>
  <c r="G62" i="6"/>
  <c r="H23" i="43"/>
  <c r="G61" i="8"/>
  <c r="H45" i="43"/>
  <c r="G62" i="31"/>
  <c r="H52" i="43"/>
  <c r="G62" i="32"/>
  <c r="H44" i="43"/>
  <c r="G61" i="31"/>
  <c r="H17" i="43"/>
  <c r="G62" i="22"/>
  <c r="G48" i="43"/>
  <c r="G60" i="32" s="1"/>
  <c r="F50" i="43"/>
  <c r="F53" i="43" s="1"/>
  <c r="G41" i="43"/>
  <c r="G60" i="31" s="1"/>
  <c r="F43" i="43"/>
  <c r="F46" i="43" s="1"/>
  <c r="G34" i="43"/>
  <c r="G60" i="10" s="1"/>
  <c r="F36" i="43"/>
  <c r="F39" i="43" s="1"/>
  <c r="G27" i="43"/>
  <c r="G60" i="9" s="1"/>
  <c r="F29" i="43"/>
  <c r="F32" i="43" s="1"/>
  <c r="G20" i="43"/>
  <c r="G60" i="8" s="1"/>
  <c r="F22" i="43"/>
  <c r="F25" i="43" s="1"/>
  <c r="G13" i="43"/>
  <c r="G60" i="22" s="1"/>
  <c r="F15" i="43"/>
  <c r="F18" i="43" s="1"/>
  <c r="Q65" i="6"/>
  <c r="R65" i="6" s="1"/>
  <c r="T56" i="10"/>
  <c r="G62" i="8" l="1"/>
  <c r="O208" i="44"/>
  <c r="N215" i="44"/>
  <c r="H10" i="43"/>
  <c r="I10" i="43" s="1"/>
  <c r="R56" i="10"/>
  <c r="N13" i="44"/>
  <c r="L77" i="9"/>
  <c r="L260" i="9" s="1"/>
  <c r="N88" i="44"/>
  <c r="L99" i="8"/>
  <c r="M100" i="9"/>
  <c r="M100" i="8"/>
  <c r="L99" i="9"/>
  <c r="L99" i="22"/>
  <c r="L77" i="10"/>
  <c r="L162" i="10" s="1"/>
  <c r="N89" i="44"/>
  <c r="L99" i="10"/>
  <c r="N27" i="6"/>
  <c r="N212" i="6" s="1"/>
  <c r="M27" i="31"/>
  <c r="M148" i="31" s="1"/>
  <c r="M100" i="10"/>
  <c r="M100" i="6"/>
  <c r="N181" i="44"/>
  <c r="M100" i="31"/>
  <c r="M27" i="22"/>
  <c r="M245" i="22" s="1"/>
  <c r="M27" i="10"/>
  <c r="M149" i="10" s="1"/>
  <c r="M100" i="32"/>
  <c r="L99" i="6"/>
  <c r="M170" i="44"/>
  <c r="M100" i="22"/>
  <c r="L99" i="31"/>
  <c r="L77" i="8"/>
  <c r="L233" i="8" s="1"/>
  <c r="N87" i="44"/>
  <c r="N91" i="44"/>
  <c r="L77" i="32"/>
  <c r="N90" i="44"/>
  <c r="L77" i="31"/>
  <c r="L161" i="31" s="1"/>
  <c r="M27" i="8"/>
  <c r="M220" i="8" s="1"/>
  <c r="M27" i="9"/>
  <c r="M247" i="9" s="1"/>
  <c r="M92" i="44"/>
  <c r="L77" i="22"/>
  <c r="L258" i="22" s="1"/>
  <c r="N86" i="44"/>
  <c r="M77" i="6"/>
  <c r="M225" i="6" s="1"/>
  <c r="O85" i="44"/>
  <c r="L99" i="32"/>
  <c r="I17" i="43"/>
  <c r="H62" i="22"/>
  <c r="I30" i="43"/>
  <c r="H61" i="9"/>
  <c r="I52" i="43"/>
  <c r="H62" i="32"/>
  <c r="I44" i="43"/>
  <c r="H61" i="31"/>
  <c r="I31" i="43"/>
  <c r="H62" i="9"/>
  <c r="I51" i="43"/>
  <c r="H61" i="32"/>
  <c r="I23" i="43"/>
  <c r="H61" i="8"/>
  <c r="I38" i="43"/>
  <c r="H62" i="10"/>
  <c r="I16" i="43"/>
  <c r="H61" i="22"/>
  <c r="I45" i="43"/>
  <c r="H62" i="31"/>
  <c r="I9" i="43"/>
  <c r="H61" i="6"/>
  <c r="H62" i="6"/>
  <c r="I37" i="43"/>
  <c r="H61" i="10"/>
  <c r="I24" i="43"/>
  <c r="H62" i="8"/>
  <c r="H48" i="43"/>
  <c r="H60" i="32" s="1"/>
  <c r="G50" i="43"/>
  <c r="G53" i="43" s="1"/>
  <c r="H41" i="43"/>
  <c r="H60" i="31" s="1"/>
  <c r="G43" i="43"/>
  <c r="G46" i="43" s="1"/>
  <c r="H34" i="43"/>
  <c r="H60" i="10" s="1"/>
  <c r="G36" i="43"/>
  <c r="G39" i="43" s="1"/>
  <c r="H27" i="43"/>
  <c r="H60" i="9" s="1"/>
  <c r="G29" i="43"/>
  <c r="G32" i="43" s="1"/>
  <c r="H20" i="43"/>
  <c r="G22" i="43"/>
  <c r="G25" i="43" s="1"/>
  <c r="H13" i="43"/>
  <c r="G15" i="43"/>
  <c r="G18" i="43" s="1"/>
  <c r="P208" i="44" l="1"/>
  <c r="O215" i="44"/>
  <c r="H60" i="8"/>
  <c r="H60" i="22"/>
  <c r="O13" i="44"/>
  <c r="N92" i="44"/>
  <c r="M99" i="32"/>
  <c r="M99" i="9"/>
  <c r="O91" i="44"/>
  <c r="M77" i="32"/>
  <c r="N27" i="8"/>
  <c r="N220" i="8" s="1"/>
  <c r="N100" i="10"/>
  <c r="N27" i="10"/>
  <c r="N149" i="10" s="1"/>
  <c r="M77" i="22"/>
  <c r="M258" i="22" s="1"/>
  <c r="O86" i="44"/>
  <c r="M99" i="31"/>
  <c r="N100" i="9"/>
  <c r="N100" i="32"/>
  <c r="N100" i="8"/>
  <c r="N27" i="22"/>
  <c r="N245" i="22" s="1"/>
  <c r="M99" i="10"/>
  <c r="N27" i="9"/>
  <c r="N247" i="9" s="1"/>
  <c r="N100" i="22"/>
  <c r="N100" i="31"/>
  <c r="O89" i="44"/>
  <c r="M77" i="10"/>
  <c r="M162" i="10" s="1"/>
  <c r="M99" i="8"/>
  <c r="M99" i="22"/>
  <c r="N77" i="6"/>
  <c r="N225" i="6" s="1"/>
  <c r="P85" i="44"/>
  <c r="M77" i="8"/>
  <c r="M233" i="8" s="1"/>
  <c r="O87" i="44"/>
  <c r="O27" i="6"/>
  <c r="O212" i="6" s="1"/>
  <c r="N100" i="6"/>
  <c r="O181" i="44"/>
  <c r="O88" i="44"/>
  <c r="M77" i="9"/>
  <c r="M260" i="9" s="1"/>
  <c r="O90" i="44"/>
  <c r="M77" i="31"/>
  <c r="M161" i="31" s="1"/>
  <c r="N27" i="31"/>
  <c r="N148" i="31" s="1"/>
  <c r="M99" i="6"/>
  <c r="N170" i="44"/>
  <c r="J37" i="43"/>
  <c r="I61" i="10"/>
  <c r="J51" i="43"/>
  <c r="I61" i="32"/>
  <c r="J10" i="43"/>
  <c r="I62" i="6"/>
  <c r="J52" i="43"/>
  <c r="I62" i="32"/>
  <c r="J30" i="43"/>
  <c r="I61" i="9"/>
  <c r="J24" i="43"/>
  <c r="I62" i="8"/>
  <c r="J31" i="43"/>
  <c r="I62" i="9"/>
  <c r="J9" i="43"/>
  <c r="I61" i="6"/>
  <c r="J44" i="43"/>
  <c r="I61" i="31"/>
  <c r="J45" i="43"/>
  <c r="I62" i="31"/>
  <c r="J16" i="43"/>
  <c r="I61" i="22"/>
  <c r="J23" i="43"/>
  <c r="I61" i="8"/>
  <c r="J38" i="43"/>
  <c r="I62" i="10"/>
  <c r="J17" i="43"/>
  <c r="I62" i="22"/>
  <c r="I48" i="43"/>
  <c r="I60" i="32" s="1"/>
  <c r="H50" i="43"/>
  <c r="H53" i="43" s="1"/>
  <c r="I41" i="43"/>
  <c r="I60" i="31" s="1"/>
  <c r="H43" i="43"/>
  <c r="H46" i="43" s="1"/>
  <c r="I34" i="43"/>
  <c r="I60" i="10" s="1"/>
  <c r="H36" i="43"/>
  <c r="H39" i="43" s="1"/>
  <c r="I27" i="43"/>
  <c r="I60" i="9" s="1"/>
  <c r="H29" i="43"/>
  <c r="H32" i="43" s="1"/>
  <c r="I20" i="43"/>
  <c r="I60" i="8" s="1"/>
  <c r="H22" i="43"/>
  <c r="H25" i="43" s="1"/>
  <c r="I13" i="43"/>
  <c r="I60" i="22" s="1"/>
  <c r="H15" i="43"/>
  <c r="H18" i="43" s="1"/>
  <c r="N36" i="22"/>
  <c r="Q31" i="22"/>
  <c r="T31" i="22" s="1"/>
  <c r="L50" i="22"/>
  <c r="L251" i="22" s="1"/>
  <c r="M50" i="22"/>
  <c r="M251" i="22" s="1"/>
  <c r="N50" i="22"/>
  <c r="N251" i="22" s="1"/>
  <c r="O50" i="22"/>
  <c r="O251" i="22" s="1"/>
  <c r="Q208" i="44" l="1"/>
  <c r="P215" i="44"/>
  <c r="P13" i="44"/>
  <c r="P86" i="44"/>
  <c r="N77" i="22"/>
  <c r="N258" i="22" s="1"/>
  <c r="O100" i="10"/>
  <c r="O100" i="32"/>
  <c r="O27" i="8"/>
  <c r="O220" i="8" s="1"/>
  <c r="N99" i="22"/>
  <c r="N99" i="8"/>
  <c r="N77" i="8"/>
  <c r="N233" i="8" s="1"/>
  <c r="P87" i="44"/>
  <c r="P27" i="6"/>
  <c r="R6" i="44"/>
  <c r="O100" i="9"/>
  <c r="N77" i="32"/>
  <c r="P91" i="44"/>
  <c r="N99" i="10"/>
  <c r="O27" i="22"/>
  <c r="O245" i="22" s="1"/>
  <c r="O27" i="31"/>
  <c r="O148" i="31" s="1"/>
  <c r="N99" i="6"/>
  <c r="O170" i="44"/>
  <c r="O92" i="44"/>
  <c r="O77" i="6"/>
  <c r="O225" i="6" s="1"/>
  <c r="Q85" i="44"/>
  <c r="N99" i="9"/>
  <c r="P88" i="44"/>
  <c r="N77" i="9"/>
  <c r="N260" i="9" s="1"/>
  <c r="O100" i="6"/>
  <c r="P181" i="44"/>
  <c r="O27" i="10"/>
  <c r="O149" i="10" s="1"/>
  <c r="O100" i="8"/>
  <c r="O100" i="22"/>
  <c r="O27" i="9"/>
  <c r="O247" i="9" s="1"/>
  <c r="N99" i="31"/>
  <c r="P89" i="44"/>
  <c r="N77" i="10"/>
  <c r="N162" i="10" s="1"/>
  <c r="O100" i="31"/>
  <c r="P90" i="44"/>
  <c r="N77" i="31"/>
  <c r="N161" i="31" s="1"/>
  <c r="N99" i="32"/>
  <c r="K24" i="43"/>
  <c r="J62" i="8"/>
  <c r="K45" i="43"/>
  <c r="J62" i="31"/>
  <c r="K10" i="43"/>
  <c r="J62" i="6"/>
  <c r="K17" i="43"/>
  <c r="J62" i="22"/>
  <c r="K31" i="43"/>
  <c r="J62" i="9"/>
  <c r="K38" i="43"/>
  <c r="J62" i="10"/>
  <c r="K52" i="43"/>
  <c r="J62" i="32"/>
  <c r="K23" i="43"/>
  <c r="J61" i="8"/>
  <c r="K30" i="43"/>
  <c r="J61" i="9"/>
  <c r="K16" i="43"/>
  <c r="J61" i="22"/>
  <c r="K44" i="43"/>
  <c r="J61" i="31"/>
  <c r="K51" i="43"/>
  <c r="J61" i="32"/>
  <c r="K9" i="43"/>
  <c r="J61" i="6"/>
  <c r="K37" i="43"/>
  <c r="J61" i="10"/>
  <c r="J48" i="43"/>
  <c r="J60" i="32" s="1"/>
  <c r="I50" i="43"/>
  <c r="I53" i="43" s="1"/>
  <c r="J41" i="43"/>
  <c r="J60" i="31" s="1"/>
  <c r="I43" i="43"/>
  <c r="I46" i="43" s="1"/>
  <c r="J34" i="43"/>
  <c r="J60" i="10" s="1"/>
  <c r="I36" i="43"/>
  <c r="I39" i="43" s="1"/>
  <c r="J27" i="43"/>
  <c r="J60" i="9" s="1"/>
  <c r="I29" i="43"/>
  <c r="I32" i="43" s="1"/>
  <c r="J20" i="43"/>
  <c r="I22" i="43"/>
  <c r="I25" i="43" s="1"/>
  <c r="J13" i="43"/>
  <c r="J60" i="22" s="1"/>
  <c r="I15" i="43"/>
  <c r="I18" i="43" s="1"/>
  <c r="P212" i="6" l="1"/>
  <c r="Q212" i="6" s="1"/>
  <c r="Q27" i="6"/>
  <c r="Q234" i="44"/>
  <c r="Q215" i="44"/>
  <c r="R208" i="44"/>
  <c r="R215" i="44" s="1"/>
  <c r="P92" i="44"/>
  <c r="J60" i="8"/>
  <c r="O99" i="31"/>
  <c r="P100" i="31"/>
  <c r="R179" i="44"/>
  <c r="Q88" i="44"/>
  <c r="O77" i="9"/>
  <c r="O260" i="9" s="1"/>
  <c r="P27" i="31"/>
  <c r="P148" i="31" s="1"/>
  <c r="R11" i="44"/>
  <c r="O77" i="10"/>
  <c r="O162" i="10" s="1"/>
  <c r="Q89" i="44"/>
  <c r="P27" i="22"/>
  <c r="P245" i="22" s="1"/>
  <c r="R7" i="44"/>
  <c r="O99" i="9"/>
  <c r="P100" i="32"/>
  <c r="O99" i="8"/>
  <c r="Q91" i="44"/>
  <c r="O77" i="32"/>
  <c r="P27" i="9"/>
  <c r="P247" i="9" s="1"/>
  <c r="R9" i="44"/>
  <c r="P100" i="9"/>
  <c r="R177" i="44"/>
  <c r="P27" i="10"/>
  <c r="R10" i="44"/>
  <c r="P100" i="10"/>
  <c r="R178" i="44"/>
  <c r="Q87" i="44"/>
  <c r="O77" i="8"/>
  <c r="O233" i="8" s="1"/>
  <c r="O99" i="22"/>
  <c r="P27" i="8"/>
  <c r="P220" i="8" s="1"/>
  <c r="R8" i="44"/>
  <c r="P100" i="22"/>
  <c r="R175" i="44"/>
  <c r="O99" i="32"/>
  <c r="O99" i="6"/>
  <c r="P170" i="44"/>
  <c r="Q13" i="44"/>
  <c r="Q90" i="44"/>
  <c r="O77" i="31"/>
  <c r="O161" i="31" s="1"/>
  <c r="P100" i="6"/>
  <c r="Q181" i="44"/>
  <c r="R174" i="44"/>
  <c r="O99" i="10"/>
  <c r="P77" i="6"/>
  <c r="P225" i="6" s="1"/>
  <c r="Q225" i="6" s="1"/>
  <c r="R85" i="44"/>
  <c r="P100" i="8"/>
  <c r="R176" i="44"/>
  <c r="O77" i="22"/>
  <c r="O258" i="22" s="1"/>
  <c r="Q86" i="44"/>
  <c r="L52" i="43"/>
  <c r="K62" i="32"/>
  <c r="L44" i="43"/>
  <c r="K61" i="31"/>
  <c r="L17" i="43"/>
  <c r="K62" i="22"/>
  <c r="L38" i="43"/>
  <c r="K62" i="10"/>
  <c r="L9" i="43"/>
  <c r="K61" i="6"/>
  <c r="L31" i="43"/>
  <c r="K62" i="9"/>
  <c r="L30" i="43"/>
  <c r="K61" i="9"/>
  <c r="L45" i="43"/>
  <c r="K62" i="31"/>
  <c r="L37" i="43"/>
  <c r="K61" i="10"/>
  <c r="L16" i="43"/>
  <c r="K61" i="22"/>
  <c r="L51" i="43"/>
  <c r="K61" i="32"/>
  <c r="L10" i="43"/>
  <c r="K62" i="6"/>
  <c r="L23" i="43"/>
  <c r="K61" i="8"/>
  <c r="L24" i="43"/>
  <c r="K62" i="8"/>
  <c r="K48" i="43"/>
  <c r="K60" i="32" s="1"/>
  <c r="J50" i="43"/>
  <c r="J53" i="43" s="1"/>
  <c r="K41" i="43"/>
  <c r="K60" i="31" s="1"/>
  <c r="J43" i="43"/>
  <c r="J46" i="43" s="1"/>
  <c r="K34" i="43"/>
  <c r="K60" i="10" s="1"/>
  <c r="J36" i="43"/>
  <c r="J39" i="43" s="1"/>
  <c r="K27" i="43"/>
  <c r="K60" i="9" s="1"/>
  <c r="J29" i="43"/>
  <c r="J32" i="43" s="1"/>
  <c r="K20" i="43"/>
  <c r="K60" i="8" s="1"/>
  <c r="J22" i="43"/>
  <c r="J25" i="43" s="1"/>
  <c r="K13" i="43"/>
  <c r="K60" i="22" s="1"/>
  <c r="J15" i="43"/>
  <c r="J18" i="43" s="1"/>
  <c r="P149" i="10" l="1"/>
  <c r="Q27" i="10"/>
  <c r="Q92" i="44"/>
  <c r="R13" i="44"/>
  <c r="P99" i="10"/>
  <c r="R167" i="44"/>
  <c r="P77" i="9"/>
  <c r="P260" i="9" s="1"/>
  <c r="R88" i="44"/>
  <c r="P99" i="6"/>
  <c r="Q170" i="44"/>
  <c r="R163" i="44"/>
  <c r="P99" i="9"/>
  <c r="R166" i="44"/>
  <c r="R181" i="44"/>
  <c r="P77" i="10"/>
  <c r="P162" i="10" s="1"/>
  <c r="R89" i="44"/>
  <c r="P77" i="32"/>
  <c r="R91" i="44"/>
  <c r="P99" i="8"/>
  <c r="R165" i="44"/>
  <c r="P77" i="31"/>
  <c r="P161" i="31" s="1"/>
  <c r="R90" i="44"/>
  <c r="P77" i="8"/>
  <c r="P233" i="8" s="1"/>
  <c r="R87" i="44"/>
  <c r="P99" i="32"/>
  <c r="R169" i="44"/>
  <c r="P99" i="22"/>
  <c r="R164" i="44"/>
  <c r="P77" i="22"/>
  <c r="P258" i="22" s="1"/>
  <c r="R86" i="44"/>
  <c r="P99" i="31"/>
  <c r="R168" i="44"/>
  <c r="M30" i="43"/>
  <c r="L61" i="9"/>
  <c r="M17" i="43"/>
  <c r="L62" i="22"/>
  <c r="M23" i="43"/>
  <c r="L61" i="8"/>
  <c r="M9" i="43"/>
  <c r="L61" i="6"/>
  <c r="M24" i="43"/>
  <c r="L62" i="8"/>
  <c r="M31" i="43"/>
  <c r="L62" i="9"/>
  <c r="M51" i="43"/>
  <c r="L61" i="32"/>
  <c r="M38" i="43"/>
  <c r="L62" i="10"/>
  <c r="M37" i="43"/>
  <c r="L61" i="10"/>
  <c r="M44" i="43"/>
  <c r="L61" i="31"/>
  <c r="M10" i="43"/>
  <c r="L62" i="6"/>
  <c r="M16" i="43"/>
  <c r="L61" i="22"/>
  <c r="M45" i="43"/>
  <c r="L62" i="31"/>
  <c r="M52" i="43"/>
  <c r="L62" i="32"/>
  <c r="L48" i="43"/>
  <c r="L60" i="32" s="1"/>
  <c r="K50" i="43"/>
  <c r="K53" i="43" s="1"/>
  <c r="L41" i="43"/>
  <c r="L60" i="31" s="1"/>
  <c r="K43" i="43"/>
  <c r="K46" i="43" s="1"/>
  <c r="L34" i="43"/>
  <c r="L60" i="10" s="1"/>
  <c r="K36" i="43"/>
  <c r="K39" i="43" s="1"/>
  <c r="L27" i="43"/>
  <c r="L60" i="9" s="1"/>
  <c r="K29" i="43"/>
  <c r="K32" i="43" s="1"/>
  <c r="L20" i="43"/>
  <c r="L60" i="8" s="1"/>
  <c r="K22" i="43"/>
  <c r="K25" i="43" s="1"/>
  <c r="L13" i="43"/>
  <c r="L60" i="22" s="1"/>
  <c r="K15" i="43"/>
  <c r="K18" i="43" s="1"/>
  <c r="P99" i="27" l="1"/>
  <c r="R92" i="44"/>
  <c r="R170" i="44"/>
  <c r="N51" i="43"/>
  <c r="O51" i="43" s="1"/>
  <c r="M61" i="32"/>
  <c r="N44" i="43"/>
  <c r="O44" i="43" s="1"/>
  <c r="M61" i="31"/>
  <c r="N9" i="43"/>
  <c r="O9" i="43" s="1"/>
  <c r="M61" i="6"/>
  <c r="N23" i="43"/>
  <c r="O23" i="43" s="1"/>
  <c r="M61" i="8"/>
  <c r="N37" i="43"/>
  <c r="O37" i="43" s="1"/>
  <c r="M61" i="10"/>
  <c r="N17" i="43"/>
  <c r="O17" i="43" s="1"/>
  <c r="M62" i="22"/>
  <c r="N45" i="43"/>
  <c r="O45" i="43" s="1"/>
  <c r="M62" i="31"/>
  <c r="N31" i="43"/>
  <c r="O31" i="43" s="1"/>
  <c r="M62" i="9"/>
  <c r="N16" i="43"/>
  <c r="O16" i="43" s="1"/>
  <c r="M61" i="22"/>
  <c r="N52" i="43"/>
  <c r="O52" i="43" s="1"/>
  <c r="M62" i="32"/>
  <c r="N24" i="43"/>
  <c r="O24" i="43" s="1"/>
  <c r="M62" i="8"/>
  <c r="N10" i="43"/>
  <c r="O10" i="43" s="1"/>
  <c r="M62" i="6"/>
  <c r="N38" i="43"/>
  <c r="O38" i="43" s="1"/>
  <c r="M62" i="10"/>
  <c r="N30" i="43"/>
  <c r="O30" i="43" s="1"/>
  <c r="M61" i="9"/>
  <c r="M48" i="43"/>
  <c r="M60" i="32" s="1"/>
  <c r="L50" i="43"/>
  <c r="L53" i="43" s="1"/>
  <c r="M41" i="43"/>
  <c r="M60" i="31" s="1"/>
  <c r="L43" i="43"/>
  <c r="L46" i="43" s="1"/>
  <c r="M34" i="43"/>
  <c r="M60" i="10" s="1"/>
  <c r="L36" i="43"/>
  <c r="L39" i="43" s="1"/>
  <c r="M27" i="43"/>
  <c r="M60" i="9" s="1"/>
  <c r="L29" i="43"/>
  <c r="L32" i="43" s="1"/>
  <c r="M20" i="43"/>
  <c r="M60" i="8" s="1"/>
  <c r="L22" i="43"/>
  <c r="L25" i="43" s="1"/>
  <c r="M13" i="43"/>
  <c r="M60" i="22" s="1"/>
  <c r="L15" i="43"/>
  <c r="L18" i="43" s="1"/>
  <c r="G43" i="8"/>
  <c r="Q47" i="22"/>
  <c r="Q34" i="22"/>
  <c r="H579" i="38"/>
  <c r="H580" i="38"/>
  <c r="H581" i="38"/>
  <c r="H582" i="38"/>
  <c r="H583" i="38"/>
  <c r="H584" i="38"/>
  <c r="H585" i="38"/>
  <c r="H586" i="38"/>
  <c r="H587" i="38"/>
  <c r="H588" i="38"/>
  <c r="H589" i="38"/>
  <c r="H590" i="38"/>
  <c r="H572" i="38"/>
  <c r="H573" i="38"/>
  <c r="H574" i="38"/>
  <c r="H575" i="38"/>
  <c r="H576" i="38"/>
  <c r="H577" i="38"/>
  <c r="H578" i="38"/>
  <c r="H552" i="38"/>
  <c r="H553" i="38"/>
  <c r="H554" i="38"/>
  <c r="H555" i="38"/>
  <c r="H556" i="38"/>
  <c r="H557" i="38"/>
  <c r="H558" i="38"/>
  <c r="H559" i="38"/>
  <c r="R49" i="6"/>
  <c r="R48" i="6"/>
  <c r="H418" i="38"/>
  <c r="H419" i="38"/>
  <c r="H420" i="38"/>
  <c r="H421" i="38"/>
  <c r="H422" i="38"/>
  <c r="H423" i="38"/>
  <c r="H424" i="38"/>
  <c r="H425" i="38"/>
  <c r="H426" i="38"/>
  <c r="H427" i="38"/>
  <c r="H428" i="38"/>
  <c r="H429" i="38"/>
  <c r="H379" i="38"/>
  <c r="H380" i="38"/>
  <c r="H381" i="38"/>
  <c r="H370" i="38"/>
  <c r="H371" i="38"/>
  <c r="H372" i="38"/>
  <c r="H373" i="38"/>
  <c r="H374" i="38"/>
  <c r="H375" i="38"/>
  <c r="H376" i="38"/>
  <c r="H377" i="38"/>
  <c r="H378" i="38"/>
  <c r="H451" i="38"/>
  <c r="H452" i="38"/>
  <c r="H453" i="38"/>
  <c r="H454" i="38"/>
  <c r="H455" i="38"/>
  <c r="H456" i="38"/>
  <c r="H457" i="38"/>
  <c r="H458" i="38"/>
  <c r="H459" i="38"/>
  <c r="H460" i="38"/>
  <c r="H461" i="38"/>
  <c r="H462" i="38"/>
  <c r="H238" i="38"/>
  <c r="H239" i="38"/>
  <c r="H240" i="38"/>
  <c r="H241" i="38"/>
  <c r="H242" i="38"/>
  <c r="H243" i="38"/>
  <c r="H244" i="38"/>
  <c r="H245" i="38"/>
  <c r="H246" i="38"/>
  <c r="H247" i="38"/>
  <c r="H248" i="38"/>
  <c r="H249" i="38"/>
  <c r="H250" i="38"/>
  <c r="H251" i="38"/>
  <c r="H252" i="38"/>
  <c r="H253" i="38"/>
  <c r="H254" i="38"/>
  <c r="H255" i="38"/>
  <c r="H256" i="38"/>
  <c r="H257" i="38"/>
  <c r="H258" i="38"/>
  <c r="H259" i="38"/>
  <c r="H260" i="38"/>
  <c r="H261" i="38"/>
  <c r="H92" i="38"/>
  <c r="H93" i="38"/>
  <c r="H94" i="38"/>
  <c r="H119" i="38"/>
  <c r="H120" i="38"/>
  <c r="H121" i="38"/>
  <c r="H122" i="38"/>
  <c r="H123" i="38"/>
  <c r="H124" i="38"/>
  <c r="H125" i="38"/>
  <c r="H126" i="38"/>
  <c r="H127" i="38"/>
  <c r="H128" i="38"/>
  <c r="H129" i="38"/>
  <c r="H130" i="38"/>
  <c r="H131" i="38"/>
  <c r="H132" i="38"/>
  <c r="H133" i="38"/>
  <c r="H134" i="38"/>
  <c r="H135" i="38"/>
  <c r="H136" i="38"/>
  <c r="H95" i="38"/>
  <c r="H96" i="38"/>
  <c r="H97" i="38"/>
  <c r="H98" i="38"/>
  <c r="H99" i="38"/>
  <c r="H100" i="38"/>
  <c r="H101" i="38"/>
  <c r="H102" i="38"/>
  <c r="H103" i="38"/>
  <c r="H104" i="38"/>
  <c r="H105" i="38"/>
  <c r="H106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91" i="38"/>
  <c r="H90" i="38"/>
  <c r="H89" i="38"/>
  <c r="H88" i="38"/>
  <c r="H87" i="38"/>
  <c r="H86" i="38"/>
  <c r="H85" i="38"/>
  <c r="H84" i="38"/>
  <c r="F45" i="49"/>
  <c r="F46" i="49"/>
  <c r="F30" i="49"/>
  <c r="E30" i="49"/>
  <c r="D30" i="49"/>
  <c r="F4" i="49"/>
  <c r="E22" i="49"/>
  <c r="F22" i="49" s="1"/>
  <c r="N62" i="31" l="1"/>
  <c r="N61" i="8"/>
  <c r="N62" i="32"/>
  <c r="N61" i="6"/>
  <c r="N62" i="10"/>
  <c r="N61" i="10"/>
  <c r="N62" i="6"/>
  <c r="N61" i="22"/>
  <c r="N61" i="31"/>
  <c r="N61" i="9"/>
  <c r="N62" i="22"/>
  <c r="N62" i="8"/>
  <c r="N62" i="9"/>
  <c r="N61" i="32"/>
  <c r="N48" i="43"/>
  <c r="O48" i="43" s="1"/>
  <c r="O50" i="43" s="1"/>
  <c r="M50" i="43"/>
  <c r="M53" i="43" s="1"/>
  <c r="N41" i="43"/>
  <c r="O41" i="43" s="1"/>
  <c r="O43" i="43" s="1"/>
  <c r="M43" i="43"/>
  <c r="M46" i="43" s="1"/>
  <c r="N34" i="43"/>
  <c r="O34" i="43" s="1"/>
  <c r="O36" i="43" s="1"/>
  <c r="M36" i="43"/>
  <c r="M39" i="43" s="1"/>
  <c r="N27" i="43"/>
  <c r="O27" i="43" s="1"/>
  <c r="O29" i="43" s="1"/>
  <c r="M29" i="43"/>
  <c r="M32" i="43" s="1"/>
  <c r="N20" i="43"/>
  <c r="O20" i="43" s="1"/>
  <c r="O22" i="43" s="1"/>
  <c r="M22" i="43"/>
  <c r="M25" i="43" s="1"/>
  <c r="N13" i="43"/>
  <c r="O13" i="43" s="1"/>
  <c r="O15" i="43" s="1"/>
  <c r="M15" i="43"/>
  <c r="M18" i="43" s="1"/>
  <c r="F33" i="49"/>
  <c r="E33" i="49"/>
  <c r="F35" i="49" s="1"/>
  <c r="D12" i="49"/>
  <c r="D39" i="49" s="1"/>
  <c r="O62" i="22" l="1"/>
  <c r="P17" i="43"/>
  <c r="P51" i="43"/>
  <c r="O61" i="32"/>
  <c r="P31" i="43"/>
  <c r="O62" i="9"/>
  <c r="N60" i="22"/>
  <c r="O62" i="32"/>
  <c r="P52" i="43"/>
  <c r="P30" i="43"/>
  <c r="O61" i="9"/>
  <c r="N60" i="31"/>
  <c r="O61" i="31"/>
  <c r="P44" i="43"/>
  <c r="P23" i="43"/>
  <c r="O61" i="8"/>
  <c r="O62" i="8"/>
  <c r="P24" i="43"/>
  <c r="P38" i="43"/>
  <c r="O62" i="10"/>
  <c r="N60" i="9"/>
  <c r="O62" i="6"/>
  <c r="P10" i="43"/>
  <c r="O61" i="10"/>
  <c r="P37" i="43"/>
  <c r="N60" i="8"/>
  <c r="O61" i="6"/>
  <c r="P9" i="43"/>
  <c r="N60" i="10"/>
  <c r="N60" i="32"/>
  <c r="O61" i="22"/>
  <c r="P16" i="43"/>
  <c r="O62" i="31"/>
  <c r="P45" i="43"/>
  <c r="N50" i="43"/>
  <c r="N53" i="43" s="1"/>
  <c r="N43" i="43"/>
  <c r="N46" i="43" s="1"/>
  <c r="N36" i="43"/>
  <c r="N39" i="43" s="1"/>
  <c r="N29" i="43"/>
  <c r="N32" i="43" s="1"/>
  <c r="N22" i="43"/>
  <c r="N25" i="43" s="1"/>
  <c r="N15" i="43"/>
  <c r="N18" i="43" s="1"/>
  <c r="H382" i="38"/>
  <c r="H369" i="38"/>
  <c r="H368" i="38"/>
  <c r="H367" i="38"/>
  <c r="H366" i="38"/>
  <c r="P62" i="6" l="1"/>
  <c r="Q10" i="43"/>
  <c r="P62" i="31"/>
  <c r="Q45" i="43"/>
  <c r="P61" i="10"/>
  <c r="Q37" i="43"/>
  <c r="P62" i="10"/>
  <c r="Q38" i="43"/>
  <c r="P61" i="32"/>
  <c r="Q51" i="43"/>
  <c r="P61" i="6"/>
  <c r="Q9" i="43"/>
  <c r="P62" i="32"/>
  <c r="Q52" i="43"/>
  <c r="P61" i="31"/>
  <c r="Q44" i="43"/>
  <c r="P61" i="9"/>
  <c r="Q30" i="43"/>
  <c r="P62" i="9"/>
  <c r="Q31" i="43"/>
  <c r="P62" i="8"/>
  <c r="Q24" i="43"/>
  <c r="P61" i="8"/>
  <c r="Q23" i="43"/>
  <c r="P61" i="22"/>
  <c r="Q16" i="43"/>
  <c r="P62" i="22"/>
  <c r="Q17" i="43"/>
  <c r="O18" i="43"/>
  <c r="O60" i="22"/>
  <c r="P13" i="43"/>
  <c r="Q13" i="43" s="1"/>
  <c r="Q15" i="43" s="1"/>
  <c r="P27" i="43"/>
  <c r="Q27" i="43" s="1"/>
  <c r="Q29" i="43" s="1"/>
  <c r="O60" i="9"/>
  <c r="O32" i="43"/>
  <c r="O46" i="43"/>
  <c r="P41" i="43"/>
  <c r="Q41" i="43" s="1"/>
  <c r="Q43" i="43" s="1"/>
  <c r="Q46" i="43" s="1"/>
  <c r="O60" i="31"/>
  <c r="O60" i="32"/>
  <c r="O53" i="43"/>
  <c r="P48" i="43"/>
  <c r="Q48" i="43" s="1"/>
  <c r="Q50" i="43" s="1"/>
  <c r="O39" i="43"/>
  <c r="P34" i="43"/>
  <c r="Q34" i="43" s="1"/>
  <c r="Q36" i="43" s="1"/>
  <c r="O60" i="10"/>
  <c r="O25" i="43"/>
  <c r="O60" i="8"/>
  <c r="P20" i="43"/>
  <c r="Q20" i="43" s="1"/>
  <c r="Q22" i="43" s="1"/>
  <c r="E12" i="49"/>
  <c r="Q39" i="43" l="1"/>
  <c r="Q25" i="43"/>
  <c r="Q53" i="43"/>
  <c r="Q32" i="43"/>
  <c r="Q18" i="43"/>
  <c r="P60" i="31"/>
  <c r="P43" i="43"/>
  <c r="P46" i="43" s="1"/>
  <c r="P36" i="43"/>
  <c r="P39" i="43" s="1"/>
  <c r="P60" i="10"/>
  <c r="P22" i="43"/>
  <c r="P25" i="43" s="1"/>
  <c r="P60" i="8"/>
  <c r="P60" i="32"/>
  <c r="P50" i="43"/>
  <c r="P53" i="43" s="1"/>
  <c r="P60" i="22"/>
  <c r="P15" i="43"/>
  <c r="P18" i="43" s="1"/>
  <c r="P60" i="9"/>
  <c r="P29" i="43"/>
  <c r="P32" i="43" s="1"/>
  <c r="E39" i="49"/>
  <c r="E15" i="49"/>
  <c r="G273" i="27" l="1"/>
  <c r="H317" i="38"/>
  <c r="H273" i="27" l="1"/>
  <c r="I273" i="27" s="1"/>
  <c r="J273" i="27" s="1"/>
  <c r="K273" i="27" s="1"/>
  <c r="L273" i="27" s="1"/>
  <c r="M273" i="27" s="1"/>
  <c r="N273" i="27" s="1"/>
  <c r="O273" i="27" s="1"/>
  <c r="P273" i="27" s="1"/>
  <c r="Q273" i="27" l="1"/>
  <c r="Q27" i="32"/>
  <c r="T27" i="32" s="1"/>
  <c r="B6" i="46" l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C12" i="49"/>
  <c r="F12" i="49" l="1"/>
  <c r="F39" i="49" l="1"/>
  <c r="F15" i="49"/>
  <c r="F17" i="49" s="1"/>
  <c r="H481" i="38" l="1"/>
  <c r="H480" i="38"/>
  <c r="H479" i="38"/>
  <c r="H478" i="38"/>
  <c r="H477" i="38"/>
  <c r="H476" i="38"/>
  <c r="Q52" i="32" l="1"/>
  <c r="T52" i="32" s="1"/>
  <c r="L10" i="46" l="1"/>
  <c r="Q29" i="10"/>
  <c r="T29" i="10" s="1"/>
  <c r="P67" i="9"/>
  <c r="P259" i="9" s="1"/>
  <c r="O67" i="9"/>
  <c r="O259" i="9" s="1"/>
  <c r="N67" i="9"/>
  <c r="N259" i="9" s="1"/>
  <c r="M67" i="9"/>
  <c r="M259" i="9" s="1"/>
  <c r="L67" i="9"/>
  <c r="L259" i="9" s="1"/>
  <c r="K67" i="9"/>
  <c r="K259" i="9" s="1"/>
  <c r="J67" i="9"/>
  <c r="J259" i="9" s="1"/>
  <c r="I67" i="9"/>
  <c r="I259" i="9" s="1"/>
  <c r="H67" i="9"/>
  <c r="H259" i="9" s="1"/>
  <c r="G67" i="9"/>
  <c r="G259" i="9" s="1"/>
  <c r="F67" i="9"/>
  <c r="F259" i="9" s="1"/>
  <c r="E67" i="9"/>
  <c r="E259" i="9" s="1"/>
  <c r="Q127" i="28"/>
  <c r="R29" i="10" l="1"/>
  <c r="V18" i="10"/>
  <c r="H503" i="38"/>
  <c r="H502" i="38"/>
  <c r="H501" i="38"/>
  <c r="H500" i="38"/>
  <c r="H499" i="38"/>
  <c r="H498" i="38"/>
  <c r="H497" i="38"/>
  <c r="H490" i="38"/>
  <c r="H489" i="38"/>
  <c r="H488" i="38"/>
  <c r="H487" i="38"/>
  <c r="H486" i="38"/>
  <c r="F65" i="43" l="1"/>
  <c r="G65" i="43" l="1"/>
  <c r="H65" i="43" s="1"/>
  <c r="I65" i="43" s="1"/>
  <c r="J65" i="43" s="1"/>
  <c r="K65" i="43" s="1"/>
  <c r="L65" i="43" s="1"/>
  <c r="M65" i="43" s="1"/>
  <c r="N65" i="43" s="1"/>
  <c r="O65" i="43" s="1"/>
  <c r="P65" i="43" s="1"/>
  <c r="F63" i="43"/>
  <c r="Q230" i="44" l="1"/>
  <c r="G63" i="43"/>
  <c r="H63" i="43" s="1"/>
  <c r="I63" i="43" s="1"/>
  <c r="J63" i="43" s="1"/>
  <c r="K63" i="43" s="1"/>
  <c r="L63" i="43" s="1"/>
  <c r="M63" i="43" s="1"/>
  <c r="N63" i="43" s="1"/>
  <c r="O63" i="43" s="1"/>
  <c r="P63" i="43" s="1"/>
  <c r="F60" i="43"/>
  <c r="Q228" i="44" l="1"/>
  <c r="G60" i="43"/>
  <c r="H60" i="43" s="1"/>
  <c r="I60" i="43" s="1"/>
  <c r="J60" i="43" s="1"/>
  <c r="K60" i="43" s="1"/>
  <c r="L60" i="43" s="1"/>
  <c r="M60" i="43" s="1"/>
  <c r="N60" i="43" s="1"/>
  <c r="O60" i="43" s="1"/>
  <c r="P60" i="43" s="1"/>
  <c r="Q225" i="44"/>
  <c r="F61" i="43"/>
  <c r="G61" i="43" l="1"/>
  <c r="H61" i="43" s="1"/>
  <c r="I61" i="43" s="1"/>
  <c r="J61" i="43" s="1"/>
  <c r="K61" i="43" s="1"/>
  <c r="L61" i="43" s="1"/>
  <c r="M61" i="43" s="1"/>
  <c r="N61" i="43" s="1"/>
  <c r="O61" i="43" s="1"/>
  <c r="P61" i="43" s="1"/>
  <c r="F64" i="43"/>
  <c r="Q226" i="44" l="1"/>
  <c r="G64" i="43"/>
  <c r="H64" i="43" s="1"/>
  <c r="I64" i="43" s="1"/>
  <c r="J64" i="43" s="1"/>
  <c r="K64" i="43" s="1"/>
  <c r="L64" i="43" s="1"/>
  <c r="M64" i="43" s="1"/>
  <c r="N64" i="43" s="1"/>
  <c r="O64" i="43" s="1"/>
  <c r="P64" i="43" s="1"/>
  <c r="E59" i="43"/>
  <c r="Q229" i="44" l="1"/>
  <c r="F59" i="43"/>
  <c r="E66" i="43"/>
  <c r="G59" i="43" l="1"/>
  <c r="H59" i="43" l="1"/>
  <c r="I59" i="43" s="1"/>
  <c r="J59" i="43" l="1"/>
  <c r="Q86" i="10"/>
  <c r="R86" i="10" s="1"/>
  <c r="Q52" i="8"/>
  <c r="T52" i="8" s="1"/>
  <c r="Q35" i="31"/>
  <c r="R35" i="31" s="1"/>
  <c r="Q34" i="31"/>
  <c r="R34" i="31" s="1"/>
  <c r="Q65" i="8"/>
  <c r="R65" i="8" s="1"/>
  <c r="Q56" i="6"/>
  <c r="T56" i="6" s="1"/>
  <c r="Q31" i="10"/>
  <c r="T31" i="10" s="1"/>
  <c r="J5" i="46" l="1"/>
  <c r="R31" i="10"/>
  <c r="H10" i="46"/>
  <c r="R52" i="8"/>
  <c r="F8" i="46"/>
  <c r="R56" i="6"/>
  <c r="K59" i="43"/>
  <c r="H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38" i="38"/>
  <c r="H39" i="38"/>
  <c r="H40" i="38"/>
  <c r="H41" i="38"/>
  <c r="H42" i="38"/>
  <c r="H43" i="38"/>
  <c r="H44" i="38"/>
  <c r="H45" i="38"/>
  <c r="H46" i="38"/>
  <c r="H47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72" i="38"/>
  <c r="H73" i="38"/>
  <c r="H74" i="38"/>
  <c r="H75" i="38"/>
  <c r="H76" i="38"/>
  <c r="H77" i="38"/>
  <c r="H78" i="38"/>
  <c r="H79" i="38"/>
  <c r="H80" i="38"/>
  <c r="H81" i="38"/>
  <c r="H82" i="38"/>
  <c r="H83" i="38"/>
  <c r="H107" i="38"/>
  <c r="H108" i="38"/>
  <c r="H109" i="38"/>
  <c r="H110" i="38"/>
  <c r="H111" i="38"/>
  <c r="H112" i="38"/>
  <c r="H113" i="38"/>
  <c r="H114" i="38"/>
  <c r="H115" i="38"/>
  <c r="H116" i="38"/>
  <c r="H117" i="38"/>
  <c r="H118" i="38"/>
  <c r="H137" i="38"/>
  <c r="H138" i="38"/>
  <c r="H139" i="38"/>
  <c r="H140" i="38"/>
  <c r="H141" i="38"/>
  <c r="H142" i="38"/>
  <c r="H143" i="38"/>
  <c r="H144" i="38"/>
  <c r="H145" i="38"/>
  <c r="H146" i="38"/>
  <c r="H147" i="38"/>
  <c r="H148" i="38"/>
  <c r="H149" i="38"/>
  <c r="H150" i="38"/>
  <c r="H151" i="38"/>
  <c r="H152" i="38"/>
  <c r="H153" i="38"/>
  <c r="H154" i="38"/>
  <c r="H155" i="38"/>
  <c r="H156" i="38"/>
  <c r="H157" i="38"/>
  <c r="H158" i="38"/>
  <c r="H159" i="38"/>
  <c r="H160" i="38"/>
  <c r="H161" i="38"/>
  <c r="H162" i="38"/>
  <c r="H163" i="38"/>
  <c r="H164" i="38"/>
  <c r="H165" i="38"/>
  <c r="H166" i="38"/>
  <c r="H167" i="38"/>
  <c r="H168" i="38"/>
  <c r="H169" i="38"/>
  <c r="H170" i="38"/>
  <c r="H171" i="38"/>
  <c r="H172" i="38"/>
  <c r="H173" i="38"/>
  <c r="H174" i="38"/>
  <c r="H175" i="38"/>
  <c r="H176" i="38"/>
  <c r="H177" i="38"/>
  <c r="H178" i="38"/>
  <c r="H179" i="38"/>
  <c r="H180" i="38"/>
  <c r="H181" i="38"/>
  <c r="H182" i="38"/>
  <c r="H183" i="38"/>
  <c r="H184" i="38"/>
  <c r="H185" i="38"/>
  <c r="H186" i="38"/>
  <c r="H187" i="38"/>
  <c r="H188" i="38"/>
  <c r="H189" i="38"/>
  <c r="H190" i="38"/>
  <c r="H191" i="38"/>
  <c r="H192" i="38"/>
  <c r="H193" i="38"/>
  <c r="H194" i="38"/>
  <c r="H195" i="38"/>
  <c r="H196" i="38"/>
  <c r="H197" i="38"/>
  <c r="H198" i="38"/>
  <c r="H199" i="38"/>
  <c r="H200" i="38"/>
  <c r="H201" i="38"/>
  <c r="H202" i="38"/>
  <c r="H203" i="38"/>
  <c r="H204" i="38"/>
  <c r="H205" i="38"/>
  <c r="H206" i="38"/>
  <c r="H207" i="38"/>
  <c r="H208" i="38"/>
  <c r="H209" i="38"/>
  <c r="H211" i="38"/>
  <c r="H212" i="38"/>
  <c r="H213" i="38"/>
  <c r="H214" i="38"/>
  <c r="H215" i="38"/>
  <c r="H216" i="38"/>
  <c r="H217" i="38"/>
  <c r="H218" i="38"/>
  <c r="H219" i="38"/>
  <c r="H220" i="38"/>
  <c r="H221" i="38"/>
  <c r="H222" i="38"/>
  <c r="H223" i="38"/>
  <c r="H224" i="38"/>
  <c r="H225" i="38"/>
  <c r="H226" i="38"/>
  <c r="H227" i="38"/>
  <c r="H228" i="38"/>
  <c r="H229" i="38"/>
  <c r="H230" i="38"/>
  <c r="H231" i="38"/>
  <c r="H232" i="38"/>
  <c r="H233" i="38"/>
  <c r="H234" i="38"/>
  <c r="H235" i="38"/>
  <c r="H236" i="38"/>
  <c r="H237" i="38"/>
  <c r="H262" i="38"/>
  <c r="H263" i="38"/>
  <c r="H264" i="38"/>
  <c r="H265" i="38"/>
  <c r="H266" i="38"/>
  <c r="H267" i="38"/>
  <c r="H268" i="38"/>
  <c r="H269" i="38"/>
  <c r="H270" i="38"/>
  <c r="H271" i="38"/>
  <c r="H272" i="38"/>
  <c r="H273" i="38"/>
  <c r="H274" i="38"/>
  <c r="H275" i="38"/>
  <c r="H276" i="38"/>
  <c r="H277" i="38"/>
  <c r="H278" i="38"/>
  <c r="H279" i="38"/>
  <c r="H280" i="38"/>
  <c r="H281" i="38"/>
  <c r="H282" i="38"/>
  <c r="H283" i="38"/>
  <c r="H284" i="38"/>
  <c r="H285" i="38"/>
  <c r="H286" i="38"/>
  <c r="H287" i="38"/>
  <c r="H288" i="38"/>
  <c r="H289" i="38"/>
  <c r="H290" i="38"/>
  <c r="H291" i="38"/>
  <c r="H292" i="38"/>
  <c r="H293" i="38"/>
  <c r="H294" i="38"/>
  <c r="H295" i="38"/>
  <c r="H296" i="38"/>
  <c r="H297" i="38"/>
  <c r="H298" i="38"/>
  <c r="H299" i="38"/>
  <c r="H300" i="38"/>
  <c r="H301" i="38"/>
  <c r="H302" i="38"/>
  <c r="H303" i="38"/>
  <c r="H304" i="38"/>
  <c r="H305" i="38"/>
  <c r="H306" i="38"/>
  <c r="H307" i="38"/>
  <c r="H308" i="38"/>
  <c r="H309" i="38"/>
  <c r="H310" i="38"/>
  <c r="H311" i="38"/>
  <c r="H312" i="38"/>
  <c r="H313" i="38"/>
  <c r="H314" i="38"/>
  <c r="H315" i="38"/>
  <c r="H316" i="38"/>
  <c r="H318" i="38"/>
  <c r="H319" i="38"/>
  <c r="H320" i="38"/>
  <c r="H321" i="38"/>
  <c r="H322" i="38"/>
  <c r="H323" i="38"/>
  <c r="H324" i="38"/>
  <c r="H325" i="38"/>
  <c r="H326" i="38"/>
  <c r="H327" i="38"/>
  <c r="H328" i="38"/>
  <c r="H329" i="38"/>
  <c r="H330" i="38"/>
  <c r="H331" i="38"/>
  <c r="H332" i="38"/>
  <c r="H333" i="38"/>
  <c r="H334" i="38"/>
  <c r="H335" i="38"/>
  <c r="H336" i="38"/>
  <c r="H337" i="38"/>
  <c r="H338" i="38"/>
  <c r="H339" i="38"/>
  <c r="H340" i="38"/>
  <c r="H341" i="38"/>
  <c r="H342" i="38"/>
  <c r="H343" i="38"/>
  <c r="H344" i="38"/>
  <c r="H345" i="38"/>
  <c r="H346" i="38"/>
  <c r="H347" i="38"/>
  <c r="H348" i="38"/>
  <c r="H349" i="38"/>
  <c r="H350" i="38"/>
  <c r="H351" i="38"/>
  <c r="H352" i="38"/>
  <c r="H353" i="38"/>
  <c r="H354" i="38"/>
  <c r="H355" i="38"/>
  <c r="H356" i="38"/>
  <c r="H357" i="38"/>
  <c r="H358" i="38"/>
  <c r="H359" i="38"/>
  <c r="H360" i="38"/>
  <c r="H361" i="38"/>
  <c r="H362" i="38"/>
  <c r="H363" i="38"/>
  <c r="H364" i="38"/>
  <c r="H365" i="38"/>
  <c r="H383" i="38"/>
  <c r="H384" i="38"/>
  <c r="H385" i="38"/>
  <c r="H386" i="38"/>
  <c r="H387" i="38"/>
  <c r="H388" i="38"/>
  <c r="H389" i="38"/>
  <c r="H390" i="38"/>
  <c r="H391" i="38"/>
  <c r="H392" i="38"/>
  <c r="H393" i="38"/>
  <c r="H394" i="38"/>
  <c r="H395" i="38"/>
  <c r="H396" i="38"/>
  <c r="H397" i="38"/>
  <c r="H398" i="38"/>
  <c r="H399" i="38"/>
  <c r="H400" i="38"/>
  <c r="H401" i="38"/>
  <c r="H402" i="38"/>
  <c r="H403" i="38"/>
  <c r="H404" i="38"/>
  <c r="H405" i="38"/>
  <c r="H406" i="38"/>
  <c r="H407" i="38"/>
  <c r="H408" i="38"/>
  <c r="H409" i="38"/>
  <c r="H410" i="38"/>
  <c r="H411" i="38"/>
  <c r="H412" i="38"/>
  <c r="H413" i="38"/>
  <c r="H414" i="38"/>
  <c r="H415" i="38"/>
  <c r="H416" i="38"/>
  <c r="H417" i="38"/>
  <c r="H430" i="38"/>
  <c r="H431" i="38"/>
  <c r="H432" i="38"/>
  <c r="H433" i="38"/>
  <c r="H434" i="38"/>
  <c r="H435" i="38"/>
  <c r="H436" i="38"/>
  <c r="H437" i="38"/>
  <c r="H438" i="38"/>
  <c r="H439" i="38"/>
  <c r="H440" i="38"/>
  <c r="H441" i="38"/>
  <c r="H442" i="38"/>
  <c r="H443" i="38"/>
  <c r="H444" i="38"/>
  <c r="H445" i="38"/>
  <c r="H446" i="38"/>
  <c r="H447" i="38"/>
  <c r="H448" i="38"/>
  <c r="H449" i="38"/>
  <c r="H450" i="38"/>
  <c r="H463" i="38"/>
  <c r="H464" i="38"/>
  <c r="H465" i="38"/>
  <c r="H466" i="38"/>
  <c r="H467" i="38"/>
  <c r="H468" i="38"/>
  <c r="H469" i="38"/>
  <c r="H470" i="38"/>
  <c r="H471" i="38"/>
  <c r="H472" i="38"/>
  <c r="H473" i="38"/>
  <c r="H474" i="38"/>
  <c r="H475" i="38"/>
  <c r="H482" i="38"/>
  <c r="H483" i="38"/>
  <c r="H484" i="38"/>
  <c r="H485" i="38"/>
  <c r="H504" i="38"/>
  <c r="H505" i="38"/>
  <c r="H506" i="38"/>
  <c r="H507" i="38"/>
  <c r="H508" i="38"/>
  <c r="H509" i="38"/>
  <c r="H510" i="38"/>
  <c r="H511" i="38"/>
  <c r="H512" i="38"/>
  <c r="H513" i="38"/>
  <c r="H514" i="38"/>
  <c r="H515" i="38"/>
  <c r="H516" i="38"/>
  <c r="H517" i="38"/>
  <c r="H518" i="38"/>
  <c r="H519" i="38"/>
  <c r="H520" i="38"/>
  <c r="H521" i="38"/>
  <c r="H522" i="38"/>
  <c r="H523" i="38"/>
  <c r="H524" i="38"/>
  <c r="H525" i="38"/>
  <c r="H526" i="38"/>
  <c r="H527" i="38"/>
  <c r="H528" i="38"/>
  <c r="H529" i="38"/>
  <c r="H530" i="38"/>
  <c r="H531" i="38"/>
  <c r="H532" i="38"/>
  <c r="H533" i="38"/>
  <c r="H534" i="38"/>
  <c r="H535" i="38"/>
  <c r="H536" i="38"/>
  <c r="H537" i="38"/>
  <c r="H538" i="38"/>
  <c r="H539" i="38"/>
  <c r="H540" i="38"/>
  <c r="H541" i="38"/>
  <c r="H542" i="38"/>
  <c r="H543" i="38"/>
  <c r="H544" i="38"/>
  <c r="H545" i="38"/>
  <c r="H546" i="38"/>
  <c r="H547" i="38"/>
  <c r="H548" i="38"/>
  <c r="H549" i="38"/>
  <c r="H550" i="38"/>
  <c r="H551" i="38"/>
  <c r="H560" i="38"/>
  <c r="H561" i="38"/>
  <c r="H562" i="38"/>
  <c r="H563" i="38"/>
  <c r="H564" i="38"/>
  <c r="H565" i="38"/>
  <c r="H566" i="38"/>
  <c r="H567" i="38"/>
  <c r="H568" i="38"/>
  <c r="H569" i="38"/>
  <c r="H570" i="38"/>
  <c r="H571" i="38"/>
  <c r="H591" i="38"/>
  <c r="H592" i="38"/>
  <c r="H593" i="38"/>
  <c r="H594" i="38"/>
  <c r="H595" i="38"/>
  <c r="H596" i="38"/>
  <c r="H597" i="38"/>
  <c r="H598" i="38"/>
  <c r="H599" i="38"/>
  <c r="H600" i="38"/>
  <c r="H601" i="38"/>
  <c r="H602" i="38"/>
  <c r="T29" i="6"/>
  <c r="R29" i="6" l="1"/>
  <c r="V18" i="6"/>
  <c r="L59" i="43"/>
  <c r="P10" i="32"/>
  <c r="H10" i="32"/>
  <c r="N10" i="32"/>
  <c r="F10" i="32"/>
  <c r="I10" i="32"/>
  <c r="M10" i="32"/>
  <c r="E10" i="32"/>
  <c r="L10" i="32"/>
  <c r="O10" i="32"/>
  <c r="G10" i="32"/>
  <c r="K10" i="32"/>
  <c r="J10" i="32"/>
  <c r="L10" i="31"/>
  <c r="L143" i="31" s="1"/>
  <c r="K10" i="31"/>
  <c r="K143" i="31" s="1"/>
  <c r="J10" i="31"/>
  <c r="J143" i="31" s="1"/>
  <c r="I10" i="31"/>
  <c r="I143" i="31" s="1"/>
  <c r="M10" i="31"/>
  <c r="M143" i="31" s="1"/>
  <c r="P10" i="31"/>
  <c r="P143" i="31" s="1"/>
  <c r="H10" i="31"/>
  <c r="H143" i="31" s="1"/>
  <c r="E10" i="31"/>
  <c r="E143" i="31" s="1"/>
  <c r="O10" i="31"/>
  <c r="O143" i="31" s="1"/>
  <c r="G10" i="31"/>
  <c r="G143" i="31" s="1"/>
  <c r="N10" i="31"/>
  <c r="N143" i="31" s="1"/>
  <c r="F10" i="31"/>
  <c r="F143" i="31" s="1"/>
  <c r="P10" i="10"/>
  <c r="P144" i="10" s="1"/>
  <c r="H10" i="10"/>
  <c r="H144" i="10" s="1"/>
  <c r="O10" i="10"/>
  <c r="O144" i="10" s="1"/>
  <c r="G10" i="10"/>
  <c r="G144" i="10" s="1"/>
  <c r="N10" i="10"/>
  <c r="N144" i="10" s="1"/>
  <c r="F10" i="10"/>
  <c r="F144" i="10" s="1"/>
  <c r="I10" i="10"/>
  <c r="I144" i="10" s="1"/>
  <c r="M10" i="10"/>
  <c r="M144" i="10" s="1"/>
  <c r="E10" i="10"/>
  <c r="L10" i="10"/>
  <c r="L144" i="10" s="1"/>
  <c r="K10" i="10"/>
  <c r="K144" i="10" s="1"/>
  <c r="J10" i="10"/>
  <c r="J144" i="10" s="1"/>
  <c r="P10" i="8"/>
  <c r="H10" i="8"/>
  <c r="N10" i="8"/>
  <c r="F10" i="8"/>
  <c r="M10" i="8"/>
  <c r="E10" i="8"/>
  <c r="O10" i="8"/>
  <c r="L10" i="8"/>
  <c r="I10" i="8"/>
  <c r="G10" i="8"/>
  <c r="K10" i="8"/>
  <c r="J10" i="8"/>
  <c r="L10" i="22"/>
  <c r="K10" i="22"/>
  <c r="J10" i="22"/>
  <c r="I10" i="22"/>
  <c r="P10" i="22"/>
  <c r="P196" i="22" s="1"/>
  <c r="H10" i="22"/>
  <c r="O10" i="22"/>
  <c r="M10" i="22"/>
  <c r="N10" i="22"/>
  <c r="F10" i="22"/>
  <c r="E10" i="22"/>
  <c r="L10" i="9"/>
  <c r="J10" i="9"/>
  <c r="K10" i="9"/>
  <c r="I10" i="9"/>
  <c r="P10" i="9"/>
  <c r="H10" i="9"/>
  <c r="O10" i="9"/>
  <c r="G10" i="9"/>
  <c r="E10" i="9"/>
  <c r="N10" i="9"/>
  <c r="F10" i="9"/>
  <c r="M10" i="9"/>
  <c r="P10" i="6"/>
  <c r="H10" i="6"/>
  <c r="O10" i="6"/>
  <c r="G10" i="6"/>
  <c r="N10" i="6"/>
  <c r="F10" i="6"/>
  <c r="M10" i="6"/>
  <c r="E10" i="6"/>
  <c r="L10" i="6"/>
  <c r="I10" i="6"/>
  <c r="K10" i="6"/>
  <c r="J10" i="6"/>
  <c r="E144" i="10" l="1"/>
  <c r="Q10" i="10"/>
  <c r="E168" i="9"/>
  <c r="K168" i="9"/>
  <c r="K200" i="9"/>
  <c r="L200" i="9"/>
  <c r="L168" i="9"/>
  <c r="H200" i="9"/>
  <c r="H168" i="9"/>
  <c r="J200" i="9"/>
  <c r="J168" i="9"/>
  <c r="O200" i="9"/>
  <c r="O168" i="9"/>
  <c r="M200" i="9"/>
  <c r="M168" i="9"/>
  <c r="F168" i="9"/>
  <c r="F200" i="9"/>
  <c r="I200" i="9"/>
  <c r="I168" i="9"/>
  <c r="N200" i="9"/>
  <c r="N168" i="9"/>
  <c r="G200" i="9"/>
  <c r="G168" i="9"/>
  <c r="P200" i="9"/>
  <c r="P168" i="9"/>
  <c r="E200" i="9"/>
  <c r="E180" i="8"/>
  <c r="E158" i="8"/>
  <c r="J180" i="8"/>
  <c r="J158" i="8"/>
  <c r="I180" i="8"/>
  <c r="I158" i="8"/>
  <c r="N180" i="8"/>
  <c r="N158" i="8"/>
  <c r="K180" i="8"/>
  <c r="K158" i="8"/>
  <c r="G180" i="8"/>
  <c r="G158" i="8"/>
  <c r="L180" i="8"/>
  <c r="L158" i="8"/>
  <c r="O180" i="8"/>
  <c r="O158" i="8"/>
  <c r="P180" i="8"/>
  <c r="P158" i="8"/>
  <c r="M180" i="8"/>
  <c r="M158" i="8"/>
  <c r="H180" i="8"/>
  <c r="H158" i="8"/>
  <c r="F158" i="8"/>
  <c r="F180" i="8"/>
  <c r="L196" i="22"/>
  <c r="J196" i="22"/>
  <c r="I196" i="22"/>
  <c r="K196" i="22"/>
  <c r="E196" i="22"/>
  <c r="F196" i="22"/>
  <c r="N196" i="22"/>
  <c r="M196" i="22"/>
  <c r="O196" i="22"/>
  <c r="H196" i="22"/>
  <c r="M59" i="43"/>
  <c r="N59" i="43" l="1"/>
  <c r="O59" i="43" l="1"/>
  <c r="J1" i="28"/>
  <c r="P59" i="43" l="1"/>
  <c r="Q224" i="44" s="1"/>
  <c r="Q112" i="8" l="1"/>
  <c r="R112" i="8" s="1"/>
  <c r="Q52" i="31"/>
  <c r="T52" i="31" s="1"/>
  <c r="Q52" i="10"/>
  <c r="T52" i="10" s="1"/>
  <c r="Q52" i="9"/>
  <c r="T52" i="9" s="1"/>
  <c r="Q52" i="22"/>
  <c r="T52" i="22" s="1"/>
  <c r="Q52" i="6"/>
  <c r="T52" i="6" s="1"/>
  <c r="K10" i="46" l="1"/>
  <c r="R52" i="31"/>
  <c r="J10" i="46"/>
  <c r="R52" i="10"/>
  <c r="I10" i="46"/>
  <c r="R52" i="9"/>
  <c r="G10" i="46"/>
  <c r="F10" i="46"/>
  <c r="R52" i="6"/>
  <c r="E10" i="46" l="1"/>
  <c r="Q65" i="31"/>
  <c r="R65" i="31" s="1"/>
  <c r="R65" i="10"/>
  <c r="Q65" i="9"/>
  <c r="R65" i="9" s="1"/>
  <c r="F48" i="27"/>
  <c r="G36" i="31" l="1"/>
  <c r="G151" i="31" s="1"/>
  <c r="Q49" i="22"/>
  <c r="Q48" i="22"/>
  <c r="Q46" i="22"/>
  <c r="Q45" i="22"/>
  <c r="T45" i="22" s="1"/>
  <c r="Q42" i="22"/>
  <c r="Q41" i="22"/>
  <c r="Q40" i="22"/>
  <c r="G11" i="46" l="1"/>
  <c r="Q50" i="22"/>
  <c r="T50" i="22" s="1"/>
  <c r="H50" i="22"/>
  <c r="H251" i="22" s="1"/>
  <c r="I50" i="22"/>
  <c r="I251" i="22" s="1"/>
  <c r="J50" i="22"/>
  <c r="J251" i="22" s="1"/>
  <c r="K50" i="22"/>
  <c r="K251" i="22" s="1"/>
  <c r="G50" i="22"/>
  <c r="G251" i="22" s="1"/>
  <c r="O50" i="6"/>
  <c r="O218" i="6" s="1"/>
  <c r="H50" i="6"/>
  <c r="H218" i="6" s="1"/>
  <c r="I50" i="6"/>
  <c r="I218" i="6" s="1"/>
  <c r="J50" i="6"/>
  <c r="J218" i="6" s="1"/>
  <c r="K50" i="6"/>
  <c r="K218" i="6" s="1"/>
  <c r="L50" i="6"/>
  <c r="L218" i="6" s="1"/>
  <c r="M50" i="6"/>
  <c r="M218" i="6" s="1"/>
  <c r="N50" i="6"/>
  <c r="N218" i="6" s="1"/>
  <c r="G50" i="6"/>
  <c r="G218" i="6" s="1"/>
  <c r="F50" i="6"/>
  <c r="F218" i="6" s="1"/>
  <c r="P50" i="6"/>
  <c r="P218" i="6" s="1"/>
  <c r="E50" i="6"/>
  <c r="E218" i="6" s="1"/>
  <c r="Q218" i="6" l="1"/>
  <c r="Q21" i="9"/>
  <c r="T21" i="9" s="1"/>
  <c r="J1" i="22"/>
  <c r="J1" i="8" s="1"/>
  <c r="J1" i="9" s="1"/>
  <c r="J1" i="10" s="1"/>
  <c r="J1" i="31" s="1"/>
  <c r="J1" i="32" s="1"/>
  <c r="R21" i="9" l="1"/>
  <c r="T27" i="6"/>
  <c r="F7" i="46" l="1"/>
  <c r="R27" i="6"/>
  <c r="E98" i="27"/>
  <c r="R34" i="6"/>
  <c r="Q77" i="10" l="1"/>
  <c r="R77" i="10" s="1"/>
  <c r="Q77" i="22"/>
  <c r="Q77" i="31"/>
  <c r="R77" i="31" s="1"/>
  <c r="Q77" i="32"/>
  <c r="Q77" i="9" l="1"/>
  <c r="R77" i="9" s="1"/>
  <c r="Q77" i="8"/>
  <c r="R77" i="8" s="1"/>
  <c r="Q119" i="31"/>
  <c r="R119" i="31" s="1"/>
  <c r="Q119" i="9" l="1"/>
  <c r="R119" i="9" s="1"/>
  <c r="Q119" i="22"/>
  <c r="H603" i="38"/>
  <c r="H604" i="38"/>
  <c r="H605" i="38"/>
  <c r="H606" i="38"/>
  <c r="H607" i="38"/>
  <c r="H608" i="38"/>
  <c r="H609" i="38"/>
  <c r="H610" i="38"/>
  <c r="Q119" i="8" l="1"/>
  <c r="R119" i="8" s="1"/>
  <c r="E6" i="43" l="1"/>
  <c r="E8" i="43" l="1"/>
  <c r="Q27" i="22"/>
  <c r="T27" i="22" s="1"/>
  <c r="G7" i="46" l="1"/>
  <c r="E11" i="43"/>
  <c r="E55" i="43" s="1"/>
  <c r="M48" i="27" l="1"/>
  <c r="E62" i="9" l="1"/>
  <c r="E61" i="6"/>
  <c r="E62" i="6"/>
  <c r="E61" i="9"/>
  <c r="E61" i="10"/>
  <c r="E61" i="32"/>
  <c r="E62" i="32"/>
  <c r="E61" i="31"/>
  <c r="E62" i="31"/>
  <c r="E62" i="10"/>
  <c r="Q62" i="10" s="1"/>
  <c r="E62" i="8"/>
  <c r="E61" i="8"/>
  <c r="E62" i="22"/>
  <c r="E61" i="22"/>
  <c r="Q56" i="31" l="1"/>
  <c r="T56" i="31" s="1"/>
  <c r="K8" i="46" l="1"/>
  <c r="R56" i="31"/>
  <c r="E60" i="9"/>
  <c r="E60" i="32" l="1"/>
  <c r="E60" i="31"/>
  <c r="E60" i="10"/>
  <c r="E60" i="8"/>
  <c r="E60" i="22"/>
  <c r="F6" i="43"/>
  <c r="E60" i="6"/>
  <c r="F60" i="6" l="1"/>
  <c r="G6" i="43"/>
  <c r="G60" i="6" s="1"/>
  <c r="F8" i="43"/>
  <c r="F11" i="43" s="1"/>
  <c r="F55" i="43" s="1"/>
  <c r="DD24" i="41"/>
  <c r="DE24" i="41"/>
  <c r="DM24" i="41"/>
  <c r="DW24" i="41"/>
  <c r="DC24" i="41"/>
  <c r="DQ24" i="41" l="1"/>
  <c r="DU24" i="41"/>
  <c r="DY24" i="41"/>
  <c r="DG24" i="41"/>
  <c r="DB24" i="41"/>
  <c r="DL24" i="41"/>
  <c r="DF24" i="41"/>
  <c r="H6" i="43"/>
  <c r="H60" i="6" s="1"/>
  <c r="G8" i="43"/>
  <c r="G11" i="43" s="1"/>
  <c r="G55" i="43" s="1"/>
  <c r="DT24" i="41"/>
  <c r="DK24" i="41"/>
  <c r="DR24" i="41"/>
  <c r="DJ24" i="41"/>
  <c r="DX24" i="41"/>
  <c r="DO24" i="41"/>
  <c r="DS24" i="41"/>
  <c r="DI24" i="41"/>
  <c r="DL42" i="41"/>
  <c r="DP24" i="41"/>
  <c r="DH24" i="41"/>
  <c r="DV24" i="41"/>
  <c r="I127" i="6"/>
  <c r="DY68" i="41"/>
  <c r="DO68" i="41"/>
  <c r="DI42" i="41"/>
  <c r="I126" i="6"/>
  <c r="I239" i="6" s="1"/>
  <c r="DN42" i="41"/>
  <c r="DN44" i="41" s="1"/>
  <c r="DB68" i="41"/>
  <c r="R10" i="10"/>
  <c r="DI44" i="41" l="1"/>
  <c r="DL44" i="41"/>
  <c r="DW68" i="41"/>
  <c r="DM68" i="41"/>
  <c r="DN68" i="41"/>
  <c r="DP68" i="41"/>
  <c r="DC68" i="41"/>
  <c r="DD68" i="41"/>
  <c r="DU68" i="41"/>
  <c r="DV68" i="41"/>
  <c r="DQ68" i="41"/>
  <c r="DJ68" i="41"/>
  <c r="DX68" i="41"/>
  <c r="DK68" i="41"/>
  <c r="DL68" i="41"/>
  <c r="DG68" i="41"/>
  <c r="DR68" i="41"/>
  <c r="DH68" i="41"/>
  <c r="DS68" i="41"/>
  <c r="DT68" i="41"/>
  <c r="DE68" i="41"/>
  <c r="DF68" i="41"/>
  <c r="DI68" i="41"/>
  <c r="DQ42" i="41"/>
  <c r="DQ44" i="41" s="1"/>
  <c r="DX42" i="41"/>
  <c r="DX44" i="41" s="1"/>
  <c r="DO42" i="41"/>
  <c r="DO44" i="41" s="1"/>
  <c r="DH42" i="41"/>
  <c r="DH44" i="41" s="1"/>
  <c r="DJ42" i="41"/>
  <c r="DJ44" i="41" s="1"/>
  <c r="DE42" i="41"/>
  <c r="DE44" i="41" s="1"/>
  <c r="DM42" i="41"/>
  <c r="DM44" i="41" s="1"/>
  <c r="DR42" i="41"/>
  <c r="DR44" i="41" s="1"/>
  <c r="DP42" i="41"/>
  <c r="DP44" i="41" s="1"/>
  <c r="DW42" i="41"/>
  <c r="DW44" i="41" s="1"/>
  <c r="DG42" i="41"/>
  <c r="DG44" i="41" s="1"/>
  <c r="DK42" i="41"/>
  <c r="DK44" i="41" s="1"/>
  <c r="DC42" i="41"/>
  <c r="DC44" i="41" s="1"/>
  <c r="DY42" i="41"/>
  <c r="DY44" i="41" s="1"/>
  <c r="DT42" i="41"/>
  <c r="DT44" i="41" s="1"/>
  <c r="DV42" i="41"/>
  <c r="DV44" i="41" s="1"/>
  <c r="DS42" i="41"/>
  <c r="DS44" i="41" s="1"/>
  <c r="DU42" i="41"/>
  <c r="DU44" i="41" s="1"/>
  <c r="DF42" i="41"/>
  <c r="DF44" i="41" s="1"/>
  <c r="DB42" i="41"/>
  <c r="DB44" i="41" s="1"/>
  <c r="DD42" i="41"/>
  <c r="DD44" i="41" s="1"/>
  <c r="I6" i="43"/>
  <c r="I60" i="6" s="1"/>
  <c r="H8" i="43"/>
  <c r="H11" i="43" s="1"/>
  <c r="H55" i="43" s="1"/>
  <c r="G121" i="9"/>
  <c r="G273" i="9" s="1"/>
  <c r="J126" i="6"/>
  <c r="J239" i="6" s="1"/>
  <c r="J127" i="6"/>
  <c r="J6" i="43" l="1"/>
  <c r="J60" i="6" s="1"/>
  <c r="I8" i="43"/>
  <c r="I11" i="43" s="1"/>
  <c r="I55" i="43" s="1"/>
  <c r="K126" i="6"/>
  <c r="K239" i="6" s="1"/>
  <c r="K127" i="6"/>
  <c r="T31" i="6"/>
  <c r="R33" i="6"/>
  <c r="R35" i="6"/>
  <c r="L7" i="46"/>
  <c r="Q29" i="32"/>
  <c r="T29" i="32" s="1"/>
  <c r="Q31" i="32"/>
  <c r="T31" i="32" s="1"/>
  <c r="Q33" i="32"/>
  <c r="Q34" i="32"/>
  <c r="Q35" i="32"/>
  <c r="Q27" i="31"/>
  <c r="T27" i="31" s="1"/>
  <c r="Q29" i="31"/>
  <c r="T29" i="31" s="1"/>
  <c r="Q31" i="31"/>
  <c r="T31" i="31" s="1"/>
  <c r="Q33" i="31"/>
  <c r="T27" i="10"/>
  <c r="Q33" i="10"/>
  <c r="R33" i="10" s="1"/>
  <c r="Q34" i="10"/>
  <c r="R34" i="10" s="1"/>
  <c r="Q35" i="10"/>
  <c r="R35" i="10" s="1"/>
  <c r="Q27" i="9"/>
  <c r="T27" i="9" s="1"/>
  <c r="Q31" i="9"/>
  <c r="T31" i="9" s="1"/>
  <c r="Q33" i="9"/>
  <c r="R33" i="9" s="1"/>
  <c r="Q34" i="9"/>
  <c r="R34" i="9" s="1"/>
  <c r="Q35" i="9"/>
  <c r="R35" i="9" s="1"/>
  <c r="Q27" i="8"/>
  <c r="T27" i="8" s="1"/>
  <c r="Q29" i="8"/>
  <c r="T29" i="8" s="1"/>
  <c r="Q31" i="8"/>
  <c r="T31" i="8" s="1"/>
  <c r="Q33" i="8"/>
  <c r="R33" i="8" s="1"/>
  <c r="Q34" i="8"/>
  <c r="R34" i="8" s="1"/>
  <c r="Q35" i="8"/>
  <c r="R35" i="8" s="1"/>
  <c r="Q29" i="22"/>
  <c r="T29" i="22" s="1"/>
  <c r="G5" i="46"/>
  <c r="Q33" i="22"/>
  <c r="Q35" i="22"/>
  <c r="R41" i="6"/>
  <c r="R42" i="6"/>
  <c r="Q41" i="32"/>
  <c r="Q42" i="32"/>
  <c r="Q41" i="31"/>
  <c r="R41" i="31" s="1"/>
  <c r="Q42" i="31"/>
  <c r="R42" i="31" s="1"/>
  <c r="Q41" i="10"/>
  <c r="R41" i="10" s="1"/>
  <c r="Q42" i="10"/>
  <c r="R42" i="10" s="1"/>
  <c r="Q41" i="9"/>
  <c r="R41" i="9" s="1"/>
  <c r="Q42" i="9"/>
  <c r="R42" i="9" s="1"/>
  <c r="Q41" i="8"/>
  <c r="R41" i="8" s="1"/>
  <c r="Q42" i="8"/>
  <c r="R42" i="8" s="1"/>
  <c r="Q45" i="6"/>
  <c r="T45" i="6" s="1"/>
  <c r="R47" i="6"/>
  <c r="Q45" i="32"/>
  <c r="T45" i="32" s="1"/>
  <c r="Q47" i="32"/>
  <c r="Q48" i="32"/>
  <c r="Q45" i="31"/>
  <c r="T45" i="31" s="1"/>
  <c r="Q47" i="31"/>
  <c r="R47" i="31" s="1"/>
  <c r="Q48" i="31"/>
  <c r="R48" i="31" s="1"/>
  <c r="Q45" i="10"/>
  <c r="T45" i="10" s="1"/>
  <c r="Q47" i="10"/>
  <c r="R47" i="10" s="1"/>
  <c r="Q48" i="10"/>
  <c r="R48" i="10" s="1"/>
  <c r="Q45" i="9"/>
  <c r="T45" i="9" s="1"/>
  <c r="Q47" i="9"/>
  <c r="R47" i="9" s="1"/>
  <c r="Q48" i="9"/>
  <c r="R48" i="9" s="1"/>
  <c r="Q45" i="8"/>
  <c r="T45" i="8" s="1"/>
  <c r="Q47" i="8"/>
  <c r="R47" i="8" s="1"/>
  <c r="Q48" i="8"/>
  <c r="R48" i="8" s="1"/>
  <c r="R29" i="31" l="1"/>
  <c r="V18" i="31"/>
  <c r="R29" i="8"/>
  <c r="V18" i="8"/>
  <c r="L5" i="46"/>
  <c r="L11" i="46"/>
  <c r="K11" i="46"/>
  <c r="R45" i="31"/>
  <c r="K7" i="46"/>
  <c r="R27" i="31"/>
  <c r="Q36" i="31"/>
  <c r="T36" i="31" s="1"/>
  <c r="R33" i="31"/>
  <c r="K5" i="46"/>
  <c r="R31" i="31"/>
  <c r="J11" i="46"/>
  <c r="R45" i="10"/>
  <c r="J7" i="46"/>
  <c r="R27" i="10"/>
  <c r="I7" i="46"/>
  <c r="R27" i="9"/>
  <c r="I11" i="46"/>
  <c r="R45" i="9"/>
  <c r="I5" i="46"/>
  <c r="R31" i="9"/>
  <c r="H5" i="46"/>
  <c r="R31" i="8"/>
  <c r="H11" i="46"/>
  <c r="R45" i="8"/>
  <c r="H7" i="46"/>
  <c r="R27" i="8"/>
  <c r="F5" i="46"/>
  <c r="R31" i="6"/>
  <c r="F11" i="46"/>
  <c r="R45" i="6"/>
  <c r="K6" i="43"/>
  <c r="K60" i="6" s="1"/>
  <c r="J8" i="43"/>
  <c r="J11" i="43" s="1"/>
  <c r="J55" i="43" s="1"/>
  <c r="Q11" i="32"/>
  <c r="T11" i="32" s="1"/>
  <c r="Q11" i="31"/>
  <c r="T11" i="31" s="1"/>
  <c r="L126" i="6"/>
  <c r="L239" i="6" s="1"/>
  <c r="L127" i="6"/>
  <c r="R11" i="31" l="1"/>
  <c r="R36" i="31"/>
  <c r="E5" i="46"/>
  <c r="E7" i="46"/>
  <c r="E11" i="46"/>
  <c r="Q11" i="22"/>
  <c r="L6" i="43"/>
  <c r="L60" i="6" s="1"/>
  <c r="K8" i="43"/>
  <c r="K11" i="43" s="1"/>
  <c r="K55" i="43" s="1"/>
  <c r="M127" i="6"/>
  <c r="M126" i="6"/>
  <c r="M239" i="6" s="1"/>
  <c r="T11" i="22" l="1"/>
  <c r="M6" i="43"/>
  <c r="M60" i="6" s="1"/>
  <c r="L8" i="43"/>
  <c r="L11" i="43" s="1"/>
  <c r="L55" i="43" s="1"/>
  <c r="N126" i="6"/>
  <c r="N239" i="6" s="1"/>
  <c r="N127" i="6"/>
  <c r="T10" i="10" l="1"/>
  <c r="T11" i="10"/>
  <c r="R11" i="10"/>
  <c r="N6" i="43"/>
  <c r="O6" i="43" s="1"/>
  <c r="M8" i="43"/>
  <c r="M11" i="43" s="1"/>
  <c r="M55" i="43" s="1"/>
  <c r="P126" i="6"/>
  <c r="P239" i="6" s="1"/>
  <c r="O126" i="6"/>
  <c r="O239" i="6" s="1"/>
  <c r="P127" i="6"/>
  <c r="O127" i="6"/>
  <c r="N60" i="6" l="1"/>
  <c r="N8" i="43"/>
  <c r="N11" i="43" s="1"/>
  <c r="N55" i="43" s="1"/>
  <c r="F62" i="43"/>
  <c r="Q167" i="31"/>
  <c r="Q264" i="22"/>
  <c r="P328" i="27"/>
  <c r="O328" i="27"/>
  <c r="N328" i="27"/>
  <c r="M328" i="27"/>
  <c r="L328" i="27"/>
  <c r="K328" i="27"/>
  <c r="J328" i="27"/>
  <c r="I328" i="27"/>
  <c r="H328" i="27"/>
  <c r="G328" i="27"/>
  <c r="F328" i="27"/>
  <c r="E328" i="27"/>
  <c r="P327" i="27"/>
  <c r="O327" i="27"/>
  <c r="N327" i="27"/>
  <c r="M327" i="27"/>
  <c r="L327" i="27"/>
  <c r="K327" i="27"/>
  <c r="J327" i="27"/>
  <c r="I327" i="27"/>
  <c r="H327" i="27"/>
  <c r="G327" i="27"/>
  <c r="P324" i="27"/>
  <c r="O324" i="27"/>
  <c r="N324" i="27"/>
  <c r="M324" i="27"/>
  <c r="L324" i="27"/>
  <c r="K324" i="27"/>
  <c r="J324" i="27"/>
  <c r="I324" i="27"/>
  <c r="H324" i="27"/>
  <c r="G324" i="27"/>
  <c r="Q323" i="27"/>
  <c r="F322" i="27"/>
  <c r="F327" i="27" s="1"/>
  <c r="E322" i="27"/>
  <c r="E327" i="27" s="1"/>
  <c r="P319" i="27"/>
  <c r="O319" i="27"/>
  <c r="N319" i="27"/>
  <c r="M319" i="27"/>
  <c r="L319" i="27"/>
  <c r="K319" i="27"/>
  <c r="J319" i="27"/>
  <c r="I319" i="27"/>
  <c r="H319" i="27"/>
  <c r="G319" i="27"/>
  <c r="F319" i="27"/>
  <c r="E319" i="27"/>
  <c r="Q318" i="27"/>
  <c r="Q317" i="27"/>
  <c r="E307" i="27"/>
  <c r="F304" i="27" s="1"/>
  <c r="G62" i="43" l="1"/>
  <c r="F66" i="43"/>
  <c r="P6" i="43"/>
  <c r="Q6" i="43" s="1"/>
  <c r="Q8" i="43" s="1"/>
  <c r="Q11" i="43" s="1"/>
  <c r="Q55" i="43" s="1"/>
  <c r="O8" i="43"/>
  <c r="O11" i="43" s="1"/>
  <c r="O55" i="43" s="1"/>
  <c r="O60" i="6"/>
  <c r="E101" i="27"/>
  <c r="Q168" i="10"/>
  <c r="K329" i="27"/>
  <c r="H329" i="27"/>
  <c r="I329" i="27"/>
  <c r="P329" i="27"/>
  <c r="F98" i="27"/>
  <c r="G329" i="27"/>
  <c r="M329" i="27"/>
  <c r="F303" i="27"/>
  <c r="F305" i="27"/>
  <c r="L329" i="27"/>
  <c r="Q319" i="27"/>
  <c r="F324" i="27"/>
  <c r="Q327" i="27"/>
  <c r="E329" i="27"/>
  <c r="F306" i="27"/>
  <c r="F300" i="27"/>
  <c r="J287" i="27" s="1"/>
  <c r="O329" i="27"/>
  <c r="F301" i="27"/>
  <c r="Q322" i="27"/>
  <c r="Q324" i="27" s="1"/>
  <c r="F302" i="27"/>
  <c r="J329" i="27"/>
  <c r="N329" i="27"/>
  <c r="Q328" i="27"/>
  <c r="Q168" i="32"/>
  <c r="Q239" i="8"/>
  <c r="Q167" i="32"/>
  <c r="F329" i="27"/>
  <c r="E324" i="27"/>
  <c r="Q267" i="9" l="1"/>
  <c r="H62" i="43"/>
  <c r="G66" i="43"/>
  <c r="P8" i="43"/>
  <c r="P11" i="43" s="1"/>
  <c r="P55" i="43" s="1"/>
  <c r="P60" i="6"/>
  <c r="Q240" i="8"/>
  <c r="G98" i="27"/>
  <c r="F287" i="27"/>
  <c r="O287" i="27"/>
  <c r="L287" i="27"/>
  <c r="H287" i="27"/>
  <c r="G287" i="27"/>
  <c r="N287" i="27"/>
  <c r="P287" i="27"/>
  <c r="M287" i="27"/>
  <c r="I287" i="27"/>
  <c r="E287" i="27"/>
  <c r="Q329" i="27"/>
  <c r="K287" i="27"/>
  <c r="F307" i="27"/>
  <c r="I62" i="43" l="1"/>
  <c r="H66" i="43"/>
  <c r="M281" i="27"/>
  <c r="N281" i="27"/>
  <c r="I282" i="27"/>
  <c r="I292" i="27" s="1"/>
  <c r="P281" i="27"/>
  <c r="F281" i="27"/>
  <c r="H281" i="27"/>
  <c r="P282" i="27"/>
  <c r="G286" i="27"/>
  <c r="G288" i="27" s="1"/>
  <c r="H98" i="27"/>
  <c r="J281" i="27"/>
  <c r="G281" i="27"/>
  <c r="O286" i="27"/>
  <c r="O288" i="27" s="1"/>
  <c r="N282" i="27"/>
  <c r="N292" i="27" s="1"/>
  <c r="N286" i="27"/>
  <c r="N288" i="27" s="1"/>
  <c r="O281" i="27"/>
  <c r="M282" i="27"/>
  <c r="M292" i="27" s="1"/>
  <c r="F282" i="27"/>
  <c r="F292" i="27" s="1"/>
  <c r="L282" i="27"/>
  <c r="L292" i="27" s="1"/>
  <c r="I281" i="27"/>
  <c r="Q287" i="27"/>
  <c r="L281" i="27"/>
  <c r="K281" i="27"/>
  <c r="M286" i="27"/>
  <c r="M288" i="27" s="1"/>
  <c r="J286" i="27"/>
  <c r="J288" i="27" s="1"/>
  <c r="I286" i="27"/>
  <c r="I288" i="27" s="1"/>
  <c r="J282" i="27"/>
  <c r="J292" i="27" s="1"/>
  <c r="E281" i="27"/>
  <c r="K286" i="27"/>
  <c r="K282" i="27"/>
  <c r="K292" i="27" s="1"/>
  <c r="E282" i="27"/>
  <c r="E292" i="27" s="1"/>
  <c r="H282" i="27"/>
  <c r="H292" i="27" s="1"/>
  <c r="G282" i="27"/>
  <c r="G292" i="27" s="1"/>
  <c r="L286" i="27"/>
  <c r="L288" i="27" s="1"/>
  <c r="H286" i="27"/>
  <c r="H288" i="27" s="1"/>
  <c r="O282" i="27"/>
  <c r="O292" i="27" s="1"/>
  <c r="E286" i="27"/>
  <c r="P286" i="27"/>
  <c r="F286" i="27"/>
  <c r="F288" i="27" s="1"/>
  <c r="J62" i="43" l="1"/>
  <c r="I66" i="43"/>
  <c r="P283" i="27"/>
  <c r="I283" i="27"/>
  <c r="E291" i="27"/>
  <c r="E293" i="27" s="1"/>
  <c r="P292" i="27"/>
  <c r="Q292" i="27" s="1"/>
  <c r="N291" i="27"/>
  <c r="N293" i="27" s="1"/>
  <c r="G291" i="27"/>
  <c r="G293" i="27" s="1"/>
  <c r="J291" i="27"/>
  <c r="J293" i="27" s="1"/>
  <c r="M291" i="27"/>
  <c r="M293" i="27" s="1"/>
  <c r="I98" i="27"/>
  <c r="F283" i="27"/>
  <c r="Q281" i="27"/>
  <c r="N283" i="27"/>
  <c r="M283" i="27"/>
  <c r="L283" i="27"/>
  <c r="O291" i="27"/>
  <c r="O293" i="27" s="1"/>
  <c r="O283" i="27"/>
  <c r="I291" i="27"/>
  <c r="I293" i="27" s="1"/>
  <c r="J283" i="27"/>
  <c r="E283" i="27"/>
  <c r="H291" i="27"/>
  <c r="H293" i="27" s="1"/>
  <c r="G283" i="27"/>
  <c r="L291" i="27"/>
  <c r="L293" i="27" s="1"/>
  <c r="K283" i="27"/>
  <c r="K288" i="27"/>
  <c r="K291" i="27"/>
  <c r="K293" i="27" s="1"/>
  <c r="E288" i="27"/>
  <c r="H283" i="27"/>
  <c r="Q282" i="27"/>
  <c r="Q286" i="27"/>
  <c r="Q288" i="27" s="1"/>
  <c r="P288" i="27"/>
  <c r="P291" i="27"/>
  <c r="F291" i="27"/>
  <c r="F293" i="27" s="1"/>
  <c r="K62" i="43" l="1"/>
  <c r="J66" i="43"/>
  <c r="P293" i="27"/>
  <c r="Q283" i="27"/>
  <c r="J98" i="27"/>
  <c r="Q291" i="27"/>
  <c r="Q293" i="27" s="1"/>
  <c r="L62" i="43" l="1"/>
  <c r="K66" i="43"/>
  <c r="K98" i="27"/>
  <c r="M62" i="43" l="1"/>
  <c r="L66" i="43"/>
  <c r="L98" i="27"/>
  <c r="N62" i="43" l="1"/>
  <c r="M66" i="43"/>
  <c r="M98" i="27"/>
  <c r="O62" i="43" l="1"/>
  <c r="N66" i="43"/>
  <c r="N98" i="27"/>
  <c r="P62" i="43" l="1"/>
  <c r="O66" i="43"/>
  <c r="O98" i="27"/>
  <c r="E115" i="9"/>
  <c r="F115" i="9"/>
  <c r="G115" i="9"/>
  <c r="H115" i="9"/>
  <c r="I115" i="9"/>
  <c r="J115" i="9"/>
  <c r="K115" i="9"/>
  <c r="L115" i="9"/>
  <c r="M115" i="9"/>
  <c r="N115" i="9"/>
  <c r="O115" i="9"/>
  <c r="P115" i="9"/>
  <c r="P66" i="43" l="1"/>
  <c r="Q227" i="44"/>
  <c r="Q168" i="31"/>
  <c r="Q98" i="9"/>
  <c r="R98" i="9" s="1"/>
  <c r="P390" i="27"/>
  <c r="O390" i="27"/>
  <c r="N390" i="27"/>
  <c r="M390" i="27"/>
  <c r="L390" i="27"/>
  <c r="K390" i="27"/>
  <c r="J390" i="27"/>
  <c r="I390" i="27"/>
  <c r="H390" i="27"/>
  <c r="G390" i="27"/>
  <c r="F390" i="27"/>
  <c r="E390" i="27"/>
  <c r="P388" i="27"/>
  <c r="O388" i="27"/>
  <c r="N388" i="27"/>
  <c r="M388" i="27"/>
  <c r="L388" i="27"/>
  <c r="K388" i="27"/>
  <c r="J388" i="27"/>
  <c r="I388" i="27"/>
  <c r="H388" i="27"/>
  <c r="G388" i="27"/>
  <c r="F388" i="27"/>
  <c r="E388" i="27"/>
  <c r="Q21" i="32"/>
  <c r="T21" i="32" s="1"/>
  <c r="E143" i="28"/>
  <c r="F143" i="28"/>
  <c r="G143" i="28"/>
  <c r="H143" i="28"/>
  <c r="I143" i="28"/>
  <c r="J143" i="28"/>
  <c r="K143" i="28"/>
  <c r="L143" i="28"/>
  <c r="M143" i="28"/>
  <c r="N143" i="28"/>
  <c r="O143" i="28"/>
  <c r="P143" i="28"/>
  <c r="F144" i="28"/>
  <c r="G144" i="28"/>
  <c r="H144" i="28"/>
  <c r="I144" i="28"/>
  <c r="J144" i="28"/>
  <c r="K144" i="28"/>
  <c r="L144" i="28"/>
  <c r="M144" i="28"/>
  <c r="N144" i="28"/>
  <c r="O144" i="28"/>
  <c r="P144" i="28"/>
  <c r="F145" i="28"/>
  <c r="G145" i="28"/>
  <c r="H145" i="28"/>
  <c r="I145" i="28"/>
  <c r="J145" i="28"/>
  <c r="K145" i="28"/>
  <c r="L145" i="28"/>
  <c r="M145" i="28"/>
  <c r="N145" i="28"/>
  <c r="O145" i="28"/>
  <c r="P145" i="28"/>
  <c r="F146" i="28"/>
  <c r="G146" i="28"/>
  <c r="H146" i="28"/>
  <c r="I146" i="28"/>
  <c r="J146" i="28"/>
  <c r="K146" i="28"/>
  <c r="L146" i="28"/>
  <c r="M146" i="28"/>
  <c r="N146" i="28"/>
  <c r="O146" i="28"/>
  <c r="P146" i="28"/>
  <c r="E146" i="28"/>
  <c r="E145" i="28"/>
  <c r="E144" i="28"/>
  <c r="F42" i="27"/>
  <c r="G42" i="27"/>
  <c r="H42" i="27"/>
  <c r="I42" i="27"/>
  <c r="J42" i="27"/>
  <c r="K42" i="27"/>
  <c r="L42" i="27"/>
  <c r="M42" i="27"/>
  <c r="N42" i="27"/>
  <c r="O42" i="27"/>
  <c r="P42" i="27"/>
  <c r="P88" i="32"/>
  <c r="O88" i="32"/>
  <c r="N88" i="32"/>
  <c r="M88" i="32"/>
  <c r="L88" i="32"/>
  <c r="K88" i="32"/>
  <c r="J88" i="32"/>
  <c r="I88" i="32"/>
  <c r="H88" i="32"/>
  <c r="G88" i="32"/>
  <c r="E88" i="32"/>
  <c r="F88" i="32"/>
  <c r="P63" i="32"/>
  <c r="P36" i="32"/>
  <c r="P43" i="32"/>
  <c r="O63" i="32"/>
  <c r="N63" i="32"/>
  <c r="M63" i="32"/>
  <c r="L63" i="32"/>
  <c r="K63" i="32"/>
  <c r="J63" i="32"/>
  <c r="I63" i="32"/>
  <c r="H63" i="32"/>
  <c r="G63" i="32"/>
  <c r="F63" i="32"/>
  <c r="E63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O43" i="32"/>
  <c r="N43" i="32"/>
  <c r="M43" i="32"/>
  <c r="L43" i="32"/>
  <c r="K43" i="32"/>
  <c r="J43" i="32"/>
  <c r="I43" i="32"/>
  <c r="H43" i="32"/>
  <c r="G43" i="32"/>
  <c r="F43" i="32"/>
  <c r="E43" i="32"/>
  <c r="O36" i="32"/>
  <c r="N36" i="32"/>
  <c r="M36" i="32"/>
  <c r="L36" i="32"/>
  <c r="K36" i="32"/>
  <c r="J36" i="32"/>
  <c r="I36" i="32"/>
  <c r="H36" i="32"/>
  <c r="G36" i="32"/>
  <c r="F36" i="32"/>
  <c r="E36" i="32"/>
  <c r="P88" i="31"/>
  <c r="P163" i="31" s="1"/>
  <c r="O88" i="31"/>
  <c r="O163" i="31" s="1"/>
  <c r="N88" i="31"/>
  <c r="N163" i="31" s="1"/>
  <c r="M88" i="31"/>
  <c r="M163" i="31" s="1"/>
  <c r="L88" i="31"/>
  <c r="L163" i="31" s="1"/>
  <c r="K88" i="31"/>
  <c r="K163" i="31" s="1"/>
  <c r="J88" i="31"/>
  <c r="J163" i="31" s="1"/>
  <c r="I88" i="31"/>
  <c r="I163" i="31" s="1"/>
  <c r="H88" i="31"/>
  <c r="H163" i="31" s="1"/>
  <c r="G88" i="31"/>
  <c r="G163" i="31" s="1"/>
  <c r="F88" i="31"/>
  <c r="F163" i="31" s="1"/>
  <c r="E88" i="31"/>
  <c r="E163" i="31" s="1"/>
  <c r="M79" i="31"/>
  <c r="J79" i="31"/>
  <c r="P63" i="31"/>
  <c r="P159" i="31" s="1"/>
  <c r="O63" i="31"/>
  <c r="O159" i="31" s="1"/>
  <c r="N63" i="31"/>
  <c r="N159" i="31" s="1"/>
  <c r="M63" i="31"/>
  <c r="M159" i="31" s="1"/>
  <c r="L63" i="31"/>
  <c r="L159" i="31" s="1"/>
  <c r="K63" i="31"/>
  <c r="K159" i="31" s="1"/>
  <c r="J63" i="31"/>
  <c r="J159" i="31" s="1"/>
  <c r="I63" i="31"/>
  <c r="I159" i="31" s="1"/>
  <c r="H63" i="31"/>
  <c r="H159" i="31" s="1"/>
  <c r="G63" i="31"/>
  <c r="G159" i="31" s="1"/>
  <c r="F63" i="31"/>
  <c r="F159" i="31" s="1"/>
  <c r="E63" i="31"/>
  <c r="E159" i="31" s="1"/>
  <c r="P15" i="31"/>
  <c r="O15" i="31"/>
  <c r="N15" i="31"/>
  <c r="M15" i="31"/>
  <c r="L15" i="31"/>
  <c r="K15" i="31"/>
  <c r="J15" i="31"/>
  <c r="I15" i="31"/>
  <c r="H15" i="31"/>
  <c r="G15" i="31"/>
  <c r="F15" i="31"/>
  <c r="E15" i="31"/>
  <c r="P43" i="31"/>
  <c r="P152" i="31" s="1"/>
  <c r="O43" i="31"/>
  <c r="O152" i="31" s="1"/>
  <c r="N43" i="31"/>
  <c r="N152" i="31" s="1"/>
  <c r="M43" i="31"/>
  <c r="M152" i="31" s="1"/>
  <c r="L43" i="31"/>
  <c r="L152" i="31" s="1"/>
  <c r="K43" i="31"/>
  <c r="K152" i="31" s="1"/>
  <c r="J43" i="31"/>
  <c r="J152" i="31" s="1"/>
  <c r="I43" i="31"/>
  <c r="I152" i="31" s="1"/>
  <c r="H43" i="31"/>
  <c r="H152" i="31" s="1"/>
  <c r="G43" i="31"/>
  <c r="G152" i="31" s="1"/>
  <c r="F43" i="31"/>
  <c r="F152" i="31" s="1"/>
  <c r="E43" i="31"/>
  <c r="E152" i="31" s="1"/>
  <c r="E15" i="10"/>
  <c r="F15" i="10"/>
  <c r="G15" i="10"/>
  <c r="H15" i="10"/>
  <c r="I15" i="10"/>
  <c r="J15" i="10"/>
  <c r="K15" i="10"/>
  <c r="L15" i="10"/>
  <c r="M15" i="10"/>
  <c r="N15" i="10"/>
  <c r="O15" i="10"/>
  <c r="P15" i="10"/>
  <c r="Q10" i="32"/>
  <c r="T10" i="32" s="1"/>
  <c r="Q10" i="31"/>
  <c r="T10" i="31" s="1"/>
  <c r="Q12" i="31"/>
  <c r="R12" i="31" s="1"/>
  <c r="T12" i="31" s="1"/>
  <c r="P146" i="27"/>
  <c r="O146" i="27"/>
  <c r="M146" i="27"/>
  <c r="L146" i="27"/>
  <c r="K146" i="27"/>
  <c r="G146" i="27"/>
  <c r="F146" i="27"/>
  <c r="P145" i="27"/>
  <c r="O145" i="27"/>
  <c r="N145" i="27"/>
  <c r="M145" i="27"/>
  <c r="L145" i="27"/>
  <c r="K145" i="27"/>
  <c r="J145" i="27"/>
  <c r="I145" i="27"/>
  <c r="H145" i="27"/>
  <c r="G145" i="27"/>
  <c r="E145" i="27"/>
  <c r="F145" i="27"/>
  <c r="P144" i="27"/>
  <c r="O144" i="27"/>
  <c r="M144" i="27"/>
  <c r="L144" i="27"/>
  <c r="K144" i="27"/>
  <c r="G144" i="27"/>
  <c r="F144" i="27"/>
  <c r="P116" i="27"/>
  <c r="O116" i="27"/>
  <c r="N116" i="27"/>
  <c r="M116" i="27"/>
  <c r="L116" i="27"/>
  <c r="K116" i="27"/>
  <c r="J116" i="27"/>
  <c r="I116" i="27"/>
  <c r="H116" i="27"/>
  <c r="G116" i="27"/>
  <c r="E116" i="27"/>
  <c r="F116" i="27"/>
  <c r="P115" i="27"/>
  <c r="P373" i="27" s="1"/>
  <c r="O115" i="27"/>
  <c r="O373" i="27" s="1"/>
  <c r="N115" i="27"/>
  <c r="N373" i="27" s="1"/>
  <c r="M115" i="27"/>
  <c r="M373" i="27" s="1"/>
  <c r="L115" i="27"/>
  <c r="L373" i="27" s="1"/>
  <c r="K115" i="27"/>
  <c r="K373" i="27" s="1"/>
  <c r="J115" i="27"/>
  <c r="J373" i="27" s="1"/>
  <c r="I115" i="27"/>
  <c r="I373" i="27" s="1"/>
  <c r="H115" i="27"/>
  <c r="G115" i="27"/>
  <c r="G373" i="27" s="1"/>
  <c r="E115" i="27"/>
  <c r="E373" i="27" s="1"/>
  <c r="F115" i="27"/>
  <c r="F373" i="27" s="1"/>
  <c r="P114" i="27"/>
  <c r="P372" i="27" s="1"/>
  <c r="O114" i="27"/>
  <c r="O372" i="27" s="1"/>
  <c r="N114" i="27"/>
  <c r="N372" i="27" s="1"/>
  <c r="M114" i="27"/>
  <c r="M372" i="27" s="1"/>
  <c r="L114" i="27"/>
  <c r="L372" i="27" s="1"/>
  <c r="K114" i="27"/>
  <c r="K372" i="27" s="1"/>
  <c r="J114" i="27"/>
  <c r="J372" i="27" s="1"/>
  <c r="I114" i="27"/>
  <c r="I372" i="27" s="1"/>
  <c r="H114" i="27"/>
  <c r="G114" i="27"/>
  <c r="G372" i="27" s="1"/>
  <c r="E114" i="27"/>
  <c r="E372" i="27" s="1"/>
  <c r="F114" i="27"/>
  <c r="F372" i="27" s="1"/>
  <c r="P113" i="27"/>
  <c r="O113" i="27"/>
  <c r="O371" i="27" s="1"/>
  <c r="N113" i="27"/>
  <c r="N371" i="27" s="1"/>
  <c r="M113" i="27"/>
  <c r="M371" i="27" s="1"/>
  <c r="L113" i="27"/>
  <c r="K113" i="27"/>
  <c r="J113" i="27"/>
  <c r="I113" i="27"/>
  <c r="H113" i="27"/>
  <c r="G113" i="27"/>
  <c r="G371" i="27" s="1"/>
  <c r="F113" i="27"/>
  <c r="F371" i="27" s="1"/>
  <c r="E113" i="27"/>
  <c r="E371" i="27" s="1"/>
  <c r="P102" i="27"/>
  <c r="P370" i="27" s="1"/>
  <c r="O102" i="27"/>
  <c r="O370" i="27" s="1"/>
  <c r="N102" i="27"/>
  <c r="N370" i="27" s="1"/>
  <c r="M102" i="27"/>
  <c r="M370" i="27" s="1"/>
  <c r="L102" i="27"/>
  <c r="L370" i="27" s="1"/>
  <c r="K102" i="27"/>
  <c r="K370" i="27" s="1"/>
  <c r="J102" i="27"/>
  <c r="J370" i="27" s="1"/>
  <c r="I102" i="27"/>
  <c r="I370" i="27" s="1"/>
  <c r="H102" i="27"/>
  <c r="G102" i="27"/>
  <c r="G370" i="27" s="1"/>
  <c r="E102" i="27"/>
  <c r="E370" i="27" s="1"/>
  <c r="F102" i="27"/>
  <c r="F370" i="27" s="1"/>
  <c r="P101" i="27"/>
  <c r="P369" i="27" s="1"/>
  <c r="O101" i="27"/>
  <c r="O369" i="27" s="1"/>
  <c r="N101" i="27"/>
  <c r="N369" i="27" s="1"/>
  <c r="M101" i="27"/>
  <c r="M369" i="27" s="1"/>
  <c r="L101" i="27"/>
  <c r="L369" i="27" s="1"/>
  <c r="K101" i="27"/>
  <c r="K369" i="27" s="1"/>
  <c r="J101" i="27"/>
  <c r="J369" i="27" s="1"/>
  <c r="I101" i="27"/>
  <c r="I369" i="27" s="1"/>
  <c r="H101" i="27"/>
  <c r="G101" i="27"/>
  <c r="G369" i="27" s="1"/>
  <c r="E369" i="27"/>
  <c r="F101" i="27"/>
  <c r="F369" i="27" s="1"/>
  <c r="P100" i="27"/>
  <c r="O100" i="27"/>
  <c r="N100" i="27"/>
  <c r="M100" i="27"/>
  <c r="L100" i="27"/>
  <c r="K100" i="27"/>
  <c r="J100" i="27"/>
  <c r="I100" i="27"/>
  <c r="H100" i="27"/>
  <c r="G100" i="27"/>
  <c r="E100" i="27"/>
  <c r="F100" i="27"/>
  <c r="O99" i="27"/>
  <c r="N99" i="27"/>
  <c r="M99" i="27"/>
  <c r="L99" i="27"/>
  <c r="K99" i="27"/>
  <c r="J99" i="27"/>
  <c r="I99" i="27"/>
  <c r="H99" i="27"/>
  <c r="G99" i="27"/>
  <c r="F99" i="27"/>
  <c r="E99" i="27"/>
  <c r="O368" i="27"/>
  <c r="N368" i="27"/>
  <c r="M368" i="27"/>
  <c r="J368" i="27"/>
  <c r="I368" i="27"/>
  <c r="G368" i="27"/>
  <c r="F368" i="27"/>
  <c r="E368" i="27"/>
  <c r="P94" i="27"/>
  <c r="P366" i="27" s="1"/>
  <c r="O94" i="27"/>
  <c r="O366" i="27" s="1"/>
  <c r="N94" i="27"/>
  <c r="M94" i="27"/>
  <c r="M366" i="27" s="1"/>
  <c r="L94" i="27"/>
  <c r="K94" i="27"/>
  <c r="J94" i="27"/>
  <c r="J366" i="27" s="1"/>
  <c r="I94" i="27"/>
  <c r="G94" i="27"/>
  <c r="G366" i="27" s="1"/>
  <c r="E94" i="27"/>
  <c r="F94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P83" i="27"/>
  <c r="O83" i="27"/>
  <c r="N83" i="27"/>
  <c r="M83" i="27"/>
  <c r="L83" i="27"/>
  <c r="K83" i="27"/>
  <c r="J83" i="27"/>
  <c r="I83" i="27"/>
  <c r="H83" i="27"/>
  <c r="G83" i="27"/>
  <c r="E83" i="27"/>
  <c r="F83" i="27"/>
  <c r="P82" i="27"/>
  <c r="O82" i="27"/>
  <c r="N82" i="27"/>
  <c r="M82" i="27"/>
  <c r="L82" i="27"/>
  <c r="K82" i="27"/>
  <c r="J82" i="27"/>
  <c r="I82" i="27"/>
  <c r="H82" i="27"/>
  <c r="G82" i="27"/>
  <c r="E82" i="27"/>
  <c r="F82" i="27"/>
  <c r="E81" i="27"/>
  <c r="F81" i="27"/>
  <c r="G81" i="27"/>
  <c r="H81" i="27"/>
  <c r="I81" i="27"/>
  <c r="J81" i="27"/>
  <c r="K81" i="27"/>
  <c r="L81" i="27"/>
  <c r="M81" i="27"/>
  <c r="N81" i="27"/>
  <c r="O81" i="27"/>
  <c r="P81" i="27"/>
  <c r="P78" i="27"/>
  <c r="P363" i="27" s="1"/>
  <c r="O78" i="27"/>
  <c r="O363" i="27" s="1"/>
  <c r="N78" i="27"/>
  <c r="N363" i="27" s="1"/>
  <c r="M78" i="27"/>
  <c r="M363" i="27" s="1"/>
  <c r="L78" i="27"/>
  <c r="L363" i="27" s="1"/>
  <c r="K78" i="27"/>
  <c r="K363" i="27" s="1"/>
  <c r="J78" i="27"/>
  <c r="J363" i="27" s="1"/>
  <c r="I78" i="27"/>
  <c r="I363" i="27" s="1"/>
  <c r="H78" i="27"/>
  <c r="H363" i="27" s="1"/>
  <c r="G78" i="27"/>
  <c r="G363" i="27" s="1"/>
  <c r="E78" i="27"/>
  <c r="E363" i="27" s="1"/>
  <c r="F78" i="27"/>
  <c r="F363" i="27" s="1"/>
  <c r="P77" i="27"/>
  <c r="P362" i="27" s="1"/>
  <c r="O77" i="27"/>
  <c r="O362" i="27" s="1"/>
  <c r="N77" i="27"/>
  <c r="N362" i="27" s="1"/>
  <c r="M77" i="27"/>
  <c r="L77" i="27"/>
  <c r="K77" i="27"/>
  <c r="K362" i="27" s="1"/>
  <c r="J77" i="27"/>
  <c r="I77" i="27"/>
  <c r="H77" i="27"/>
  <c r="H362" i="27" s="1"/>
  <c r="G77" i="27"/>
  <c r="G362" i="27" s="1"/>
  <c r="E77" i="27"/>
  <c r="F77" i="27"/>
  <c r="P75" i="27"/>
  <c r="O75" i="27"/>
  <c r="N75" i="27"/>
  <c r="M75" i="27"/>
  <c r="L75" i="27"/>
  <c r="K75" i="27"/>
  <c r="J75" i="27"/>
  <c r="I75" i="27"/>
  <c r="H75" i="27"/>
  <c r="G75" i="27"/>
  <c r="E75" i="27"/>
  <c r="F75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P62" i="27"/>
  <c r="O62" i="27"/>
  <c r="N62" i="27"/>
  <c r="M62" i="27"/>
  <c r="L62" i="27"/>
  <c r="K62" i="27"/>
  <c r="J62" i="27"/>
  <c r="I62" i="27"/>
  <c r="H62" i="27"/>
  <c r="G62" i="27"/>
  <c r="E62" i="27"/>
  <c r="F62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P56" i="27"/>
  <c r="O56" i="27"/>
  <c r="O358" i="27" s="1"/>
  <c r="N56" i="27"/>
  <c r="M56" i="27"/>
  <c r="L56" i="27"/>
  <c r="K56" i="27"/>
  <c r="K358" i="27" s="1"/>
  <c r="J56" i="27"/>
  <c r="J358" i="27" s="1"/>
  <c r="I56" i="27"/>
  <c r="I358" i="27" s="1"/>
  <c r="H56" i="27"/>
  <c r="G56" i="27"/>
  <c r="G358" i="27" s="1"/>
  <c r="E56" i="27"/>
  <c r="E358" i="27" s="1"/>
  <c r="F56" i="27"/>
  <c r="F358" i="27" s="1"/>
  <c r="P15" i="22"/>
  <c r="O15" i="22"/>
  <c r="N15" i="22"/>
  <c r="M15" i="22"/>
  <c r="L15" i="22"/>
  <c r="K15" i="22"/>
  <c r="J15" i="22"/>
  <c r="I15" i="22"/>
  <c r="H15" i="22"/>
  <c r="G15" i="22"/>
  <c r="F15" i="22"/>
  <c r="E15" i="22"/>
  <c r="P52" i="27"/>
  <c r="O52" i="27"/>
  <c r="O356" i="27" s="1"/>
  <c r="N52" i="27"/>
  <c r="N356" i="27" s="1"/>
  <c r="M52" i="27"/>
  <c r="L52" i="27"/>
  <c r="L356" i="27" s="1"/>
  <c r="K52" i="27"/>
  <c r="J52" i="27"/>
  <c r="J356" i="27" s="1"/>
  <c r="I52" i="27"/>
  <c r="I356" i="27" s="1"/>
  <c r="H52" i="27"/>
  <c r="G52" i="27"/>
  <c r="G356" i="27" s="1"/>
  <c r="F52" i="27"/>
  <c r="E52" i="27"/>
  <c r="P49" i="27"/>
  <c r="O49" i="27"/>
  <c r="N49" i="27"/>
  <c r="M49" i="27"/>
  <c r="L49" i="27"/>
  <c r="K49" i="27"/>
  <c r="J49" i="27"/>
  <c r="I49" i="27"/>
  <c r="H49" i="27"/>
  <c r="G49" i="27"/>
  <c r="E49" i="27"/>
  <c r="F49" i="27"/>
  <c r="P48" i="27"/>
  <c r="O48" i="27"/>
  <c r="N48" i="27"/>
  <c r="L48" i="27"/>
  <c r="K48" i="27"/>
  <c r="J48" i="27"/>
  <c r="I48" i="27"/>
  <c r="H48" i="27"/>
  <c r="G48" i="27"/>
  <c r="E48" i="27"/>
  <c r="P47" i="27"/>
  <c r="O47" i="27"/>
  <c r="N47" i="27"/>
  <c r="M47" i="27"/>
  <c r="L47" i="27"/>
  <c r="K47" i="27"/>
  <c r="J47" i="27"/>
  <c r="I47" i="27"/>
  <c r="H47" i="27"/>
  <c r="G47" i="27"/>
  <c r="E47" i="27"/>
  <c r="F47" i="27"/>
  <c r="P45" i="27"/>
  <c r="P354" i="27" s="1"/>
  <c r="O45" i="27"/>
  <c r="N45" i="27"/>
  <c r="M45" i="27"/>
  <c r="L45" i="27"/>
  <c r="K45" i="27"/>
  <c r="K354" i="27" s="1"/>
  <c r="J45" i="27"/>
  <c r="J354" i="27" s="1"/>
  <c r="I45" i="27"/>
  <c r="H45" i="27"/>
  <c r="H354" i="27" s="1"/>
  <c r="G45" i="27"/>
  <c r="E45" i="27"/>
  <c r="E354" i="27" s="1"/>
  <c r="F45" i="27"/>
  <c r="E42" i="27"/>
  <c r="P41" i="27"/>
  <c r="O41" i="27"/>
  <c r="N41" i="27"/>
  <c r="M41" i="27"/>
  <c r="L41" i="27"/>
  <c r="K41" i="27"/>
  <c r="J41" i="27"/>
  <c r="I41" i="27"/>
  <c r="H41" i="27"/>
  <c r="G41" i="27"/>
  <c r="E41" i="27"/>
  <c r="F41" i="27"/>
  <c r="P40" i="27"/>
  <c r="O40" i="27"/>
  <c r="N40" i="27"/>
  <c r="M40" i="27"/>
  <c r="L40" i="27"/>
  <c r="K40" i="27"/>
  <c r="J40" i="27"/>
  <c r="I40" i="27"/>
  <c r="H40" i="27"/>
  <c r="G40" i="27"/>
  <c r="E40" i="27"/>
  <c r="F40" i="27"/>
  <c r="P38" i="27"/>
  <c r="O38" i="27"/>
  <c r="N38" i="27"/>
  <c r="M38" i="27"/>
  <c r="L38" i="27"/>
  <c r="K38" i="27"/>
  <c r="J38" i="27"/>
  <c r="I38" i="27"/>
  <c r="H38" i="27"/>
  <c r="G38" i="27"/>
  <c r="E38" i="27"/>
  <c r="F38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P34" i="27"/>
  <c r="O34" i="27"/>
  <c r="N34" i="27"/>
  <c r="M34" i="27"/>
  <c r="L34" i="27"/>
  <c r="K34" i="27"/>
  <c r="J34" i="27"/>
  <c r="I34" i="27"/>
  <c r="H34" i="27"/>
  <c r="G34" i="27"/>
  <c r="E34" i="27"/>
  <c r="F34" i="27"/>
  <c r="P33" i="27"/>
  <c r="O33" i="27"/>
  <c r="N33" i="27"/>
  <c r="M33" i="27"/>
  <c r="L33" i="27"/>
  <c r="K33" i="27"/>
  <c r="J33" i="27"/>
  <c r="I33" i="27"/>
  <c r="H33" i="27"/>
  <c r="G33" i="27"/>
  <c r="E33" i="27"/>
  <c r="F33" i="27"/>
  <c r="P31" i="27"/>
  <c r="O31" i="27"/>
  <c r="N31" i="27"/>
  <c r="M31" i="27"/>
  <c r="L31" i="27"/>
  <c r="L351" i="27" s="1"/>
  <c r="K31" i="27"/>
  <c r="K351" i="27" s="1"/>
  <c r="J31" i="27"/>
  <c r="J351" i="27" s="1"/>
  <c r="I31" i="27"/>
  <c r="H31" i="27"/>
  <c r="G31" i="27"/>
  <c r="E31" i="27"/>
  <c r="E351" i="27" s="1"/>
  <c r="F31" i="27"/>
  <c r="P29" i="27"/>
  <c r="P350" i="27" s="1"/>
  <c r="O29" i="27"/>
  <c r="N29" i="27"/>
  <c r="M29" i="27"/>
  <c r="L29" i="27"/>
  <c r="K29" i="27"/>
  <c r="J29" i="27"/>
  <c r="J350" i="27" s="1"/>
  <c r="I29" i="27"/>
  <c r="H29" i="27"/>
  <c r="H350" i="27" s="1"/>
  <c r="G29" i="27"/>
  <c r="F29" i="27"/>
  <c r="F350" i="27" s="1"/>
  <c r="E29" i="27"/>
  <c r="P27" i="27"/>
  <c r="O27" i="27"/>
  <c r="O349" i="27" s="1"/>
  <c r="N27" i="27"/>
  <c r="M27" i="27"/>
  <c r="L27" i="27"/>
  <c r="L349" i="27" s="1"/>
  <c r="K27" i="27"/>
  <c r="J27" i="27"/>
  <c r="J349" i="27" s="1"/>
  <c r="I27" i="27"/>
  <c r="H27" i="27"/>
  <c r="G27" i="27"/>
  <c r="E27" i="27"/>
  <c r="E349" i="27" s="1"/>
  <c r="F27" i="27"/>
  <c r="P21" i="27"/>
  <c r="P348" i="27" s="1"/>
  <c r="O21" i="27"/>
  <c r="N21" i="27"/>
  <c r="N348" i="27" s="1"/>
  <c r="M21" i="27"/>
  <c r="L21" i="27"/>
  <c r="K21" i="27"/>
  <c r="J21" i="27"/>
  <c r="I21" i="27"/>
  <c r="H21" i="27"/>
  <c r="H348" i="27" s="1"/>
  <c r="G21" i="27"/>
  <c r="E21" i="27"/>
  <c r="E348" i="27" s="1"/>
  <c r="F21" i="27"/>
  <c r="P14" i="27"/>
  <c r="O14" i="27"/>
  <c r="N14" i="27"/>
  <c r="M14" i="27"/>
  <c r="L14" i="27"/>
  <c r="K14" i="27"/>
  <c r="J14" i="27"/>
  <c r="I14" i="27"/>
  <c r="H14" i="27"/>
  <c r="G14" i="27"/>
  <c r="E14" i="27"/>
  <c r="F14" i="27"/>
  <c r="P13" i="27"/>
  <c r="O13" i="27"/>
  <c r="N13" i="27"/>
  <c r="M13" i="27"/>
  <c r="L13" i="27"/>
  <c r="K13" i="27"/>
  <c r="J13" i="27"/>
  <c r="I13" i="27"/>
  <c r="H13" i="27"/>
  <c r="G13" i="27"/>
  <c r="E13" i="27"/>
  <c r="F13" i="27"/>
  <c r="P12" i="27"/>
  <c r="O12" i="27"/>
  <c r="N12" i="27"/>
  <c r="M12" i="27"/>
  <c r="L12" i="27"/>
  <c r="K12" i="27"/>
  <c r="J12" i="27"/>
  <c r="I12" i="27"/>
  <c r="H12" i="27"/>
  <c r="G12" i="27"/>
  <c r="E12" i="27"/>
  <c r="F12" i="27"/>
  <c r="F10" i="27"/>
  <c r="G10" i="27"/>
  <c r="H10" i="27"/>
  <c r="I10" i="27"/>
  <c r="J10" i="27"/>
  <c r="K10" i="27"/>
  <c r="L10" i="27"/>
  <c r="M10" i="27"/>
  <c r="N10" i="27"/>
  <c r="O10" i="27"/>
  <c r="P10" i="27"/>
  <c r="E10" i="27"/>
  <c r="E50" i="32"/>
  <c r="E79" i="32"/>
  <c r="E84" i="32"/>
  <c r="E103" i="32"/>
  <c r="E115" i="32"/>
  <c r="F50" i="32"/>
  <c r="F79" i="32"/>
  <c r="F84" i="32"/>
  <c r="F103" i="32"/>
  <c r="F115" i="32"/>
  <c r="G50" i="32"/>
  <c r="G79" i="32"/>
  <c r="G84" i="32"/>
  <c r="G103" i="32"/>
  <c r="G115" i="32"/>
  <c r="H50" i="32"/>
  <c r="H79" i="32"/>
  <c r="H84" i="32"/>
  <c r="H103" i="32"/>
  <c r="H115" i="32"/>
  <c r="I50" i="32"/>
  <c r="I79" i="32"/>
  <c r="I84" i="32"/>
  <c r="I103" i="32"/>
  <c r="I115" i="32"/>
  <c r="J50" i="32"/>
  <c r="J79" i="32"/>
  <c r="J84" i="32"/>
  <c r="J103" i="32"/>
  <c r="J115" i="32"/>
  <c r="K50" i="32"/>
  <c r="K79" i="32"/>
  <c r="K84" i="32"/>
  <c r="K103" i="32"/>
  <c r="K115" i="32"/>
  <c r="L50" i="32"/>
  <c r="L79" i="32"/>
  <c r="L84" i="32"/>
  <c r="L103" i="32"/>
  <c r="L115" i="32"/>
  <c r="M50" i="32"/>
  <c r="M79" i="32"/>
  <c r="M84" i="32"/>
  <c r="M103" i="32"/>
  <c r="M115" i="32"/>
  <c r="N50" i="32"/>
  <c r="N79" i="32"/>
  <c r="N84" i="32"/>
  <c r="N103" i="32"/>
  <c r="N115" i="32"/>
  <c r="O50" i="32"/>
  <c r="O79" i="32"/>
  <c r="O84" i="32"/>
  <c r="O103" i="32"/>
  <c r="O115" i="32"/>
  <c r="P50" i="32"/>
  <c r="P79" i="32"/>
  <c r="P84" i="32"/>
  <c r="P103" i="32"/>
  <c r="P115" i="32"/>
  <c r="Q12" i="32"/>
  <c r="Q13" i="32"/>
  <c r="T13" i="32" s="1"/>
  <c r="Q14" i="32"/>
  <c r="T14" i="32" s="1"/>
  <c r="Q38" i="32"/>
  <c r="Q40" i="32"/>
  <c r="Q49" i="32"/>
  <c r="Q56" i="32"/>
  <c r="T56" i="32" s="1"/>
  <c r="Q60" i="32"/>
  <c r="Q61" i="32"/>
  <c r="Q62" i="32"/>
  <c r="Q69" i="32"/>
  <c r="T69" i="32" s="1"/>
  <c r="Q75" i="32"/>
  <c r="T75" i="32" s="1"/>
  <c r="Q78" i="32"/>
  <c r="Q81" i="32"/>
  <c r="Q82" i="32"/>
  <c r="Q83" i="32"/>
  <c r="Q86" i="32"/>
  <c r="Q87" i="32"/>
  <c r="Q96" i="32"/>
  <c r="T96" i="32" s="1"/>
  <c r="Q98" i="32"/>
  <c r="Q99" i="32"/>
  <c r="Q100" i="32"/>
  <c r="Q101" i="32"/>
  <c r="Q102" i="32"/>
  <c r="Q111" i="32"/>
  <c r="Q112" i="32"/>
  <c r="Q113" i="32"/>
  <c r="Q114" i="32"/>
  <c r="Q117" i="32"/>
  <c r="T117" i="32" s="1"/>
  <c r="Q119" i="32"/>
  <c r="Q120" i="32"/>
  <c r="Q128" i="32"/>
  <c r="T128" i="32" s="1"/>
  <c r="E36" i="31"/>
  <c r="E151" i="31" s="1"/>
  <c r="E50" i="31"/>
  <c r="E154" i="31" s="1"/>
  <c r="E67" i="31"/>
  <c r="E160" i="31" s="1"/>
  <c r="E79" i="31"/>
  <c r="E84" i="31"/>
  <c r="E103" i="31"/>
  <c r="E115" i="31"/>
  <c r="F36" i="31"/>
  <c r="F151" i="31" s="1"/>
  <c r="F50" i="31"/>
  <c r="F154" i="31" s="1"/>
  <c r="F67" i="31"/>
  <c r="F160" i="31" s="1"/>
  <c r="F79" i="31"/>
  <c r="F84" i="31"/>
  <c r="F103" i="31"/>
  <c r="F115" i="31"/>
  <c r="G50" i="31"/>
  <c r="G154" i="31" s="1"/>
  <c r="G67" i="31"/>
  <c r="G160" i="31" s="1"/>
  <c r="G79" i="31"/>
  <c r="G84" i="31"/>
  <c r="G103" i="31"/>
  <c r="G115" i="31"/>
  <c r="H36" i="31"/>
  <c r="H151" i="31" s="1"/>
  <c r="H50" i="31"/>
  <c r="H154" i="31" s="1"/>
  <c r="H67" i="31"/>
  <c r="H160" i="31" s="1"/>
  <c r="H79" i="31"/>
  <c r="H84" i="31"/>
  <c r="H103" i="31"/>
  <c r="H115" i="31"/>
  <c r="I36" i="31"/>
  <c r="I151" i="31" s="1"/>
  <c r="I50" i="31"/>
  <c r="I154" i="31" s="1"/>
  <c r="I67" i="31"/>
  <c r="I160" i="31" s="1"/>
  <c r="I79" i="31"/>
  <c r="I84" i="31"/>
  <c r="I103" i="31"/>
  <c r="I115" i="31"/>
  <c r="J36" i="31"/>
  <c r="J151" i="31" s="1"/>
  <c r="J50" i="31"/>
  <c r="J154" i="31" s="1"/>
  <c r="J67" i="31"/>
  <c r="J160" i="31" s="1"/>
  <c r="J84" i="31"/>
  <c r="J103" i="31"/>
  <c r="J115" i="31"/>
  <c r="K36" i="31"/>
  <c r="K151" i="31" s="1"/>
  <c r="K50" i="31"/>
  <c r="K154" i="31" s="1"/>
  <c r="K67" i="31"/>
  <c r="K160" i="31" s="1"/>
  <c r="K79" i="31"/>
  <c r="K84" i="31"/>
  <c r="K103" i="31"/>
  <c r="K115" i="31"/>
  <c r="L36" i="31"/>
  <c r="L151" i="31" s="1"/>
  <c r="L50" i="31"/>
  <c r="L154" i="31" s="1"/>
  <c r="L67" i="31"/>
  <c r="L160" i="31" s="1"/>
  <c r="L79" i="31"/>
  <c r="L84" i="31"/>
  <c r="L103" i="31"/>
  <c r="L115" i="31"/>
  <c r="M36" i="31"/>
  <c r="M151" i="31" s="1"/>
  <c r="M50" i="31"/>
  <c r="M154" i="31" s="1"/>
  <c r="M67" i="31"/>
  <c r="M160" i="31" s="1"/>
  <c r="M84" i="31"/>
  <c r="M103" i="31"/>
  <c r="M115" i="31"/>
  <c r="N36" i="31"/>
  <c r="N151" i="31" s="1"/>
  <c r="N50" i="31"/>
  <c r="N154" i="31" s="1"/>
  <c r="N67" i="31"/>
  <c r="N160" i="31" s="1"/>
  <c r="N79" i="31"/>
  <c r="N84" i="31"/>
  <c r="N103" i="31"/>
  <c r="N115" i="31"/>
  <c r="O36" i="31"/>
  <c r="O151" i="31" s="1"/>
  <c r="O50" i="31"/>
  <c r="O154" i="31" s="1"/>
  <c r="O67" i="31"/>
  <c r="O160" i="31" s="1"/>
  <c r="O79" i="31"/>
  <c r="O84" i="31"/>
  <c r="O103" i="31"/>
  <c r="O115" i="31"/>
  <c r="P36" i="31"/>
  <c r="P151" i="31" s="1"/>
  <c r="P50" i="31"/>
  <c r="P154" i="31" s="1"/>
  <c r="P67" i="31"/>
  <c r="P160" i="31" s="1"/>
  <c r="P79" i="31"/>
  <c r="P84" i="31"/>
  <c r="P103" i="31"/>
  <c r="P115" i="31"/>
  <c r="Q13" i="31"/>
  <c r="T13" i="31" s="1"/>
  <c r="Q14" i="31"/>
  <c r="Q21" i="31"/>
  <c r="T21" i="31" s="1"/>
  <c r="Q38" i="31"/>
  <c r="R38" i="31" s="1"/>
  <c r="Q40" i="31"/>
  <c r="Q49" i="31"/>
  <c r="Q60" i="31"/>
  <c r="R60" i="31" s="1"/>
  <c r="Q61" i="31"/>
  <c r="R61" i="31" s="1"/>
  <c r="Q62" i="31"/>
  <c r="R62" i="31" s="1"/>
  <c r="Q66" i="31"/>
  <c r="Q69" i="31"/>
  <c r="Q75" i="31"/>
  <c r="Q78" i="31"/>
  <c r="Q81" i="31"/>
  <c r="R81" i="31" s="1"/>
  <c r="Q82" i="31"/>
  <c r="R82" i="31" s="1"/>
  <c r="Q83" i="31"/>
  <c r="R83" i="31" s="1"/>
  <c r="Q86" i="31"/>
  <c r="R86" i="31" s="1"/>
  <c r="Q87" i="31"/>
  <c r="R87" i="31" s="1"/>
  <c r="Q96" i="31"/>
  <c r="T96" i="31" s="1"/>
  <c r="Q98" i="31"/>
  <c r="R98" i="31" s="1"/>
  <c r="Q99" i="31"/>
  <c r="R99" i="31" s="1"/>
  <c r="Q100" i="31"/>
  <c r="R100" i="31" s="1"/>
  <c r="Q101" i="31"/>
  <c r="R101" i="31" s="1"/>
  <c r="Q102" i="31"/>
  <c r="R102" i="31" s="1"/>
  <c r="Q111" i="31"/>
  <c r="R111" i="31" s="1"/>
  <c r="Q112" i="31"/>
  <c r="R112" i="31" s="1"/>
  <c r="Q113" i="31"/>
  <c r="R113" i="31" s="1"/>
  <c r="Q114" i="31"/>
  <c r="R114" i="31" s="1"/>
  <c r="Q117" i="31"/>
  <c r="T117" i="31" s="1"/>
  <c r="Q120" i="31"/>
  <c r="R120" i="31" s="1"/>
  <c r="Q128" i="31"/>
  <c r="P121" i="10"/>
  <c r="P175" i="10" s="1"/>
  <c r="O121" i="10"/>
  <c r="O175" i="10" s="1"/>
  <c r="N121" i="10"/>
  <c r="N175" i="10" s="1"/>
  <c r="M121" i="10"/>
  <c r="M175" i="10" s="1"/>
  <c r="L121" i="10"/>
  <c r="L175" i="10" s="1"/>
  <c r="K121" i="10"/>
  <c r="K175" i="10" s="1"/>
  <c r="J121" i="10"/>
  <c r="J175" i="10" s="1"/>
  <c r="I121" i="10"/>
  <c r="I175" i="10" s="1"/>
  <c r="H121" i="10"/>
  <c r="H175" i="10" s="1"/>
  <c r="G121" i="10"/>
  <c r="G175" i="10" s="1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P88" i="10"/>
  <c r="P164" i="10" s="1"/>
  <c r="O88" i="10"/>
  <c r="O164" i="10" s="1"/>
  <c r="N88" i="10"/>
  <c r="N164" i="10" s="1"/>
  <c r="M88" i="10"/>
  <c r="M164" i="10" s="1"/>
  <c r="L88" i="10"/>
  <c r="L164" i="10" s="1"/>
  <c r="K88" i="10"/>
  <c r="K164" i="10" s="1"/>
  <c r="J88" i="10"/>
  <c r="J164" i="10" s="1"/>
  <c r="I88" i="10"/>
  <c r="I164" i="10" s="1"/>
  <c r="H88" i="10"/>
  <c r="H164" i="10" s="1"/>
  <c r="G88" i="10"/>
  <c r="G164" i="10" s="1"/>
  <c r="F88" i="10"/>
  <c r="F164" i="10" s="1"/>
  <c r="E88" i="10"/>
  <c r="E164" i="10" s="1"/>
  <c r="P79" i="10"/>
  <c r="O79" i="10"/>
  <c r="N79" i="10"/>
  <c r="M79" i="10"/>
  <c r="L79" i="10"/>
  <c r="K79" i="10"/>
  <c r="J79" i="10"/>
  <c r="I79" i="10"/>
  <c r="H79" i="10"/>
  <c r="G79" i="10"/>
  <c r="F79" i="10"/>
  <c r="E79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P63" i="10"/>
  <c r="P160" i="10" s="1"/>
  <c r="O63" i="10"/>
  <c r="O160" i="10" s="1"/>
  <c r="N63" i="10"/>
  <c r="N160" i="10" s="1"/>
  <c r="M63" i="10"/>
  <c r="M160" i="10" s="1"/>
  <c r="L63" i="10"/>
  <c r="L160" i="10" s="1"/>
  <c r="K63" i="10"/>
  <c r="K160" i="10" s="1"/>
  <c r="J63" i="10"/>
  <c r="J160" i="10" s="1"/>
  <c r="I63" i="10"/>
  <c r="I160" i="10" s="1"/>
  <c r="H63" i="10"/>
  <c r="H160" i="10" s="1"/>
  <c r="G63" i="10"/>
  <c r="G160" i="10" s="1"/>
  <c r="F63" i="10"/>
  <c r="F160" i="10" s="1"/>
  <c r="E63" i="10"/>
  <c r="E160" i="10" s="1"/>
  <c r="P50" i="10"/>
  <c r="P155" i="10" s="1"/>
  <c r="O50" i="10"/>
  <c r="O155" i="10" s="1"/>
  <c r="N50" i="10"/>
  <c r="N155" i="10" s="1"/>
  <c r="M50" i="10"/>
  <c r="M155" i="10" s="1"/>
  <c r="L50" i="10"/>
  <c r="L155" i="10" s="1"/>
  <c r="K50" i="10"/>
  <c r="K155" i="10" s="1"/>
  <c r="J50" i="10"/>
  <c r="J155" i="10" s="1"/>
  <c r="I50" i="10"/>
  <c r="I155" i="10" s="1"/>
  <c r="H50" i="10"/>
  <c r="H155" i="10" s="1"/>
  <c r="G50" i="10"/>
  <c r="G155" i="10" s="1"/>
  <c r="F50" i="10"/>
  <c r="F155" i="10" s="1"/>
  <c r="E50" i="10"/>
  <c r="E155" i="10" s="1"/>
  <c r="P43" i="10"/>
  <c r="P153" i="10" s="1"/>
  <c r="O43" i="10"/>
  <c r="O153" i="10" s="1"/>
  <c r="N43" i="10"/>
  <c r="N153" i="10" s="1"/>
  <c r="M43" i="10"/>
  <c r="M153" i="10" s="1"/>
  <c r="L43" i="10"/>
  <c r="L153" i="10" s="1"/>
  <c r="K43" i="10"/>
  <c r="K153" i="10" s="1"/>
  <c r="J43" i="10"/>
  <c r="J153" i="10" s="1"/>
  <c r="I43" i="10"/>
  <c r="I153" i="10" s="1"/>
  <c r="H43" i="10"/>
  <c r="H153" i="10" s="1"/>
  <c r="G43" i="10"/>
  <c r="G153" i="10" s="1"/>
  <c r="F43" i="10"/>
  <c r="F153" i="10" s="1"/>
  <c r="E43" i="10"/>
  <c r="E153" i="10" s="1"/>
  <c r="P36" i="10"/>
  <c r="P152" i="10" s="1"/>
  <c r="O36" i="10"/>
  <c r="O152" i="10" s="1"/>
  <c r="N36" i="10"/>
  <c r="N152" i="10" s="1"/>
  <c r="M36" i="10"/>
  <c r="M152" i="10" s="1"/>
  <c r="L36" i="10"/>
  <c r="L152" i="10" s="1"/>
  <c r="K36" i="10"/>
  <c r="K152" i="10" s="1"/>
  <c r="J36" i="10"/>
  <c r="J152" i="10" s="1"/>
  <c r="I36" i="10"/>
  <c r="I152" i="10" s="1"/>
  <c r="H36" i="10"/>
  <c r="H152" i="10" s="1"/>
  <c r="G36" i="10"/>
  <c r="G152" i="10" s="1"/>
  <c r="F36" i="10"/>
  <c r="F152" i="10" s="1"/>
  <c r="E36" i="10"/>
  <c r="E152" i="10" s="1"/>
  <c r="P121" i="9"/>
  <c r="P273" i="9" s="1"/>
  <c r="O121" i="9"/>
  <c r="O273" i="9" s="1"/>
  <c r="M121" i="9"/>
  <c r="M273" i="9" s="1"/>
  <c r="L121" i="9"/>
  <c r="L273" i="9" s="1"/>
  <c r="K121" i="9"/>
  <c r="K273" i="9" s="1"/>
  <c r="F121" i="9"/>
  <c r="F273" i="9" s="1"/>
  <c r="P103" i="9"/>
  <c r="O103" i="9"/>
  <c r="N103" i="9"/>
  <c r="M103" i="9"/>
  <c r="L103" i="9"/>
  <c r="K103" i="9"/>
  <c r="J103" i="9"/>
  <c r="I103" i="9"/>
  <c r="H103" i="9"/>
  <c r="G103" i="9"/>
  <c r="F103" i="9"/>
  <c r="E103" i="9"/>
  <c r="P88" i="9"/>
  <c r="O88" i="9"/>
  <c r="N88" i="9"/>
  <c r="M88" i="9"/>
  <c r="L88" i="9"/>
  <c r="K88" i="9"/>
  <c r="J88" i="9"/>
  <c r="I88" i="9"/>
  <c r="H88" i="9"/>
  <c r="G88" i="9"/>
  <c r="F88" i="9"/>
  <c r="E88" i="9"/>
  <c r="L84" i="9"/>
  <c r="P79" i="9"/>
  <c r="O79" i="9"/>
  <c r="N79" i="9"/>
  <c r="M79" i="9"/>
  <c r="L79" i="9"/>
  <c r="K79" i="9"/>
  <c r="J79" i="9"/>
  <c r="I79" i="9"/>
  <c r="H79" i="9"/>
  <c r="G79" i="9"/>
  <c r="F79" i="9"/>
  <c r="E79" i="9"/>
  <c r="P63" i="9"/>
  <c r="O63" i="9"/>
  <c r="N63" i="9"/>
  <c r="M63" i="9"/>
  <c r="L63" i="9"/>
  <c r="K63" i="9"/>
  <c r="J63" i="9"/>
  <c r="I63" i="9"/>
  <c r="H63" i="9"/>
  <c r="G63" i="9"/>
  <c r="F63" i="9"/>
  <c r="E63" i="9"/>
  <c r="P50" i="9"/>
  <c r="P253" i="9" s="1"/>
  <c r="O50" i="9"/>
  <c r="O253" i="9" s="1"/>
  <c r="N50" i="9"/>
  <c r="N253" i="9" s="1"/>
  <c r="M50" i="9"/>
  <c r="M253" i="9" s="1"/>
  <c r="L50" i="9"/>
  <c r="L253" i="9" s="1"/>
  <c r="K50" i="9"/>
  <c r="K253" i="9" s="1"/>
  <c r="J50" i="9"/>
  <c r="J253" i="9" s="1"/>
  <c r="I50" i="9"/>
  <c r="I253" i="9" s="1"/>
  <c r="H50" i="9"/>
  <c r="H253" i="9" s="1"/>
  <c r="G50" i="9"/>
  <c r="G253" i="9" s="1"/>
  <c r="F50" i="9"/>
  <c r="F253" i="9" s="1"/>
  <c r="E50" i="9"/>
  <c r="E253" i="9" s="1"/>
  <c r="P43" i="9"/>
  <c r="O43" i="9"/>
  <c r="N43" i="9"/>
  <c r="M43" i="9"/>
  <c r="L43" i="9"/>
  <c r="K43" i="9"/>
  <c r="J43" i="9"/>
  <c r="I43" i="9"/>
  <c r="H43" i="9"/>
  <c r="G43" i="9"/>
  <c r="F43" i="9"/>
  <c r="E43" i="9"/>
  <c r="P36" i="9"/>
  <c r="O36" i="9"/>
  <c r="N36" i="9"/>
  <c r="M36" i="9"/>
  <c r="L36" i="9"/>
  <c r="K36" i="9"/>
  <c r="J36" i="9"/>
  <c r="I36" i="9"/>
  <c r="H36" i="9"/>
  <c r="G36" i="9"/>
  <c r="F36" i="9"/>
  <c r="E36" i="9"/>
  <c r="P121" i="8"/>
  <c r="O121" i="8"/>
  <c r="N121" i="8"/>
  <c r="M121" i="8"/>
  <c r="L121" i="8"/>
  <c r="K121" i="8"/>
  <c r="J121" i="8"/>
  <c r="I121" i="8"/>
  <c r="H121" i="8"/>
  <c r="G121" i="8"/>
  <c r="F121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P79" i="8"/>
  <c r="O79" i="8"/>
  <c r="N79" i="8"/>
  <c r="M79" i="8"/>
  <c r="L79" i="8"/>
  <c r="K79" i="8"/>
  <c r="J79" i="8"/>
  <c r="I79" i="8"/>
  <c r="H79" i="8"/>
  <c r="G79" i="8"/>
  <c r="F79" i="8"/>
  <c r="E79" i="8"/>
  <c r="P67" i="8"/>
  <c r="O67" i="8"/>
  <c r="N67" i="8"/>
  <c r="M67" i="8"/>
  <c r="L67" i="8"/>
  <c r="K67" i="8"/>
  <c r="J67" i="8"/>
  <c r="I67" i="8"/>
  <c r="H67" i="8"/>
  <c r="G67" i="8"/>
  <c r="F67" i="8"/>
  <c r="E67" i="8"/>
  <c r="P63" i="8"/>
  <c r="O63" i="8"/>
  <c r="N63" i="8"/>
  <c r="M63" i="8"/>
  <c r="L63" i="8"/>
  <c r="K63" i="8"/>
  <c r="J63" i="8"/>
  <c r="I63" i="8"/>
  <c r="H63" i="8"/>
  <c r="G63" i="8"/>
  <c r="F63" i="8"/>
  <c r="E63" i="8"/>
  <c r="P50" i="8"/>
  <c r="P226" i="8" s="1"/>
  <c r="O50" i="8"/>
  <c r="O226" i="8" s="1"/>
  <c r="N50" i="8"/>
  <c r="N226" i="8" s="1"/>
  <c r="M50" i="8"/>
  <c r="M226" i="8" s="1"/>
  <c r="L50" i="8"/>
  <c r="L226" i="8" s="1"/>
  <c r="K50" i="8"/>
  <c r="K226" i="8" s="1"/>
  <c r="J50" i="8"/>
  <c r="J226" i="8" s="1"/>
  <c r="I50" i="8"/>
  <c r="I226" i="8" s="1"/>
  <c r="H50" i="8"/>
  <c r="H226" i="8" s="1"/>
  <c r="G50" i="8"/>
  <c r="G226" i="8" s="1"/>
  <c r="F50" i="8"/>
  <c r="F226" i="8" s="1"/>
  <c r="E50" i="8"/>
  <c r="E226" i="8" s="1"/>
  <c r="P43" i="8"/>
  <c r="O43" i="8"/>
  <c r="N43" i="8"/>
  <c r="M43" i="8"/>
  <c r="L43" i="8"/>
  <c r="K43" i="8"/>
  <c r="J43" i="8"/>
  <c r="I43" i="8"/>
  <c r="H43" i="8"/>
  <c r="F43" i="8"/>
  <c r="E43" i="8"/>
  <c r="P36" i="8"/>
  <c r="O36" i="8"/>
  <c r="N36" i="8"/>
  <c r="M36" i="8"/>
  <c r="L36" i="8"/>
  <c r="K36" i="8"/>
  <c r="J36" i="8"/>
  <c r="I36" i="8"/>
  <c r="H36" i="8"/>
  <c r="G36" i="8"/>
  <c r="F36" i="8"/>
  <c r="E36" i="8"/>
  <c r="P121" i="22"/>
  <c r="P271" i="22" s="1"/>
  <c r="O121" i="22"/>
  <c r="O271" i="22" s="1"/>
  <c r="N121" i="22"/>
  <c r="N271" i="22" s="1"/>
  <c r="M121" i="22"/>
  <c r="M271" i="22" s="1"/>
  <c r="L121" i="22"/>
  <c r="L271" i="22" s="1"/>
  <c r="K121" i="22"/>
  <c r="K271" i="22" s="1"/>
  <c r="J121" i="22"/>
  <c r="J271" i="22" s="1"/>
  <c r="I121" i="22"/>
  <c r="I271" i="22" s="1"/>
  <c r="H121" i="22"/>
  <c r="H271" i="22" s="1"/>
  <c r="G121" i="22"/>
  <c r="G271" i="22" s="1"/>
  <c r="F121" i="22"/>
  <c r="F271" i="22" s="1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P50" i="22"/>
  <c r="P251" i="22" s="1"/>
  <c r="F50" i="22"/>
  <c r="F251" i="22" s="1"/>
  <c r="E50" i="22"/>
  <c r="E251" i="22" s="1"/>
  <c r="P43" i="22"/>
  <c r="O43" i="22"/>
  <c r="N43" i="22"/>
  <c r="M43" i="22"/>
  <c r="L43" i="22"/>
  <c r="K43" i="22"/>
  <c r="J43" i="22"/>
  <c r="I43" i="22"/>
  <c r="H43" i="22"/>
  <c r="G43" i="22"/>
  <c r="F43" i="22"/>
  <c r="E43" i="22"/>
  <c r="P36" i="22"/>
  <c r="O36" i="22"/>
  <c r="M36" i="22"/>
  <c r="L36" i="22"/>
  <c r="K36" i="22"/>
  <c r="J36" i="22"/>
  <c r="I36" i="22"/>
  <c r="H36" i="22"/>
  <c r="G36" i="22"/>
  <c r="F36" i="22"/>
  <c r="E36" i="22"/>
  <c r="P121" i="6"/>
  <c r="P115" i="6"/>
  <c r="O121" i="6"/>
  <c r="O115" i="6"/>
  <c r="N121" i="6"/>
  <c r="N115" i="6"/>
  <c r="M121" i="6"/>
  <c r="M115" i="6"/>
  <c r="L121" i="6"/>
  <c r="L115" i="6"/>
  <c r="K121" i="6"/>
  <c r="K115" i="6"/>
  <c r="J121" i="6"/>
  <c r="J115" i="6"/>
  <c r="I121" i="6"/>
  <c r="I115" i="6"/>
  <c r="H121" i="6"/>
  <c r="H115" i="6"/>
  <c r="G121" i="6"/>
  <c r="G115" i="6"/>
  <c r="F121" i="6"/>
  <c r="F115" i="6"/>
  <c r="E115" i="6"/>
  <c r="P103" i="6"/>
  <c r="P88" i="6"/>
  <c r="P84" i="6"/>
  <c r="P79" i="6"/>
  <c r="O103" i="6"/>
  <c r="O88" i="6"/>
  <c r="O84" i="6"/>
  <c r="O79" i="6"/>
  <c r="N103" i="6"/>
  <c r="N79" i="6"/>
  <c r="N84" i="6"/>
  <c r="N88" i="6"/>
  <c r="M103" i="6"/>
  <c r="M88" i="6"/>
  <c r="M84" i="6"/>
  <c r="M79" i="6"/>
  <c r="L103" i="6"/>
  <c r="L88" i="6"/>
  <c r="L84" i="6"/>
  <c r="L79" i="6"/>
  <c r="K103" i="6"/>
  <c r="K88" i="6"/>
  <c r="K84" i="6"/>
  <c r="K79" i="6"/>
  <c r="J103" i="6"/>
  <c r="J88" i="6"/>
  <c r="J84" i="6"/>
  <c r="J79" i="6"/>
  <c r="I103" i="6"/>
  <c r="I88" i="6"/>
  <c r="I84" i="6"/>
  <c r="I79" i="6"/>
  <c r="H103" i="6"/>
  <c r="H88" i="6"/>
  <c r="H84" i="6"/>
  <c r="H79" i="6"/>
  <c r="G103" i="6"/>
  <c r="G88" i="6"/>
  <c r="G84" i="6"/>
  <c r="G79" i="6"/>
  <c r="F103" i="6"/>
  <c r="F88" i="6"/>
  <c r="F84" i="6"/>
  <c r="E84" i="6"/>
  <c r="F79" i="6"/>
  <c r="E88" i="6"/>
  <c r="E79" i="6"/>
  <c r="P67" i="6"/>
  <c r="P63" i="6"/>
  <c r="P43" i="6"/>
  <c r="P36" i="6"/>
  <c r="O67" i="6"/>
  <c r="O63" i="6"/>
  <c r="O43" i="6"/>
  <c r="O36" i="6"/>
  <c r="N67" i="6"/>
  <c r="N63" i="6"/>
  <c r="N43" i="6"/>
  <c r="N36" i="6"/>
  <c r="M67" i="6"/>
  <c r="M63" i="6"/>
  <c r="M43" i="6"/>
  <c r="M36" i="6"/>
  <c r="L67" i="6"/>
  <c r="L63" i="6"/>
  <c r="L43" i="6"/>
  <c r="L36" i="6"/>
  <c r="K67" i="6"/>
  <c r="K63" i="6"/>
  <c r="K43" i="6"/>
  <c r="K36" i="6"/>
  <c r="J67" i="6"/>
  <c r="J63" i="6"/>
  <c r="J43" i="6"/>
  <c r="J36" i="6"/>
  <c r="I67" i="6"/>
  <c r="I63" i="6"/>
  <c r="I43" i="6"/>
  <c r="I36" i="6"/>
  <c r="H67" i="6"/>
  <c r="H63" i="6"/>
  <c r="H43" i="6"/>
  <c r="H36" i="6"/>
  <c r="G67" i="6"/>
  <c r="G63" i="6"/>
  <c r="G43" i="6"/>
  <c r="E43" i="6"/>
  <c r="F43" i="6"/>
  <c r="G36" i="6"/>
  <c r="F67" i="6"/>
  <c r="F63" i="6"/>
  <c r="F36" i="6"/>
  <c r="E67" i="6"/>
  <c r="E63" i="6"/>
  <c r="E36" i="6"/>
  <c r="G35" i="28"/>
  <c r="H35" i="28"/>
  <c r="I35" i="28"/>
  <c r="J35" i="28"/>
  <c r="K35" i="28"/>
  <c r="L35" i="28"/>
  <c r="M35" i="28"/>
  <c r="N35" i="28"/>
  <c r="O35" i="28"/>
  <c r="P35" i="28"/>
  <c r="G42" i="28"/>
  <c r="H42" i="28"/>
  <c r="I42" i="28"/>
  <c r="J42" i="28"/>
  <c r="K42" i="28"/>
  <c r="L42" i="28"/>
  <c r="M42" i="28"/>
  <c r="N42" i="28"/>
  <c r="O42" i="28"/>
  <c r="P42" i="28"/>
  <c r="G49" i="28"/>
  <c r="H49" i="28"/>
  <c r="I49" i="28"/>
  <c r="J49" i="28"/>
  <c r="K49" i="28"/>
  <c r="L49" i="28"/>
  <c r="M49" i="28"/>
  <c r="N49" i="28"/>
  <c r="O49" i="28"/>
  <c r="P49" i="28"/>
  <c r="G13" i="28"/>
  <c r="G21" i="28"/>
  <c r="H13" i="28"/>
  <c r="H21" i="28"/>
  <c r="I13" i="28"/>
  <c r="I21" i="28"/>
  <c r="J13" i="28"/>
  <c r="J21" i="28"/>
  <c r="K13" i="28"/>
  <c r="K21" i="28"/>
  <c r="L13" i="28"/>
  <c r="L21" i="28"/>
  <c r="M13" i="28"/>
  <c r="M21" i="28"/>
  <c r="N13" i="28"/>
  <c r="N21" i="28"/>
  <c r="O13" i="28"/>
  <c r="O21" i="28"/>
  <c r="P13" i="28"/>
  <c r="P21" i="28"/>
  <c r="G62" i="28"/>
  <c r="H62" i="28"/>
  <c r="I62" i="28"/>
  <c r="J62" i="28"/>
  <c r="K62" i="28"/>
  <c r="L62" i="28"/>
  <c r="M62" i="28"/>
  <c r="N62" i="28"/>
  <c r="O62" i="28"/>
  <c r="P62" i="28"/>
  <c r="G66" i="28"/>
  <c r="H66" i="28"/>
  <c r="I66" i="28"/>
  <c r="J66" i="28"/>
  <c r="K66" i="28"/>
  <c r="L66" i="28"/>
  <c r="M66" i="28"/>
  <c r="N66" i="28"/>
  <c r="O66" i="28"/>
  <c r="P66" i="28"/>
  <c r="G78" i="28"/>
  <c r="H78" i="28"/>
  <c r="I78" i="28"/>
  <c r="J78" i="28"/>
  <c r="K78" i="28"/>
  <c r="L78" i="28"/>
  <c r="M78" i="28"/>
  <c r="N78" i="28"/>
  <c r="O78" i="28"/>
  <c r="P78" i="28"/>
  <c r="G87" i="28"/>
  <c r="H87" i="28"/>
  <c r="I87" i="28"/>
  <c r="J87" i="28"/>
  <c r="K87" i="28"/>
  <c r="L87" i="28"/>
  <c r="M87" i="28"/>
  <c r="N87" i="28"/>
  <c r="O87" i="28"/>
  <c r="P87" i="28"/>
  <c r="G102" i="28"/>
  <c r="H102" i="28"/>
  <c r="I102" i="28"/>
  <c r="J102" i="28"/>
  <c r="K102" i="28"/>
  <c r="L102" i="28"/>
  <c r="M102" i="28"/>
  <c r="N102" i="28"/>
  <c r="O102" i="28"/>
  <c r="P102" i="28"/>
  <c r="G116" i="28"/>
  <c r="H116" i="28"/>
  <c r="I116" i="28"/>
  <c r="J116" i="28"/>
  <c r="K116" i="28"/>
  <c r="L116" i="28"/>
  <c r="M116" i="28"/>
  <c r="N116" i="28"/>
  <c r="O116" i="28"/>
  <c r="P116" i="28"/>
  <c r="G122" i="28"/>
  <c r="H122" i="28"/>
  <c r="I122" i="28"/>
  <c r="J122" i="28"/>
  <c r="K122" i="28"/>
  <c r="L122" i="28"/>
  <c r="M122" i="28"/>
  <c r="N122" i="28"/>
  <c r="O122" i="28"/>
  <c r="P122" i="28"/>
  <c r="F35" i="28"/>
  <c r="F42" i="28"/>
  <c r="F49" i="28"/>
  <c r="F13" i="28"/>
  <c r="F21" i="28"/>
  <c r="F62" i="28"/>
  <c r="F66" i="28"/>
  <c r="F78" i="28"/>
  <c r="F87" i="28"/>
  <c r="F102" i="28"/>
  <c r="F116" i="28"/>
  <c r="F122" i="28"/>
  <c r="E122" i="28"/>
  <c r="E116" i="28"/>
  <c r="E102" i="28"/>
  <c r="E87" i="28"/>
  <c r="E78" i="28"/>
  <c r="E66" i="28"/>
  <c r="E62" i="28"/>
  <c r="E13" i="28"/>
  <c r="E21" i="28"/>
  <c r="E49" i="28"/>
  <c r="E42" i="28"/>
  <c r="E35" i="28"/>
  <c r="Q129" i="28"/>
  <c r="Q128" i="28"/>
  <c r="Q121" i="28"/>
  <c r="Q118" i="28"/>
  <c r="Q115" i="28"/>
  <c r="Q114" i="28"/>
  <c r="Q113" i="28"/>
  <c r="Q112" i="28"/>
  <c r="Q101" i="28"/>
  <c r="Q100" i="28"/>
  <c r="Q99" i="28"/>
  <c r="Q98" i="28"/>
  <c r="Q97" i="28"/>
  <c r="Q95" i="28"/>
  <c r="Q93" i="28"/>
  <c r="Q91" i="28"/>
  <c r="Q86" i="28"/>
  <c r="Q85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Q82" i="28"/>
  <c r="Q81" i="28"/>
  <c r="Q80" i="28"/>
  <c r="Q77" i="28"/>
  <c r="Q76" i="28"/>
  <c r="Q74" i="28"/>
  <c r="Q68" i="28"/>
  <c r="Q65" i="28"/>
  <c r="Q64" i="28"/>
  <c r="Q61" i="28"/>
  <c r="Q60" i="28"/>
  <c r="Q59" i="28"/>
  <c r="Q57" i="28"/>
  <c r="Q55" i="28"/>
  <c r="Q51" i="28"/>
  <c r="Q48" i="28"/>
  <c r="Q47" i="28"/>
  <c r="Q46" i="28"/>
  <c r="Q44" i="28"/>
  <c r="Q41" i="28"/>
  <c r="Q40" i="28"/>
  <c r="Q39" i="28"/>
  <c r="Q37" i="28"/>
  <c r="Q34" i="28"/>
  <c r="Q33" i="28"/>
  <c r="Q32" i="28"/>
  <c r="Q30" i="28"/>
  <c r="Q28" i="28"/>
  <c r="Q26" i="28"/>
  <c r="Q19" i="28"/>
  <c r="Q18" i="28"/>
  <c r="Q17" i="28"/>
  <c r="Q16" i="28"/>
  <c r="Q12" i="28"/>
  <c r="Q11" i="28"/>
  <c r="Q10" i="28"/>
  <c r="Q9" i="28"/>
  <c r="Q120" i="28"/>
  <c r="Q10" i="6"/>
  <c r="Q120" i="6"/>
  <c r="R120" i="6" s="1"/>
  <c r="Q40" i="8"/>
  <c r="Q66" i="8"/>
  <c r="R66" i="8" s="1"/>
  <c r="Q38" i="8"/>
  <c r="R38" i="8" s="1"/>
  <c r="Q49" i="8"/>
  <c r="Q56" i="8"/>
  <c r="T56" i="8" s="1"/>
  <c r="Q60" i="8"/>
  <c r="R60" i="8" s="1"/>
  <c r="Q61" i="8"/>
  <c r="R61" i="8" s="1"/>
  <c r="Q62" i="8"/>
  <c r="R62" i="8" s="1"/>
  <c r="Q117" i="8"/>
  <c r="T117" i="8" s="1"/>
  <c r="Q117" i="6"/>
  <c r="Q119" i="6"/>
  <c r="R119" i="6" s="1"/>
  <c r="Q10" i="22"/>
  <c r="Q12" i="22"/>
  <c r="Q13" i="22"/>
  <c r="T13" i="22" s="1"/>
  <c r="Q14" i="22"/>
  <c r="T14" i="22" s="1"/>
  <c r="Q21" i="22"/>
  <c r="T21" i="22" s="1"/>
  <c r="Q38" i="22"/>
  <c r="Q43" i="22"/>
  <c r="T43" i="22" s="1"/>
  <c r="G12" i="46"/>
  <c r="Q56" i="22"/>
  <c r="T56" i="22" s="1"/>
  <c r="Q60" i="22"/>
  <c r="Q61" i="22"/>
  <c r="Q62" i="22"/>
  <c r="Q69" i="22"/>
  <c r="T69" i="22" s="1"/>
  <c r="Q75" i="22"/>
  <c r="T75" i="22" s="1"/>
  <c r="Q78" i="22"/>
  <c r="Q81" i="22"/>
  <c r="Q82" i="22"/>
  <c r="Q83" i="22"/>
  <c r="Q86" i="22"/>
  <c r="Q87" i="22"/>
  <c r="Q96" i="22"/>
  <c r="T96" i="22" s="1"/>
  <c r="Q98" i="22"/>
  <c r="Q99" i="22"/>
  <c r="Q100" i="22"/>
  <c r="Q101" i="22"/>
  <c r="Q102" i="22"/>
  <c r="Q111" i="22"/>
  <c r="Q112" i="22"/>
  <c r="Q113" i="22"/>
  <c r="Q114" i="22"/>
  <c r="Q117" i="22"/>
  <c r="T117" i="22" s="1"/>
  <c r="Q120" i="22"/>
  <c r="Q128" i="22"/>
  <c r="T128" i="22" s="1"/>
  <c r="Q62" i="9"/>
  <c r="R62" i="9" s="1"/>
  <c r="Q14" i="10"/>
  <c r="Q12" i="10"/>
  <c r="Q13" i="10"/>
  <c r="T13" i="10" s="1"/>
  <c r="Q21" i="10"/>
  <c r="T21" i="10" s="1"/>
  <c r="Q14" i="6"/>
  <c r="Q12" i="6"/>
  <c r="R12" i="6" s="1"/>
  <c r="T12" i="6" s="1"/>
  <c r="Q13" i="6"/>
  <c r="Q21" i="6"/>
  <c r="Q21" i="8"/>
  <c r="T21" i="8" s="1"/>
  <c r="Q14" i="8"/>
  <c r="Q10" i="8"/>
  <c r="Q12" i="8"/>
  <c r="R12" i="8" s="1"/>
  <c r="T12" i="8" s="1"/>
  <c r="Q13" i="8"/>
  <c r="T13" i="8" s="1"/>
  <c r="Q14" i="9"/>
  <c r="Q10" i="9"/>
  <c r="Q12" i="9"/>
  <c r="R12" i="9" s="1"/>
  <c r="T12" i="9" s="1"/>
  <c r="Q13" i="9"/>
  <c r="T13" i="9" s="1"/>
  <c r="Q36" i="10"/>
  <c r="T36" i="10" s="1"/>
  <c r="Q38" i="10"/>
  <c r="R38" i="10" s="1"/>
  <c r="Q40" i="10"/>
  <c r="Q49" i="10"/>
  <c r="J8" i="46"/>
  <c r="Q60" i="10"/>
  <c r="R60" i="10" s="1"/>
  <c r="Q61" i="10"/>
  <c r="R61" i="10" s="1"/>
  <c r="R66" i="10"/>
  <c r="Q69" i="10"/>
  <c r="Q75" i="10"/>
  <c r="Q78" i="10"/>
  <c r="R78" i="10" s="1"/>
  <c r="Q81" i="10"/>
  <c r="R81" i="10" s="1"/>
  <c r="Q82" i="10"/>
  <c r="R82" i="10" s="1"/>
  <c r="Q83" i="10"/>
  <c r="R83" i="10" s="1"/>
  <c r="E84" i="10"/>
  <c r="F84" i="10"/>
  <c r="G84" i="10"/>
  <c r="H84" i="10"/>
  <c r="I84" i="10"/>
  <c r="J84" i="10"/>
  <c r="K84" i="10"/>
  <c r="L84" i="10"/>
  <c r="M84" i="10"/>
  <c r="N84" i="10"/>
  <c r="O84" i="10"/>
  <c r="P84" i="10"/>
  <c r="Q87" i="10"/>
  <c r="R87" i="10" s="1"/>
  <c r="Q96" i="10"/>
  <c r="T96" i="10" s="1"/>
  <c r="R98" i="10"/>
  <c r="Q99" i="10"/>
  <c r="R99" i="10" s="1"/>
  <c r="Q100" i="10"/>
  <c r="R100" i="10" s="1"/>
  <c r="R101" i="10"/>
  <c r="Q102" i="10"/>
  <c r="R102" i="10" s="1"/>
  <c r="Q111" i="10"/>
  <c r="R111" i="10" s="1"/>
  <c r="Q112" i="10"/>
  <c r="R112" i="10" s="1"/>
  <c r="Q113" i="10"/>
  <c r="R113" i="10" s="1"/>
  <c r="Q114" i="10"/>
  <c r="R114" i="10" s="1"/>
  <c r="Q117" i="10"/>
  <c r="T117" i="10" s="1"/>
  <c r="Q119" i="10"/>
  <c r="R119" i="10" s="1"/>
  <c r="Q120" i="10"/>
  <c r="R120" i="10" s="1"/>
  <c r="Q128" i="10"/>
  <c r="Q36" i="9"/>
  <c r="T36" i="9" s="1"/>
  <c r="Q38" i="9"/>
  <c r="R38" i="9" s="1"/>
  <c r="Q40" i="9"/>
  <c r="Q49" i="9"/>
  <c r="Q56" i="9"/>
  <c r="T56" i="9" s="1"/>
  <c r="Q60" i="9"/>
  <c r="R60" i="9" s="1"/>
  <c r="Q61" i="9"/>
  <c r="R61" i="9" s="1"/>
  <c r="Q66" i="9"/>
  <c r="R66" i="9" s="1"/>
  <c r="Q69" i="9"/>
  <c r="Q75" i="9"/>
  <c r="Q78" i="9"/>
  <c r="R78" i="9" s="1"/>
  <c r="Q81" i="9"/>
  <c r="R81" i="9" s="1"/>
  <c r="Q82" i="9"/>
  <c r="R82" i="9" s="1"/>
  <c r="Q83" i="9"/>
  <c r="R83" i="9" s="1"/>
  <c r="E84" i="9"/>
  <c r="F84" i="9"/>
  <c r="G84" i="9"/>
  <c r="H84" i="9"/>
  <c r="I84" i="9"/>
  <c r="J84" i="9"/>
  <c r="K84" i="9"/>
  <c r="M84" i="9"/>
  <c r="N84" i="9"/>
  <c r="O84" i="9"/>
  <c r="P84" i="9"/>
  <c r="Q86" i="9"/>
  <c r="R86" i="9" s="1"/>
  <c r="Q87" i="9"/>
  <c r="R87" i="9" s="1"/>
  <c r="Q96" i="9"/>
  <c r="T96" i="9" s="1"/>
  <c r="Q99" i="9"/>
  <c r="R99" i="9" s="1"/>
  <c r="Q100" i="9"/>
  <c r="R100" i="9" s="1"/>
  <c r="Q101" i="9"/>
  <c r="R101" i="9" s="1"/>
  <c r="Q102" i="9"/>
  <c r="R102" i="9" s="1"/>
  <c r="Q69" i="8"/>
  <c r="Q75" i="8"/>
  <c r="Q78" i="8"/>
  <c r="Q81" i="8"/>
  <c r="R81" i="8" s="1"/>
  <c r="Q82" i="8"/>
  <c r="R82" i="8" s="1"/>
  <c r="Q83" i="8"/>
  <c r="R83" i="8" s="1"/>
  <c r="E84" i="8"/>
  <c r="F84" i="8"/>
  <c r="G84" i="8"/>
  <c r="H84" i="8"/>
  <c r="I84" i="8"/>
  <c r="J84" i="8"/>
  <c r="K84" i="8"/>
  <c r="L84" i="8"/>
  <c r="M84" i="8"/>
  <c r="N84" i="8"/>
  <c r="O84" i="8"/>
  <c r="P84" i="8"/>
  <c r="Q86" i="8"/>
  <c r="R86" i="8" s="1"/>
  <c r="Q87" i="8"/>
  <c r="R87" i="8" s="1"/>
  <c r="Q96" i="8"/>
  <c r="T96" i="8" s="1"/>
  <c r="Q98" i="8"/>
  <c r="R98" i="8" s="1"/>
  <c r="Q99" i="8"/>
  <c r="R99" i="8" s="1"/>
  <c r="Q100" i="8"/>
  <c r="R100" i="8" s="1"/>
  <c r="Q101" i="8"/>
  <c r="R101" i="8" s="1"/>
  <c r="Q102" i="8"/>
  <c r="R102" i="8" s="1"/>
  <c r="Q120" i="8"/>
  <c r="R120" i="8" s="1"/>
  <c r="Q128" i="8"/>
  <c r="Q38" i="6"/>
  <c r="R38" i="6" s="1"/>
  <c r="T50" i="6"/>
  <c r="Q60" i="6"/>
  <c r="R60" i="6" s="1"/>
  <c r="Q61" i="6"/>
  <c r="R61" i="6" s="1"/>
  <c r="Q62" i="6"/>
  <c r="R62" i="6" s="1"/>
  <c r="Q66" i="6"/>
  <c r="R66" i="6" s="1"/>
  <c r="Q69" i="6"/>
  <c r="Q75" i="6"/>
  <c r="Q77" i="6"/>
  <c r="R77" i="6" s="1"/>
  <c r="Q78" i="6"/>
  <c r="R78" i="6" s="1"/>
  <c r="Q81" i="6"/>
  <c r="R81" i="6" s="1"/>
  <c r="Q82" i="6"/>
  <c r="R82" i="6" s="1"/>
  <c r="Q83" i="6"/>
  <c r="R83" i="6" s="1"/>
  <c r="Q86" i="6"/>
  <c r="R86" i="6" s="1"/>
  <c r="Q87" i="6"/>
  <c r="R87" i="6" s="1"/>
  <c r="Q98" i="6"/>
  <c r="R98" i="6" s="1"/>
  <c r="Q99" i="6"/>
  <c r="R99" i="6" s="1"/>
  <c r="Q100" i="6"/>
  <c r="R100" i="6" s="1"/>
  <c r="Q101" i="6"/>
  <c r="R101" i="6" s="1"/>
  <c r="Q102" i="6"/>
  <c r="R102" i="6" s="1"/>
  <c r="Q111" i="6"/>
  <c r="R111" i="6" s="1"/>
  <c r="Q112" i="6"/>
  <c r="R112" i="6" s="1"/>
  <c r="Q113" i="6"/>
  <c r="R113" i="6" s="1"/>
  <c r="Q114" i="6"/>
  <c r="R114" i="6" s="1"/>
  <c r="Q128" i="6"/>
  <c r="I129" i="6"/>
  <c r="J129" i="6"/>
  <c r="K129" i="6"/>
  <c r="L129" i="6"/>
  <c r="M129" i="6"/>
  <c r="N129" i="6"/>
  <c r="O129" i="6"/>
  <c r="P129" i="6"/>
  <c r="Q36" i="22"/>
  <c r="T36" i="22" s="1"/>
  <c r="Q36" i="8"/>
  <c r="T36" i="8" s="1"/>
  <c r="Q36" i="32"/>
  <c r="T36" i="32" s="1"/>
  <c r="K6" i="46"/>
  <c r="T36" i="6"/>
  <c r="R12" i="10" l="1"/>
  <c r="T12" i="10" s="1"/>
  <c r="Q15" i="10"/>
  <c r="R62" i="10"/>
  <c r="Q200" i="9"/>
  <c r="R10" i="8"/>
  <c r="Q180" i="8"/>
  <c r="T10" i="22"/>
  <c r="Q196" i="22"/>
  <c r="R128" i="31"/>
  <c r="T128" i="31"/>
  <c r="R14" i="31"/>
  <c r="T14" i="31"/>
  <c r="R75" i="31"/>
  <c r="T75" i="31"/>
  <c r="R69" i="31"/>
  <c r="T69" i="31"/>
  <c r="R128" i="10"/>
  <c r="T128" i="10"/>
  <c r="R69" i="10"/>
  <c r="T69" i="10"/>
  <c r="R14" i="10"/>
  <c r="T14" i="10"/>
  <c r="R75" i="10"/>
  <c r="T75" i="10"/>
  <c r="R14" i="9"/>
  <c r="T14" i="9"/>
  <c r="R75" i="9"/>
  <c r="T75" i="9"/>
  <c r="R69" i="9"/>
  <c r="T69" i="9"/>
  <c r="R69" i="8"/>
  <c r="T69" i="8"/>
  <c r="R128" i="8"/>
  <c r="T128" i="8"/>
  <c r="R14" i="8"/>
  <c r="T14" i="8"/>
  <c r="R75" i="8"/>
  <c r="T75" i="8"/>
  <c r="R13" i="6"/>
  <c r="T13" i="6"/>
  <c r="R14" i="6"/>
  <c r="T14" i="6"/>
  <c r="R21" i="6"/>
  <c r="T21" i="6"/>
  <c r="R128" i="6"/>
  <c r="T128" i="6"/>
  <c r="R75" i="6"/>
  <c r="T75" i="6"/>
  <c r="R69" i="6"/>
  <c r="T69" i="6"/>
  <c r="P147" i="27"/>
  <c r="R10" i="6"/>
  <c r="T10" i="6"/>
  <c r="R10" i="9"/>
  <c r="T10" i="9"/>
  <c r="R117" i="6"/>
  <c r="T117" i="6"/>
  <c r="R10" i="31"/>
  <c r="R96" i="31"/>
  <c r="R117" i="31"/>
  <c r="R21" i="31"/>
  <c r="R13" i="31"/>
  <c r="R117" i="10"/>
  <c r="R21" i="10"/>
  <c r="R13" i="10"/>
  <c r="R96" i="10"/>
  <c r="R96" i="9"/>
  <c r="R13" i="9"/>
  <c r="R21" i="8"/>
  <c r="R117" i="8"/>
  <c r="R13" i="8"/>
  <c r="R96" i="8"/>
  <c r="Q151" i="32"/>
  <c r="L8" i="46"/>
  <c r="Q50" i="32"/>
  <c r="T50" i="32" s="1"/>
  <c r="Q43" i="32"/>
  <c r="T43" i="32" s="1"/>
  <c r="Q79" i="32"/>
  <c r="T79" i="32" s="1"/>
  <c r="Q79" i="31"/>
  <c r="T79" i="31" s="1"/>
  <c r="R78" i="31"/>
  <c r="Q67" i="31"/>
  <c r="T67" i="31" s="1"/>
  <c r="R66" i="31"/>
  <c r="Q50" i="31"/>
  <c r="T50" i="31" s="1"/>
  <c r="R49" i="31"/>
  <c r="Q43" i="31"/>
  <c r="T43" i="31" s="1"/>
  <c r="R40" i="31"/>
  <c r="Q50" i="10"/>
  <c r="T50" i="10" s="1"/>
  <c r="R49" i="10"/>
  <c r="Q43" i="10"/>
  <c r="T43" i="10" s="1"/>
  <c r="R40" i="10"/>
  <c r="I8" i="46"/>
  <c r="R56" i="9"/>
  <c r="Q50" i="9"/>
  <c r="T50" i="9" s="1"/>
  <c r="R49" i="9"/>
  <c r="Q43" i="9"/>
  <c r="T43" i="9" s="1"/>
  <c r="R40" i="9"/>
  <c r="Q43" i="8"/>
  <c r="T43" i="8" s="1"/>
  <c r="R40" i="8"/>
  <c r="Q50" i="8"/>
  <c r="T50" i="8" s="1"/>
  <c r="R49" i="8"/>
  <c r="H8" i="46"/>
  <c r="R56" i="8"/>
  <c r="Q79" i="8"/>
  <c r="T79" i="8" s="1"/>
  <c r="R78" i="8"/>
  <c r="Q79" i="22"/>
  <c r="T79" i="22" s="1"/>
  <c r="G8" i="46"/>
  <c r="R40" i="6"/>
  <c r="Q121" i="22"/>
  <c r="T121" i="22" s="1"/>
  <c r="L6" i="46"/>
  <c r="J6" i="46"/>
  <c r="R36" i="10"/>
  <c r="I6" i="46"/>
  <c r="R36" i="9"/>
  <c r="H6" i="46"/>
  <c r="R36" i="8"/>
  <c r="G9" i="46"/>
  <c r="G6" i="46"/>
  <c r="F12" i="46"/>
  <c r="R50" i="6"/>
  <c r="F6" i="46"/>
  <c r="R36" i="6"/>
  <c r="K147" i="27"/>
  <c r="K375" i="27" s="1"/>
  <c r="Q169" i="10"/>
  <c r="Q265" i="22"/>
  <c r="F147" i="27"/>
  <c r="M374" i="27"/>
  <c r="M147" i="27"/>
  <c r="M375" i="27" s="1"/>
  <c r="O147" i="27"/>
  <c r="G374" i="27"/>
  <c r="G147" i="27"/>
  <c r="G375" i="27" s="1"/>
  <c r="L374" i="27"/>
  <c r="L147" i="27"/>
  <c r="P374" i="27"/>
  <c r="H356" i="27"/>
  <c r="F79" i="27"/>
  <c r="I88" i="27"/>
  <c r="K88" i="27"/>
  <c r="L88" i="27"/>
  <c r="L364" i="27" s="1"/>
  <c r="J88" i="27"/>
  <c r="Q174" i="32"/>
  <c r="J392" i="27"/>
  <c r="J23" i="28"/>
  <c r="M117" i="27"/>
  <c r="H358" i="27"/>
  <c r="G63" i="27"/>
  <c r="G360" i="27" s="1"/>
  <c r="M88" i="27"/>
  <c r="M364" i="27" s="1"/>
  <c r="I117" i="27"/>
  <c r="J79" i="27"/>
  <c r="L36" i="27"/>
  <c r="L352" i="27" s="1"/>
  <c r="Q115" i="32"/>
  <c r="T115" i="32" s="1"/>
  <c r="Q88" i="32"/>
  <c r="T88" i="32" s="1"/>
  <c r="Q84" i="10"/>
  <c r="T84" i="10" s="1"/>
  <c r="Q63" i="22"/>
  <c r="T63" i="22" s="1"/>
  <c r="Q67" i="8"/>
  <c r="T67" i="8" s="1"/>
  <c r="Q84" i="9"/>
  <c r="T84" i="9" s="1"/>
  <c r="G354" i="27"/>
  <c r="K63" i="27"/>
  <c r="K360" i="27" s="1"/>
  <c r="Q88" i="31"/>
  <c r="T88" i="31" s="1"/>
  <c r="K50" i="27"/>
  <c r="Q79" i="9"/>
  <c r="T79" i="9" s="1"/>
  <c r="Q266" i="9"/>
  <c r="P98" i="27"/>
  <c r="P103" i="27" s="1"/>
  <c r="K374" i="27"/>
  <c r="F374" i="27"/>
  <c r="O374" i="27"/>
  <c r="Q252" i="22"/>
  <c r="G50" i="27"/>
  <c r="G355" i="27" s="1"/>
  <c r="O63" i="27"/>
  <c r="J117" i="27"/>
  <c r="I371" i="27"/>
  <c r="L23" i="28"/>
  <c r="L104" i="28" s="1"/>
  <c r="K356" i="27"/>
  <c r="O354" i="27"/>
  <c r="P356" i="27"/>
  <c r="P358" i="27"/>
  <c r="I84" i="27"/>
  <c r="N79" i="27"/>
  <c r="Q224" i="8"/>
  <c r="O50" i="27"/>
  <c r="Q88" i="9"/>
  <c r="T88" i="9" s="1"/>
  <c r="Q115" i="31"/>
  <c r="T115" i="31" s="1"/>
  <c r="Q84" i="31"/>
  <c r="T84" i="31" s="1"/>
  <c r="Q84" i="6"/>
  <c r="E366" i="27"/>
  <c r="Q67" i="6"/>
  <c r="T67" i="6" s="1"/>
  <c r="E84" i="27"/>
  <c r="Q115" i="8"/>
  <c r="T115" i="8" s="1"/>
  <c r="F348" i="27"/>
  <c r="Q121" i="8"/>
  <c r="T121" i="8" s="1"/>
  <c r="Q84" i="8"/>
  <c r="T84" i="8" s="1"/>
  <c r="I36" i="27"/>
  <c r="K117" i="27"/>
  <c r="Q170" i="32"/>
  <c r="Q219" i="8"/>
  <c r="Q248" i="22"/>
  <c r="Q88" i="8"/>
  <c r="T88" i="8" s="1"/>
  <c r="Q88" i="10"/>
  <c r="T88" i="10" s="1"/>
  <c r="Q155" i="32"/>
  <c r="Q242" i="8"/>
  <c r="Q173" i="10"/>
  <c r="G392" i="27"/>
  <c r="Q254" i="9"/>
  <c r="Q121" i="31"/>
  <c r="T121" i="31" s="1"/>
  <c r="Q115" i="6"/>
  <c r="T115" i="6" s="1"/>
  <c r="Q103" i="8"/>
  <c r="T103" i="8" s="1"/>
  <c r="Q84" i="22"/>
  <c r="T84" i="22" s="1"/>
  <c r="Q103" i="22"/>
  <c r="T103" i="22" s="1"/>
  <c r="Q269" i="9"/>
  <c r="Q115" i="9"/>
  <c r="T115" i="9" s="1"/>
  <c r="Q241" i="8"/>
  <c r="Q155" i="31"/>
  <c r="I348" i="27"/>
  <c r="Q121" i="10"/>
  <c r="T121" i="10" s="1"/>
  <c r="Q79" i="10"/>
  <c r="T79" i="10" s="1"/>
  <c r="Q157" i="32"/>
  <c r="Q173" i="32"/>
  <c r="Q243" i="9"/>
  <c r="Q167" i="10"/>
  <c r="I351" i="27"/>
  <c r="Q268" i="9"/>
  <c r="Q144" i="31"/>
  <c r="Q170" i="10"/>
  <c r="Q162" i="32"/>
  <c r="Q267" i="22"/>
  <c r="Q269" i="22"/>
  <c r="Q84" i="32"/>
  <c r="T84" i="32" s="1"/>
  <c r="Q252" i="9"/>
  <c r="I349" i="27"/>
  <c r="Q169" i="32"/>
  <c r="K392" i="27"/>
  <c r="Q88" i="6"/>
  <c r="Q115" i="22"/>
  <c r="T115" i="22" s="1"/>
  <c r="Q147" i="32"/>
  <c r="Q250" i="22"/>
  <c r="Q169" i="31"/>
  <c r="Q67" i="9"/>
  <c r="T67" i="9" s="1"/>
  <c r="T67" i="10"/>
  <c r="Q103" i="31"/>
  <c r="T103" i="31" s="1"/>
  <c r="Q233" i="8"/>
  <c r="Q148" i="10"/>
  <c r="Q238" i="8"/>
  <c r="Q88" i="22"/>
  <c r="T88" i="22" s="1"/>
  <c r="Q15" i="31"/>
  <c r="Q260" i="9"/>
  <c r="Q15" i="32"/>
  <c r="T15" i="32" s="1"/>
  <c r="Q266" i="22"/>
  <c r="Q234" i="8"/>
  <c r="Q243" i="8"/>
  <c r="Q63" i="6"/>
  <c r="Q225" i="8"/>
  <c r="Q245" i="8"/>
  <c r="Q246" i="9"/>
  <c r="M63" i="27"/>
  <c r="M360" i="27" s="1"/>
  <c r="Q258" i="22"/>
  <c r="Q259" i="22"/>
  <c r="Q270" i="22"/>
  <c r="Q244" i="22"/>
  <c r="M50" i="27"/>
  <c r="M355" i="27" s="1"/>
  <c r="M350" i="27"/>
  <c r="M348" i="27"/>
  <c r="J362" i="27"/>
  <c r="N392" i="27"/>
  <c r="Q15" i="22"/>
  <c r="T15" i="22" s="1"/>
  <c r="L354" i="27"/>
  <c r="Q63" i="32"/>
  <c r="T63" i="32" s="1"/>
  <c r="H63" i="27"/>
  <c r="Q63" i="31"/>
  <c r="T63" i="31" s="1"/>
  <c r="Q63" i="10"/>
  <c r="T63" i="10" s="1"/>
  <c r="Q63" i="9"/>
  <c r="T63" i="9" s="1"/>
  <c r="Q63" i="8"/>
  <c r="T63" i="8" s="1"/>
  <c r="L63" i="27"/>
  <c r="N36" i="27"/>
  <c r="N352" i="27" s="1"/>
  <c r="I50" i="27"/>
  <c r="I355" i="27" s="1"/>
  <c r="I63" i="27"/>
  <c r="G88" i="27"/>
  <c r="G364" i="27" s="1"/>
  <c r="O88" i="27"/>
  <c r="O364" i="27" s="1"/>
  <c r="E392" i="27"/>
  <c r="F392" i="27"/>
  <c r="Q79" i="6"/>
  <c r="T79" i="6" s="1"/>
  <c r="E79" i="27"/>
  <c r="E362" i="27"/>
  <c r="M103" i="27"/>
  <c r="I103" i="27"/>
  <c r="N84" i="27"/>
  <c r="K36" i="27"/>
  <c r="K352" i="27" s="1"/>
  <c r="P63" i="27"/>
  <c r="F88" i="27"/>
  <c r="N88" i="27"/>
  <c r="J84" i="27"/>
  <c r="O36" i="27"/>
  <c r="O352" i="27" s="1"/>
  <c r="J50" i="27"/>
  <c r="J355" i="27" s="1"/>
  <c r="L79" i="27"/>
  <c r="H88" i="27"/>
  <c r="P88" i="27"/>
  <c r="K103" i="27"/>
  <c r="Q103" i="6"/>
  <c r="T103" i="6" s="1"/>
  <c r="H103" i="27"/>
  <c r="Q166" i="32"/>
  <c r="N366" i="27"/>
  <c r="Q166" i="31"/>
  <c r="Q103" i="32"/>
  <c r="T103" i="32" s="1"/>
  <c r="P36" i="27"/>
  <c r="Q222" i="8"/>
  <c r="Q156" i="10"/>
  <c r="Q227" i="8"/>
  <c r="Q160" i="31"/>
  <c r="Q161" i="10"/>
  <c r="Q145" i="10"/>
  <c r="Q216" i="8"/>
  <c r="E350" i="27"/>
  <c r="Q147" i="31"/>
  <c r="Q171" i="10"/>
  <c r="Q115" i="10"/>
  <c r="T115" i="10" s="1"/>
  <c r="Q121" i="32"/>
  <c r="T121" i="32" s="1"/>
  <c r="Q174" i="10"/>
  <c r="Q121" i="6"/>
  <c r="P43" i="27"/>
  <c r="O117" i="27"/>
  <c r="Q268" i="22"/>
  <c r="Q172" i="10"/>
  <c r="Q244" i="8"/>
  <c r="Q171" i="32"/>
  <c r="Q270" i="9"/>
  <c r="Q164" i="10"/>
  <c r="Q163" i="32"/>
  <c r="Q261" i="9"/>
  <c r="Q161" i="32"/>
  <c r="Q162" i="31"/>
  <c r="Q256" i="9"/>
  <c r="Q149" i="10"/>
  <c r="Q148" i="32"/>
  <c r="Q249" i="9"/>
  <c r="Q144" i="10"/>
  <c r="Q143" i="32"/>
  <c r="Q143" i="31"/>
  <c r="Q148" i="31"/>
  <c r="M349" i="27"/>
  <c r="Q246" i="22"/>
  <c r="Q221" i="8"/>
  <c r="Q247" i="9"/>
  <c r="Q151" i="10"/>
  <c r="F351" i="27"/>
  <c r="Q152" i="10"/>
  <c r="Q247" i="22"/>
  <c r="Q245" i="22"/>
  <c r="Q220" i="8"/>
  <c r="Q150" i="32"/>
  <c r="Q248" i="9"/>
  <c r="Q150" i="10"/>
  <c r="Q149" i="32"/>
  <c r="Q249" i="22"/>
  <c r="Q154" i="10"/>
  <c r="Q153" i="32"/>
  <c r="Q153" i="31"/>
  <c r="N50" i="27"/>
  <c r="N355" i="27" s="1"/>
  <c r="Q154" i="31"/>
  <c r="L358" i="27"/>
  <c r="Q254" i="22"/>
  <c r="Q229" i="8"/>
  <c r="Q256" i="22"/>
  <c r="Q159" i="32"/>
  <c r="Q160" i="10"/>
  <c r="Q158" i="10"/>
  <c r="Q258" i="9"/>
  <c r="Q231" i="8"/>
  <c r="Q159" i="31"/>
  <c r="Q157" i="31"/>
  <c r="Q251" i="22"/>
  <c r="Q253" i="9"/>
  <c r="Q154" i="32"/>
  <c r="Q226" i="8"/>
  <c r="Q155" i="10"/>
  <c r="Q251" i="9"/>
  <c r="Q223" i="8"/>
  <c r="Q250" i="9"/>
  <c r="J36" i="27"/>
  <c r="Q149" i="31"/>
  <c r="M351" i="27"/>
  <c r="I350" i="27"/>
  <c r="F349" i="27"/>
  <c r="Q151" i="31"/>
  <c r="M36" i="27"/>
  <c r="M352" i="27" s="1"/>
  <c r="Q150" i="31"/>
  <c r="Q265" i="9"/>
  <c r="Q263" i="22"/>
  <c r="Q103" i="9"/>
  <c r="T103" i="9" s="1"/>
  <c r="Q103" i="10"/>
  <c r="T103" i="10" s="1"/>
  <c r="G84" i="27"/>
  <c r="Q83" i="28"/>
  <c r="K84" i="27"/>
  <c r="E103" i="27"/>
  <c r="F117" i="27"/>
  <c r="N349" i="27"/>
  <c r="N351" i="27"/>
  <c r="N350" i="27"/>
  <c r="J348" i="27"/>
  <c r="J103" i="27"/>
  <c r="E117" i="27"/>
  <c r="N117" i="27"/>
  <c r="J371" i="27"/>
  <c r="K366" i="27"/>
  <c r="O392" i="27"/>
  <c r="Q33" i="27"/>
  <c r="K43" i="27"/>
  <c r="K353" i="27" s="1"/>
  <c r="O43" i="27"/>
  <c r="E50" i="27"/>
  <c r="Q62" i="27"/>
  <c r="Q172" i="32"/>
  <c r="Q162" i="10"/>
  <c r="Q161" i="31"/>
  <c r="Q171" i="31"/>
  <c r="Q172" i="31"/>
  <c r="Q163" i="10"/>
  <c r="Q60" i="27"/>
  <c r="H84" i="27"/>
  <c r="L84" i="27"/>
  <c r="Q87" i="27"/>
  <c r="Q99" i="27"/>
  <c r="Q100" i="27"/>
  <c r="F43" i="27"/>
  <c r="F353" i="27" s="1"/>
  <c r="Q143" i="28"/>
  <c r="Q66" i="28"/>
  <c r="F23" i="28"/>
  <c r="F53" i="28" s="1"/>
  <c r="F90" i="27" s="1"/>
  <c r="P23" i="28"/>
  <c r="N23" i="28"/>
  <c r="N53" i="28" s="1"/>
  <c r="N90" i="27" s="1"/>
  <c r="H23" i="28"/>
  <c r="H104" i="28" s="1"/>
  <c r="O84" i="27"/>
  <c r="F103" i="27"/>
  <c r="H351" i="27"/>
  <c r="N103" i="27"/>
  <c r="G103" i="27"/>
  <c r="Q144" i="28"/>
  <c r="P351" i="27"/>
  <c r="H349" i="27"/>
  <c r="P79" i="27"/>
  <c r="F356" i="27"/>
  <c r="L350" i="27"/>
  <c r="G117" i="27"/>
  <c r="P349" i="27"/>
  <c r="N358" i="27"/>
  <c r="O103" i="27"/>
  <c r="E63" i="27"/>
  <c r="J43" i="27"/>
  <c r="N43" i="27"/>
  <c r="N353" i="27" s="1"/>
  <c r="J63" i="27"/>
  <c r="N63" i="27"/>
  <c r="K371" i="27"/>
  <c r="L366" i="27"/>
  <c r="L362" i="27"/>
  <c r="N354" i="27"/>
  <c r="K368" i="27"/>
  <c r="L348" i="27"/>
  <c r="Q45" i="27"/>
  <c r="S45" i="27" s="1"/>
  <c r="H79" i="27"/>
  <c r="Q145" i="28"/>
  <c r="Q13" i="28"/>
  <c r="Q21" i="28"/>
  <c r="Q35" i="28"/>
  <c r="Q42" i="28"/>
  <c r="Q49" i="28"/>
  <c r="Q62" i="28"/>
  <c r="Q102" i="28"/>
  <c r="Q116" i="28"/>
  <c r="Q21" i="27"/>
  <c r="S21" i="27" s="1"/>
  <c r="Q29" i="27"/>
  <c r="S29" i="27" s="1"/>
  <c r="Q31" i="27"/>
  <c r="S31" i="27" s="1"/>
  <c r="G36" i="27"/>
  <c r="G352" i="27" s="1"/>
  <c r="Q41" i="27"/>
  <c r="F50" i="27"/>
  <c r="Q61" i="27"/>
  <c r="M23" i="28"/>
  <c r="K23" i="28"/>
  <c r="I23" i="28"/>
  <c r="I104" i="28" s="1"/>
  <c r="Q69" i="27"/>
  <c r="S69" i="27" s="1"/>
  <c r="P84" i="27"/>
  <c r="Q83" i="27"/>
  <c r="Q116" i="27"/>
  <c r="M84" i="27"/>
  <c r="Q12" i="27"/>
  <c r="S12" i="27" s="1"/>
  <c r="F63" i="27"/>
  <c r="Q146" i="28"/>
  <c r="Q75" i="27"/>
  <c r="Q77" i="27"/>
  <c r="F362" i="27"/>
  <c r="I362" i="27"/>
  <c r="I79" i="27"/>
  <c r="M79" i="27"/>
  <c r="M362" i="27"/>
  <c r="Q81" i="27"/>
  <c r="Q82" i="27"/>
  <c r="F84" i="27"/>
  <c r="Q86" i="27"/>
  <c r="E88" i="27"/>
  <c r="F366" i="27"/>
  <c r="I366" i="27"/>
  <c r="H368" i="27"/>
  <c r="L103" i="27"/>
  <c r="L368" i="27"/>
  <c r="H369" i="27"/>
  <c r="Q369" i="27" s="1"/>
  <c r="Q101" i="27"/>
  <c r="H370" i="27"/>
  <c r="Q370" i="27" s="1"/>
  <c r="Q102" i="27"/>
  <c r="H371" i="27"/>
  <c r="Q113" i="27"/>
  <c r="H117" i="27"/>
  <c r="L371" i="27"/>
  <c r="L117" i="27"/>
  <c r="P371" i="27"/>
  <c r="P117" i="27"/>
  <c r="H372" i="27"/>
  <c r="Q372" i="27" s="1"/>
  <c r="Q114" i="27"/>
  <c r="H373" i="27"/>
  <c r="Q373" i="27" s="1"/>
  <c r="Q115" i="27"/>
  <c r="E23" i="28"/>
  <c r="Q10" i="27"/>
  <c r="Q14" i="27"/>
  <c r="O348" i="27"/>
  <c r="G349" i="27"/>
  <c r="Q27" i="27"/>
  <c r="S27" i="27" s="1"/>
  <c r="K350" i="27"/>
  <c r="E36" i="27"/>
  <c r="Q34" i="27"/>
  <c r="F36" i="27"/>
  <c r="Q35" i="27"/>
  <c r="E43" i="27"/>
  <c r="Q40" i="27"/>
  <c r="F354" i="27"/>
  <c r="E356" i="27"/>
  <c r="Q52" i="27"/>
  <c r="S52" i="27" s="1"/>
  <c r="M356" i="27"/>
  <c r="Q56" i="27"/>
  <c r="S56" i="27" s="1"/>
  <c r="M358" i="27"/>
  <c r="I43" i="27"/>
  <c r="M43" i="27"/>
  <c r="P130" i="28"/>
  <c r="Q122" i="28"/>
  <c r="Q87" i="28"/>
  <c r="Q13" i="27"/>
  <c r="S13" i="27" s="1"/>
  <c r="G23" i="28"/>
  <c r="Q78" i="28"/>
  <c r="O23" i="28"/>
  <c r="O53" i="28" s="1"/>
  <c r="O90" i="27" s="1"/>
  <c r="F147" i="28"/>
  <c r="F148" i="28" s="1"/>
  <c r="J147" i="28"/>
  <c r="J148" i="28" s="1"/>
  <c r="J130" i="28"/>
  <c r="H147" i="28"/>
  <c r="H148" i="28" s="1"/>
  <c r="K130" i="28"/>
  <c r="Q48" i="27"/>
  <c r="Q49" i="27"/>
  <c r="Q38" i="27"/>
  <c r="P50" i="27"/>
  <c r="Q47" i="27"/>
  <c r="G348" i="27"/>
  <c r="K348" i="27"/>
  <c r="K349" i="27"/>
  <c r="G350" i="27"/>
  <c r="O350" i="27"/>
  <c r="G351" i="27"/>
  <c r="O351" i="27"/>
  <c r="I354" i="27"/>
  <c r="M354" i="27"/>
  <c r="L50" i="27"/>
  <c r="G43" i="27"/>
  <c r="H36" i="27"/>
  <c r="Q173" i="31"/>
  <c r="Q170" i="31"/>
  <c r="L43" i="27"/>
  <c r="Q42" i="27"/>
  <c r="H50" i="27"/>
  <c r="H43" i="27"/>
  <c r="H392" i="27"/>
  <c r="L392" i="27"/>
  <c r="P392" i="27"/>
  <c r="I392" i="27"/>
  <c r="M392" i="27"/>
  <c r="Q174" i="31"/>
  <c r="Q145" i="27"/>
  <c r="Q78" i="27"/>
  <c r="K79" i="27"/>
  <c r="Q363" i="27"/>
  <c r="O79" i="27"/>
  <c r="G79" i="27"/>
  <c r="Q271" i="22"/>
  <c r="Q240" i="22"/>
  <c r="R84" i="6" l="1"/>
  <c r="T84" i="6"/>
  <c r="R88" i="6"/>
  <c r="T88" i="6"/>
  <c r="R15" i="10"/>
  <c r="T15" i="10"/>
  <c r="R15" i="31"/>
  <c r="T15" i="31"/>
  <c r="R121" i="6"/>
  <c r="T121" i="6"/>
  <c r="R67" i="31"/>
  <c r="K16" i="46"/>
  <c r="K9" i="46"/>
  <c r="R43" i="31"/>
  <c r="R63" i="6"/>
  <c r="T63" i="6"/>
  <c r="F9" i="46"/>
  <c r="T43" i="6"/>
  <c r="L9" i="46"/>
  <c r="L12" i="46"/>
  <c r="R115" i="31"/>
  <c r="R88" i="31"/>
  <c r="R84" i="31"/>
  <c r="R79" i="31"/>
  <c r="R103" i="31"/>
  <c r="K12" i="46"/>
  <c r="R121" i="31"/>
  <c r="R63" i="31"/>
  <c r="R115" i="6"/>
  <c r="R84" i="10"/>
  <c r="J12" i="46"/>
  <c r="J9" i="46"/>
  <c r="R88" i="10"/>
  <c r="R115" i="10"/>
  <c r="R79" i="10"/>
  <c r="R121" i="10"/>
  <c r="R103" i="10"/>
  <c r="R79" i="9"/>
  <c r="I9" i="46"/>
  <c r="R88" i="9"/>
  <c r="R67" i="9"/>
  <c r="R84" i="9"/>
  <c r="R103" i="9"/>
  <c r="I12" i="46"/>
  <c r="R115" i="9"/>
  <c r="R103" i="8"/>
  <c r="R103" i="6"/>
  <c r="R84" i="8"/>
  <c r="R79" i="8"/>
  <c r="R115" i="8"/>
  <c r="R121" i="8"/>
  <c r="R50" i="8"/>
  <c r="R63" i="8"/>
  <c r="R88" i="8"/>
  <c r="H9" i="46"/>
  <c r="R79" i="6"/>
  <c r="E6" i="46"/>
  <c r="E8" i="46"/>
  <c r="R50" i="31"/>
  <c r="H12" i="46"/>
  <c r="R43" i="8"/>
  <c r="R43" i="10"/>
  <c r="R43" i="9"/>
  <c r="Q262" i="9"/>
  <c r="R43" i="6"/>
  <c r="R50" i="10"/>
  <c r="R50" i="9"/>
  <c r="H16" i="46"/>
  <c r="R67" i="8"/>
  <c r="F16" i="46"/>
  <c r="R67" i="6"/>
  <c r="L13" i="46"/>
  <c r="J13" i="46"/>
  <c r="R63" i="10"/>
  <c r="J16" i="46"/>
  <c r="R67" i="10"/>
  <c r="I13" i="46"/>
  <c r="R63" i="9"/>
  <c r="Q260" i="22"/>
  <c r="Q152" i="31"/>
  <c r="I364" i="27"/>
  <c r="J364" i="27"/>
  <c r="Q153" i="10"/>
  <c r="K104" i="28"/>
  <c r="J104" i="28"/>
  <c r="K53" i="28"/>
  <c r="K90" i="27" s="1"/>
  <c r="I16" i="46"/>
  <c r="G13" i="46"/>
  <c r="H13" i="46"/>
  <c r="F13" i="46"/>
  <c r="K13" i="46"/>
  <c r="J53" i="28"/>
  <c r="J90" i="27" s="1"/>
  <c r="K364" i="27"/>
  <c r="L53" i="28"/>
  <c r="L90" i="27" s="1"/>
  <c r="P368" i="27"/>
  <c r="Q368" i="27" s="1"/>
  <c r="Q98" i="27"/>
  <c r="K355" i="27"/>
  <c r="F355" i="27"/>
  <c r="O360" i="27"/>
  <c r="P364" i="27"/>
  <c r="Q235" i="8"/>
  <c r="I352" i="27"/>
  <c r="O355" i="27"/>
  <c r="L375" i="27"/>
  <c r="Q175" i="10"/>
  <c r="Q246" i="8"/>
  <c r="F375" i="27"/>
  <c r="P375" i="27"/>
  <c r="H364" i="27"/>
  <c r="Q163" i="31"/>
  <c r="N104" i="28"/>
  <c r="H53" i="28"/>
  <c r="Q152" i="32"/>
  <c r="Q232" i="8"/>
  <c r="I360" i="27"/>
  <c r="H360" i="27"/>
  <c r="F70" i="28"/>
  <c r="M53" i="28"/>
  <c r="M90" i="27" s="1"/>
  <c r="M104" i="28"/>
  <c r="F104" i="28"/>
  <c r="P53" i="28"/>
  <c r="P90" i="27" s="1"/>
  <c r="P104" i="28"/>
  <c r="Q259" i="9"/>
  <c r="O353" i="27"/>
  <c r="L360" i="27"/>
  <c r="N364" i="27"/>
  <c r="F364" i="27"/>
  <c r="P360" i="27"/>
  <c r="P352" i="27"/>
  <c r="J352" i="27"/>
  <c r="P353" i="27"/>
  <c r="F360" i="27"/>
  <c r="E355" i="27"/>
  <c r="Q356" i="27"/>
  <c r="Q362" i="27"/>
  <c r="Q63" i="27"/>
  <c r="S63" i="27" s="1"/>
  <c r="Q371" i="27"/>
  <c r="O104" i="28"/>
  <c r="N147" i="28"/>
  <c r="N148" i="28" s="1"/>
  <c r="Q36" i="27"/>
  <c r="S36" i="27" s="1"/>
  <c r="N130" i="28"/>
  <c r="G147" i="28"/>
  <c r="G148" i="28" s="1"/>
  <c r="E364" i="27"/>
  <c r="I147" i="28"/>
  <c r="I148" i="28" s="1"/>
  <c r="J353" i="27"/>
  <c r="Q88" i="27"/>
  <c r="S88" i="27" s="1"/>
  <c r="Q117" i="27"/>
  <c r="S117" i="27" s="1"/>
  <c r="H130" i="28"/>
  <c r="E360" i="27"/>
  <c r="I53" i="28"/>
  <c r="I90" i="27" s="1"/>
  <c r="Q358" i="27"/>
  <c r="G104" i="28"/>
  <c r="Q23" i="28"/>
  <c r="Q349" i="27"/>
  <c r="F130" i="28"/>
  <c r="Q84" i="27"/>
  <c r="S84" i="27" s="1"/>
  <c r="J360" i="27"/>
  <c r="N360" i="27"/>
  <c r="L147" i="28"/>
  <c r="L148" i="28" s="1"/>
  <c r="K147" i="28"/>
  <c r="K148" i="28" s="1"/>
  <c r="P147" i="28"/>
  <c r="P148" i="28" s="1"/>
  <c r="G130" i="28"/>
  <c r="M353" i="27"/>
  <c r="E353" i="27"/>
  <c r="E352" i="27"/>
  <c r="E104" i="28"/>
  <c r="E53" i="28"/>
  <c r="E90" i="27" s="1"/>
  <c r="I353" i="27"/>
  <c r="N70" i="28"/>
  <c r="F352" i="27"/>
  <c r="Q350" i="27"/>
  <c r="M147" i="28"/>
  <c r="M148" i="28" s="1"/>
  <c r="Q351" i="27"/>
  <c r="M130" i="28"/>
  <c r="G53" i="28"/>
  <c r="Q354" i="27"/>
  <c r="I130" i="28"/>
  <c r="L130" i="28"/>
  <c r="O70" i="28"/>
  <c r="O147" i="28"/>
  <c r="O148" i="28" s="1"/>
  <c r="O130" i="28"/>
  <c r="Q348" i="27"/>
  <c r="L355" i="27"/>
  <c r="Q50" i="27"/>
  <c r="S50" i="27" s="1"/>
  <c r="P355" i="27"/>
  <c r="H352" i="27"/>
  <c r="G353" i="27"/>
  <c r="H353" i="27"/>
  <c r="H355" i="27"/>
  <c r="Q43" i="27"/>
  <c r="S43" i="27" s="1"/>
  <c r="L353" i="27"/>
  <c r="Q79" i="27"/>
  <c r="S79" i="27" s="1"/>
  <c r="O375" i="27"/>
  <c r="E9" i="46" l="1"/>
  <c r="E12" i="46"/>
  <c r="G70" i="28"/>
  <c r="G90" i="27"/>
  <c r="H70" i="28"/>
  <c r="H107" i="28" s="1"/>
  <c r="H110" i="28" s="1"/>
  <c r="H124" i="28" s="1"/>
  <c r="H133" i="28" s="1"/>
  <c r="H90" i="27"/>
  <c r="E13" i="46"/>
  <c r="L70" i="28"/>
  <c r="L107" i="28" s="1"/>
  <c r="L110" i="28" s="1"/>
  <c r="L124" i="28" s="1"/>
  <c r="L133" i="28" s="1"/>
  <c r="J70" i="28"/>
  <c r="J107" i="28" s="1"/>
  <c r="J110" i="28" s="1"/>
  <c r="J124" i="28" s="1"/>
  <c r="J133" i="28" s="1"/>
  <c r="K70" i="28"/>
  <c r="K107" i="28" s="1"/>
  <c r="K110" i="28" s="1"/>
  <c r="K124" i="28" s="1"/>
  <c r="K133" i="28" s="1"/>
  <c r="N107" i="28"/>
  <c r="N110" i="28" s="1"/>
  <c r="N124" i="28" s="1"/>
  <c r="N133" i="28" s="1"/>
  <c r="I70" i="28"/>
  <c r="I107" i="28" s="1"/>
  <c r="I110" i="28" s="1"/>
  <c r="I124" i="28" s="1"/>
  <c r="I133" i="28" s="1"/>
  <c r="Q103" i="27"/>
  <c r="S103" i="27" s="1"/>
  <c r="P70" i="28"/>
  <c r="P107" i="28" s="1"/>
  <c r="P110" i="28" s="1"/>
  <c r="P124" i="28" s="1"/>
  <c r="P133" i="28" s="1"/>
  <c r="F107" i="28"/>
  <c r="F110" i="28" s="1"/>
  <c r="F124" i="28" s="1"/>
  <c r="F133" i="28" s="1"/>
  <c r="O107" i="28"/>
  <c r="O110" i="28" s="1"/>
  <c r="O124" i="28" s="1"/>
  <c r="O133" i="28" s="1"/>
  <c r="M70" i="28"/>
  <c r="M107" i="28" s="1"/>
  <c r="M110" i="28" s="1"/>
  <c r="M124" i="28" s="1"/>
  <c r="M133" i="28" s="1"/>
  <c r="Q364" i="27"/>
  <c r="Q89" i="28"/>
  <c r="Q104" i="28" s="1"/>
  <c r="Q360" i="27"/>
  <c r="Q352" i="27"/>
  <c r="G107" i="28"/>
  <c r="G110" i="28" s="1"/>
  <c r="G124" i="28" s="1"/>
  <c r="G133" i="28" s="1"/>
  <c r="E70" i="28"/>
  <c r="E107" i="28" s="1"/>
  <c r="E110" i="28" s="1"/>
  <c r="E124" i="28" s="1"/>
  <c r="Q53" i="28"/>
  <c r="Q355" i="27"/>
  <c r="E147" i="28"/>
  <c r="E148" i="28" s="1"/>
  <c r="E130" i="28"/>
  <c r="Q130" i="28"/>
  <c r="Q353" i="27"/>
  <c r="Q70" i="28" l="1"/>
  <c r="E133" i="28"/>
  <c r="Q147" i="28"/>
  <c r="Q148" i="28" s="1"/>
  <c r="Q107" i="28" l="1"/>
  <c r="Q110" i="28" s="1"/>
  <c r="Q124" i="28" l="1"/>
  <c r="Q133" i="28" l="1"/>
  <c r="E92" i="27" l="1"/>
  <c r="E365" i="27" l="1"/>
  <c r="F92" i="27"/>
  <c r="F365" i="27" l="1"/>
  <c r="G92" i="27"/>
  <c r="G365" i="27" l="1"/>
  <c r="H92" i="27"/>
  <c r="H365" i="27" l="1"/>
  <c r="I92" i="27"/>
  <c r="J92" i="27" l="1"/>
  <c r="I365" i="27"/>
  <c r="K92" i="27" l="1"/>
  <c r="J365" i="27"/>
  <c r="K365" i="27" l="1"/>
  <c r="L92" i="27"/>
  <c r="L365" i="27" l="1"/>
  <c r="M92" i="27"/>
  <c r="N92" i="27" l="1"/>
  <c r="M365" i="27"/>
  <c r="O92" i="27" l="1"/>
  <c r="N365" i="27"/>
  <c r="Q92" i="9" l="1"/>
  <c r="T92" i="9" s="1"/>
  <c r="Q92" i="31"/>
  <c r="T92" i="31" s="1"/>
  <c r="Q92" i="22"/>
  <c r="T92" i="22" s="1"/>
  <c r="Q92" i="32"/>
  <c r="T92" i="32" s="1"/>
  <c r="Q236" i="8"/>
  <c r="Q92" i="10"/>
  <c r="T92" i="10" s="1"/>
  <c r="O365" i="27"/>
  <c r="P92" i="27"/>
  <c r="Q92" i="6"/>
  <c r="T92" i="6" s="1"/>
  <c r="R92" i="31" l="1"/>
  <c r="R92" i="10"/>
  <c r="R92" i="9"/>
  <c r="R92" i="6"/>
  <c r="Q261" i="22"/>
  <c r="Q263" i="9"/>
  <c r="Q165" i="10"/>
  <c r="Q164" i="32"/>
  <c r="Q164" i="31"/>
  <c r="P365" i="27"/>
  <c r="Q365" i="27" s="1"/>
  <c r="Q92" i="27"/>
  <c r="S92" i="27" s="1"/>
  <c r="L58" i="32" l="1"/>
  <c r="L158" i="32" s="1"/>
  <c r="F58" i="32"/>
  <c r="F158" i="32" s="1"/>
  <c r="L58" i="31"/>
  <c r="L158" i="31" s="1"/>
  <c r="F58" i="31"/>
  <c r="F158" i="31" s="1"/>
  <c r="L58" i="10"/>
  <c r="L159" i="10" s="1"/>
  <c r="F58" i="10"/>
  <c r="F159" i="10" s="1"/>
  <c r="L58" i="9"/>
  <c r="L257" i="9" s="1"/>
  <c r="F58" i="9"/>
  <c r="F257" i="9" s="1"/>
  <c r="L58" i="8"/>
  <c r="L230" i="8" s="1"/>
  <c r="F58" i="8"/>
  <c r="F230" i="8" s="1"/>
  <c r="L58" i="22"/>
  <c r="L255" i="22" s="1"/>
  <c r="F58" i="22"/>
  <c r="F255" i="22" s="1"/>
  <c r="L58" i="6"/>
  <c r="L222" i="6" s="1"/>
  <c r="F58" i="6"/>
  <c r="F222" i="6" s="1"/>
  <c r="K58" i="32"/>
  <c r="K158" i="32" s="1"/>
  <c r="K58" i="31"/>
  <c r="K158" i="31" s="1"/>
  <c r="K58" i="10"/>
  <c r="K159" i="10" s="1"/>
  <c r="K58" i="9"/>
  <c r="K257" i="9" s="1"/>
  <c r="K58" i="8"/>
  <c r="K230" i="8" s="1"/>
  <c r="K58" i="22"/>
  <c r="K255" i="22" s="1"/>
  <c r="K58" i="6"/>
  <c r="K222" i="6" s="1"/>
  <c r="P58" i="32"/>
  <c r="P158" i="32" s="1"/>
  <c r="J58" i="32"/>
  <c r="J158" i="32" s="1"/>
  <c r="P58" i="31"/>
  <c r="P158" i="31" s="1"/>
  <c r="J58" i="31"/>
  <c r="J158" i="31" s="1"/>
  <c r="P58" i="10"/>
  <c r="P159" i="10" s="1"/>
  <c r="J58" i="10"/>
  <c r="J159" i="10" s="1"/>
  <c r="P58" i="9"/>
  <c r="P257" i="9" s="1"/>
  <c r="J58" i="9"/>
  <c r="J257" i="9" s="1"/>
  <c r="P58" i="8"/>
  <c r="P230" i="8" s="1"/>
  <c r="J58" i="8"/>
  <c r="J230" i="8" s="1"/>
  <c r="P58" i="22"/>
  <c r="P255" i="22" s="1"/>
  <c r="J58" i="22"/>
  <c r="J255" i="22" s="1"/>
  <c r="P58" i="6"/>
  <c r="P222" i="6" s="1"/>
  <c r="J58" i="6"/>
  <c r="J222" i="6" s="1"/>
  <c r="O58" i="32"/>
  <c r="O158" i="32" s="1"/>
  <c r="I58" i="32"/>
  <c r="I158" i="32" s="1"/>
  <c r="O58" i="31"/>
  <c r="O158" i="31" s="1"/>
  <c r="I58" i="31"/>
  <c r="I158" i="31" s="1"/>
  <c r="O58" i="10"/>
  <c r="O159" i="10" s="1"/>
  <c r="I58" i="10"/>
  <c r="I159" i="10" s="1"/>
  <c r="O58" i="9"/>
  <c r="O257" i="9" s="1"/>
  <c r="I58" i="9"/>
  <c r="I257" i="9" s="1"/>
  <c r="O58" i="8"/>
  <c r="O230" i="8" s="1"/>
  <c r="I58" i="8"/>
  <c r="I230" i="8" s="1"/>
  <c r="O58" i="22"/>
  <c r="O255" i="22" s="1"/>
  <c r="I58" i="22"/>
  <c r="I255" i="22" s="1"/>
  <c r="O58" i="6"/>
  <c r="O222" i="6" s="1"/>
  <c r="I58" i="6"/>
  <c r="I222" i="6" s="1"/>
  <c r="N58" i="32"/>
  <c r="N158" i="32" s="1"/>
  <c r="H58" i="32"/>
  <c r="H158" i="32" s="1"/>
  <c r="N58" i="31"/>
  <c r="N158" i="31" s="1"/>
  <c r="H58" i="31"/>
  <c r="H158" i="31" s="1"/>
  <c r="N58" i="10"/>
  <c r="N159" i="10" s="1"/>
  <c r="H58" i="10"/>
  <c r="H159" i="10" s="1"/>
  <c r="N58" i="9"/>
  <c r="N257" i="9" s="1"/>
  <c r="H58" i="9"/>
  <c r="H257" i="9" s="1"/>
  <c r="N58" i="8"/>
  <c r="N230" i="8" s="1"/>
  <c r="H58" i="8"/>
  <c r="H230" i="8" s="1"/>
  <c r="N58" i="22"/>
  <c r="N255" i="22" s="1"/>
  <c r="H58" i="22"/>
  <c r="H255" i="22" s="1"/>
  <c r="N58" i="6"/>
  <c r="N222" i="6" s="1"/>
  <c r="H58" i="6"/>
  <c r="H222" i="6" s="1"/>
  <c r="M58" i="32"/>
  <c r="M158" i="32" s="1"/>
  <c r="G58" i="32"/>
  <c r="G158" i="32" s="1"/>
  <c r="M58" i="31"/>
  <c r="M158" i="31" s="1"/>
  <c r="G58" i="31"/>
  <c r="G158" i="31" s="1"/>
  <c r="M58" i="10"/>
  <c r="M159" i="10" s="1"/>
  <c r="G58" i="10"/>
  <c r="G159" i="10" s="1"/>
  <c r="M58" i="9"/>
  <c r="M257" i="9" s="1"/>
  <c r="G58" i="9"/>
  <c r="G257" i="9" s="1"/>
  <c r="M58" i="8"/>
  <c r="M230" i="8" s="1"/>
  <c r="G58" i="8"/>
  <c r="G230" i="8" s="1"/>
  <c r="M58" i="22"/>
  <c r="M255" i="22" s="1"/>
  <c r="G58" i="22"/>
  <c r="G255" i="22" s="1"/>
  <c r="M58" i="6"/>
  <c r="M222" i="6" s="1"/>
  <c r="E58" i="8" l="1"/>
  <c r="E230" i="8" s="1"/>
  <c r="M58" i="27"/>
  <c r="P58" i="27"/>
  <c r="J58" i="27"/>
  <c r="H58" i="27"/>
  <c r="E58" i="6"/>
  <c r="E222" i="6" s="1"/>
  <c r="G58" i="6"/>
  <c r="G222" i="6" s="1"/>
  <c r="E58" i="9"/>
  <c r="E257" i="9" s="1"/>
  <c r="E58" i="32"/>
  <c r="E158" i="32" s="1"/>
  <c r="E58" i="31"/>
  <c r="E158" i="31" s="1"/>
  <c r="N58" i="27"/>
  <c r="K58" i="27"/>
  <c r="I58" i="27"/>
  <c r="E58" i="22"/>
  <c r="E255" i="22" s="1"/>
  <c r="E58" i="10"/>
  <c r="F58" i="27"/>
  <c r="O58" i="27"/>
  <c r="L58" i="27"/>
  <c r="Q222" i="6" l="1"/>
  <c r="E159" i="10"/>
  <c r="Q159" i="10" s="1"/>
  <c r="Q58" i="10"/>
  <c r="I359" i="27"/>
  <c r="P359" i="27"/>
  <c r="L359" i="27"/>
  <c r="T58" i="10"/>
  <c r="Q58" i="6"/>
  <c r="E58" i="27"/>
  <c r="N359" i="27"/>
  <c r="Q158" i="32"/>
  <c r="Q58" i="32"/>
  <c r="T58" i="32" s="1"/>
  <c r="H359" i="27"/>
  <c r="G58" i="27"/>
  <c r="F359" i="27"/>
  <c r="Q255" i="22"/>
  <c r="Q58" i="22"/>
  <c r="T58" i="22" s="1"/>
  <c r="M359" i="27"/>
  <c r="Q230" i="8"/>
  <c r="Q58" i="8"/>
  <c r="T58" i="8" s="1"/>
  <c r="O359" i="27"/>
  <c r="Q58" i="31"/>
  <c r="T58" i="31" s="1"/>
  <c r="Q158" i="31"/>
  <c r="Q58" i="9"/>
  <c r="T58" i="9" s="1"/>
  <c r="Q257" i="9"/>
  <c r="K359" i="27"/>
  <c r="J359" i="27"/>
  <c r="R58" i="6" l="1"/>
  <c r="T58" i="6"/>
  <c r="R58" i="31"/>
  <c r="R58" i="10"/>
  <c r="R58" i="9"/>
  <c r="R58" i="8"/>
  <c r="G359" i="27"/>
  <c r="E359" i="27"/>
  <c r="Q58" i="27"/>
  <c r="S58" i="27" s="1"/>
  <c r="Q359" i="27" l="1"/>
  <c r="E96" i="27"/>
  <c r="F96" i="27" l="1"/>
  <c r="E367" i="27"/>
  <c r="F367" i="27" l="1"/>
  <c r="G96" i="27"/>
  <c r="G367" i="27" l="1"/>
  <c r="H96" i="27"/>
  <c r="H367" i="27" l="1"/>
  <c r="I96" i="27"/>
  <c r="I367" i="27" l="1"/>
  <c r="J96" i="27"/>
  <c r="J367" i="27" l="1"/>
  <c r="K96" i="27"/>
  <c r="K367" i="27" l="1"/>
  <c r="L96" i="27"/>
  <c r="M96" i="27" l="1"/>
  <c r="L367" i="27"/>
  <c r="N96" i="27" l="1"/>
  <c r="M367" i="27"/>
  <c r="O96" i="27" l="1"/>
  <c r="N367" i="27"/>
  <c r="O367" i="27" l="1"/>
  <c r="P96" i="27"/>
  <c r="Q96" i="6"/>
  <c r="T96" i="6" s="1"/>
  <c r="R96" i="6" l="1"/>
  <c r="P367" i="27"/>
  <c r="Q96" i="27"/>
  <c r="S96" i="27" s="1"/>
  <c r="Q367" i="27" l="1"/>
  <c r="P126" i="8" l="1"/>
  <c r="P247" i="8" s="1"/>
  <c r="O126" i="8"/>
  <c r="O247" i="8" s="1"/>
  <c r="N126" i="8"/>
  <c r="N247" i="8" s="1"/>
  <c r="M126" i="8"/>
  <c r="M247" i="8" s="1"/>
  <c r="L126" i="8"/>
  <c r="L247" i="8" s="1"/>
  <c r="K126" i="8"/>
  <c r="K247" i="8" s="1"/>
  <c r="J126" i="8"/>
  <c r="J247" i="8" s="1"/>
  <c r="I126" i="8"/>
  <c r="I247" i="8" s="1"/>
  <c r="P126" i="9"/>
  <c r="P274" i="9" s="1"/>
  <c r="P126" i="22"/>
  <c r="P272" i="22" s="1"/>
  <c r="P126" i="32"/>
  <c r="P126" i="31"/>
  <c r="P175" i="31" s="1"/>
  <c r="P126" i="10"/>
  <c r="P176" i="10" s="1"/>
  <c r="O126" i="31"/>
  <c r="O175" i="31" s="1"/>
  <c r="O126" i="32"/>
  <c r="O126" i="10"/>
  <c r="O176" i="10" s="1"/>
  <c r="O126" i="9"/>
  <c r="O274" i="9" s="1"/>
  <c r="O126" i="22"/>
  <c r="O272" i="22" s="1"/>
  <c r="N126" i="9"/>
  <c r="N274" i="9" s="1"/>
  <c r="N126" i="31"/>
  <c r="N175" i="31" s="1"/>
  <c r="N126" i="22"/>
  <c r="N272" i="22" s="1"/>
  <c r="N126" i="10"/>
  <c r="N176" i="10" s="1"/>
  <c r="N126" i="32"/>
  <c r="M126" i="31"/>
  <c r="M175" i="31" s="1"/>
  <c r="M126" i="9"/>
  <c r="M274" i="9" s="1"/>
  <c r="M126" i="32"/>
  <c r="M126" i="22"/>
  <c r="M272" i="22" s="1"/>
  <c r="M126" i="10"/>
  <c r="M176" i="10" s="1"/>
  <c r="L126" i="10"/>
  <c r="L176" i="10" s="1"/>
  <c r="L126" i="9"/>
  <c r="L274" i="9" s="1"/>
  <c r="L126" i="31"/>
  <c r="L175" i="31" s="1"/>
  <c r="L126" i="22"/>
  <c r="L272" i="22" s="1"/>
  <c r="L126" i="32"/>
  <c r="K126" i="10"/>
  <c r="K176" i="10" s="1"/>
  <c r="K126" i="32"/>
  <c r="K126" i="22"/>
  <c r="K272" i="22" s="1"/>
  <c r="K126" i="31"/>
  <c r="K175" i="31" s="1"/>
  <c r="K126" i="9"/>
  <c r="K274" i="9" s="1"/>
  <c r="J126" i="10"/>
  <c r="J176" i="10" s="1"/>
  <c r="J126" i="9"/>
  <c r="J274" i="9" s="1"/>
  <c r="J126" i="31"/>
  <c r="J175" i="31" s="1"/>
  <c r="J126" i="32"/>
  <c r="J126" i="22"/>
  <c r="J272" i="22" s="1"/>
  <c r="I126" i="31"/>
  <c r="I175" i="31" s="1"/>
  <c r="I126" i="22"/>
  <c r="I272" i="22" s="1"/>
  <c r="I126" i="32"/>
  <c r="I126" i="9"/>
  <c r="I274" i="9" s="1"/>
  <c r="I126" i="10"/>
  <c r="I176" i="10" s="1"/>
  <c r="M128" i="27" l="1"/>
  <c r="K128" i="27"/>
  <c r="L128" i="27"/>
  <c r="I128" i="27"/>
  <c r="J128" i="27"/>
  <c r="N128" i="27"/>
  <c r="P128" i="27"/>
  <c r="O128" i="27"/>
  <c r="M376" i="27"/>
  <c r="K376" i="27"/>
  <c r="J376" i="27" l="1"/>
  <c r="I376" i="27"/>
  <c r="N376" i="27"/>
  <c r="P376" i="27"/>
  <c r="O376" i="27"/>
  <c r="L376" i="27"/>
  <c r="M127" i="9" l="1"/>
  <c r="M127" i="22"/>
  <c r="O127" i="32"/>
  <c r="P127" i="31"/>
  <c r="P176" i="31" s="1"/>
  <c r="N127" i="22"/>
  <c r="O127" i="9"/>
  <c r="O127" i="10"/>
  <c r="N127" i="9"/>
  <c r="O127" i="22"/>
  <c r="L127" i="9"/>
  <c r="N127" i="8"/>
  <c r="N127" i="31"/>
  <c r="N176" i="31" s="1"/>
  <c r="N127" i="10"/>
  <c r="N177" i="10" s="1"/>
  <c r="M127" i="8"/>
  <c r="L127" i="8"/>
  <c r="P127" i="32"/>
  <c r="P129" i="32" s="1"/>
  <c r="O127" i="31"/>
  <c r="O176" i="31" s="1"/>
  <c r="M127" i="32"/>
  <c r="M127" i="10"/>
  <c r="M177" i="10" s="1"/>
  <c r="P127" i="10"/>
  <c r="P177" i="10" s="1"/>
  <c r="P127" i="9"/>
  <c r="L127" i="22"/>
  <c r="L127" i="31"/>
  <c r="L176" i="31" s="1"/>
  <c r="N127" i="32"/>
  <c r="N129" i="32" s="1"/>
  <c r="O127" i="8"/>
  <c r="P127" i="8"/>
  <c r="M127" i="31"/>
  <c r="M176" i="31" s="1"/>
  <c r="L127" i="10"/>
  <c r="L177" i="10" s="1"/>
  <c r="L127" i="32"/>
  <c r="P127" i="22"/>
  <c r="K127" i="10"/>
  <c r="K177" i="10" s="1"/>
  <c r="I127" i="9"/>
  <c r="K127" i="31"/>
  <c r="K176" i="31" s="1"/>
  <c r="I127" i="10"/>
  <c r="I177" i="10" s="1"/>
  <c r="K127" i="22"/>
  <c r="J127" i="31"/>
  <c r="J176" i="31" s="1"/>
  <c r="J127" i="22"/>
  <c r="K127" i="32"/>
  <c r="I127" i="31"/>
  <c r="I176" i="31" s="1"/>
  <c r="K127" i="8"/>
  <c r="I127" i="22"/>
  <c r="J127" i="10"/>
  <c r="J177" i="10" s="1"/>
  <c r="J127" i="32"/>
  <c r="J127" i="8"/>
  <c r="J129" i="8" s="1"/>
  <c r="I127" i="32"/>
  <c r="K127" i="9"/>
  <c r="I127" i="8"/>
  <c r="J127" i="9"/>
  <c r="O129" i="10" l="1"/>
  <c r="O177" i="10"/>
  <c r="M129" i="9"/>
  <c r="J129" i="27"/>
  <c r="J131" i="27" s="1"/>
  <c r="I129" i="27"/>
  <c r="I131" i="27" s="1"/>
  <c r="O129" i="27"/>
  <c r="O131" i="27" s="1"/>
  <c r="N129" i="27"/>
  <c r="N131" i="27" s="1"/>
  <c r="L129" i="27"/>
  <c r="L131" i="27" s="1"/>
  <c r="K129" i="22"/>
  <c r="K129" i="27"/>
  <c r="K131" i="27" s="1"/>
  <c r="M129" i="27"/>
  <c r="M131" i="27" s="1"/>
  <c r="P129" i="22"/>
  <c r="P129" i="27"/>
  <c r="P131" i="27" s="1"/>
  <c r="L129" i="9"/>
  <c r="P129" i="9"/>
  <c r="J129" i="10"/>
  <c r="J129" i="31"/>
  <c r="K129" i="31"/>
  <c r="M129" i="31"/>
  <c r="I129" i="31"/>
  <c r="L129" i="31"/>
  <c r="O129" i="32"/>
  <c r="I129" i="8"/>
  <c r="O129" i="8"/>
  <c r="L129" i="22"/>
  <c r="I129" i="9"/>
  <c r="L129" i="32"/>
  <c r="P377" i="27"/>
  <c r="N129" i="31"/>
  <c r="O129" i="31"/>
  <c r="P129" i="31"/>
  <c r="M129" i="10"/>
  <c r="N129" i="9"/>
  <c r="O129" i="9"/>
  <c r="L129" i="8"/>
  <c r="K129" i="8"/>
  <c r="M129" i="8"/>
  <c r="K129" i="9"/>
  <c r="J129" i="9"/>
  <c r="I129" i="32"/>
  <c r="J129" i="32"/>
  <c r="J129" i="22"/>
  <c r="P129" i="8"/>
  <c r="M129" i="32"/>
  <c r="N129" i="8"/>
  <c r="K129" i="32"/>
  <c r="I129" i="10"/>
  <c r="L129" i="10"/>
  <c r="P129" i="10"/>
  <c r="N129" i="10"/>
  <c r="N129" i="22"/>
  <c r="M129" i="22"/>
  <c r="K129" i="10"/>
  <c r="I129" i="22"/>
  <c r="O129" i="22"/>
  <c r="J377" i="27" l="1"/>
  <c r="I377" i="27"/>
  <c r="N377" i="27"/>
  <c r="L377" i="27"/>
  <c r="O377" i="27"/>
  <c r="M377" i="27"/>
  <c r="K377" i="27"/>
  <c r="J146" i="27" l="1"/>
  <c r="J121" i="9"/>
  <c r="J273" i="9" s="1"/>
  <c r="E144" i="27"/>
  <c r="E374" i="27" l="1"/>
  <c r="H146" i="27"/>
  <c r="H144" i="27"/>
  <c r="J144" i="27"/>
  <c r="Q117" i="9"/>
  <c r="T117" i="9" s="1"/>
  <c r="N144" i="27"/>
  <c r="I144" i="27"/>
  <c r="E146" i="27"/>
  <c r="E147" i="27" l="1"/>
  <c r="E152" i="27" s="1"/>
  <c r="F152" i="27" s="1"/>
  <c r="G152" i="27" s="1"/>
  <c r="R117" i="9"/>
  <c r="H147" i="27"/>
  <c r="N374" i="27"/>
  <c r="J374" i="27"/>
  <c r="J147" i="27"/>
  <c r="I374" i="27"/>
  <c r="H121" i="9"/>
  <c r="H273" i="9" s="1"/>
  <c r="N146" i="27"/>
  <c r="P15" i="9"/>
  <c r="K15" i="9"/>
  <c r="H374" i="27"/>
  <c r="Q272" i="9"/>
  <c r="Q144" i="27"/>
  <c r="H152" i="27" l="1"/>
  <c r="H375" i="27"/>
  <c r="E15" i="9"/>
  <c r="Q120" i="9"/>
  <c r="R120" i="9" s="1"/>
  <c r="N121" i="9"/>
  <c r="N273" i="9" s="1"/>
  <c r="J375" i="27"/>
  <c r="N147" i="27"/>
  <c r="I121" i="9"/>
  <c r="I273" i="9" s="1"/>
  <c r="I146" i="27"/>
  <c r="I147" i="27" s="1"/>
  <c r="F15" i="9"/>
  <c r="G15" i="9"/>
  <c r="N15" i="9"/>
  <c r="Q11" i="9"/>
  <c r="M15" i="9"/>
  <c r="H15" i="9"/>
  <c r="J15" i="9"/>
  <c r="I15" i="9"/>
  <c r="L15" i="9"/>
  <c r="O15" i="9"/>
  <c r="Q374" i="27"/>
  <c r="E375" i="27"/>
  <c r="Q232" i="9" l="1"/>
  <c r="Q168" i="9"/>
  <c r="T11" i="9"/>
  <c r="I152" i="27"/>
  <c r="J152" i="27" s="1"/>
  <c r="K152" i="27" s="1"/>
  <c r="L152" i="27" s="1"/>
  <c r="M152" i="27" s="1"/>
  <c r="N152" i="27" s="1"/>
  <c r="O152" i="27" s="1"/>
  <c r="P152" i="27" s="1"/>
  <c r="Q121" i="9"/>
  <c r="T121" i="9" s="1"/>
  <c r="Q15" i="9"/>
  <c r="R11" i="9"/>
  <c r="N375" i="27"/>
  <c r="Q146" i="27"/>
  <c r="Q273" i="9"/>
  <c r="Q241" i="9"/>
  <c r="E11" i="59" l="1"/>
  <c r="E18" i="59" s="1"/>
  <c r="E20" i="59" s="1"/>
  <c r="Q147" i="27"/>
  <c r="R15" i="9"/>
  <c r="T15" i="9"/>
  <c r="R121" i="9"/>
  <c r="I375" i="27"/>
  <c r="Q375" i="27" s="1"/>
  <c r="E19" i="10" l="1"/>
  <c r="E146" i="10" l="1"/>
  <c r="F19" i="10"/>
  <c r="F146" i="10" s="1"/>
  <c r="G19" i="10" l="1"/>
  <c r="G146" i="10" s="1"/>
  <c r="H19" i="10" l="1"/>
  <c r="H146" i="10" s="1"/>
  <c r="I19" i="10" l="1"/>
  <c r="I146" i="10" s="1"/>
  <c r="J19" i="10" l="1"/>
  <c r="J146" i="10" s="1"/>
  <c r="K19" i="10" l="1"/>
  <c r="K146" i="10" s="1"/>
  <c r="L19" i="10" l="1"/>
  <c r="L146" i="10" s="1"/>
  <c r="M19" i="10" l="1"/>
  <c r="M146" i="10" s="1"/>
  <c r="N19" i="10" l="1"/>
  <c r="N146" i="10" s="1"/>
  <c r="O19" i="10" l="1"/>
  <c r="O146" i="10" s="1"/>
  <c r="P19" i="10" l="1"/>
  <c r="P146" i="10" l="1"/>
  <c r="Q19" i="10"/>
  <c r="T19" i="10"/>
  <c r="R19" i="10" l="1"/>
  <c r="Q146" i="10"/>
  <c r="E19" i="32" l="1"/>
  <c r="F19" i="32" l="1"/>
  <c r="G19" i="32" l="1"/>
  <c r="H19" i="32" l="1"/>
  <c r="I19" i="32" l="1"/>
  <c r="J19" i="32" l="1"/>
  <c r="K19" i="32" l="1"/>
  <c r="L19" i="32" l="1"/>
  <c r="M19" i="32" l="1"/>
  <c r="N19" i="32" l="1"/>
  <c r="O19" i="32" l="1"/>
  <c r="P19" i="32" l="1"/>
  <c r="Q19" i="32" l="1"/>
  <c r="T19" i="32" s="1"/>
  <c r="Q145" i="32" l="1"/>
  <c r="E126" i="9" l="1"/>
  <c r="E274" i="9" s="1"/>
  <c r="E126" i="22"/>
  <c r="E272" i="22" s="1"/>
  <c r="E126" i="6"/>
  <c r="E239" i="6" s="1"/>
  <c r="E126" i="31"/>
  <c r="E175" i="31" s="1"/>
  <c r="E126" i="32"/>
  <c r="H126" i="8"/>
  <c r="H247" i="8" s="1"/>
  <c r="G126" i="8"/>
  <c r="G247" i="8" s="1"/>
  <c r="F126" i="8"/>
  <c r="F247" i="8" s="1"/>
  <c r="H126" i="22"/>
  <c r="H272" i="22" s="1"/>
  <c r="G126" i="22"/>
  <c r="G272" i="22" s="1"/>
  <c r="F126" i="22"/>
  <c r="F272" i="22" s="1"/>
  <c r="H126" i="31"/>
  <c r="H175" i="31" s="1"/>
  <c r="G126" i="31"/>
  <c r="G175" i="31" s="1"/>
  <c r="F126" i="31"/>
  <c r="F175" i="31" s="1"/>
  <c r="H126" i="6"/>
  <c r="H239" i="6" s="1"/>
  <c r="G126" i="6"/>
  <c r="G239" i="6" s="1"/>
  <c r="F126" i="6"/>
  <c r="F239" i="6" s="1"/>
  <c r="H126" i="32"/>
  <c r="G126" i="32"/>
  <c r="F126" i="32"/>
  <c r="H126" i="9"/>
  <c r="H274" i="9" s="1"/>
  <c r="G126" i="9"/>
  <c r="G274" i="9" s="1"/>
  <c r="H126" i="10"/>
  <c r="H176" i="10" s="1"/>
  <c r="G126" i="10"/>
  <c r="G176" i="10" s="1"/>
  <c r="E126" i="10"/>
  <c r="E176" i="10" s="1"/>
  <c r="Q239" i="6" l="1"/>
  <c r="H128" i="27"/>
  <c r="G128" i="27"/>
  <c r="F126" i="10"/>
  <c r="E126" i="8"/>
  <c r="E247" i="8" s="1"/>
  <c r="Q126" i="31"/>
  <c r="T126" i="31" s="1"/>
  <c r="Q126" i="6"/>
  <c r="F126" i="9"/>
  <c r="F274" i="9" s="1"/>
  <c r="Q126" i="32"/>
  <c r="T126" i="32" s="1"/>
  <c r="Q126" i="22"/>
  <c r="T126" i="22" s="1"/>
  <c r="Q126" i="10" l="1"/>
  <c r="T126" i="10" s="1"/>
  <c r="F176" i="10"/>
  <c r="Q176" i="10" s="1"/>
  <c r="Q126" i="9"/>
  <c r="T126" i="9" s="1"/>
  <c r="R126" i="6"/>
  <c r="T126" i="6"/>
  <c r="R126" i="31"/>
  <c r="R126" i="10"/>
  <c r="F128" i="27"/>
  <c r="E128" i="27"/>
  <c r="Q126" i="8"/>
  <c r="T126" i="8" s="1"/>
  <c r="E376" i="27"/>
  <c r="Q247" i="8"/>
  <c r="F376" i="27"/>
  <c r="G376" i="27"/>
  <c r="Q175" i="31"/>
  <c r="Q175" i="32"/>
  <c r="Q272" i="22"/>
  <c r="H376" i="27"/>
  <c r="R126" i="9" l="1"/>
  <c r="R126" i="8"/>
  <c r="Q128" i="27"/>
  <c r="S128" i="27" s="1"/>
  <c r="Q274" i="9"/>
  <c r="Q376" i="27"/>
  <c r="H127" i="22" l="1"/>
  <c r="G127" i="31"/>
  <c r="G176" i="31" s="1"/>
  <c r="G127" i="32"/>
  <c r="H127" i="8"/>
  <c r="H129" i="8" s="1"/>
  <c r="H127" i="31"/>
  <c r="H176" i="31" s="1"/>
  <c r="G127" i="10"/>
  <c r="F127" i="31"/>
  <c r="F176" i="31" s="1"/>
  <c r="F127" i="32"/>
  <c r="H127" i="10"/>
  <c r="H177" i="10" s="1"/>
  <c r="F127" i="10"/>
  <c r="F177" i="10" s="1"/>
  <c r="G127" i="8"/>
  <c r="H127" i="32"/>
  <c r="F127" i="8"/>
  <c r="G127" i="22"/>
  <c r="F127" i="22"/>
  <c r="F129" i="22" s="1"/>
  <c r="E127" i="31"/>
  <c r="E176" i="31" s="1"/>
  <c r="E127" i="22"/>
  <c r="E127" i="10"/>
  <c r="E177" i="10" s="1"/>
  <c r="G127" i="6"/>
  <c r="F127" i="6"/>
  <c r="H127" i="6"/>
  <c r="E127" i="6"/>
  <c r="H127" i="9"/>
  <c r="G127" i="9"/>
  <c r="F127" i="9"/>
  <c r="E127" i="9"/>
  <c r="G129" i="10" l="1"/>
  <c r="G177" i="10"/>
  <c r="Q127" i="9"/>
  <c r="R127" i="9" s="1"/>
  <c r="H129" i="27"/>
  <c r="H131" i="27" s="1"/>
  <c r="F129" i="27"/>
  <c r="F131" i="27" s="1"/>
  <c r="G129" i="27"/>
  <c r="G131" i="27" s="1"/>
  <c r="H129" i="10"/>
  <c r="G129" i="8"/>
  <c r="F129" i="8"/>
  <c r="F129" i="31"/>
  <c r="F129" i="9"/>
  <c r="H129" i="6"/>
  <c r="E129" i="31"/>
  <c r="Q127" i="31"/>
  <c r="T127" i="31" s="1"/>
  <c r="H129" i="9"/>
  <c r="G129" i="6"/>
  <c r="H129" i="32"/>
  <c r="F129" i="6"/>
  <c r="Q127" i="6"/>
  <c r="T127" i="6" s="1"/>
  <c r="G129" i="22"/>
  <c r="F129" i="10"/>
  <c r="E129" i="9"/>
  <c r="R128" i="9"/>
  <c r="F129" i="32"/>
  <c r="Q127" i="10"/>
  <c r="T127" i="10" s="1"/>
  <c r="E129" i="10"/>
  <c r="G129" i="31"/>
  <c r="Q127" i="22"/>
  <c r="T127" i="22" s="1"/>
  <c r="E129" i="22"/>
  <c r="H129" i="22"/>
  <c r="E127" i="8"/>
  <c r="E129" i="6"/>
  <c r="H129" i="31"/>
  <c r="G129" i="32"/>
  <c r="E127" i="32"/>
  <c r="G129" i="9"/>
  <c r="Q275" i="9" l="1"/>
  <c r="T127" i="9"/>
  <c r="Q129" i="9"/>
  <c r="E129" i="27"/>
  <c r="E131" i="27" s="1"/>
  <c r="Q129" i="31"/>
  <c r="T129" i="31" s="1"/>
  <c r="R127" i="31"/>
  <c r="Q129" i="10"/>
  <c r="T129" i="10" s="1"/>
  <c r="R127" i="10"/>
  <c r="Q129" i="6"/>
  <c r="R127" i="6"/>
  <c r="Q129" i="22"/>
  <c r="T129" i="22" s="1"/>
  <c r="Q127" i="32"/>
  <c r="T127" i="32" s="1"/>
  <c r="E129" i="32"/>
  <c r="H377" i="27"/>
  <c r="Q273" i="22"/>
  <c r="Q176" i="31"/>
  <c r="Q177" i="10"/>
  <c r="Q127" i="8"/>
  <c r="T127" i="8" s="1"/>
  <c r="E129" i="8"/>
  <c r="F377" i="27"/>
  <c r="G377" i="27"/>
  <c r="Q129" i="27" l="1"/>
  <c r="S129" i="27" s="1"/>
  <c r="R129" i="6"/>
  <c r="T129" i="6"/>
  <c r="T129" i="9"/>
  <c r="R129" i="9"/>
  <c r="R129" i="31"/>
  <c r="R129" i="10"/>
  <c r="Q129" i="32"/>
  <c r="T129" i="32" s="1"/>
  <c r="Q129" i="8"/>
  <c r="T129" i="8" s="1"/>
  <c r="R127" i="8"/>
  <c r="Q248" i="8"/>
  <c r="Q176" i="32"/>
  <c r="E377" i="27"/>
  <c r="Q131" i="27" l="1"/>
  <c r="S131" i="27" s="1"/>
  <c r="R129" i="8"/>
  <c r="Q377" i="27"/>
  <c r="E19" i="31" l="1"/>
  <c r="E145" i="31" s="1"/>
  <c r="F19" i="31" l="1"/>
  <c r="F145" i="31" s="1"/>
  <c r="G19" i="31" l="1"/>
  <c r="G145" i="31" s="1"/>
  <c r="H19" i="31" l="1"/>
  <c r="H145" i="31" s="1"/>
  <c r="I19" i="31" l="1"/>
  <c r="I145" i="31" s="1"/>
  <c r="J19" i="31" l="1"/>
  <c r="J145" i="31" s="1"/>
  <c r="K19" i="31" l="1"/>
  <c r="K145" i="31" s="1"/>
  <c r="L19" i="31" l="1"/>
  <c r="L145" i="31" s="1"/>
  <c r="M19" i="31" l="1"/>
  <c r="M145" i="31" s="1"/>
  <c r="N19" i="31" l="1"/>
  <c r="N145" i="31" s="1"/>
  <c r="O19" i="31" l="1"/>
  <c r="O145" i="31" s="1"/>
  <c r="P19" i="31" l="1"/>
  <c r="P145" i="31" s="1"/>
  <c r="Q19" i="31" l="1"/>
  <c r="T19" i="31" s="1"/>
  <c r="R19" i="31" l="1"/>
  <c r="Q145" i="31"/>
  <c r="E20" i="31" l="1"/>
  <c r="E146" i="31" s="1"/>
  <c r="F20" i="31" l="1"/>
  <c r="F146" i="31" s="1"/>
  <c r="E22" i="31"/>
  <c r="E24" i="31" l="1"/>
  <c r="G20" i="31"/>
  <c r="G146" i="31" s="1"/>
  <c r="F22" i="31"/>
  <c r="F24" i="31" s="1"/>
  <c r="H20" i="31" l="1"/>
  <c r="H146" i="31" s="1"/>
  <c r="G22" i="31"/>
  <c r="G24" i="31" s="1"/>
  <c r="F105" i="31"/>
  <c r="F54" i="31"/>
  <c r="F156" i="31" s="1"/>
  <c r="E54" i="31"/>
  <c r="E156" i="31" s="1"/>
  <c r="G105" i="31" l="1"/>
  <c r="G54" i="31"/>
  <c r="G156" i="31" s="1"/>
  <c r="I20" i="31"/>
  <c r="I146" i="31" s="1"/>
  <c r="H22" i="31"/>
  <c r="H24" i="31" s="1"/>
  <c r="E71" i="31"/>
  <c r="E105" i="31"/>
  <c r="F177" i="31"/>
  <c r="F71" i="31"/>
  <c r="F107" i="31" s="1"/>
  <c r="F109" i="31" s="1"/>
  <c r="F123" i="31" s="1"/>
  <c r="F131" i="31" s="1"/>
  <c r="F178" i="31" l="1"/>
  <c r="E107" i="31"/>
  <c r="G71" i="31"/>
  <c r="G107" i="31" s="1"/>
  <c r="G109" i="31" s="1"/>
  <c r="G123" i="31" s="1"/>
  <c r="G131" i="31" s="1"/>
  <c r="G177" i="31"/>
  <c r="E177" i="31"/>
  <c r="H54" i="31"/>
  <c r="H156" i="31" s="1"/>
  <c r="J20" i="31"/>
  <c r="J146" i="31" s="1"/>
  <c r="I22" i="31"/>
  <c r="I24" i="31" s="1"/>
  <c r="G178" i="31" l="1"/>
  <c r="I105" i="31"/>
  <c r="I54" i="31"/>
  <c r="I156" i="31" s="1"/>
  <c r="K20" i="31"/>
  <c r="K146" i="31" s="1"/>
  <c r="J22" i="31"/>
  <c r="J24" i="31" s="1"/>
  <c r="E109" i="31"/>
  <c r="H71" i="31"/>
  <c r="E123" i="31" l="1"/>
  <c r="I177" i="31"/>
  <c r="I71" i="31"/>
  <c r="I107" i="31" s="1"/>
  <c r="J54" i="31"/>
  <c r="J156" i="31" s="1"/>
  <c r="L20" i="31"/>
  <c r="L146" i="31" s="1"/>
  <c r="K22" i="31"/>
  <c r="K24" i="31" s="1"/>
  <c r="J105" i="31" l="1"/>
  <c r="I109" i="31"/>
  <c r="E131" i="31"/>
  <c r="E178" i="31" s="1"/>
  <c r="K105" i="31"/>
  <c r="K54" i="31"/>
  <c r="K156" i="31" s="1"/>
  <c r="J71" i="31"/>
  <c r="J177" i="31"/>
  <c r="M20" i="31"/>
  <c r="M146" i="31" s="1"/>
  <c r="L22" i="31"/>
  <c r="L24" i="31" s="1"/>
  <c r="K71" i="31" l="1"/>
  <c r="K107" i="31" s="1"/>
  <c r="K109" i="31" s="1"/>
  <c r="K123" i="31" s="1"/>
  <c r="K131" i="31" s="1"/>
  <c r="I123" i="31"/>
  <c r="L54" i="31"/>
  <c r="L156" i="31" s="1"/>
  <c r="L105" i="31"/>
  <c r="J107" i="31"/>
  <c r="N20" i="31"/>
  <c r="N146" i="31" s="1"/>
  <c r="M22" i="31"/>
  <c r="M24" i="31" s="1"/>
  <c r="I131" i="31" l="1"/>
  <c r="I178" i="31" s="1"/>
  <c r="M105" i="31"/>
  <c r="M54" i="31"/>
  <c r="M156" i="31" s="1"/>
  <c r="L71" i="31"/>
  <c r="L107" i="31" s="1"/>
  <c r="L109" i="31" s="1"/>
  <c r="L123" i="31" s="1"/>
  <c r="L131" i="31" s="1"/>
  <c r="L177" i="31"/>
  <c r="O20" i="31"/>
  <c r="O146" i="31" s="1"/>
  <c r="N22" i="31"/>
  <c r="N24" i="31" s="1"/>
  <c r="J109" i="31"/>
  <c r="K177" i="31"/>
  <c r="K178" i="31" s="1"/>
  <c r="L178" i="31" l="1"/>
  <c r="J123" i="31"/>
  <c r="N54" i="31"/>
  <c r="N156" i="31" s="1"/>
  <c r="N105" i="31"/>
  <c r="P20" i="31"/>
  <c r="P146" i="31" s="1"/>
  <c r="O22" i="31"/>
  <c r="O24" i="31" s="1"/>
  <c r="M71" i="31"/>
  <c r="M107" i="31" s="1"/>
  <c r="M177" i="31"/>
  <c r="P22" i="31" l="1"/>
  <c r="Q20" i="31"/>
  <c r="T20" i="31" s="1"/>
  <c r="N71" i="31"/>
  <c r="N107" i="31" s="1"/>
  <c r="N109" i="31" s="1"/>
  <c r="N123" i="31" s="1"/>
  <c r="N131" i="31" s="1"/>
  <c r="N177" i="31"/>
  <c r="N178" i="31" s="1"/>
  <c r="M109" i="31"/>
  <c r="J131" i="31"/>
  <c r="J178" i="31" s="1"/>
  <c r="O105" i="31"/>
  <c r="O54" i="31"/>
  <c r="O156" i="31" s="1"/>
  <c r="V20" i="31" l="1"/>
  <c r="Q22" i="31"/>
  <c r="T22" i="31" s="1"/>
  <c r="R20" i="31"/>
  <c r="P24" i="31"/>
  <c r="Q146" i="31"/>
  <c r="M123" i="31"/>
  <c r="O177" i="31"/>
  <c r="O71" i="31"/>
  <c r="O107" i="31" s="1"/>
  <c r="O109" i="31" s="1"/>
  <c r="O123" i="31" s="1"/>
  <c r="O131" i="31" s="1"/>
  <c r="O178" i="31" l="1"/>
  <c r="Q24" i="31"/>
  <c r="R22" i="31"/>
  <c r="M131" i="31"/>
  <c r="M178" i="31" s="1"/>
  <c r="P54" i="31"/>
  <c r="P156" i="31" s="1"/>
  <c r="Y134" i="44" l="1"/>
  <c r="Z134" i="44" s="1"/>
  <c r="AA134" i="44" s="1"/>
  <c r="I134" i="44" s="1"/>
  <c r="T24" i="31"/>
  <c r="R24" i="31"/>
  <c r="P71" i="31"/>
  <c r="Q54" i="31"/>
  <c r="T54" i="31" s="1"/>
  <c r="P105" i="31"/>
  <c r="Q90" i="31"/>
  <c r="R134" i="44" l="1"/>
  <c r="H94" i="31"/>
  <c r="H165" i="31" s="1"/>
  <c r="R54" i="31"/>
  <c r="R90" i="31"/>
  <c r="T90" i="31" s="1"/>
  <c r="P107" i="31"/>
  <c r="P109" i="31" s="1"/>
  <c r="K14" i="46"/>
  <c r="K17" i="46" s="1"/>
  <c r="Q71" i="31"/>
  <c r="T71" i="31" s="1"/>
  <c r="Q156" i="31"/>
  <c r="P177" i="31"/>
  <c r="Q94" i="31" l="1"/>
  <c r="H105" i="31"/>
  <c r="H107" i="31" s="1"/>
  <c r="H109" i="31" s="1"/>
  <c r="H123" i="31" s="1"/>
  <c r="H131" i="31" s="1"/>
  <c r="R71" i="31"/>
  <c r="V19" i="31"/>
  <c r="P123" i="31"/>
  <c r="T94" i="31" l="1"/>
  <c r="R94" i="31"/>
  <c r="Q105" i="31"/>
  <c r="Q165" i="31"/>
  <c r="Q177" i="31" s="1"/>
  <c r="H177" i="31"/>
  <c r="H178" i="31" s="1"/>
  <c r="P131" i="31"/>
  <c r="P178" i="31" s="1"/>
  <c r="T105" i="31" l="1"/>
  <c r="R105" i="31"/>
  <c r="Q107" i="31"/>
  <c r="T107" i="31" l="1"/>
  <c r="Q109" i="31"/>
  <c r="R107" i="31"/>
  <c r="T109" i="31" l="1"/>
  <c r="R109" i="31"/>
  <c r="Q123" i="31"/>
  <c r="T123" i="31" l="1"/>
  <c r="R123" i="31"/>
  <c r="Q131" i="31"/>
  <c r="Q178" i="31" s="1"/>
  <c r="E20" i="10"/>
  <c r="E147" i="10" l="1"/>
  <c r="T131" i="31"/>
  <c r="R131" i="31"/>
  <c r="F20" i="10"/>
  <c r="F147" i="10" s="1"/>
  <c r="E22" i="10"/>
  <c r="E24" i="10" l="1"/>
  <c r="G20" i="10"/>
  <c r="G147" i="10" s="1"/>
  <c r="F22" i="10"/>
  <c r="F24" i="10" s="1"/>
  <c r="F105" i="10" l="1"/>
  <c r="F54" i="10"/>
  <c r="F157" i="10" s="1"/>
  <c r="H20" i="10"/>
  <c r="H147" i="10" s="1"/>
  <c r="G22" i="10"/>
  <c r="E54" i="10"/>
  <c r="E157" i="10" s="1"/>
  <c r="G24" i="10" l="1"/>
  <c r="E71" i="10"/>
  <c r="E105" i="10"/>
  <c r="F178" i="10"/>
  <c r="F71" i="10"/>
  <c r="F107" i="10" s="1"/>
  <c r="F109" i="10" s="1"/>
  <c r="F123" i="10" s="1"/>
  <c r="F131" i="10" s="1"/>
  <c r="I20" i="10"/>
  <c r="I147" i="10" s="1"/>
  <c r="H22" i="10"/>
  <c r="H24" i="10" s="1"/>
  <c r="F179" i="10" l="1"/>
  <c r="G54" i="10"/>
  <c r="E178" i="10"/>
  <c r="E107" i="10"/>
  <c r="H54" i="10"/>
  <c r="H157" i="10" s="1"/>
  <c r="J20" i="10"/>
  <c r="J147" i="10" s="1"/>
  <c r="I22" i="10"/>
  <c r="I24" i="10" s="1"/>
  <c r="G71" i="10" l="1"/>
  <c r="G157" i="10"/>
  <c r="G178" i="10" s="1"/>
  <c r="G105" i="10"/>
  <c r="I105" i="10"/>
  <c r="I54" i="10"/>
  <c r="I157" i="10" s="1"/>
  <c r="E109" i="10"/>
  <c r="K20" i="10"/>
  <c r="K147" i="10" s="1"/>
  <c r="J22" i="10"/>
  <c r="J24" i="10" s="1"/>
  <c r="H71" i="10"/>
  <c r="G107" i="10" l="1"/>
  <c r="G109" i="10" s="1"/>
  <c r="G123" i="10" s="1"/>
  <c r="G131" i="10" s="1"/>
  <c r="G179" i="10" s="1"/>
  <c r="E123" i="10"/>
  <c r="J54" i="10"/>
  <c r="J157" i="10" s="1"/>
  <c r="J105" i="10"/>
  <c r="I71" i="10"/>
  <c r="I178" i="10"/>
  <c r="L20" i="10"/>
  <c r="L147" i="10" s="1"/>
  <c r="K22" i="10"/>
  <c r="I107" i="10" l="1"/>
  <c r="K24" i="10"/>
  <c r="M20" i="10"/>
  <c r="M147" i="10" s="1"/>
  <c r="L22" i="10"/>
  <c r="L24" i="10" s="1"/>
  <c r="E131" i="10"/>
  <c r="E179" i="10" s="1"/>
  <c r="J71" i="10"/>
  <c r="J107" i="10" s="1"/>
  <c r="J109" i="10" s="1"/>
  <c r="J123" i="10" s="1"/>
  <c r="J131" i="10" s="1"/>
  <c r="J178" i="10"/>
  <c r="J179" i="10" l="1"/>
  <c r="K54" i="10"/>
  <c r="K157" i="10" s="1"/>
  <c r="K105" i="10"/>
  <c r="I109" i="10"/>
  <c r="L54" i="10"/>
  <c r="L157" i="10" s="1"/>
  <c r="L105" i="10"/>
  <c r="N20" i="10"/>
  <c r="N147" i="10" s="1"/>
  <c r="M22" i="10"/>
  <c r="M24" i="10" s="1"/>
  <c r="K71" i="10" l="1"/>
  <c r="K107" i="10" s="1"/>
  <c r="K178" i="10"/>
  <c r="I123" i="10"/>
  <c r="M54" i="10"/>
  <c r="M157" i="10" s="1"/>
  <c r="L178" i="10"/>
  <c r="L71" i="10"/>
  <c r="L107" i="10" s="1"/>
  <c r="L109" i="10" s="1"/>
  <c r="L123" i="10" s="1"/>
  <c r="L131" i="10" s="1"/>
  <c r="O20" i="10"/>
  <c r="O147" i="10" s="1"/>
  <c r="N22" i="10"/>
  <c r="N24" i="10" s="1"/>
  <c r="L179" i="10" l="1"/>
  <c r="I131" i="10"/>
  <c r="I179" i="10" s="1"/>
  <c r="M105" i="10"/>
  <c r="K109" i="10"/>
  <c r="N105" i="10"/>
  <c r="N54" i="10"/>
  <c r="N157" i="10" s="1"/>
  <c r="P20" i="10"/>
  <c r="Q20" i="10" s="1"/>
  <c r="O22" i="10"/>
  <c r="O24" i="10" s="1"/>
  <c r="M178" i="10"/>
  <c r="M71" i="10"/>
  <c r="T20" i="10" l="1"/>
  <c r="P147" i="10"/>
  <c r="V20" i="10"/>
  <c r="Q22" i="10"/>
  <c r="T22" i="10" s="1"/>
  <c r="R20" i="10"/>
  <c r="M107" i="10"/>
  <c r="M109" i="10" s="1"/>
  <c r="M123" i="10" s="1"/>
  <c r="M131" i="10" s="1"/>
  <c r="M179" i="10" s="1"/>
  <c r="K123" i="10"/>
  <c r="N178" i="10"/>
  <c r="N71" i="10"/>
  <c r="N107" i="10" s="1"/>
  <c r="N109" i="10" s="1"/>
  <c r="N123" i="10" s="1"/>
  <c r="N131" i="10" s="1"/>
  <c r="O54" i="10"/>
  <c r="O157" i="10" s="1"/>
  <c r="O105" i="10"/>
  <c r="P22" i="10"/>
  <c r="N179" i="10" l="1"/>
  <c r="Q24" i="10"/>
  <c r="R22" i="10"/>
  <c r="K131" i="10"/>
  <c r="K179" i="10" s="1"/>
  <c r="P24" i="10"/>
  <c r="Q147" i="10"/>
  <c r="O178" i="10"/>
  <c r="O71" i="10"/>
  <c r="O107" i="10" s="1"/>
  <c r="T24" i="10" l="1"/>
  <c r="Y133" i="44"/>
  <c r="Z133" i="44" s="1"/>
  <c r="AA133" i="44" s="1"/>
  <c r="I133" i="44" s="1"/>
  <c r="R24" i="10"/>
  <c r="P105" i="10"/>
  <c r="P54" i="10"/>
  <c r="O109" i="10"/>
  <c r="Q54" i="10" l="1"/>
  <c r="T54" i="10" s="1"/>
  <c r="P157" i="10"/>
  <c r="R133" i="44"/>
  <c r="H94" i="10"/>
  <c r="H166" i="10" s="1"/>
  <c r="Q71" i="10"/>
  <c r="T71" i="10" s="1"/>
  <c r="R54" i="10"/>
  <c r="Q90" i="10"/>
  <c r="J14" i="46"/>
  <c r="J17" i="46" s="1"/>
  <c r="P71" i="10"/>
  <c r="P107" i="10" s="1"/>
  <c r="P178" i="10"/>
  <c r="O123" i="10"/>
  <c r="Q94" i="10" l="1"/>
  <c r="Q105" i="10" s="1"/>
  <c r="T105" i="10" s="1"/>
  <c r="H105" i="10"/>
  <c r="H107" i="10" s="1"/>
  <c r="H109" i="10" s="1"/>
  <c r="H123" i="10" s="1"/>
  <c r="H131" i="10" s="1"/>
  <c r="R71" i="10"/>
  <c r="V19" i="10"/>
  <c r="R90" i="10"/>
  <c r="T90" i="10" s="1"/>
  <c r="Q157" i="10"/>
  <c r="P109" i="10"/>
  <c r="O131" i="10"/>
  <c r="O179" i="10" s="1"/>
  <c r="Q166" i="10" l="1"/>
  <c r="Q178" i="10" s="1"/>
  <c r="H178" i="10"/>
  <c r="H179" i="10" s="1"/>
  <c r="T94" i="10"/>
  <c r="R94" i="10"/>
  <c r="R105" i="10"/>
  <c r="Q107" i="10"/>
  <c r="T107" i="10" s="1"/>
  <c r="P123" i="10"/>
  <c r="R107" i="10" l="1"/>
  <c r="Q109" i="10"/>
  <c r="T109" i="10" s="1"/>
  <c r="P131" i="10"/>
  <c r="P179" i="10" s="1"/>
  <c r="R109" i="10" l="1"/>
  <c r="Q123" i="10"/>
  <c r="T123" i="10" s="1"/>
  <c r="R123" i="10" l="1"/>
  <c r="Q131" i="10"/>
  <c r="Q179" i="10" s="1"/>
  <c r="E20" i="32"/>
  <c r="T131" i="10" l="1"/>
  <c r="R131" i="10"/>
  <c r="F20" i="32"/>
  <c r="E22" i="32"/>
  <c r="E24" i="32" s="1"/>
  <c r="E54" i="32" l="1"/>
  <c r="G20" i="32"/>
  <c r="F22" i="32"/>
  <c r="F24" i="32" s="1"/>
  <c r="H20" i="32" l="1"/>
  <c r="G22" i="32"/>
  <c r="G24" i="32" s="1"/>
  <c r="E105" i="32"/>
  <c r="F105" i="32"/>
  <c r="F54" i="32"/>
  <c r="G105" i="32" l="1"/>
  <c r="G54" i="32"/>
  <c r="H22" i="32"/>
  <c r="H24" i="32" s="1"/>
  <c r="I20" i="32"/>
  <c r="H54" i="32" l="1"/>
  <c r="I22" i="32"/>
  <c r="I24" i="32" s="1"/>
  <c r="J20" i="32"/>
  <c r="J22" i="32" l="1"/>
  <c r="J24" i="32" s="1"/>
  <c r="K20" i="32"/>
  <c r="I54" i="32"/>
  <c r="I105" i="32"/>
  <c r="K22" i="32" l="1"/>
  <c r="K24" i="32" s="1"/>
  <c r="L20" i="32"/>
  <c r="J105" i="32"/>
  <c r="J54" i="32"/>
  <c r="K54" i="32" l="1"/>
  <c r="K105" i="32"/>
  <c r="M20" i="32"/>
  <c r="L22" i="32"/>
  <c r="L24" i="32" s="1"/>
  <c r="L105" i="32" l="1"/>
  <c r="L54" i="32"/>
  <c r="N20" i="32"/>
  <c r="M22" i="32"/>
  <c r="M24" i="32" s="1"/>
  <c r="M54" i="32" l="1"/>
  <c r="M105" i="32"/>
  <c r="O20" i="32"/>
  <c r="N22" i="32"/>
  <c r="N24" i="32" s="1"/>
  <c r="N105" i="32" l="1"/>
  <c r="N54" i="32"/>
  <c r="O22" i="32"/>
  <c r="O24" i="32" s="1"/>
  <c r="P20" i="32"/>
  <c r="O105" i="32" l="1"/>
  <c r="O54" i="32"/>
  <c r="P22" i="32"/>
  <c r="P24" i="32" s="1"/>
  <c r="Q20" i="32"/>
  <c r="T20" i="32" s="1"/>
  <c r="V20" i="32" l="1"/>
  <c r="Q22" i="32"/>
  <c r="T22" i="32" s="1"/>
  <c r="P54" i="32"/>
  <c r="Q146" i="32"/>
  <c r="Q24" i="32" l="1"/>
  <c r="Q54" i="32"/>
  <c r="T54" i="32" s="1"/>
  <c r="P105" i="32"/>
  <c r="Q90" i="32"/>
  <c r="T24" i="32" l="1"/>
  <c r="Y135" i="44"/>
  <c r="Z135" i="44" s="1"/>
  <c r="AA135" i="44" s="1"/>
  <c r="I135" i="44" s="1"/>
  <c r="Q156" i="32"/>
  <c r="L14" i="46"/>
  <c r="R135" i="44" l="1"/>
  <c r="H94" i="32"/>
  <c r="E20" i="9"/>
  <c r="Q94" i="32" l="1"/>
  <c r="Q165" i="32"/>
  <c r="H105" i="32"/>
  <c r="F20" i="9"/>
  <c r="T94" i="32" l="1"/>
  <c r="Q105" i="32"/>
  <c r="T105" i="32" s="1"/>
  <c r="E19" i="9"/>
  <c r="G20" i="9"/>
  <c r="F19" i="9" l="1"/>
  <c r="E22" i="9"/>
  <c r="E24" i="9" s="1"/>
  <c r="H20" i="9"/>
  <c r="E105" i="9" l="1"/>
  <c r="E54" i="9"/>
  <c r="E255" i="9" s="1"/>
  <c r="G19" i="9"/>
  <c r="F22" i="9"/>
  <c r="F24" i="9" s="1"/>
  <c r="I20" i="9"/>
  <c r="H19" i="9" l="1"/>
  <c r="G22" i="9"/>
  <c r="G24" i="9" s="1"/>
  <c r="F105" i="9"/>
  <c r="F54" i="9"/>
  <c r="F255" i="9" s="1"/>
  <c r="E276" i="9"/>
  <c r="E71" i="9"/>
  <c r="E107" i="9" s="1"/>
  <c r="E109" i="9" s="1"/>
  <c r="E123" i="9" s="1"/>
  <c r="J20" i="9"/>
  <c r="F276" i="9" l="1"/>
  <c r="F71" i="9"/>
  <c r="F107" i="9" s="1"/>
  <c r="F109" i="9" s="1"/>
  <c r="G105" i="9"/>
  <c r="G54" i="9"/>
  <c r="G255" i="9" s="1"/>
  <c r="I19" i="9"/>
  <c r="H22" i="9"/>
  <c r="H24" i="9" s="1"/>
  <c r="K20" i="9"/>
  <c r="E131" i="9"/>
  <c r="E277" i="9" s="1"/>
  <c r="F123" i="9" l="1"/>
  <c r="F131" i="9" s="1"/>
  <c r="F277" i="9" s="1"/>
  <c r="G276" i="9"/>
  <c r="G71" i="9"/>
  <c r="G107" i="9" s="1"/>
  <c r="G109" i="9" s="1"/>
  <c r="H54" i="9"/>
  <c r="H255" i="9" s="1"/>
  <c r="J19" i="9"/>
  <c r="I22" i="9"/>
  <c r="I24" i="9" s="1"/>
  <c r="L20" i="9"/>
  <c r="G123" i="9" l="1"/>
  <c r="G131" i="9" s="1"/>
  <c r="G277" i="9" s="1"/>
  <c r="H71" i="9"/>
  <c r="K19" i="9"/>
  <c r="J22" i="9"/>
  <c r="J24" i="9" s="1"/>
  <c r="I54" i="9"/>
  <c r="I255" i="9" s="1"/>
  <c r="I105" i="9"/>
  <c r="M20" i="9"/>
  <c r="I71" i="9" l="1"/>
  <c r="I107" i="9" s="1"/>
  <c r="I109" i="9" s="1"/>
  <c r="I123" i="9" s="1"/>
  <c r="I276" i="9"/>
  <c r="L19" i="9"/>
  <c r="K22" i="9"/>
  <c r="K24" i="9" s="1"/>
  <c r="J105" i="9"/>
  <c r="J54" i="9"/>
  <c r="J255" i="9" s="1"/>
  <c r="N20" i="9"/>
  <c r="K54" i="9" l="1"/>
  <c r="K255" i="9" s="1"/>
  <c r="K105" i="9"/>
  <c r="M19" i="9"/>
  <c r="L22" i="9"/>
  <c r="L24" i="9" s="1"/>
  <c r="J71" i="9"/>
  <c r="J107" i="9" s="1"/>
  <c r="J109" i="9" s="1"/>
  <c r="J276" i="9"/>
  <c r="O20" i="9"/>
  <c r="I131" i="9"/>
  <c r="I277" i="9" s="1"/>
  <c r="J123" i="9" l="1"/>
  <c r="J131" i="9" s="1"/>
  <c r="J277" i="9" s="1"/>
  <c r="K276" i="9"/>
  <c r="K71" i="9"/>
  <c r="K107" i="9" s="1"/>
  <c r="K109" i="9" s="1"/>
  <c r="N19" i="9"/>
  <c r="M22" i="9"/>
  <c r="M24" i="9" s="1"/>
  <c r="L54" i="9"/>
  <c r="L255" i="9" s="1"/>
  <c r="L105" i="9"/>
  <c r="P20" i="9"/>
  <c r="K123" i="9" l="1"/>
  <c r="K131" i="9" s="1"/>
  <c r="K277" i="9" s="1"/>
  <c r="L276" i="9"/>
  <c r="L71" i="9"/>
  <c r="L107" i="9" s="1"/>
  <c r="L109" i="9" s="1"/>
  <c r="M54" i="9"/>
  <c r="M255" i="9" s="1"/>
  <c r="M105" i="9"/>
  <c r="O19" i="9"/>
  <c r="N22" i="9"/>
  <c r="N24" i="9" s="1"/>
  <c r="Q20" i="9"/>
  <c r="T20" i="9" s="1"/>
  <c r="R20" i="9" l="1"/>
  <c r="V20" i="9"/>
  <c r="L123" i="9"/>
  <c r="L131" i="9" s="1"/>
  <c r="L277" i="9" s="1"/>
  <c r="N54" i="9"/>
  <c r="N255" i="9" s="1"/>
  <c r="N105" i="9"/>
  <c r="M71" i="9"/>
  <c r="M107" i="9" s="1"/>
  <c r="M109" i="9" s="1"/>
  <c r="M276" i="9"/>
  <c r="P19" i="9"/>
  <c r="O22" i="9"/>
  <c r="O24" i="9" s="1"/>
  <c r="Q245" i="9"/>
  <c r="M123" i="9" l="1"/>
  <c r="M131" i="9" s="1"/>
  <c r="M277" i="9" s="1"/>
  <c r="O54" i="9"/>
  <c r="O255" i="9" s="1"/>
  <c r="O105" i="9"/>
  <c r="N276" i="9"/>
  <c r="N71" i="9"/>
  <c r="N107" i="9" s="1"/>
  <c r="N109" i="9" s="1"/>
  <c r="Q244" i="9"/>
  <c r="Q19" i="9"/>
  <c r="T19" i="9" s="1"/>
  <c r="P22" i="9"/>
  <c r="P24" i="9" s="1"/>
  <c r="R19" i="9" l="1"/>
  <c r="N123" i="9"/>
  <c r="N131" i="9" s="1"/>
  <c r="N277" i="9" s="1"/>
  <c r="P54" i="9"/>
  <c r="P255" i="9" s="1"/>
  <c r="Q22" i="9"/>
  <c r="T22" i="9" s="1"/>
  <c r="O276" i="9"/>
  <c r="O71" i="9"/>
  <c r="O107" i="9" s="1"/>
  <c r="O109" i="9" s="1"/>
  <c r="O123" i="9" l="1"/>
  <c r="O131" i="9" s="1"/>
  <c r="O277" i="9" s="1"/>
  <c r="Q24" i="9"/>
  <c r="R22" i="9"/>
  <c r="Q90" i="9"/>
  <c r="P105" i="9"/>
  <c r="Q54" i="9"/>
  <c r="T54" i="9" s="1"/>
  <c r="P71" i="9"/>
  <c r="P276" i="9"/>
  <c r="T24" i="9" l="1"/>
  <c r="Y132" i="44"/>
  <c r="Z132" i="44" s="1"/>
  <c r="R54" i="9"/>
  <c r="R24" i="9"/>
  <c r="R90" i="9"/>
  <c r="T90" i="9" s="1"/>
  <c r="Q255" i="9"/>
  <c r="P107" i="9"/>
  <c r="P109" i="9" s="1"/>
  <c r="I14" i="46"/>
  <c r="I17" i="46" s="1"/>
  <c r="Q71" i="9"/>
  <c r="T71" i="9" s="1"/>
  <c r="AA132" i="44" l="1"/>
  <c r="R71" i="9"/>
  <c r="V19" i="9"/>
  <c r="P123" i="9"/>
  <c r="P131" i="9" s="1"/>
  <c r="P277" i="9" s="1"/>
  <c r="I132" i="44" l="1"/>
  <c r="H94" i="9" l="1"/>
  <c r="H264" i="9" s="1"/>
  <c r="R132" i="44"/>
  <c r="Q94" i="9" l="1"/>
  <c r="H105" i="9"/>
  <c r="H107" i="9" s="1"/>
  <c r="H109" i="9" s="1"/>
  <c r="H123" i="9" s="1"/>
  <c r="H131" i="9" s="1"/>
  <c r="Q264" i="9" l="1"/>
  <c r="Q276" i="9" s="1"/>
  <c r="H276" i="9"/>
  <c r="H277" i="9" s="1"/>
  <c r="T94" i="9"/>
  <c r="R94" i="9"/>
  <c r="Q105" i="9"/>
  <c r="F19" i="8"/>
  <c r="T105" i="9" l="1"/>
  <c r="R105" i="9"/>
  <c r="Q107" i="9"/>
  <c r="G19" i="8"/>
  <c r="T107" i="9" l="1"/>
  <c r="Q109" i="9"/>
  <c r="R107" i="9"/>
  <c r="H19" i="8"/>
  <c r="T109" i="9" l="1"/>
  <c r="Q123" i="9"/>
  <c r="R109" i="9"/>
  <c r="Q124" i="9"/>
  <c r="I19" i="8"/>
  <c r="T123" i="9" l="1"/>
  <c r="Q131" i="9"/>
  <c r="Q277" i="9" s="1"/>
  <c r="R123" i="9"/>
  <c r="J19" i="8"/>
  <c r="T131" i="9" l="1"/>
  <c r="R131" i="9"/>
  <c r="K19" i="8"/>
  <c r="L19" i="8" l="1"/>
  <c r="M19" i="8" l="1"/>
  <c r="N19" i="8" l="1"/>
  <c r="O19" i="8" l="1"/>
  <c r="P19" i="8" l="1"/>
  <c r="Q217" i="8" l="1"/>
  <c r="Q19" i="8"/>
  <c r="T19" i="8" s="1"/>
  <c r="R19" i="8" l="1"/>
  <c r="F19" i="22"/>
  <c r="G19" i="22" l="1"/>
  <c r="H19" i="22" l="1"/>
  <c r="I19" i="22" l="1"/>
  <c r="J19" i="22" l="1"/>
  <c r="K19" i="22" l="1"/>
  <c r="E20" i="22"/>
  <c r="L19" i="22" l="1"/>
  <c r="F20" i="22"/>
  <c r="E20" i="8"/>
  <c r="M19" i="22" l="1"/>
  <c r="G20" i="22"/>
  <c r="F20" i="8"/>
  <c r="E22" i="8"/>
  <c r="N19" i="22" l="1"/>
  <c r="H20" i="22"/>
  <c r="F105" i="22"/>
  <c r="G20" i="8"/>
  <c r="F22" i="8"/>
  <c r="O19" i="22" l="1"/>
  <c r="G105" i="22"/>
  <c r="E105" i="22"/>
  <c r="I20" i="22"/>
  <c r="H20" i="8"/>
  <c r="G22" i="8"/>
  <c r="P19" i="22" l="1"/>
  <c r="J20" i="22"/>
  <c r="I20" i="8"/>
  <c r="H22" i="8"/>
  <c r="Q242" i="22" l="1"/>
  <c r="Q19" i="22"/>
  <c r="T19" i="22" s="1"/>
  <c r="K20" i="22"/>
  <c r="I105" i="22"/>
  <c r="I22" i="8"/>
  <c r="J20" i="8"/>
  <c r="L20" i="22" l="1"/>
  <c r="K20" i="8"/>
  <c r="J22" i="8"/>
  <c r="K105" i="22" l="1"/>
  <c r="M20" i="22"/>
  <c r="L20" i="8"/>
  <c r="K22" i="8"/>
  <c r="N20" i="22" l="1"/>
  <c r="J105" i="22"/>
  <c r="M20" i="8"/>
  <c r="L22" i="8"/>
  <c r="M105" i="22" l="1"/>
  <c r="O20" i="22"/>
  <c r="M22" i="8"/>
  <c r="N20" i="8"/>
  <c r="N105" i="22" l="1"/>
  <c r="P20" i="22"/>
  <c r="L105" i="22"/>
  <c r="O20" i="8"/>
  <c r="N22" i="8"/>
  <c r="O105" i="22" l="1"/>
  <c r="Q20" i="22"/>
  <c r="O22" i="8"/>
  <c r="P20" i="8"/>
  <c r="V20" i="22" l="1"/>
  <c r="T20" i="22"/>
  <c r="Q243" i="22"/>
  <c r="P22" i="8"/>
  <c r="Q20" i="8"/>
  <c r="T20" i="8" s="1"/>
  <c r="V20" i="8" l="1"/>
  <c r="Q22" i="8"/>
  <c r="T22" i="8" s="1"/>
  <c r="R20" i="8"/>
  <c r="Q218" i="8"/>
  <c r="R22" i="8" l="1"/>
  <c r="P105" i="22"/>
  <c r="Q90" i="22"/>
  <c r="E19" i="6" l="1"/>
  <c r="E19" i="27" s="1"/>
  <c r="F22" i="46" l="1"/>
  <c r="E22" i="46" l="1"/>
  <c r="E20" i="6"/>
  <c r="F20" i="6" s="1"/>
  <c r="F19" i="6"/>
  <c r="E22" i="6" l="1"/>
  <c r="E20" i="27"/>
  <c r="E347" i="27" s="1"/>
  <c r="G20" i="6"/>
  <c r="F20" i="27"/>
  <c r="E346" i="27"/>
  <c r="G19" i="6"/>
  <c r="F22" i="6"/>
  <c r="F19" i="27"/>
  <c r="H20" i="6" l="1"/>
  <c r="G20" i="27"/>
  <c r="F347" i="27"/>
  <c r="G22" i="6"/>
  <c r="H19" i="6"/>
  <c r="G19" i="27"/>
  <c r="F346" i="27"/>
  <c r="G347" i="27" l="1"/>
  <c r="I20" i="6"/>
  <c r="H20" i="27"/>
  <c r="G346" i="27"/>
  <c r="H22" i="6"/>
  <c r="I19" i="6"/>
  <c r="H19" i="27"/>
  <c r="H347" i="27" l="1"/>
  <c r="J20" i="6"/>
  <c r="I20" i="27"/>
  <c r="J19" i="6"/>
  <c r="I22" i="6"/>
  <c r="I19" i="27"/>
  <c r="H346" i="27"/>
  <c r="K20" i="6" l="1"/>
  <c r="J20" i="27"/>
  <c r="I347" i="27"/>
  <c r="I346" i="27"/>
  <c r="K19" i="6"/>
  <c r="J22" i="6"/>
  <c r="J19" i="27"/>
  <c r="E275" i="27" l="1"/>
  <c r="J347" i="27"/>
  <c r="L20" i="6"/>
  <c r="K20" i="27"/>
  <c r="L19" i="6"/>
  <c r="K22" i="6"/>
  <c r="K19" i="27"/>
  <c r="J346" i="27"/>
  <c r="F275" i="27" l="1"/>
  <c r="M20" i="6"/>
  <c r="L20" i="27"/>
  <c r="K347" i="27"/>
  <c r="K346" i="27"/>
  <c r="M19" i="6"/>
  <c r="L22" i="6"/>
  <c r="L19" i="27"/>
  <c r="G275" i="27" l="1"/>
  <c r="H275" i="27" s="1"/>
  <c r="L347" i="27"/>
  <c r="N20" i="6"/>
  <c r="M20" i="27"/>
  <c r="M22" i="6"/>
  <c r="N19" i="6"/>
  <c r="M19" i="27"/>
  <c r="L346" i="27"/>
  <c r="M347" i="27" l="1"/>
  <c r="O20" i="6"/>
  <c r="N20" i="27"/>
  <c r="O19" i="6"/>
  <c r="N22" i="6"/>
  <c r="N19" i="27"/>
  <c r="M346" i="27"/>
  <c r="I275" i="27" l="1"/>
  <c r="J275" i="27" s="1"/>
  <c r="P20" i="6"/>
  <c r="O20" i="27"/>
  <c r="N347" i="27"/>
  <c r="N346" i="27"/>
  <c r="O22" i="6"/>
  <c r="P19" i="6"/>
  <c r="O19" i="27"/>
  <c r="O347" i="27" l="1"/>
  <c r="P20" i="27"/>
  <c r="Q20" i="6"/>
  <c r="T20" i="6" s="1"/>
  <c r="O346" i="27"/>
  <c r="P22" i="6"/>
  <c r="P19" i="27"/>
  <c r="Q19" i="6"/>
  <c r="R19" i="6" l="1"/>
  <c r="T19" i="6"/>
  <c r="R20" i="6"/>
  <c r="V20" i="6"/>
  <c r="K275" i="27"/>
  <c r="L275" i="27" s="1"/>
  <c r="P347" i="27"/>
  <c r="Q347" i="27" s="1"/>
  <c r="Q20" i="27"/>
  <c r="S20" i="27" s="1"/>
  <c r="Q22" i="6"/>
  <c r="P346" i="27"/>
  <c r="Q19" i="27"/>
  <c r="S19" i="27" s="1"/>
  <c r="R22" i="6" l="1"/>
  <c r="T22" i="6"/>
  <c r="Q346" i="27"/>
  <c r="M275" i="27" l="1"/>
  <c r="N275" i="27" s="1"/>
  <c r="O275" i="27" l="1"/>
  <c r="E15" i="6" l="1"/>
  <c r="E24" i="6" s="1"/>
  <c r="E54" i="6" l="1"/>
  <c r="E71" i="6" l="1"/>
  <c r="E105" i="6"/>
  <c r="E107" i="6" l="1"/>
  <c r="E109" i="6" s="1"/>
  <c r="E241" i="6"/>
  <c r="E123" i="6" l="1"/>
  <c r="E131" i="6" s="1"/>
  <c r="E242" i="6" s="1"/>
  <c r="I15" i="6" l="1"/>
  <c r="I24" i="6" s="1"/>
  <c r="I54" i="6" s="1"/>
  <c r="I71" i="6" l="1"/>
  <c r="O15" i="6"/>
  <c r="O24" i="6" s="1"/>
  <c r="O54" i="6" s="1"/>
  <c r="M15" i="6"/>
  <c r="M24" i="6" s="1"/>
  <c r="M105" i="6" s="1"/>
  <c r="P15" i="6"/>
  <c r="P24" i="6" s="1"/>
  <c r="P105" i="6" s="1"/>
  <c r="N15" i="6"/>
  <c r="N24" i="6" s="1"/>
  <c r="J15" i="6"/>
  <c r="J24" i="6" s="1"/>
  <c r="J105" i="6" s="1"/>
  <c r="L15" i="6"/>
  <c r="L24" i="6" s="1"/>
  <c r="H15" i="6"/>
  <c r="H24" i="6" s="1"/>
  <c r="Q11" i="6"/>
  <c r="T11" i="6" s="1"/>
  <c r="K15" i="6"/>
  <c r="K24" i="6" s="1"/>
  <c r="I105" i="6"/>
  <c r="F15" i="6"/>
  <c r="F24" i="6" s="1"/>
  <c r="G15" i="6"/>
  <c r="G24" i="6" s="1"/>
  <c r="I241" i="6"/>
  <c r="I107" i="6" l="1"/>
  <c r="I109" i="6" s="1"/>
  <c r="I123" i="6" s="1"/>
  <c r="I131" i="6" s="1"/>
  <c r="I242" i="6" s="1"/>
  <c r="O241" i="6"/>
  <c r="Q15" i="6"/>
  <c r="R11" i="6"/>
  <c r="M54" i="6"/>
  <c r="O105" i="6"/>
  <c r="O71" i="6"/>
  <c r="P54" i="6"/>
  <c r="H54" i="6"/>
  <c r="L54" i="6"/>
  <c r="L105" i="6"/>
  <c r="J54" i="6"/>
  <c r="N105" i="6"/>
  <c r="N54" i="6"/>
  <c r="Q206" i="6"/>
  <c r="G105" i="6"/>
  <c r="G54" i="6"/>
  <c r="F54" i="6"/>
  <c r="K54" i="6"/>
  <c r="K105" i="6"/>
  <c r="R15" i="6" l="1"/>
  <c r="T15" i="6"/>
  <c r="M241" i="6"/>
  <c r="M71" i="6"/>
  <c r="M107" i="6" s="1"/>
  <c r="M109" i="6" s="1"/>
  <c r="M123" i="6" s="1"/>
  <c r="M131" i="6" s="1"/>
  <c r="M242" i="6" s="1"/>
  <c r="Q24" i="6"/>
  <c r="Y129" i="44" s="1"/>
  <c r="Z129" i="44" s="1"/>
  <c r="O107" i="6"/>
  <c r="O109" i="6" s="1"/>
  <c r="O123" i="6" s="1"/>
  <c r="O131" i="6" s="1"/>
  <c r="O242" i="6" s="1"/>
  <c r="L71" i="6"/>
  <c r="L107" i="6" s="1"/>
  <c r="L109" i="6" s="1"/>
  <c r="L123" i="6" s="1"/>
  <c r="L131" i="6" s="1"/>
  <c r="P241" i="6"/>
  <c r="P71" i="6"/>
  <c r="P107" i="6" s="1"/>
  <c r="P109" i="6" s="1"/>
  <c r="P123" i="6" s="1"/>
  <c r="P131" i="6" s="1"/>
  <c r="L241" i="6"/>
  <c r="J241" i="6"/>
  <c r="J71" i="6"/>
  <c r="J107" i="6" s="1"/>
  <c r="J109" i="6" s="1"/>
  <c r="J123" i="6" s="1"/>
  <c r="J131" i="6" s="1"/>
  <c r="N241" i="6"/>
  <c r="N71" i="6"/>
  <c r="N107" i="6" s="1"/>
  <c r="N109" i="6" s="1"/>
  <c r="N123" i="6" s="1"/>
  <c r="N131" i="6" s="1"/>
  <c r="H71" i="6"/>
  <c r="K71" i="6"/>
  <c r="K107" i="6" s="1"/>
  <c r="K109" i="6" s="1"/>
  <c r="K123" i="6" s="1"/>
  <c r="K131" i="6" s="1"/>
  <c r="K241" i="6"/>
  <c r="G241" i="6"/>
  <c r="G71" i="6"/>
  <c r="G107" i="6" s="1"/>
  <c r="G109" i="6" s="1"/>
  <c r="G123" i="6" s="1"/>
  <c r="G131" i="6" s="1"/>
  <c r="Q90" i="6"/>
  <c r="F105" i="6"/>
  <c r="F241" i="6"/>
  <c r="Q54" i="6"/>
  <c r="F71" i="6"/>
  <c r="P242" i="6" l="1"/>
  <c r="G242" i="6"/>
  <c r="N242" i="6"/>
  <c r="J242" i="6"/>
  <c r="L242" i="6"/>
  <c r="K242" i="6"/>
  <c r="AA129" i="44"/>
  <c r="R54" i="6"/>
  <c r="T54" i="6"/>
  <c r="R24" i="6"/>
  <c r="T24" i="6"/>
  <c r="R90" i="6"/>
  <c r="T90" i="6" s="1"/>
  <c r="F107" i="6"/>
  <c r="F109" i="6" s="1"/>
  <c r="F123" i="6" s="1"/>
  <c r="F131" i="6" s="1"/>
  <c r="F242" i="6" s="1"/>
  <c r="F14" i="46"/>
  <c r="Q71" i="6"/>
  <c r="T71" i="6" s="1"/>
  <c r="I129" i="44" l="1"/>
  <c r="F17" i="46"/>
  <c r="R71" i="6"/>
  <c r="V19" i="6"/>
  <c r="H94" i="6" l="1"/>
  <c r="H229" i="6" s="1"/>
  <c r="Q229" i="6" s="1"/>
  <c r="R129" i="44"/>
  <c r="H241" i="6" l="1"/>
  <c r="Q241" i="6" s="1"/>
  <c r="Q94" i="6"/>
  <c r="H105" i="6"/>
  <c r="H107" i="6" s="1"/>
  <c r="H109" i="6" s="1"/>
  <c r="H123" i="6" s="1"/>
  <c r="H131" i="6" s="1"/>
  <c r="H242" i="6" l="1"/>
  <c r="T94" i="6"/>
  <c r="R94" i="6"/>
  <c r="Q105" i="6"/>
  <c r="E11" i="27"/>
  <c r="E15" i="8"/>
  <c r="E24" i="8" s="1"/>
  <c r="T105" i="6" l="1"/>
  <c r="R105" i="6"/>
  <c r="Q107" i="6"/>
  <c r="E54" i="8"/>
  <c r="E344" i="27"/>
  <c r="E15" i="27"/>
  <c r="T107" i="6" l="1"/>
  <c r="R107" i="6"/>
  <c r="Q109" i="6"/>
  <c r="E105" i="8"/>
  <c r="E71" i="8"/>
  <c r="T109" i="6" l="1"/>
  <c r="R109" i="6"/>
  <c r="Q123" i="6"/>
  <c r="E107" i="8"/>
  <c r="E109" i="8" s="1"/>
  <c r="E123" i="8" s="1"/>
  <c r="E131" i="8" s="1"/>
  <c r="E249" i="8"/>
  <c r="E105" i="27"/>
  <c r="E250" i="8" l="1"/>
  <c r="T123" i="6"/>
  <c r="Q131" i="6"/>
  <c r="Q242" i="6" s="1"/>
  <c r="R123" i="6"/>
  <c r="L11" i="27"/>
  <c r="O11" i="27"/>
  <c r="M11" i="27"/>
  <c r="N11" i="27"/>
  <c r="N344" i="27" s="1"/>
  <c r="K11" i="27"/>
  <c r="K15" i="27" s="1"/>
  <c r="H15" i="8"/>
  <c r="H24" i="8" s="1"/>
  <c r="T131" i="6" l="1"/>
  <c r="R131" i="6"/>
  <c r="P15" i="8"/>
  <c r="P24" i="8" s="1"/>
  <c r="L15" i="8"/>
  <c r="L24" i="8" s="1"/>
  <c r="M15" i="8"/>
  <c r="M24" i="8" s="1"/>
  <c r="M54" i="8" s="1"/>
  <c r="J15" i="8"/>
  <c r="J24" i="8" s="1"/>
  <c r="N15" i="27"/>
  <c r="J11" i="27"/>
  <c r="J15" i="27" s="1"/>
  <c r="M105" i="8"/>
  <c r="M344" i="27"/>
  <c r="M15" i="27"/>
  <c r="H54" i="8"/>
  <c r="N15" i="8"/>
  <c r="N24" i="8" s="1"/>
  <c r="G15" i="8"/>
  <c r="G24" i="8" s="1"/>
  <c r="G11" i="27"/>
  <c r="H11" i="27"/>
  <c r="L344" i="27"/>
  <c r="L15" i="27"/>
  <c r="O344" i="27"/>
  <c r="O15" i="27"/>
  <c r="K344" i="27"/>
  <c r="I11" i="27"/>
  <c r="I15" i="8"/>
  <c r="I24" i="8" s="1"/>
  <c r="F11" i="27"/>
  <c r="F15" i="8"/>
  <c r="F24" i="8" s="1"/>
  <c r="Q11" i="8"/>
  <c r="P11" i="27"/>
  <c r="K15" i="8"/>
  <c r="K24" i="8" s="1"/>
  <c r="K105" i="27" s="1"/>
  <c r="O15" i="8"/>
  <c r="O24" i="8" s="1"/>
  <c r="Q202" i="8" l="1"/>
  <c r="Q158" i="8"/>
  <c r="T10" i="8"/>
  <c r="T11" i="8"/>
  <c r="N105" i="27"/>
  <c r="J54" i="8"/>
  <c r="J105" i="27"/>
  <c r="L54" i="8"/>
  <c r="L105" i="27"/>
  <c r="Q15" i="8"/>
  <c r="T15" i="8" s="1"/>
  <c r="R11" i="8"/>
  <c r="L105" i="8"/>
  <c r="J105" i="8"/>
  <c r="P54" i="8"/>
  <c r="Q11" i="27"/>
  <c r="J344" i="27"/>
  <c r="F54" i="8"/>
  <c r="F344" i="27"/>
  <c r="F15" i="27"/>
  <c r="Q215" i="8"/>
  <c r="M71" i="8"/>
  <c r="M107" i="8" s="1"/>
  <c r="M109" i="8" s="1"/>
  <c r="M123" i="8" s="1"/>
  <c r="M131" i="8" s="1"/>
  <c r="M249" i="8"/>
  <c r="O105" i="27"/>
  <c r="I344" i="27"/>
  <c r="I15" i="27"/>
  <c r="O54" i="8"/>
  <c r="O105" i="8"/>
  <c r="H71" i="8"/>
  <c r="M105" i="27"/>
  <c r="G15" i="27"/>
  <c r="G344" i="27"/>
  <c r="P344" i="27"/>
  <c r="P15" i="27"/>
  <c r="N54" i="8"/>
  <c r="N105" i="8"/>
  <c r="I54" i="8"/>
  <c r="I105" i="8"/>
  <c r="G105" i="8"/>
  <c r="G54" i="8"/>
  <c r="H15" i="27"/>
  <c r="H344" i="27"/>
  <c r="K105" i="8"/>
  <c r="K54" i="8"/>
  <c r="M250" i="8" l="1"/>
  <c r="Q24" i="8"/>
  <c r="T24" i="8" s="1"/>
  <c r="R15" i="8"/>
  <c r="Q15" i="27"/>
  <c r="S15" i="27" s="1"/>
  <c r="S10" i="27"/>
  <c r="J71" i="8"/>
  <c r="J107" i="8" s="1"/>
  <c r="J109" i="8" s="1"/>
  <c r="J123" i="8" s="1"/>
  <c r="J131" i="8" s="1"/>
  <c r="J249" i="8"/>
  <c r="L71" i="8"/>
  <c r="L107" i="8" s="1"/>
  <c r="L109" i="8" s="1"/>
  <c r="L123" i="8" s="1"/>
  <c r="L131" i="8" s="1"/>
  <c r="L249" i="8"/>
  <c r="P105" i="8"/>
  <c r="P249" i="8"/>
  <c r="P71" i="8"/>
  <c r="Q344" i="27"/>
  <c r="K71" i="8"/>
  <c r="K107" i="8" s="1"/>
  <c r="K109" i="8" s="1"/>
  <c r="K123" i="8" s="1"/>
  <c r="K131" i="8" s="1"/>
  <c r="K249" i="8"/>
  <c r="I105" i="27"/>
  <c r="I71" i="8"/>
  <c r="I107" i="8" s="1"/>
  <c r="I109" i="8" s="1"/>
  <c r="I123" i="8" s="1"/>
  <c r="I131" i="8" s="1"/>
  <c r="I249" i="8"/>
  <c r="Q90" i="8"/>
  <c r="F105" i="8"/>
  <c r="G71" i="8"/>
  <c r="G107" i="8" s="1"/>
  <c r="G109" i="8" s="1"/>
  <c r="G123" i="8" s="1"/>
  <c r="G131" i="8" s="1"/>
  <c r="G249" i="8"/>
  <c r="N249" i="8"/>
  <c r="N71" i="8"/>
  <c r="N107" i="8" s="1"/>
  <c r="N109" i="8" s="1"/>
  <c r="N123" i="8" s="1"/>
  <c r="N131" i="8" s="1"/>
  <c r="G105" i="27"/>
  <c r="P105" i="27"/>
  <c r="O249" i="8"/>
  <c r="O71" i="8"/>
  <c r="O107" i="8" s="1"/>
  <c r="O109" i="8" s="1"/>
  <c r="O123" i="8" s="1"/>
  <c r="O131" i="8" s="1"/>
  <c r="Q54" i="8"/>
  <c r="T54" i="8" s="1"/>
  <c r="F71" i="8"/>
  <c r="L250" i="8" l="1"/>
  <c r="I250" i="8"/>
  <c r="J250" i="8"/>
  <c r="O250" i="8"/>
  <c r="N250" i="8"/>
  <c r="G250" i="8"/>
  <c r="K250" i="8"/>
  <c r="R24" i="8"/>
  <c r="Y131" i="44"/>
  <c r="Z131" i="44" s="1"/>
  <c r="AA131" i="44" s="1"/>
  <c r="I131" i="44" s="1"/>
  <c r="H94" i="8" s="1"/>
  <c r="H237" i="8" s="1"/>
  <c r="R54" i="8"/>
  <c r="P107" i="8"/>
  <c r="P109" i="8" s="1"/>
  <c r="P123" i="8" s="1"/>
  <c r="P131" i="8" s="1"/>
  <c r="P250" i="8" s="1"/>
  <c r="R90" i="8"/>
  <c r="T90" i="8" s="1"/>
  <c r="F105" i="27"/>
  <c r="Q90" i="27"/>
  <c r="S90" i="27" s="1"/>
  <c r="F107" i="8"/>
  <c r="F109" i="8" s="1"/>
  <c r="F123" i="8" s="1"/>
  <c r="F131" i="8" s="1"/>
  <c r="Q228" i="8"/>
  <c r="F249" i="8"/>
  <c r="Q71" i="8"/>
  <c r="T71" i="8" s="1"/>
  <c r="H14" i="46"/>
  <c r="F250" i="8" l="1"/>
  <c r="R131" i="44"/>
  <c r="Q94" i="8"/>
  <c r="H105" i="8"/>
  <c r="H107" i="8" s="1"/>
  <c r="H109" i="8" s="1"/>
  <c r="H123" i="8" s="1"/>
  <c r="H131" i="8" s="1"/>
  <c r="H17" i="46"/>
  <c r="R71" i="8"/>
  <c r="V19" i="8"/>
  <c r="Q237" i="8" l="1"/>
  <c r="Q249" i="8" s="1"/>
  <c r="H249" i="8"/>
  <c r="H250" i="8" s="1"/>
  <c r="T94" i="8"/>
  <c r="R94" i="8"/>
  <c r="Q105" i="8"/>
  <c r="T105" i="8" l="1"/>
  <c r="R105" i="8"/>
  <c r="Q107" i="8"/>
  <c r="T107" i="8" l="1"/>
  <c r="Q109" i="8"/>
  <c r="R107" i="8"/>
  <c r="T109" i="8" l="1"/>
  <c r="R109" i="8"/>
  <c r="Q123" i="8"/>
  <c r="T123" i="8" l="1"/>
  <c r="Q131" i="8"/>
  <c r="Q250" i="8" s="1"/>
  <c r="R123" i="8"/>
  <c r="AJ31" i="41" a="1"/>
  <c r="G6" i="22" s="1"/>
  <c r="G18" i="22" s="1"/>
  <c r="G241" i="22" s="1"/>
  <c r="B28" i="41"/>
  <c r="X31" i="41" a="1"/>
  <c r="X31" i="41" s="1"/>
  <c r="R19" i="22"/>
  <c r="R129" i="22"/>
  <c r="R111" i="22"/>
  <c r="R75" i="22"/>
  <c r="R99" i="22"/>
  <c r="R117" i="22"/>
  <c r="R127" i="22"/>
  <c r="R23" i="22"/>
  <c r="T131" i="8" l="1"/>
  <c r="R131" i="8"/>
  <c r="G22" i="22"/>
  <c r="G24" i="22" s="1"/>
  <c r="G54" i="22" s="1"/>
  <c r="G253" i="22" s="1"/>
  <c r="O6" i="22"/>
  <c r="R77" i="22"/>
  <c r="R20" i="22"/>
  <c r="R79" i="22"/>
  <c r="R47" i="22"/>
  <c r="R35" i="22"/>
  <c r="R120" i="22"/>
  <c r="R60" i="22"/>
  <c r="R84" i="22"/>
  <c r="J6" i="22"/>
  <c r="R101" i="22"/>
  <c r="R119" i="22"/>
  <c r="R62" i="22"/>
  <c r="R34" i="22"/>
  <c r="R87" i="22"/>
  <c r="R14" i="22"/>
  <c r="I6" i="22"/>
  <c r="I18" i="22" s="1"/>
  <c r="I241" i="22" s="1"/>
  <c r="R41" i="22"/>
  <c r="R96" i="22"/>
  <c r="R100" i="22"/>
  <c r="R86" i="22"/>
  <c r="R115" i="22"/>
  <c r="R78" i="22"/>
  <c r="R40" i="22"/>
  <c r="R81" i="22"/>
  <c r="R88" i="22"/>
  <c r="M6" i="22"/>
  <c r="M18" i="22" s="1"/>
  <c r="M241" i="22" s="1"/>
  <c r="R83" i="22"/>
  <c r="R15" i="22"/>
  <c r="R27" i="22"/>
  <c r="H6" i="22"/>
  <c r="R63" i="22"/>
  <c r="P6" i="22"/>
  <c r="P18" i="22" s="1"/>
  <c r="P241" i="22" s="1"/>
  <c r="R21" i="22"/>
  <c r="R42" i="22"/>
  <c r="R12" i="22"/>
  <c r="T12" i="22" s="1"/>
  <c r="R49" i="22"/>
  <c r="R98" i="22"/>
  <c r="R61" i="22"/>
  <c r="R56" i="22"/>
  <c r="R92" i="22"/>
  <c r="AJ31" i="41"/>
  <c r="R52" i="22"/>
  <c r="R33" i="22"/>
  <c r="R90" i="22"/>
  <c r="T90" i="22" s="1"/>
  <c r="N6" i="22"/>
  <c r="N18" i="22" s="1"/>
  <c r="N241" i="22" s="1"/>
  <c r="R11" i="22"/>
  <c r="R103" i="22"/>
  <c r="K6" i="22"/>
  <c r="F6" i="22"/>
  <c r="F18" i="22" s="1"/>
  <c r="F241" i="22" s="1"/>
  <c r="R31" i="22"/>
  <c r="R13" i="22"/>
  <c r="R29" i="22"/>
  <c r="R43" i="22"/>
  <c r="G7" i="22"/>
  <c r="R128" i="22"/>
  <c r="R102" i="22"/>
  <c r="R114" i="22"/>
  <c r="R45" i="22"/>
  <c r="R112" i="22"/>
  <c r="R36" i="22"/>
  <c r="R10" i="22"/>
  <c r="R58" i="22"/>
  <c r="R48" i="22"/>
  <c r="R38" i="22"/>
  <c r="R113" i="22"/>
  <c r="R126" i="22"/>
  <c r="L6" i="22"/>
  <c r="L18" i="22" s="1"/>
  <c r="L241" i="22" s="1"/>
  <c r="R121" i="22"/>
  <c r="R50" i="22"/>
  <c r="R69" i="22"/>
  <c r="R82" i="22"/>
  <c r="F7" i="22" l="1"/>
  <c r="G51" i="44" s="1"/>
  <c r="L22" i="22"/>
  <c r="L24" i="22" s="1"/>
  <c r="L54" i="22" s="1"/>
  <c r="L253" i="22" s="1"/>
  <c r="H7" i="22"/>
  <c r="H18" i="22"/>
  <c r="H241" i="22" s="1"/>
  <c r="M22" i="22"/>
  <c r="M24" i="22" s="1"/>
  <c r="M54" i="22" s="1"/>
  <c r="M253" i="22" s="1"/>
  <c r="H75" i="44"/>
  <c r="H51" i="44"/>
  <c r="F22" i="22"/>
  <c r="F24" i="22" s="1"/>
  <c r="F54" i="22" s="1"/>
  <c r="F253" i="22" s="1"/>
  <c r="K7" i="22"/>
  <c r="K18" i="22"/>
  <c r="K241" i="22" s="1"/>
  <c r="O7" i="22"/>
  <c r="O18" i="22"/>
  <c r="O241" i="22" s="1"/>
  <c r="G54" i="27"/>
  <c r="I22" i="22"/>
  <c r="I24" i="22" s="1"/>
  <c r="I54" i="22" s="1"/>
  <c r="I253" i="22" s="1"/>
  <c r="N22" i="22"/>
  <c r="N24" i="22" s="1"/>
  <c r="P22" i="22"/>
  <c r="P24" i="22" s="1"/>
  <c r="J7" i="22"/>
  <c r="J18" i="22"/>
  <c r="J241" i="22" s="1"/>
  <c r="I7" i="22"/>
  <c r="L7" i="22"/>
  <c r="N7" i="22"/>
  <c r="P7" i="22"/>
  <c r="E6" i="22"/>
  <c r="E18" i="22" s="1"/>
  <c r="E241" i="22" s="1"/>
  <c r="M7" i="22"/>
  <c r="G75" i="44" l="1"/>
  <c r="F66" i="22" s="1"/>
  <c r="O51" i="44"/>
  <c r="O75" i="44"/>
  <c r="G65" i="22"/>
  <c r="I54" i="27"/>
  <c r="G66" i="22"/>
  <c r="J75" i="44"/>
  <c r="J51" i="44"/>
  <c r="H22" i="22"/>
  <c r="H24" i="22" s="1"/>
  <c r="H54" i="22" s="1"/>
  <c r="H253" i="22" s="1"/>
  <c r="G357" i="27"/>
  <c r="O22" i="22"/>
  <c r="O24" i="22" s="1"/>
  <c r="O54" i="22" s="1"/>
  <c r="O253" i="22" s="1"/>
  <c r="K75" i="44"/>
  <c r="K51" i="44"/>
  <c r="P51" i="44"/>
  <c r="P75" i="44"/>
  <c r="I75" i="44"/>
  <c r="I51" i="44"/>
  <c r="J22" i="22"/>
  <c r="J24" i="22" s="1"/>
  <c r="K22" i="22"/>
  <c r="K24" i="22" s="1"/>
  <c r="K54" i="22" s="1"/>
  <c r="K253" i="22" s="1"/>
  <c r="L54" i="27"/>
  <c r="N54" i="22"/>
  <c r="N253" i="22" s="1"/>
  <c r="N75" i="44"/>
  <c r="N51" i="44"/>
  <c r="Q18" i="22"/>
  <c r="T18" i="22" s="1"/>
  <c r="E22" i="22"/>
  <c r="E24" i="22" s="1"/>
  <c r="Q75" i="44"/>
  <c r="Q51" i="44"/>
  <c r="P54" i="22"/>
  <c r="P253" i="22" s="1"/>
  <c r="L75" i="44"/>
  <c r="L51" i="44"/>
  <c r="F65" i="22"/>
  <c r="M51" i="44"/>
  <c r="M75" i="44"/>
  <c r="M54" i="27"/>
  <c r="F54" i="27"/>
  <c r="E7" i="22"/>
  <c r="AJ141" i="41" a="1"/>
  <c r="P6" i="32" s="1"/>
  <c r="P18" i="32" s="1"/>
  <c r="X141" i="41" a="1"/>
  <c r="X141" i="41" s="1"/>
  <c r="R105" i="32"/>
  <c r="R90" i="32"/>
  <c r="T90" i="32" s="1"/>
  <c r="R54" i="32"/>
  <c r="R24" i="32"/>
  <c r="R22" i="32"/>
  <c r="R20" i="32"/>
  <c r="R129" i="32"/>
  <c r="R127" i="32"/>
  <c r="R126" i="32"/>
  <c r="R19" i="32"/>
  <c r="R58" i="32"/>
  <c r="R92" i="32"/>
  <c r="R84" i="32"/>
  <c r="R103" i="32"/>
  <c r="R115" i="32"/>
  <c r="R88" i="32"/>
  <c r="R15" i="32"/>
  <c r="R121" i="32"/>
  <c r="R63" i="32"/>
  <c r="R79" i="32"/>
  <c r="R119" i="32"/>
  <c r="R87" i="32"/>
  <c r="R86" i="32"/>
  <c r="R43" i="32"/>
  <c r="R81" i="32"/>
  <c r="R128" i="32"/>
  <c r="R49" i="32"/>
  <c r="R113" i="32"/>
  <c r="R60" i="32"/>
  <c r="R100" i="32"/>
  <c r="R120" i="32"/>
  <c r="R50" i="32"/>
  <c r="R14" i="32"/>
  <c r="R98" i="32"/>
  <c r="R56" i="32"/>
  <c r="R82" i="32"/>
  <c r="R62" i="32"/>
  <c r="R36" i="32"/>
  <c r="R114" i="32"/>
  <c r="R13" i="32"/>
  <c r="R12" i="32"/>
  <c r="T12" i="32" s="1"/>
  <c r="R21" i="32"/>
  <c r="R101" i="32"/>
  <c r="R112" i="32"/>
  <c r="R38" i="32"/>
  <c r="R69" i="32"/>
  <c r="R99" i="32"/>
  <c r="R78" i="32"/>
  <c r="R40" i="32"/>
  <c r="R94" i="32"/>
  <c r="R83" i="32"/>
  <c r="R102" i="32"/>
  <c r="R96" i="32"/>
  <c r="R117" i="32"/>
  <c r="R75" i="32"/>
  <c r="R61" i="32"/>
  <c r="R10" i="32"/>
  <c r="R111" i="32"/>
  <c r="R11" i="32"/>
  <c r="R45" i="32"/>
  <c r="R31" i="32"/>
  <c r="R29" i="32"/>
  <c r="R47" i="32"/>
  <c r="R33" i="32"/>
  <c r="R41" i="32"/>
  <c r="R48" i="32"/>
  <c r="R42" i="32"/>
  <c r="R35" i="32"/>
  <c r="R34" i="32"/>
  <c r="R77" i="32"/>
  <c r="R52" i="32"/>
  <c r="R27" i="32"/>
  <c r="A138" i="41"/>
  <c r="B138" i="41" s="1"/>
  <c r="R23" i="32"/>
  <c r="P18" i="27" l="1"/>
  <c r="L357" i="27"/>
  <c r="H66" i="22"/>
  <c r="I65" i="22"/>
  <c r="M357" i="27"/>
  <c r="P54" i="27"/>
  <c r="O66" i="22"/>
  <c r="I66" i="22"/>
  <c r="L66" i="22"/>
  <c r="P65" i="22"/>
  <c r="J66" i="22"/>
  <c r="I357" i="27"/>
  <c r="L65" i="22"/>
  <c r="P66" i="22"/>
  <c r="O54" i="27"/>
  <c r="H65" i="22"/>
  <c r="E54" i="22"/>
  <c r="E253" i="22" s="1"/>
  <c r="J54" i="22"/>
  <c r="J253" i="22" s="1"/>
  <c r="F51" i="44"/>
  <c r="F75" i="44"/>
  <c r="F67" i="22"/>
  <c r="F257" i="22" s="1"/>
  <c r="F274" i="22" s="1"/>
  <c r="Q241" i="22"/>
  <c r="G67" i="22"/>
  <c r="G257" i="22" s="1"/>
  <c r="G274" i="22" s="1"/>
  <c r="N54" i="27"/>
  <c r="R18" i="22"/>
  <c r="V18" i="22"/>
  <c r="Q22" i="22"/>
  <c r="T22" i="22" s="1"/>
  <c r="N66" i="22"/>
  <c r="O65" i="22"/>
  <c r="K54" i="27"/>
  <c r="F357" i="27"/>
  <c r="M65" i="22"/>
  <c r="N65" i="22"/>
  <c r="J65" i="22"/>
  <c r="K65" i="22"/>
  <c r="M66" i="22"/>
  <c r="H54" i="27"/>
  <c r="K66" i="22"/>
  <c r="B4" i="27"/>
  <c r="P7" i="32"/>
  <c r="K6" i="32"/>
  <c r="K18" i="32" s="1"/>
  <c r="O6" i="32"/>
  <c r="O18" i="32" s="1"/>
  <c r="J6" i="32"/>
  <c r="J18" i="32" s="1"/>
  <c r="F6" i="32"/>
  <c r="F18" i="32" s="1"/>
  <c r="I6" i="32"/>
  <c r="I18" i="32" s="1"/>
  <c r="AJ141" i="41"/>
  <c r="M6" i="32"/>
  <c r="M18" i="32" s="1"/>
  <c r="H6" i="32"/>
  <c r="H18" i="32" s="1"/>
  <c r="N6" i="32"/>
  <c r="N18" i="32" s="1"/>
  <c r="L6" i="32"/>
  <c r="L18" i="32" s="1"/>
  <c r="G6" i="32"/>
  <c r="G18" i="32" s="1"/>
  <c r="N18" i="27" l="1"/>
  <c r="G18" i="27"/>
  <c r="H18" i="27"/>
  <c r="M18" i="27"/>
  <c r="K18" i="27"/>
  <c r="J18" i="27"/>
  <c r="P22" i="27"/>
  <c r="P24" i="27" s="1"/>
  <c r="P345" i="27"/>
  <c r="L18" i="27"/>
  <c r="I18" i="27"/>
  <c r="F18" i="27"/>
  <c r="O18" i="27"/>
  <c r="Q56" i="44"/>
  <c r="Q80" i="44"/>
  <c r="E65" i="22"/>
  <c r="R51" i="44"/>
  <c r="L67" i="22"/>
  <c r="L257" i="22" s="1"/>
  <c r="L274" i="22" s="1"/>
  <c r="P357" i="27"/>
  <c r="K67" i="22"/>
  <c r="K257" i="22" s="1"/>
  <c r="K274" i="22" s="1"/>
  <c r="H67" i="22"/>
  <c r="H257" i="22" s="1"/>
  <c r="G71" i="22"/>
  <c r="G107" i="22" s="1"/>
  <c r="G109" i="22" s="1"/>
  <c r="G123" i="22" s="1"/>
  <c r="G132" i="22" s="1"/>
  <c r="G275" i="22" s="1"/>
  <c r="O357" i="27"/>
  <c r="I67" i="22"/>
  <c r="I257" i="22" s="1"/>
  <c r="I274" i="22" s="1"/>
  <c r="M67" i="22"/>
  <c r="M257" i="22" s="1"/>
  <c r="M274" i="22" s="1"/>
  <c r="P67" i="22"/>
  <c r="P257" i="22" s="1"/>
  <c r="P274" i="22" s="1"/>
  <c r="H357" i="27"/>
  <c r="N357" i="27"/>
  <c r="O67" i="22"/>
  <c r="O257" i="22" s="1"/>
  <c r="O274" i="22" s="1"/>
  <c r="J67" i="22"/>
  <c r="J257" i="22" s="1"/>
  <c r="J274" i="22" s="1"/>
  <c r="Q54" i="22"/>
  <c r="T54" i="22" s="1"/>
  <c r="E54" i="27"/>
  <c r="F71" i="22"/>
  <c r="F107" i="22" s="1"/>
  <c r="F109" i="22" s="1"/>
  <c r="F123" i="22" s="1"/>
  <c r="F132" i="22" s="1"/>
  <c r="F275" i="22" s="1"/>
  <c r="N67" i="22"/>
  <c r="N257" i="22" s="1"/>
  <c r="N274" i="22" s="1"/>
  <c r="K357" i="27"/>
  <c r="J54" i="27"/>
  <c r="Q24" i="22"/>
  <c r="R22" i="22"/>
  <c r="E66" i="22"/>
  <c r="R75" i="44"/>
  <c r="P6" i="27"/>
  <c r="E6" i="32"/>
  <c r="E18" i="32" s="1"/>
  <c r="G7" i="32"/>
  <c r="I7" i="32"/>
  <c r="L7" i="32"/>
  <c r="F7" i="32"/>
  <c r="N7" i="32"/>
  <c r="J7" i="32"/>
  <c r="O7" i="32"/>
  <c r="K7" i="32"/>
  <c r="H7" i="32"/>
  <c r="M7" i="32"/>
  <c r="T24" i="22" l="1"/>
  <c r="Y130" i="44"/>
  <c r="Z130" i="44" s="1"/>
  <c r="I345" i="27"/>
  <c r="I22" i="27"/>
  <c r="I24" i="27" s="1"/>
  <c r="L345" i="27"/>
  <c r="L22" i="27"/>
  <c r="L24" i="27" s="1"/>
  <c r="H6" i="27"/>
  <c r="I80" i="44"/>
  <c r="I56" i="44"/>
  <c r="N6" i="27"/>
  <c r="O56" i="44"/>
  <c r="O80" i="44"/>
  <c r="P66" i="32"/>
  <c r="P66" i="27" s="1"/>
  <c r="Q81" i="44"/>
  <c r="O345" i="27"/>
  <c r="O22" i="27"/>
  <c r="O24" i="27" s="1"/>
  <c r="K6" i="27"/>
  <c r="L80" i="44"/>
  <c r="L56" i="44"/>
  <c r="O6" i="27"/>
  <c r="P56" i="44"/>
  <c r="P80" i="44"/>
  <c r="F6" i="27"/>
  <c r="G80" i="44"/>
  <c r="G56" i="44"/>
  <c r="L6" i="27"/>
  <c r="M80" i="44"/>
  <c r="M56" i="44"/>
  <c r="Q18" i="32"/>
  <c r="E18" i="27"/>
  <c r="G345" i="27"/>
  <c r="G22" i="27"/>
  <c r="G24" i="27" s="1"/>
  <c r="J6" i="27"/>
  <c r="K56" i="44"/>
  <c r="K80" i="44"/>
  <c r="J345" i="27"/>
  <c r="J22" i="27"/>
  <c r="J24" i="27" s="1"/>
  <c r="I6" i="27"/>
  <c r="J80" i="44"/>
  <c r="J56" i="44"/>
  <c r="G6" i="27"/>
  <c r="H80" i="44"/>
  <c r="H56" i="44"/>
  <c r="F345" i="27"/>
  <c r="F22" i="27"/>
  <c r="F24" i="27" s="1"/>
  <c r="N345" i="27"/>
  <c r="N22" i="27"/>
  <c r="N24" i="27" s="1"/>
  <c r="M6" i="27"/>
  <c r="N56" i="44"/>
  <c r="N80" i="44"/>
  <c r="K345" i="27"/>
  <c r="K22" i="27"/>
  <c r="K24" i="27" s="1"/>
  <c r="M345" i="27"/>
  <c r="M22" i="27"/>
  <c r="M24" i="27" s="1"/>
  <c r="H345" i="27"/>
  <c r="H22" i="27"/>
  <c r="H24" i="27" s="1"/>
  <c r="P65" i="32"/>
  <c r="Q57" i="44"/>
  <c r="J71" i="22"/>
  <c r="J107" i="22" s="1"/>
  <c r="J109" i="22" s="1"/>
  <c r="J123" i="22" s="1"/>
  <c r="J132" i="22" s="1"/>
  <c r="J275" i="22" s="1"/>
  <c r="Q253" i="22"/>
  <c r="K71" i="22"/>
  <c r="K107" i="22" s="1"/>
  <c r="K109" i="22" s="1"/>
  <c r="K123" i="22" s="1"/>
  <c r="K132" i="22" s="1"/>
  <c r="K275" i="22" s="1"/>
  <c r="E357" i="27"/>
  <c r="Q54" i="27"/>
  <c r="S54" i="27" s="1"/>
  <c r="G14" i="46"/>
  <c r="R54" i="22"/>
  <c r="I71" i="22"/>
  <c r="I107" i="22" s="1"/>
  <c r="I109" i="22" s="1"/>
  <c r="I123" i="22" s="1"/>
  <c r="I132" i="22" s="1"/>
  <c r="I275" i="22" s="1"/>
  <c r="Q25" i="27"/>
  <c r="R24" i="22"/>
  <c r="M71" i="22"/>
  <c r="M107" i="22" s="1"/>
  <c r="M109" i="22" s="1"/>
  <c r="M123" i="22" s="1"/>
  <c r="M132" i="22" s="1"/>
  <c r="M275" i="22" s="1"/>
  <c r="P71" i="22"/>
  <c r="P107" i="22" s="1"/>
  <c r="P109" i="22" s="1"/>
  <c r="P123" i="22" s="1"/>
  <c r="P132" i="22" s="1"/>
  <c r="P275" i="22" s="1"/>
  <c r="O71" i="22"/>
  <c r="O107" i="22" s="1"/>
  <c r="O109" i="22" s="1"/>
  <c r="O123" i="22" s="1"/>
  <c r="O132" i="22" s="1"/>
  <c r="O275" i="22" s="1"/>
  <c r="N71" i="22"/>
  <c r="N107" i="22" s="1"/>
  <c r="N109" i="22" s="1"/>
  <c r="N123" i="22" s="1"/>
  <c r="N132" i="22" s="1"/>
  <c r="N275" i="22" s="1"/>
  <c r="L71" i="22"/>
  <c r="L107" i="22" s="1"/>
  <c r="L109" i="22" s="1"/>
  <c r="L123" i="22" s="1"/>
  <c r="L132" i="22" s="1"/>
  <c r="L275" i="22" s="1"/>
  <c r="Q66" i="22"/>
  <c r="R66" i="22" s="1"/>
  <c r="J357" i="27"/>
  <c r="H71" i="22"/>
  <c r="Q65" i="22"/>
  <c r="E67" i="22"/>
  <c r="E257" i="22" s="1"/>
  <c r="E274" i="22" s="1"/>
  <c r="E7" i="32"/>
  <c r="AA130" i="44" l="1"/>
  <c r="Z136" i="44"/>
  <c r="V18" i="32"/>
  <c r="T18" i="32"/>
  <c r="I65" i="32"/>
  <c r="J57" i="44"/>
  <c r="G66" i="32"/>
  <c r="G66" i="27" s="1"/>
  <c r="H81" i="44"/>
  <c r="E6" i="27"/>
  <c r="F56" i="44"/>
  <c r="F80" i="44"/>
  <c r="J66" i="32"/>
  <c r="J66" i="27" s="1"/>
  <c r="K81" i="44"/>
  <c r="R18" i="32"/>
  <c r="K66" i="32"/>
  <c r="K66" i="27" s="1"/>
  <c r="L81" i="44"/>
  <c r="Q144" i="32"/>
  <c r="H65" i="32"/>
  <c r="I57" i="44"/>
  <c r="K65" i="32"/>
  <c r="L57" i="44"/>
  <c r="J65" i="32"/>
  <c r="K57" i="44"/>
  <c r="H66" i="32"/>
  <c r="H66" i="27" s="1"/>
  <c r="I81" i="44"/>
  <c r="F65" i="32"/>
  <c r="G57" i="44"/>
  <c r="F66" i="32"/>
  <c r="F66" i="27" s="1"/>
  <c r="G81" i="44"/>
  <c r="Q18" i="27"/>
  <c r="E22" i="27"/>
  <c r="E24" i="27" s="1"/>
  <c r="E345" i="27"/>
  <c r="Q345" i="27" s="1"/>
  <c r="N65" i="32"/>
  <c r="O57" i="44"/>
  <c r="L65" i="32"/>
  <c r="M57" i="44"/>
  <c r="L66" i="32"/>
  <c r="L66" i="27" s="1"/>
  <c r="M81" i="44"/>
  <c r="O66" i="32"/>
  <c r="O66" i="27" s="1"/>
  <c r="P81" i="44"/>
  <c r="I66" i="32"/>
  <c r="I66" i="27" s="1"/>
  <c r="J81" i="44"/>
  <c r="P67" i="32"/>
  <c r="P65" i="27"/>
  <c r="P67" i="27" s="1"/>
  <c r="N66" i="32"/>
  <c r="N66" i="27" s="1"/>
  <c r="O81" i="44"/>
  <c r="M66" i="32"/>
  <c r="M66" i="27" s="1"/>
  <c r="N81" i="44"/>
  <c r="M65" i="32"/>
  <c r="N57" i="44"/>
  <c r="G65" i="32"/>
  <c r="H57" i="44"/>
  <c r="O65" i="32"/>
  <c r="P57" i="44"/>
  <c r="E71" i="22"/>
  <c r="E107" i="22" s="1"/>
  <c r="E109" i="22" s="1"/>
  <c r="E123" i="22" s="1"/>
  <c r="E132" i="22" s="1"/>
  <c r="E275" i="22" s="1"/>
  <c r="E14" i="46"/>
  <c r="Q357" i="27"/>
  <c r="Q67" i="22"/>
  <c r="T67" i="22" s="1"/>
  <c r="R65" i="22"/>
  <c r="H46" i="44"/>
  <c r="N46" i="44"/>
  <c r="I46" i="44"/>
  <c r="I130" i="44" l="1"/>
  <c r="AA136" i="44"/>
  <c r="K67" i="32"/>
  <c r="K65" i="27"/>
  <c r="K67" i="27" s="1"/>
  <c r="H67" i="32"/>
  <c r="H65" i="27"/>
  <c r="H67" i="27" s="1"/>
  <c r="N67" i="32"/>
  <c r="N65" i="27"/>
  <c r="N67" i="27" s="1"/>
  <c r="O67" i="32"/>
  <c r="O65" i="27"/>
  <c r="O67" i="27" s="1"/>
  <c r="J67" i="32"/>
  <c r="J65" i="27"/>
  <c r="J67" i="27" s="1"/>
  <c r="E66" i="32"/>
  <c r="R80" i="44"/>
  <c r="R81" i="44" s="1"/>
  <c r="F81" i="44"/>
  <c r="E65" i="32"/>
  <c r="R56" i="44"/>
  <c r="R57" i="44" s="1"/>
  <c r="F57" i="44"/>
  <c r="F67" i="32"/>
  <c r="F65" i="27"/>
  <c r="F67" i="27" s="1"/>
  <c r="P177" i="32"/>
  <c r="P71" i="32"/>
  <c r="P107" i="32" s="1"/>
  <c r="P109" i="32" s="1"/>
  <c r="P123" i="32" s="1"/>
  <c r="P131" i="32" s="1"/>
  <c r="G67" i="32"/>
  <c r="G65" i="27"/>
  <c r="G67" i="27" s="1"/>
  <c r="M67" i="32"/>
  <c r="M65" i="27"/>
  <c r="M67" i="27" s="1"/>
  <c r="I67" i="32"/>
  <c r="I65" i="27"/>
  <c r="I67" i="27" s="1"/>
  <c r="P361" i="27"/>
  <c r="P379" i="27" s="1"/>
  <c r="P71" i="27"/>
  <c r="P108" i="27" s="1"/>
  <c r="P111" i="27" s="1"/>
  <c r="P125" i="27" s="1"/>
  <c r="P134" i="27" s="1"/>
  <c r="L67" i="32"/>
  <c r="L65" i="27"/>
  <c r="L67" i="27" s="1"/>
  <c r="S18" i="27"/>
  <c r="Q22" i="27"/>
  <c r="G16" i="46"/>
  <c r="R67" i="22"/>
  <c r="Q71" i="22"/>
  <c r="T71" i="22" s="1"/>
  <c r="Q257" i="22"/>
  <c r="R40" i="44"/>
  <c r="K46" i="44"/>
  <c r="J46" i="44"/>
  <c r="R44" i="44"/>
  <c r="R42" i="44"/>
  <c r="M46" i="44"/>
  <c r="R43" i="44"/>
  <c r="R45" i="44"/>
  <c r="O46" i="44"/>
  <c r="R41" i="44"/>
  <c r="P46" i="44"/>
  <c r="R39" i="44"/>
  <c r="G46" i="44"/>
  <c r="L46" i="44"/>
  <c r="F46" i="44"/>
  <c r="Q46" i="44"/>
  <c r="P178" i="32" l="1"/>
  <c r="H94" i="22"/>
  <c r="H262" i="22" s="1"/>
  <c r="H274" i="22" s="1"/>
  <c r="R130" i="44"/>
  <c r="R136" i="44" s="1"/>
  <c r="I136" i="44"/>
  <c r="M177" i="32"/>
  <c r="M71" i="32"/>
  <c r="M107" i="32" s="1"/>
  <c r="M109" i="32" s="1"/>
  <c r="M123" i="32" s="1"/>
  <c r="M131" i="32" s="1"/>
  <c r="F177" i="32"/>
  <c r="F71" i="32"/>
  <c r="F107" i="32" s="1"/>
  <c r="F109" i="32" s="1"/>
  <c r="F123" i="32" s="1"/>
  <c r="F131" i="32" s="1"/>
  <c r="L71" i="27"/>
  <c r="L108" i="27" s="1"/>
  <c r="L111" i="27" s="1"/>
  <c r="L125" i="27" s="1"/>
  <c r="L134" i="27" s="1"/>
  <c r="L361" i="27"/>
  <c r="L379" i="27" s="1"/>
  <c r="Q66" i="32"/>
  <c r="R66" i="32" s="1"/>
  <c r="E66" i="27"/>
  <c r="Q66" i="27" s="1"/>
  <c r="J361" i="27"/>
  <c r="J379" i="27" s="1"/>
  <c r="J71" i="27"/>
  <c r="J108" i="27" s="1"/>
  <c r="J111" i="27" s="1"/>
  <c r="J125" i="27" s="1"/>
  <c r="J134" i="27" s="1"/>
  <c r="O361" i="27"/>
  <c r="O379" i="27" s="1"/>
  <c r="O71" i="27"/>
  <c r="O108" i="27" s="1"/>
  <c r="O111" i="27" s="1"/>
  <c r="O125" i="27" s="1"/>
  <c r="O134" i="27" s="1"/>
  <c r="O177" i="32"/>
  <c r="O71" i="32"/>
  <c r="O107" i="32" s="1"/>
  <c r="O109" i="32" s="1"/>
  <c r="O123" i="32" s="1"/>
  <c r="O131" i="32" s="1"/>
  <c r="L177" i="32"/>
  <c r="L71" i="32"/>
  <c r="L107" i="32" s="1"/>
  <c r="L109" i="32" s="1"/>
  <c r="L123" i="32" s="1"/>
  <c r="L131" i="32" s="1"/>
  <c r="N177" i="32"/>
  <c r="N71" i="32"/>
  <c r="N107" i="32" s="1"/>
  <c r="N109" i="32" s="1"/>
  <c r="N123" i="32" s="1"/>
  <c r="N131" i="32" s="1"/>
  <c r="H361" i="27"/>
  <c r="H71" i="27"/>
  <c r="I361" i="27"/>
  <c r="I379" i="27" s="1"/>
  <c r="I71" i="27"/>
  <c r="I108" i="27" s="1"/>
  <c r="I111" i="27" s="1"/>
  <c r="I125" i="27" s="1"/>
  <c r="I134" i="27" s="1"/>
  <c r="H177" i="32"/>
  <c r="H71" i="32"/>
  <c r="H107" i="32" s="1"/>
  <c r="H109" i="32" s="1"/>
  <c r="H123" i="32" s="1"/>
  <c r="H131" i="32" s="1"/>
  <c r="N361" i="27"/>
  <c r="N379" i="27" s="1"/>
  <c r="N71" i="27"/>
  <c r="N108" i="27" s="1"/>
  <c r="N111" i="27" s="1"/>
  <c r="N125" i="27" s="1"/>
  <c r="N134" i="27" s="1"/>
  <c r="I177" i="32"/>
  <c r="I71" i="32"/>
  <c r="I107" i="32" s="1"/>
  <c r="I109" i="32" s="1"/>
  <c r="I123" i="32" s="1"/>
  <c r="I131" i="32" s="1"/>
  <c r="K361" i="27"/>
  <c r="K379" i="27" s="1"/>
  <c r="K71" i="27"/>
  <c r="K108" i="27" s="1"/>
  <c r="K111" i="27" s="1"/>
  <c r="K125" i="27" s="1"/>
  <c r="K134" i="27" s="1"/>
  <c r="G361" i="27"/>
  <c r="G379" i="27" s="1"/>
  <c r="G71" i="27"/>
  <c r="G108" i="27" s="1"/>
  <c r="G111" i="27" s="1"/>
  <c r="G125" i="27" s="1"/>
  <c r="G134" i="27" s="1"/>
  <c r="G177" i="32"/>
  <c r="G71" i="32"/>
  <c r="G107" i="32" s="1"/>
  <c r="G109" i="32" s="1"/>
  <c r="G123" i="32" s="1"/>
  <c r="G131" i="32" s="1"/>
  <c r="F361" i="27"/>
  <c r="F379" i="27" s="1"/>
  <c r="F71" i="27"/>
  <c r="F108" i="27" s="1"/>
  <c r="F111" i="27" s="1"/>
  <c r="F125" i="27" s="1"/>
  <c r="F134" i="27" s="1"/>
  <c r="Q65" i="32"/>
  <c r="E67" i="32"/>
  <c r="E65" i="27"/>
  <c r="Q24" i="27"/>
  <c r="S24" i="27" s="1"/>
  <c r="S22" i="27"/>
  <c r="J177" i="32"/>
  <c r="J71" i="32"/>
  <c r="J107" i="32" s="1"/>
  <c r="J109" i="32" s="1"/>
  <c r="J123" i="32" s="1"/>
  <c r="J131" i="32" s="1"/>
  <c r="M71" i="27"/>
  <c r="M108" i="27" s="1"/>
  <c r="M111" i="27" s="1"/>
  <c r="M125" i="27" s="1"/>
  <c r="M134" i="27" s="1"/>
  <c r="M361" i="27"/>
  <c r="M379" i="27" s="1"/>
  <c r="K177" i="32"/>
  <c r="K71" i="32"/>
  <c r="K107" i="32" s="1"/>
  <c r="K109" i="32" s="1"/>
  <c r="K123" i="32" s="1"/>
  <c r="K131" i="32" s="1"/>
  <c r="G17" i="46"/>
  <c r="V19" i="22"/>
  <c r="R71" i="22"/>
  <c r="R46" i="44"/>
  <c r="M178" i="32" l="1"/>
  <c r="I178" i="32"/>
  <c r="F178" i="32"/>
  <c r="K178" i="32"/>
  <c r="G178" i="32"/>
  <c r="N178" i="32"/>
  <c r="L178" i="32"/>
  <c r="J178" i="32"/>
  <c r="O178" i="32"/>
  <c r="H178" i="32"/>
  <c r="Q94" i="22"/>
  <c r="H105" i="22"/>
  <c r="H107" i="22" s="1"/>
  <c r="H109" i="22" s="1"/>
  <c r="H123" i="22" s="1"/>
  <c r="H132" i="22" s="1"/>
  <c r="H275" i="22" s="1"/>
  <c r="H94" i="27"/>
  <c r="Q67" i="32"/>
  <c r="T67" i="32" s="1"/>
  <c r="R65" i="32"/>
  <c r="E67" i="27"/>
  <c r="Q65" i="27"/>
  <c r="Q67" i="27" s="1"/>
  <c r="E71" i="32"/>
  <c r="E107" i="32" s="1"/>
  <c r="E109" i="32" s="1"/>
  <c r="E123" i="32" s="1"/>
  <c r="E131" i="32" s="1"/>
  <c r="Q94" i="27" l="1"/>
  <c r="H366" i="27"/>
  <c r="H105" i="27"/>
  <c r="H108" i="27" s="1"/>
  <c r="H111" i="27" s="1"/>
  <c r="H125" i="27" s="1"/>
  <c r="H134" i="27" s="1"/>
  <c r="Q262" i="22"/>
  <c r="Q274" i="22" s="1"/>
  <c r="T94" i="22"/>
  <c r="Q105" i="22"/>
  <c r="R94" i="22"/>
  <c r="Q160" i="32"/>
  <c r="Q177" i="32" s="1"/>
  <c r="E177" i="32"/>
  <c r="E178" i="32" s="1"/>
  <c r="Q71" i="27"/>
  <c r="S67" i="27"/>
  <c r="E71" i="27"/>
  <c r="E108" i="27" s="1"/>
  <c r="E111" i="27" s="1"/>
  <c r="E125" i="27" s="1"/>
  <c r="E134" i="27" s="1"/>
  <c r="E141" i="27" s="1"/>
  <c r="F141" i="27" s="1"/>
  <c r="G141" i="27" s="1"/>
  <c r="E361" i="27"/>
  <c r="L16" i="46"/>
  <c r="Q71" i="32"/>
  <c r="T71" i="32" s="1"/>
  <c r="R67" i="32"/>
  <c r="H141" i="27" l="1"/>
  <c r="I141" i="27" s="1"/>
  <c r="J141" i="27" s="1"/>
  <c r="K141" i="27" s="1"/>
  <c r="L141" i="27" s="1"/>
  <c r="M141" i="27" s="1"/>
  <c r="N141" i="27" s="1"/>
  <c r="O141" i="27" s="1"/>
  <c r="P141" i="27" s="1"/>
  <c r="T105" i="22"/>
  <c r="Q106" i="27"/>
  <c r="R105" i="22"/>
  <c r="Q107" i="22"/>
  <c r="Q366" i="27"/>
  <c r="H379" i="27"/>
  <c r="S94" i="27"/>
  <c r="Q105" i="27"/>
  <c r="Q108" i="27" s="1"/>
  <c r="V19" i="32"/>
  <c r="Q107" i="32"/>
  <c r="T107" i="32" s="1"/>
  <c r="R71" i="32"/>
  <c r="Q72" i="27"/>
  <c r="Q361" i="27"/>
  <c r="E379" i="27"/>
  <c r="L17" i="46"/>
  <c r="E17" i="46" s="1"/>
  <c r="E16" i="46"/>
  <c r="S71" i="27"/>
  <c r="Q379" i="27" l="1"/>
  <c r="Q380" i="27" s="1"/>
  <c r="T107" i="22"/>
  <c r="R107" i="22"/>
  <c r="Q109" i="22"/>
  <c r="Q107" i="27"/>
  <c r="S105" i="27"/>
  <c r="Q111" i="27"/>
  <c r="S108" i="27"/>
  <c r="Q109" i="32"/>
  <c r="T109" i="32" s="1"/>
  <c r="R107" i="32"/>
  <c r="Q109" i="27"/>
  <c r="T109" i="22" l="1"/>
  <c r="Q123" i="22"/>
  <c r="R109" i="22"/>
  <c r="Q123" i="32"/>
  <c r="T123" i="32" s="1"/>
  <c r="R109" i="32"/>
  <c r="Q112" i="27"/>
  <c r="S111" i="27"/>
  <c r="Q125" i="27"/>
  <c r="C11" i="49"/>
  <c r="T123" i="22" l="1"/>
  <c r="Q132" i="22"/>
  <c r="Q275" i="22" s="1"/>
  <c r="R123" i="22"/>
  <c r="D11" i="49"/>
  <c r="E11" i="49"/>
  <c r="C13" i="49"/>
  <c r="Q131" i="32"/>
  <c r="R123" i="32"/>
  <c r="S125" i="27"/>
  <c r="Q134" i="27"/>
  <c r="W67" i="43" s="1"/>
  <c r="T131" i="32" l="1"/>
  <c r="Q178" i="32"/>
  <c r="T132" i="22"/>
  <c r="R132" i="22"/>
  <c r="E5" i="59"/>
  <c r="E13" i="59" s="1"/>
  <c r="S134" i="27"/>
  <c r="Q141" i="27"/>
  <c r="R131" i="32"/>
  <c r="E29" i="49"/>
  <c r="E31" i="49" s="1"/>
  <c r="F11" i="49"/>
  <c r="E13" i="49"/>
  <c r="D13" i="49"/>
  <c r="D29" i="49"/>
  <c r="F13" i="49" l="1"/>
  <c r="F29" i="49"/>
  <c r="F31" i="49" s="1"/>
  <c r="D44" i="49"/>
  <c r="D31" i="49"/>
  <c r="E22" i="59"/>
  <c r="E44" i="49" l="1"/>
  <c r="D47" i="49"/>
  <c r="D50" i="49" s="1"/>
  <c r="E47" i="49" l="1"/>
  <c r="E50" i="49" s="1"/>
  <c r="F44" i="49"/>
  <c r="F47" i="49" s="1"/>
  <c r="F50" i="49" s="1"/>
  <c r="D141" i="6" l="1"/>
  <c r="D140" i="6"/>
  <c r="Q141" i="6" l="1"/>
  <c r="D165" i="6"/>
  <c r="D186" i="6" s="1"/>
  <c r="D144" i="6" l="1"/>
  <c r="D166" i="6"/>
  <c r="D145" i="6" l="1"/>
  <c r="D167" i="6"/>
  <c r="D168" i="6"/>
  <c r="D147" i="6" l="1"/>
  <c r="D146" i="6"/>
  <c r="D170" i="6"/>
  <c r="D191" i="6" s="1"/>
  <c r="D149" i="6" l="1"/>
  <c r="D171" i="6"/>
  <c r="D150" i="6" l="1"/>
  <c r="D174" i="6"/>
  <c r="D195" i="6" s="1"/>
  <c r="D153" i="6" l="1"/>
  <c r="D175" i="6"/>
  <c r="D154" i="6" l="1"/>
  <c r="E176" i="6"/>
  <c r="G176" i="6"/>
  <c r="Q174" i="6"/>
  <c r="Q164" i="6"/>
  <c r="Q168" i="6"/>
  <c r="Q173" i="6"/>
  <c r="Q170" i="6"/>
  <c r="O176" i="6"/>
  <c r="N176" i="6"/>
  <c r="H176" i="6"/>
  <c r="Q161" i="6"/>
  <c r="K176" i="6"/>
  <c r="J176" i="6"/>
  <c r="M176" i="6"/>
  <c r="F176" i="6"/>
  <c r="Q169" i="6"/>
  <c r="P176" i="6"/>
  <c r="Q167" i="6"/>
  <c r="Q160" i="6"/>
  <c r="Q171" i="6"/>
  <c r="Q162" i="6"/>
  <c r="Q163" i="6"/>
  <c r="I176" i="6"/>
  <c r="Q165" i="6"/>
  <c r="Q175" i="6"/>
  <c r="Q172" i="6"/>
  <c r="Q166" i="6"/>
  <c r="L176" i="6"/>
  <c r="H177" i="6" l="1"/>
  <c r="K177" i="6"/>
  <c r="O177" i="6"/>
  <c r="I177" i="6"/>
  <c r="G177" i="6"/>
  <c r="N177" i="6"/>
  <c r="F177" i="6"/>
  <c r="E177" i="6"/>
  <c r="J177" i="6"/>
  <c r="Q176" i="6"/>
  <c r="Q177" i="6" s="1"/>
  <c r="P177" i="6"/>
  <c r="L177" i="6"/>
  <c r="M177" i="6"/>
  <c r="Q194" i="6"/>
  <c r="Q190" i="6"/>
  <c r="Q184" i="6"/>
  <c r="Q185" i="6"/>
  <c r="Q193" i="6"/>
  <c r="Q183" i="6"/>
  <c r="Q204" i="22" l="1"/>
  <c r="Q182" i="6"/>
  <c r="Q181" i="6"/>
  <c r="G139" i="6"/>
  <c r="M140" i="6"/>
  <c r="L140" i="6"/>
  <c r="I139" i="6"/>
  <c r="L139" i="6"/>
  <c r="P139" i="6"/>
  <c r="I140" i="6"/>
  <c r="F139" i="6"/>
  <c r="P140" i="6"/>
  <c r="O139" i="6"/>
  <c r="G140" i="6"/>
  <c r="O140" i="6"/>
  <c r="N140" i="6"/>
  <c r="J139" i="6"/>
  <c r="K139" i="6"/>
  <c r="N139" i="6"/>
  <c r="J140" i="6"/>
  <c r="K140" i="6"/>
  <c r="M139" i="6"/>
  <c r="E139" i="6"/>
  <c r="H139" i="6"/>
  <c r="F140" i="6"/>
  <c r="E140" i="6"/>
  <c r="H140" i="6"/>
  <c r="Q143" i="6"/>
  <c r="Q147" i="6"/>
  <c r="Q152" i="6"/>
  <c r="Q151" i="6"/>
  <c r="Q153" i="6"/>
  <c r="Q188" i="6"/>
  <c r="Q189" i="6"/>
  <c r="Q142" i="6"/>
  <c r="Q148" i="6"/>
  <c r="Q195" i="6"/>
  <c r="Q218" i="22" l="1"/>
  <c r="K145" i="6"/>
  <c r="I144" i="6"/>
  <c r="G145" i="6"/>
  <c r="L145" i="6"/>
  <c r="N144" i="6"/>
  <c r="P145" i="6"/>
  <c r="M145" i="6"/>
  <c r="J145" i="6"/>
  <c r="K144" i="6"/>
  <c r="O145" i="6"/>
  <c r="H145" i="6"/>
  <c r="F145" i="6"/>
  <c r="G144" i="6"/>
  <c r="Q140" i="6"/>
  <c r="J144" i="6"/>
  <c r="F144" i="6"/>
  <c r="H144" i="6"/>
  <c r="I145" i="6"/>
  <c r="L144" i="6"/>
  <c r="E145" i="6"/>
  <c r="Q187" i="6"/>
  <c r="Q139" i="6"/>
  <c r="O144" i="6"/>
  <c r="E144" i="6"/>
  <c r="Q186" i="6"/>
  <c r="N145" i="6"/>
  <c r="M144" i="6"/>
  <c r="P144" i="6"/>
  <c r="Q146" i="6"/>
  <c r="D160" i="6"/>
  <c r="D139" i="6" s="1"/>
  <c r="D173" i="6"/>
  <c r="D152" i="6" s="1"/>
  <c r="D172" i="6"/>
  <c r="D151" i="6" s="1"/>
  <c r="D169" i="6"/>
  <c r="D148" i="6" s="1"/>
  <c r="D164" i="6"/>
  <c r="D143" i="6" s="1"/>
  <c r="D163" i="6"/>
  <c r="D142" i="6" s="1"/>
  <c r="F150" i="6" l="1"/>
  <c r="H150" i="6"/>
  <c r="L150" i="6"/>
  <c r="I150" i="6"/>
  <c r="N150" i="6"/>
  <c r="O150" i="6"/>
  <c r="G150" i="6"/>
  <c r="P150" i="6"/>
  <c r="Q223" i="22"/>
  <c r="J150" i="6"/>
  <c r="K150" i="6"/>
  <c r="M150" i="6"/>
  <c r="J149" i="6"/>
  <c r="P149" i="6"/>
  <c r="Q145" i="6"/>
  <c r="N149" i="6"/>
  <c r="I149" i="6"/>
  <c r="M149" i="6"/>
  <c r="G149" i="6"/>
  <c r="H149" i="6"/>
  <c r="L149" i="6"/>
  <c r="E149" i="6"/>
  <c r="Q191" i="6"/>
  <c r="E150" i="6"/>
  <c r="Q192" i="6"/>
  <c r="Q144" i="6"/>
  <c r="F149" i="6"/>
  <c r="O149" i="6"/>
  <c r="K149" i="6"/>
  <c r="P154" i="6" l="1"/>
  <c r="P155" i="6" s="1"/>
  <c r="P156" i="6" s="1"/>
  <c r="L154" i="6"/>
  <c r="K154" i="6"/>
  <c r="K155" i="6" s="1"/>
  <c r="K156" i="6" s="1"/>
  <c r="H154" i="6"/>
  <c r="H155" i="6" s="1"/>
  <c r="H156" i="6" s="1"/>
  <c r="I154" i="6"/>
  <c r="I155" i="6" s="1"/>
  <c r="I156" i="6" s="1"/>
  <c r="G154" i="6"/>
  <c r="G155" i="6" s="1"/>
  <c r="G156" i="6" s="1"/>
  <c r="J154" i="6"/>
  <c r="J155" i="6" s="1"/>
  <c r="J156" i="6" s="1"/>
  <c r="M154" i="6"/>
  <c r="M155" i="6" s="1"/>
  <c r="M156" i="6" s="1"/>
  <c r="E197" i="6"/>
  <c r="Q150" i="6"/>
  <c r="Q224" i="22"/>
  <c r="L155" i="6"/>
  <c r="L156" i="6" s="1"/>
  <c r="H197" i="6"/>
  <c r="G197" i="6"/>
  <c r="M197" i="6"/>
  <c r="P197" i="6"/>
  <c r="J197" i="6"/>
  <c r="F154" i="6"/>
  <c r="F155" i="6" s="1"/>
  <c r="F156" i="6" s="1"/>
  <c r="F197" i="6"/>
  <c r="N154" i="6"/>
  <c r="N155" i="6" s="1"/>
  <c r="N156" i="6" s="1"/>
  <c r="N197" i="6"/>
  <c r="K197" i="6"/>
  <c r="Q149" i="6"/>
  <c r="O154" i="6"/>
  <c r="O155" i="6" s="1"/>
  <c r="O156" i="6" s="1"/>
  <c r="O197" i="6"/>
  <c r="L197" i="6"/>
  <c r="E154" i="6"/>
  <c r="E155" i="6" s="1"/>
  <c r="E156" i="6" s="1"/>
  <c r="Q196" i="6"/>
  <c r="Q197" i="6" s="1"/>
  <c r="Q198" i="6" s="1"/>
  <c r="I197" i="6"/>
  <c r="N198" i="6" l="1"/>
  <c r="J198" i="6"/>
  <c r="P198" i="6"/>
  <c r="I198" i="6"/>
  <c r="M198" i="6"/>
  <c r="F198" i="6"/>
  <c r="L198" i="6"/>
  <c r="K198" i="6"/>
  <c r="G198" i="6"/>
  <c r="H198" i="6"/>
  <c r="O198" i="6"/>
  <c r="Q219" i="22"/>
  <c r="E198" i="6"/>
  <c r="Q154" i="6"/>
  <c r="Q155" i="6" s="1"/>
  <c r="Q156" i="6" s="1"/>
  <c r="D140" i="22"/>
  <c r="L165" i="22" l="1"/>
  <c r="G166" i="22"/>
  <c r="P225" i="22"/>
  <c r="P226" i="22" s="1"/>
  <c r="P165" i="22"/>
  <c r="N165" i="22"/>
  <c r="N225" i="22"/>
  <c r="N226" i="22" s="1"/>
  <c r="O165" i="22"/>
  <c r="O225" i="22"/>
  <c r="O226" i="22" s="1"/>
  <c r="H225" i="22"/>
  <c r="H226" i="22" s="1"/>
  <c r="I225" i="22"/>
  <c r="I226" i="22" s="1"/>
  <c r="H165" i="22"/>
  <c r="K225" i="22"/>
  <c r="K226" i="22" s="1"/>
  <c r="K165" i="22"/>
  <c r="L225" i="22"/>
  <c r="L226" i="22" s="1"/>
  <c r="I165" i="22"/>
  <c r="J225" i="22"/>
  <c r="J226" i="22" s="1"/>
  <c r="J165" i="22"/>
  <c r="M225" i="22"/>
  <c r="M226" i="22" s="1"/>
  <c r="M165" i="22"/>
  <c r="F165" i="22"/>
  <c r="F225" i="22"/>
  <c r="F226" i="22" s="1"/>
  <c r="G226" i="22"/>
  <c r="Q221" i="22"/>
  <c r="Q220" i="22"/>
  <c r="Q225" i="22" s="1"/>
  <c r="E226" i="22"/>
  <c r="K166" i="22" l="1"/>
  <c r="N166" i="22"/>
  <c r="P166" i="22"/>
  <c r="O166" i="22"/>
  <c r="H166" i="22"/>
  <c r="F166" i="22"/>
  <c r="M166" i="22"/>
  <c r="J166" i="22"/>
  <c r="I166" i="22"/>
  <c r="L166" i="22"/>
  <c r="Q226" i="22"/>
  <c r="E165" i="22"/>
  <c r="Q165" i="22"/>
  <c r="Q166" i="22" l="1"/>
  <c r="E166" i="22"/>
  <c r="D201" i="22"/>
  <c r="D171" i="22" s="1"/>
  <c r="D141" i="22" s="1"/>
  <c r="D203" i="22"/>
  <c r="D173" i="22" s="1"/>
  <c r="D143" i="22" s="1"/>
  <c r="D219" i="22"/>
  <c r="D189" i="22" s="1"/>
  <c r="D159" i="22" s="1"/>
  <c r="D220" i="22"/>
  <c r="D190" i="22" s="1"/>
  <c r="D160" i="22" s="1"/>
  <c r="D223" i="22"/>
  <c r="D193" i="22"/>
  <c r="D163" i="22" s="1"/>
  <c r="D224" i="22"/>
  <c r="D194" i="22" s="1"/>
  <c r="D164" i="22" s="1"/>
  <c r="D222" i="22"/>
  <c r="D192" i="22" s="1"/>
  <c r="D162" i="22" s="1"/>
  <c r="D210" i="22"/>
  <c r="D180" i="22" s="1"/>
  <c r="D150" i="22" s="1"/>
  <c r="D214" i="22"/>
  <c r="D184" i="22" s="1"/>
  <c r="D154" i="22" s="1"/>
  <c r="D205" i="22"/>
  <c r="D175" i="22" s="1"/>
  <c r="D145" i="22" s="1"/>
  <c r="D215" i="22"/>
  <c r="D185" i="22" s="1"/>
  <c r="D155" i="22" s="1"/>
  <c r="D216" i="22" l="1"/>
  <c r="D186" i="22"/>
  <c r="D156" i="22" s="1"/>
  <c r="D218" i="22"/>
  <c r="D188" i="22"/>
  <c r="D158" i="22" s="1"/>
  <c r="D162" i="8"/>
  <c r="D184" i="8" s="1"/>
  <c r="D163" i="8"/>
  <c r="D141" i="8" l="1"/>
  <c r="D140" i="8"/>
  <c r="D164" i="8"/>
  <c r="D166" i="8"/>
  <c r="D144" i="8" l="1"/>
  <c r="D188" i="8"/>
  <c r="D142" i="8"/>
  <c r="D186" i="8"/>
  <c r="D167" i="8"/>
  <c r="D145" i="8" l="1"/>
  <c r="D189" i="8"/>
  <c r="D169" i="8"/>
  <c r="D191" i="8" s="1"/>
  <c r="D170" i="8"/>
  <c r="D192" i="8" s="1"/>
  <c r="D147" i="8" l="1"/>
  <c r="D148" i="8"/>
  <c r="D174" i="8"/>
  <c r="D196" i="8" s="1"/>
  <c r="D152" i="8" l="1"/>
  <c r="D175" i="8"/>
  <c r="D153" i="8" s="1"/>
  <c r="D177" i="8" l="1"/>
  <c r="D199" i="8" s="1"/>
  <c r="D155" i="8" l="1"/>
  <c r="D178" i="8"/>
  <c r="D156" i="8" l="1"/>
  <c r="D200" i="8"/>
  <c r="D168" i="8"/>
  <c r="D146" i="8" s="1"/>
  <c r="D176" i="8"/>
  <c r="D154" i="8" s="1"/>
  <c r="D172" i="8"/>
  <c r="D150" i="8" s="1"/>
  <c r="D171" i="8"/>
  <c r="D149" i="8" s="1"/>
  <c r="D165" i="8"/>
  <c r="D143" i="8" s="1"/>
  <c r="D195" i="8"/>
  <c r="D173" i="8" s="1"/>
  <c r="D151" i="8" s="1"/>
  <c r="D172" i="9"/>
  <c r="D140" i="9" l="1"/>
  <c r="D204" i="9"/>
  <c r="D173" i="9"/>
  <c r="D141" i="9" s="1"/>
  <c r="D177" i="9" l="1"/>
  <c r="D145" i="9" s="1"/>
  <c r="D178" i="9" l="1"/>
  <c r="D146" i="9" s="1"/>
  <c r="D179" i="9" l="1"/>
  <c r="D147" i="9" s="1"/>
  <c r="D182" i="9" l="1"/>
  <c r="D184" i="9"/>
  <c r="D186" i="9"/>
  <c r="D187" i="9"/>
  <c r="D154" i="9" l="1"/>
  <c r="D218" i="9"/>
  <c r="D152" i="9"/>
  <c r="D216" i="9"/>
  <c r="D155" i="9"/>
  <c r="D219" i="9"/>
  <c r="D150" i="9"/>
  <c r="D214" i="9"/>
  <c r="D189" i="9"/>
  <c r="D191" i="9"/>
  <c r="D223" i="9" s="1"/>
  <c r="D157" i="9" l="1"/>
  <c r="D221" i="9"/>
  <c r="D159" i="9"/>
  <c r="D195" i="9"/>
  <c r="D163" i="9" l="1"/>
  <c r="D227" i="9"/>
  <c r="D192" i="9"/>
  <c r="D160" i="9" s="1"/>
  <c r="D175" i="9"/>
  <c r="D143" i="9" s="1"/>
  <c r="D181" i="9"/>
  <c r="D149" i="9" s="1"/>
  <c r="D190" i="9"/>
  <c r="D158" i="9" s="1"/>
  <c r="D193" i="9"/>
  <c r="D161" i="9" s="1"/>
  <c r="D185" i="9"/>
  <c r="D153" i="9" s="1"/>
  <c r="D176" i="9"/>
  <c r="D144" i="9" s="1"/>
  <c r="D180" i="9"/>
  <c r="D148" i="9" s="1"/>
  <c r="D196" i="9"/>
  <c r="D164" i="9" s="1"/>
  <c r="D174" i="9"/>
  <c r="D142" i="9" s="1"/>
  <c r="D188" i="9"/>
  <c r="D156" i="9" s="1"/>
  <c r="D194" i="9"/>
  <c r="D162" i="9" s="1"/>
  <c r="D215" i="9"/>
  <c r="D183" i="9" s="1"/>
  <c r="D15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ltootchen</author>
  </authors>
  <commentList>
    <comment ref="E10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ltootchen:</t>
        </r>
        <r>
          <rPr>
            <sz val="9"/>
            <color indexed="81"/>
            <rFont val="Tahoma"/>
            <family val="2"/>
          </rPr>
          <t xml:space="preserve">
 8500  CIBC-appraisal-CBRE
 2000  CIBC-ins-Lehman 1000x2
  450  Repl Res (partials) 150x3
</t>
        </r>
        <r>
          <rPr>
            <u/>
            <sz val="9"/>
            <color indexed="81"/>
            <rFont val="Tahoma"/>
            <family val="2"/>
          </rPr>
          <t xml:space="preserve">  450  </t>
        </r>
        <r>
          <rPr>
            <sz val="9"/>
            <color indexed="81"/>
            <rFont val="Tahoma"/>
            <family val="2"/>
          </rPr>
          <t>TILC Res 150x3
11400 Ttotal
/12
950 / mo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JM Revenue!$A$1:$H$58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JMRevenueA1H58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<sst xmlns="http://schemas.openxmlformats.org/spreadsheetml/2006/main" count="7262" uniqueCount="666">
  <si>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</si>
  <si>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</si>
  <si>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</si>
  <si>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</si>
  <si>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</si>
  <si>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</si>
  <si>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</si>
  <si>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</si>
  <si>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</si>
  <si>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</si>
  <si>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</si>
  <si>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</si>
  <si>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</si>
  <si>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Occupancy %</t>
  </si>
  <si>
    <t>Revenues</t>
  </si>
  <si>
    <t>Rental Income</t>
  </si>
  <si>
    <t>Percentage Rents</t>
  </si>
  <si>
    <t>Miscellaneous</t>
  </si>
  <si>
    <t>Interest Income</t>
  </si>
  <si>
    <t>Total Rental and Other</t>
  </si>
  <si>
    <t>Reimbursements</t>
  </si>
  <si>
    <t>Electric</t>
  </si>
  <si>
    <t>Common Area Maintenance</t>
  </si>
  <si>
    <t>Real Estate Taxes</t>
  </si>
  <si>
    <t>Insurance</t>
  </si>
  <si>
    <t>Total Reimbursements</t>
  </si>
  <si>
    <t>TOTAL REVENUES</t>
  </si>
  <si>
    <t>Reimbursable Expenses</t>
  </si>
  <si>
    <t>Maintenance Salaries</t>
  </si>
  <si>
    <t>Water &amp; Sewer</t>
  </si>
  <si>
    <t>Building Maint.-Contractual</t>
  </si>
  <si>
    <t>Building Maint.-Recurring</t>
  </si>
  <si>
    <t>Building Maint.-Big Projects</t>
  </si>
  <si>
    <t>Building Maintenance</t>
  </si>
  <si>
    <t>(SC)</t>
  </si>
  <si>
    <t>Parking Lot Cleaning</t>
  </si>
  <si>
    <t>Parking Lot Maint.-Contractual</t>
  </si>
  <si>
    <t>Parking Lot Maint.-Recurring</t>
  </si>
  <si>
    <t>Parking Lot Maint.-Big Projects</t>
  </si>
  <si>
    <t>Parking Lot Maintenance</t>
  </si>
  <si>
    <t>Snow Removal</t>
  </si>
  <si>
    <t>Landscaping-Contractual</t>
  </si>
  <si>
    <t>Landscaping-Recurring</t>
  </si>
  <si>
    <t>Landscaping-Big Projects</t>
  </si>
  <si>
    <t>Landscaping</t>
  </si>
  <si>
    <t>Security</t>
  </si>
  <si>
    <t>(BP)</t>
  </si>
  <si>
    <t>Management Fee</t>
  </si>
  <si>
    <t>Trash Removal</t>
  </si>
  <si>
    <t>Insurance-Liability</t>
  </si>
  <si>
    <t>Insurabce-Property</t>
  </si>
  <si>
    <t>Insurance-Other</t>
  </si>
  <si>
    <t>Cleaning &amp; Supplies</t>
  </si>
  <si>
    <t>Cleaning &amp; Supplies-Vacancies</t>
  </si>
  <si>
    <t>Other</t>
  </si>
  <si>
    <t>Total Reimbursable Expenses</t>
  </si>
  <si>
    <t>Non-Reimbursable Expenses</t>
  </si>
  <si>
    <t>Bad Debt</t>
  </si>
  <si>
    <t>Salaries &amp; Wages</t>
  </si>
  <si>
    <t>Commissions-Internal Broker</t>
  </si>
  <si>
    <t>Leasing Salaries and Commissions</t>
  </si>
  <si>
    <t>Gas</t>
  </si>
  <si>
    <t>Utilities</t>
  </si>
  <si>
    <t>Management fee</t>
  </si>
  <si>
    <t>Marketing</t>
  </si>
  <si>
    <t>Business Taxes</t>
  </si>
  <si>
    <t>Legal &amp; Accounting</t>
  </si>
  <si>
    <t>Bank Fees</t>
  </si>
  <si>
    <t>Office Supplies</t>
  </si>
  <si>
    <t>Postage</t>
  </si>
  <si>
    <t>Other G&amp;A Expense</t>
  </si>
  <si>
    <t>Other G&amp;A-allocated from LIK</t>
  </si>
  <si>
    <t>General &amp; Administrative</t>
  </si>
  <si>
    <t>Total Non-Reimbursable Expenses</t>
  </si>
  <si>
    <t>TOTAL OPERATING EXPENSES</t>
  </si>
  <si>
    <t>NET OPERATING INCOME</t>
  </si>
  <si>
    <t>Land Improvements</t>
  </si>
  <si>
    <t>Buildings</t>
  </si>
  <si>
    <t>Equipment</t>
  </si>
  <si>
    <t>Capital Improvements</t>
  </si>
  <si>
    <t>Tenant Improvements</t>
  </si>
  <si>
    <t>Deferred Marketing</t>
  </si>
  <si>
    <t>Outside Leasing Commissions</t>
  </si>
  <si>
    <t>CASH FLOW BEFORE DEBT SERVICE</t>
  </si>
  <si>
    <t>Debt Service</t>
  </si>
  <si>
    <t>Interest</t>
  </si>
  <si>
    <t>Mortgage Amortization</t>
  </si>
  <si>
    <t>Loan Proceeds</t>
  </si>
  <si>
    <t>Total Debt Service</t>
  </si>
  <si>
    <t>CASH FLOW AFTER DEBT SERVICE</t>
  </si>
  <si>
    <t>Insurance-Property</t>
  </si>
  <si>
    <t xml:space="preserve"> </t>
  </si>
  <si>
    <t>Unallocated Expenses-G&amp;A, Interest</t>
  </si>
  <si>
    <t>Water and Sewer</t>
  </si>
  <si>
    <t>Net Operating Income</t>
  </si>
  <si>
    <t>Neshaminy Interplex LLC</t>
  </si>
  <si>
    <t>Building 5</t>
  </si>
  <si>
    <t>Building 6</t>
  </si>
  <si>
    <t>Building 7</t>
  </si>
  <si>
    <t>Building 8</t>
  </si>
  <si>
    <t>Account</t>
  </si>
  <si>
    <t>4240-8501</t>
  </si>
  <si>
    <t>4710-8502</t>
  </si>
  <si>
    <t>4910-8502</t>
  </si>
  <si>
    <t>4920-8502</t>
  </si>
  <si>
    <t>6030-8502</t>
  </si>
  <si>
    <t>6120-8502</t>
  </si>
  <si>
    <t>6130-8502</t>
  </si>
  <si>
    <t>6220-8502</t>
  </si>
  <si>
    <t>6360-8502</t>
  </si>
  <si>
    <t>6370-8502</t>
  </si>
  <si>
    <t>6380-8502</t>
  </si>
  <si>
    <t>6350-8502</t>
  </si>
  <si>
    <t>6610-8502</t>
  </si>
  <si>
    <t>6270-8502</t>
  </si>
  <si>
    <t>6410-8502</t>
  </si>
  <si>
    <t>6510-8502</t>
  </si>
  <si>
    <t>6250-8502</t>
  </si>
  <si>
    <t>6010-8501</t>
  </si>
  <si>
    <t>6620-8501</t>
  </si>
  <si>
    <t>6220-8501</t>
  </si>
  <si>
    <t>7110-8501</t>
  </si>
  <si>
    <t>8210-8501</t>
  </si>
  <si>
    <t>8310-8501</t>
  </si>
  <si>
    <t>8990-9800</t>
  </si>
  <si>
    <t>1420-0000</t>
  </si>
  <si>
    <t>1430-0000</t>
  </si>
  <si>
    <t>1450-0000</t>
  </si>
  <si>
    <t>1440-0000</t>
  </si>
  <si>
    <t>1940-8501</t>
  </si>
  <si>
    <t>8190-8501</t>
  </si>
  <si>
    <t>8990-8501</t>
  </si>
  <si>
    <t>9210-8501</t>
  </si>
  <si>
    <t>1980-8501</t>
  </si>
  <si>
    <t>BUDGET IMPORT - DO NOT IMPORT - for reconciliation of consolidated total</t>
  </si>
  <si>
    <t>1980-0000</t>
  </si>
  <si>
    <t>4230-8501</t>
  </si>
  <si>
    <t>4990-8501</t>
  </si>
  <si>
    <t>9190-8501</t>
  </si>
  <si>
    <t>4930-8502</t>
  </si>
  <si>
    <t>6330-8502</t>
  </si>
  <si>
    <t>5210-8501</t>
  </si>
  <si>
    <t>6110-8501</t>
  </si>
  <si>
    <t>6120-8501</t>
  </si>
  <si>
    <t>6130-8501</t>
  </si>
  <si>
    <t>6610-8501</t>
  </si>
  <si>
    <t>8930-8501</t>
  </si>
  <si>
    <t>8950-8501</t>
  </si>
  <si>
    <t>5210-0000</t>
  </si>
  <si>
    <t>2740-8501</t>
  </si>
  <si>
    <t>2740-0000</t>
  </si>
  <si>
    <t>Building - Occupancy - SF</t>
  </si>
  <si>
    <t>Building - Total - SF</t>
  </si>
  <si>
    <t>Building - Occupancy - %</t>
  </si>
  <si>
    <t>Liberty Bank</t>
  </si>
  <si>
    <t>Principal</t>
  </si>
  <si>
    <t>CIBC</t>
  </si>
  <si>
    <t>Combined</t>
  </si>
  <si>
    <t>Appraisal Value - 11/22/2013</t>
  </si>
  <si>
    <t>Building A</t>
  </si>
  <si>
    <t>Building B</t>
  </si>
  <si>
    <t>Building C</t>
  </si>
  <si>
    <t>Debt Service - Consolidated</t>
  </si>
  <si>
    <t>Rental Income - In Place</t>
  </si>
  <si>
    <t>Rental Income - New &amp; Renewal</t>
  </si>
  <si>
    <t>Tenant Name</t>
  </si>
  <si>
    <t>Charge Date</t>
  </si>
  <si>
    <t>Charge Code</t>
  </si>
  <si>
    <t>4050</t>
  </si>
  <si>
    <t>RNT</t>
  </si>
  <si>
    <t>4050-113</t>
  </si>
  <si>
    <t>American Bread Company LLC</t>
  </si>
  <si>
    <t>4050-207</t>
  </si>
  <si>
    <t>Pragmatics, Inc.</t>
  </si>
  <si>
    <t>4050-300</t>
  </si>
  <si>
    <t>4060</t>
  </si>
  <si>
    <t>4060-205</t>
  </si>
  <si>
    <t>Presidential Bank, FSB</t>
  </si>
  <si>
    <t>4060-207</t>
  </si>
  <si>
    <t>4060-212</t>
  </si>
  <si>
    <t>4060-215</t>
  </si>
  <si>
    <t>4060-300</t>
  </si>
  <si>
    <t>4060-401</t>
  </si>
  <si>
    <t>Senior Care Center Of America</t>
  </si>
  <si>
    <t>4060-402</t>
  </si>
  <si>
    <t>4060-600</t>
  </si>
  <si>
    <t>4070</t>
  </si>
  <si>
    <t>4070-103</t>
  </si>
  <si>
    <t>Bucks County Transportation</t>
  </si>
  <si>
    <t>4070-117</t>
  </si>
  <si>
    <t>Belden Brick Sales &amp; Service</t>
  </si>
  <si>
    <t>4070-201</t>
  </si>
  <si>
    <t>Robert Half International, Inc</t>
  </si>
  <si>
    <t>4070-301</t>
  </si>
  <si>
    <t>4070-400</t>
  </si>
  <si>
    <t>4070-415</t>
  </si>
  <si>
    <t>4080</t>
  </si>
  <si>
    <t>4080-106</t>
  </si>
  <si>
    <t>4080-117</t>
  </si>
  <si>
    <t>Worldwide Land Transfer, Inc.</t>
  </si>
  <si>
    <t>4080-209</t>
  </si>
  <si>
    <t>Data Systems Analysts, Inc.</t>
  </si>
  <si>
    <t>4080-219</t>
  </si>
  <si>
    <t>D&amp;B/Guarino Engineers, LLC</t>
  </si>
  <si>
    <t>4080-221</t>
  </si>
  <si>
    <t>40A0</t>
  </si>
  <si>
    <t>40A0-A</t>
  </si>
  <si>
    <t>Penn Emblem Company</t>
  </si>
  <si>
    <t>40A0-204</t>
  </si>
  <si>
    <t>Jillamy, Inc.</t>
  </si>
  <si>
    <t>40B0</t>
  </si>
  <si>
    <t>40B0-1</t>
  </si>
  <si>
    <t>40C0</t>
  </si>
  <si>
    <t>40C0-CP</t>
  </si>
  <si>
    <t>Polymershapes LLC</t>
  </si>
  <si>
    <t>Row Labels</t>
  </si>
  <si>
    <t>Grand Total</t>
  </si>
  <si>
    <t>Column Labels</t>
  </si>
  <si>
    <t>Comm</t>
  </si>
  <si>
    <t>Per Sq Ft</t>
  </si>
  <si>
    <t>VACANT</t>
  </si>
  <si>
    <t>Sq Ft</t>
  </si>
  <si>
    <t>Lease Renewals / Vacancy Rent-Ups</t>
  </si>
  <si>
    <t>4080-112</t>
  </si>
  <si>
    <t>Suite #</t>
  </si>
  <si>
    <t>DEBT SERVICE PRINCIPAL</t>
  </si>
  <si>
    <t>Line 60</t>
  </si>
  <si>
    <t>Line 61</t>
  </si>
  <si>
    <t>General Liability</t>
  </si>
  <si>
    <t>Umbrella</t>
  </si>
  <si>
    <t>Property</t>
  </si>
  <si>
    <t>D&amp;O</t>
  </si>
  <si>
    <t>Month</t>
  </si>
  <si>
    <t>4080-401</t>
  </si>
  <si>
    <t>4050-206</t>
  </si>
  <si>
    <t>Khavinson &amp; Associates, P.C.</t>
  </si>
  <si>
    <t>Debt Coverage Ratio</t>
  </si>
  <si>
    <t>Calculation</t>
  </si>
  <si>
    <t>Annual Debt Service</t>
  </si>
  <si>
    <t>Spectrum Control, Inc.</t>
  </si>
  <si>
    <t>4050-119</t>
  </si>
  <si>
    <t>4050-201</t>
  </si>
  <si>
    <t>4050-215</t>
  </si>
  <si>
    <t>4050-315</t>
  </si>
  <si>
    <t>4060-210</t>
  </si>
  <si>
    <t>4080-215</t>
  </si>
  <si>
    <t>4080-400</t>
  </si>
  <si>
    <t>Korman Commercial Properties</t>
  </si>
  <si>
    <t>40A0-205</t>
  </si>
  <si>
    <t>4060-211</t>
  </si>
  <si>
    <t>4060-204</t>
  </si>
  <si>
    <t>4070-411</t>
  </si>
  <si>
    <t>4070-107</t>
  </si>
  <si>
    <t>4080-102</t>
  </si>
  <si>
    <t>4080-217</t>
  </si>
  <si>
    <t>Affinity Care of Pennsylvania</t>
  </si>
  <si>
    <t>Line 62</t>
  </si>
  <si>
    <t>ABC Home Medical Supply, Inc.</t>
  </si>
  <si>
    <t>Veltri, Inc.</t>
  </si>
  <si>
    <t>Refresh Management, LLC</t>
  </si>
  <si>
    <t>Starting with the February payment - below are the total principal due for FY23 for each month</t>
  </si>
  <si>
    <t>7110-8503</t>
  </si>
  <si>
    <t>4070-113</t>
  </si>
  <si>
    <t>2025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</si>
  <si>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</si>
  <si>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</si>
  <si>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</si>
  <si>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</si>
  <si>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</si>
  <si>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</si>
  <si>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</si>
  <si>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</si>
  <si>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</si>
  <si>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</si>
  <si>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</si>
  <si>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</si>
  <si>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4050-307</t>
  </si>
  <si>
    <t>4060-100</t>
  </si>
  <si>
    <t>4060-206</t>
  </si>
  <si>
    <t>Law Offices of Sandra W Morris</t>
  </si>
  <si>
    <t>Legal Trucking LLC</t>
  </si>
  <si>
    <t>4080-100</t>
  </si>
  <si>
    <t>Lawler Terrace Corp.</t>
  </si>
  <si>
    <t>4080-107</t>
  </si>
  <si>
    <t>Lawler Terrace Corporation</t>
  </si>
  <si>
    <t>4080-111</t>
  </si>
  <si>
    <t>Jensen &amp; Brusca Consulting</t>
  </si>
  <si>
    <t>4080-305</t>
  </si>
  <si>
    <t>Partnership for Community Supp</t>
  </si>
  <si>
    <t>Posting Co.</t>
  </si>
  <si>
    <t>Unit Ref. No.</t>
  </si>
  <si>
    <t>GL Acct No.</t>
  </si>
  <si>
    <t>Charge Amount</t>
  </si>
  <si>
    <t>Current Mtg</t>
  </si>
  <si>
    <t>One Year</t>
  </si>
  <si>
    <t>New Mtg</t>
  </si>
  <si>
    <t>Proforma</t>
  </si>
  <si>
    <t>Monthly Debt Service</t>
  </si>
  <si>
    <t>Beginning Mortgage Balance</t>
  </si>
  <si>
    <t>General Maintenance and Repair</t>
  </si>
  <si>
    <t>6990-8502</t>
  </si>
  <si>
    <t>Condo</t>
  </si>
  <si>
    <t>Cleaning</t>
  </si>
  <si>
    <t>6330-850</t>
  </si>
  <si>
    <t>KH</t>
  </si>
  <si>
    <t>Peco (est 150/mo) - billboard</t>
  </si>
  <si>
    <t>Included in other G&amp;A; paid by LIK</t>
  </si>
  <si>
    <t>4080-109</t>
  </si>
  <si>
    <t>Other New Leases</t>
  </si>
  <si>
    <t>Debt Coverage Ratio -  Projected Principal 1 April 2024</t>
  </si>
  <si>
    <t>Debt Coverage Ratio -  Projected Principal 1 April 2024 less Escrow funds: $1,840,000</t>
  </si>
  <si>
    <t>Net Difference Cash Flow due to Interest Rate 1/2 % intervals</t>
  </si>
  <si>
    <t>Net Difference Cash Flow due to Interest Rate 5.5% to 6.5%</t>
  </si>
  <si>
    <t xml:space="preserve">  Cash Flow</t>
  </si>
  <si>
    <t>Net Differences Total Debt Service with Debt reduced via Escrow Applied:</t>
  </si>
  <si>
    <t>Year: &gt;&gt;&gt;&gt;&gt;&gt;&gt;&gt;</t>
  </si>
  <si>
    <t>CAP Rate</t>
  </si>
  <si>
    <t>CAP Value</t>
  </si>
  <si>
    <t xml:space="preserve">    LESS: Estimated Additional Vacanacy Loss from 2024</t>
  </si>
  <si>
    <t xml:space="preserve">    LESS: Estimated Additional Vacancy Loss from 2025</t>
  </si>
  <si>
    <t>If Broder vacates one floor at end of renewal 11/30/2025</t>
  </si>
  <si>
    <t xml:space="preserve"> # of months less rent in 2025 for tenants projected to vacate in 2024</t>
  </si>
  <si>
    <t>4050-115</t>
  </si>
  <si>
    <t>SKH Abstract Agency Inc.</t>
  </si>
  <si>
    <t>Larry H. Lefkowitz, Esquire</t>
  </si>
  <si>
    <t>Helping Hand Nurse, LLC</t>
  </si>
  <si>
    <t>Prosegur Services Group, Inc.</t>
  </si>
  <si>
    <t>2026</t>
  </si>
  <si>
    <t>4070-116</t>
  </si>
  <si>
    <t>4080-210</t>
  </si>
  <si>
    <t>First Choice Lending Of NJ</t>
  </si>
  <si>
    <t>4050-301</t>
  </si>
  <si>
    <t>Disaster Solutions, Inc.</t>
  </si>
  <si>
    <t>Fenningham Stevens Dempster &amp;</t>
  </si>
  <si>
    <t>MVC MSO, LLC</t>
  </si>
  <si>
    <t>J.J. White, Inc.</t>
  </si>
  <si>
    <t>McQuoid Financial Group, Inc.</t>
  </si>
  <si>
    <t>Rothkoff Law Group, P.C.</t>
  </si>
  <si>
    <t>Mette, Evans &amp; Woodside</t>
  </si>
  <si>
    <t>Reliant Care Solutions, LP</t>
  </si>
  <si>
    <t>4080-207</t>
  </si>
  <si>
    <t>MacKee, Inc.</t>
  </si>
  <si>
    <t>Karpf, Karpf &amp; Cerutti, P.C.</t>
  </si>
  <si>
    <t>Just Children Neshaminy Int.</t>
  </si>
  <si>
    <t>Pymt to LIK 7,450/mo</t>
  </si>
  <si>
    <t>2024 Taxes $12,165</t>
  </si>
  <si>
    <t xml:space="preserve"> {1}</t>
  </si>
  <si>
    <t>Operating Cash Flow is after deducting Accounts Payable, Reserve for Insurance, and before TI Reserve</t>
  </si>
  <si>
    <t>Montlhly Contribution</t>
  </si>
  <si>
    <t>Monthly TI Escrow Deposit</t>
  </si>
  <si>
    <t>Total New Tenant Cost</t>
  </si>
  <si>
    <t>GST Trust</t>
  </si>
  <si>
    <t>Item 7th Trust</t>
  </si>
  <si>
    <t>1972 Trust</t>
  </si>
  <si>
    <t>Office Works Partnership</t>
  </si>
  <si>
    <t>O.S.S.V .Management, LLC</t>
  </si>
  <si>
    <t>Adelina Express</t>
  </si>
  <si>
    <t>TOTAL:</t>
  </si>
  <si>
    <t>Trusts</t>
  </si>
  <si>
    <t>Operating Budget</t>
  </si>
  <si>
    <t>Consolidated - 5,6,7,8,A,B,C</t>
  </si>
  <si>
    <t>Total Rental and Other:</t>
  </si>
  <si>
    <t>Total Reimbursements:</t>
  </si>
  <si>
    <t>Budget Line</t>
  </si>
  <si>
    <t>Insurance - Liability</t>
  </si>
  <si>
    <t>TOTAL INSURANCE:</t>
  </si>
  <si>
    <t>SF</t>
  </si>
  <si>
    <t>Maintenance Salaries - Line 27</t>
  </si>
  <si>
    <t>Total:</t>
  </si>
  <si>
    <t>2025 amt grown 3%</t>
  </si>
  <si>
    <t>Notes</t>
  </si>
  <si>
    <t>DW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</si>
  <si>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</si>
  <si>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</si>
  <si>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</si>
  <si>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</si>
  <si>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</si>
  <si>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</si>
  <si>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</si>
  <si>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</si>
  <si>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</si>
  <si>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</si>
  <si>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</si>
  <si>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</si>
  <si>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4050-205</t>
  </si>
  <si>
    <t>Audiology Distribution, LLC</t>
  </si>
  <si>
    <t>4060-105</t>
  </si>
  <si>
    <t>NE Phila PA Caregiving LLC</t>
  </si>
  <si>
    <t>4060-111</t>
  </si>
  <si>
    <t>CBIZ Operations, Inc.</t>
  </si>
  <si>
    <t>Kahak PA, Inc.</t>
  </si>
  <si>
    <t>Zev Express, Inc.</t>
  </si>
  <si>
    <t>4070-209</t>
  </si>
  <si>
    <t>Ryan R. Janis P.C.</t>
  </si>
  <si>
    <t>BEK Trans Group, Inc.</t>
  </si>
  <si>
    <t>Skyline Report: General Ledger --&gt; G/L Information --&gt; Budget Rent Increase Calculation</t>
  </si>
  <si>
    <t>Convert Charge Amouts in column G to number once pasted</t>
  </si>
  <si>
    <t>Gym Fees and $5K/qtr for Billboard</t>
  </si>
  <si>
    <t>2024 Additions</t>
  </si>
  <si>
    <t>Data\Accounting\2024 Year End\Insurance Renewal 24-25\12. Proposal and Billing/24-25 Korman Commercial Billing and PPD workbook</t>
  </si>
  <si>
    <t>Percentage Rent</t>
  </si>
  <si>
    <t>Office Works</t>
  </si>
  <si>
    <t>Khavinson &amp; Associates</t>
  </si>
  <si>
    <t>Pragmatics</t>
  </si>
  <si>
    <t>Disaster Solutions</t>
  </si>
  <si>
    <t>Fenningham Stevens Dempster</t>
  </si>
  <si>
    <t>Presidential Bank</t>
  </si>
  <si>
    <t>Legal Trucking</t>
  </si>
  <si>
    <t>Regional Cardiology</t>
  </si>
  <si>
    <t>JJ White</t>
  </si>
  <si>
    <t>OSSV Management</t>
  </si>
  <si>
    <t>AIM-USA LLC</t>
  </si>
  <si>
    <t>Rudolph Clarke LLC</t>
  </si>
  <si>
    <t>Mette Evans</t>
  </si>
  <si>
    <t>Reliant Solutions</t>
  </si>
  <si>
    <t>Lawler Terrace</t>
  </si>
  <si>
    <t>Prosegur Service Group</t>
  </si>
  <si>
    <t>Jensen &amp; Brusca</t>
  </si>
  <si>
    <t>Powers Kirn</t>
  </si>
  <si>
    <t>Spectrum Control</t>
  </si>
  <si>
    <t>Outfront Media</t>
  </si>
  <si>
    <t>YORI LLC</t>
  </si>
  <si>
    <t>Mercer Bucks</t>
  </si>
  <si>
    <t>Total Vacant:</t>
  </si>
  <si>
    <t>Tenant</t>
  </si>
  <si>
    <t>T.I. /sq ft</t>
  </si>
  <si>
    <t>Total Renewals:</t>
  </si>
  <si>
    <t>*Based on July-25 RR</t>
  </si>
  <si>
    <t>Leasing Department Assumptions</t>
  </si>
  <si>
    <t>Rent Start Date</t>
  </si>
  <si>
    <t>Rent Exp. Date</t>
  </si>
  <si>
    <t>Projected TI</t>
  </si>
  <si>
    <t># Years</t>
  </si>
  <si>
    <t>Hidden --&gt;</t>
  </si>
  <si>
    <t>Projected Revenue</t>
  </si>
  <si>
    <t>Procject LC</t>
  </si>
  <si>
    <t>Projected Occ %</t>
  </si>
  <si>
    <t>33%</t>
  </si>
  <si>
    <t>28%</t>
  </si>
  <si>
    <t>39%</t>
  </si>
  <si>
    <t>TI = Sq Ft * T.I /sq ft  all paid up front.</t>
  </si>
  <si>
    <t>LC = Sq Ft * # Years * Per Sq Ft * Comm all paid up front.</t>
  </si>
  <si>
    <t>Total PSF</t>
  </si>
  <si>
    <t>Insurance &amp; Real Estate Tax</t>
  </si>
  <si>
    <t>Neshaminy Interplex, LLC</t>
  </si>
  <si>
    <t>TOTAL REAL ESTATE TAX:</t>
  </si>
  <si>
    <t>Debt Service - Interest</t>
  </si>
  <si>
    <t>Occupancy SF</t>
  </si>
  <si>
    <t>from June-25 Reprojection</t>
  </si>
  <si>
    <t>Input</t>
  </si>
  <si>
    <t>2025 Business Plan grown 3%</t>
  </si>
  <si>
    <t>Annualized one month of interest from recent statement</t>
  </si>
  <si>
    <t>Annualized one month of interest from recent statement (Applied to 4050)</t>
  </si>
  <si>
    <t>Gym Fees and $5K/qtr for Billboard (Applied to 4080)</t>
  </si>
  <si>
    <t>Billboard rent counted in Misc revenue.</t>
  </si>
  <si>
    <t xml:space="preserve">  Jillamy, Inc</t>
  </si>
  <si>
    <t>Ti Cash 12/31/2025 (Projected using 2025 Actuals through June and budgeted amounts through December)</t>
  </si>
  <si>
    <t>Contingency for repairs</t>
  </si>
  <si>
    <t>Estimate for asphalt/pothole repairs</t>
  </si>
  <si>
    <t>AK</t>
  </si>
  <si>
    <t>2025 Business Plan grown 3%. Includes restriping and pothole repair</t>
  </si>
  <si>
    <t>2025 Business Plan grown 3%. New tenant costs/ Meter readings</t>
  </si>
  <si>
    <t>2025 Business Plan grown 3% Paint halls/Replace EST 3 Fire panel/LED lighting/window replacement</t>
  </si>
  <si>
    <t>Caulk parking deck/P-lot &amp; concrete repairs</t>
  </si>
  <si>
    <t>GM</t>
  </si>
  <si>
    <t>HVAC replacement</t>
  </si>
  <si>
    <t>Accounts in tenants name</t>
  </si>
  <si>
    <t>*Porter rate is distributed across both business parks</t>
  </si>
  <si>
    <t>Total amount is $5,499. 2025 amt grown 3%</t>
  </si>
  <si>
    <t>TOTAL JVIII:</t>
  </si>
  <si>
    <t>psf</t>
  </si>
  <si>
    <t>Supply</t>
  </si>
  <si>
    <t>Rate</t>
  </si>
  <si>
    <t>TOTAL NILLC:</t>
  </si>
  <si>
    <t>Security - Line 52</t>
  </si>
  <si>
    <t>Alternate</t>
  </si>
  <si>
    <t>Weekly</t>
  </si>
  <si>
    <t>Tour System</t>
  </si>
  <si>
    <t>/mo</t>
  </si>
  <si>
    <t>Marketing - Line 92</t>
  </si>
  <si>
    <t>Marketing (Fitness Center) - Line 92</t>
  </si>
  <si>
    <t>Business Taxes - Line 94</t>
  </si>
  <si>
    <t>Legal &amp; Accounting - Line 96</t>
  </si>
  <si>
    <t>Bank Fees (Lock Box Fees) - Line 98</t>
  </si>
  <si>
    <t>Other G&amp;A-allocated from LIK - Line 102</t>
  </si>
  <si>
    <t>Postage - Line 100</t>
  </si>
  <si>
    <t>Office Supplies - Line 99</t>
  </si>
  <si>
    <t>Commissions - Internal - Line 78</t>
  </si>
  <si>
    <t>Other G&amp;A Expense - Line 101</t>
  </si>
  <si>
    <t>Landscaping - Big Projects (Fountain) - Line 49</t>
  </si>
  <si>
    <t>Cleaning - Occupied SF - Line 65</t>
  </si>
  <si>
    <t>Cleaning - Porter Rate - Line 65</t>
  </si>
  <si>
    <t>Cleaning - Vacant SF - Line 66</t>
  </si>
  <si>
    <t>Consolidated</t>
  </si>
  <si>
    <t>CAM - Recoveries</t>
  </si>
  <si>
    <t>RET - Recoveries</t>
  </si>
  <si>
    <t xml:space="preserve"> Paste respective expenses into BUILDING OP EX tab for 202X Buidling XXXX CAM and RET Billing workbooks</t>
  </si>
  <si>
    <t>From 202X Buidling XXXX CAM and RET Billing workbooks Building tab (Column J)</t>
  </si>
  <si>
    <t>From 202X Buidling XXXX CAM and RET Billing workbooks Building tab (Column N)</t>
  </si>
  <si>
    <t>CAM - Est.</t>
  </si>
  <si>
    <t>RET - Est.</t>
  </si>
  <si>
    <t xml:space="preserve"> Estimated CAM &amp; RET Recoveries</t>
  </si>
  <si>
    <t>7/25 Reproj. Is for Capitalized Lease Costs</t>
  </si>
  <si>
    <t>Var.</t>
  </si>
  <si>
    <t>7/2025 Reprojections</t>
  </si>
  <si>
    <t xml:space="preserve">   ADD: Operating Cash 01/01/2026</t>
  </si>
  <si>
    <t xml:space="preserve">   LESS: Monthly Contributions to TI Escrow</t>
  </si>
  <si>
    <t>Request no TI contributions for 2026</t>
  </si>
  <si>
    <t xml:space="preserve">   ADD: TI Improvements and LC Costs </t>
  </si>
  <si>
    <t>To be funded by balances in TI Reserve</t>
  </si>
  <si>
    <t>Per Bank Statement</t>
  </si>
  <si>
    <t>Estimated Interest Year 2026</t>
  </si>
  <si>
    <t>Total Available</t>
  </si>
  <si>
    <t>Initial Escrow Deposit</t>
  </si>
  <si>
    <t>Interest Earnings Available</t>
  </si>
  <si>
    <t>Summary of TI Allowance Escrow:</t>
  </si>
  <si>
    <t>Projected Balance,</t>
  </si>
  <si>
    <t xml:space="preserve">   LESS: TI Improvements and Lease Costs year 2026</t>
  </si>
  <si>
    <t>Remaining Balance, TI Escrow</t>
  </si>
  <si>
    <t xml:space="preserve">  {With permission from Trustees}</t>
  </si>
  <si>
    <t>{A}</t>
  </si>
  <si>
    <r>
      <t>{</t>
    </r>
    <r>
      <rPr>
        <sz val="10"/>
        <color rgb="FFFF0000"/>
        <rFont val="Arial"/>
        <family val="2"/>
      </rPr>
      <t>B</t>
    </r>
    <r>
      <rPr>
        <b/>
        <sz val="10"/>
        <color rgb="FFFF0000"/>
        <rFont val="Arial"/>
        <family val="2"/>
      </rPr>
      <t>}</t>
    </r>
  </si>
  <si>
    <t>NESHAMINY INTERPELX LLC</t>
  </si>
  <si>
    <t>Other Options:</t>
  </si>
  <si>
    <t>Discuss  lower interest rate</t>
  </si>
  <si>
    <t xml:space="preserve">   May result in some element of Cash Management as  previously proposed by Liberty.</t>
  </si>
  <si>
    <t>Use of Debt Service Escrow</t>
  </si>
  <si>
    <t xml:space="preserve">   the normal Bank Cash Management). May require more complexities in structuring</t>
  </si>
  <si>
    <t xml:space="preserve">   at this time.</t>
  </si>
  <si>
    <t>Potential sale or re-purpose of the Interplex.</t>
  </si>
  <si>
    <t>Request funds if needed for any shortfalls</t>
  </si>
  <si>
    <t>2025 Business Plan grown 3%. Adjusted semiannual removals</t>
  </si>
  <si>
    <t>Based on 2025 tax bill</t>
  </si>
  <si>
    <t>Cash Balance, 31 December 2026</t>
  </si>
  <si>
    <t>Salaries &amp; Wages - Line 77</t>
  </si>
  <si>
    <t>Data\Shared\Properties\Business Plans - All Entities\2026\ISG Electric data</t>
  </si>
  <si>
    <t>Jan-Jun 2025 Actuals annualized</t>
  </si>
  <si>
    <t>Does not include 8200 for Eisner tax prep</t>
  </si>
  <si>
    <t>Total - Recurring</t>
  </si>
  <si>
    <t>Total - Contract</t>
  </si>
  <si>
    <t>Recurring -</t>
  </si>
  <si>
    <t>Sprinkler Inspection</t>
  </si>
  <si>
    <t>Fire Alarm Inspection</t>
  </si>
  <si>
    <t>Backflow Testing</t>
  </si>
  <si>
    <t>Fire Extinguisher Service</t>
  </si>
  <si>
    <t>Elevator Inspections</t>
  </si>
  <si>
    <t>Exterminator</t>
  </si>
  <si>
    <t>Bensalem Fire Inspections</t>
  </si>
  <si>
    <t>Roof Inspections</t>
  </si>
  <si>
    <t>Common Area Cleaning</t>
  </si>
  <si>
    <t>LIK Reimbursements</t>
  </si>
  <si>
    <t>Misc Expenses</t>
  </si>
  <si>
    <t xml:space="preserve">Contract - </t>
  </si>
  <si>
    <t>Verizon</t>
  </si>
  <si>
    <t>Comcast</t>
  </si>
  <si>
    <t>Window Cleaning</t>
  </si>
  <si>
    <t>Rug Rental</t>
  </si>
  <si>
    <t>Kastle Security</t>
  </si>
  <si>
    <t>Elevator Service</t>
  </si>
  <si>
    <t>HVAC Contracts</t>
  </si>
  <si>
    <t xml:space="preserve">Misc - </t>
  </si>
  <si>
    <t>New Tenant Expenses</t>
  </si>
  <si>
    <t>Electric Meter Reading</t>
  </si>
  <si>
    <t>Misc</t>
  </si>
  <si>
    <t>Real Estate Tax - Line 58</t>
  </si>
  <si>
    <t xml:space="preserve">2025 Business Plan grown 3% with semiannual bumps.  </t>
  </si>
  <si>
    <t>General Repairs</t>
  </si>
  <si>
    <t>Sweeping / Porter</t>
  </si>
  <si>
    <t>2025 Business Plan grown by 3%</t>
  </si>
  <si>
    <t>Monthly Service</t>
  </si>
  <si>
    <t>Bulb Recycle</t>
  </si>
  <si>
    <t>Computer Recycle</t>
  </si>
  <si>
    <t>Bumped up from 2025 Business Plan</t>
  </si>
  <si>
    <t>Irrigation Service</t>
  </si>
  <si>
    <t>Tree Service</t>
  </si>
  <si>
    <t>Misc.</t>
  </si>
  <si>
    <t>Contract</t>
  </si>
  <si>
    <t>Condo %</t>
  </si>
  <si>
    <t>NI LLC PRS</t>
  </si>
  <si>
    <t>Aqua</t>
  </si>
  <si>
    <t>BCWSA</t>
  </si>
  <si>
    <t>Budget Assumptions</t>
  </si>
  <si>
    <t>Account Code</t>
  </si>
  <si>
    <t>Description</t>
  </si>
  <si>
    <t>Assumption / Notes</t>
  </si>
  <si>
    <t>Set to occupancy</t>
  </si>
  <si>
    <t>Includes lobby planter stones</t>
  </si>
  <si>
    <r>
      <t xml:space="preserve">Contingency for repairs including </t>
    </r>
    <r>
      <rPr>
        <b/>
        <sz val="12"/>
        <rFont val="Century Gothic"/>
        <family val="2"/>
      </rPr>
      <t>Paint halls/Replace Fire panel/LED lighting/window replacement</t>
    </r>
  </si>
  <si>
    <t>Includes asphalt/pothole repairs and restriping</t>
  </si>
  <si>
    <t>Fountain repairs</t>
  </si>
  <si>
    <t>4% EGR for 5-8, 6% EGR for A-C</t>
  </si>
  <si>
    <t>Based on projected leasing assumptions</t>
  </si>
  <si>
    <t>Based on occupancy. Includes cleaning, supplies, and porter fee.</t>
  </si>
  <si>
    <t>Based on occupancy.</t>
  </si>
  <si>
    <t>2025 Rev</t>
  </si>
  <si>
    <t>2026 Rev</t>
  </si>
  <si>
    <t>Tax Rate</t>
  </si>
  <si>
    <t>2025 Tax</t>
  </si>
  <si>
    <t>NOTE: 2025 revenues taken from July reprojection</t>
  </si>
  <si>
    <t>Amt Pd</t>
  </si>
  <si>
    <t>Addl 2025</t>
  </si>
  <si>
    <t>2026 tax</t>
  </si>
  <si>
    <t xml:space="preserve">Total due </t>
  </si>
  <si>
    <t xml:space="preserve">   (This was NI LLC determing what excess cash was available to remit to Bank - not</t>
  </si>
  <si>
    <t xml:space="preserve">Summary Source and Use of Cash  for 2026 Budget </t>
  </si>
  <si>
    <t xml:space="preserve">USE OF DEBT SRVICE ESTROW TRUST FUNDS </t>
  </si>
  <si>
    <t xml:space="preserve">    This may be better used for year 2027. </t>
  </si>
  <si>
    <t>FOR INTERNAL DISCUSSION POINTS ONLY</t>
  </si>
  <si>
    <t>Balance of TI Escrow 31 Dec 2026</t>
  </si>
  <si>
    <t>Toggle Escrow Contributions</t>
  </si>
  <si>
    <t>ADD Interest Earnings:</t>
  </si>
  <si>
    <t>TI costs for 2025 are included in this defecit</t>
  </si>
  <si>
    <t>From 2025 reprojections at end of August</t>
  </si>
  <si>
    <t>See Payroll Budget 2026</t>
  </si>
  <si>
    <t>From 2026 Payroll Budget</t>
  </si>
  <si>
    <t>34% Allocation of $75K cap on Marketing pass through</t>
  </si>
  <si>
    <t>+ direct marketing $17,685</t>
  </si>
  <si>
    <t>Based on 2026 Payroll Budget</t>
  </si>
  <si>
    <t>Based on 2026 Payroll budget</t>
  </si>
  <si>
    <t>Suite</t>
  </si>
  <si>
    <t>4050-117</t>
  </si>
  <si>
    <t>4050-101</t>
  </si>
  <si>
    <t>4050-303</t>
  </si>
  <si>
    <t>4050-305</t>
  </si>
  <si>
    <t>$/Mo</t>
  </si>
  <si>
    <t>4060-301</t>
  </si>
  <si>
    <t>4060-101</t>
  </si>
  <si>
    <t>4060-110</t>
  </si>
  <si>
    <t>4060-113</t>
  </si>
  <si>
    <t>4060-208</t>
  </si>
  <si>
    <t>4060-213</t>
  </si>
  <si>
    <t>4060-217</t>
  </si>
  <si>
    <t>4060-310</t>
  </si>
  <si>
    <t>4060-400</t>
  </si>
  <si>
    <t>4060-403</t>
  </si>
  <si>
    <t>4060-500</t>
  </si>
  <si>
    <t>Conference Center</t>
  </si>
  <si>
    <t>4070-115</t>
  </si>
  <si>
    <t>4070-200</t>
  </si>
  <si>
    <t>4070-211</t>
  </si>
  <si>
    <t>4070-215</t>
  </si>
  <si>
    <t>4070-315</t>
  </si>
  <si>
    <t>4070-403</t>
  </si>
  <si>
    <t>4080-103</t>
  </si>
  <si>
    <t>4080-105</t>
  </si>
  <si>
    <t>4080-115</t>
  </si>
  <si>
    <t>4080-201</t>
  </si>
  <si>
    <t>4080-208</t>
  </si>
  <si>
    <t>4080-218</t>
  </si>
  <si>
    <t>4080-300</t>
  </si>
  <si>
    <t>4080-301</t>
  </si>
  <si>
    <t>4080-317</t>
  </si>
  <si>
    <t>4080-RT1</t>
  </si>
  <si>
    <t>GLT Transportation</t>
  </si>
  <si>
    <t>Lease Out - System One</t>
  </si>
  <si>
    <t>Need Description?</t>
  </si>
  <si>
    <t>Estimated Interest Nov &amp; Dec 2025</t>
  </si>
  <si>
    <t>CASH FLOW AFTER INTEREST ON DEBT SERVICE</t>
  </si>
  <si>
    <t>NEW</t>
  </si>
  <si>
    <t>Building</t>
  </si>
  <si>
    <t>RET</t>
  </si>
  <si>
    <t>Proj RET</t>
  </si>
  <si>
    <t>CF AFTER DEBT SERVICE</t>
  </si>
  <si>
    <t>NI LLC 2026 Budget</t>
  </si>
  <si>
    <t>&lt;- Lookup Column</t>
  </si>
  <si>
    <r>
      <t>Operating Cash 12/31/2025 (Projected using 2025.10 Reprojections) with $</t>
    </r>
    <r>
      <rPr>
        <sz val="12"/>
        <rFont val="Century Gothic"/>
        <family val="2"/>
      </rPr>
      <t>104,581.24 RET escrow overage refunded to NI LLC.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</si>
</sst>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_);\(0\)"/>
    <numFmt numFmtId="166" formatCode="mm\/dd\/yyyy"/>
    <numFmt numFmtId="167" formatCode="_(&quot;$&quot;* #,##0_);_(&quot;$&quot;* \(#,##0\);_(&quot;$&quot;* &quot;-&quot;??_);_(@_)"/>
    <numFmt numFmtId="168" formatCode="_(* #,##0_);_(* \(#,##0\);_(* &quot;-&quot;??_);_(@_)"/>
    <numFmt numFmtId="169" formatCode="#,##0.00\ &quot;€&quot;"/>
    <numFmt numFmtId="170" formatCode="[$-409]mmm\-yy;@"/>
    <numFmt numFmtId="171" formatCode="&quot;$&quot;#,##0.00"/>
    <numFmt numFmtId="172" formatCode="yyyy"/>
    <numFmt numFmtId="173" formatCode="00,000\ &quot;SF&quot;"/>
    <numFmt numFmtId="174" formatCode="_(* #,##0.00_);_(* \(#,##0.00\);_(* &quot;-&quot;_);_(@_)"/>
    <numFmt numFmtId="175" formatCode="&quot;$&quot;#,##0"/>
    <numFmt numFmtId="176" formatCode="_(* #,##0.0000_);_(* \(#,##0.0000\);_(* &quot;-&quot;_);_(@_)"/>
    <numFmt numFmtId="177" formatCode="0.0000%"/>
  </numFmts>
  <fonts count="6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u/>
      <sz val="12"/>
      <name val="Century Gothic"/>
      <family val="2"/>
    </font>
    <font>
      <b/>
      <sz val="24"/>
      <name val="Century Gothic"/>
      <family val="2"/>
    </font>
    <font>
      <b/>
      <sz val="10"/>
      <color rgb="FFFF0000"/>
      <name val="Century Gothic"/>
      <family val="2"/>
    </font>
    <font>
      <i/>
      <vertAlign val="superscript"/>
      <sz val="12"/>
      <name val="Century Gothic"/>
      <family val="2"/>
    </font>
    <font>
      <b/>
      <sz val="12"/>
      <color rgb="FFFF0000"/>
      <name val="Century Gothic"/>
      <family val="2"/>
    </font>
    <font>
      <b/>
      <i/>
      <vertAlign val="superscript"/>
      <sz val="12"/>
      <name val="Century Gothic"/>
      <family val="2"/>
    </font>
    <font>
      <u val="singleAccounting"/>
      <sz val="12"/>
      <name val="Century Gothic"/>
      <family val="2"/>
    </font>
    <font>
      <sz val="16"/>
      <name val="Century Gothic"/>
      <family val="2"/>
    </font>
    <font>
      <b/>
      <u/>
      <sz val="12"/>
      <name val="Century Gothic"/>
      <family val="2"/>
    </font>
    <font>
      <sz val="12"/>
      <color rgb="FF000000"/>
      <name val="Century Gothic"/>
      <family val="2"/>
    </font>
    <font>
      <i/>
      <sz val="12"/>
      <name val="Century Gothic"/>
      <family val="2"/>
    </font>
    <font>
      <b/>
      <i/>
      <sz val="12"/>
      <name val="Century Gothic"/>
      <family val="2"/>
    </font>
    <font>
      <i/>
      <sz val="11"/>
      <name val="Century Gothic"/>
      <family val="2"/>
    </font>
    <font>
      <b/>
      <sz val="10"/>
      <name val="Century Gothic"/>
      <family val="2"/>
    </font>
    <font>
      <sz val="12"/>
      <color rgb="FFFF0000"/>
      <name val="Century Gothic"/>
      <family val="2"/>
    </font>
    <font>
      <sz val="10"/>
      <color rgb="FFFF0000"/>
      <name val="Century Gothic"/>
      <family val="2"/>
    </font>
    <font>
      <b/>
      <sz val="22"/>
      <color theme="1"/>
      <name val="Century Gothic"/>
      <family val="2"/>
    </font>
    <font>
      <sz val="14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name val="Century Gothic"/>
      <family val="2"/>
    </font>
    <font>
      <sz val="16"/>
      <name val="Century Gothic"/>
      <family val="2"/>
    </font>
    <font>
      <sz val="14"/>
      <name val="Century Gothic"/>
      <family val="2"/>
    </font>
    <font>
      <i/>
      <vertAlign val="superscript"/>
      <sz val="12"/>
      <name val="Century Gothic"/>
      <family val="2"/>
    </font>
    <font>
      <b/>
      <sz val="14"/>
      <name val="Century Gothic"/>
      <family val="2"/>
    </font>
    <font>
      <b/>
      <i/>
      <vertAlign val="superscript"/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Century Gothic"/>
      <family val="2"/>
    </font>
    <font>
      <sz val="12"/>
      <name val="Century Gothic"/>
      <family val="2"/>
    </font>
    <font>
      <sz val="11"/>
      <color rgb="FFFF0000"/>
      <name val="Century Gothic"/>
      <family val="2"/>
    </font>
    <font>
      <sz val="14"/>
      <name val="Calibri Light"/>
      <family val="2"/>
    </font>
    <font>
      <b/>
      <sz val="14"/>
      <color rgb="FFFF0000"/>
      <name val="Century Gothic"/>
      <family val="2"/>
    </font>
    <font>
      <b/>
      <sz val="36"/>
      <name val="Century Gothic"/>
      <family val="2"/>
    </font>
    <font>
      <sz val="26"/>
      <name val="Century Gothic"/>
      <family val="2"/>
    </font>
    <font>
      <sz val="28"/>
      <name val="Century Gothic"/>
      <family val="2"/>
    </font>
    <font>
      <sz val="24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i/>
      <sz val="8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0">
    <xf numFmtId="41" fontId="0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3" fontId="8" fillId="0" borderId="0"/>
    <xf numFmtId="9" fontId="2" fillId="0" borderId="0" applyFont="0" applyFill="0" applyBorder="0" applyAlignment="0" applyProtection="0"/>
    <xf numFmtId="43" fontId="9" fillId="0" borderId="0"/>
    <xf numFmtId="9" fontId="8" fillId="0" borderId="0" applyFont="0" applyFill="0" applyBorder="0" applyAlignment="0" applyProtection="0"/>
    <xf numFmtId="41" fontId="2" fillId="0" borderId="0"/>
    <xf numFmtId="0" fontId="13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0" borderId="20" applyNumberFormat="0" applyFill="0" applyAlignment="0" applyProtection="0"/>
    <xf numFmtId="0" fontId="16" fillId="0" borderId="0" applyNumberFormat="0" applyFill="0" applyBorder="0" applyAlignment="0" applyProtection="0"/>
    <xf numFmtId="0" fontId="14" fillId="0" borderId="21" applyNumberFormat="0" applyFill="0" applyAlignment="0" applyProtection="0"/>
    <xf numFmtId="0" fontId="1" fillId="0" borderId="0"/>
    <xf numFmtId="169" fontId="17" fillId="7" borderId="0" applyFont="0" applyFill="0" applyBorder="0" applyProtection="0">
      <alignment horizontal="right" indent="2"/>
    </xf>
    <xf numFmtId="0" fontId="2" fillId="0" borderId="0"/>
  </cellStyleXfs>
  <cellXfs count="561">
    <xf numFmtId="41" fontId="0" fillId="0" borderId="0" xfId="0"/>
    <xf numFmtId="41" fontId="0" fillId="0" borderId="0" xfId="0" applyAlignment="1">
      <alignment horizontal="right"/>
    </xf>
    <xf numFmtId="41" fontId="0" fillId="0" borderId="7" xfId="0" applyBorder="1"/>
    <xf numFmtId="41" fontId="5" fillId="0" borderId="0" xfId="0" applyFont="1"/>
    <xf numFmtId="41" fontId="0" fillId="0" borderId="0" xfId="0" pivotButton="1"/>
    <xf numFmtId="41" fontId="0" fillId="0" borderId="0" xfId="0" applyAlignment="1">
      <alignment horizontal="left"/>
    </xf>
    <xf numFmtId="167" fontId="5" fillId="0" borderId="0" xfId="23" applyNumberFormat="1" applyFont="1"/>
    <xf numFmtId="41" fontId="14" fillId="0" borderId="0" xfId="0" applyFont="1"/>
    <xf numFmtId="41" fontId="5" fillId="0" borderId="0" xfId="0" applyFont="1" applyAlignment="1">
      <alignment horizontal="center"/>
    </xf>
    <xf numFmtId="41" fontId="0" fillId="2" borderId="0" xfId="0" applyFill="1"/>
    <xf numFmtId="41" fontId="0" fillId="4" borderId="0" xfId="0" applyFill="1"/>
    <xf numFmtId="41" fontId="0" fillId="0" borderId="0" xfId="0" applyAlignment="1">
      <alignment horizontal="left" indent="1"/>
    </xf>
    <xf numFmtId="0" fontId="16" fillId="0" borderId="0" xfId="25" applyBorder="1"/>
    <xf numFmtId="2" fontId="14" fillId="0" borderId="22" xfId="26" applyNumberFormat="1" applyBorder="1"/>
    <xf numFmtId="0" fontId="15" fillId="0" borderId="20" xfId="24" applyAlignment="1">
      <alignment horizontal="left"/>
    </xf>
    <xf numFmtId="41" fontId="5" fillId="0" borderId="11" xfId="0" applyFont="1" applyBorder="1"/>
    <xf numFmtId="167" fontId="14" fillId="0" borderId="0" xfId="26" applyNumberFormat="1" applyBorder="1"/>
    <xf numFmtId="167" fontId="15" fillId="0" borderId="20" xfId="23" applyNumberFormat="1" applyFont="1" applyBorder="1" applyAlignment="1">
      <alignment horizontal="left"/>
    </xf>
    <xf numFmtId="167" fontId="15" fillId="0" borderId="20" xfId="24" applyNumberFormat="1" applyAlignment="1">
      <alignment horizontal="left"/>
    </xf>
    <xf numFmtId="0" fontId="15" fillId="0" borderId="0" xfId="24" applyBorder="1" applyAlignment="1">
      <alignment horizontal="left"/>
    </xf>
    <xf numFmtId="167" fontId="5" fillId="0" borderId="11" xfId="23" applyNumberFormat="1" applyFont="1" applyBorder="1"/>
    <xf numFmtId="167" fontId="15" fillId="0" borderId="0" xfId="23" applyNumberFormat="1" applyFont="1" applyBorder="1" applyAlignment="1">
      <alignment horizontal="left"/>
    </xf>
    <xf numFmtId="167" fontId="5" fillId="0" borderId="0" xfId="23" applyNumberFormat="1" applyFont="1" applyBorder="1"/>
    <xf numFmtId="14" fontId="15" fillId="0" borderId="20" xfId="24" applyNumberFormat="1" applyAlignment="1">
      <alignment horizontal="center"/>
    </xf>
    <xf numFmtId="10" fontId="15" fillId="0" borderId="0" xfId="1" applyNumberFormat="1" applyFont="1" applyBorder="1" applyAlignment="1">
      <alignment horizontal="center"/>
    </xf>
    <xf numFmtId="14" fontId="15" fillId="0" borderId="0" xfId="24" applyNumberFormat="1" applyBorder="1" applyAlignment="1">
      <alignment horizontal="center"/>
    </xf>
    <xf numFmtId="2" fontId="14" fillId="0" borderId="0" xfId="26" applyNumberFormat="1" applyBorder="1"/>
    <xf numFmtId="44" fontId="5" fillId="0" borderId="11" xfId="23" applyFont="1" applyBorder="1"/>
    <xf numFmtId="165" fontId="5" fillId="5" borderId="6" xfId="0" applyNumberFormat="1" applyFont="1" applyFill="1" applyBorder="1" applyAlignment="1">
      <alignment horizontal="center"/>
    </xf>
    <xf numFmtId="167" fontId="0" fillId="0" borderId="0" xfId="23" applyNumberFormat="1" applyFont="1"/>
    <xf numFmtId="10" fontId="0" fillId="0" borderId="7" xfId="1" applyNumberFormat="1" applyFont="1" applyBorder="1"/>
    <xf numFmtId="41" fontId="20" fillId="4" borderId="0" xfId="0" applyFont="1" applyFill="1"/>
    <xf numFmtId="170" fontId="22" fillId="4" borderId="7" xfId="0" applyNumberFormat="1" applyFont="1" applyFill="1" applyBorder="1"/>
    <xf numFmtId="170" fontId="22" fillId="4" borderId="0" xfId="0" applyNumberFormat="1" applyFont="1" applyFill="1"/>
    <xf numFmtId="41" fontId="22" fillId="4" borderId="0" xfId="0" applyFont="1" applyFill="1"/>
    <xf numFmtId="41" fontId="23" fillId="4" borderId="0" xfId="0" applyFont="1" applyFill="1"/>
    <xf numFmtId="41" fontId="25" fillId="4" borderId="0" xfId="0" applyFont="1" applyFill="1"/>
    <xf numFmtId="41" fontId="24" fillId="4" borderId="0" xfId="0" applyFont="1" applyFill="1"/>
    <xf numFmtId="41" fontId="22" fillId="4" borderId="0" xfId="0" applyFont="1" applyFill="1" applyProtection="1">
      <protection locked="0"/>
    </xf>
    <xf numFmtId="41" fontId="26" fillId="4" borderId="0" xfId="0" applyFont="1" applyFill="1" applyAlignment="1">
      <alignment horizontal="right"/>
    </xf>
    <xf numFmtId="41" fontId="22" fillId="3" borderId="0" xfId="0" applyFont="1" applyFill="1" applyProtection="1">
      <protection locked="0"/>
    </xf>
    <xf numFmtId="41" fontId="22" fillId="4" borderId="0" xfId="0" applyFont="1" applyFill="1" applyAlignment="1">
      <alignment horizontal="right"/>
    </xf>
    <xf numFmtId="41" fontId="22" fillId="3" borderId="7" xfId="0" applyFont="1" applyFill="1" applyBorder="1" applyProtection="1">
      <protection locked="0"/>
    </xf>
    <xf numFmtId="41" fontId="22" fillId="4" borderId="7" xfId="0" applyFont="1" applyFill="1" applyBorder="1"/>
    <xf numFmtId="41" fontId="25" fillId="4" borderId="0" xfId="0" applyFont="1" applyFill="1" applyAlignment="1">
      <alignment horizontal="right"/>
    </xf>
    <xf numFmtId="41" fontId="27" fillId="4" borderId="0" xfId="0" applyFont="1" applyFill="1" applyAlignment="1">
      <alignment horizontal="centerContinuous"/>
    </xf>
    <xf numFmtId="41" fontId="22" fillId="4" borderId="0" xfId="0" applyFont="1" applyFill="1" applyAlignment="1">
      <alignment horizontal="centerContinuous"/>
    </xf>
    <xf numFmtId="44" fontId="20" fillId="4" borderId="0" xfId="23" applyFont="1" applyFill="1"/>
    <xf numFmtId="44" fontId="20" fillId="4" borderId="11" xfId="23" applyFont="1" applyFill="1" applyBorder="1"/>
    <xf numFmtId="44" fontId="20" fillId="2" borderId="0" xfId="23" applyFont="1" applyFill="1"/>
    <xf numFmtId="41" fontId="33" fillId="4" borderId="0" xfId="0" applyFont="1" applyFill="1" applyAlignment="1">
      <alignment vertical="center"/>
    </xf>
    <xf numFmtId="41" fontId="25" fillId="4" borderId="0" xfId="0" applyFont="1" applyFill="1" applyAlignment="1">
      <alignment vertical="center"/>
    </xf>
    <xf numFmtId="41" fontId="27" fillId="4" borderId="0" xfId="0" applyFont="1" applyFill="1" applyAlignment="1">
      <alignment horizontal="center" vertical="center"/>
    </xf>
    <xf numFmtId="172" fontId="33" fillId="4" borderId="0" xfId="0" applyNumberFormat="1" applyFont="1" applyFill="1" applyAlignment="1">
      <alignment horizontal="right" vertical="center"/>
    </xf>
    <xf numFmtId="41" fontId="22" fillId="4" borderId="0" xfId="0" applyFont="1" applyFill="1" applyAlignment="1">
      <alignment horizontal="center"/>
    </xf>
    <xf numFmtId="41" fontId="23" fillId="4" borderId="7" xfId="0" applyFont="1" applyFill="1" applyBorder="1" applyAlignment="1">
      <alignment horizontal="right"/>
    </xf>
    <xf numFmtId="164" fontId="22" fillId="4" borderId="0" xfId="1" applyNumberFormat="1" applyFont="1" applyFill="1" applyProtection="1"/>
    <xf numFmtId="164" fontId="22" fillId="4" borderId="0" xfId="1" applyNumberFormat="1" applyFont="1" applyFill="1" applyAlignment="1" applyProtection="1"/>
    <xf numFmtId="164" fontId="22" fillId="4" borderId="0" xfId="1" applyNumberFormat="1" applyFont="1" applyFill="1" applyAlignment="1" applyProtection="1">
      <alignment horizontal="right"/>
    </xf>
    <xf numFmtId="41" fontId="22" fillId="4" borderId="1" xfId="0" applyFont="1" applyFill="1" applyBorder="1"/>
    <xf numFmtId="41" fontId="22" fillId="4" borderId="5" xfId="0" applyFont="1" applyFill="1" applyBorder="1"/>
    <xf numFmtId="167" fontId="22" fillId="4" borderId="0" xfId="23" applyNumberFormat="1" applyFont="1" applyFill="1" applyBorder="1"/>
    <xf numFmtId="41" fontId="30" fillId="4" borderId="0" xfId="0" applyFont="1" applyFill="1"/>
    <xf numFmtId="41" fontId="25" fillId="4" borderId="0" xfId="0" applyFont="1" applyFill="1" applyAlignment="1">
      <alignment horizontal="left"/>
    </xf>
    <xf numFmtId="167" fontId="25" fillId="4" borderId="0" xfId="23" applyNumberFormat="1" applyFont="1" applyFill="1"/>
    <xf numFmtId="6" fontId="22" fillId="4" borderId="0" xfId="0" applyNumberFormat="1" applyFont="1" applyFill="1"/>
    <xf numFmtId="168" fontId="30" fillId="4" borderId="7" xfId="22" applyNumberFormat="1" applyFont="1" applyFill="1" applyBorder="1" applyAlignment="1">
      <alignment horizontal="left" indent="2"/>
    </xf>
    <xf numFmtId="41" fontId="32" fillId="4" borderId="0" xfId="0" applyFont="1" applyFill="1" applyProtection="1">
      <protection locked="0"/>
    </xf>
    <xf numFmtId="41" fontId="32" fillId="4" borderId="0" xfId="0" applyFont="1" applyFill="1"/>
    <xf numFmtId="41" fontId="22" fillId="4" borderId="1" xfId="0" applyFont="1" applyFill="1" applyBorder="1" applyProtection="1">
      <protection locked="0"/>
    </xf>
    <xf numFmtId="10" fontId="22" fillId="4" borderId="0" xfId="1" applyNumberFormat="1" applyFont="1" applyFill="1"/>
    <xf numFmtId="10" fontId="22" fillId="4" borderId="1" xfId="1" applyNumberFormat="1" applyFont="1" applyFill="1" applyBorder="1"/>
    <xf numFmtId="41" fontId="22" fillId="4" borderId="13" xfId="0" applyFont="1" applyFill="1" applyBorder="1"/>
    <xf numFmtId="41" fontId="22" fillId="4" borderId="13" xfId="0" applyFont="1" applyFill="1" applyBorder="1" applyProtection="1">
      <protection locked="0"/>
    </xf>
    <xf numFmtId="41" fontId="25" fillId="4" borderId="0" xfId="0" applyFont="1" applyFill="1" applyProtection="1">
      <protection locked="0"/>
    </xf>
    <xf numFmtId="0" fontId="22" fillId="4" borderId="0" xfId="15" applyNumberFormat="1" applyFont="1" applyFill="1" applyAlignment="1">
      <alignment horizontal="right"/>
    </xf>
    <xf numFmtId="41" fontId="22" fillId="4" borderId="0" xfId="0" applyFont="1" applyFill="1" applyAlignment="1" applyProtection="1">
      <alignment horizontal="right"/>
      <protection locked="0"/>
    </xf>
    <xf numFmtId="41" fontId="22" fillId="4" borderId="12" xfId="0" applyFont="1" applyFill="1" applyBorder="1"/>
    <xf numFmtId="44" fontId="30" fillId="4" borderId="0" xfId="23" applyFont="1" applyFill="1" applyProtection="1"/>
    <xf numFmtId="14" fontId="30" fillId="4" borderId="0" xfId="0" applyNumberFormat="1" applyFont="1" applyFill="1" applyAlignment="1">
      <alignment horizontal="right"/>
    </xf>
    <xf numFmtId="6" fontId="22" fillId="4" borderId="0" xfId="0" applyNumberFormat="1" applyFont="1" applyFill="1" applyAlignment="1">
      <alignment horizontal="right"/>
    </xf>
    <xf numFmtId="41" fontId="25" fillId="4" borderId="1" xfId="0" applyFont="1" applyFill="1" applyBorder="1"/>
    <xf numFmtId="41" fontId="23" fillId="4" borderId="2" xfId="0" applyFont="1" applyFill="1" applyBorder="1"/>
    <xf numFmtId="41" fontId="23" fillId="4" borderId="3" xfId="0" applyFont="1" applyFill="1" applyBorder="1"/>
    <xf numFmtId="41" fontId="23" fillId="6" borderId="2" xfId="0" applyFont="1" applyFill="1" applyBorder="1"/>
    <xf numFmtId="41" fontId="23" fillId="6" borderId="3" xfId="0" applyFont="1" applyFill="1" applyBorder="1"/>
    <xf numFmtId="41" fontId="23" fillId="4" borderId="0" xfId="0" applyFont="1" applyFill="1" applyAlignment="1">
      <alignment horizontal="center"/>
    </xf>
    <xf numFmtId="41" fontId="25" fillId="4" borderId="7" xfId="0" applyFont="1" applyFill="1" applyBorder="1"/>
    <xf numFmtId="41" fontId="22" fillId="4" borderId="19" xfId="0" applyFont="1" applyFill="1" applyBorder="1"/>
    <xf numFmtId="41" fontId="22" fillId="4" borderId="10" xfId="0" applyFont="1" applyFill="1" applyBorder="1"/>
    <xf numFmtId="41" fontId="22" fillId="4" borderId="17" xfId="0" applyFont="1" applyFill="1" applyBorder="1"/>
    <xf numFmtId="41" fontId="23" fillId="4" borderId="5" xfId="0" applyFont="1" applyFill="1" applyBorder="1"/>
    <xf numFmtId="41" fontId="23" fillId="4" borderId="1" xfId="0" applyFont="1" applyFill="1" applyBorder="1"/>
    <xf numFmtId="41" fontId="22" fillId="2" borderId="0" xfId="0" applyFont="1" applyFill="1" applyAlignment="1">
      <alignment horizontal="right"/>
    </xf>
    <xf numFmtId="41" fontId="25" fillId="2" borderId="0" xfId="0" applyFont="1" applyFill="1"/>
    <xf numFmtId="41" fontId="22" fillId="2" borderId="0" xfId="0" applyFont="1" applyFill="1"/>
    <xf numFmtId="41" fontId="25" fillId="2" borderId="0" xfId="0" applyFont="1" applyFill="1" applyAlignment="1">
      <alignment horizontal="left"/>
    </xf>
    <xf numFmtId="9" fontId="22" fillId="4" borderId="0" xfId="1" applyFont="1" applyFill="1"/>
    <xf numFmtId="41" fontId="22" fillId="4" borderId="25" xfId="0" applyFont="1" applyFill="1" applyBorder="1"/>
    <xf numFmtId="41" fontId="22" fillId="4" borderId="28" xfId="0" applyFont="1" applyFill="1" applyBorder="1"/>
    <xf numFmtId="41" fontId="22" fillId="4" borderId="30" xfId="0" applyFont="1" applyFill="1" applyBorder="1"/>
    <xf numFmtId="41" fontId="22" fillId="6" borderId="25" xfId="0" applyFont="1" applyFill="1" applyBorder="1"/>
    <xf numFmtId="41" fontId="22" fillId="6" borderId="26" xfId="0" applyFont="1" applyFill="1" applyBorder="1"/>
    <xf numFmtId="41" fontId="22" fillId="6" borderId="27" xfId="0" applyFont="1" applyFill="1" applyBorder="1"/>
    <xf numFmtId="41" fontId="22" fillId="6" borderId="28" xfId="0" applyFont="1" applyFill="1" applyBorder="1"/>
    <xf numFmtId="41" fontId="22" fillId="6" borderId="0" xfId="0" applyFont="1" applyFill="1"/>
    <xf numFmtId="41" fontId="22" fillId="6" borderId="29" xfId="0" applyFont="1" applyFill="1" applyBorder="1"/>
    <xf numFmtId="41" fontId="22" fillId="6" borderId="30" xfId="0" applyFont="1" applyFill="1" applyBorder="1"/>
    <xf numFmtId="41" fontId="22" fillId="6" borderId="31" xfId="0" applyFont="1" applyFill="1" applyBorder="1"/>
    <xf numFmtId="41" fontId="22" fillId="6" borderId="32" xfId="0" applyFont="1" applyFill="1" applyBorder="1"/>
    <xf numFmtId="41" fontId="20" fillId="4" borderId="0" xfId="0" applyFont="1" applyFill="1" applyAlignment="1">
      <alignment horizontal="right"/>
    </xf>
    <xf numFmtId="41" fontId="20" fillId="2" borderId="0" xfId="0" applyFont="1" applyFill="1" applyAlignment="1">
      <alignment horizontal="right"/>
    </xf>
    <xf numFmtId="14" fontId="28" fillId="4" borderId="0" xfId="0" applyNumberFormat="1" applyFont="1" applyFill="1" applyAlignment="1">
      <alignment horizontal="right"/>
    </xf>
    <xf numFmtId="41" fontId="28" fillId="4" borderId="0" xfId="0" applyFont="1" applyFill="1" applyAlignment="1">
      <alignment horizontal="right"/>
    </xf>
    <xf numFmtId="6" fontId="20" fillId="4" borderId="0" xfId="0" applyNumberFormat="1" applyFont="1" applyFill="1" applyAlignment="1">
      <alignment horizontal="right"/>
    </xf>
    <xf numFmtId="41" fontId="22" fillId="3" borderId="0" xfId="0" applyFont="1" applyFill="1"/>
    <xf numFmtId="41" fontId="22" fillId="3" borderId="7" xfId="0" applyFont="1" applyFill="1" applyBorder="1"/>
    <xf numFmtId="41" fontId="22" fillId="3" borderId="12" xfId="0" applyFont="1" applyFill="1" applyBorder="1" applyProtection="1">
      <protection locked="0"/>
    </xf>
    <xf numFmtId="49" fontId="22" fillId="4" borderId="0" xfId="0" applyNumberFormat="1" applyFont="1" applyFill="1" applyAlignment="1">
      <alignment horizontal="center"/>
    </xf>
    <xf numFmtId="168" fontId="22" fillId="4" borderId="0" xfId="22" applyNumberFormat="1" applyFont="1" applyFill="1"/>
    <xf numFmtId="41" fontId="23" fillId="4" borderId="0" xfId="0" applyFont="1" applyFill="1" applyAlignment="1">
      <alignment horizontal="center" vertical="center"/>
    </xf>
    <xf numFmtId="41" fontId="23" fillId="4" borderId="0" xfId="0" applyFont="1" applyFill="1" applyAlignment="1">
      <alignment horizontal="centerContinuous"/>
    </xf>
    <xf numFmtId="49" fontId="22" fillId="2" borderId="0" xfId="0" applyNumberFormat="1" applyFont="1" applyFill="1" applyAlignment="1">
      <alignment horizontal="center"/>
    </xf>
    <xf numFmtId="41" fontId="22" fillId="4" borderId="7" xfId="0" applyFont="1" applyFill="1" applyBorder="1" applyAlignment="1">
      <alignment horizontal="right"/>
    </xf>
    <xf numFmtId="168" fontId="22" fillId="4" borderId="7" xfId="22" applyNumberFormat="1" applyFont="1" applyFill="1" applyBorder="1"/>
    <xf numFmtId="40" fontId="22" fillId="4" borderId="0" xfId="22" applyNumberFormat="1" applyFont="1" applyFill="1" applyBorder="1" applyAlignment="1" applyProtection="1">
      <alignment horizontal="right"/>
    </xf>
    <xf numFmtId="43" fontId="22" fillId="4" borderId="0" xfId="22" applyFont="1" applyFill="1"/>
    <xf numFmtId="41" fontId="22" fillId="4" borderId="0" xfId="0" applyFont="1" applyFill="1" applyAlignment="1">
      <alignment horizontal="left"/>
    </xf>
    <xf numFmtId="49" fontId="22" fillId="4" borderId="0" xfId="0" applyNumberFormat="1" applyFont="1" applyFill="1" applyAlignment="1">
      <alignment horizontal="left"/>
    </xf>
    <xf numFmtId="41" fontId="21" fillId="4" borderId="0" xfId="0" applyFont="1" applyFill="1" applyAlignment="1">
      <alignment horizontal="center"/>
    </xf>
    <xf numFmtId="41" fontId="36" fillId="4" borderId="0" xfId="0" applyFont="1" applyFill="1"/>
    <xf numFmtId="41" fontId="23" fillId="4" borderId="0" xfId="0" applyFont="1" applyFill="1" applyAlignment="1">
      <alignment horizontal="right"/>
    </xf>
    <xf numFmtId="49" fontId="22" fillId="4" borderId="0" xfId="0" applyNumberFormat="1" applyFont="1" applyFill="1" applyAlignment="1">
      <alignment horizontal="right"/>
    </xf>
    <xf numFmtId="49" fontId="25" fillId="4" borderId="0" xfId="0" applyNumberFormat="1" applyFont="1" applyFill="1" applyAlignment="1">
      <alignment horizontal="right"/>
    </xf>
    <xf numFmtId="43" fontId="25" fillId="4" borderId="0" xfId="22" applyFont="1" applyFill="1" applyBorder="1"/>
    <xf numFmtId="41" fontId="25" fillId="4" borderId="12" xfId="0" applyFont="1" applyFill="1" applyBorder="1"/>
    <xf numFmtId="167" fontId="35" fillId="2" borderId="0" xfId="0" applyNumberFormat="1" applyFont="1" applyFill="1" applyAlignment="1">
      <alignment horizontal="left" vertical="top"/>
    </xf>
    <xf numFmtId="168" fontId="35" fillId="2" borderId="0" xfId="22" applyNumberFormat="1" applyFont="1" applyFill="1" applyAlignment="1">
      <alignment horizontal="left" vertical="top"/>
    </xf>
    <xf numFmtId="43" fontId="20" fillId="4" borderId="0" xfId="22" applyFont="1" applyFill="1"/>
    <xf numFmtId="41" fontId="37" fillId="2" borderId="0" xfId="0" applyFont="1" applyFill="1"/>
    <xf numFmtId="3" fontId="22" fillId="2" borderId="0" xfId="0" applyNumberFormat="1" applyFont="1" applyFill="1" applyAlignment="1">
      <alignment horizontal="right"/>
    </xf>
    <xf numFmtId="3" fontId="22" fillId="2" borderId="0" xfId="0" applyNumberFormat="1" applyFont="1" applyFill="1"/>
    <xf numFmtId="41" fontId="34" fillId="2" borderId="0" xfId="0" applyFont="1" applyFill="1" applyAlignment="1">
      <alignment horizontal="right"/>
    </xf>
    <xf numFmtId="49" fontId="23" fillId="4" borderId="0" xfId="0" applyNumberFormat="1" applyFont="1" applyFill="1" applyAlignment="1">
      <alignment horizontal="center"/>
    </xf>
    <xf numFmtId="49" fontId="24" fillId="4" borderId="0" xfId="0" applyNumberFormat="1" applyFont="1" applyFill="1" applyAlignment="1">
      <alignment horizontal="right"/>
    </xf>
    <xf numFmtId="41" fontId="24" fillId="4" borderId="1" xfId="0" applyFont="1" applyFill="1" applyBorder="1"/>
    <xf numFmtId="43" fontId="23" fillId="4" borderId="0" xfId="22" applyFont="1" applyFill="1"/>
    <xf numFmtId="4" fontId="0" fillId="2" borderId="0" xfId="0" applyNumberFormat="1" applyFill="1"/>
    <xf numFmtId="14" fontId="0" fillId="2" borderId="0" xfId="0" applyNumberFormat="1" applyFill="1"/>
    <xf numFmtId="40" fontId="22" fillId="3" borderId="7" xfId="22" applyNumberFormat="1" applyFont="1" applyFill="1" applyBorder="1" applyAlignment="1" applyProtection="1">
      <alignment horizontal="right"/>
      <protection locked="0"/>
    </xf>
    <xf numFmtId="41" fontId="22" fillId="2" borderId="0" xfId="0" applyFont="1" applyFill="1" applyAlignment="1">
      <alignment horizontal="left"/>
    </xf>
    <xf numFmtId="0" fontId="22" fillId="2" borderId="0" xfId="0" applyNumberFormat="1" applyFont="1" applyFill="1" applyAlignment="1">
      <alignment horizontal="center"/>
    </xf>
    <xf numFmtId="49" fontId="22" fillId="2" borderId="0" xfId="0" applyNumberFormat="1" applyFont="1" applyFill="1" applyAlignment="1">
      <alignment horizontal="left"/>
    </xf>
    <xf numFmtId="41" fontId="24" fillId="4" borderId="0" xfId="0" applyFont="1" applyFill="1" applyAlignment="1">
      <alignment horizontal="right"/>
    </xf>
    <xf numFmtId="10" fontId="18" fillId="4" borderId="7" xfId="1" applyNumberFormat="1" applyFont="1" applyFill="1" applyBorder="1" applyAlignment="1">
      <alignment horizontal="right" vertical="center"/>
    </xf>
    <xf numFmtId="10" fontId="18" fillId="4" borderId="0" xfId="1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right"/>
    </xf>
    <xf numFmtId="41" fontId="22" fillId="4" borderId="6" xfId="0" applyFont="1" applyFill="1" applyBorder="1" applyAlignment="1">
      <alignment horizontal="right"/>
    </xf>
    <xf numFmtId="10" fontId="18" fillId="4" borderId="23" xfId="1" applyNumberFormat="1" applyFont="1" applyFill="1" applyBorder="1" applyAlignment="1">
      <alignment horizontal="right" vertical="center"/>
    </xf>
    <xf numFmtId="10" fontId="18" fillId="4" borderId="9" xfId="1" applyNumberFormat="1" applyFont="1" applyFill="1" applyBorder="1" applyAlignment="1">
      <alignment horizontal="right" vertical="center"/>
    </xf>
    <xf numFmtId="41" fontId="22" fillId="4" borderId="24" xfId="0" applyFont="1" applyFill="1" applyBorder="1" applyAlignment="1">
      <alignment horizontal="center"/>
    </xf>
    <xf numFmtId="2" fontId="22" fillId="4" borderId="7" xfId="0" applyNumberFormat="1" applyFont="1" applyFill="1" applyBorder="1"/>
    <xf numFmtId="2" fontId="22" fillId="4" borderId="0" xfId="0" applyNumberFormat="1" applyFont="1" applyFill="1"/>
    <xf numFmtId="41" fontId="22" fillId="4" borderId="0" xfId="0" applyFont="1" applyFill="1" applyAlignment="1">
      <alignment horizontal="left" vertical="top"/>
    </xf>
    <xf numFmtId="166" fontId="22" fillId="4" borderId="0" xfId="0" applyNumberFormat="1" applyFont="1" applyFill="1" applyAlignment="1">
      <alignment horizontal="center" vertical="top"/>
    </xf>
    <xf numFmtId="41" fontId="22" fillId="4" borderId="0" xfId="0" applyFont="1" applyFill="1" applyAlignment="1">
      <alignment horizontal="center" vertical="top"/>
    </xf>
    <xf numFmtId="2" fontId="22" fillId="4" borderId="0" xfId="0" applyNumberFormat="1" applyFont="1" applyFill="1" applyAlignment="1">
      <alignment horizontal="right" vertical="top"/>
    </xf>
    <xf numFmtId="41" fontId="23" fillId="8" borderId="7" xfId="0" applyFont="1" applyFill="1" applyBorder="1" applyAlignment="1">
      <alignment horizontal="right"/>
    </xf>
    <xf numFmtId="41" fontId="22" fillId="8" borderId="0" xfId="0" applyFont="1" applyFill="1"/>
    <xf numFmtId="164" fontId="22" fillId="8" borderId="0" xfId="1" applyNumberFormat="1" applyFont="1" applyFill="1" applyProtection="1"/>
    <xf numFmtId="41" fontId="25" fillId="8" borderId="1" xfId="0" applyFont="1" applyFill="1" applyBorder="1"/>
    <xf numFmtId="41" fontId="29" fillId="8" borderId="0" xfId="0" applyFont="1" applyFill="1"/>
    <xf numFmtId="41" fontId="23" fillId="8" borderId="4" xfId="0" applyFont="1" applyFill="1" applyBorder="1"/>
    <xf numFmtId="41" fontId="22" fillId="8" borderId="18" xfId="0" applyFont="1" applyFill="1" applyBorder="1"/>
    <xf numFmtId="41" fontId="22" fillId="8" borderId="14" xfId="0" applyFont="1" applyFill="1" applyBorder="1"/>
    <xf numFmtId="41" fontId="22" fillId="8" borderId="16" xfId="0" applyFont="1" applyFill="1" applyBorder="1"/>
    <xf numFmtId="41" fontId="25" fillId="8" borderId="7" xfId="0" applyFont="1" applyFill="1" applyBorder="1"/>
    <xf numFmtId="41" fontId="22" fillId="8" borderId="7" xfId="0" applyFont="1" applyFill="1" applyBorder="1"/>
    <xf numFmtId="41" fontId="23" fillId="8" borderId="1" xfId="0" applyFont="1" applyFill="1" applyBorder="1"/>
    <xf numFmtId="41" fontId="22" fillId="8" borderId="1" xfId="0" applyFont="1" applyFill="1" applyBorder="1"/>
    <xf numFmtId="41" fontId="23" fillId="8" borderId="0" xfId="0" applyFont="1" applyFill="1"/>
    <xf numFmtId="41" fontId="29" fillId="8" borderId="7" xfId="0" applyFont="1" applyFill="1" applyBorder="1"/>
    <xf numFmtId="41" fontId="31" fillId="8" borderId="0" xfId="0" applyFont="1" applyFill="1"/>
    <xf numFmtId="41" fontId="23" fillId="8" borderId="3" xfId="0" applyFont="1" applyFill="1" applyBorder="1"/>
    <xf numFmtId="0" fontId="22" fillId="4" borderId="0" xfId="18" applyFont="1" applyFill="1" applyAlignment="1">
      <alignment vertical="top"/>
    </xf>
    <xf numFmtId="168" fontId="22" fillId="4" borderId="0" xfId="22" applyNumberFormat="1" applyFont="1" applyFill="1" applyAlignment="1" applyProtection="1">
      <alignment vertical="top"/>
    </xf>
    <xf numFmtId="167" fontId="22" fillId="4" borderId="0" xfId="18" applyNumberFormat="1" applyFont="1" applyFill="1" applyAlignment="1">
      <alignment vertical="top"/>
    </xf>
    <xf numFmtId="0" fontId="25" fillId="4" borderId="0" xfId="18" applyFont="1" applyFill="1" applyAlignment="1">
      <alignment horizontal="center" vertical="top"/>
    </xf>
    <xf numFmtId="0" fontId="22" fillId="4" borderId="0" xfId="18" applyFont="1" applyFill="1" applyAlignment="1">
      <alignment horizontal="center" vertical="top"/>
    </xf>
    <xf numFmtId="3" fontId="22" fillId="4" borderId="0" xfId="18" applyNumberFormat="1" applyFont="1" applyFill="1" applyAlignment="1">
      <alignment vertical="top"/>
    </xf>
    <xf numFmtId="3" fontId="25" fillId="4" borderId="0" xfId="18" applyNumberFormat="1" applyFont="1" applyFill="1" applyAlignment="1">
      <alignment horizontal="left" vertical="top"/>
    </xf>
    <xf numFmtId="0" fontId="34" fillId="4" borderId="0" xfId="18" applyFont="1" applyFill="1" applyAlignment="1">
      <alignment vertical="top"/>
    </xf>
    <xf numFmtId="10" fontId="22" fillId="4" borderId="0" xfId="18" applyNumberFormat="1" applyFont="1" applyFill="1" applyAlignment="1">
      <alignment vertical="top"/>
    </xf>
    <xf numFmtId="167" fontId="25" fillId="4" borderId="11" xfId="18" applyNumberFormat="1" applyFont="1" applyFill="1" applyBorder="1" applyAlignment="1">
      <alignment vertical="top"/>
    </xf>
    <xf numFmtId="43" fontId="22" fillId="4" borderId="0" xfId="22" applyFont="1" applyFill="1" applyAlignment="1">
      <alignment vertical="top"/>
    </xf>
    <xf numFmtId="3" fontId="22" fillId="4" borderId="0" xfId="22" applyNumberFormat="1" applyFont="1" applyFill="1" applyBorder="1" applyAlignment="1">
      <alignment vertical="top"/>
    </xf>
    <xf numFmtId="3" fontId="25" fillId="4" borderId="0" xfId="22" applyNumberFormat="1" applyFont="1" applyFill="1" applyBorder="1" applyAlignment="1">
      <alignment vertical="top"/>
    </xf>
    <xf numFmtId="14" fontId="22" fillId="4" borderId="0" xfId="18" applyNumberFormat="1" applyFont="1" applyFill="1" applyAlignment="1">
      <alignment vertical="top"/>
    </xf>
    <xf numFmtId="171" fontId="22" fillId="4" borderId="0" xfId="21" applyNumberFormat="1" applyFont="1" applyFill="1" applyBorder="1" applyAlignment="1" applyProtection="1">
      <alignment vertical="top"/>
    </xf>
    <xf numFmtId="9" fontId="22" fillId="4" borderId="0" xfId="19" applyFont="1" applyFill="1" applyBorder="1" applyAlignment="1" applyProtection="1">
      <alignment vertical="top"/>
    </xf>
    <xf numFmtId="0" fontId="22" fillId="4" borderId="7" xfId="18" applyFont="1" applyFill="1" applyBorder="1" applyAlignment="1">
      <alignment vertical="top"/>
    </xf>
    <xf numFmtId="0" fontId="22" fillId="4" borderId="7" xfId="18" applyFont="1" applyFill="1" applyBorder="1" applyAlignment="1">
      <alignment horizontal="center" vertical="top"/>
    </xf>
    <xf numFmtId="3" fontId="22" fillId="4" borderId="7" xfId="22" applyNumberFormat="1" applyFont="1" applyFill="1" applyBorder="1" applyAlignment="1">
      <alignment vertical="top"/>
    </xf>
    <xf numFmtId="0" fontId="22" fillId="4" borderId="16" xfId="18" applyFont="1" applyFill="1" applyBorder="1" applyAlignment="1">
      <alignment horizontal="center" vertical="top"/>
    </xf>
    <xf numFmtId="168" fontId="22" fillId="4" borderId="0" xfId="22" applyNumberFormat="1" applyFont="1" applyFill="1" applyBorder="1" applyAlignment="1" applyProtection="1">
      <alignment vertical="top"/>
    </xf>
    <xf numFmtId="168" fontId="22" fillId="4" borderId="10" xfId="22" applyNumberFormat="1" applyFont="1" applyFill="1" applyBorder="1" applyAlignment="1" applyProtection="1">
      <alignment vertical="top"/>
    </xf>
    <xf numFmtId="168" fontId="22" fillId="4" borderId="14" xfId="22" applyNumberFormat="1" applyFont="1" applyFill="1" applyBorder="1" applyAlignment="1" applyProtection="1">
      <alignment vertical="top"/>
    </xf>
    <xf numFmtId="14" fontId="22" fillId="4" borderId="0" xfId="18" applyNumberFormat="1" applyFont="1" applyFill="1" applyAlignment="1">
      <alignment horizontal="center" vertical="top"/>
    </xf>
    <xf numFmtId="3" fontId="22" fillId="4" borderId="7" xfId="18" applyNumberFormat="1" applyFont="1" applyFill="1" applyBorder="1" applyAlignment="1">
      <alignment horizontal="right" vertical="top"/>
    </xf>
    <xf numFmtId="3" fontId="22" fillId="4" borderId="0" xfId="22" applyNumberFormat="1" applyFont="1" applyFill="1" applyBorder="1" applyAlignment="1">
      <alignment horizontal="right" vertical="top"/>
    </xf>
    <xf numFmtId="3" fontId="22" fillId="4" borderId="7" xfId="22" applyNumberFormat="1" applyFont="1" applyFill="1" applyBorder="1" applyAlignment="1">
      <alignment horizontal="right" vertical="top"/>
    </xf>
    <xf numFmtId="3" fontId="25" fillId="4" borderId="0" xfId="22" applyNumberFormat="1" applyFont="1" applyFill="1" applyBorder="1" applyAlignment="1">
      <alignment horizontal="right" vertical="top"/>
    </xf>
    <xf numFmtId="3" fontId="25" fillId="4" borderId="0" xfId="18" applyNumberFormat="1" applyFont="1" applyFill="1" applyAlignment="1">
      <alignment horizontal="right" vertical="top"/>
    </xf>
    <xf numFmtId="0" fontId="22" fillId="4" borderId="7" xfId="18" applyFont="1" applyFill="1" applyBorder="1" applyAlignment="1">
      <alignment horizontal="right" vertical="top"/>
    </xf>
    <xf numFmtId="1" fontId="23" fillId="4" borderId="0" xfId="18" applyNumberFormat="1" applyFont="1" applyFill="1" applyAlignment="1">
      <alignment horizontal="left" vertical="top"/>
    </xf>
    <xf numFmtId="1" fontId="23" fillId="4" borderId="0" xfId="18" applyNumberFormat="1" applyFont="1" applyFill="1" applyAlignment="1">
      <alignment horizontal="center" vertical="top"/>
    </xf>
    <xf numFmtId="3" fontId="24" fillId="4" borderId="0" xfId="18" applyNumberFormat="1" applyFont="1" applyFill="1" applyAlignment="1">
      <alignment horizontal="left" vertical="top"/>
    </xf>
    <xf numFmtId="167" fontId="25" fillId="4" borderId="0" xfId="18" applyNumberFormat="1" applyFont="1" applyFill="1" applyAlignment="1">
      <alignment vertical="top"/>
    </xf>
    <xf numFmtId="14" fontId="22" fillId="4" borderId="0" xfId="18" applyNumberFormat="1" applyFont="1" applyFill="1" applyAlignment="1" applyProtection="1">
      <alignment vertical="top"/>
      <protection locked="0"/>
    </xf>
    <xf numFmtId="171" fontId="22" fillId="4" borderId="0" xfId="21" applyNumberFormat="1" applyFont="1" applyFill="1" applyBorder="1" applyAlignment="1" applyProtection="1">
      <alignment vertical="top"/>
      <protection locked="0"/>
    </xf>
    <xf numFmtId="14" fontId="22" fillId="4" borderId="0" xfId="27" applyNumberFormat="1" applyFont="1" applyFill="1" applyAlignment="1" applyProtection="1">
      <alignment vertical="top"/>
      <protection locked="0"/>
    </xf>
    <xf numFmtId="171" fontId="22" fillId="4" borderId="0" xfId="22" applyNumberFormat="1" applyFont="1" applyFill="1" applyBorder="1" applyAlignment="1" applyProtection="1">
      <alignment vertical="top"/>
      <protection locked="0"/>
    </xf>
    <xf numFmtId="14" fontId="22" fillId="4" borderId="7" xfId="18" applyNumberFormat="1" applyFont="1" applyFill="1" applyBorder="1" applyAlignment="1" applyProtection="1">
      <alignment vertical="top"/>
      <protection locked="0"/>
    </xf>
    <xf numFmtId="171" fontId="22" fillId="4" borderId="7" xfId="21" applyNumberFormat="1" applyFont="1" applyFill="1" applyBorder="1" applyAlignment="1" applyProtection="1">
      <alignment vertical="top"/>
      <protection locked="0"/>
    </xf>
    <xf numFmtId="3" fontId="27" fillId="4" borderId="0" xfId="18" applyNumberFormat="1" applyFont="1" applyFill="1" applyAlignment="1">
      <alignment horizontal="centerContinuous" vertical="top"/>
    </xf>
    <xf numFmtId="0" fontId="22" fillId="4" borderId="0" xfId="18" applyFont="1" applyFill="1" applyAlignment="1">
      <alignment horizontal="centerContinuous" vertical="top"/>
    </xf>
    <xf numFmtId="0" fontId="25" fillId="4" borderId="0" xfId="18" applyFont="1" applyFill="1" applyAlignment="1">
      <alignment horizontal="centerContinuous" vertical="top"/>
    </xf>
    <xf numFmtId="3" fontId="23" fillId="4" borderId="0" xfId="18" applyNumberFormat="1" applyFont="1" applyFill="1" applyAlignment="1">
      <alignment horizontal="centerContinuous" vertical="top"/>
    </xf>
    <xf numFmtId="3" fontId="25" fillId="4" borderId="0" xfId="18" applyNumberFormat="1" applyFont="1" applyFill="1" applyAlignment="1">
      <alignment horizontal="centerContinuous" vertical="top"/>
    </xf>
    <xf numFmtId="14" fontId="22" fillId="4" borderId="10" xfId="18" applyNumberFormat="1" applyFont="1" applyFill="1" applyBorder="1" applyAlignment="1" applyProtection="1">
      <alignment vertical="top"/>
      <protection locked="0"/>
    </xf>
    <xf numFmtId="9" fontId="22" fillId="4" borderId="14" xfId="19" applyFont="1" applyFill="1" applyBorder="1" applyAlignment="1" applyProtection="1">
      <alignment vertical="top"/>
      <protection locked="0"/>
    </xf>
    <xf numFmtId="14" fontId="22" fillId="4" borderId="17" xfId="18" applyNumberFormat="1" applyFont="1" applyFill="1" applyBorder="1" applyAlignment="1" applyProtection="1">
      <alignment vertical="top"/>
      <protection locked="0"/>
    </xf>
    <xf numFmtId="9" fontId="22" fillId="4" borderId="16" xfId="19" applyFont="1" applyFill="1" applyBorder="1" applyAlignment="1" applyProtection="1">
      <alignment vertical="top"/>
      <protection locked="0"/>
    </xf>
    <xf numFmtId="0" fontId="22" fillId="4" borderId="17" xfId="18" applyFont="1" applyFill="1" applyBorder="1" applyAlignment="1">
      <alignment horizontal="center" vertical="top"/>
    </xf>
    <xf numFmtId="170" fontId="22" fillId="4" borderId="17" xfId="0" applyNumberFormat="1" applyFont="1" applyFill="1" applyBorder="1"/>
    <xf numFmtId="170" fontId="22" fillId="4" borderId="16" xfId="0" applyNumberFormat="1" applyFont="1" applyFill="1" applyBorder="1"/>
    <xf numFmtId="167" fontId="22" fillId="4" borderId="0" xfId="19" applyNumberFormat="1" applyFont="1" applyFill="1" applyAlignment="1" applyProtection="1">
      <alignment horizontal="center" vertical="top"/>
    </xf>
    <xf numFmtId="167" fontId="36" fillId="4" borderId="0" xfId="18" applyNumberFormat="1" applyFont="1" applyFill="1" applyAlignment="1">
      <alignment vertical="top"/>
    </xf>
    <xf numFmtId="167" fontId="23" fillId="4" borderId="2" xfId="18" applyNumberFormat="1" applyFont="1" applyFill="1" applyBorder="1" applyAlignment="1">
      <alignment vertical="top"/>
    </xf>
    <xf numFmtId="167" fontId="23" fillId="4" borderId="3" xfId="18" applyNumberFormat="1" applyFont="1" applyFill="1" applyBorder="1" applyAlignment="1">
      <alignment vertical="top"/>
    </xf>
    <xf numFmtId="167" fontId="23" fillId="4" borderId="4" xfId="18" applyNumberFormat="1" applyFont="1" applyFill="1" applyBorder="1" applyAlignment="1">
      <alignment vertical="top"/>
    </xf>
    <xf numFmtId="0" fontId="27" fillId="4" borderId="0" xfId="18" applyFont="1" applyFill="1" applyAlignment="1">
      <alignment horizontal="centerContinuous" vertical="top"/>
    </xf>
    <xf numFmtId="14" fontId="22" fillId="4" borderId="0" xfId="18" applyNumberFormat="1" applyFont="1" applyFill="1" applyAlignment="1">
      <alignment horizontal="centerContinuous" vertical="top"/>
    </xf>
    <xf numFmtId="173" fontId="22" fillId="4" borderId="0" xfId="22" applyNumberFormat="1" applyFont="1" applyFill="1" applyAlignment="1">
      <alignment horizontal="right" vertical="top"/>
    </xf>
    <xf numFmtId="172" fontId="23" fillId="4" borderId="0" xfId="0" applyNumberFormat="1" applyFont="1" applyFill="1" applyAlignment="1">
      <alignment horizontal="right" vertical="center"/>
    </xf>
    <xf numFmtId="0" fontId="20" fillId="4" borderId="0" xfId="18" applyFont="1" applyFill="1" applyAlignment="1">
      <alignment vertical="top"/>
    </xf>
    <xf numFmtId="0" fontId="22" fillId="4" borderId="12" xfId="18" applyFont="1" applyFill="1" applyBorder="1" applyAlignment="1">
      <alignment horizontal="center" vertical="top"/>
    </xf>
    <xf numFmtId="164" fontId="22" fillId="4" borderId="14" xfId="1" applyNumberFormat="1" applyFont="1" applyFill="1" applyBorder="1" applyAlignment="1" applyProtection="1">
      <alignment vertical="top"/>
      <protection locked="0"/>
    </xf>
    <xf numFmtId="164" fontId="22" fillId="4" borderId="14" xfId="19" applyNumberFormat="1" applyFont="1" applyFill="1" applyBorder="1" applyAlignment="1" applyProtection="1">
      <alignment vertical="top"/>
      <protection locked="0"/>
    </xf>
    <xf numFmtId="3" fontId="21" fillId="4" borderId="0" xfId="18" applyNumberFormat="1" applyFont="1" applyFill="1" applyAlignment="1">
      <alignment horizontal="centerContinuous" vertical="top"/>
    </xf>
    <xf numFmtId="41" fontId="25" fillId="4" borderId="5" xfId="0" applyFont="1" applyFill="1" applyBorder="1" applyAlignment="1">
      <alignment horizontal="right"/>
    </xf>
    <xf numFmtId="41" fontId="24" fillId="4" borderId="15" xfId="0" applyFont="1" applyFill="1" applyBorder="1"/>
    <xf numFmtId="0" fontId="22" fillId="4" borderId="31" xfId="18" applyFont="1" applyFill="1" applyBorder="1" applyAlignment="1">
      <alignment horizontal="center" vertical="top"/>
    </xf>
    <xf numFmtId="0" fontId="22" fillId="4" borderId="31" xfId="18" applyFont="1" applyFill="1" applyBorder="1" applyAlignment="1">
      <alignment vertical="top"/>
    </xf>
    <xf numFmtId="167" fontId="22" fillId="4" borderId="31" xfId="18" applyNumberFormat="1" applyFont="1" applyFill="1" applyBorder="1" applyAlignment="1">
      <alignment vertical="top"/>
    </xf>
    <xf numFmtId="171" fontId="25" fillId="4" borderId="0" xfId="18" applyNumberFormat="1" applyFont="1" applyFill="1" applyAlignment="1">
      <alignment horizontal="centerContinuous" vertical="top"/>
    </xf>
    <xf numFmtId="173" fontId="22" fillId="4" borderId="0" xfId="22" applyNumberFormat="1" applyFont="1" applyFill="1" applyAlignment="1">
      <alignment horizontal="left" vertical="top"/>
    </xf>
    <xf numFmtId="9" fontId="22" fillId="4" borderId="0" xfId="1" applyFont="1" applyFill="1" applyAlignment="1">
      <alignment vertical="top"/>
    </xf>
    <xf numFmtId="3" fontId="24" fillId="4" borderId="0" xfId="18" applyNumberFormat="1" applyFont="1" applyFill="1" applyAlignment="1">
      <alignment horizontal="centerContinuous" vertical="top"/>
    </xf>
    <xf numFmtId="170" fontId="22" fillId="4" borderId="10" xfId="0" applyNumberFormat="1" applyFont="1" applyFill="1" applyBorder="1"/>
    <xf numFmtId="170" fontId="22" fillId="4" borderId="14" xfId="0" applyNumberFormat="1" applyFont="1" applyFill="1" applyBorder="1"/>
    <xf numFmtId="9" fontId="22" fillId="4" borderId="10" xfId="1" applyFont="1" applyFill="1" applyBorder="1" applyAlignment="1" applyProtection="1">
      <alignment vertical="top"/>
    </xf>
    <xf numFmtId="9" fontId="22" fillId="4" borderId="0" xfId="1" applyFont="1" applyFill="1" applyAlignment="1" applyProtection="1">
      <alignment vertical="top"/>
    </xf>
    <xf numFmtId="41" fontId="22" fillId="3" borderId="24" xfId="0" applyFont="1" applyFill="1" applyBorder="1" applyAlignment="1" applyProtection="1">
      <alignment horizontal="center"/>
      <protection locked="0"/>
    </xf>
    <xf numFmtId="1" fontId="22" fillId="6" borderId="0" xfId="0" applyNumberFormat="1" applyFont="1" applyFill="1" applyAlignment="1">
      <alignment horizontal="center"/>
    </xf>
    <xf numFmtId="2" fontId="22" fillId="4" borderId="7" xfId="0" applyNumberFormat="1" applyFont="1" applyFill="1" applyBorder="1" applyAlignment="1">
      <alignment horizontal="center"/>
    </xf>
    <xf numFmtId="4" fontId="22" fillId="4" borderId="0" xfId="0" applyNumberFormat="1" applyFont="1" applyFill="1" applyProtection="1">
      <protection locked="0"/>
    </xf>
    <xf numFmtId="2" fontId="22" fillId="4" borderId="0" xfId="0" applyNumberFormat="1" applyFont="1" applyFill="1" applyProtection="1">
      <protection locked="0"/>
    </xf>
    <xf numFmtId="0" fontId="22" fillId="4" borderId="0" xfId="0" applyNumberFormat="1" applyFont="1" applyFill="1" applyProtection="1">
      <protection locked="0"/>
    </xf>
    <xf numFmtId="41" fontId="22" fillId="4" borderId="0" xfId="0" applyFont="1" applyFill="1" applyAlignment="1" applyProtection="1">
      <alignment horizontal="left" vertical="top"/>
      <protection locked="0"/>
    </xf>
    <xf numFmtId="166" fontId="22" fillId="4" borderId="0" xfId="0" applyNumberFormat="1" applyFont="1" applyFill="1" applyAlignment="1" applyProtection="1">
      <alignment horizontal="center" vertical="top"/>
      <protection locked="0"/>
    </xf>
    <xf numFmtId="41" fontId="22" fillId="4" borderId="0" xfId="0" applyFont="1" applyFill="1" applyAlignment="1" applyProtection="1">
      <alignment horizontal="center" vertical="top"/>
      <protection locked="0"/>
    </xf>
    <xf numFmtId="2" fontId="22" fillId="4" borderId="0" xfId="0" applyNumberFormat="1" applyFont="1" applyFill="1" applyAlignment="1" applyProtection="1">
      <alignment horizontal="right" vertical="top"/>
      <protection locked="0"/>
    </xf>
    <xf numFmtId="9" fontId="22" fillId="4" borderId="23" xfId="1" applyFont="1" applyFill="1" applyBorder="1" applyAlignment="1" applyProtection="1">
      <alignment vertical="top"/>
    </xf>
    <xf numFmtId="168" fontId="22" fillId="4" borderId="23" xfId="22" applyNumberFormat="1" applyFont="1" applyFill="1" applyBorder="1" applyAlignment="1" applyProtection="1">
      <alignment vertical="top"/>
    </xf>
    <xf numFmtId="170" fontId="25" fillId="4" borderId="6" xfId="0" applyNumberFormat="1" applyFont="1" applyFill="1" applyBorder="1"/>
    <xf numFmtId="164" fontId="38" fillId="4" borderId="0" xfId="1" applyNumberFormat="1" applyFont="1" applyFill="1" applyAlignment="1" applyProtection="1">
      <alignment horizontal="right"/>
    </xf>
    <xf numFmtId="9" fontId="38" fillId="4" borderId="0" xfId="1" applyFont="1" applyFill="1" applyProtection="1"/>
    <xf numFmtId="168" fontId="38" fillId="4" borderId="0" xfId="22" applyNumberFormat="1" applyFont="1" applyFill="1" applyProtection="1"/>
    <xf numFmtId="173" fontId="22" fillId="4" borderId="0" xfId="18" applyNumberFormat="1" applyFont="1" applyFill="1" applyAlignment="1">
      <alignment horizontal="centerContinuous" vertical="top"/>
    </xf>
    <xf numFmtId="0" fontId="33" fillId="4" borderId="0" xfId="0" applyNumberFormat="1" applyFont="1" applyFill="1" applyAlignment="1">
      <alignment vertical="center"/>
    </xf>
    <xf numFmtId="173" fontId="22" fillId="4" borderId="0" xfId="22" applyNumberFormat="1" applyFont="1" applyFill="1" applyAlignment="1">
      <alignment horizontal="centerContinuous" vertical="top"/>
    </xf>
    <xf numFmtId="0" fontId="22" fillId="4" borderId="0" xfId="0" applyNumberFormat="1" applyFont="1" applyFill="1" applyAlignment="1">
      <alignment horizontal="center"/>
    </xf>
    <xf numFmtId="9" fontId="22" fillId="4" borderId="9" xfId="0" applyNumberFormat="1" applyFont="1" applyFill="1" applyBorder="1" applyAlignment="1">
      <alignment horizontal="right"/>
    </xf>
    <xf numFmtId="9" fontId="22" fillId="4" borderId="0" xfId="0" applyNumberFormat="1" applyFont="1" applyFill="1" applyAlignment="1">
      <alignment horizontal="right"/>
    </xf>
    <xf numFmtId="41" fontId="39" fillId="4" borderId="0" xfId="0" applyFont="1" applyFill="1" applyAlignment="1">
      <alignment horizontal="right"/>
    </xf>
    <xf numFmtId="41" fontId="24" fillId="6" borderId="2" xfId="0" applyFont="1" applyFill="1" applyBorder="1"/>
    <xf numFmtId="41" fontId="24" fillId="6" borderId="3" xfId="0" applyFont="1" applyFill="1" applyBorder="1"/>
    <xf numFmtId="41" fontId="24" fillId="8" borderId="3" xfId="0" applyFont="1" applyFill="1" applyBorder="1"/>
    <xf numFmtId="41" fontId="24" fillId="4" borderId="2" xfId="0" applyFont="1" applyFill="1" applyBorder="1"/>
    <xf numFmtId="41" fontId="24" fillId="4" borderId="3" xfId="0" applyFont="1" applyFill="1" applyBorder="1"/>
    <xf numFmtId="172" fontId="33" fillId="4" borderId="0" xfId="0" applyNumberFormat="1" applyFont="1" applyFill="1" applyAlignment="1">
      <alignment horizontal="center" vertical="center"/>
    </xf>
    <xf numFmtId="41" fontId="23" fillId="4" borderId="7" xfId="0" applyFont="1" applyFill="1" applyBorder="1" applyAlignment="1">
      <alignment horizontal="center"/>
    </xf>
    <xf numFmtId="41" fontId="25" fillId="4" borderId="0" xfId="0" applyFont="1" applyFill="1" applyAlignment="1">
      <alignment horizontal="center"/>
    </xf>
    <xf numFmtId="41" fontId="22" fillId="4" borderId="0" xfId="0" applyFont="1" applyFill="1" applyAlignment="1" applyProtection="1">
      <alignment horizontal="center"/>
      <protection locked="0"/>
    </xf>
    <xf numFmtId="41" fontId="25" fillId="4" borderId="0" xfId="0" applyFont="1" applyFill="1" applyAlignment="1" applyProtection="1">
      <alignment horizontal="center"/>
      <protection locked="0"/>
    </xf>
    <xf numFmtId="44" fontId="30" fillId="4" borderId="0" xfId="23" applyFont="1" applyFill="1" applyAlignment="1" applyProtection="1">
      <alignment horizontal="center"/>
    </xf>
    <xf numFmtId="41" fontId="23" fillId="4" borderId="7" xfId="0" applyFont="1" applyFill="1" applyBorder="1" applyAlignment="1">
      <alignment horizontal="left"/>
    </xf>
    <xf numFmtId="164" fontId="22" fillId="4" borderId="0" xfId="1" applyNumberFormat="1" applyFont="1" applyFill="1" applyAlignment="1" applyProtection="1">
      <alignment horizontal="center"/>
      <protection locked="0"/>
    </xf>
    <xf numFmtId="164" fontId="22" fillId="4" borderId="0" xfId="1" applyNumberFormat="1" applyFont="1" applyFill="1" applyProtection="1">
      <protection locked="0"/>
    </xf>
    <xf numFmtId="174" fontId="22" fillId="4" borderId="0" xfId="0" applyNumberFormat="1" applyFont="1" applyFill="1" applyAlignment="1" applyProtection="1">
      <alignment horizontal="center"/>
      <protection locked="0"/>
    </xf>
    <xf numFmtId="174" fontId="29" fillId="4" borderId="0" xfId="0" applyNumberFormat="1" applyFont="1" applyFill="1" applyAlignment="1" applyProtection="1">
      <alignment horizontal="center"/>
      <protection locked="0"/>
    </xf>
    <xf numFmtId="174" fontId="24" fillId="4" borderId="0" xfId="0" applyNumberFormat="1" applyFont="1" applyFill="1" applyAlignment="1" applyProtection="1">
      <alignment horizontal="center"/>
      <protection locked="0"/>
    </xf>
    <xf numFmtId="41" fontId="24" fillId="4" borderId="0" xfId="0" applyFont="1" applyFill="1" applyProtection="1">
      <protection locked="0"/>
    </xf>
    <xf numFmtId="174" fontId="23" fillId="4" borderId="0" xfId="0" applyNumberFormat="1" applyFont="1" applyFill="1" applyAlignment="1" applyProtection="1">
      <alignment horizontal="center"/>
      <protection locked="0"/>
    </xf>
    <xf numFmtId="41" fontId="22" fillId="2" borderId="0" xfId="0" applyFont="1" applyFill="1" applyProtection="1">
      <protection locked="0"/>
    </xf>
    <xf numFmtId="174" fontId="31" fillId="4" borderId="0" xfId="0" applyNumberFormat="1" applyFont="1" applyFill="1" applyAlignment="1" applyProtection="1">
      <alignment horizontal="center"/>
      <protection locked="0"/>
    </xf>
    <xf numFmtId="41" fontId="34" fillId="4" borderId="0" xfId="0" applyFont="1" applyFill="1" applyAlignment="1">
      <alignment horizontal="right"/>
    </xf>
    <xf numFmtId="43" fontId="22" fillId="4" borderId="0" xfId="22" applyFont="1" applyFill="1" applyBorder="1"/>
    <xf numFmtId="41" fontId="37" fillId="4" borderId="0" xfId="0" applyFont="1" applyFill="1"/>
    <xf numFmtId="3" fontId="22" fillId="4" borderId="0" xfId="0" applyNumberFormat="1" applyFont="1" applyFill="1" applyAlignment="1">
      <alignment horizontal="right"/>
    </xf>
    <xf numFmtId="43" fontId="30" fillId="4" borderId="0" xfId="22" applyFont="1" applyFill="1"/>
    <xf numFmtId="14" fontId="40" fillId="4" borderId="0" xfId="18" applyNumberFormat="1" applyFont="1" applyFill="1" applyAlignment="1">
      <alignment vertical="top"/>
    </xf>
    <xf numFmtId="41" fontId="30" fillId="4" borderId="0" xfId="0" applyFont="1" applyFill="1" applyAlignment="1">
      <alignment horizontal="right"/>
    </xf>
    <xf numFmtId="175" fontId="25" fillId="3" borderId="0" xfId="23" applyNumberFormat="1" applyFont="1" applyFill="1" applyBorder="1" applyProtection="1">
      <protection locked="0"/>
    </xf>
    <xf numFmtId="175" fontId="22" fillId="8" borderId="0" xfId="0" applyNumberFormat="1" applyFont="1" applyFill="1"/>
    <xf numFmtId="10" fontId="22" fillId="4" borderId="0" xfId="1" applyNumberFormat="1" applyFont="1" applyFill="1" applyAlignment="1" applyProtection="1">
      <alignment horizontal="left"/>
      <protection locked="0"/>
    </xf>
    <xf numFmtId="9" fontId="22" fillId="4" borderId="0" xfId="1" applyFont="1" applyFill="1" applyAlignment="1" applyProtection="1">
      <alignment horizontal="left"/>
      <protection locked="0"/>
    </xf>
    <xf numFmtId="41" fontId="41" fillId="4" borderId="0" xfId="0" applyFont="1" applyFill="1" applyAlignment="1">
      <alignment horizontal="left" vertical="center"/>
    </xf>
    <xf numFmtId="10" fontId="22" fillId="4" borderId="9" xfId="0" applyNumberFormat="1" applyFont="1" applyFill="1" applyBorder="1" applyAlignment="1">
      <alignment horizontal="right"/>
    </xf>
    <xf numFmtId="10" fontId="18" fillId="2" borderId="23" xfId="1" applyNumberFormat="1" applyFont="1" applyFill="1" applyBorder="1" applyAlignment="1">
      <alignment horizontal="right" vertical="center"/>
    </xf>
    <xf numFmtId="10" fontId="18" fillId="2" borderId="9" xfId="1" applyNumberFormat="1" applyFont="1" applyFill="1" applyBorder="1" applyAlignment="1">
      <alignment horizontal="right" vertical="center"/>
    </xf>
    <xf numFmtId="49" fontId="25" fillId="2" borderId="0" xfId="0" applyNumberFormat="1" applyFont="1" applyFill="1" applyAlignment="1">
      <alignment horizontal="right"/>
    </xf>
    <xf numFmtId="176" fontId="22" fillId="3" borderId="24" xfId="0" applyNumberFormat="1" applyFont="1" applyFill="1" applyBorder="1" applyAlignment="1" applyProtection="1">
      <alignment horizontal="center"/>
      <protection locked="0"/>
    </xf>
    <xf numFmtId="176" fontId="22" fillId="3" borderId="0" xfId="0" applyNumberFormat="1" applyFont="1" applyFill="1" applyProtection="1">
      <protection locked="0"/>
    </xf>
    <xf numFmtId="176" fontId="22" fillId="3" borderId="7" xfId="0" applyNumberFormat="1" applyFont="1" applyFill="1" applyBorder="1" applyProtection="1">
      <protection locked="0"/>
    </xf>
    <xf numFmtId="176" fontId="25" fillId="4" borderId="0" xfId="0" applyNumberFormat="1" applyFont="1" applyFill="1"/>
    <xf numFmtId="176" fontId="22" fillId="4" borderId="0" xfId="0" applyNumberFormat="1" applyFont="1" applyFill="1"/>
    <xf numFmtId="176" fontId="22" fillId="4" borderId="24" xfId="0" applyNumberFormat="1" applyFont="1" applyFill="1" applyBorder="1" applyAlignment="1">
      <alignment horizontal="center"/>
    </xf>
    <xf numFmtId="10" fontId="22" fillId="2" borderId="0" xfId="1" applyNumberFormat="1" applyFont="1" applyFill="1"/>
    <xf numFmtId="10" fontId="22" fillId="4" borderId="0" xfId="0" applyNumberFormat="1" applyFont="1" applyFill="1"/>
    <xf numFmtId="41" fontId="23" fillId="4" borderId="0" xfId="0" applyFont="1" applyFill="1" applyProtection="1">
      <protection locked="0"/>
    </xf>
    <xf numFmtId="168" fontId="30" fillId="4" borderId="0" xfId="22" applyNumberFormat="1" applyFont="1" applyFill="1" applyBorder="1" applyAlignment="1">
      <alignment horizontal="left" indent="2"/>
    </xf>
    <xf numFmtId="41" fontId="18" fillId="4" borderId="0" xfId="0" applyFont="1" applyFill="1" applyAlignment="1">
      <alignment horizontal="centerContinuous"/>
    </xf>
    <xf numFmtId="41" fontId="40" fillId="4" borderId="0" xfId="0" applyFont="1" applyFill="1" applyAlignment="1">
      <alignment horizontal="center"/>
    </xf>
    <xf numFmtId="0" fontId="19" fillId="4" borderId="7" xfId="0" quotePrefix="1" applyNumberFormat="1" applyFont="1" applyFill="1" applyBorder="1" applyAlignment="1">
      <alignment horizontal="right"/>
    </xf>
    <xf numFmtId="0" fontId="19" fillId="4" borderId="7" xfId="0" applyNumberFormat="1" applyFont="1" applyFill="1" applyBorder="1" applyAlignment="1">
      <alignment horizontal="right"/>
    </xf>
    <xf numFmtId="41" fontId="19" fillId="4" borderId="7" xfId="0" applyFont="1" applyFill="1" applyBorder="1" applyAlignment="1">
      <alignment horizontal="right"/>
    </xf>
    <xf numFmtId="0" fontId="22" fillId="4" borderId="0" xfId="0" applyNumberFormat="1" applyFont="1" applyFill="1"/>
    <xf numFmtId="165" fontId="22" fillId="4" borderId="8" xfId="0" applyNumberFormat="1" applyFont="1" applyFill="1" applyBorder="1" applyAlignment="1">
      <alignment horizontal="center" vertical="center"/>
    </xf>
    <xf numFmtId="41" fontId="22" fillId="4" borderId="12" xfId="0" applyFont="1" applyFill="1" applyBorder="1" applyAlignment="1">
      <alignment horizontal="center" vertical="center"/>
    </xf>
    <xf numFmtId="0" fontId="22" fillId="4" borderId="8" xfId="29" applyFont="1" applyFill="1" applyBorder="1" applyAlignment="1">
      <alignment vertical="center"/>
    </xf>
    <xf numFmtId="165" fontId="22" fillId="4" borderId="23" xfId="0" applyNumberFormat="1" applyFont="1" applyFill="1" applyBorder="1" applyAlignment="1">
      <alignment horizontal="center" vertical="center"/>
    </xf>
    <xf numFmtId="41" fontId="22" fillId="4" borderId="0" xfId="0" applyFont="1" applyFill="1" applyAlignment="1">
      <alignment horizontal="center" vertical="center"/>
    </xf>
    <xf numFmtId="0" fontId="22" fillId="4" borderId="23" xfId="29" applyFont="1" applyFill="1" applyBorder="1" applyAlignment="1">
      <alignment vertical="center"/>
    </xf>
    <xf numFmtId="165" fontId="22" fillId="4" borderId="9" xfId="0" applyNumberFormat="1" applyFont="1" applyFill="1" applyBorder="1" applyAlignment="1">
      <alignment horizontal="center" vertical="center"/>
    </xf>
    <xf numFmtId="41" fontId="22" fillId="4" borderId="7" xfId="0" applyFont="1" applyFill="1" applyBorder="1" applyAlignment="1">
      <alignment horizontal="center" vertical="center"/>
    </xf>
    <xf numFmtId="0" fontId="22" fillId="4" borderId="9" xfId="29" applyFont="1" applyFill="1" applyBorder="1" applyAlignment="1">
      <alignment vertical="center"/>
    </xf>
    <xf numFmtId="41" fontId="25" fillId="6" borderId="2" xfId="0" applyFont="1" applyFill="1" applyBorder="1"/>
    <xf numFmtId="41" fontId="25" fillId="6" borderId="3" xfId="0" applyFont="1" applyFill="1" applyBorder="1"/>
    <xf numFmtId="5" fontId="25" fillId="4" borderId="0" xfId="0" applyNumberFormat="1" applyFont="1" applyFill="1"/>
    <xf numFmtId="0" fontId="30" fillId="4" borderId="0" xfId="29" applyFont="1" applyFill="1" applyAlignment="1">
      <alignment vertical="center"/>
    </xf>
    <xf numFmtId="0" fontId="22" fillId="4" borderId="0" xfId="29" applyFont="1" applyFill="1" applyAlignment="1">
      <alignment vertical="center"/>
    </xf>
    <xf numFmtId="44" fontId="25" fillId="4" borderId="0" xfId="23" applyFont="1" applyFill="1"/>
    <xf numFmtId="41" fontId="22" fillId="4" borderId="0" xfId="29" applyNumberFormat="1" applyFont="1" applyFill="1" applyAlignment="1">
      <alignment vertical="center"/>
    </xf>
    <xf numFmtId="41" fontId="42" fillId="4" borderId="0" xfId="0" applyFont="1" applyFill="1" applyAlignment="1">
      <alignment horizontal="centerContinuous"/>
    </xf>
    <xf numFmtId="41" fontId="23" fillId="9" borderId="7" xfId="0" applyFont="1" applyFill="1" applyBorder="1" applyAlignment="1">
      <alignment horizontal="right"/>
    </xf>
    <xf numFmtId="41" fontId="22" fillId="9" borderId="0" xfId="0" applyFont="1" applyFill="1"/>
    <xf numFmtId="164" fontId="22" fillId="9" borderId="0" xfId="1" applyNumberFormat="1" applyFont="1" applyFill="1" applyProtection="1"/>
    <xf numFmtId="41" fontId="29" fillId="9" borderId="0" xfId="0" applyFont="1" applyFill="1"/>
    <xf numFmtId="41" fontId="24" fillId="9" borderId="0" xfId="0" applyFont="1" applyFill="1"/>
    <xf numFmtId="41" fontId="23" fillId="9" borderId="0" xfId="0" applyFont="1" applyFill="1"/>
    <xf numFmtId="41" fontId="31" fillId="9" borderId="0" xfId="0" applyFont="1" applyFill="1"/>
    <xf numFmtId="175" fontId="22" fillId="9" borderId="0" xfId="0" applyNumberFormat="1" applyFont="1" applyFill="1"/>
    <xf numFmtId="41" fontId="22" fillId="9" borderId="1" xfId="0" applyFont="1" applyFill="1" applyBorder="1"/>
    <xf numFmtId="41" fontId="23" fillId="9" borderId="1" xfId="0" applyFont="1" applyFill="1" applyBorder="1"/>
    <xf numFmtId="41" fontId="22" fillId="9" borderId="7" xfId="0" applyFont="1" applyFill="1" applyBorder="1"/>
    <xf numFmtId="10" fontId="33" fillId="4" borderId="0" xfId="0" applyNumberFormat="1" applyFont="1" applyFill="1" applyAlignment="1">
      <alignment horizontal="right" vertical="center"/>
    </xf>
    <xf numFmtId="10" fontId="23" fillId="9" borderId="7" xfId="0" applyNumberFormat="1" applyFont="1" applyFill="1" applyBorder="1" applyAlignment="1">
      <alignment horizontal="right"/>
    </xf>
    <xf numFmtId="10" fontId="22" fillId="9" borderId="0" xfId="0" applyNumberFormat="1" applyFont="1" applyFill="1"/>
    <xf numFmtId="10" fontId="22" fillId="9" borderId="1" xfId="1" applyNumberFormat="1" applyFont="1" applyFill="1" applyBorder="1"/>
    <xf numFmtId="10" fontId="24" fillId="9" borderId="4" xfId="1" applyNumberFormat="1" applyFont="1" applyFill="1" applyBorder="1"/>
    <xf numFmtId="10" fontId="22" fillId="9" borderId="0" xfId="1" applyNumberFormat="1" applyFont="1" applyFill="1" applyBorder="1"/>
    <xf numFmtId="10" fontId="23" fillId="9" borderId="1" xfId="1" applyNumberFormat="1" applyFont="1" applyFill="1" applyBorder="1"/>
    <xf numFmtId="10" fontId="22" fillId="9" borderId="7" xfId="1" applyNumberFormat="1" applyFont="1" applyFill="1" applyBorder="1"/>
    <xf numFmtId="10" fontId="29" fillId="9" borderId="0" xfId="0" applyNumberFormat="1" applyFont="1" applyFill="1"/>
    <xf numFmtId="10" fontId="24" fillId="9" borderId="0" xfId="0" applyNumberFormat="1" applyFont="1" applyFill="1"/>
    <xf numFmtId="10" fontId="25" fillId="4" borderId="0" xfId="0" applyNumberFormat="1" applyFont="1" applyFill="1"/>
    <xf numFmtId="10" fontId="22" fillId="4" borderId="0" xfId="0" applyNumberFormat="1" applyFont="1" applyFill="1" applyProtection="1">
      <protection locked="0"/>
    </xf>
    <xf numFmtId="10" fontId="22" fillId="4" borderId="0" xfId="0" applyNumberFormat="1" applyFont="1" applyFill="1" applyAlignment="1" applyProtection="1">
      <alignment horizontal="right"/>
      <protection locked="0"/>
    </xf>
    <xf numFmtId="10" fontId="25" fillId="4" borderId="0" xfId="0" applyNumberFormat="1" applyFont="1" applyFill="1" applyProtection="1">
      <protection locked="0"/>
    </xf>
    <xf numFmtId="10" fontId="30" fillId="4" borderId="0" xfId="23" applyNumberFormat="1" applyFont="1" applyFill="1" applyProtection="1"/>
    <xf numFmtId="10" fontId="22" fillId="9" borderId="0" xfId="1" applyNumberFormat="1" applyFont="1" applyFill="1" applyBorder="1" applyProtection="1"/>
    <xf numFmtId="10" fontId="29" fillId="9" borderId="0" xfId="1" applyNumberFormat="1" applyFont="1" applyFill="1" applyBorder="1"/>
    <xf numFmtId="10" fontId="23" fillId="9" borderId="0" xfId="1" applyNumberFormat="1" applyFont="1" applyFill="1" applyBorder="1"/>
    <xf numFmtId="10" fontId="31" fillId="9" borderId="0" xfId="1" applyNumberFormat="1" applyFont="1" applyFill="1" applyBorder="1"/>
    <xf numFmtId="41" fontId="23" fillId="9" borderId="0" xfId="0" applyFont="1" applyFill="1" applyAlignment="1">
      <alignment horizontal="centerContinuous"/>
    </xf>
    <xf numFmtId="10" fontId="23" fillId="9" borderId="0" xfId="0" applyNumberFormat="1" applyFont="1" applyFill="1" applyAlignment="1">
      <alignment horizontal="centerContinuous"/>
    </xf>
    <xf numFmtId="10" fontId="46" fillId="4" borderId="0" xfId="0" applyNumberFormat="1" applyFont="1" applyFill="1"/>
    <xf numFmtId="172" fontId="47" fillId="4" borderId="0" xfId="0" applyNumberFormat="1" applyFont="1" applyFill="1" applyAlignment="1">
      <alignment horizontal="right" vertical="center"/>
    </xf>
    <xf numFmtId="10" fontId="47" fillId="4" borderId="0" xfId="0" applyNumberFormat="1" applyFont="1" applyFill="1" applyAlignment="1">
      <alignment horizontal="right" vertical="center"/>
    </xf>
    <xf numFmtId="41" fontId="46" fillId="4" borderId="0" xfId="0" applyFont="1" applyFill="1"/>
    <xf numFmtId="41" fontId="48" fillId="9" borderId="0" xfId="0" applyFont="1" applyFill="1" applyAlignment="1">
      <alignment horizontal="centerContinuous"/>
    </xf>
    <xf numFmtId="10" fontId="48" fillId="9" borderId="0" xfId="0" applyNumberFormat="1" applyFont="1" applyFill="1" applyAlignment="1">
      <alignment horizontal="centerContinuous"/>
    </xf>
    <xf numFmtId="41" fontId="48" fillId="9" borderId="7" xfId="0" applyFont="1" applyFill="1" applyBorder="1" applyAlignment="1">
      <alignment horizontal="right"/>
    </xf>
    <xf numFmtId="10" fontId="48" fillId="9" borderId="7" xfId="0" applyNumberFormat="1" applyFont="1" applyFill="1" applyBorder="1" applyAlignment="1">
      <alignment horizontal="right"/>
    </xf>
    <xf numFmtId="41" fontId="46" fillId="9" borderId="0" xfId="0" applyFont="1" applyFill="1"/>
    <xf numFmtId="10" fontId="46" fillId="9" borderId="0" xfId="0" applyNumberFormat="1" applyFont="1" applyFill="1"/>
    <xf numFmtId="164" fontId="46" fillId="9" borderId="0" xfId="1" applyNumberFormat="1" applyFont="1" applyFill="1"/>
    <xf numFmtId="10" fontId="46" fillId="9" borderId="0" xfId="1" applyNumberFormat="1" applyFont="1" applyFill="1"/>
    <xf numFmtId="41" fontId="46" fillId="9" borderId="1" xfId="0" applyFont="1" applyFill="1" applyBorder="1"/>
    <xf numFmtId="10" fontId="46" fillId="9" borderId="1" xfId="1" applyNumberFormat="1" applyFont="1" applyFill="1" applyBorder="1"/>
    <xf numFmtId="41" fontId="49" fillId="9" borderId="0" xfId="0" applyFont="1" applyFill="1"/>
    <xf numFmtId="10" fontId="49" fillId="9" borderId="0" xfId="1" applyNumberFormat="1" applyFont="1" applyFill="1"/>
    <xf numFmtId="10" fontId="46" fillId="9" borderId="7" xfId="1" applyNumberFormat="1" applyFont="1" applyFill="1" applyBorder="1"/>
    <xf numFmtId="10" fontId="50" fillId="9" borderId="4" xfId="1" applyNumberFormat="1" applyFont="1" applyFill="1" applyBorder="1"/>
    <xf numFmtId="41" fontId="48" fillId="9" borderId="1" xfId="0" applyFont="1" applyFill="1" applyBorder="1"/>
    <xf numFmtId="41" fontId="48" fillId="9" borderId="0" xfId="0" applyFont="1" applyFill="1"/>
    <xf numFmtId="10" fontId="48" fillId="9" borderId="0" xfId="1" applyNumberFormat="1" applyFont="1" applyFill="1"/>
    <xf numFmtId="41" fontId="46" fillId="9" borderId="7" xfId="0" applyFont="1" applyFill="1" applyBorder="1"/>
    <xf numFmtId="41" fontId="51" fillId="9" borderId="0" xfId="0" applyFont="1" applyFill="1"/>
    <xf numFmtId="10" fontId="51" fillId="9" borderId="0" xfId="1" applyNumberFormat="1" applyFont="1" applyFill="1"/>
    <xf numFmtId="41" fontId="49" fillId="4" borderId="0" xfId="0" applyFont="1" applyFill="1"/>
    <xf numFmtId="10" fontId="49" fillId="4" borderId="0" xfId="0" applyNumberFormat="1" applyFont="1" applyFill="1"/>
    <xf numFmtId="175" fontId="46" fillId="4" borderId="0" xfId="0" applyNumberFormat="1" applyFont="1" applyFill="1"/>
    <xf numFmtId="41" fontId="52" fillId="4" borderId="0" xfId="0" applyFont="1" applyFill="1"/>
    <xf numFmtId="41" fontId="46" fillId="4" borderId="0" xfId="0" applyFont="1" applyFill="1" applyProtection="1">
      <protection locked="0"/>
    </xf>
    <xf numFmtId="10" fontId="46" fillId="4" borderId="0" xfId="0" applyNumberFormat="1" applyFont="1" applyFill="1" applyProtection="1">
      <protection locked="0"/>
    </xf>
    <xf numFmtId="41" fontId="46" fillId="4" borderId="0" xfId="0" applyFont="1" applyFill="1" applyAlignment="1" applyProtection="1">
      <alignment horizontal="right"/>
      <protection locked="0"/>
    </xf>
    <xf numFmtId="10" fontId="46" fillId="4" borderId="0" xfId="0" applyNumberFormat="1" applyFont="1" applyFill="1" applyAlignment="1" applyProtection="1">
      <alignment horizontal="right"/>
      <protection locked="0"/>
    </xf>
    <xf numFmtId="41" fontId="52" fillId="4" borderId="0" xfId="0" applyFont="1" applyFill="1" applyProtection="1">
      <protection locked="0"/>
    </xf>
    <xf numFmtId="10" fontId="52" fillId="4" borderId="0" xfId="0" applyNumberFormat="1" applyFont="1" applyFill="1" applyProtection="1">
      <protection locked="0"/>
    </xf>
    <xf numFmtId="44" fontId="53" fillId="4" borderId="0" xfId="23" applyFont="1" applyFill="1"/>
    <xf numFmtId="10" fontId="53" fillId="4" borderId="0" xfId="23" applyNumberFormat="1" applyFont="1" applyFill="1"/>
    <xf numFmtId="41" fontId="24" fillId="9" borderId="2" xfId="0" applyFont="1" applyFill="1" applyBorder="1"/>
    <xf numFmtId="41" fontId="24" fillId="8" borderId="2" xfId="0" applyFont="1" applyFill="1" applyBorder="1"/>
    <xf numFmtId="41" fontId="50" fillId="8" borderId="2" xfId="0" applyFont="1" applyFill="1" applyBorder="1"/>
    <xf numFmtId="41" fontId="50" fillId="9" borderId="2" xfId="0" applyFont="1" applyFill="1" applyBorder="1"/>
    <xf numFmtId="174" fontId="50" fillId="8" borderId="4" xfId="0" applyNumberFormat="1" applyFont="1" applyFill="1" applyBorder="1"/>
    <xf numFmtId="41" fontId="48" fillId="8" borderId="7" xfId="0" applyFont="1" applyFill="1" applyBorder="1" applyAlignment="1">
      <alignment horizontal="right"/>
    </xf>
    <xf numFmtId="41" fontId="46" fillId="8" borderId="0" xfId="0" applyFont="1" applyFill="1"/>
    <xf numFmtId="164" fontId="46" fillId="8" borderId="0" xfId="1" applyNumberFormat="1" applyFont="1" applyFill="1"/>
    <xf numFmtId="174" fontId="46" fillId="8" borderId="0" xfId="0" applyNumberFormat="1" applyFont="1" applyFill="1"/>
    <xf numFmtId="41" fontId="46" fillId="8" borderId="1" xfId="0" applyFont="1" applyFill="1" applyBorder="1"/>
    <xf numFmtId="174" fontId="46" fillId="8" borderId="1" xfId="0" applyNumberFormat="1" applyFont="1" applyFill="1" applyBorder="1"/>
    <xf numFmtId="41" fontId="49" fillId="8" borderId="0" xfId="0" applyFont="1" applyFill="1"/>
    <xf numFmtId="174" fontId="49" fillId="8" borderId="0" xfId="0" applyNumberFormat="1" applyFont="1" applyFill="1"/>
    <xf numFmtId="41" fontId="46" fillId="8" borderId="12" xfId="0" applyFont="1" applyFill="1" applyBorder="1" applyProtection="1">
      <protection locked="0"/>
    </xf>
    <xf numFmtId="174" fontId="46" fillId="8" borderId="18" xfId="0" applyNumberFormat="1" applyFont="1" applyFill="1" applyBorder="1"/>
    <xf numFmtId="41" fontId="46" fillId="8" borderId="0" xfId="0" applyFont="1" applyFill="1" applyProtection="1">
      <protection locked="0"/>
    </xf>
    <xf numFmtId="174" fontId="46" fillId="8" borderId="14" xfId="0" applyNumberFormat="1" applyFont="1" applyFill="1" applyBorder="1"/>
    <xf numFmtId="41" fontId="46" fillId="8" borderId="7" xfId="0" applyFont="1" applyFill="1" applyBorder="1" applyProtection="1">
      <protection locked="0"/>
    </xf>
    <xf numFmtId="174" fontId="46" fillId="8" borderId="16" xfId="0" applyNumberFormat="1" applyFont="1" applyFill="1" applyBorder="1"/>
    <xf numFmtId="41" fontId="46" fillId="8" borderId="7" xfId="0" applyFont="1" applyFill="1" applyBorder="1"/>
    <xf numFmtId="174" fontId="46" fillId="8" borderId="7" xfId="0" applyNumberFormat="1" applyFont="1" applyFill="1" applyBorder="1"/>
    <xf numFmtId="41" fontId="46" fillId="8" borderId="12" xfId="0" applyFont="1" applyFill="1" applyBorder="1"/>
    <xf numFmtId="41" fontId="48" fillId="8" borderId="1" xfId="0" applyFont="1" applyFill="1" applyBorder="1"/>
    <xf numFmtId="174" fontId="48" fillId="8" borderId="1" xfId="0" applyNumberFormat="1" applyFont="1" applyFill="1" applyBorder="1"/>
    <xf numFmtId="41" fontId="46" fillId="2" borderId="0" xfId="0" applyFont="1" applyFill="1"/>
    <xf numFmtId="174" fontId="46" fillId="2" borderId="0" xfId="0" applyNumberFormat="1" applyFont="1" applyFill="1"/>
    <xf numFmtId="41" fontId="48" fillId="8" borderId="0" xfId="0" applyFont="1" applyFill="1"/>
    <xf numFmtId="174" fontId="48" fillId="8" borderId="0" xfId="0" applyNumberFormat="1" applyFont="1" applyFill="1"/>
    <xf numFmtId="41" fontId="51" fillId="8" borderId="0" xfId="0" applyFont="1" applyFill="1"/>
    <xf numFmtId="174" fontId="51" fillId="8" borderId="0" xfId="0" applyNumberFormat="1" applyFont="1" applyFill="1"/>
    <xf numFmtId="41" fontId="49" fillId="8" borderId="7" xfId="0" applyFont="1" applyFill="1" applyBorder="1"/>
    <xf numFmtId="174" fontId="49" fillId="8" borderId="7" xfId="0" applyNumberFormat="1" applyFont="1" applyFill="1" applyBorder="1"/>
    <xf numFmtId="41" fontId="46" fillId="4" borderId="0" xfId="0" applyFont="1" applyFill="1" applyAlignment="1">
      <alignment horizontal="right"/>
    </xf>
    <xf numFmtId="41" fontId="46" fillId="4" borderId="1" xfId="0" applyFont="1" applyFill="1" applyBorder="1" applyProtection="1">
      <protection locked="0"/>
    </xf>
    <xf numFmtId="41" fontId="46" fillId="4" borderId="13" xfId="0" applyFont="1" applyFill="1" applyBorder="1" applyProtection="1">
      <protection locked="0"/>
    </xf>
    <xf numFmtId="41" fontId="46" fillId="4" borderId="12" xfId="0" applyFont="1" applyFill="1" applyBorder="1"/>
    <xf numFmtId="10" fontId="46" fillId="9" borderId="0" xfId="1" applyNumberFormat="1" applyFont="1" applyFill="1" applyAlignment="1">
      <alignment horizontal="right"/>
    </xf>
    <xf numFmtId="10" fontId="46" fillId="9" borderId="1" xfId="1" applyNumberFormat="1" applyFont="1" applyFill="1" applyBorder="1" applyAlignment="1">
      <alignment horizontal="right"/>
    </xf>
    <xf numFmtId="10" fontId="23" fillId="9" borderId="1" xfId="1" applyNumberFormat="1" applyFont="1" applyFill="1" applyBorder="1" applyAlignment="1">
      <alignment horizontal="right"/>
    </xf>
    <xf numFmtId="10" fontId="46" fillId="9" borderId="0" xfId="1" applyNumberFormat="1" applyFont="1" applyFill="1" applyBorder="1" applyAlignment="1">
      <alignment horizontal="right"/>
    </xf>
    <xf numFmtId="10" fontId="46" fillId="9" borderId="7" xfId="1" applyNumberFormat="1" applyFont="1" applyFill="1" applyBorder="1" applyAlignment="1">
      <alignment horizontal="right"/>
    </xf>
    <xf numFmtId="10" fontId="48" fillId="9" borderId="1" xfId="1" applyNumberFormat="1" applyFont="1" applyFill="1" applyBorder="1" applyAlignment="1">
      <alignment horizontal="right"/>
    </xf>
    <xf numFmtId="41" fontId="50" fillId="8" borderId="24" xfId="0" applyFont="1" applyFill="1" applyBorder="1"/>
    <xf numFmtId="172" fontId="23" fillId="8" borderId="0" xfId="0" applyNumberFormat="1" applyFont="1" applyFill="1" applyAlignment="1">
      <alignment horizontal="center" vertical="center"/>
    </xf>
    <xf numFmtId="172" fontId="48" fillId="8" borderId="0" xfId="0" applyNumberFormat="1" applyFont="1" applyFill="1" applyAlignment="1">
      <alignment horizontal="centerContinuous"/>
    </xf>
    <xf numFmtId="41" fontId="48" fillId="8" borderId="0" xfId="0" applyFont="1" applyFill="1" applyAlignment="1">
      <alignment horizontal="centerContinuous"/>
    </xf>
    <xf numFmtId="10" fontId="46" fillId="9" borderId="0" xfId="0" applyNumberFormat="1" applyFont="1" applyFill="1" applyAlignment="1">
      <alignment horizontal="right"/>
    </xf>
    <xf numFmtId="10" fontId="49" fillId="9" borderId="0" xfId="1" applyNumberFormat="1" applyFont="1" applyFill="1" applyAlignment="1">
      <alignment horizontal="right"/>
    </xf>
    <xf numFmtId="10" fontId="50" fillId="9" borderId="4" xfId="1" applyNumberFormat="1" applyFont="1" applyFill="1" applyBorder="1" applyAlignment="1">
      <alignment horizontal="right"/>
    </xf>
    <xf numFmtId="10" fontId="48" fillId="9" borderId="0" xfId="1" applyNumberFormat="1" applyFont="1" applyFill="1" applyAlignment="1">
      <alignment horizontal="right"/>
    </xf>
    <xf numFmtId="10" fontId="51" fillId="9" borderId="0" xfId="1" applyNumberFormat="1" applyFont="1" applyFill="1" applyAlignment="1">
      <alignment horizontal="right"/>
    </xf>
    <xf numFmtId="41" fontId="55" fillId="2" borderId="0" xfId="0" applyFont="1" applyFill="1"/>
    <xf numFmtId="41" fontId="25" fillId="4" borderId="0" xfId="0" applyFont="1" applyFill="1" applyAlignment="1">
      <alignment horizontal="centerContinuous"/>
    </xf>
    <xf numFmtId="43" fontId="22" fillId="4" borderId="0" xfId="22" applyFont="1" applyFill="1" applyProtection="1"/>
    <xf numFmtId="168" fontId="22" fillId="4" borderId="0" xfId="22" applyNumberFormat="1" applyFont="1" applyFill="1" applyBorder="1"/>
    <xf numFmtId="41" fontId="22" fillId="4" borderId="31" xfId="0" applyFont="1" applyFill="1" applyBorder="1"/>
    <xf numFmtId="9" fontId="22" fillId="4" borderId="31" xfId="1" applyFont="1" applyFill="1" applyBorder="1"/>
    <xf numFmtId="41" fontId="25" fillId="4" borderId="7" xfId="0" applyFont="1" applyFill="1" applyBorder="1" applyAlignment="1">
      <alignment horizontal="right"/>
    </xf>
    <xf numFmtId="168" fontId="25" fillId="4" borderId="0" xfId="22" applyNumberFormat="1" applyFont="1" applyFill="1"/>
    <xf numFmtId="168" fontId="25" fillId="4" borderId="7" xfId="22" applyNumberFormat="1" applyFont="1" applyFill="1" applyBorder="1"/>
    <xf numFmtId="41" fontId="25" fillId="4" borderId="31" xfId="0" applyFont="1" applyFill="1" applyBorder="1"/>
    <xf numFmtId="167" fontId="22" fillId="4" borderId="0" xfId="23" applyNumberFormat="1" applyFont="1" applyFill="1"/>
    <xf numFmtId="167" fontId="35" fillId="4" borderId="0" xfId="0" applyNumberFormat="1" applyFont="1" applyFill="1" applyAlignment="1">
      <alignment horizontal="left" vertical="top"/>
    </xf>
    <xf numFmtId="168" fontId="35" fillId="4" borderId="0" xfId="22" applyNumberFormat="1" applyFont="1" applyFill="1" applyAlignment="1">
      <alignment horizontal="left" vertical="top"/>
    </xf>
    <xf numFmtId="9" fontId="22" fillId="4" borderId="0" xfId="1" applyFont="1" applyFill="1" applyBorder="1"/>
    <xf numFmtId="41" fontId="22" fillId="4" borderId="7" xfId="0" applyFont="1" applyFill="1" applyBorder="1" applyAlignment="1">
      <alignment horizontal="center"/>
    </xf>
    <xf numFmtId="10" fontId="22" fillId="4" borderId="7" xfId="1" applyNumberFormat="1" applyFont="1" applyFill="1" applyBorder="1"/>
    <xf numFmtId="40" fontId="22" fillId="3" borderId="0" xfId="22" applyNumberFormat="1" applyFont="1" applyFill="1" applyBorder="1" applyAlignment="1" applyProtection="1">
      <alignment horizontal="right"/>
      <protection locked="0"/>
    </xf>
    <xf numFmtId="41" fontId="24" fillId="4" borderId="7" xfId="0" applyFont="1" applyFill="1" applyBorder="1" applyAlignment="1">
      <alignment horizontal="right"/>
    </xf>
    <xf numFmtId="43" fontId="25" fillId="4" borderId="0" xfId="22" applyFont="1" applyFill="1"/>
    <xf numFmtId="168" fontId="25" fillId="3" borderId="0" xfId="22" applyNumberFormat="1" applyFont="1" applyFill="1" applyProtection="1">
      <protection locked="0"/>
    </xf>
    <xf numFmtId="168" fontId="25" fillId="3" borderId="7" xfId="22" applyNumberFormat="1" applyFont="1" applyFill="1" applyBorder="1" applyProtection="1">
      <protection locked="0"/>
    </xf>
    <xf numFmtId="171" fontId="22" fillId="2" borderId="0" xfId="21" applyNumberFormat="1" applyFont="1" applyFill="1" applyBorder="1" applyAlignment="1" applyProtection="1">
      <alignment vertical="top"/>
      <protection locked="0"/>
    </xf>
    <xf numFmtId="14" fontId="22" fillId="2" borderId="10" xfId="18" applyNumberFormat="1" applyFont="1" applyFill="1" applyBorder="1" applyAlignment="1" applyProtection="1">
      <alignment vertical="top"/>
      <protection locked="0"/>
    </xf>
    <xf numFmtId="14" fontId="22" fillId="2" borderId="0" xfId="18" applyNumberFormat="1" applyFont="1" applyFill="1" applyAlignment="1" applyProtection="1">
      <alignment vertical="top"/>
      <protection locked="0"/>
    </xf>
    <xf numFmtId="0" fontId="22" fillId="2" borderId="0" xfId="18" applyFont="1" applyFill="1" applyAlignment="1">
      <alignment horizontal="center" vertical="top"/>
    </xf>
    <xf numFmtId="41" fontId="20" fillId="4" borderId="0" xfId="0" applyFont="1" applyFill="1" applyAlignment="1">
      <alignment horizontal="center"/>
    </xf>
    <xf numFmtId="41" fontId="27" fillId="4" borderId="0" xfId="0" applyFont="1" applyFill="1" applyAlignment="1">
      <alignment horizontal="centerContinuous" vertical="center"/>
    </xf>
    <xf numFmtId="41" fontId="20" fillId="4" borderId="0" xfId="0" applyFont="1" applyFill="1" applyAlignment="1">
      <alignment horizontal="centerContinuous"/>
    </xf>
    <xf numFmtId="41" fontId="23" fillId="4" borderId="7" xfId="0" applyFont="1" applyFill="1" applyBorder="1"/>
    <xf numFmtId="41" fontId="23" fillId="4" borderId="0" xfId="0" applyFont="1" applyFill="1" applyAlignment="1">
      <alignment horizontal="left"/>
    </xf>
    <xf numFmtId="177" fontId="22" fillId="4" borderId="0" xfId="0" applyNumberFormat="1" applyFont="1" applyFill="1"/>
    <xf numFmtId="40" fontId="22" fillId="4" borderId="0" xfId="22" applyNumberFormat="1" applyFont="1" applyFill="1" applyBorder="1" applyAlignment="1" applyProtection="1">
      <alignment horizontal="right" vertical="top"/>
    </xf>
    <xf numFmtId="41" fontId="22" fillId="4" borderId="0" xfId="0" applyFont="1" applyFill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71" fontId="22" fillId="4" borderId="0" xfId="18" applyNumberFormat="1" applyFont="1" applyFill="1" applyAlignment="1">
      <alignment vertical="top"/>
    </xf>
    <xf numFmtId="4" fontId="22" fillId="2" borderId="0" xfId="0" applyNumberFormat="1" applyFont="1" applyFill="1" applyProtection="1">
      <protection locked="0"/>
    </xf>
    <xf numFmtId="41" fontId="22" fillId="3" borderId="24" xfId="0" applyFont="1" applyFill="1" applyBorder="1" applyAlignment="1">
      <alignment horizontal="center"/>
    </xf>
    <xf numFmtId="9" fontId="22" fillId="4" borderId="0" xfId="0" applyNumberFormat="1" applyFont="1" applyFill="1"/>
    <xf numFmtId="41" fontId="22" fillId="2" borderId="0" xfId="0" quotePrefix="1" applyFont="1" applyFill="1"/>
    <xf numFmtId="41" fontId="58" fillId="4" borderId="0" xfId="0" applyFont="1" applyFill="1" applyAlignment="1">
      <alignment horizontal="center"/>
    </xf>
    <xf numFmtId="41" fontId="59" fillId="4" borderId="0" xfId="0" applyFont="1" applyFill="1"/>
    <xf numFmtId="172" fontId="61" fillId="4" borderId="0" xfId="0" applyNumberFormat="1" applyFont="1" applyFill="1" applyAlignment="1">
      <alignment horizontal="center" vertical="center"/>
    </xf>
    <xf numFmtId="172" fontId="60" fillId="4" borderId="0" xfId="0" applyNumberFormat="1" applyFont="1" applyFill="1" applyAlignment="1">
      <alignment horizontal="center" vertical="center"/>
    </xf>
    <xf numFmtId="0" fontId="62" fillId="4" borderId="0" xfId="1" applyNumberFormat="1" applyFont="1" applyFill="1" applyBorder="1" applyAlignment="1" applyProtection="1">
      <alignment horizontal="left"/>
    </xf>
    <xf numFmtId="0" fontId="62" fillId="4" borderId="0" xfId="1" applyNumberFormat="1" applyFont="1" applyFill="1" applyBorder="1" applyAlignment="1" applyProtection="1">
      <alignment horizontal="center"/>
    </xf>
    <xf numFmtId="14" fontId="22" fillId="4" borderId="7" xfId="0" applyNumberFormat="1" applyFont="1" applyFill="1" applyBorder="1" applyAlignment="1">
      <alignment horizontal="center"/>
    </xf>
    <xf numFmtId="41" fontId="22" fillId="4" borderId="7" xfId="0" applyFont="1" applyFill="1" applyBorder="1" applyAlignment="1">
      <alignment horizontal="left"/>
    </xf>
    <xf numFmtId="41" fontId="24" fillId="4" borderId="0" xfId="0" applyFont="1" applyFill="1" applyAlignment="1">
      <alignment horizontal="left"/>
    </xf>
    <xf numFmtId="0" fontId="62" fillId="4" borderId="0" xfId="1" applyNumberFormat="1" applyFont="1" applyFill="1" applyAlignment="1" applyProtection="1">
      <alignment horizontal="center"/>
    </xf>
    <xf numFmtId="41" fontId="22" fillId="3" borderId="0" xfId="0" applyFont="1" applyFill="1" applyAlignment="1" applyProtection="1">
      <alignment horizontal="left"/>
      <protection locked="0"/>
    </xf>
    <xf numFmtId="41" fontId="22" fillId="3" borderId="7" xfId="0" applyFont="1" applyFill="1" applyBorder="1" applyAlignment="1" applyProtection="1">
      <alignment horizontal="left"/>
      <protection locked="0"/>
    </xf>
    <xf numFmtId="41" fontId="22" fillId="4" borderId="12" xfId="0" applyFont="1" applyFill="1" applyBorder="1" applyAlignment="1">
      <alignment horizontal="left"/>
    </xf>
    <xf numFmtId="41" fontId="24" fillId="4" borderId="7" xfId="0" applyFont="1" applyFill="1" applyBorder="1" applyAlignment="1">
      <alignment horizontal="center"/>
    </xf>
    <xf numFmtId="175" fontId="22" fillId="4" borderId="0" xfId="21" applyNumberFormat="1" applyFont="1" applyFill="1" applyBorder="1" applyAlignment="1" applyProtection="1">
      <alignment vertical="top"/>
    </xf>
    <xf numFmtId="175" fontId="22" fillId="4" borderId="7" xfId="21" applyNumberFormat="1" applyFont="1" applyFill="1" applyBorder="1" applyAlignment="1" applyProtection="1">
      <alignment vertical="top"/>
    </xf>
    <xf numFmtId="41" fontId="63" fillId="2" borderId="0" xfId="0" applyFont="1" applyFill="1" applyAlignment="1">
      <alignment horizontal="left"/>
    </xf>
    <xf numFmtId="0" fontId="22" fillId="4" borderId="0" xfId="0" applyNumberFormat="1" applyFont="1" applyFill="1" applyAlignment="1">
      <alignment horizontal="right"/>
    </xf>
    <xf numFmtId="41" fontId="21" fillId="4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4" borderId="0" xfId="0" applyNumberFormat="1" applyFont="1" applyFill="1"/>
    <xf numFmtId="41" fontId="64" fillId="4" borderId="0" xfId="0" applyFont="1" applyFill="1"/>
    <xf numFmtId="41" fontId="20" fillId="4" borderId="0" xfId="0" applyFont="1" applyFill="1" applyAlignment="1">
      <alignment horizontal="left"/>
    </xf>
    <xf numFmtId="41" fontId="24" fillId="4" borderId="0" xfId="0" applyFont="1" applyFill="1" applyAlignment="1">
      <alignment horizontal="centerContinuous"/>
    </xf>
    <xf numFmtId="41" fontId="0" fillId="4" borderId="0" xfId="0" applyFill="1" applyAlignment="1">
      <alignment horizontal="centerContinuous"/>
    </xf>
    <xf numFmtId="41" fontId="44" fillId="4" borderId="0" xfId="0" applyFont="1" applyFill="1"/>
    <xf numFmtId="167" fontId="25" fillId="4" borderId="11" xfId="23" applyNumberFormat="1" applyFont="1" applyFill="1" applyBorder="1"/>
    <xf numFmtId="15" fontId="22" fillId="4" borderId="0" xfId="0" applyNumberFormat="1" applyFont="1" applyFill="1"/>
    <xf numFmtId="167" fontId="24" fillId="4" borderId="0" xfId="23" applyNumberFormat="1" applyFont="1" applyFill="1"/>
    <xf numFmtId="167" fontId="24" fillId="4" borderId="11" xfId="23" applyNumberFormat="1" applyFont="1" applyFill="1" applyBorder="1"/>
    <xf numFmtId="41" fontId="54" fillId="4" borderId="0" xfId="0" applyFont="1" applyFill="1"/>
    <xf numFmtId="41" fontId="56" fillId="4" borderId="0" xfId="0" applyFont="1" applyFill="1"/>
    <xf numFmtId="41" fontId="43" fillId="4" borderId="0" xfId="0" applyFont="1" applyFill="1"/>
    <xf numFmtId="41" fontId="57" fillId="4" borderId="0" xfId="0" applyFont="1" applyFill="1" applyAlignment="1">
      <alignment horizontal="centerContinuous"/>
    </xf>
    <xf numFmtId="41" fontId="43" fillId="4" borderId="0" xfId="0" applyFont="1" applyFill="1" applyAlignment="1">
      <alignment horizontal="centerContinuous"/>
    </xf>
    <xf numFmtId="3" fontId="22" fillId="4" borderId="31" xfId="18" applyNumberFormat="1" applyFont="1" applyFill="1" applyBorder="1" applyAlignment="1">
      <alignment vertical="top"/>
    </xf>
    <xf numFmtId="41" fontId="22" fillId="4" borderId="0" xfId="0" applyFont="1" applyFill="1" applyAlignment="1">
      <alignment horizontal="left"/>
    </xf>
    <xf numFmtId="41" fontId="23" fillId="4" borderId="7" xfId="0" applyFont="1" applyFill="1" applyBorder="1"/>
    <xf numFmtId="173" fontId="22" fillId="4" borderId="0" xfId="22" applyNumberFormat="1" applyFont="1" applyFill="1" applyAlignment="1">
      <alignment horizontal="center" vertical="top"/>
    </xf>
    <xf numFmtId="14" fontId="24" fillId="4" borderId="33" xfId="18" quotePrefix="1" applyNumberFormat="1" applyFont="1" applyFill="1" applyBorder="1" applyAlignment="1">
      <alignment horizontal="center" vertical="top"/>
    </xf>
    <xf numFmtId="0" fontId="24" fillId="4" borderId="0" xfId="18" applyFont="1" applyFill="1" applyAlignment="1">
      <alignment horizontal="center" vertical="top"/>
    </xf>
    <xf numFmtId="0" fontId="25" fillId="4" borderId="19" xfId="18" applyFont="1" applyFill="1" applyBorder="1" applyAlignment="1">
      <alignment horizontal="center" vertical="top"/>
    </xf>
    <xf numFmtId="0" fontId="25" fillId="4" borderId="12" xfId="18" applyFont="1" applyFill="1" applyBorder="1" applyAlignment="1">
      <alignment horizontal="center" vertical="top"/>
    </xf>
    <xf numFmtId="0" fontId="25" fillId="4" borderId="18" xfId="18" applyFont="1" applyFill="1" applyBorder="1" applyAlignment="1">
      <alignment horizontal="center" vertical="top"/>
    </xf>
    <xf numFmtId="14" fontId="24" fillId="4" borderId="0" xfId="18" quotePrefix="1" applyNumberFormat="1" applyFont="1" applyFill="1" applyAlignment="1">
      <alignment horizontal="center" vertical="top"/>
    </xf>
    <xf numFmtId="14" fontId="24" fillId="4" borderId="0" xfId="18" applyNumberFormat="1" applyFont="1" applyFill="1" applyAlignment="1">
      <alignment horizontal="center" vertical="top"/>
    </xf>
    <xf numFmtId="41" fontId="22" fillId="4" borderId="0" xfId="0" applyFont="1" applyFill="1" applyAlignment="1">
      <alignment horizontal="center"/>
    </xf>
    <xf numFmtId="0" fontId="15" fillId="0" borderId="20" xfId="24" applyAlignment="1">
      <alignment horizontal="left"/>
    </xf>
    <xf numFmtId="0" fontId="15" fillId="0" borderId="0" xfId="24" applyBorder="1" applyAlignment="1">
      <alignment horizontal="left"/>
    </xf>
  </cellXfs>
  <cellStyles count="30">
    <cellStyle name="Comma" xfId="22" builtinId="3"/>
    <cellStyle name="Comma 2" xfId="20" xr:uid="{00000000-0005-0000-0000-000001000000}"/>
    <cellStyle name="Currency" xfId="23" builtinId="4"/>
    <cellStyle name="Currency 2" xfId="21" xr:uid="{00000000-0005-0000-0000-000003000000}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eading 2" xfId="24" builtinId="17"/>
    <cellStyle name="Heading 4" xfId="25" builtinId="19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Montant du tableau" xfId="28" xr:uid="{00000000-0005-0000-0000-000010000000}"/>
    <cellStyle name="Normal" xfId="0" builtinId="0"/>
    <cellStyle name="Normal 2" xfId="13" xr:uid="{00000000-0005-0000-0000-000012000000}"/>
    <cellStyle name="Normal 2 2" xfId="29" xr:uid="{00000000-0005-0000-0000-000013000000}"/>
    <cellStyle name="Normal 3" xfId="15" xr:uid="{00000000-0005-0000-0000-000014000000}"/>
    <cellStyle name="Normal 4" xfId="18" xr:uid="{00000000-0005-0000-0000-000015000000}"/>
    <cellStyle name="Normal 4_Lease Renewals &amp; Vacancy Rent" xfId="27" xr:uid="{00000000-0005-0000-0000-000016000000}"/>
    <cellStyle name="Normal 5 2" xfId="17" xr:uid="{00000000-0005-0000-0000-000017000000}"/>
    <cellStyle name="Percent" xfId="1" builtinId="5"/>
    <cellStyle name="Percent 2" xfId="2" xr:uid="{00000000-0005-0000-0000-000019000000}"/>
    <cellStyle name="Percent 2 2" xfId="14" xr:uid="{00000000-0005-0000-0000-00001A000000}"/>
    <cellStyle name="Percent 3" xfId="16" xr:uid="{00000000-0005-0000-0000-00001B000000}"/>
    <cellStyle name="Percent 4" xfId="19" xr:uid="{00000000-0005-0000-0000-00001C000000}"/>
    <cellStyle name="Total" xfId="26" builtinId="25"/>
  </cellStyles>
  <dxfs count="91">
    <dxf>
      <border>
        <bottom style="thin">
          <color indexed="55"/>
        </bottom>
      </border>
    </dxf>
    <dxf>
      <border>
        <bottom style="thin">
          <color indexed="55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9" Type="http://schemas.openxmlformats.org/officeDocument/2006/relationships/customXml" Target="../customXml/item5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50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tyles" Target="styles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owerPivotData" Target="model/item.data"/><Relationship Id="rId37" Type="http://schemas.openxmlformats.org/officeDocument/2006/relationships/customXml" Target="../customXml/item3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53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1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1/relationships/FeaturePropertyBag" Target="featurePropertyBag/featurePropertyBag.xml"/><Relationship Id="rId38" Type="http://schemas.openxmlformats.org/officeDocument/2006/relationships/customXml" Target="../customXml/item4.xml"/><Relationship Id="rId46" Type="http://schemas.openxmlformats.org/officeDocument/2006/relationships/customXml" Target="../customXml/item12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7.xml"/><Relationship Id="rId54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10</xdr:row>
      <xdr:rowOff>123825</xdr:rowOff>
    </xdr:from>
    <xdr:to>
      <xdr:col>5</xdr:col>
      <xdr:colOff>352425</xdr:colOff>
      <xdr:row>17</xdr:row>
      <xdr:rowOff>180975</xdr:rowOff>
    </xdr:to>
    <xdr:sp macro="" textlink="">
      <xdr:nvSpPr>
        <xdr:cNvPr id="3" name="Arrow: Curved Left 2">
          <a:extLst>
            <a:ext uri="{FF2B5EF4-FFF2-40B4-BE49-F238E27FC236}">
              <a16:creationId xmlns:a16="http://schemas.microsoft.com/office/drawing/2014/main" id="{82AEEBDF-5158-1C29-1139-A01C03AE1B69}"/>
            </a:ext>
          </a:extLst>
        </xdr:cNvPr>
        <xdr:cNvSpPr/>
      </xdr:nvSpPr>
      <xdr:spPr>
        <a:xfrm>
          <a:off x="5495925" y="2219325"/>
          <a:ext cx="295275" cy="1647825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hy Henry" refreshedDate="45138.496187500001" backgroundQuery="1" createdVersion="6" refreshedVersion="6" minRefreshableVersion="3" recordCount="0" supportSubquery="1" supportAdvancedDrill="1" xr:uid="{00000000-000A-0000-FFFF-FFFF01000000}">
  <cacheSource type="external" connectionId="1"/>
  <cacheFields count="3">
    <cacheField name="[Range].[Charge Date (Month)].[Charge Date (Month)]" caption="Charge Date (Month)" numFmtId="0" hierarchy="8" level="1">
      <sharedItems count="12">
        <s v="01/01/2024"/>
        <s v="02/01/2024"/>
        <s v="03/01/2024"/>
        <s v="04/01/2024"/>
        <s v="05/01/2024"/>
        <s v="06/01/2024"/>
        <s v="07/01/2024"/>
        <s v="08/01/2024"/>
        <s v="09/01/2024"/>
        <s v="10/01/2024"/>
        <s v="11/01/2024"/>
        <s v="12/01/2024"/>
      </sharedItems>
    </cacheField>
    <cacheField name="[Range].[Posting Co.].[Posting Co.]" caption="Posting Co." numFmtId="0" level="1">
      <sharedItems count="7">
        <s v="4050"/>
        <s v="4060"/>
        <s v="4070"/>
        <s v="4080"/>
        <s v="40A0"/>
        <s v="40B0"/>
        <s v="40C0"/>
      </sharedItems>
    </cacheField>
    <cacheField name="[Range].[Unit Ref. No.].[Unit Ref. No.]" caption="Unit Ref. No." numFmtId="0" hierarchy="1" level="1">
      <sharedItems count="51">
        <s v="4050-113"/>
        <s v="4050-119"/>
        <s v="4050-201"/>
        <s v="4050-206"/>
        <s v="4050-207"/>
        <s v="4050-215"/>
        <s v="4050-300"/>
        <s v="4050-307"/>
        <s v="4050-315"/>
        <s v="4060-100"/>
        <s v="4060-204"/>
        <s v="4060-205"/>
        <s v="4060-206"/>
        <s v="4060-207"/>
        <s v="4060-210"/>
        <s v="4060-211"/>
        <s v="4060-212"/>
        <s v="4060-215"/>
        <s v="4060-300"/>
        <s v="4060-401"/>
        <s v="4060-402"/>
        <s v="4060-600"/>
        <s v="4070-103"/>
        <s v="4070-107"/>
        <s v="4070-113"/>
        <s v="4070-117"/>
        <s v="4070-201"/>
        <s v="4070-301"/>
        <s v="4070-400"/>
        <s v="4070-411"/>
        <s v="4070-415"/>
        <s v="4080-100"/>
        <s v="4080-102"/>
        <s v="4080-106"/>
        <s v="4080-107"/>
        <s v="4080-111"/>
        <s v="4080-112"/>
        <s v="4080-117"/>
        <s v="4080-209"/>
        <s v="4080-215"/>
        <s v="4080-217"/>
        <s v="4080-219"/>
        <s v="4080-221"/>
        <s v="4080-305"/>
        <s v="4080-400"/>
        <s v="4080-401"/>
        <s v="40A0-204"/>
        <s v="40A0-205"/>
        <s v="40A0-A"/>
        <s v="40B0-1"/>
        <s v="40C0-CP"/>
      </sharedItems>
    </cacheField>
  </cacheFields>
  <cacheHierarchies count="12">
    <cacheHierarchy uniqueName="[Range].[Posting Co.]" caption="Posting Co." attribute="1" defaultMemberUniqueName="[Range].[Posting Co.].[All]" allUniqueName="[Range].[Posting Co.].[All]" dimensionUniqueName="[Range]" displayFolder="" count="2" memberValueDatatype="130" unbalanced="0">
      <fieldsUsage count="2">
        <fieldUsage x="-1"/>
        <fieldUsage x="1"/>
      </fieldsUsage>
    </cacheHierarchy>
    <cacheHierarchy uniqueName="[Range].[Unit Ref. No.]" caption="Unit Ref. No." attribute="1" defaultMemberUniqueName="[Range].[Unit Ref. No.].[All]" allUniqueName="[Range].[Unit Ref. No.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enant Name]" caption="Tenant Name" attribute="1" defaultMemberUniqueName="[Range].[Tenant Name].[All]" allUniqueName="[Range].[Tenant Name].[All]" dimensionUniqueName="[Range]" displayFolder="" count="0" memberValueDatatype="130" unbalanced="0"/>
    <cacheHierarchy uniqueName="[Range].[Charge Date]" caption="Charge Date" attribute="1" defaultMemberUniqueName="[Range].[Charge Date].[All]" allUniqueName="[Range].[Charge Date].[All]" dimensionUniqueName="[Range]" displayFolder="" count="0" memberValueDatatype="130" unbalanced="0"/>
    <cacheHierarchy uniqueName="[Range].[Charge Code]" caption="Charge Code" attribute="1" defaultMemberUniqueName="[Range].[Charge Code].[All]" allUniqueName="[Range].[Charge Code].[All]" dimensionUniqueName="[Range]" displayFolder="" count="0" memberValueDatatype="130" unbalanced="0"/>
    <cacheHierarchy uniqueName="[Range].[GL Acct No.]" caption="GL Acct No." attribute="1" defaultMemberUniqueName="[Range].[GL Acct No.].[All]" allUniqueName="[Range].[GL Acct No.].[All]" dimensionUniqueName="[Range]" displayFolder="" count="0" memberValueDatatype="130" unbalanced="0"/>
    <cacheHierarchy uniqueName="[Range].[Charge Amount]" caption="Charge Amount" attribute="1" defaultMemberUniqueName="[Range].[Charge Amount].[All]" allUniqueName="[Range].[Charge Amoun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Range].[Charge Date (Month)]" caption="Charge Date (Month)" attribute="1" defaultMemberUniqueName="[Range].[Charge Date (Month)].[All]" allUniqueName="[Range].[Charge 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harge Date (Month Index)]" caption="Charge Date (Month Index)" attribute="1" defaultMemberUniqueName="[Range].[Charge Date (Month Index)].[All]" allUniqueName="[Range].[Charge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2" cacheId="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N63" firstHeaderRow="1" firstDataRow="2" firstDataCol="1"/>
  <pivotFields count="3"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</pivotFields>
  <rowFields count="2">
    <field x="1"/>
    <field x="2"/>
  </rowFields>
  <rowItems count="5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3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4"/>
    </i>
    <i r="1">
      <x v="46"/>
    </i>
    <i r="1">
      <x v="47"/>
    </i>
    <i r="1">
      <x v="48"/>
    </i>
    <i>
      <x v="5"/>
    </i>
    <i r="1">
      <x v="49"/>
    </i>
    <i>
      <x v="6"/>
    </i>
    <i r="1">
      <x v="50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M Revenue!$A$1:$H$587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C538-D4D7-4321-A711-4F37AE41674C}">
  <dimension ref="A1:A3"/>
  <sheetViews>
    <sheetView tabSelected="1" zoomScaleNormal="100" zoomScaleSheetLayoutView="220" workbookViewId="0">
      <selection activeCell="A11" sqref="A11"/>
    </sheetView>
  </sheetViews>
  <sheetFormatPr defaultColWidth="8.7265625" defaultRowHeight="32.5" x14ac:dyDescent="0.6"/>
  <cols>
    <col min="1" max="1" width="64.81640625" style="514" bestFit="1" customWidth="1"/>
    <col min="2" max="4" width="8.7265625" style="514"/>
    <col min="5" max="5" width="22.26953125" style="514" bestFit="1" customWidth="1"/>
    <col min="6" max="16384" width="8.7265625" style="514"/>
  </cols>
  <sheetData>
    <row r="1" spans="1:1" ht="44" x14ac:dyDescent="0.8">
      <c r="A1" s="513" t="str">
        <f>'NI LLC-Consolidated'!J1</f>
        <v>Operating Budget</v>
      </c>
    </row>
    <row r="2" spans="1:1" ht="36.5" x14ac:dyDescent="0.6">
      <c r="A2" s="516" t="str">
        <f>'NI LLC-Consolidated'!J2</f>
        <v>Neshaminy Interplex LLC</v>
      </c>
    </row>
    <row r="3" spans="1:1" x14ac:dyDescent="0.6">
      <c r="A3" s="515">
        <f>'NI LLC-Consolidated'!Q1</f>
        <v>46023</v>
      </c>
    </row>
  </sheetData>
  <printOptions horizontalCentered="1" verticalCentered="1"/>
  <pageMargins left="0.25" right="0.25" top="0.75" bottom="0.75" header="0.3" footer="0.3"/>
  <pageSetup orientation="landscape" r:id="rId1"/>
  <headerFooter>
    <oddHeader>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35A0-1EB5-44D9-8EE2-86D98534E24B}">
  <sheetPr>
    <pageSetUpPr fitToPage="1"/>
  </sheetPr>
  <dimension ref="A1:K62"/>
  <sheetViews>
    <sheetView topLeftCell="A2" workbookViewId="0">
      <selection activeCell="F23" sqref="F23"/>
    </sheetView>
  </sheetViews>
  <sheetFormatPr defaultColWidth="8.7265625" defaultRowHeight="12.5" x14ac:dyDescent="0.25"/>
  <cols>
    <col min="1" max="1" width="5.81640625" style="10" customWidth="1"/>
    <col min="2" max="2" width="6.81640625" style="10" customWidth="1"/>
    <col min="3" max="3" width="12.1796875" style="10" customWidth="1"/>
    <col min="4" max="4" width="41.1796875" style="10" customWidth="1"/>
    <col min="5" max="5" width="15.54296875" style="10" customWidth="1"/>
    <col min="6" max="6" width="48.54296875" style="10" customWidth="1"/>
    <col min="7" max="7" width="11.81640625" style="10" customWidth="1"/>
    <col min="8" max="8" width="14.54296875" style="10" customWidth="1"/>
    <col min="9" max="16384" width="8.7265625" style="10"/>
  </cols>
  <sheetData>
    <row r="1" spans="1:6" ht="17.5" x14ac:dyDescent="0.35">
      <c r="A1" s="535" t="s">
        <v>522</v>
      </c>
      <c r="B1" s="536"/>
      <c r="C1" s="536"/>
      <c r="D1" s="536"/>
      <c r="E1" s="536"/>
      <c r="F1" s="536"/>
    </row>
    <row r="2" spans="1:6" ht="17.5" x14ac:dyDescent="0.35">
      <c r="A2" s="535" t="s">
        <v>604</v>
      </c>
      <c r="B2" s="536"/>
      <c r="C2" s="536"/>
      <c r="D2" s="536"/>
      <c r="E2" s="536"/>
      <c r="F2" s="536"/>
    </row>
    <row r="5" spans="1:6" ht="16" x14ac:dyDescent="0.35">
      <c r="B5" s="34" t="s">
        <v>657</v>
      </c>
      <c r="E5" s="485">
        <f>+'NI LLC-Consolidated'!Q134</f>
        <v>297243.99780082563</v>
      </c>
      <c r="F5" s="34" t="s">
        <v>611</v>
      </c>
    </row>
    <row r="6" spans="1:6" ht="16" x14ac:dyDescent="0.35">
      <c r="E6" s="34"/>
      <c r="F6" s="34"/>
    </row>
    <row r="7" spans="1:6" ht="16" x14ac:dyDescent="0.35">
      <c r="B7" s="34" t="s">
        <v>505</v>
      </c>
      <c r="E7" s="34">
        <f>+'NI LLC-Consolidated'!D139</f>
        <v>395118.24</v>
      </c>
      <c r="F7" s="34" t="s">
        <v>612</v>
      </c>
    </row>
    <row r="8" spans="1:6" ht="16" x14ac:dyDescent="0.35">
      <c r="E8" s="34"/>
      <c r="F8" s="34"/>
    </row>
    <row r="9" spans="1:6" ht="16" x14ac:dyDescent="0.35">
      <c r="B9" s="34" t="s">
        <v>506</v>
      </c>
      <c r="E9" s="34">
        <v>0</v>
      </c>
      <c r="F9" s="34" t="s">
        <v>507</v>
      </c>
    </row>
    <row r="10" spans="1:6" ht="16" x14ac:dyDescent="0.35">
      <c r="E10" s="34"/>
      <c r="F10" s="34"/>
    </row>
    <row r="11" spans="1:6" ht="16" x14ac:dyDescent="0.35">
      <c r="A11" s="537" t="s">
        <v>520</v>
      </c>
      <c r="B11" s="34" t="s">
        <v>508</v>
      </c>
      <c r="E11" s="43">
        <f>+'NI LLC-Consolidated'!Q144+'NI LLC-Consolidated'!Q146</f>
        <v>180992.97</v>
      </c>
      <c r="F11" s="34" t="s">
        <v>509</v>
      </c>
    </row>
    <row r="12" spans="1:6" ht="16" x14ac:dyDescent="0.35">
      <c r="B12" s="34"/>
      <c r="E12" s="34"/>
      <c r="F12" s="34"/>
    </row>
    <row r="13" spans="1:6" ht="16.5" thickBot="1" x14ac:dyDescent="0.4">
      <c r="B13" s="34"/>
      <c r="C13" s="36" t="s">
        <v>533</v>
      </c>
      <c r="E13" s="538">
        <f>SUM(E5:E11)</f>
        <v>873355.20780082559</v>
      </c>
      <c r="F13" s="34"/>
    </row>
    <row r="14" spans="1:6" ht="16.5" thickTop="1" x14ac:dyDescent="0.35">
      <c r="E14" s="34"/>
      <c r="F14" s="34"/>
    </row>
    <row r="15" spans="1:6" ht="18" x14ac:dyDescent="0.35">
      <c r="A15" s="537" t="s">
        <v>520</v>
      </c>
      <c r="B15" s="37" t="s">
        <v>515</v>
      </c>
      <c r="C15" s="35"/>
      <c r="D15" s="35"/>
      <c r="E15" s="35"/>
      <c r="F15" s="35"/>
    </row>
    <row r="16" spans="1:6" ht="18" x14ac:dyDescent="0.35">
      <c r="B16" s="35"/>
      <c r="C16" s="35"/>
      <c r="D16" s="35"/>
      <c r="E16" s="35"/>
      <c r="F16" s="35"/>
    </row>
    <row r="17" spans="1:11" ht="18" x14ac:dyDescent="0.35">
      <c r="B17" s="35"/>
      <c r="C17" s="539">
        <v>46022</v>
      </c>
      <c r="D17" s="35" t="s">
        <v>516</v>
      </c>
      <c r="E17" s="540">
        <f>+'NI LLC-Consolidated'!D152</f>
        <v>364692</v>
      </c>
      <c r="F17" s="35"/>
    </row>
    <row r="18" spans="1:11" ht="18" x14ac:dyDescent="0.35">
      <c r="B18" s="34" t="s">
        <v>517</v>
      </c>
      <c r="C18" s="35"/>
      <c r="D18" s="35"/>
      <c r="E18" s="503">
        <f>-E11</f>
        <v>-180992.97</v>
      </c>
      <c r="F18" s="35"/>
    </row>
    <row r="19" spans="1:11" ht="18" x14ac:dyDescent="0.35">
      <c r="B19" s="35"/>
      <c r="C19" s="35"/>
      <c r="D19" s="35"/>
      <c r="E19" s="35"/>
      <c r="F19" s="35"/>
    </row>
    <row r="20" spans="1:11" ht="18" x14ac:dyDescent="0.35">
      <c r="A20" s="537"/>
      <c r="B20" s="35"/>
      <c r="C20" s="34" t="s">
        <v>518</v>
      </c>
      <c r="D20" s="35"/>
      <c r="E20" s="540">
        <f>+E17+E18</f>
        <v>183699.03</v>
      </c>
      <c r="F20" s="34"/>
    </row>
    <row r="21" spans="1:11" ht="18" x14ac:dyDescent="0.35">
      <c r="A21" s="537"/>
      <c r="B21" s="35"/>
      <c r="C21" s="34"/>
      <c r="D21" s="35"/>
      <c r="E21" s="35"/>
      <c r="F21" s="34"/>
    </row>
    <row r="22" spans="1:11" ht="19.5" thickBot="1" x14ac:dyDescent="0.5">
      <c r="B22" s="35"/>
      <c r="C22" s="37" t="s">
        <v>608</v>
      </c>
      <c r="D22" s="35"/>
      <c r="E22" s="541">
        <f>+E20+E21</f>
        <v>183699.03</v>
      </c>
      <c r="F22" s="542" t="s">
        <v>530</v>
      </c>
      <c r="K22" s="543"/>
    </row>
    <row r="23" spans="1:11" ht="18" thickTop="1" x14ac:dyDescent="0.35">
      <c r="B23" s="544"/>
      <c r="C23" s="544"/>
      <c r="D23" s="544"/>
      <c r="E23" s="544"/>
      <c r="F23" s="544"/>
    </row>
    <row r="24" spans="1:11" ht="16" x14ac:dyDescent="0.35">
      <c r="E24" s="34"/>
      <c r="F24" s="34"/>
    </row>
    <row r="25" spans="1:11" ht="16" x14ac:dyDescent="0.35">
      <c r="A25" s="537" t="s">
        <v>521</v>
      </c>
      <c r="B25" s="476" t="s">
        <v>605</v>
      </c>
      <c r="C25" s="536"/>
      <c r="D25" s="536"/>
      <c r="E25" s="46"/>
      <c r="F25" s="46"/>
    </row>
    <row r="27" spans="1:11" ht="16" x14ac:dyDescent="0.35">
      <c r="B27" s="34"/>
      <c r="C27" s="539">
        <v>45966</v>
      </c>
      <c r="D27" s="34" t="s">
        <v>510</v>
      </c>
      <c r="E27" s="485">
        <v>2015699.99</v>
      </c>
      <c r="F27" s="34"/>
    </row>
    <row r="28" spans="1:11" ht="16" x14ac:dyDescent="0.35">
      <c r="B28" s="34"/>
      <c r="C28" s="539"/>
      <c r="D28" s="34" t="s">
        <v>610</v>
      </c>
      <c r="E28" s="485"/>
      <c r="F28" s="34"/>
    </row>
    <row r="29" spans="1:11" ht="16" x14ac:dyDescent="0.35">
      <c r="B29" s="34"/>
      <c r="C29" s="34"/>
      <c r="D29" s="34" t="s">
        <v>656</v>
      </c>
      <c r="E29" s="34">
        <v>12200</v>
      </c>
      <c r="F29" s="34"/>
    </row>
    <row r="30" spans="1:11" ht="16" x14ac:dyDescent="0.35">
      <c r="B30" s="34"/>
      <c r="C30" s="34"/>
      <c r="D30" s="34" t="s">
        <v>511</v>
      </c>
      <c r="E30" s="34">
        <v>73500</v>
      </c>
      <c r="F30" s="34"/>
    </row>
    <row r="31" spans="1:11" ht="16" x14ac:dyDescent="0.35">
      <c r="B31" s="34"/>
      <c r="C31" s="34"/>
      <c r="D31" s="34"/>
      <c r="E31" s="43"/>
      <c r="F31" s="34"/>
    </row>
    <row r="32" spans="1:11" ht="16" x14ac:dyDescent="0.35">
      <c r="B32" s="34"/>
      <c r="C32" s="34"/>
      <c r="D32" s="34" t="s">
        <v>512</v>
      </c>
      <c r="E32" s="36">
        <f>SUM(E27:E31)</f>
        <v>2101399.9900000002</v>
      </c>
      <c r="F32" s="34"/>
    </row>
    <row r="33" spans="1:6" ht="16" x14ac:dyDescent="0.35">
      <c r="B33" s="34"/>
      <c r="C33" s="34"/>
      <c r="D33" s="34" t="s">
        <v>513</v>
      </c>
      <c r="E33" s="43">
        <v>-1840516</v>
      </c>
      <c r="F33" s="34"/>
    </row>
    <row r="34" spans="1:6" ht="16.5" thickBot="1" x14ac:dyDescent="0.4">
      <c r="B34" s="34"/>
      <c r="C34" s="34"/>
      <c r="D34" s="34" t="s">
        <v>514</v>
      </c>
      <c r="E34" s="538">
        <f>+E32+E33</f>
        <v>260883.99000000022</v>
      </c>
      <c r="F34" s="34" t="s">
        <v>519</v>
      </c>
    </row>
    <row r="35" spans="1:6" ht="18.5" thickTop="1" x14ac:dyDescent="0.35">
      <c r="B35" s="35"/>
      <c r="C35" s="35"/>
      <c r="D35" s="35"/>
      <c r="E35" s="35"/>
      <c r="F35" s="35"/>
    </row>
    <row r="36" spans="1:6" ht="18" x14ac:dyDescent="0.35">
      <c r="A36" s="35"/>
      <c r="B36" s="35"/>
      <c r="C36" s="545" t="s">
        <v>607</v>
      </c>
      <c r="D36" s="121"/>
      <c r="E36" s="546"/>
      <c r="F36" s="546"/>
    </row>
    <row r="37" spans="1:6" ht="18" x14ac:dyDescent="0.35">
      <c r="A37" s="35"/>
      <c r="B37" s="37" t="s">
        <v>523</v>
      </c>
      <c r="C37" s="35"/>
      <c r="D37" s="35"/>
      <c r="E37" s="544"/>
      <c r="F37" s="544"/>
    </row>
    <row r="38" spans="1:6" ht="18" x14ac:dyDescent="0.35">
      <c r="A38" s="35"/>
      <c r="B38" s="37">
        <v>1</v>
      </c>
      <c r="C38" s="37" t="s">
        <v>524</v>
      </c>
      <c r="D38" s="35"/>
      <c r="E38" s="544"/>
      <c r="F38" s="544"/>
    </row>
    <row r="39" spans="1:6" ht="18" x14ac:dyDescent="0.35">
      <c r="A39" s="35"/>
      <c r="B39" s="35"/>
      <c r="C39" s="35" t="s">
        <v>525</v>
      </c>
      <c r="D39" s="35"/>
      <c r="E39" s="544"/>
      <c r="F39" s="544"/>
    </row>
    <row r="40" spans="1:6" ht="18" x14ac:dyDescent="0.35">
      <c r="A40" s="35"/>
      <c r="B40" s="35"/>
      <c r="C40" s="35" t="s">
        <v>603</v>
      </c>
      <c r="D40" s="35"/>
      <c r="E40" s="544"/>
      <c r="F40" s="544"/>
    </row>
    <row r="41" spans="1:6" ht="18" x14ac:dyDescent="0.35">
      <c r="A41" s="35"/>
      <c r="B41" s="35"/>
      <c r="C41" s="35" t="s">
        <v>527</v>
      </c>
      <c r="D41" s="35"/>
      <c r="E41" s="544"/>
      <c r="F41" s="544"/>
    </row>
    <row r="42" spans="1:6" ht="18" x14ac:dyDescent="0.35">
      <c r="A42" s="35"/>
      <c r="B42" s="35"/>
      <c r="C42" s="35" t="s">
        <v>528</v>
      </c>
      <c r="D42" s="35"/>
      <c r="E42" s="544"/>
      <c r="F42" s="544"/>
    </row>
    <row r="43" spans="1:6" ht="18" x14ac:dyDescent="0.35">
      <c r="A43" s="35"/>
      <c r="B43" s="35"/>
      <c r="C43" s="35"/>
      <c r="D43" s="35"/>
      <c r="E43" s="544"/>
      <c r="F43" s="544"/>
    </row>
    <row r="44" spans="1:6" ht="18" x14ac:dyDescent="0.35">
      <c r="A44" s="35"/>
      <c r="B44" s="37">
        <v>2</v>
      </c>
      <c r="C44" s="37" t="s">
        <v>526</v>
      </c>
      <c r="D44" s="35"/>
      <c r="E44" s="544"/>
      <c r="F44" s="544"/>
    </row>
    <row r="45" spans="1:6" ht="18" x14ac:dyDescent="0.35">
      <c r="A45" s="35"/>
      <c r="B45" s="35"/>
      <c r="C45" s="35" t="s">
        <v>606</v>
      </c>
      <c r="D45" s="35"/>
      <c r="E45" s="544"/>
      <c r="F45" s="544"/>
    </row>
    <row r="46" spans="1:6" ht="18" x14ac:dyDescent="0.35">
      <c r="A46" s="35"/>
      <c r="B46" s="35"/>
      <c r="C46" s="35"/>
      <c r="D46" s="35"/>
      <c r="E46" s="544"/>
      <c r="F46" s="544"/>
    </row>
    <row r="47" spans="1:6" ht="18" x14ac:dyDescent="0.35">
      <c r="A47" s="35"/>
      <c r="B47" s="37">
        <v>3</v>
      </c>
      <c r="C47" s="35" t="s">
        <v>529</v>
      </c>
      <c r="D47" s="35"/>
      <c r="E47" s="544"/>
      <c r="F47" s="544"/>
    </row>
    <row r="48" spans="1:6" ht="18" x14ac:dyDescent="0.35">
      <c r="A48" s="35"/>
      <c r="B48" s="35"/>
      <c r="C48" s="35"/>
      <c r="D48" s="35"/>
      <c r="E48" s="544"/>
      <c r="F48" s="544"/>
    </row>
    <row r="49" spans="1:6" ht="18" x14ac:dyDescent="0.35">
      <c r="A49" s="35"/>
      <c r="B49" s="35"/>
      <c r="C49" s="35"/>
      <c r="D49" s="35"/>
      <c r="E49" s="544"/>
      <c r="F49" s="544"/>
    </row>
    <row r="50" spans="1:6" ht="18" x14ac:dyDescent="0.35">
      <c r="A50" s="35"/>
      <c r="B50" s="35"/>
      <c r="C50" s="35"/>
      <c r="D50" s="35"/>
      <c r="E50" s="544"/>
      <c r="F50" s="544"/>
    </row>
    <row r="51" spans="1:6" ht="17.5" x14ac:dyDescent="0.35">
      <c r="A51" s="544"/>
      <c r="B51" s="544"/>
      <c r="C51" s="544"/>
      <c r="D51" s="544"/>
      <c r="E51" s="544"/>
      <c r="F51" s="544"/>
    </row>
    <row r="52" spans="1:6" ht="17.5" x14ac:dyDescent="0.35">
      <c r="A52" s="544"/>
      <c r="B52" s="544"/>
      <c r="C52" s="544"/>
      <c r="D52" s="544"/>
      <c r="E52" s="544"/>
      <c r="F52" s="544"/>
    </row>
    <row r="53" spans="1:6" ht="17.5" x14ac:dyDescent="0.35">
      <c r="A53" s="544"/>
      <c r="B53" s="544"/>
      <c r="C53" s="544"/>
      <c r="D53" s="544"/>
      <c r="E53" s="544"/>
      <c r="F53" s="544"/>
    </row>
    <row r="54" spans="1:6" ht="17.5" x14ac:dyDescent="0.35">
      <c r="A54" s="544"/>
      <c r="B54" s="544"/>
      <c r="C54" s="544"/>
      <c r="D54" s="544"/>
      <c r="E54" s="544"/>
      <c r="F54" s="544"/>
    </row>
    <row r="55" spans="1:6" ht="17.5" x14ac:dyDescent="0.35">
      <c r="A55" s="544"/>
      <c r="B55" s="544"/>
      <c r="C55" s="544"/>
      <c r="D55" s="544"/>
      <c r="E55" s="544"/>
      <c r="F55" s="544"/>
    </row>
    <row r="56" spans="1:6" ht="17.5" x14ac:dyDescent="0.35">
      <c r="A56" s="544"/>
      <c r="B56" s="544"/>
      <c r="C56" s="544"/>
      <c r="D56" s="544"/>
      <c r="E56" s="544"/>
      <c r="F56" s="544"/>
    </row>
    <row r="57" spans="1:6" ht="17.5" x14ac:dyDescent="0.35">
      <c r="A57" s="544"/>
      <c r="B57" s="544"/>
      <c r="C57" s="544"/>
      <c r="D57" s="544"/>
      <c r="E57" s="544"/>
      <c r="F57" s="544"/>
    </row>
    <row r="58" spans="1:6" ht="17.5" x14ac:dyDescent="0.35">
      <c r="A58" s="544"/>
      <c r="B58" s="544"/>
      <c r="C58" s="544"/>
      <c r="D58" s="544"/>
      <c r="E58" s="544"/>
      <c r="F58" s="544"/>
    </row>
    <row r="59" spans="1:6" ht="17.5" x14ac:dyDescent="0.35">
      <c r="A59" s="544"/>
      <c r="B59" s="544"/>
      <c r="C59" s="544"/>
      <c r="D59" s="544"/>
      <c r="E59" s="544"/>
      <c r="F59" s="544"/>
    </row>
    <row r="60" spans="1:6" ht="17.5" x14ac:dyDescent="0.35">
      <c r="A60" s="544"/>
      <c r="B60" s="544"/>
      <c r="C60" s="544"/>
      <c r="D60" s="544"/>
      <c r="E60" s="544"/>
      <c r="F60" s="544"/>
    </row>
    <row r="61" spans="1:6" ht="17.5" x14ac:dyDescent="0.35">
      <c r="A61" s="544"/>
      <c r="B61" s="544"/>
      <c r="C61" s="544"/>
      <c r="D61" s="544"/>
      <c r="E61" s="544"/>
      <c r="F61" s="544"/>
    </row>
    <row r="62" spans="1:6" ht="17.5" x14ac:dyDescent="0.35">
      <c r="A62" s="544"/>
      <c r="B62" s="544"/>
      <c r="C62" s="544"/>
      <c r="D62" s="544"/>
      <c r="E62" s="544"/>
      <c r="F62" s="544"/>
    </row>
  </sheetData>
  <pageMargins left="0.25" right="0.25" top="0.75" bottom="0.75" header="0.3" footer="0.3"/>
  <pageSetup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A387-F13B-4127-ACE3-67F8A017D855}">
  <sheetPr>
    <tabColor theme="0"/>
  </sheetPr>
  <dimension ref="A1:N342"/>
  <sheetViews>
    <sheetView tabSelected="1" view="pageBreakPreview" zoomScale="85" zoomScaleNormal="100" zoomScaleSheetLayoutView="85" workbookViewId="0">
      <selection activeCell="A11" sqref="A11"/>
    </sheetView>
  </sheetViews>
  <sheetFormatPr defaultColWidth="8.54296875" defaultRowHeight="12.5" x14ac:dyDescent="0.25"/>
  <cols>
    <col min="1" max="1" width="8.54296875" style="31"/>
    <col min="2" max="2" width="32.81640625" style="500" customWidth="1"/>
    <col min="3" max="3" width="39.81640625" style="31" bestFit="1" customWidth="1"/>
    <col min="4" max="4" width="79.1796875" style="31" customWidth="1"/>
    <col min="5" max="16384" width="8.54296875" style="31"/>
  </cols>
  <sheetData>
    <row r="1" spans="2:14" ht="29" x14ac:dyDescent="0.25">
      <c r="B1" s="501" t="s">
        <v>581</v>
      </c>
      <c r="C1" s="502"/>
      <c r="D1" s="502"/>
      <c r="E1" s="53">
        <f>'NI LLC-Consolidated'!Q1</f>
        <v>46023</v>
      </c>
    </row>
    <row r="2" spans="2:14" ht="18" x14ac:dyDescent="0.35">
      <c r="B2" s="121" t="str">
        <f>'NI LLC-Consolidated'!J2</f>
        <v>Neshaminy Interplex LLC</v>
      </c>
      <c r="C2" s="502"/>
      <c r="D2" s="502"/>
    </row>
    <row r="6" spans="2:14" ht="18" x14ac:dyDescent="0.35">
      <c r="B6" s="292" t="s">
        <v>582</v>
      </c>
      <c r="C6" s="503" t="s">
        <v>583</v>
      </c>
      <c r="D6" s="549" t="s">
        <v>584</v>
      </c>
      <c r="E6" s="549"/>
      <c r="F6" s="34"/>
      <c r="G6" s="34"/>
      <c r="H6" s="34"/>
      <c r="I6" s="34"/>
      <c r="J6" s="34"/>
      <c r="K6" s="34"/>
      <c r="L6" s="34"/>
      <c r="M6" s="34"/>
      <c r="N6" s="34"/>
    </row>
    <row r="7" spans="2:14" ht="18" x14ac:dyDescent="0.35">
      <c r="B7" s="504" t="s">
        <v>14</v>
      </c>
      <c r="C7" s="35"/>
      <c r="D7" s="35"/>
      <c r="E7" s="35"/>
      <c r="F7" s="34"/>
      <c r="G7" s="34"/>
      <c r="H7" s="34"/>
      <c r="I7" s="34"/>
      <c r="J7" s="34"/>
      <c r="K7" s="34"/>
      <c r="L7" s="34"/>
      <c r="M7" s="34"/>
      <c r="N7" s="34"/>
    </row>
    <row r="8" spans="2:14" ht="16" x14ac:dyDescent="0.35">
      <c r="B8" s="54" t="str">
        <f>'NI LLC-Consolidated'!A10</f>
        <v>4230-8501</v>
      </c>
      <c r="C8" s="34" t="str">
        <f>IFERROR(VLOOKUP($B8,'NI LLC-Consolidated'!$A$10:$U$155,3,FALSE),"")</f>
        <v>Rental Income - In Place</v>
      </c>
      <c r="D8" s="548">
        <f>IFERROR(VLOOKUP($B8,'NI LLC-Consolidated'!$A$10:$U$155,21,FALSE),"")</f>
        <v>0</v>
      </c>
      <c r="E8" s="548"/>
      <c r="F8" s="34"/>
      <c r="G8" s="34"/>
      <c r="H8" s="34"/>
      <c r="I8" s="34"/>
      <c r="J8" s="34"/>
      <c r="K8" s="34"/>
      <c r="L8" s="34"/>
      <c r="M8" s="34"/>
      <c r="N8" s="34"/>
    </row>
    <row r="9" spans="2:14" ht="16" x14ac:dyDescent="0.35">
      <c r="B9" s="54" t="str">
        <f>'NI LLC-Consolidated'!A11</f>
        <v>4230-8501</v>
      </c>
      <c r="C9" s="34" t="str">
        <f>'NI LLC-Consolidated'!C11</f>
        <v>Rental Income - New &amp; Renewal</v>
      </c>
      <c r="D9" s="548">
        <f>IFERROR(VLOOKUP($B9,'NI LLC-Consolidated'!$A$10:$U$155,21,FALSE),"")</f>
        <v>0</v>
      </c>
      <c r="E9" s="548"/>
      <c r="F9" s="34"/>
      <c r="G9" s="34"/>
      <c r="H9" s="34"/>
      <c r="I9" s="34"/>
      <c r="J9" s="34"/>
      <c r="K9" s="34"/>
      <c r="L9" s="34"/>
      <c r="M9" s="34"/>
      <c r="N9" s="34"/>
    </row>
    <row r="10" spans="2:14" ht="16" hidden="1" customHeight="1" x14ac:dyDescent="0.35">
      <c r="B10" s="54" t="str">
        <f>'NI LLC-Consolidated'!A12</f>
        <v>4240-8501</v>
      </c>
      <c r="C10" s="34" t="str">
        <f>'NI LLC-Consolidated'!C12</f>
        <v>Percentage Rents</v>
      </c>
      <c r="D10" s="548">
        <f>IFERROR(VLOOKUP($B10,'NI LLC-Consolidated'!$A$10:$U$155,21,FALSE),"")</f>
        <v>0</v>
      </c>
      <c r="E10" s="548"/>
      <c r="F10" s="34"/>
      <c r="G10" s="34"/>
      <c r="H10" s="34"/>
      <c r="I10" s="34"/>
      <c r="J10" s="34"/>
      <c r="K10" s="34"/>
      <c r="L10" s="34"/>
      <c r="M10" s="34"/>
      <c r="N10" s="34"/>
    </row>
    <row r="11" spans="2:14" ht="16" x14ac:dyDescent="0.35">
      <c r="B11" s="54" t="str">
        <f>'NI LLC-Consolidated'!A13</f>
        <v>4990-8501</v>
      </c>
      <c r="C11" s="34" t="str">
        <f>IFERROR(VLOOKUP($B11,'NI LLC-Consolidated'!$A$10:$U$155,3,FALSE),"")</f>
        <v>Miscellaneous</v>
      </c>
      <c r="D11" s="548" t="str">
        <f>IFERROR(VLOOKUP($B11,'NI LLC-Consolidated'!$A$10:$U$155,21,FALSE),"")</f>
        <v>Gym Fees and $5K/qtr for Billboard (Applied to 4080)</v>
      </c>
      <c r="E11" s="548"/>
      <c r="F11" s="34"/>
      <c r="G11" s="34"/>
      <c r="H11" s="34"/>
      <c r="I11" s="34"/>
      <c r="J11" s="34"/>
      <c r="K11" s="34"/>
      <c r="L11" s="34"/>
      <c r="M11" s="34"/>
      <c r="N11" s="34"/>
    </row>
    <row r="12" spans="2:14" ht="16" x14ac:dyDescent="0.35">
      <c r="B12" s="54" t="str">
        <f>'NI LLC-Consolidated'!A14</f>
        <v>9190-8501</v>
      </c>
      <c r="C12" s="34" t="str">
        <f>IFERROR(VLOOKUP($B12,'NI LLC-Consolidated'!$A$10:$U$155,3,FALSE),"")</f>
        <v>Interest Income</v>
      </c>
      <c r="D12" s="548" t="str">
        <f>IFERROR(VLOOKUP($B12,'NI LLC-Consolidated'!$A$10:$U$155,21,FALSE),"")</f>
        <v>Annualized one month of interest from recent statement (Applied to 4050)</v>
      </c>
      <c r="E12" s="548"/>
      <c r="F12" s="34"/>
      <c r="G12" s="34"/>
      <c r="H12" s="34"/>
      <c r="I12" s="34"/>
      <c r="J12" s="34"/>
      <c r="K12" s="34"/>
      <c r="L12" s="34"/>
      <c r="M12" s="34"/>
      <c r="N12" s="34"/>
    </row>
    <row r="13" spans="2:14" ht="18" x14ac:dyDescent="0.35">
      <c r="B13" s="504" t="s">
        <v>20</v>
      </c>
      <c r="C13" s="34"/>
      <c r="D13" s="548" t="str">
        <f>IFERROR(VLOOKUP($B13,'NI LLC-Consolidated'!$A$10:$U$155,21,FALSE),"")</f>
        <v/>
      </c>
      <c r="E13" s="548"/>
      <c r="F13" s="34"/>
      <c r="G13" s="34"/>
      <c r="H13" s="34"/>
      <c r="I13" s="34"/>
      <c r="J13" s="34"/>
      <c r="K13" s="34"/>
      <c r="L13" s="34"/>
      <c r="M13" s="34"/>
      <c r="N13" s="34"/>
    </row>
    <row r="14" spans="2:14" ht="16" x14ac:dyDescent="0.35">
      <c r="B14" s="54" t="str">
        <f>'NI LLC-Consolidated'!A18</f>
        <v>4710-8502</v>
      </c>
      <c r="C14" s="34" t="str">
        <f>IFERROR(VLOOKUP($B14,'NI LLC-Consolidated'!$A$10:$U$155,3,FALSE),"")</f>
        <v>Electric</v>
      </c>
      <c r="D14" s="548" t="str">
        <f>IFERROR(VLOOKUP($B14,'NI LLC-Consolidated'!$A$10:$U$155,21,FALSE),"")</f>
        <v>Set to occupancy</v>
      </c>
      <c r="E14" s="548"/>
      <c r="F14" s="34"/>
      <c r="G14" s="34"/>
      <c r="H14" s="34"/>
      <c r="I14" s="34"/>
      <c r="J14" s="34"/>
      <c r="K14" s="34"/>
      <c r="L14" s="34"/>
      <c r="M14" s="34"/>
      <c r="N14" s="34"/>
    </row>
    <row r="15" spans="2:14" ht="16" x14ac:dyDescent="0.35">
      <c r="B15" s="54" t="str">
        <f>'NI LLC-Consolidated'!A19</f>
        <v>4910-8502</v>
      </c>
      <c r="C15" s="34" t="str">
        <f>IFERROR(VLOOKUP($B15,'NI LLC-Consolidated'!$A$10:$U$155,3,FALSE),"")</f>
        <v>Common Area Maintenance</v>
      </c>
      <c r="D15" s="548">
        <f>IFERROR(VLOOKUP($B15,'NI LLC-Consolidated'!$A$10:$U$155,21,FALSE),"")</f>
        <v>0</v>
      </c>
      <c r="E15" s="548"/>
      <c r="F15" s="34"/>
      <c r="G15" s="34"/>
      <c r="H15" s="34"/>
      <c r="I15" s="34"/>
      <c r="J15" s="34"/>
      <c r="K15" s="34"/>
      <c r="L15" s="34"/>
      <c r="M15" s="34"/>
      <c r="N15" s="34"/>
    </row>
    <row r="16" spans="2:14" ht="16" x14ac:dyDescent="0.35">
      <c r="B16" s="54" t="str">
        <f>'NI LLC-Consolidated'!A20</f>
        <v>4920-8502</v>
      </c>
      <c r="C16" s="34" t="str">
        <f>IFERROR(VLOOKUP($B16,'NI LLC-Consolidated'!$A$10:$U$155,3,FALSE),"")</f>
        <v>Real Estate Taxes</v>
      </c>
      <c r="D16" s="548">
        <f>IFERROR(VLOOKUP($B16,'NI LLC-Consolidated'!$A$10:$U$155,21,FALSE),"")</f>
        <v>0</v>
      </c>
      <c r="E16" s="548"/>
      <c r="F16" s="34"/>
      <c r="G16" s="34"/>
      <c r="H16" s="34"/>
      <c r="I16" s="34"/>
      <c r="J16" s="34"/>
      <c r="K16" s="34"/>
      <c r="L16" s="34"/>
      <c r="M16" s="34"/>
      <c r="N16" s="34"/>
    </row>
    <row r="17" spans="1:14" ht="16" x14ac:dyDescent="0.35">
      <c r="B17" s="54" t="str">
        <f>'NI LLC-Consolidated'!A21</f>
        <v>4930-8502</v>
      </c>
      <c r="C17" s="34" t="str">
        <f>IFERROR(VLOOKUP($B17,'NI LLC-Consolidated'!$A$10:$U$155,3,FALSE),"")</f>
        <v>Insurance</v>
      </c>
      <c r="D17" s="548">
        <f>IFERROR(VLOOKUP($B17,'NI LLC-Consolidated'!$A$10:$U$155,21,FALSE),"")</f>
        <v>0</v>
      </c>
      <c r="E17" s="548"/>
      <c r="F17" s="34"/>
      <c r="G17" s="34"/>
      <c r="H17" s="34"/>
      <c r="I17" s="34"/>
      <c r="J17" s="34"/>
      <c r="K17" s="34"/>
      <c r="L17" s="34"/>
      <c r="M17" s="34"/>
      <c r="N17" s="34"/>
    </row>
    <row r="18" spans="1:14" ht="18" x14ac:dyDescent="0.35">
      <c r="A18" s="31" t="s">
        <v>91</v>
      </c>
      <c r="B18" s="35" t="s">
        <v>27</v>
      </c>
      <c r="C18" s="34"/>
      <c r="D18" s="548" t="str">
        <f>IFERROR(VLOOKUP($B18,'NI LLC-Consolidated'!$A$10:$U$155,21,FALSE),"")</f>
        <v/>
      </c>
      <c r="E18" s="548"/>
      <c r="F18" s="34"/>
      <c r="G18" s="34"/>
      <c r="H18" s="34"/>
      <c r="I18" s="34"/>
      <c r="J18" s="34"/>
      <c r="K18" s="34"/>
      <c r="L18" s="34"/>
      <c r="M18" s="34"/>
      <c r="N18" s="34"/>
    </row>
    <row r="19" spans="1:14" ht="16" x14ac:dyDescent="0.35">
      <c r="B19" s="54" t="str">
        <f>'NI LLC-Consolidated'!A27</f>
        <v>6030-8502</v>
      </c>
      <c r="C19" s="34" t="str">
        <f>IFERROR(VLOOKUP($B19,'NI LLC-Consolidated'!$A$10:$U$155,3,FALSE),"")</f>
        <v>Maintenance Salaries</v>
      </c>
      <c r="D19" s="548" t="str">
        <f>IFERROR(VLOOKUP($B19,'NI LLC-Consolidated'!$A$10:$U$155,21,FALSE),"")</f>
        <v>Based on 2026 Payroll Budget</v>
      </c>
      <c r="E19" s="548"/>
      <c r="F19" s="34"/>
      <c r="G19" s="34"/>
      <c r="H19" s="34"/>
      <c r="I19" s="34"/>
      <c r="J19" s="34"/>
      <c r="K19" s="34"/>
      <c r="L19" s="34"/>
      <c r="M19" s="34"/>
      <c r="N19" s="34"/>
    </row>
    <row r="20" spans="1:14" ht="16" x14ac:dyDescent="0.35">
      <c r="B20" s="54" t="str">
        <f>'NI LLC-Consolidated'!A29</f>
        <v>6120-8502</v>
      </c>
      <c r="C20" s="34" t="str">
        <f>IFERROR(VLOOKUP($B20,'NI LLC-Consolidated'!$A$10:$U$155,3,FALSE),"")</f>
        <v>Electric</v>
      </c>
      <c r="D20" s="548" t="str">
        <f>IFERROR(VLOOKUP($B20,'NI LLC-Consolidated'!$A$10:$U$155,21,FALSE),"")</f>
        <v>Data\Shared\Properties\Business Plans - All Entities\2026\ISG Electric data</v>
      </c>
      <c r="E20" s="548"/>
      <c r="F20" s="34"/>
      <c r="G20" s="34"/>
      <c r="H20" s="34"/>
      <c r="I20" s="34"/>
      <c r="J20" s="34"/>
      <c r="K20" s="34"/>
      <c r="L20" s="34"/>
      <c r="M20" s="34"/>
      <c r="N20" s="34"/>
    </row>
    <row r="21" spans="1:14" ht="16" x14ac:dyDescent="0.35">
      <c r="B21" s="54" t="str">
        <f>'NI LLC-Consolidated'!A31</f>
        <v>6130-8502</v>
      </c>
      <c r="C21" s="34" t="str">
        <f>IFERROR(VLOOKUP($B21,'NI LLC-Consolidated'!$A$10:$U$155,3,FALSE),"")</f>
        <v>Water &amp; Sewer</v>
      </c>
      <c r="D21" s="548" t="str">
        <f>IFERROR(VLOOKUP($B21,'NI LLC-Consolidated'!$A$10:$U$155,21,FALSE),"")</f>
        <v>2025 Business Plan grown 3%</v>
      </c>
      <c r="E21" s="548"/>
      <c r="F21" s="34"/>
      <c r="G21" s="34"/>
      <c r="H21" s="34"/>
      <c r="I21" s="34"/>
      <c r="J21" s="34"/>
      <c r="K21" s="34"/>
      <c r="L21" s="34"/>
      <c r="M21" s="34"/>
      <c r="N21" s="34"/>
    </row>
    <row r="22" spans="1:14" ht="16" x14ac:dyDescent="0.35">
      <c r="B22" s="54" t="str">
        <f>'NI LLC-Consolidated'!A36</f>
        <v>6220-8502</v>
      </c>
      <c r="C22" s="34" t="str">
        <f>IFERROR(VLOOKUP($B22,'NI LLC-Consolidated'!$A$10:$U$155,3,FALSE),"")</f>
        <v>Building Maintenance</v>
      </c>
      <c r="D22" s="548">
        <f>IFERROR(VLOOKUP($B22,'NI LLC-Consolidated'!$A$10:$U$155,21,FALSE),"")</f>
        <v>0</v>
      </c>
      <c r="E22" s="548"/>
      <c r="F22" s="34"/>
      <c r="G22" s="34"/>
      <c r="H22" s="34"/>
      <c r="I22" s="34"/>
      <c r="J22" s="34"/>
      <c r="K22" s="34"/>
      <c r="L22" s="34"/>
      <c r="M22" s="34"/>
      <c r="N22" s="34"/>
    </row>
    <row r="23" spans="1:14" ht="16" hidden="1" x14ac:dyDescent="0.35">
      <c r="B23" s="54" t="str">
        <f>'NI LLC-Consolidated'!A38</f>
        <v>6330-8502</v>
      </c>
      <c r="C23" s="34" t="str">
        <f>IFERROR(VLOOKUP($B23,'NI LLC-Consolidated'!$A$10:$U$155,3,FALSE),"")</f>
        <v>Parking Lot Cleaning</v>
      </c>
      <c r="D23" s="548">
        <f>IFERROR(VLOOKUP($B23,'NI LLC-Consolidated'!$A$10:$U$155,21,FALSE),"")</f>
        <v>0</v>
      </c>
      <c r="E23" s="548"/>
      <c r="F23" s="34"/>
      <c r="G23" s="34"/>
      <c r="H23" s="34"/>
      <c r="I23" s="34"/>
      <c r="J23" s="34"/>
      <c r="K23" s="34"/>
      <c r="L23" s="34"/>
      <c r="M23" s="34"/>
      <c r="N23" s="34"/>
    </row>
    <row r="24" spans="1:14" ht="16" x14ac:dyDescent="0.35">
      <c r="B24" s="54" t="str">
        <f>'NI LLC-Consolidated'!A43</f>
        <v>6360-8502</v>
      </c>
      <c r="C24" s="34" t="str">
        <f>IFERROR(VLOOKUP($B24,'NI LLC-Consolidated'!$A$10:$U$155,3,FALSE),"")</f>
        <v>Parking Lot Maintenance</v>
      </c>
      <c r="D24" s="548">
        <f>IFERROR(VLOOKUP($B24,'NI LLC-Consolidated'!$A$10:$U$155,21,FALSE),"")</f>
        <v>0</v>
      </c>
      <c r="E24" s="548"/>
      <c r="F24" s="34"/>
      <c r="G24" s="34"/>
      <c r="H24" s="34"/>
      <c r="I24" s="34"/>
      <c r="J24" s="34"/>
      <c r="K24" s="34"/>
      <c r="L24" s="34"/>
      <c r="M24" s="34"/>
      <c r="N24" s="34"/>
    </row>
    <row r="25" spans="1:14" ht="16" x14ac:dyDescent="0.35">
      <c r="B25" s="54" t="str">
        <f>'NI LLC-Consolidated'!A45</f>
        <v>6370-8502</v>
      </c>
      <c r="C25" s="34" t="str">
        <f>IFERROR(VLOOKUP($B25,'NI LLC-Consolidated'!$A$10:$U$155,3,FALSE),"")</f>
        <v>Snow Removal</v>
      </c>
      <c r="D25" s="548" t="str">
        <f>IFERROR(VLOOKUP($B25,'NI LLC-Consolidated'!$A$10:$U$155,21,FALSE),"")</f>
        <v>2025 Business Plan grown 3%</v>
      </c>
      <c r="E25" s="548"/>
      <c r="F25" s="34"/>
      <c r="G25" s="34"/>
      <c r="H25" s="34"/>
      <c r="I25" s="34"/>
      <c r="J25" s="34"/>
      <c r="K25" s="34"/>
      <c r="L25" s="34"/>
      <c r="M25" s="34"/>
      <c r="N25" s="34"/>
    </row>
    <row r="26" spans="1:14" ht="16" x14ac:dyDescent="0.35">
      <c r="B26" s="54" t="str">
        <f>'NI LLC-Consolidated'!A50</f>
        <v>6380-8502</v>
      </c>
      <c r="C26" s="34" t="str">
        <f>IFERROR(VLOOKUP($B26,'NI LLC-Consolidated'!$A$10:$U$155,3,FALSE),"")</f>
        <v>Landscaping</v>
      </c>
      <c r="D26" s="548">
        <f>IFERROR(VLOOKUP($B26,'NI LLC-Consolidated'!$A$10:$U$155,21,FALSE),"")</f>
        <v>0</v>
      </c>
      <c r="E26" s="548"/>
      <c r="F26" s="34"/>
      <c r="G26" s="34"/>
      <c r="H26" s="34"/>
      <c r="I26" s="34"/>
      <c r="J26" s="34"/>
      <c r="K26" s="34"/>
      <c r="L26" s="34"/>
      <c r="M26" s="34"/>
      <c r="N26" s="34"/>
    </row>
    <row r="27" spans="1:14" ht="16" x14ac:dyDescent="0.35">
      <c r="B27" s="54" t="str">
        <f>'NI LLC-Consolidated'!A52</f>
        <v>6350-8502</v>
      </c>
      <c r="C27" s="34" t="str">
        <f>IFERROR(VLOOKUP($B27,'NI LLC-Consolidated'!$A$10:$U$155,3,FALSE),"")</f>
        <v>Security</v>
      </c>
      <c r="D27" s="548" t="str">
        <f>IFERROR(VLOOKUP($B27,'NI LLC-Consolidated'!$A$10:$U$155,21,FALSE),"")</f>
        <v>2025 Business Plan grown 3%</v>
      </c>
      <c r="E27" s="548"/>
      <c r="F27" s="34"/>
      <c r="G27" s="34"/>
      <c r="H27" s="34"/>
      <c r="I27" s="34"/>
      <c r="J27" s="34"/>
      <c r="K27" s="34"/>
      <c r="L27" s="34"/>
      <c r="M27" s="34"/>
      <c r="N27" s="34"/>
    </row>
    <row r="28" spans="1:14" ht="16" x14ac:dyDescent="0.35">
      <c r="B28" s="54" t="str">
        <f>'NI LLC-Consolidated'!A54</f>
        <v>6610-8502</v>
      </c>
      <c r="C28" s="34" t="str">
        <f>IFERROR(VLOOKUP($B28,'NI LLC-Consolidated'!$A$10:$U$155,3,FALSE),"")</f>
        <v>Management Fee</v>
      </c>
      <c r="D28" s="548" t="str">
        <f>IFERROR(VLOOKUP($B28,'NI LLC-Consolidated'!$A$10:$U$155,21,FALSE),"")</f>
        <v>4% EGR for 5-8, 6% EGR for A-C</v>
      </c>
      <c r="E28" s="548"/>
      <c r="F28" s="34"/>
      <c r="G28" s="34"/>
      <c r="H28" s="34"/>
      <c r="I28" s="34"/>
      <c r="J28" s="34"/>
      <c r="K28" s="34"/>
      <c r="L28" s="34"/>
      <c r="M28" s="34"/>
      <c r="N28" s="34"/>
    </row>
    <row r="29" spans="1:14" ht="16" x14ac:dyDescent="0.35">
      <c r="B29" s="54" t="str">
        <f>'NI LLC-Consolidated'!A56</f>
        <v>6270-8502</v>
      </c>
      <c r="C29" s="34" t="str">
        <f>IFERROR(VLOOKUP($B29,'NI LLC-Consolidated'!$A$10:$U$155,3,FALSE),"")</f>
        <v>Trash Removal</v>
      </c>
      <c r="D29" s="548" t="str">
        <f>IFERROR(VLOOKUP($B29,'NI LLC-Consolidated'!$A$10:$U$155,21,FALSE),"")</f>
        <v>2025 Business Plan grown 3%</v>
      </c>
      <c r="E29" s="548"/>
      <c r="F29" s="34"/>
      <c r="G29" s="34"/>
      <c r="H29" s="34"/>
      <c r="I29" s="34"/>
      <c r="J29" s="34"/>
      <c r="K29" s="34"/>
      <c r="L29" s="34"/>
      <c r="M29" s="34"/>
      <c r="N29" s="34"/>
    </row>
    <row r="30" spans="1:14" ht="16" x14ac:dyDescent="0.35">
      <c r="B30" s="54" t="str">
        <f>'NI LLC-Consolidated'!A58</f>
        <v>6410-8502</v>
      </c>
      <c r="C30" s="34" t="str">
        <f>IFERROR(VLOOKUP($B30,'NI LLC-Consolidated'!$A$10:$U$155,3,FALSE),"")</f>
        <v>Real Estate Taxes</v>
      </c>
      <c r="D30" s="548">
        <f>IFERROR(VLOOKUP($B30,'NI LLC-Consolidated'!$A$10:$U$155,21,FALSE),"")</f>
        <v>0</v>
      </c>
      <c r="E30" s="548"/>
      <c r="F30" s="34"/>
      <c r="G30" s="34"/>
      <c r="H30" s="34"/>
      <c r="I30" s="34"/>
      <c r="J30" s="34"/>
      <c r="K30" s="34"/>
      <c r="L30" s="34"/>
      <c r="M30" s="34"/>
      <c r="N30" s="34"/>
    </row>
    <row r="31" spans="1:14" ht="16" x14ac:dyDescent="0.35">
      <c r="B31" s="54" t="str">
        <f>'NI LLC-Consolidated'!A63</f>
        <v>6510-8502</v>
      </c>
      <c r="C31" s="34" t="str">
        <f>IFERROR(VLOOKUP($B31,'NI LLC-Consolidated'!$A$10:$U$155,3,FALSE),"")</f>
        <v>Insurance</v>
      </c>
      <c r="D31" s="548">
        <f>IFERROR(VLOOKUP($B31,'NI LLC-Consolidated'!$A$10:$U$155,21,FALSE),"")</f>
        <v>0</v>
      </c>
      <c r="E31" s="548"/>
      <c r="F31" s="34"/>
      <c r="G31" s="34"/>
      <c r="H31" s="34"/>
      <c r="I31" s="34"/>
      <c r="J31" s="34"/>
      <c r="K31" s="34"/>
      <c r="L31" s="34"/>
      <c r="M31" s="34"/>
      <c r="N31" s="34"/>
    </row>
    <row r="32" spans="1:14" ht="16" x14ac:dyDescent="0.35">
      <c r="B32" s="54" t="str">
        <f>'NI LLC-Consolidated'!A67</f>
        <v>6250-8502</v>
      </c>
      <c r="C32" s="34" t="str">
        <f>IFERROR(VLOOKUP($B32,'NI LLC-Consolidated'!$A$10:$U$155,3,FALSE),"")</f>
        <v>Cleaning &amp; Supplies</v>
      </c>
      <c r="D32" s="548" t="str">
        <f>IFERROR(VLOOKUP($B32,'NI LLC-Consolidated'!$A$10:$U$155,21,FALSE),"")</f>
        <v>Based on occupancy.</v>
      </c>
      <c r="E32" s="548"/>
      <c r="F32" s="34"/>
      <c r="G32" s="34"/>
      <c r="H32" s="34"/>
      <c r="I32" s="34"/>
      <c r="J32" s="34"/>
      <c r="K32" s="34"/>
      <c r="L32" s="34"/>
      <c r="M32" s="34"/>
      <c r="N32" s="34"/>
    </row>
    <row r="33" spans="2:14" ht="18" x14ac:dyDescent="0.35">
      <c r="B33" s="35" t="s">
        <v>56</v>
      </c>
      <c r="C33" s="34"/>
      <c r="D33" s="548" t="str">
        <f>IFERROR(VLOOKUP($B33,'NI LLC-Consolidated'!$A$10:$U$155,21,FALSE),"")</f>
        <v/>
      </c>
      <c r="E33" s="548"/>
      <c r="F33" s="34"/>
      <c r="G33" s="34"/>
      <c r="H33" s="34"/>
      <c r="I33" s="34"/>
      <c r="J33" s="34"/>
      <c r="K33" s="34"/>
      <c r="L33" s="34"/>
      <c r="M33" s="34"/>
      <c r="N33" s="34"/>
    </row>
    <row r="34" spans="2:14" ht="16" x14ac:dyDescent="0.35">
      <c r="B34" s="54" t="str">
        <f>'NI LLC-Consolidated'!A75</f>
        <v>5210-8501</v>
      </c>
      <c r="C34" s="34" t="str">
        <f>IFERROR(VLOOKUP($B34,'NI LLC-Consolidated'!$A$10:$U$155,3,FALSE),"")</f>
        <v>Bad Debt</v>
      </c>
      <c r="D34" s="548">
        <f>IFERROR(VLOOKUP($B34,'NI LLC-Consolidated'!$A$10:$U$155,21,FALSE),"")</f>
        <v>0</v>
      </c>
      <c r="E34" s="548"/>
      <c r="F34" s="34"/>
      <c r="G34" s="34"/>
      <c r="H34" s="34"/>
      <c r="I34" s="34"/>
      <c r="J34" s="34"/>
      <c r="K34" s="34"/>
      <c r="L34" s="34"/>
      <c r="M34" s="34"/>
      <c r="N34" s="34"/>
    </row>
    <row r="35" spans="2:14" ht="16" x14ac:dyDescent="0.35">
      <c r="B35" s="54" t="str">
        <f>'NI LLC-Consolidated'!A77</f>
        <v>6010-8501</v>
      </c>
      <c r="C35" s="34" t="str">
        <f>IFERROR(VLOOKUP($B35,'NI LLC-Consolidated'!$A$10:$U$155,4,FALSE),"")</f>
        <v>Salaries &amp; Wages</v>
      </c>
      <c r="D35" s="548" t="str">
        <f>IFERROR(VLOOKUP($B35,'NI LLC-Consolidated'!$A$10:$U$155,21,FALSE),"")</f>
        <v>Based on 2026 Payroll Budget</v>
      </c>
      <c r="E35" s="548"/>
      <c r="F35" s="34"/>
      <c r="G35" s="34"/>
      <c r="H35" s="34"/>
      <c r="I35" s="34"/>
      <c r="J35" s="34"/>
      <c r="K35" s="34"/>
      <c r="L35" s="34"/>
      <c r="M35" s="34"/>
      <c r="N35" s="34"/>
    </row>
    <row r="36" spans="2:14" ht="16" x14ac:dyDescent="0.35">
      <c r="B36" s="54" t="str">
        <f>'NI LLC-Consolidated'!A78</f>
        <v>6620-8501</v>
      </c>
      <c r="C36" s="34" t="str">
        <f>IFERROR(VLOOKUP($B36,'NI LLC-Consolidated'!$A$10:$U$155,4,FALSE),"")</f>
        <v>Commissions-Internal Broker</v>
      </c>
      <c r="D36" s="548" t="str">
        <f>IFERROR(VLOOKUP($B36,'NI LLC-Consolidated'!$A$10:$U$155,21,FALSE),"")</f>
        <v>Based on projected leasing assumptions</v>
      </c>
      <c r="E36" s="548"/>
      <c r="F36" s="34"/>
      <c r="G36" s="34"/>
      <c r="H36" s="34"/>
      <c r="I36" s="34"/>
      <c r="J36" s="34"/>
      <c r="K36" s="34"/>
      <c r="L36" s="34"/>
      <c r="M36" s="34"/>
      <c r="N36" s="34"/>
    </row>
    <row r="37" spans="2:14" ht="16" x14ac:dyDescent="0.35">
      <c r="B37" s="54" t="str">
        <f>'NI LLC-Consolidated'!A81</f>
        <v>6110-8501</v>
      </c>
      <c r="C37" s="34" t="str">
        <f>IFERROR(VLOOKUP($B37,'NI LLC-Consolidated'!$A$10:$U$155,4,FALSE),"")</f>
        <v>Gas</v>
      </c>
      <c r="D37" s="548">
        <f>IFERROR(VLOOKUP($B37,'NI LLC-Consolidated'!$A$10:$U$155,21,FALSE),"")</f>
        <v>0</v>
      </c>
      <c r="E37" s="548"/>
      <c r="F37" s="34"/>
      <c r="G37" s="34"/>
      <c r="H37" s="34"/>
      <c r="I37" s="34"/>
      <c r="J37" s="34"/>
      <c r="K37" s="34"/>
      <c r="L37" s="34"/>
      <c r="M37" s="34"/>
      <c r="N37" s="34"/>
    </row>
    <row r="38" spans="2:14" ht="16" x14ac:dyDescent="0.35">
      <c r="B38" s="54" t="str">
        <f>'NI LLC-Consolidated'!A82</f>
        <v>6120-8501</v>
      </c>
      <c r="C38" s="34" t="str">
        <f>IFERROR(VLOOKUP($B38,'NI LLC-Consolidated'!$A$10:$U$155,4,FALSE),"")</f>
        <v>Electric</v>
      </c>
      <c r="D38" s="548">
        <f>IFERROR(VLOOKUP($B38,'NI LLC-Consolidated'!$A$10:$U$155,21,FALSE),"")</f>
        <v>0</v>
      </c>
      <c r="E38" s="548"/>
      <c r="F38" s="34"/>
      <c r="G38" s="34"/>
      <c r="H38" s="34"/>
      <c r="I38" s="34"/>
      <c r="J38" s="34"/>
      <c r="K38" s="34"/>
      <c r="L38" s="34"/>
      <c r="M38" s="34"/>
      <c r="N38" s="34"/>
    </row>
    <row r="39" spans="2:14" ht="16" x14ac:dyDescent="0.35">
      <c r="B39" s="54" t="str">
        <f>'NI LLC-Consolidated'!A83</f>
        <v>6130-8501</v>
      </c>
      <c r="C39" s="34" t="str">
        <f>IFERROR(VLOOKUP($B39,'NI LLC-Consolidated'!$A$10:$U$155,4,FALSE),"")</f>
        <v>Water &amp; Sewer</v>
      </c>
      <c r="D39" s="548">
        <f>IFERROR(VLOOKUP($B39,'NI LLC-Consolidated'!$A$10:$U$155,21,FALSE),"")</f>
        <v>0</v>
      </c>
      <c r="E39" s="548"/>
      <c r="F39" s="34"/>
      <c r="G39" s="34"/>
      <c r="H39" s="34"/>
      <c r="I39" s="34"/>
      <c r="J39" s="34"/>
      <c r="K39" s="34"/>
      <c r="L39" s="34"/>
      <c r="M39" s="34"/>
      <c r="N39" s="34"/>
    </row>
    <row r="40" spans="2:14" ht="16" x14ac:dyDescent="0.35">
      <c r="B40" s="54" t="str">
        <f>'NI LLC-Consolidated'!A88</f>
        <v>6220-8501</v>
      </c>
      <c r="C40" s="34" t="str">
        <f>IFERROR(VLOOKUP($B40,'NI LLC-Consolidated'!$A$10:$U$155,3,FALSE),"")</f>
        <v>Building Maintenance</v>
      </c>
      <c r="D40" s="548" t="str">
        <f>IFERROR(VLOOKUP($B40,'NI LLC-Consolidated'!$A$10:$U$155,21,FALSE),"")</f>
        <v>2025 Business Plan grown 3%</v>
      </c>
      <c r="E40" s="548"/>
      <c r="F40" s="34"/>
      <c r="G40" s="34"/>
      <c r="H40" s="34"/>
      <c r="I40" s="34"/>
      <c r="J40" s="34"/>
      <c r="K40" s="34"/>
      <c r="L40" s="34"/>
      <c r="M40" s="34"/>
      <c r="N40" s="34"/>
    </row>
    <row r="41" spans="2:14" ht="16" hidden="1" x14ac:dyDescent="0.35">
      <c r="B41" s="54" t="str">
        <f>'NI LLC-Consolidated'!A90</f>
        <v>6610-8501</v>
      </c>
      <c r="C41" s="34" t="str">
        <f>IFERROR(VLOOKUP($B41,'NI LLC-Consolidated'!$A$10:$U$155,3,FALSE),"")</f>
        <v>Management fee</v>
      </c>
      <c r="D41" s="548">
        <f>IFERROR(VLOOKUP($B41,'NI LLC-Consolidated'!$A$10:$U$155,21,FALSE),"")</f>
        <v>0</v>
      </c>
      <c r="E41" s="548"/>
      <c r="F41" s="34"/>
      <c r="G41" s="34"/>
      <c r="H41" s="34"/>
      <c r="I41" s="34"/>
      <c r="J41" s="34"/>
      <c r="K41" s="34"/>
      <c r="L41" s="34"/>
      <c r="M41" s="34"/>
      <c r="N41" s="34"/>
    </row>
    <row r="42" spans="2:14" ht="16" x14ac:dyDescent="0.35">
      <c r="B42" s="54" t="str">
        <f>'NI LLC-Consolidated'!A92</f>
        <v>7110-8501</v>
      </c>
      <c r="C42" s="34" t="str">
        <f>IFERROR(VLOOKUP($B42,'NI LLC-Consolidated'!$A$10:$U$155,3,FALSE),"")</f>
        <v>Marketing</v>
      </c>
      <c r="D42" s="548" t="str">
        <f>IFERROR(VLOOKUP($B42,'NI LLC-Consolidated'!$A$10:$U$155,21,FALSE),"")</f>
        <v>2025 Business Plan grown 3%</v>
      </c>
      <c r="E42" s="548"/>
      <c r="F42" s="34"/>
      <c r="G42" s="34"/>
      <c r="H42" s="34"/>
      <c r="I42" s="34"/>
      <c r="J42" s="34"/>
      <c r="K42" s="34"/>
      <c r="L42" s="34"/>
      <c r="M42" s="34"/>
      <c r="N42" s="34"/>
    </row>
    <row r="43" spans="2:14" ht="16" x14ac:dyDescent="0.35">
      <c r="B43" s="54" t="str">
        <f>'NI LLC-Consolidated'!A94</f>
        <v>8210-8501</v>
      </c>
      <c r="C43" s="34" t="str">
        <f>IFERROR(VLOOKUP($B43,'NI LLC-Consolidated'!$A$10:$U$155,3,FALSE),"")</f>
        <v>Business Taxes</v>
      </c>
      <c r="D43" s="548" t="str">
        <f>IFERROR(VLOOKUP($B43,'NI LLC-Consolidated'!$A$10:$U$155,21,FALSE),"")</f>
        <v>2025 Business Plan grown 3%</v>
      </c>
      <c r="E43" s="548"/>
      <c r="F43" s="34"/>
      <c r="G43" s="34"/>
      <c r="H43" s="34"/>
      <c r="I43" s="34"/>
      <c r="J43" s="34"/>
      <c r="K43" s="34"/>
      <c r="L43" s="34"/>
      <c r="M43" s="34"/>
      <c r="N43" s="34"/>
    </row>
    <row r="44" spans="2:14" ht="16" x14ac:dyDescent="0.35">
      <c r="B44" s="54" t="str">
        <f>'NI LLC-Consolidated'!A96</f>
        <v>8310-8501</v>
      </c>
      <c r="C44" s="34" t="str">
        <f>IFERROR(VLOOKUP($B44,'NI LLC-Consolidated'!$A$10:$U$155,3,FALSE),"")</f>
        <v>Legal &amp; Accounting</v>
      </c>
      <c r="D44" s="548" t="str">
        <f>IFERROR(VLOOKUP($B44,'NI LLC-Consolidated'!$A$10:$U$155,21,FALSE),"")</f>
        <v>2025 Business Plan grown 3%</v>
      </c>
      <c r="E44" s="548"/>
      <c r="F44" s="34"/>
      <c r="G44" s="34"/>
      <c r="H44" s="34"/>
      <c r="I44" s="34"/>
      <c r="J44" s="34"/>
      <c r="K44" s="34"/>
      <c r="L44" s="34"/>
      <c r="M44" s="34"/>
      <c r="N44" s="34"/>
    </row>
    <row r="45" spans="2:14" ht="16" x14ac:dyDescent="0.35">
      <c r="B45" s="54" t="str">
        <f>'NI LLC-Consolidated'!A98</f>
        <v>8190-8501</v>
      </c>
      <c r="C45" s="34" t="str">
        <f>IFERROR(VLOOKUP($B45,'NI LLC-Consolidated'!$A$10:$U$155,4,FALSE),"")</f>
        <v>Bank Fees</v>
      </c>
      <c r="D45" s="548" t="str">
        <f>IFERROR(VLOOKUP($B45,'NI LLC-Consolidated'!$A$10:$U$155,21,FALSE),"")</f>
        <v>2025 Business Plan grown 3%</v>
      </c>
      <c r="E45" s="548"/>
      <c r="F45" s="34"/>
      <c r="G45" s="34"/>
      <c r="H45" s="34"/>
      <c r="I45" s="34"/>
      <c r="J45" s="34"/>
      <c r="K45" s="34"/>
      <c r="L45" s="34"/>
      <c r="M45" s="34"/>
      <c r="N45" s="34"/>
    </row>
    <row r="46" spans="2:14" ht="16" x14ac:dyDescent="0.35">
      <c r="B46" s="54" t="str">
        <f>'NI LLC-Consolidated'!A99</f>
        <v>8930-8501</v>
      </c>
      <c r="C46" s="34" t="str">
        <f>IFERROR(VLOOKUP($B46,'NI LLC-Consolidated'!$A$10:$U$155,4,FALSE),"")</f>
        <v>Office Supplies</v>
      </c>
      <c r="D46" s="548">
        <f>IFERROR(VLOOKUP($B46,'NI LLC-Consolidated'!$A$10:$U$155,21,FALSE),"")</f>
        <v>0</v>
      </c>
      <c r="E46" s="548"/>
      <c r="F46" s="34"/>
      <c r="G46" s="34"/>
      <c r="H46" s="34"/>
      <c r="I46" s="34"/>
      <c r="J46" s="34"/>
      <c r="K46" s="34"/>
      <c r="L46" s="34"/>
      <c r="M46" s="34"/>
      <c r="N46" s="34"/>
    </row>
    <row r="47" spans="2:14" ht="16" x14ac:dyDescent="0.35">
      <c r="B47" s="54" t="str">
        <f>'NI LLC-Consolidated'!A100</f>
        <v>8950-8501</v>
      </c>
      <c r="C47" s="34" t="str">
        <f>IFERROR(VLOOKUP($B47,'NI LLC-Consolidated'!$A$10:$U$155,4,FALSE),"")</f>
        <v>Postage</v>
      </c>
      <c r="D47" s="548">
        <f>IFERROR(VLOOKUP($B47,'NI LLC-Consolidated'!$A$10:$U$155,21,FALSE),"")</f>
        <v>0</v>
      </c>
      <c r="E47" s="548"/>
      <c r="F47" s="34"/>
      <c r="G47" s="34"/>
      <c r="H47" s="34"/>
      <c r="I47" s="34"/>
      <c r="J47" s="34"/>
      <c r="K47" s="34"/>
      <c r="L47" s="34"/>
      <c r="M47" s="34"/>
      <c r="N47" s="34"/>
    </row>
    <row r="48" spans="2:14" ht="16" x14ac:dyDescent="0.35">
      <c r="B48" s="54" t="str">
        <f>'NI LLC-Consolidated'!A101</f>
        <v>8990-8501</v>
      </c>
      <c r="C48" s="34" t="str">
        <f>IFERROR(VLOOKUP($B48,'NI LLC-Consolidated'!$A$10:$U$155,4,FALSE),"")</f>
        <v>Other G&amp;A Expense</v>
      </c>
      <c r="D48" s="548" t="str">
        <f>IFERROR(VLOOKUP($B48,'NI LLC-Consolidated'!$A$10:$U$155,21,FALSE),"")</f>
        <v>2025 Business Plan grown 3%</v>
      </c>
      <c r="E48" s="548"/>
      <c r="F48" s="34"/>
      <c r="G48" s="34"/>
      <c r="H48" s="34"/>
      <c r="I48" s="34"/>
      <c r="J48" s="34"/>
      <c r="K48" s="34"/>
      <c r="L48" s="34"/>
      <c r="M48" s="34"/>
      <c r="N48" s="34"/>
    </row>
    <row r="49" spans="2:14" ht="16" x14ac:dyDescent="0.35">
      <c r="B49" s="54" t="str">
        <f>'NI LLC-Consolidated'!A102</f>
        <v>8990-9800</v>
      </c>
      <c r="C49" s="34" t="str">
        <f>IFERROR(VLOOKUP($B49,'NI LLC-Consolidated'!$A$10:$U$155,4,FALSE),"")</f>
        <v>Other G&amp;A-allocated from LIK</v>
      </c>
      <c r="D49" s="548" t="str">
        <f>IFERROR(VLOOKUP($B49,'NI LLC-Consolidated'!$A$10:$U$155,21,FALSE),"")</f>
        <v>2025 Business Plan grown 3%</v>
      </c>
      <c r="E49" s="548"/>
      <c r="F49" s="34"/>
      <c r="G49" s="34"/>
      <c r="H49" s="34"/>
      <c r="I49" s="34"/>
      <c r="J49" s="34"/>
      <c r="K49" s="34"/>
      <c r="L49" s="34"/>
      <c r="M49" s="34"/>
      <c r="N49" s="34"/>
    </row>
    <row r="50" spans="2:14" ht="16" x14ac:dyDescent="0.35">
      <c r="B50" s="54"/>
      <c r="C50" s="34"/>
      <c r="D50" s="548" t="str">
        <f>IFERROR(VLOOKUP($B50,'NI LLC-Consolidated'!$A$10:$U$155,21,FALSE),"")</f>
        <v/>
      </c>
      <c r="E50" s="548"/>
      <c r="F50" s="34"/>
      <c r="G50" s="34"/>
      <c r="H50" s="34"/>
      <c r="I50" s="34"/>
      <c r="J50" s="34"/>
      <c r="K50" s="34"/>
      <c r="L50" s="34"/>
      <c r="M50" s="34"/>
      <c r="N50" s="34"/>
    </row>
    <row r="51" spans="2:14" ht="16" x14ac:dyDescent="0.35">
      <c r="B51" s="54" t="str">
        <f>'NI LLC-Consolidated'!A113</f>
        <v>1420-0000</v>
      </c>
      <c r="C51" s="34" t="str">
        <f>IFERROR(VLOOKUP($B51,'NI LLC-Consolidated'!$A$10:$U$155,4,FALSE),"")</f>
        <v>Land Improvements</v>
      </c>
      <c r="D51" s="548">
        <f>IFERROR(VLOOKUP($B51,'NI LLC-Consolidated'!$A$10:$U$155,21,FALSE),"")</f>
        <v>0</v>
      </c>
      <c r="E51" s="548"/>
      <c r="F51" s="34"/>
      <c r="G51" s="34"/>
      <c r="H51" s="34"/>
      <c r="I51" s="34"/>
      <c r="J51" s="34"/>
      <c r="K51" s="34"/>
      <c r="L51" s="34"/>
      <c r="M51" s="34"/>
      <c r="N51" s="34"/>
    </row>
    <row r="52" spans="2:14" ht="16" x14ac:dyDescent="0.35">
      <c r="B52" s="54" t="str">
        <f>'NI LLC-Consolidated'!A114</f>
        <v>1430-0000</v>
      </c>
      <c r="C52" s="34" t="str">
        <f>IFERROR(VLOOKUP($B52,'NI LLC-Consolidated'!$A$10:$U$155,4,FALSE),"")</f>
        <v>Buildings</v>
      </c>
      <c r="D52" s="548">
        <f>IFERROR(VLOOKUP($B52,'NI LLC-Consolidated'!$A$10:$U$155,21,FALSE),"")</f>
        <v>0</v>
      </c>
      <c r="E52" s="548"/>
      <c r="F52" s="34"/>
      <c r="G52" s="34"/>
      <c r="H52" s="34"/>
      <c r="I52" s="34"/>
      <c r="J52" s="34"/>
      <c r="K52" s="34"/>
      <c r="L52" s="34"/>
      <c r="M52" s="34"/>
      <c r="N52" s="34"/>
    </row>
    <row r="53" spans="2:14" ht="16" x14ac:dyDescent="0.35">
      <c r="B53" s="54" t="str">
        <f>'NI LLC-Consolidated'!A115</f>
        <v>1450-0000</v>
      </c>
      <c r="C53" s="34" t="str">
        <f>IFERROR(VLOOKUP($B53,'NI LLC-Consolidated'!$A$10:$U$155,4,FALSE),"")</f>
        <v>Equipment</v>
      </c>
      <c r="D53" s="548">
        <f>IFERROR(VLOOKUP($B53,'NI LLC-Consolidated'!$A$10:$U$155,21,FALSE),"")</f>
        <v>0</v>
      </c>
      <c r="E53" s="548"/>
      <c r="F53" s="34"/>
      <c r="G53" s="34"/>
      <c r="H53" s="34"/>
      <c r="I53" s="34"/>
      <c r="J53" s="34"/>
      <c r="K53" s="34"/>
      <c r="L53" s="34"/>
      <c r="M53" s="34"/>
      <c r="N53" s="34"/>
    </row>
    <row r="54" spans="2:14" ht="16" x14ac:dyDescent="0.35">
      <c r="B54" s="54" t="str">
        <f>'NI LLC-Consolidated'!A116</f>
        <v>1980-8501</v>
      </c>
      <c r="C54" s="34" t="str">
        <f>IFERROR(VLOOKUP($B54,'NI LLC-Consolidated'!$A$10:$U$155,4,FALSE),"")</f>
        <v>Capital Improvements</v>
      </c>
      <c r="D54" s="548">
        <f>IFERROR(VLOOKUP($B54,'NI LLC-Consolidated'!$A$10:$U$155,21,FALSE),"")</f>
        <v>0</v>
      </c>
      <c r="E54" s="548"/>
      <c r="F54" s="34"/>
      <c r="G54" s="34"/>
      <c r="H54" s="34"/>
      <c r="I54" s="34"/>
      <c r="J54" s="34"/>
      <c r="K54" s="34"/>
      <c r="L54" s="34"/>
      <c r="M54" s="34"/>
      <c r="N54" s="34"/>
    </row>
    <row r="55" spans="2:14" ht="16" x14ac:dyDescent="0.35">
      <c r="B55" s="54" t="str">
        <f>'NI LLC-Consolidated'!A119</f>
        <v>1440-0000</v>
      </c>
      <c r="C55" s="34" t="str">
        <f>IFERROR(VLOOKUP($B55,'NI LLC-Consolidated'!$A$10:$U$155,3,FALSE),"")</f>
        <v>Tenant Improvements</v>
      </c>
      <c r="D55" s="548" t="str">
        <f>IFERROR(VLOOKUP($B55,'NI LLC-Consolidated'!$A$10:$U$155,21,FALSE),"")</f>
        <v>Based on projected leasing assumptions</v>
      </c>
      <c r="E55" s="548"/>
      <c r="F55" s="34"/>
      <c r="G55" s="34"/>
      <c r="H55" s="34"/>
      <c r="I55" s="34"/>
      <c r="J55" s="34"/>
      <c r="K55" s="34"/>
      <c r="L55" s="34"/>
      <c r="M55" s="34"/>
      <c r="N55" s="34"/>
    </row>
    <row r="56" spans="2:14" ht="16" x14ac:dyDescent="0.35">
      <c r="B56" s="54" t="str">
        <f>'NI LLC-Consolidated'!A121</f>
        <v>1940-8501</v>
      </c>
      <c r="C56" s="34" t="str">
        <f>IFERROR(VLOOKUP($B56,'NI LLC-Consolidated'!$A$10:$U$155,4,FALSE),"")</f>
        <v>Deferred Marketing</v>
      </c>
      <c r="D56" s="548">
        <f>IFERROR(VLOOKUP($B56,'NI LLC-Consolidated'!$A$10:$U$155,21,FALSE),"")</f>
        <v>0</v>
      </c>
      <c r="E56" s="548"/>
      <c r="F56" s="34"/>
      <c r="G56" s="34"/>
      <c r="H56" s="34"/>
      <c r="I56" s="34"/>
      <c r="J56" s="34"/>
      <c r="K56" s="34"/>
      <c r="L56" s="34"/>
      <c r="M56" s="34"/>
      <c r="N56" s="34"/>
    </row>
    <row r="57" spans="2:14" ht="16" x14ac:dyDescent="0.35">
      <c r="B57" s="54" t="str">
        <f>'NI LLC-Consolidated'!A122</f>
        <v>1940-8501</v>
      </c>
      <c r="C57" s="34" t="str">
        <f>IFERROR(VLOOKUP($B57,'NI LLC-Consolidated'!$A$10:$U$155,4,FALSE),"")</f>
        <v>Deferred Marketing</v>
      </c>
      <c r="D57" s="548">
        <f>IFERROR(VLOOKUP($B57,'NI LLC-Consolidated'!$A$10:$U$155,21,FALSE),"")</f>
        <v>0</v>
      </c>
      <c r="E57" s="548"/>
      <c r="F57" s="34"/>
      <c r="G57" s="34"/>
      <c r="H57" s="34"/>
      <c r="I57" s="34"/>
      <c r="J57" s="34"/>
      <c r="K57" s="34"/>
      <c r="L57" s="34"/>
      <c r="M57" s="34"/>
      <c r="N57" s="34"/>
    </row>
    <row r="58" spans="2:14" ht="16" x14ac:dyDescent="0.35">
      <c r="B58" s="54" t="str">
        <f>'NI LLC-Consolidated'!A128</f>
        <v>9210-8501</v>
      </c>
      <c r="C58" s="34" t="str">
        <f>IFERROR(VLOOKUP($B58,'NI LLC-Consolidated'!$A$10:$U$155,4,FALSE),"")</f>
        <v>Interest</v>
      </c>
      <c r="D58" s="548">
        <f>IFERROR(VLOOKUP($B58,'NI LLC-Consolidated'!$A$10:$U$155,21,FALSE),"")</f>
        <v>0</v>
      </c>
      <c r="E58" s="548"/>
      <c r="F58" s="34"/>
      <c r="G58" s="34"/>
      <c r="H58" s="34"/>
      <c r="I58" s="34"/>
      <c r="J58" s="34"/>
      <c r="K58" s="34"/>
      <c r="L58" s="34"/>
      <c r="M58" s="34"/>
      <c r="N58" s="34"/>
    </row>
    <row r="59" spans="2:14" ht="16" x14ac:dyDescent="0.35">
      <c r="B59" s="54" t="str">
        <f>'NI LLC-Consolidated'!A129</f>
        <v>2740-8501</v>
      </c>
      <c r="C59" s="34" t="str">
        <f>IFERROR(VLOOKUP($B59,'NI LLC-Consolidated'!$A$10:$U$155,4,FALSE),"")</f>
        <v>Mortgage Amortization</v>
      </c>
      <c r="D59" s="548">
        <f>IFERROR(VLOOKUP($B59,'NI LLC-Consolidated'!$A$10:$U$155,21,FALSE),"")</f>
        <v>0</v>
      </c>
      <c r="E59" s="548"/>
      <c r="F59" s="34"/>
      <c r="G59" s="34"/>
      <c r="H59" s="34"/>
      <c r="I59" s="34"/>
      <c r="J59" s="34"/>
      <c r="K59" s="34"/>
      <c r="L59" s="34"/>
      <c r="M59" s="34"/>
      <c r="N59" s="34"/>
    </row>
    <row r="60" spans="2:14" ht="16" x14ac:dyDescent="0.35">
      <c r="B60" s="54" t="str">
        <f>'NI LLC-Consolidated'!A130</f>
        <v>2740-0000</v>
      </c>
      <c r="C60" s="34" t="str">
        <f>IFERROR(VLOOKUP($B60,'NI LLC-Consolidated'!$A$10:$U$155,4,FALSE),"")</f>
        <v>Loan Proceeds</v>
      </c>
      <c r="D60" s="548">
        <f>IFERROR(VLOOKUP($B60,'NI LLC-Consolidated'!$A$10:$U$155,21,FALSE),"")</f>
        <v>0</v>
      </c>
      <c r="E60" s="548"/>
      <c r="F60" s="34"/>
      <c r="G60" s="34"/>
      <c r="H60" s="34"/>
      <c r="I60" s="34"/>
      <c r="J60" s="34"/>
      <c r="K60" s="34"/>
      <c r="L60" s="34"/>
      <c r="M60" s="34"/>
      <c r="N60" s="34"/>
    </row>
    <row r="61" spans="2:14" ht="16" x14ac:dyDescent="0.35">
      <c r="B61" s="5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2:14" ht="16" x14ac:dyDescent="0.35">
      <c r="B62" s="5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2:14" ht="16" x14ac:dyDescent="0.35">
      <c r="B63" s="5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spans="2:14" ht="16" x14ac:dyDescent="0.35">
      <c r="B64" s="5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  <row r="65" spans="2:14" ht="16" x14ac:dyDescent="0.35">
      <c r="B65" s="5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</row>
    <row r="66" spans="2:14" ht="16" x14ac:dyDescent="0.35">
      <c r="B66" s="5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spans="2:14" ht="16" x14ac:dyDescent="0.35">
      <c r="B67" s="5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</row>
    <row r="68" spans="2:14" ht="16" x14ac:dyDescent="0.35">
      <c r="B68" s="5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</row>
    <row r="69" spans="2:14" ht="16" x14ac:dyDescent="0.35">
      <c r="B69" s="5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</row>
    <row r="70" spans="2:14" ht="16" x14ac:dyDescent="0.35">
      <c r="B70" s="5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</row>
    <row r="71" spans="2:14" ht="16" x14ac:dyDescent="0.35">
      <c r="B71" s="5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</row>
    <row r="72" spans="2:14" ht="16" x14ac:dyDescent="0.35">
      <c r="B72" s="5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spans="2:14" ht="16" x14ac:dyDescent="0.35">
      <c r="B73" s="5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</row>
    <row r="74" spans="2:14" ht="16" x14ac:dyDescent="0.35">
      <c r="B74" s="5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</row>
    <row r="75" spans="2:14" ht="16" x14ac:dyDescent="0.35">
      <c r="B75" s="5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</row>
    <row r="76" spans="2:14" ht="16" x14ac:dyDescent="0.35">
      <c r="B76" s="5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</row>
    <row r="77" spans="2:14" ht="16" x14ac:dyDescent="0.35">
      <c r="B77" s="5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</row>
    <row r="78" spans="2:14" ht="16" x14ac:dyDescent="0.35">
      <c r="B78" s="5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</row>
    <row r="79" spans="2:14" ht="16" x14ac:dyDescent="0.35">
      <c r="B79" s="5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</row>
    <row r="80" spans="2:14" ht="16" x14ac:dyDescent="0.35">
      <c r="B80" s="5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</row>
    <row r="81" spans="2:14" ht="16" x14ac:dyDescent="0.35">
      <c r="B81" s="5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</row>
    <row r="82" spans="2:14" ht="16" x14ac:dyDescent="0.35">
      <c r="B82" s="5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</row>
    <row r="83" spans="2:14" ht="16" x14ac:dyDescent="0.35">
      <c r="B83" s="5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t="16" x14ac:dyDescent="0.35">
      <c r="B84" s="5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</row>
    <row r="85" spans="2:14" ht="16" x14ac:dyDescent="0.35">
      <c r="B85" s="5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</row>
    <row r="86" spans="2:14" ht="16" x14ac:dyDescent="0.35">
      <c r="B86" s="5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</row>
    <row r="87" spans="2:14" ht="16" x14ac:dyDescent="0.35">
      <c r="B87" s="5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</row>
    <row r="88" spans="2:14" ht="16" x14ac:dyDescent="0.35">
      <c r="B88" s="5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</row>
    <row r="89" spans="2:14" ht="16" x14ac:dyDescent="0.35">
      <c r="B89" s="5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</row>
    <row r="90" spans="2:14" ht="16" x14ac:dyDescent="0.35">
      <c r="B90" s="5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  <row r="91" spans="2:14" ht="16" x14ac:dyDescent="0.35">
      <c r="B91" s="5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spans="2:14" ht="16" x14ac:dyDescent="0.35">
      <c r="B92" s="5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</row>
    <row r="93" spans="2:14" ht="16" x14ac:dyDescent="0.35">
      <c r="B93" s="5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</row>
    <row r="94" spans="2:14" ht="16" x14ac:dyDescent="0.35">
      <c r="B94" s="5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</row>
    <row r="95" spans="2:14" ht="16" x14ac:dyDescent="0.35">
      <c r="B95" s="5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</row>
    <row r="96" spans="2:14" ht="16" x14ac:dyDescent="0.35">
      <c r="B96" s="5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</row>
    <row r="97" spans="2:14" ht="16" x14ac:dyDescent="0.35">
      <c r="B97" s="5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</row>
    <row r="98" spans="2:14" ht="16" x14ac:dyDescent="0.35">
      <c r="B98" s="5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</row>
    <row r="99" spans="2:14" ht="16" x14ac:dyDescent="0.35">
      <c r="B99" s="5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</row>
    <row r="100" spans="2:14" ht="16" x14ac:dyDescent="0.35">
      <c r="B100" s="5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</row>
    <row r="101" spans="2:14" ht="16" x14ac:dyDescent="0.35">
      <c r="B101" s="5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</row>
    <row r="102" spans="2:14" ht="16" x14ac:dyDescent="0.35">
      <c r="B102" s="5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</row>
    <row r="103" spans="2:14" ht="16" x14ac:dyDescent="0.35">
      <c r="B103" s="5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</row>
    <row r="104" spans="2:14" ht="16" x14ac:dyDescent="0.35">
      <c r="B104" s="5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</row>
    <row r="105" spans="2:14" ht="16" x14ac:dyDescent="0.35">
      <c r="B105" s="5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t="16" x14ac:dyDescent="0.35">
      <c r="B106" s="5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</row>
    <row r="107" spans="2:14" ht="16" x14ac:dyDescent="0.35">
      <c r="B107" s="5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</row>
    <row r="108" spans="2:14" ht="16" x14ac:dyDescent="0.35">
      <c r="B108" s="5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</row>
    <row r="109" spans="2:14" ht="16" x14ac:dyDescent="0.35">
      <c r="B109" s="5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</row>
    <row r="110" spans="2:14" ht="16" x14ac:dyDescent="0.35">
      <c r="B110" s="5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</row>
    <row r="111" spans="2:14" ht="16" x14ac:dyDescent="0.35">
      <c r="B111" s="5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</row>
    <row r="112" spans="2:14" ht="16" x14ac:dyDescent="0.35">
      <c r="B112" s="5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</row>
    <row r="113" spans="2:14" ht="16" x14ac:dyDescent="0.35">
      <c r="B113" s="5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</row>
    <row r="114" spans="2:14" ht="16" x14ac:dyDescent="0.35">
      <c r="B114" s="5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</row>
    <row r="115" spans="2:14" ht="16" x14ac:dyDescent="0.35">
      <c r="B115" s="5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</row>
    <row r="116" spans="2:14" ht="16" x14ac:dyDescent="0.35">
      <c r="B116" s="5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</row>
    <row r="117" spans="2:14" ht="16" x14ac:dyDescent="0.35">
      <c r="B117" s="5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</row>
    <row r="118" spans="2:14" ht="16" x14ac:dyDescent="0.35">
      <c r="B118" s="5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</row>
    <row r="119" spans="2:14" ht="16" x14ac:dyDescent="0.35">
      <c r="B119" s="5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</row>
    <row r="120" spans="2:14" ht="16" x14ac:dyDescent="0.35">
      <c r="B120" s="5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</row>
    <row r="121" spans="2:14" ht="16" x14ac:dyDescent="0.35">
      <c r="B121" s="5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</row>
    <row r="122" spans="2:14" ht="16" x14ac:dyDescent="0.35">
      <c r="B122" s="5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</row>
    <row r="123" spans="2:14" ht="16" x14ac:dyDescent="0.35">
      <c r="B123" s="5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</row>
    <row r="124" spans="2:14" ht="16" x14ac:dyDescent="0.35">
      <c r="B124" s="5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</row>
    <row r="125" spans="2:14" ht="16" x14ac:dyDescent="0.35">
      <c r="B125" s="5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</row>
    <row r="126" spans="2:14" ht="16" x14ac:dyDescent="0.35">
      <c r="B126" s="5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</row>
    <row r="127" spans="2:14" ht="16" x14ac:dyDescent="0.35">
      <c r="B127" s="5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</row>
    <row r="128" spans="2:14" ht="16" x14ac:dyDescent="0.35">
      <c r="B128" s="5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</row>
    <row r="129" spans="2:14" ht="16" x14ac:dyDescent="0.35">
      <c r="B129" s="5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</row>
    <row r="130" spans="2:14" ht="16" x14ac:dyDescent="0.35">
      <c r="B130" s="5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</row>
    <row r="131" spans="2:14" ht="16" x14ac:dyDescent="0.35">
      <c r="B131" s="5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</row>
    <row r="132" spans="2:14" ht="16" x14ac:dyDescent="0.35">
      <c r="B132" s="5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</row>
    <row r="133" spans="2:14" ht="16" x14ac:dyDescent="0.35">
      <c r="B133" s="5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</row>
    <row r="134" spans="2:14" ht="16" x14ac:dyDescent="0.35">
      <c r="B134" s="5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</row>
    <row r="135" spans="2:14" ht="16" x14ac:dyDescent="0.35">
      <c r="B135" s="5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</row>
    <row r="136" spans="2:14" ht="16" x14ac:dyDescent="0.35">
      <c r="B136" s="5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</row>
    <row r="137" spans="2:14" ht="16" x14ac:dyDescent="0.35">
      <c r="B137" s="5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</row>
    <row r="138" spans="2:14" ht="16" x14ac:dyDescent="0.35">
      <c r="B138" s="5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</row>
    <row r="139" spans="2:14" ht="16" x14ac:dyDescent="0.35">
      <c r="B139" s="5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</row>
    <row r="140" spans="2:14" ht="16" x14ac:dyDescent="0.35">
      <c r="B140" s="5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</row>
    <row r="141" spans="2:14" ht="16" x14ac:dyDescent="0.35">
      <c r="B141" s="5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</row>
    <row r="142" spans="2:14" ht="16" x14ac:dyDescent="0.35">
      <c r="B142" s="5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</row>
    <row r="143" spans="2:14" ht="16" x14ac:dyDescent="0.35">
      <c r="B143" s="5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</row>
    <row r="144" spans="2:14" ht="16" x14ac:dyDescent="0.35">
      <c r="B144" s="5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</row>
    <row r="145" spans="2:14" ht="16" x14ac:dyDescent="0.35">
      <c r="B145" s="5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</row>
    <row r="146" spans="2:14" ht="16" x14ac:dyDescent="0.35">
      <c r="B146" s="5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</row>
    <row r="147" spans="2:14" ht="16" x14ac:dyDescent="0.35">
      <c r="B147" s="5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</row>
    <row r="148" spans="2:14" ht="16" x14ac:dyDescent="0.35">
      <c r="B148" s="5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</row>
    <row r="149" spans="2:14" ht="16" x14ac:dyDescent="0.35">
      <c r="B149" s="5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</row>
    <row r="150" spans="2:14" ht="16" x14ac:dyDescent="0.35">
      <c r="B150" s="5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</row>
    <row r="151" spans="2:14" ht="16" x14ac:dyDescent="0.35">
      <c r="B151" s="5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</row>
    <row r="152" spans="2:14" ht="16" x14ac:dyDescent="0.35">
      <c r="B152" s="5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</row>
    <row r="153" spans="2:14" ht="16" x14ac:dyDescent="0.35">
      <c r="B153" s="5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</row>
    <row r="154" spans="2:14" ht="16" x14ac:dyDescent="0.35">
      <c r="B154" s="5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</row>
    <row r="155" spans="2:14" ht="16" x14ac:dyDescent="0.35">
      <c r="B155" s="5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</row>
    <row r="156" spans="2:14" ht="16" x14ac:dyDescent="0.35">
      <c r="B156" s="5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</row>
    <row r="157" spans="2:14" ht="16" x14ac:dyDescent="0.35">
      <c r="B157" s="5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</row>
    <row r="158" spans="2:14" ht="16" x14ac:dyDescent="0.35">
      <c r="B158" s="5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</row>
    <row r="159" spans="2:14" ht="16" x14ac:dyDescent="0.35">
      <c r="B159" s="5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</row>
    <row r="160" spans="2:14" ht="16" x14ac:dyDescent="0.35">
      <c r="B160" s="5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</row>
    <row r="161" spans="2:14" ht="16" x14ac:dyDescent="0.35">
      <c r="B161" s="5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</row>
    <row r="162" spans="2:14" ht="16" x14ac:dyDescent="0.35">
      <c r="B162" s="5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</row>
    <row r="163" spans="2:14" ht="16" x14ac:dyDescent="0.35">
      <c r="B163" s="5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</row>
    <row r="164" spans="2:14" ht="16" x14ac:dyDescent="0.35">
      <c r="B164" s="5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</row>
    <row r="165" spans="2:14" ht="16" x14ac:dyDescent="0.35">
      <c r="B165" s="5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</row>
    <row r="166" spans="2:14" ht="16" x14ac:dyDescent="0.35">
      <c r="B166" s="5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</row>
    <row r="167" spans="2:14" ht="16" x14ac:dyDescent="0.35">
      <c r="B167" s="5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</row>
    <row r="168" spans="2:14" ht="16" x14ac:dyDescent="0.35">
      <c r="B168" s="5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</row>
    <row r="169" spans="2:14" ht="16" x14ac:dyDescent="0.35">
      <c r="B169" s="5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</row>
    <row r="170" spans="2:14" ht="16" x14ac:dyDescent="0.35">
      <c r="B170" s="5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</row>
    <row r="171" spans="2:14" ht="16" x14ac:dyDescent="0.35">
      <c r="B171" s="5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</row>
    <row r="172" spans="2:14" ht="16" x14ac:dyDescent="0.35">
      <c r="B172" s="5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</row>
    <row r="173" spans="2:14" ht="16" x14ac:dyDescent="0.35">
      <c r="B173" s="5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</row>
    <row r="174" spans="2:14" ht="16" x14ac:dyDescent="0.35">
      <c r="B174" s="5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</row>
    <row r="175" spans="2:14" ht="16" x14ac:dyDescent="0.35">
      <c r="B175" s="5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</row>
    <row r="176" spans="2:14" ht="16" x14ac:dyDescent="0.35">
      <c r="B176" s="5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</row>
    <row r="177" spans="2:14" ht="16" x14ac:dyDescent="0.35">
      <c r="B177" s="5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</row>
    <row r="178" spans="2:14" ht="16" x14ac:dyDescent="0.35">
      <c r="B178" s="5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</row>
    <row r="179" spans="2:14" ht="16" x14ac:dyDescent="0.35">
      <c r="B179" s="5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</row>
    <row r="180" spans="2:14" ht="16" x14ac:dyDescent="0.35">
      <c r="B180" s="5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</row>
    <row r="181" spans="2:14" ht="16" x14ac:dyDescent="0.35">
      <c r="B181" s="5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</row>
    <row r="182" spans="2:14" ht="16" x14ac:dyDescent="0.35">
      <c r="B182" s="5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</row>
    <row r="183" spans="2:14" ht="16" x14ac:dyDescent="0.35">
      <c r="B183" s="5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</row>
    <row r="184" spans="2:14" ht="16" x14ac:dyDescent="0.35">
      <c r="B184" s="5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</row>
    <row r="185" spans="2:14" ht="16" x14ac:dyDescent="0.35">
      <c r="B185" s="5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</row>
    <row r="186" spans="2:14" ht="16" x14ac:dyDescent="0.35">
      <c r="B186" s="5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</row>
    <row r="187" spans="2:14" ht="16" x14ac:dyDescent="0.35">
      <c r="B187" s="5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</row>
    <row r="188" spans="2:14" ht="16" x14ac:dyDescent="0.35">
      <c r="B188" s="5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</row>
    <row r="189" spans="2:14" ht="16" x14ac:dyDescent="0.35">
      <c r="B189" s="5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</row>
    <row r="190" spans="2:14" ht="16" x14ac:dyDescent="0.35">
      <c r="B190" s="5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</row>
    <row r="191" spans="2:14" ht="16" x14ac:dyDescent="0.35">
      <c r="B191" s="5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</row>
    <row r="192" spans="2:14" ht="16" x14ac:dyDescent="0.35">
      <c r="B192" s="5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</row>
    <row r="193" spans="2:14" ht="16" x14ac:dyDescent="0.35">
      <c r="B193" s="5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</row>
    <row r="194" spans="2:14" ht="16" x14ac:dyDescent="0.35">
      <c r="B194" s="5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</row>
    <row r="195" spans="2:14" ht="16" x14ac:dyDescent="0.35">
      <c r="B195" s="5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</row>
    <row r="196" spans="2:14" ht="16" x14ac:dyDescent="0.35">
      <c r="B196" s="5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</row>
    <row r="197" spans="2:14" ht="16" x14ac:dyDescent="0.35">
      <c r="B197" s="5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</row>
    <row r="198" spans="2:14" ht="16" x14ac:dyDescent="0.35">
      <c r="B198" s="5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</row>
    <row r="199" spans="2:14" ht="16" x14ac:dyDescent="0.35">
      <c r="B199" s="5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</row>
    <row r="200" spans="2:14" ht="16" x14ac:dyDescent="0.35">
      <c r="B200" s="5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</row>
    <row r="201" spans="2:14" ht="16" x14ac:dyDescent="0.35">
      <c r="B201" s="5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</row>
    <row r="202" spans="2:14" ht="16" x14ac:dyDescent="0.35">
      <c r="B202" s="5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</row>
    <row r="203" spans="2:14" ht="16" x14ac:dyDescent="0.35">
      <c r="B203" s="5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</row>
    <row r="204" spans="2:14" ht="16" x14ac:dyDescent="0.35">
      <c r="B204" s="5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</row>
    <row r="205" spans="2:14" ht="16" x14ac:dyDescent="0.35">
      <c r="B205" s="5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</row>
    <row r="206" spans="2:14" ht="16" x14ac:dyDescent="0.35">
      <c r="B206" s="5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</row>
    <row r="207" spans="2:14" ht="16" x14ac:dyDescent="0.35">
      <c r="B207" s="5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</row>
    <row r="208" spans="2:14" ht="16" x14ac:dyDescent="0.35">
      <c r="B208" s="5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</row>
    <row r="209" spans="2:14" ht="16" x14ac:dyDescent="0.35">
      <c r="B209" s="5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</row>
    <row r="210" spans="2:14" ht="16" x14ac:dyDescent="0.35">
      <c r="B210" s="5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</row>
    <row r="211" spans="2:14" ht="16" x14ac:dyDescent="0.35">
      <c r="B211" s="5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</row>
    <row r="212" spans="2:14" ht="16" x14ac:dyDescent="0.35">
      <c r="B212" s="5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</row>
    <row r="213" spans="2:14" ht="16" x14ac:dyDescent="0.35">
      <c r="B213" s="5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</row>
    <row r="214" spans="2:14" ht="16" x14ac:dyDescent="0.35">
      <c r="B214" s="5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</row>
    <row r="215" spans="2:14" ht="16" x14ac:dyDescent="0.35">
      <c r="B215" s="5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</row>
    <row r="216" spans="2:14" ht="16" x14ac:dyDescent="0.35">
      <c r="B216" s="5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</row>
    <row r="217" spans="2:14" ht="16" x14ac:dyDescent="0.35">
      <c r="B217" s="5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</row>
    <row r="218" spans="2:14" ht="16" x14ac:dyDescent="0.35">
      <c r="B218" s="5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</row>
    <row r="219" spans="2:14" ht="16" x14ac:dyDescent="0.35">
      <c r="B219" s="5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</row>
    <row r="220" spans="2:14" ht="16" x14ac:dyDescent="0.35">
      <c r="B220" s="5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</row>
    <row r="221" spans="2:14" ht="16" x14ac:dyDescent="0.35">
      <c r="B221" s="5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spans="2:14" ht="16" x14ac:dyDescent="0.35">
      <c r="B222" s="5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spans="2:14" ht="16" x14ac:dyDescent="0.35">
      <c r="B223" s="5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spans="2:14" ht="16" x14ac:dyDescent="0.35">
      <c r="B224" s="5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spans="2:14" ht="16" x14ac:dyDescent="0.35">
      <c r="B225" s="5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spans="2:14" ht="16" x14ac:dyDescent="0.35">
      <c r="B226" s="5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spans="2:14" ht="16" x14ac:dyDescent="0.35">
      <c r="B227" s="5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spans="2:14" ht="16" x14ac:dyDescent="0.35">
      <c r="B228" s="5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spans="2:14" ht="16" x14ac:dyDescent="0.35">
      <c r="B229" s="5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spans="2:14" ht="16" x14ac:dyDescent="0.35">
      <c r="B230" s="5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spans="2:14" ht="16" x14ac:dyDescent="0.35">
      <c r="B231" s="5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spans="2:14" ht="16" x14ac:dyDescent="0.35">
      <c r="B232" s="5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spans="2:14" ht="16" x14ac:dyDescent="0.35">
      <c r="B233" s="5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spans="2:14" ht="16" x14ac:dyDescent="0.35">
      <c r="B234" s="5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spans="2:14" ht="16" x14ac:dyDescent="0.35">
      <c r="B235" s="5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spans="2:14" ht="16" x14ac:dyDescent="0.35">
      <c r="B236" s="5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spans="2:14" ht="16" x14ac:dyDescent="0.35">
      <c r="B237" s="5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spans="2:14" ht="16" x14ac:dyDescent="0.35">
      <c r="B238" s="5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spans="2:14" ht="16" x14ac:dyDescent="0.35">
      <c r="B239" s="5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spans="2:14" ht="16" x14ac:dyDescent="0.35">
      <c r="B240" s="5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spans="2:14" ht="16" x14ac:dyDescent="0.35">
      <c r="B241" s="5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spans="2:14" ht="16" x14ac:dyDescent="0.35">
      <c r="B242" s="5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spans="2:14" ht="16" x14ac:dyDescent="0.35">
      <c r="B243" s="5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spans="2:14" ht="16" x14ac:dyDescent="0.35">
      <c r="B244" s="5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spans="2:14" ht="16" x14ac:dyDescent="0.35">
      <c r="B245" s="5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spans="2:14" ht="16" x14ac:dyDescent="0.35">
      <c r="B246" s="5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spans="2:14" ht="16" x14ac:dyDescent="0.35">
      <c r="B247" s="5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spans="2:14" ht="16" x14ac:dyDescent="0.35">
      <c r="B248" s="5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spans="2:14" ht="16" x14ac:dyDescent="0.35">
      <c r="B249" s="5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spans="2:14" ht="16" x14ac:dyDescent="0.35">
      <c r="B250" s="5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spans="2:14" ht="16" x14ac:dyDescent="0.35">
      <c r="B251" s="5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spans="2:14" ht="16" x14ac:dyDescent="0.35">
      <c r="B252" s="5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spans="2:14" ht="16" x14ac:dyDescent="0.35">
      <c r="B253" s="5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spans="2:14" ht="16" x14ac:dyDescent="0.35">
      <c r="B254" s="5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spans="2:14" ht="16" x14ac:dyDescent="0.35">
      <c r="B255" s="5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spans="2:14" ht="16" x14ac:dyDescent="0.35">
      <c r="B256" s="5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spans="2:14" ht="16" x14ac:dyDescent="0.35">
      <c r="B257" s="5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spans="2:14" ht="16" x14ac:dyDescent="0.35">
      <c r="B258" s="5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spans="2:14" ht="16" x14ac:dyDescent="0.35">
      <c r="B259" s="5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spans="2:14" ht="16" x14ac:dyDescent="0.35">
      <c r="B260" s="5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spans="2:14" ht="16" x14ac:dyDescent="0.35">
      <c r="B261" s="5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spans="2:14" ht="16" x14ac:dyDescent="0.35">
      <c r="B262" s="5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spans="2:14" ht="16" x14ac:dyDescent="0.35">
      <c r="B263" s="5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spans="2:14" ht="16" x14ac:dyDescent="0.35">
      <c r="B264" s="5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spans="2:14" ht="16" x14ac:dyDescent="0.35">
      <c r="B265" s="5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spans="2:14" ht="16" x14ac:dyDescent="0.35">
      <c r="B266" s="5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spans="2:14" ht="16" x14ac:dyDescent="0.35">
      <c r="B267" s="5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spans="2:14" ht="16" x14ac:dyDescent="0.35">
      <c r="B268" s="5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spans="2:14" ht="16" x14ac:dyDescent="0.35">
      <c r="B269" s="5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spans="2:14" ht="16" x14ac:dyDescent="0.35">
      <c r="B270" s="5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spans="2:14" ht="16" x14ac:dyDescent="0.35">
      <c r="B271" s="5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spans="2:14" ht="16" x14ac:dyDescent="0.35">
      <c r="B272" s="5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spans="2:14" ht="16" x14ac:dyDescent="0.35">
      <c r="B273" s="5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spans="2:14" ht="16" x14ac:dyDescent="0.35">
      <c r="B274" s="5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spans="2:14" ht="16" x14ac:dyDescent="0.35">
      <c r="B275" s="5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spans="2:14" ht="16" x14ac:dyDescent="0.35">
      <c r="B276" s="5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spans="2:14" ht="16" x14ac:dyDescent="0.35">
      <c r="B277" s="5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spans="2:14" ht="16" x14ac:dyDescent="0.35">
      <c r="B278" s="5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spans="2:14" ht="16" x14ac:dyDescent="0.35">
      <c r="B279" s="5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spans="2:14" ht="16" x14ac:dyDescent="0.35">
      <c r="B280" s="5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spans="2:14" ht="16" x14ac:dyDescent="0.35">
      <c r="B281" s="5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spans="2:14" ht="16" x14ac:dyDescent="0.35">
      <c r="B282" s="5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spans="2:14" ht="16" x14ac:dyDescent="0.35">
      <c r="B283" s="5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spans="2:14" ht="16" x14ac:dyDescent="0.35">
      <c r="B284" s="5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spans="2:14" ht="16" x14ac:dyDescent="0.35">
      <c r="B285" s="5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spans="2:14" ht="16" x14ac:dyDescent="0.35">
      <c r="B286" s="5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spans="2:14" ht="16" x14ac:dyDescent="0.35">
      <c r="B287" s="5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spans="2:14" ht="16" x14ac:dyDescent="0.35">
      <c r="B288" s="5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spans="2:14" ht="16" x14ac:dyDescent="0.35">
      <c r="B289" s="5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spans="2:14" ht="16" x14ac:dyDescent="0.35">
      <c r="B290" s="5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spans="2:14" ht="16" x14ac:dyDescent="0.35">
      <c r="B291" s="5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spans="2:14" ht="16" x14ac:dyDescent="0.35">
      <c r="B292" s="5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spans="2:14" ht="16" x14ac:dyDescent="0.35">
      <c r="B293" s="5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spans="2:14" ht="16" x14ac:dyDescent="0.35">
      <c r="B294" s="5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spans="2:14" ht="16" x14ac:dyDescent="0.35">
      <c r="B295" s="5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spans="2:14" ht="16" x14ac:dyDescent="0.35">
      <c r="B296" s="5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spans="2:14" ht="16" x14ac:dyDescent="0.35">
      <c r="B297" s="5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spans="2:14" ht="16" x14ac:dyDescent="0.35">
      <c r="B298" s="5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spans="2:14" ht="16" x14ac:dyDescent="0.35">
      <c r="B299" s="5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spans="2:14" ht="16" x14ac:dyDescent="0.35">
      <c r="B300" s="5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spans="2:14" ht="16" x14ac:dyDescent="0.35">
      <c r="B301" s="5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spans="2:14" ht="16" x14ac:dyDescent="0.35">
      <c r="B302" s="5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spans="2:14" ht="16" x14ac:dyDescent="0.35">
      <c r="B303" s="5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spans="2:14" ht="16" x14ac:dyDescent="0.35">
      <c r="B304" s="5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spans="2:14" ht="16" x14ac:dyDescent="0.35">
      <c r="B305" s="5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spans="2:14" ht="16" x14ac:dyDescent="0.35">
      <c r="B306" s="5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spans="2:14" ht="16" x14ac:dyDescent="0.35">
      <c r="B307" s="5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spans="2:14" ht="16" x14ac:dyDescent="0.35">
      <c r="B308" s="5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spans="2:14" ht="16" x14ac:dyDescent="0.35">
      <c r="B309" s="5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spans="2:14" ht="16" x14ac:dyDescent="0.35">
      <c r="B310" s="5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spans="2:14" ht="16" x14ac:dyDescent="0.35">
      <c r="B311" s="5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spans="2:14" ht="16" x14ac:dyDescent="0.35">
      <c r="B312" s="5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spans="2:14" ht="16" x14ac:dyDescent="0.35">
      <c r="B313" s="5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spans="2:14" ht="16" x14ac:dyDescent="0.35">
      <c r="B314" s="5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spans="2:14" ht="16" x14ac:dyDescent="0.35">
      <c r="B315" s="5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spans="2:14" ht="16" x14ac:dyDescent="0.35">
      <c r="B316" s="5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spans="2:14" ht="16" x14ac:dyDescent="0.35">
      <c r="B317" s="5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spans="2:14" ht="16" x14ac:dyDescent="0.35">
      <c r="B318" s="5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spans="2:14" ht="16" x14ac:dyDescent="0.35">
      <c r="B319" s="5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spans="2:14" ht="16" x14ac:dyDescent="0.35">
      <c r="B320" s="5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spans="2:14" ht="16" x14ac:dyDescent="0.35">
      <c r="B321" s="5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spans="2:14" ht="16" x14ac:dyDescent="0.35">
      <c r="B322" s="5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spans="2:14" ht="16" x14ac:dyDescent="0.35">
      <c r="B323" s="5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spans="2:14" ht="16" x14ac:dyDescent="0.35">
      <c r="B324" s="5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spans="2:14" ht="16" x14ac:dyDescent="0.35">
      <c r="B325" s="5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spans="2:14" ht="16" x14ac:dyDescent="0.35">
      <c r="B326" s="5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spans="2:14" ht="16" x14ac:dyDescent="0.35">
      <c r="B327" s="5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spans="2:14" ht="16" x14ac:dyDescent="0.35">
      <c r="B328" s="5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spans="2:14" ht="16" x14ac:dyDescent="0.35">
      <c r="B329" s="5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spans="2:14" ht="16" x14ac:dyDescent="0.35">
      <c r="B330" s="5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spans="2:14" ht="16" x14ac:dyDescent="0.35">
      <c r="B331" s="5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spans="2:14" ht="16" x14ac:dyDescent="0.35">
      <c r="B332" s="5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spans="2:14" ht="16" x14ac:dyDescent="0.35">
      <c r="B333" s="5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spans="2:14" ht="16" x14ac:dyDescent="0.35">
      <c r="B334" s="5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spans="2:14" ht="16" x14ac:dyDescent="0.35">
      <c r="B335" s="5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spans="2:14" ht="16" x14ac:dyDescent="0.35">
      <c r="B336" s="5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spans="2:14" ht="16" x14ac:dyDescent="0.35">
      <c r="B337" s="5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spans="2:14" ht="16" x14ac:dyDescent="0.35">
      <c r="B338" s="5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spans="2:14" ht="16" x14ac:dyDescent="0.35">
      <c r="B339" s="5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spans="2:14" ht="16" x14ac:dyDescent="0.35">
      <c r="B340" s="5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spans="2:14" ht="16" x14ac:dyDescent="0.35">
      <c r="B341" s="5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spans="2:14" ht="16" x14ac:dyDescent="0.35">
      <c r="B342" s="5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</sheetData>
  <sheetProtection sheet="1" objects="1" scenarios="1" formatColumns="0" selectLockedCells="1"/>
  <mergeCells count="54">
    <mergeCell ref="D33:E33"/>
    <mergeCell ref="D20:E20"/>
    <mergeCell ref="D6:E6"/>
    <mergeCell ref="D8:E8"/>
    <mergeCell ref="D9:E9"/>
    <mergeCell ref="D10:E10"/>
    <mergeCell ref="D11:E11"/>
    <mergeCell ref="D12:E12"/>
    <mergeCell ref="D14:E14"/>
    <mergeCell ref="D15:E15"/>
    <mergeCell ref="D16:E16"/>
    <mergeCell ref="D17:E17"/>
    <mergeCell ref="D19:E19"/>
    <mergeCell ref="D13:E13"/>
    <mergeCell ref="D18:E18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58:E58"/>
    <mergeCell ref="D59:E59"/>
    <mergeCell ref="D60:E60"/>
    <mergeCell ref="D51:E51"/>
    <mergeCell ref="D52:E52"/>
    <mergeCell ref="D53:E53"/>
    <mergeCell ref="D54:E54"/>
    <mergeCell ref="D55:E55"/>
    <mergeCell ref="D56:E56"/>
    <mergeCell ref="D50:E50"/>
    <mergeCell ref="D57:E57"/>
    <mergeCell ref="D45:E45"/>
    <mergeCell ref="D46:E46"/>
    <mergeCell ref="D47:E47"/>
    <mergeCell ref="D48:E48"/>
    <mergeCell ref="D49:E49"/>
    <mergeCell ref="D44:E44"/>
    <mergeCell ref="D34:E34"/>
    <mergeCell ref="D35:E35"/>
    <mergeCell ref="D39:E39"/>
    <mergeCell ref="D40:E40"/>
    <mergeCell ref="D41:E41"/>
    <mergeCell ref="D42:E42"/>
    <mergeCell ref="D43:E43"/>
    <mergeCell ref="D36:E36"/>
    <mergeCell ref="D37:E37"/>
    <mergeCell ref="D38:E38"/>
  </mergeCells>
  <conditionalFormatting sqref="D8:E60">
    <cfRule type="expression" dxfId="90" priority="1">
      <formula>D8=0</formula>
    </cfRule>
  </conditionalFormatting>
  <printOptions horizontalCentered="1" verticalCentered="1"/>
  <pageMargins left="0.25" right="0.25" top="0.75" bottom="0.75" header="0.3" footer="0.3"/>
  <pageSetup scale="54" fitToHeight="0" orientation="landscape" r:id="rId1"/>
  <headerFooter>
    <oddHeader>&amp;R&amp;D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0"/>
  </sheetPr>
  <dimension ref="A1:U392"/>
  <sheetViews>
    <sheetView tabSelected="1" view="pageBreakPreview" topLeftCell="A44" zoomScale="60" zoomScaleNormal="100" workbookViewId="0">
      <selection activeCell="A11" sqref="A11"/>
    </sheetView>
  </sheetViews>
  <sheetFormatPr defaultColWidth="10.81640625" defaultRowHeight="16" outlineLevelCol="1" x14ac:dyDescent="0.35"/>
  <cols>
    <col min="1" max="1" width="15.54296875" style="34" bestFit="1" customWidth="1"/>
    <col min="2" max="2" width="11.1796875" style="34" customWidth="1"/>
    <col min="3" max="3" width="2.81640625" style="34" customWidth="1"/>
    <col min="4" max="4" width="37.81640625" style="34" customWidth="1"/>
    <col min="5" max="5" width="13.81640625" style="34" customWidth="1"/>
    <col min="6" max="6" width="13.54296875" style="34" customWidth="1"/>
    <col min="7" max="8" width="14.54296875" style="34" customWidth="1"/>
    <col min="9" max="9" width="13.54296875" style="34" customWidth="1"/>
    <col min="10" max="10" width="15.81640625" style="34" customWidth="1"/>
    <col min="11" max="11" width="12.81640625" style="34" bestFit="1" customWidth="1"/>
    <col min="12" max="12" width="13.54296875" style="34" customWidth="1"/>
    <col min="13" max="14" width="14.54296875" style="34" customWidth="1"/>
    <col min="15" max="15" width="17.1796875" style="34" customWidth="1"/>
    <col min="16" max="16" width="15.1796875" style="34" customWidth="1"/>
    <col min="17" max="17" width="16.81640625" style="34" bestFit="1" customWidth="1"/>
    <col min="18" max="18" width="17.54296875" style="34" hidden="1" customWidth="1" outlineLevel="1"/>
    <col min="19" max="19" width="15.1796875" style="330" hidden="1" customWidth="1" outlineLevel="1"/>
    <col min="20" max="20" width="9.81640625" style="54" bestFit="1" customWidth="1" collapsed="1"/>
    <col min="21" max="21" width="84.54296875" style="34" bestFit="1" customWidth="1"/>
    <col min="22" max="16384" width="10.81640625" style="34"/>
  </cols>
  <sheetData>
    <row r="1" spans="1:21" s="51" customFormat="1" ht="29" x14ac:dyDescent="0.25">
      <c r="B1" s="50" t="s">
        <v>360</v>
      </c>
      <c r="J1" s="52" t="s">
        <v>359</v>
      </c>
      <c r="Q1" s="53">
        <f>DATE(2026,1,1)</f>
        <v>46023</v>
      </c>
      <c r="R1" s="53"/>
      <c r="S1" s="367"/>
      <c r="T1" s="291"/>
    </row>
    <row r="2" spans="1:21" ht="18" x14ac:dyDescent="0.35">
      <c r="J2" s="86" t="s">
        <v>95</v>
      </c>
    </row>
    <row r="3" spans="1:21" ht="18" x14ac:dyDescent="0.35">
      <c r="Q3" s="467">
        <f>Q1</f>
        <v>46023</v>
      </c>
      <c r="R3" s="386" t="s">
        <v>504</v>
      </c>
      <c r="S3" s="387"/>
    </row>
    <row r="4" spans="1:21" s="39" customFormat="1" ht="18" x14ac:dyDescent="0.35">
      <c r="B4" s="550">
        <f>'Renew &amp; Vac'!A6+'Renew &amp; Vac'!A28+'Renew &amp; Vac'!A50+'Renew &amp; Vac'!A72+'Renew &amp; Vac'!A94+'Renew &amp; Vac'!A116+'Renew &amp; Vac'!A138</f>
        <v>397315</v>
      </c>
      <c r="C4" s="550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167" t="s">
        <v>12</v>
      </c>
      <c r="R4" s="356" t="s">
        <v>12</v>
      </c>
      <c r="S4" s="368" t="s">
        <v>503</v>
      </c>
      <c r="T4" s="292" t="s">
        <v>449</v>
      </c>
      <c r="U4" s="297" t="s">
        <v>370</v>
      </c>
    </row>
    <row r="5" spans="1:21" x14ac:dyDescent="0.35">
      <c r="Q5" s="168"/>
      <c r="R5" s="357"/>
      <c r="S5" s="369"/>
      <c r="T5" s="294"/>
      <c r="U5" s="38"/>
    </row>
    <row r="6" spans="1:21" s="56" customFormat="1" x14ac:dyDescent="0.35">
      <c r="B6" s="57"/>
      <c r="D6" s="58" t="s">
        <v>13</v>
      </c>
      <c r="E6" s="56">
        <f>SUM('4050'!E7,'4060'!E7,'4070'!E7,'4080'!E7,'40A0'!E7,'40B0'!E7,'40C0'!E7)/$B$4</f>
        <v>0.66691789839296267</v>
      </c>
      <c r="F6" s="56">
        <f>SUM('4050'!F7,'4060'!F7,'4070'!F7,'4080'!F7,'40A0'!F7,'40B0'!F7,'40C0'!F7)/$B$4</f>
        <v>0.66852750084945201</v>
      </c>
      <c r="G6" s="56">
        <f>SUM('4050'!G7,'4060'!G7,'4070'!G7,'4080'!G7,'40A0'!G7,'40B0'!G7,'40C0'!G7)/$B$4</f>
        <v>0.6736759800158566</v>
      </c>
      <c r="H6" s="56">
        <f>SUM('4050'!H7,'4060'!H7,'4070'!H7,'4080'!H7,'40A0'!H7,'40B0'!H7,'40C0'!H7)/$B$4</f>
        <v>0.68748834954632976</v>
      </c>
      <c r="I6" s="56">
        <f>SUM('4050'!I7,'4060'!I7,'4070'!I7,'4080'!I7,'40A0'!I7,'40B0'!I7,'40C0'!I7)/$B$4</f>
        <v>0.68748834954632976</v>
      </c>
      <c r="J6" s="56">
        <f>SUM('4050'!J7,'4060'!J7,'4070'!J7,'4080'!J7,'40A0'!J7,'40B0'!J7,'40C0'!J7)/$B$4</f>
        <v>0.68748834954632976</v>
      </c>
      <c r="K6" s="56">
        <f>SUM('4050'!K7,'4060'!K7,'4070'!K7,'4080'!K7,'40A0'!K7,'40B0'!K7,'40C0'!K7)/$B$4</f>
        <v>0.68375786869360589</v>
      </c>
      <c r="L6" s="56">
        <f>SUM('4050'!L7,'4060'!L7,'4070'!L7,'4080'!L7,'40A0'!L7,'40B0'!L7,'40C0'!L7)/$B$4</f>
        <v>0.68375786869360589</v>
      </c>
      <c r="M6" s="56">
        <f>SUM('4050'!M7,'4060'!M7,'4070'!M7,'4080'!M7,'40A0'!M7,'40B0'!M7,'40C0'!M7)/$B$4</f>
        <v>0.68255825931565639</v>
      </c>
      <c r="N6" s="56">
        <f>SUM('4050'!N7,'4060'!N7,'4070'!N7,'4080'!N7,'40A0'!N7,'40B0'!N7,'40C0'!N7)/$B$4</f>
        <v>0.68255825931565639</v>
      </c>
      <c r="O6" s="56">
        <f>SUM('4050'!O7,'4060'!O7,'4070'!O7,'4080'!O7,'40A0'!O7,'40B0'!O7,'40C0'!O7)/$B$4</f>
        <v>0.67568854183708138</v>
      </c>
      <c r="P6" s="56">
        <f>SUM('4050'!P7,'4060'!P7,'4070'!P7,'4080'!P7,'40A0'!P7,'40B0'!P7,'40C0'!P7)/$B$4</f>
        <v>0.66519736531467466</v>
      </c>
      <c r="Q6" s="169"/>
      <c r="R6" s="358"/>
      <c r="S6" s="382"/>
      <c r="T6" s="298"/>
      <c r="U6" s="299"/>
    </row>
    <row r="7" spans="1:21" s="56" customFormat="1" x14ac:dyDescent="0.35">
      <c r="B7" s="57"/>
      <c r="D7" s="58"/>
      <c r="Q7" s="169"/>
      <c r="R7" s="358"/>
      <c r="S7" s="382"/>
      <c r="T7" s="298"/>
      <c r="U7" s="299"/>
    </row>
    <row r="8" spans="1:21" ht="18" x14ac:dyDescent="0.35">
      <c r="B8" s="35" t="s">
        <v>14</v>
      </c>
      <c r="Q8" s="168"/>
      <c r="R8" s="357"/>
      <c r="S8" s="369"/>
      <c r="T8" s="294"/>
      <c r="U8" s="38"/>
    </row>
    <row r="9" spans="1:21" x14ac:dyDescent="0.35">
      <c r="Q9" s="168"/>
      <c r="R9" s="357"/>
      <c r="S9" s="369"/>
      <c r="T9" s="294"/>
      <c r="U9" s="38"/>
    </row>
    <row r="10" spans="1:21" x14ac:dyDescent="0.35">
      <c r="A10" s="110" t="s">
        <v>136</v>
      </c>
      <c r="C10" s="34" t="s">
        <v>163</v>
      </c>
      <c r="E10" s="34">
        <f>+'4050'!E10+'4060'!E10+'4070'!E10+'4080'!E10+'40A0'!E10+'40B0'!E10+'40C0'!E10+'4000'!E9</f>
        <v>293482.04000000004</v>
      </c>
      <c r="F10" s="34">
        <f>+'4050'!F10+'4060'!F10+'4070'!F10+'4080'!F10+'40A0'!F10+'40B0'!F10+'40C0'!F10+'4000'!F9</f>
        <v>291222.19000000006</v>
      </c>
      <c r="G10" s="34">
        <f>+'4050'!G10+'4060'!G10+'4070'!G10+'4080'!G10+'40A0'!G10+'40B0'!G10+'40C0'!G10+'4000'!G9</f>
        <v>291487.24000000005</v>
      </c>
      <c r="H10" s="34">
        <f>+'4050'!H10+'4060'!H10+'4070'!H10+'4080'!H10+'40A0'!H10+'40B0'!H10+'40C0'!H10+'4000'!H9</f>
        <v>279312.18</v>
      </c>
      <c r="I10" s="34">
        <f>+'4050'!I10+'4060'!I10+'4070'!I10+'4080'!I10+'40A0'!I10+'40B0'!I10+'40C0'!I10+'4000'!I9</f>
        <v>280119.76</v>
      </c>
      <c r="J10" s="34">
        <f>+'4050'!J10+'4060'!J10+'4070'!J10+'4080'!J10+'40A0'!J10+'40B0'!J10+'40C0'!J10+'4000'!J9</f>
        <v>280257.60000000003</v>
      </c>
      <c r="K10" s="34">
        <f>+'4050'!K10+'4060'!K10+'4070'!K10+'4080'!K10+'40A0'!K10+'40B0'!K10+'40C0'!K10+'4000'!K9</f>
        <v>220520.84999999998</v>
      </c>
      <c r="L10" s="34">
        <f>+'4050'!L10+'4060'!L10+'4070'!L10+'4080'!L10+'40A0'!L10+'40B0'!L10+'40C0'!L10+'4000'!L9</f>
        <v>219090.56</v>
      </c>
      <c r="M10" s="34">
        <f>+'4050'!M10+'4060'!M10+'4070'!M10+'4080'!M10+'40A0'!M10+'40B0'!M10+'40C0'!M10+'4000'!M9</f>
        <v>213166.56</v>
      </c>
      <c r="N10" s="34">
        <f>+'4050'!N10+'4060'!N10+'4070'!N10+'4080'!N10+'40A0'!N10+'40B0'!N10+'40C0'!N10+'4000'!N9</f>
        <v>197626.31</v>
      </c>
      <c r="O10" s="34">
        <f>+'4050'!O10+'4060'!O10+'4070'!O10+'4080'!O10+'40A0'!O10+'40B0'!O10+'40C0'!O10+'4000'!O9</f>
        <v>194774.44999999998</v>
      </c>
      <c r="P10" s="34">
        <f>+'4050'!P10+'4060'!P10+'4070'!P10+'4080'!P10+'40A0'!P10+'40B0'!P10+'40C0'!P10+'4000'!P9</f>
        <v>192534.81999999998</v>
      </c>
      <c r="Q10" s="168">
        <f>SUM(E10:P10)</f>
        <v>2953594.5600000005</v>
      </c>
      <c r="R10" s="357">
        <v>4725706</v>
      </c>
      <c r="S10" s="372">
        <f>(Q10+Q11)/R10-1</f>
        <v>-4.7732591525301404E-2</v>
      </c>
      <c r="T10" s="300"/>
      <c r="U10" s="38"/>
    </row>
    <row r="11" spans="1:21" x14ac:dyDescent="0.35">
      <c r="A11" s="110" t="s">
        <v>136</v>
      </c>
      <c r="C11" s="34" t="s">
        <v>164</v>
      </c>
      <c r="E11" s="34">
        <f>+'4050'!E11+'4060'!E11+'4070'!E11+'4080'!E11+'40A0'!E11+'40B0'!E11+'40C0'!E11+'4000'!E10</f>
        <v>82100.625</v>
      </c>
      <c r="F11" s="34">
        <f>+'4050'!F11+'4060'!F11+'4070'!F11+'4080'!F11+'40A0'!F11+'40B0'!F11+'40C0'!F11+'4000'!F10</f>
        <v>85400.0625</v>
      </c>
      <c r="G11" s="34">
        <f>+'4050'!G11+'4060'!G11+'4070'!G11+'4080'!G11+'40A0'!G11+'40B0'!G11+'40C0'!G11+'4000'!G10</f>
        <v>88907.272499999992</v>
      </c>
      <c r="H11" s="34">
        <f>+'4050'!H11+'4060'!H11+'4070'!H11+'4080'!H11+'40A0'!H11+'40B0'!H11+'40C0'!H11+'4000'!H10</f>
        <v>105864.77249999999</v>
      </c>
      <c r="I11" s="34">
        <f>+'4050'!I11+'4060'!I11+'4070'!I11+'4080'!I11+'40A0'!I11+'40B0'!I11+'40C0'!I11+'4000'!I10</f>
        <v>105864.77249999999</v>
      </c>
      <c r="J11" s="34">
        <f>+'4050'!J11+'4060'!J11+'4070'!J11+'4080'!J11+'40A0'!J11+'40B0'!J11+'40C0'!J11+'4000'!J10</f>
        <v>105864.77249999999</v>
      </c>
      <c r="K11" s="34">
        <f>+'4050'!K11+'4060'!K11+'4070'!K11+'4080'!K11+'40A0'!K11+'40B0'!K11+'40C0'!K11+'4000'!K10</f>
        <v>150605.43916666668</v>
      </c>
      <c r="L11" s="34">
        <f>+'4050'!L11+'4060'!L11+'4070'!L11+'4080'!L11+'40A0'!L11+'40B0'!L11+'40C0'!L11+'4000'!L10</f>
        <v>152343.93916666668</v>
      </c>
      <c r="M11" s="34">
        <f>+'4050'!M11+'4060'!M11+'4070'!M11+'4080'!M11+'40A0'!M11+'40B0'!M11+'40C0'!M11+'4000'!M10</f>
        <v>157719.23083333333</v>
      </c>
      <c r="N11" s="34">
        <f>+'4050'!N11+'4060'!N11+'4070'!N11+'4080'!N11+'40A0'!N11+'40B0'!N11+'40C0'!N11+'4000'!N10</f>
        <v>172684.48083333333</v>
      </c>
      <c r="O11" s="34">
        <f>+'4050'!O11+'4060'!O11+'4070'!O11+'4080'!O11+'40A0'!O11+'40B0'!O11+'40C0'!O11+'4000'!O10</f>
        <v>171688.64750000002</v>
      </c>
      <c r="P11" s="34">
        <f>+'4050'!P11+'4060'!P11+'4070'!P11+'4080'!P11+'40A0'!P11+'40B0'!P11+'40C0'!P11+'4000'!P10</f>
        <v>167497.23083333336</v>
      </c>
      <c r="Q11" s="168">
        <f>SUM(E11:P11)</f>
        <v>1546541.2458333336</v>
      </c>
      <c r="R11" s="357"/>
      <c r="S11" s="372"/>
      <c r="T11" s="300"/>
      <c r="U11" s="38"/>
    </row>
    <row r="12" spans="1:21" hidden="1" x14ac:dyDescent="0.35">
      <c r="A12" s="110" t="s">
        <v>101</v>
      </c>
      <c r="C12" s="34" t="s">
        <v>16</v>
      </c>
      <c r="E12" s="34">
        <f>+'4050'!E12+'4060'!E12+'4070'!E12+'4080'!E12+'40A0'!E12+'40B0'!E12+'40C0'!E12+'4000'!E10</f>
        <v>0</v>
      </c>
      <c r="F12" s="34">
        <f>+'4050'!F12+'4060'!F12+'4070'!F12+'4080'!F12+'40A0'!F12+'40B0'!F12+'40C0'!F12+'4000'!F10</f>
        <v>0</v>
      </c>
      <c r="G12" s="34">
        <f>+'4050'!G12+'4060'!G12+'4070'!G12+'4080'!G12+'40A0'!G12+'40B0'!G12+'40C0'!G12+'4000'!G10</f>
        <v>0</v>
      </c>
      <c r="H12" s="34">
        <f>+'4050'!H12+'4060'!H12+'4070'!H12+'4080'!H12+'40A0'!H12+'40B0'!H12+'40C0'!H12+'4000'!H10</f>
        <v>0</v>
      </c>
      <c r="I12" s="34">
        <f>+'4050'!I12+'4060'!I12+'4070'!I12+'4080'!I12+'40A0'!I12+'40B0'!I12+'40C0'!I12+'4000'!I10</f>
        <v>0</v>
      </c>
      <c r="J12" s="34">
        <f>+'4050'!J12+'4060'!J12+'4070'!J12+'4080'!J12+'40A0'!J12+'40B0'!J12+'40C0'!J12+'4000'!J10</f>
        <v>0</v>
      </c>
      <c r="K12" s="34">
        <f>+'4050'!K12+'4060'!K12+'4070'!K12+'4080'!K12+'40A0'!K12+'40B0'!K12+'40C0'!K12+'4000'!K10</f>
        <v>0</v>
      </c>
      <c r="L12" s="34">
        <f>+'4050'!L12+'4060'!L12+'4070'!L12+'4080'!L12+'40A0'!L12+'40B0'!L12+'40C0'!L12+'4000'!L10</f>
        <v>0</v>
      </c>
      <c r="M12" s="34">
        <f>+'4050'!M12+'4060'!M12+'4070'!M12+'4080'!M12+'40A0'!M12+'40B0'!M12+'40C0'!M12+'4000'!M10</f>
        <v>0</v>
      </c>
      <c r="N12" s="34">
        <f>+'4050'!N12+'4060'!N12+'4070'!N12+'4080'!N12+'40A0'!N12+'40B0'!N12+'40C0'!N12+'4000'!N10</f>
        <v>0</v>
      </c>
      <c r="O12" s="34">
        <f>+'4050'!O12+'4060'!O12+'4070'!O12+'4080'!O12+'40A0'!O12+'40B0'!O12+'40C0'!O12+'4000'!O10</f>
        <v>0</v>
      </c>
      <c r="P12" s="34">
        <f>+'4050'!P12+'4060'!P12+'4070'!P12+'4080'!P12+'40A0'!P12+'40B0'!P12+'40C0'!P12+'4000'!P10</f>
        <v>0</v>
      </c>
      <c r="Q12" s="168">
        <f>SUM(E12:P12)</f>
        <v>0</v>
      </c>
      <c r="R12" s="357"/>
      <c r="S12" s="372" t="e">
        <f t="shared" ref="S12:S71" si="0">Q12/R12-1</f>
        <v>#DIV/0!</v>
      </c>
      <c r="T12" s="300"/>
      <c r="U12" s="38"/>
    </row>
    <row r="13" spans="1:21" x14ac:dyDescent="0.35">
      <c r="A13" s="110" t="s">
        <v>137</v>
      </c>
      <c r="C13" s="34" t="s">
        <v>17</v>
      </c>
      <c r="E13" s="34">
        <f>+'4050'!E13+'4060'!E13+'4070'!E13+'4080'!E13+'40A0'!E13+'40B0'!E13+'40C0'!E13+'4000'!E11</f>
        <v>200</v>
      </c>
      <c r="F13" s="34">
        <f>+'4050'!F13+'4060'!F13+'4070'!F13+'4080'!F13+'40A0'!F13+'40B0'!F13+'40C0'!F13+'4000'!F11</f>
        <v>200</v>
      </c>
      <c r="G13" s="34">
        <f>+'4050'!G13+'4060'!G13+'4070'!G13+'4080'!G13+'40A0'!G13+'40B0'!G13+'40C0'!G13+'4000'!G11</f>
        <v>5200</v>
      </c>
      <c r="H13" s="34">
        <f>+'4050'!H13+'4060'!H13+'4070'!H13+'4080'!H13+'40A0'!H13+'40B0'!H13+'40C0'!H13+'4000'!H11</f>
        <v>200</v>
      </c>
      <c r="I13" s="34">
        <f>+'4050'!I13+'4060'!I13+'4070'!I13+'4080'!I13+'40A0'!I13+'40B0'!I13+'40C0'!I13+'4000'!I11</f>
        <v>200</v>
      </c>
      <c r="J13" s="34">
        <f>+'4050'!J13+'4060'!J13+'4070'!J13+'4080'!J13+'40A0'!J13+'40B0'!J13+'40C0'!J13+'4000'!J11</f>
        <v>5200</v>
      </c>
      <c r="K13" s="34">
        <f>+'4050'!K13+'4060'!K13+'4070'!K13+'4080'!K13+'40A0'!K13+'40B0'!K13+'40C0'!K13+'4000'!K11</f>
        <v>200</v>
      </c>
      <c r="L13" s="34">
        <f>+'4050'!L13+'4060'!L13+'4070'!L13+'4080'!L13+'40A0'!L13+'40B0'!L13+'40C0'!L13+'4000'!L11</f>
        <v>200</v>
      </c>
      <c r="M13" s="34">
        <f>+'4050'!M13+'4060'!M13+'4070'!M13+'4080'!M13+'40A0'!M13+'40B0'!M13+'40C0'!M13+'4000'!M11</f>
        <v>5200</v>
      </c>
      <c r="N13" s="34">
        <f>+'4050'!N13+'4060'!N13+'4070'!N13+'4080'!N13+'40A0'!N13+'40B0'!N13+'40C0'!N13+'4000'!N11</f>
        <v>200</v>
      </c>
      <c r="O13" s="34">
        <f>+'4050'!O13+'4060'!O13+'4070'!O13+'4080'!O13+'40A0'!O13+'40B0'!O13+'40C0'!O13+'4000'!O11</f>
        <v>200</v>
      </c>
      <c r="P13" s="34">
        <f>+'4050'!P13+'4060'!P13+'4070'!P13+'4080'!P13+'40A0'!P13+'40B0'!P13+'40C0'!P13+'4000'!P11</f>
        <v>5200</v>
      </c>
      <c r="Q13" s="168">
        <f>SUM(E13:P13)</f>
        <v>22400</v>
      </c>
      <c r="R13" s="357"/>
      <c r="S13" s="372" t="e">
        <f t="shared" si="0"/>
        <v>#DIV/0!</v>
      </c>
      <c r="T13" s="300" t="s">
        <v>371</v>
      </c>
      <c r="U13" s="38" t="s">
        <v>453</v>
      </c>
    </row>
    <row r="14" spans="1:21" x14ac:dyDescent="0.35">
      <c r="A14" s="110" t="s">
        <v>138</v>
      </c>
      <c r="C14" s="34" t="s">
        <v>18</v>
      </c>
      <c r="E14" s="34">
        <f>+'4050'!E14+'4060'!E14+'4070'!E14+'4080'!E14+'40A0'!E14+'40B0'!E14+'40C0'!E14+'4000'!E12</f>
        <v>207</v>
      </c>
      <c r="F14" s="34">
        <f>+'4050'!F14+'4060'!F14+'4070'!F14+'4080'!F14+'40A0'!F14+'40B0'!F14+'40C0'!F14+'4000'!F12</f>
        <v>207</v>
      </c>
      <c r="G14" s="34">
        <f>+'4050'!G14+'4060'!G14+'4070'!G14+'4080'!G14+'40A0'!G14+'40B0'!G14+'40C0'!G14+'4000'!G12</f>
        <v>207</v>
      </c>
      <c r="H14" s="34">
        <f>+'4050'!H14+'4060'!H14+'4070'!H14+'4080'!H14+'40A0'!H14+'40B0'!H14+'40C0'!H14+'4000'!H12</f>
        <v>207</v>
      </c>
      <c r="I14" s="34">
        <f>+'4050'!I14+'4060'!I14+'4070'!I14+'4080'!I14+'40A0'!I14+'40B0'!I14+'40C0'!I14+'4000'!I12</f>
        <v>207</v>
      </c>
      <c r="J14" s="34">
        <f>+'4050'!J14+'4060'!J14+'4070'!J14+'4080'!J14+'40A0'!J14+'40B0'!J14+'40C0'!J14+'4000'!J12</f>
        <v>207</v>
      </c>
      <c r="K14" s="34">
        <f>+'4050'!K14+'4060'!K14+'4070'!K14+'4080'!K14+'40A0'!K14+'40B0'!K14+'40C0'!K14+'4000'!K12</f>
        <v>207</v>
      </c>
      <c r="L14" s="34">
        <f>+'4050'!L14+'4060'!L14+'4070'!L14+'4080'!L14+'40A0'!L14+'40B0'!L14+'40C0'!L14+'4000'!L12</f>
        <v>207</v>
      </c>
      <c r="M14" s="34">
        <f>+'4050'!M14+'4060'!M14+'4070'!M14+'4080'!M14+'40A0'!M14+'40B0'!M14+'40C0'!M14+'4000'!M12</f>
        <v>207</v>
      </c>
      <c r="N14" s="34">
        <f>+'4050'!N14+'4060'!N14+'4070'!N14+'4080'!N14+'40A0'!N14+'40B0'!N14+'40C0'!N14+'4000'!N12</f>
        <v>207</v>
      </c>
      <c r="O14" s="34">
        <f>+'4050'!O14+'4060'!O14+'4070'!O14+'4080'!O14+'40A0'!O14+'40B0'!O14+'40C0'!O14+'4000'!O12</f>
        <v>207</v>
      </c>
      <c r="P14" s="34">
        <f>+'4050'!P14+'4060'!P14+'4070'!P14+'4080'!P14+'40A0'!P14+'40B0'!P14+'40C0'!P14+'4000'!P12</f>
        <v>207</v>
      </c>
      <c r="Q14" s="168">
        <f>SUM(E14:P14)</f>
        <v>2484</v>
      </c>
      <c r="R14" s="357">
        <v>0</v>
      </c>
      <c r="S14" s="372"/>
      <c r="T14" s="300" t="s">
        <v>371</v>
      </c>
      <c r="U14" s="38" t="s">
        <v>452</v>
      </c>
    </row>
    <row r="15" spans="1:21" s="36" customFormat="1" x14ac:dyDescent="0.35">
      <c r="A15" s="285"/>
      <c r="D15" s="41" t="s">
        <v>361</v>
      </c>
      <c r="E15" s="59">
        <f t="shared" ref="E15:R15" si="1">SUM(E10:E14)</f>
        <v>375989.66500000004</v>
      </c>
      <c r="F15" s="59">
        <f t="shared" si="1"/>
        <v>377029.25250000006</v>
      </c>
      <c r="G15" s="59">
        <f t="shared" si="1"/>
        <v>385801.51250000007</v>
      </c>
      <c r="H15" s="59">
        <f t="shared" si="1"/>
        <v>385583.95250000001</v>
      </c>
      <c r="I15" s="59">
        <f t="shared" si="1"/>
        <v>386391.53249999997</v>
      </c>
      <c r="J15" s="59">
        <f t="shared" si="1"/>
        <v>391529.37250000006</v>
      </c>
      <c r="K15" s="59">
        <f t="shared" si="1"/>
        <v>371533.28916666668</v>
      </c>
      <c r="L15" s="59">
        <f t="shared" si="1"/>
        <v>371841.49916666665</v>
      </c>
      <c r="M15" s="59">
        <f t="shared" si="1"/>
        <v>376292.79083333333</v>
      </c>
      <c r="N15" s="59">
        <f t="shared" si="1"/>
        <v>370717.79083333333</v>
      </c>
      <c r="O15" s="59">
        <f t="shared" si="1"/>
        <v>366870.09750000003</v>
      </c>
      <c r="P15" s="59">
        <f t="shared" si="1"/>
        <v>365439.05083333334</v>
      </c>
      <c r="Q15" s="179">
        <f t="shared" si="1"/>
        <v>4525019.8058333341</v>
      </c>
      <c r="R15" s="364">
        <f t="shared" si="1"/>
        <v>4725706</v>
      </c>
      <c r="S15" s="370">
        <f t="shared" si="0"/>
        <v>-4.246692328440782E-2</v>
      </c>
      <c r="T15" s="300"/>
      <c r="U15" s="38"/>
    </row>
    <row r="16" spans="1:21" ht="18" x14ac:dyDescent="0.35">
      <c r="A16" s="110"/>
      <c r="Q16" s="171"/>
      <c r="R16" s="359"/>
      <c r="S16" s="383"/>
      <c r="T16" s="301"/>
      <c r="U16" s="38"/>
    </row>
    <row r="17" spans="1:21" ht="18" x14ac:dyDescent="0.35">
      <c r="A17" s="110"/>
      <c r="B17" s="35" t="s">
        <v>20</v>
      </c>
      <c r="Q17" s="168"/>
      <c r="R17" s="357"/>
      <c r="S17" s="372"/>
      <c r="T17" s="300"/>
      <c r="U17" s="38"/>
    </row>
    <row r="18" spans="1:21" x14ac:dyDescent="0.35">
      <c r="A18" s="110" t="s">
        <v>102</v>
      </c>
      <c r="C18" s="34" t="s">
        <v>21</v>
      </c>
      <c r="E18" s="34">
        <f>+'4050'!E18+'4060'!E18+'4070'!E18+'4080'!E18+'40A0'!E18+'40B0'!E18+'40C0'!E18+'4000'!E16</f>
        <v>62057.521099999998</v>
      </c>
      <c r="F18" s="34">
        <f>+'4050'!F18+'4060'!F18+'4070'!F18+'4080'!F18+'40A0'!F18+'40B0'!F18+'40C0'!F18+'4000'!F16</f>
        <v>56555.836899999995</v>
      </c>
      <c r="G18" s="34">
        <f>+'4050'!G18+'4060'!G18+'4070'!G18+'4080'!G18+'40A0'!G18+'40B0'!G18+'40C0'!G18+'4000'!G16</f>
        <v>54115.025400000006</v>
      </c>
      <c r="H18" s="34">
        <f>+'4050'!H18+'4060'!H18+'4070'!H18+'4080'!H18+'40A0'!H18+'40B0'!H18+'40C0'!H18+'4000'!H16</f>
        <v>52905.407500000001</v>
      </c>
      <c r="I18" s="34">
        <f>+'4050'!I18+'4060'!I18+'4070'!I18+'4080'!I18+'40A0'!I18+'40B0'!I18+'40C0'!I18+'4000'!I16</f>
        <v>54964.321400000001</v>
      </c>
      <c r="J18" s="34">
        <f>+'4050'!J18+'4060'!J18+'4070'!J18+'4080'!J18+'40A0'!J18+'40B0'!J18+'40C0'!J18+'4000'!J16</f>
        <v>58906.281999999992</v>
      </c>
      <c r="K18" s="34">
        <f>+'4050'!K18+'4060'!K18+'4070'!K18+'4080'!K18+'40A0'!K18+'40B0'!K18+'40C0'!K18+'4000'!K16</f>
        <v>63811.322799999994</v>
      </c>
      <c r="L18" s="34">
        <f>+'4050'!L18+'4060'!L18+'4070'!L18+'4080'!L18+'40A0'!L18+'40B0'!L18+'40C0'!L18+'4000'!L16</f>
        <v>62006.217400000009</v>
      </c>
      <c r="M18" s="34">
        <f>+'4050'!M18+'4060'!M18+'4070'!M18+'4080'!M18+'40A0'!M18+'40B0'!M18+'40C0'!M18+'4000'!M16</f>
        <v>56491.909999999989</v>
      </c>
      <c r="N18" s="34">
        <f>+'4050'!N18+'4060'!N18+'4070'!N18+'4080'!N18+'40A0'!N18+'40B0'!N18+'40C0'!N18+'4000'!N16</f>
        <v>57163.275600000008</v>
      </c>
      <c r="O18" s="34">
        <f>+'4050'!O18+'4060'!O18+'4070'!O18+'4080'!O18+'40A0'!O18+'40B0'!O18+'40C0'!O18+'4000'!O16</f>
        <v>50745.57039999999</v>
      </c>
      <c r="P18" s="34">
        <f>+'4050'!P18+'4060'!P18+'4070'!P18+'4080'!P18+'40A0'!P18+'40B0'!P18+'40C0'!P18+'4000'!P16</f>
        <v>61090.396099999998</v>
      </c>
      <c r="Q18" s="168">
        <f>SUM(E18:P18)</f>
        <v>690813.08660000004</v>
      </c>
      <c r="R18" s="357">
        <v>632018</v>
      </c>
      <c r="S18" s="372">
        <f t="shared" si="0"/>
        <v>9.3027550797603942E-2</v>
      </c>
      <c r="T18" s="300" t="s">
        <v>371</v>
      </c>
      <c r="U18" s="317" t="s">
        <v>585</v>
      </c>
    </row>
    <row r="19" spans="1:21" x14ac:dyDescent="0.35">
      <c r="A19" s="110" t="s">
        <v>103</v>
      </c>
      <c r="C19" s="34" t="s">
        <v>22</v>
      </c>
      <c r="E19" s="34">
        <f>+'4050'!E19+'4060'!E19+'4070'!E19+'4080'!E19+'40A0'!E19+'40B0'!E19+'40C0'!E19+'4000'!E17</f>
        <v>50300</v>
      </c>
      <c r="F19" s="34">
        <f>+'4050'!F19+'4060'!F19+'4070'!F19+'4080'!F19+'40A0'!F19+'40B0'!F19+'40C0'!F19+'4000'!F17</f>
        <v>50300</v>
      </c>
      <c r="G19" s="34">
        <f>+'4050'!G19+'4060'!G19+'4070'!G19+'4080'!G19+'40A0'!G19+'40B0'!G19+'40C0'!G19+'4000'!G17</f>
        <v>50300</v>
      </c>
      <c r="H19" s="34">
        <f>+'4050'!H19+'4060'!H19+'4070'!H19+'4080'!H19+'40A0'!H19+'40B0'!H19+'40C0'!H19+'4000'!H17</f>
        <v>50300</v>
      </c>
      <c r="I19" s="34">
        <f>+'4050'!I19+'4060'!I19+'4070'!I19+'4080'!I19+'40A0'!I19+'40B0'!I19+'40C0'!I19+'4000'!I17</f>
        <v>50300</v>
      </c>
      <c r="J19" s="34">
        <f>+'4050'!J19+'4060'!J19+'4070'!J19+'4080'!J19+'40A0'!J19+'40B0'!J19+'40C0'!J19+'4000'!J17</f>
        <v>50300</v>
      </c>
      <c r="K19" s="34">
        <f>+'4050'!K19+'4060'!K19+'4070'!K19+'4080'!K19+'40A0'!K19+'40B0'!K19+'40C0'!K19+'4000'!K17</f>
        <v>50300</v>
      </c>
      <c r="L19" s="34">
        <f>+'4050'!L19+'4060'!L19+'4070'!L19+'4080'!L19+'40A0'!L19+'40B0'!L19+'40C0'!L19+'4000'!L17</f>
        <v>50300</v>
      </c>
      <c r="M19" s="34">
        <f>+'4050'!M19+'4060'!M19+'4070'!M19+'4080'!M19+'40A0'!M19+'40B0'!M19+'40C0'!M19+'4000'!M17</f>
        <v>50300</v>
      </c>
      <c r="N19" s="34">
        <f>+'4050'!N19+'4060'!N19+'4070'!N19+'4080'!N19+'40A0'!N19+'40B0'!N19+'40C0'!N19+'4000'!N17</f>
        <v>50300</v>
      </c>
      <c r="O19" s="34">
        <f>+'4050'!O19+'4060'!O19+'4070'!O19+'4080'!O19+'40A0'!O19+'40B0'!O19+'40C0'!O19+'4000'!O17</f>
        <v>50300</v>
      </c>
      <c r="P19" s="34">
        <f>+'4050'!P19+'4060'!P19+'4070'!P19+'4080'!P19+'40A0'!P19+'40B0'!P19+'40C0'!P19+'4000'!P17</f>
        <v>50300</v>
      </c>
      <c r="Q19" s="168">
        <f>SUM(E19:P19)</f>
        <v>603600</v>
      </c>
      <c r="R19" s="357">
        <v>547773</v>
      </c>
      <c r="S19" s="372">
        <f t="shared" si="0"/>
        <v>0.10191630474667424</v>
      </c>
      <c r="T19" s="300"/>
      <c r="U19" s="38"/>
    </row>
    <row r="20" spans="1:21" x14ac:dyDescent="0.35">
      <c r="A20" s="110" t="s">
        <v>104</v>
      </c>
      <c r="C20" s="34" t="s">
        <v>23</v>
      </c>
      <c r="E20" s="34">
        <f>+'4050'!E20+'4060'!E20+'4070'!E20+'4080'!E20+'40A0'!E20+'40B0'!E20+'40C0'!E20+'4000'!E18</f>
        <v>8300</v>
      </c>
      <c r="F20" s="34">
        <f>+'4050'!F20+'4060'!F20+'4070'!F20+'4080'!F20+'40A0'!F20+'40B0'!F20+'40C0'!F20+'4000'!F18</f>
        <v>8300</v>
      </c>
      <c r="G20" s="34">
        <f>+'4050'!G20+'4060'!G20+'4070'!G20+'4080'!G20+'40A0'!G20+'40B0'!G20+'40C0'!G20+'4000'!G18</f>
        <v>8300</v>
      </c>
      <c r="H20" s="34">
        <f>+'4050'!H20+'4060'!H20+'4070'!H20+'4080'!H20+'40A0'!H20+'40B0'!H20+'40C0'!H20+'4000'!H18</f>
        <v>8300</v>
      </c>
      <c r="I20" s="34">
        <f>+'4050'!I20+'4060'!I20+'4070'!I20+'4080'!I20+'40A0'!I20+'40B0'!I20+'40C0'!I20+'4000'!I18</f>
        <v>8300</v>
      </c>
      <c r="J20" s="34">
        <f>+'4050'!J20+'4060'!J20+'4070'!J20+'4080'!J20+'40A0'!J20+'40B0'!J20+'40C0'!J20+'4000'!J18</f>
        <v>8300</v>
      </c>
      <c r="K20" s="34">
        <f>+'4050'!K20+'4060'!K20+'4070'!K20+'4080'!K20+'40A0'!K20+'40B0'!K20+'40C0'!K20+'4000'!K18</f>
        <v>8300</v>
      </c>
      <c r="L20" s="34">
        <f>+'4050'!L20+'4060'!L20+'4070'!L20+'4080'!L20+'40A0'!L20+'40B0'!L20+'40C0'!L20+'4000'!L18</f>
        <v>8300</v>
      </c>
      <c r="M20" s="34">
        <f>+'4050'!M20+'4060'!M20+'4070'!M20+'4080'!M20+'40A0'!M20+'40B0'!M20+'40C0'!M20+'4000'!M18</f>
        <v>8300</v>
      </c>
      <c r="N20" s="34">
        <f>+'4050'!N20+'4060'!N20+'4070'!N20+'4080'!N20+'40A0'!N20+'40B0'!N20+'40C0'!N20+'4000'!N18</f>
        <v>8300</v>
      </c>
      <c r="O20" s="34">
        <f>+'4050'!O20+'4060'!O20+'4070'!O20+'4080'!O20+'40A0'!O20+'40B0'!O20+'40C0'!O20+'4000'!O18</f>
        <v>8300</v>
      </c>
      <c r="P20" s="34">
        <f>+'4050'!P20+'4060'!P20+'4070'!P20+'4080'!P20+'40A0'!P20+'40B0'!P20+'40C0'!P20+'4000'!P18</f>
        <v>8300</v>
      </c>
      <c r="Q20" s="168">
        <f>SUM(E20:P20)</f>
        <v>99600</v>
      </c>
      <c r="R20" s="357">
        <v>82162</v>
      </c>
      <c r="S20" s="372">
        <f t="shared" si="0"/>
        <v>0.21223923468270001</v>
      </c>
      <c r="T20" s="300"/>
      <c r="U20" s="38"/>
    </row>
    <row r="21" spans="1:21" x14ac:dyDescent="0.35">
      <c r="A21" s="110" t="s">
        <v>139</v>
      </c>
      <c r="C21" s="34" t="s">
        <v>24</v>
      </c>
      <c r="E21" s="34">
        <f>+'4050'!E21+'4060'!E21+'4070'!E21+'4080'!E21+'40A0'!E21+'40B0'!E21+'40C0'!E21+'4000'!E19</f>
        <v>0</v>
      </c>
      <c r="F21" s="34">
        <f>+'4050'!F21+'4060'!F21+'4070'!F21+'4080'!F21+'40A0'!F21+'40B0'!F21+'40C0'!F21+'4000'!F19</f>
        <v>0</v>
      </c>
      <c r="G21" s="34">
        <f>+'4050'!G21+'4060'!G21+'4070'!G21+'4080'!G21+'40A0'!G21+'40B0'!G21+'40C0'!G21+'4000'!G19</f>
        <v>0</v>
      </c>
      <c r="H21" s="34">
        <f>+'4050'!H21+'4060'!H21+'4070'!H21+'4080'!H21+'40A0'!H21+'40B0'!H21+'40C0'!H21+'4000'!H19</f>
        <v>0</v>
      </c>
      <c r="I21" s="34">
        <f>+'4050'!I21+'4060'!I21+'4070'!I21+'4080'!I21+'40A0'!I21+'40B0'!I21+'40C0'!I21+'4000'!I19</f>
        <v>0</v>
      </c>
      <c r="J21" s="34">
        <f>+'4050'!J21+'4060'!J21+'4070'!J21+'4080'!J21+'40A0'!J21+'40B0'!J21+'40C0'!J21+'4000'!J19</f>
        <v>0</v>
      </c>
      <c r="K21" s="34">
        <f>+'4050'!K21+'4060'!K21+'4070'!K21+'4080'!K21+'40A0'!K21+'40B0'!K21+'40C0'!K21+'4000'!K19</f>
        <v>0</v>
      </c>
      <c r="L21" s="34">
        <f>+'4050'!L21+'4060'!L21+'4070'!L21+'4080'!L21+'40A0'!L21+'40B0'!L21+'40C0'!L21+'4000'!L19</f>
        <v>0</v>
      </c>
      <c r="M21" s="34">
        <f>+'4050'!M21+'4060'!M21+'4070'!M21+'4080'!M21+'40A0'!M21+'40B0'!M21+'40C0'!M21+'4000'!M19</f>
        <v>0</v>
      </c>
      <c r="N21" s="34">
        <f>+'4050'!N21+'4060'!N21+'4070'!N21+'4080'!N21+'40A0'!N21+'40B0'!N21+'40C0'!N21+'4000'!N19</f>
        <v>0</v>
      </c>
      <c r="O21" s="34">
        <f>+'4050'!O21+'4060'!O21+'4070'!O21+'4080'!O21+'40A0'!O21+'40B0'!O21+'40C0'!O21+'4000'!O19</f>
        <v>0</v>
      </c>
      <c r="P21" s="34">
        <f>+'4050'!P21+'4060'!P21+'4070'!P21+'4080'!P21+'40A0'!P21+'40B0'!P21+'40C0'!P21+'4000'!P19</f>
        <v>0</v>
      </c>
      <c r="Q21" s="168">
        <f>SUM(E21:P21)</f>
        <v>0</v>
      </c>
      <c r="R21" s="357">
        <v>0</v>
      </c>
      <c r="S21" s="372" t="e">
        <f t="shared" si="0"/>
        <v>#DIV/0!</v>
      </c>
      <c r="T21" s="300"/>
      <c r="U21" s="38"/>
    </row>
    <row r="22" spans="1:21" s="36" customFormat="1" x14ac:dyDescent="0.35">
      <c r="A22" s="285"/>
      <c r="D22" s="41" t="s">
        <v>362</v>
      </c>
      <c r="E22" s="59">
        <f t="shared" ref="E22:R22" si="2">SUM(E18:E21)</f>
        <v>120657.5211</v>
      </c>
      <c r="F22" s="59">
        <f t="shared" si="2"/>
        <v>115155.83689999999</v>
      </c>
      <c r="G22" s="59">
        <f t="shared" si="2"/>
        <v>112715.02540000001</v>
      </c>
      <c r="H22" s="59">
        <f t="shared" si="2"/>
        <v>111505.4075</v>
      </c>
      <c r="I22" s="59">
        <f t="shared" si="2"/>
        <v>113564.3214</v>
      </c>
      <c r="J22" s="59">
        <f t="shared" si="2"/>
        <v>117506.28199999999</v>
      </c>
      <c r="K22" s="59">
        <f t="shared" si="2"/>
        <v>122411.32279999999</v>
      </c>
      <c r="L22" s="59">
        <f t="shared" si="2"/>
        <v>120606.21740000001</v>
      </c>
      <c r="M22" s="59">
        <f t="shared" si="2"/>
        <v>115091.90999999999</v>
      </c>
      <c r="N22" s="59">
        <f t="shared" si="2"/>
        <v>115763.27560000001</v>
      </c>
      <c r="O22" s="59">
        <f t="shared" si="2"/>
        <v>109345.5704</v>
      </c>
      <c r="P22" s="59">
        <f t="shared" si="2"/>
        <v>119690.3961</v>
      </c>
      <c r="Q22" s="179">
        <f t="shared" si="2"/>
        <v>1394013.0866</v>
      </c>
      <c r="R22" s="364">
        <f t="shared" si="2"/>
        <v>1261953</v>
      </c>
      <c r="S22" s="370">
        <f t="shared" si="0"/>
        <v>0.10464738908659843</v>
      </c>
      <c r="T22" s="300"/>
      <c r="U22" s="38"/>
    </row>
    <row r="23" spans="1:21" ht="16.5" thickBot="1" x14ac:dyDescent="0.4">
      <c r="A23" s="110"/>
      <c r="Q23" s="168"/>
      <c r="R23" s="357"/>
      <c r="S23" s="372"/>
      <c r="T23" s="300"/>
      <c r="U23" s="38"/>
    </row>
    <row r="24" spans="1:21" s="37" customFormat="1" ht="18" thickBot="1" x14ac:dyDescent="0.4">
      <c r="A24" s="285"/>
      <c r="B24" s="286" t="s">
        <v>26</v>
      </c>
      <c r="C24" s="287"/>
      <c r="D24" s="287"/>
      <c r="E24" s="287">
        <f t="shared" ref="E24:R24" si="3">+E15+E22</f>
        <v>496647.18610000005</v>
      </c>
      <c r="F24" s="287">
        <f t="shared" si="3"/>
        <v>492185.08940000006</v>
      </c>
      <c r="G24" s="287">
        <f t="shared" si="3"/>
        <v>498516.53790000011</v>
      </c>
      <c r="H24" s="287">
        <f t="shared" si="3"/>
        <v>497089.36</v>
      </c>
      <c r="I24" s="287">
        <f t="shared" si="3"/>
        <v>499955.85389999999</v>
      </c>
      <c r="J24" s="287">
        <f t="shared" si="3"/>
        <v>509035.65450000006</v>
      </c>
      <c r="K24" s="287">
        <f t="shared" si="3"/>
        <v>493944.61196666665</v>
      </c>
      <c r="L24" s="287">
        <f t="shared" si="3"/>
        <v>492447.71656666667</v>
      </c>
      <c r="M24" s="287">
        <f t="shared" si="3"/>
        <v>491384.70083333331</v>
      </c>
      <c r="N24" s="287">
        <f t="shared" si="3"/>
        <v>486481.06643333333</v>
      </c>
      <c r="O24" s="287">
        <f t="shared" si="3"/>
        <v>476215.6679</v>
      </c>
      <c r="P24" s="287">
        <f t="shared" si="3"/>
        <v>485129.44693333335</v>
      </c>
      <c r="Q24" s="425">
        <f t="shared" si="3"/>
        <v>5919032.8924333341</v>
      </c>
      <c r="R24" s="424">
        <f t="shared" si="3"/>
        <v>5987659</v>
      </c>
      <c r="S24" s="371">
        <f t="shared" si="0"/>
        <v>-1.146125849295454E-2</v>
      </c>
      <c r="T24" s="302"/>
      <c r="U24" s="303"/>
    </row>
    <row r="25" spans="1:21" ht="18" x14ac:dyDescent="0.35">
      <c r="A25" s="110"/>
      <c r="Q25" s="171">
        <f>+'4050'!Q24+'4060'!Q24+'4070'!Q24+'4080'!Q24+'40A0'!Q24+'40B0'!Q24+'40C0'!Q24</f>
        <v>5919032.8924333341</v>
      </c>
      <c r="R25" s="359"/>
      <c r="S25" s="383"/>
      <c r="T25" s="301"/>
      <c r="U25" s="38"/>
    </row>
    <row r="26" spans="1:21" ht="18" x14ac:dyDescent="0.35">
      <c r="A26" s="110"/>
      <c r="B26" s="35" t="s">
        <v>27</v>
      </c>
      <c r="Q26" s="168"/>
      <c r="R26" s="357"/>
      <c r="S26" s="372"/>
      <c r="T26" s="300"/>
      <c r="U26" s="38"/>
    </row>
    <row r="27" spans="1:21" x14ac:dyDescent="0.35">
      <c r="A27" s="110" t="s">
        <v>105</v>
      </c>
      <c r="C27" s="34" t="s">
        <v>28</v>
      </c>
      <c r="E27" s="34">
        <f>+'4050'!E27+'4060'!E27+'4070'!E27+'4080'!E27+'40A0'!E27+'40B0'!E27+'40C0'!E27+'4000'!E26</f>
        <v>8128.5833333333348</v>
      </c>
      <c r="F27" s="34">
        <f>+'4050'!F27+'4060'!F27+'4070'!F27+'4080'!F27+'40A0'!F27+'40B0'!F27+'40C0'!F27+'4000'!F26</f>
        <v>8128.5833333333348</v>
      </c>
      <c r="G27" s="34">
        <f>+'4050'!G27+'4060'!G27+'4070'!G27+'4080'!G27+'40A0'!G27+'40B0'!G27+'40C0'!G27+'4000'!G26</f>
        <v>8128.5833333333348</v>
      </c>
      <c r="H27" s="34">
        <f>+'4050'!H27+'4060'!H27+'4070'!H27+'4080'!H27+'40A0'!H27+'40B0'!H27+'40C0'!H27+'4000'!H26</f>
        <v>8128.5833333333348</v>
      </c>
      <c r="I27" s="34">
        <f>+'4050'!I27+'4060'!I27+'4070'!I27+'4080'!I27+'40A0'!I27+'40B0'!I27+'40C0'!I27+'4000'!I26</f>
        <v>8128.5833333333348</v>
      </c>
      <c r="J27" s="34">
        <f>+'4050'!J27+'4060'!J27+'4070'!J27+'4080'!J27+'40A0'!J27+'40B0'!J27+'40C0'!J27+'4000'!J26</f>
        <v>8128.5833333333348</v>
      </c>
      <c r="K27" s="34">
        <f>+'4050'!K27+'4060'!K27+'4070'!K27+'4080'!K27+'40A0'!K27+'40B0'!K27+'40C0'!K27+'4000'!K26</f>
        <v>8128.5833333333348</v>
      </c>
      <c r="L27" s="34">
        <f>+'4050'!L27+'4060'!L27+'4070'!L27+'4080'!L27+'40A0'!L27+'40B0'!L27+'40C0'!L27+'4000'!L26</f>
        <v>8128.5833333333348</v>
      </c>
      <c r="M27" s="34">
        <f>+'4050'!M27+'4060'!M27+'4070'!M27+'4080'!M27+'40A0'!M27+'40B0'!M27+'40C0'!M27+'4000'!M26</f>
        <v>8128.5833333333348</v>
      </c>
      <c r="N27" s="34">
        <f>+'4050'!N27+'4060'!N27+'4070'!N27+'4080'!N27+'40A0'!N27+'40B0'!N27+'40C0'!N27+'4000'!N26</f>
        <v>8128.5833333333348</v>
      </c>
      <c r="O27" s="34">
        <f>+'4050'!O27+'4060'!O27+'4070'!O27+'4080'!O27+'40A0'!O27+'40B0'!O27+'40C0'!O27+'4000'!O26</f>
        <v>8128.5833333333348</v>
      </c>
      <c r="P27" s="34">
        <f>+'4050'!P27+'4060'!P27+'4070'!P27+'4080'!P27+'40A0'!P27+'40B0'!P27+'40C0'!P27+'4000'!P26</f>
        <v>8128.5833333333348</v>
      </c>
      <c r="Q27" s="168">
        <f>SUM(E27:P27)</f>
        <v>97543</v>
      </c>
      <c r="R27" s="357">
        <v>65400</v>
      </c>
      <c r="S27" s="372">
        <f t="shared" si="0"/>
        <v>0.49148318042813455</v>
      </c>
      <c r="T27" s="300"/>
      <c r="U27" s="38" t="s">
        <v>617</v>
      </c>
    </row>
    <row r="28" spans="1:21" x14ac:dyDescent="0.35">
      <c r="A28" s="110"/>
      <c r="Q28" s="168"/>
      <c r="R28" s="357"/>
      <c r="S28" s="372"/>
      <c r="T28" s="300"/>
      <c r="U28" s="38"/>
    </row>
    <row r="29" spans="1:21" x14ac:dyDescent="0.35">
      <c r="A29" s="110" t="s">
        <v>106</v>
      </c>
      <c r="C29" s="34" t="s">
        <v>21</v>
      </c>
      <c r="E29" s="34">
        <f>+'4050'!E29+'4060'!E29+'4070'!E29+'4080'!E29+'40A0'!E29+'40B0'!E29+'40C0'!E29+'4000'!E28</f>
        <v>97164</v>
      </c>
      <c r="F29" s="34">
        <f>+'4050'!F29+'4060'!F29+'4070'!F29+'4080'!F29+'40A0'!F29+'40B0'!F29+'40C0'!F29+'4000'!F28</f>
        <v>88149</v>
      </c>
      <c r="G29" s="34">
        <f>+'4050'!G29+'4060'!G29+'4070'!G29+'4080'!G29+'40A0'!G29+'40B0'!G29+'40C0'!G29+'4000'!G28</f>
        <v>83677</v>
      </c>
      <c r="H29" s="34">
        <f>+'4050'!H29+'4060'!H29+'4070'!H29+'4080'!H29+'40A0'!H29+'40B0'!H29+'40C0'!H29+'4000'!H28</f>
        <v>80724</v>
      </c>
      <c r="I29" s="34">
        <f>+'4050'!I29+'4060'!I29+'4070'!I29+'4080'!I29+'40A0'!I29+'40B0'!I29+'40C0'!I29+'4000'!I28</f>
        <v>84119</v>
      </c>
      <c r="J29" s="34">
        <f>+'4050'!J29+'4060'!J29+'4070'!J29+'4080'!J29+'40A0'!J29+'40B0'!J29+'40C0'!J29+'4000'!J28</f>
        <v>90279</v>
      </c>
      <c r="K29" s="34">
        <f>+'4050'!K29+'4060'!K29+'4070'!K29+'4080'!K29+'40A0'!K29+'40B0'!K29+'40C0'!K29+'4000'!K28</f>
        <v>98568</v>
      </c>
      <c r="L29" s="34">
        <f>+'4050'!L29+'4060'!L29+'4070'!L29+'4080'!L29+'40A0'!L29+'40B0'!L29+'40C0'!L29+'4000'!L28</f>
        <v>95991</v>
      </c>
      <c r="M29" s="34">
        <f>+'4050'!M29+'4060'!M29+'4070'!M29+'4080'!M29+'40A0'!M29+'40B0'!M29+'40C0'!M29+'4000'!M28</f>
        <v>87680</v>
      </c>
      <c r="N29" s="34">
        <f>+'4050'!N29+'4060'!N29+'4070'!N29+'4080'!N29+'40A0'!N29+'40B0'!N29+'40C0'!N29+'4000'!N28</f>
        <v>88497</v>
      </c>
      <c r="O29" s="34">
        <f>+'4050'!O29+'4060'!O29+'4070'!O29+'4080'!O29+'40A0'!O29+'40B0'!O29+'40C0'!O29+'4000'!O28</f>
        <v>79214</v>
      </c>
      <c r="P29" s="34">
        <f>+'4050'!P29+'4060'!P29+'4070'!P29+'4080'!P29+'40A0'!P29+'40B0'!P29+'40C0'!P29+'4000'!P28</f>
        <v>96590</v>
      </c>
      <c r="Q29" s="168">
        <f>SUM(E29:P29)</f>
        <v>1070652</v>
      </c>
      <c r="R29" s="357">
        <v>970692</v>
      </c>
      <c r="S29" s="372">
        <f t="shared" si="0"/>
        <v>0.10297808161600175</v>
      </c>
      <c r="T29" s="300" t="s">
        <v>371</v>
      </c>
      <c r="U29" s="38" t="s">
        <v>535</v>
      </c>
    </row>
    <row r="30" spans="1:21" x14ac:dyDescent="0.35">
      <c r="A30" s="110"/>
      <c r="Q30" s="168"/>
      <c r="R30" s="357"/>
      <c r="S30" s="372"/>
      <c r="T30" s="300"/>
      <c r="U30" s="38"/>
    </row>
    <row r="31" spans="1:21" x14ac:dyDescent="0.35">
      <c r="A31" s="110" t="s">
        <v>107</v>
      </c>
      <c r="C31" s="34" t="s">
        <v>29</v>
      </c>
      <c r="E31" s="34">
        <f>+'4050'!E31+'4060'!E31+'4070'!E31+'4080'!E31+'40A0'!E31+'40B0'!E31+'40C0'!E31+'4000'!E30</f>
        <v>5481.66</v>
      </c>
      <c r="F31" s="34">
        <f>+'4050'!F31+'4060'!F31+'4070'!F31+'4080'!F31+'40A0'!F31+'40B0'!F31+'40C0'!F31+'4000'!F30</f>
        <v>5746.37</v>
      </c>
      <c r="G31" s="34">
        <f>+'4050'!G31+'4060'!G31+'4070'!G31+'4080'!G31+'40A0'!G31+'40B0'!G31+'40C0'!G31+'4000'!G30</f>
        <v>6181.0300000000007</v>
      </c>
      <c r="H31" s="34">
        <f>+'4050'!H31+'4060'!H31+'4070'!H31+'4080'!H31+'40A0'!H31+'40B0'!H31+'40C0'!H31+'4000'!H30</f>
        <v>6196.48</v>
      </c>
      <c r="I31" s="34">
        <f>+'4050'!I31+'4060'!I31+'4070'!I31+'4080'!I31+'40A0'!I31+'40B0'!I31+'40C0'!I31+'4000'!I30</f>
        <v>10136.230000000001</v>
      </c>
      <c r="J31" s="34">
        <f>+'4050'!J31+'4060'!J31+'4070'!J31+'4080'!J31+'40A0'!J31+'40B0'!J31+'40C0'!J31+'4000'!J30</f>
        <v>13574.37</v>
      </c>
      <c r="K31" s="34">
        <f>+'4050'!K31+'4060'!K31+'4070'!K31+'4080'!K31+'40A0'!K31+'40B0'!K31+'40C0'!K31+'4000'!K30</f>
        <v>15153.360000000002</v>
      </c>
      <c r="L31" s="34">
        <f>+'4050'!L31+'4060'!L31+'4070'!L31+'4080'!L31+'40A0'!L31+'40B0'!L31+'40C0'!L31+'4000'!L30</f>
        <v>19042.64</v>
      </c>
      <c r="M31" s="34">
        <f>+'4050'!M31+'4060'!M31+'4070'!M31+'4080'!M31+'40A0'!M31+'40B0'!M31+'40C0'!M31+'4000'!M30</f>
        <v>13977.1</v>
      </c>
      <c r="N31" s="34">
        <f>+'4050'!N31+'4060'!N31+'4070'!N31+'4080'!N31+'40A0'!N31+'40B0'!N31+'40C0'!N31+'4000'!N30</f>
        <v>11704.92</v>
      </c>
      <c r="O31" s="34">
        <f>+'4050'!O31+'4060'!O31+'4070'!O31+'4080'!O31+'40A0'!O31+'40B0'!O31+'40C0'!O31+'4000'!O30</f>
        <v>7338.7500000000009</v>
      </c>
      <c r="P31" s="34">
        <f>+'4050'!P31+'4060'!P31+'4070'!P31+'4080'!P31+'40A0'!P31+'40B0'!P31+'40C0'!P31+'4000'!P30</f>
        <v>5916.32</v>
      </c>
      <c r="Q31" s="168">
        <f>SUM(E31:P31)</f>
        <v>120449.23000000001</v>
      </c>
      <c r="R31" s="357">
        <v>95262</v>
      </c>
      <c r="S31" s="372">
        <f t="shared" si="0"/>
        <v>0.26439955071277121</v>
      </c>
      <c r="T31" s="300" t="s">
        <v>371</v>
      </c>
      <c r="U31" s="38" t="s">
        <v>450</v>
      </c>
    </row>
    <row r="32" spans="1:21" x14ac:dyDescent="0.35">
      <c r="A32" s="110"/>
      <c r="Q32" s="168"/>
      <c r="R32" s="357"/>
      <c r="S32" s="372"/>
      <c r="T32" s="300"/>
      <c r="U32" s="38"/>
    </row>
    <row r="33" spans="1:21" x14ac:dyDescent="0.35">
      <c r="A33" s="110"/>
      <c r="D33" s="88" t="s">
        <v>30</v>
      </c>
      <c r="E33" s="77">
        <f>+'4050'!E33+'4060'!E33+'4070'!E33+'4080'!E33+'40A0'!E33+'40B0'!E33+'40C0'!E33+'4000'!E32</f>
        <v>10827</v>
      </c>
      <c r="F33" s="77">
        <f>+'4050'!F33+'4060'!F33+'4070'!F33+'4080'!F33+'40A0'!F33+'40B0'!F33+'40C0'!F33+'4000'!F32</f>
        <v>9540</v>
      </c>
      <c r="G33" s="77">
        <f>+'4050'!G33+'4060'!G33+'4070'!G33+'4080'!G33+'40A0'!G33+'40B0'!G33+'40C0'!G33+'4000'!G32</f>
        <v>31478</v>
      </c>
      <c r="H33" s="77">
        <f>+'4050'!H33+'4060'!H33+'4070'!H33+'4080'!H33+'40A0'!H33+'40B0'!H33+'40C0'!H33+'4000'!H32</f>
        <v>28878</v>
      </c>
      <c r="I33" s="77">
        <f>+'4050'!I33+'4060'!I33+'4070'!I33+'4080'!I33+'40A0'!I33+'40B0'!I33+'40C0'!I33+'4000'!I32</f>
        <v>9540</v>
      </c>
      <c r="J33" s="77">
        <f>+'4050'!J33+'4060'!J33+'4070'!J33+'4080'!J33+'40A0'!J33+'40B0'!J33+'40C0'!J33+'4000'!J32</f>
        <v>31460</v>
      </c>
      <c r="K33" s="77">
        <f>+'4050'!K33+'4060'!K33+'4070'!K33+'4080'!K33+'40A0'!K33+'40B0'!K33+'40C0'!K33+'4000'!K32</f>
        <v>10827</v>
      </c>
      <c r="L33" s="77">
        <f>+'4050'!L33+'4060'!L33+'4070'!L33+'4080'!L33+'40A0'!L33+'40B0'!L33+'40C0'!L33+'4000'!L32</f>
        <v>9540</v>
      </c>
      <c r="M33" s="77">
        <f>+'4050'!M33+'4060'!M33+'4070'!M33+'4080'!M33+'40A0'!M33+'40B0'!M33+'40C0'!M33+'4000'!M32</f>
        <v>31460</v>
      </c>
      <c r="N33" s="77">
        <f>+'4050'!N33+'4060'!N33+'4070'!N33+'4080'!N33+'40A0'!N33+'40B0'!N33+'40C0'!N33+'4000'!N32</f>
        <v>28878</v>
      </c>
      <c r="O33" s="77">
        <f>+'4050'!O33+'4060'!O33+'4070'!O33+'4080'!O33+'40A0'!O33+'40B0'!O33+'40C0'!O33+'4000'!O32</f>
        <v>9540</v>
      </c>
      <c r="P33" s="77">
        <f>+'4050'!P33+'4060'!P33+'4070'!P33+'4080'!P33+'40A0'!P33+'40B0'!P33+'40C0'!P33+'4000'!P32</f>
        <v>24755</v>
      </c>
      <c r="Q33" s="173">
        <f>SUM(E33:P33)</f>
        <v>236723</v>
      </c>
      <c r="R33" s="357"/>
      <c r="S33" s="372"/>
      <c r="T33" s="300" t="s">
        <v>371</v>
      </c>
      <c r="U33" s="38" t="s">
        <v>450</v>
      </c>
    </row>
    <row r="34" spans="1:21" x14ac:dyDescent="0.35">
      <c r="A34" s="110"/>
      <c r="D34" s="89" t="s">
        <v>31</v>
      </c>
      <c r="E34" s="34">
        <f>+'4050'!E34+'4060'!E34+'4070'!E34+'4080'!E34+'40A0'!E34+'40B0'!E34+'40C0'!E34+'4000'!E33</f>
        <v>18455</v>
      </c>
      <c r="F34" s="34">
        <f>+'4050'!F34+'4060'!F34+'4070'!F34+'4080'!F34+'40A0'!F34+'40B0'!F34+'40C0'!F34+'4000'!F33</f>
        <v>11925</v>
      </c>
      <c r="G34" s="34">
        <f>+'4050'!G34+'4060'!G34+'4070'!G34+'4080'!G34+'40A0'!G34+'40B0'!G34+'40C0'!G34+'4000'!G33</f>
        <v>12430</v>
      </c>
      <c r="H34" s="34">
        <f>+'4050'!H34+'4060'!H34+'4070'!H34+'4080'!H34+'40A0'!H34+'40B0'!H34+'40C0'!H34+'4000'!H33</f>
        <v>14425</v>
      </c>
      <c r="I34" s="34">
        <f>+'4050'!I34+'4060'!I34+'4070'!I34+'4080'!I34+'40A0'!I34+'40B0'!I34+'40C0'!I34+'4000'!I33</f>
        <v>24295</v>
      </c>
      <c r="J34" s="34">
        <f>+'4050'!J34+'4060'!J34+'4070'!J34+'4080'!J34+'40A0'!J34+'40B0'!J34+'40C0'!J34+'4000'!J33</f>
        <v>13980</v>
      </c>
      <c r="K34" s="34">
        <f>+'4050'!K34+'4060'!K34+'4070'!K34+'4080'!K34+'40A0'!K34+'40B0'!K34+'40C0'!K34+'4000'!K33</f>
        <v>26380</v>
      </c>
      <c r="L34" s="34">
        <f>+'4050'!L34+'4060'!L34+'4070'!L34+'4080'!L34+'40A0'!L34+'40B0'!L34+'40C0'!L34+'4000'!L33</f>
        <v>12105</v>
      </c>
      <c r="M34" s="34">
        <f>+'4050'!M34+'4060'!M34+'4070'!M34+'4080'!M34+'40A0'!M34+'40B0'!M34+'40C0'!M34+'4000'!M33</f>
        <v>12630</v>
      </c>
      <c r="N34" s="34">
        <f>+'4050'!N34+'4060'!N34+'4070'!N34+'4080'!N34+'40A0'!N34+'40B0'!N34+'40C0'!N34+'4000'!N33</f>
        <v>14425</v>
      </c>
      <c r="O34" s="34">
        <f>+'4050'!O34+'4060'!O34+'4070'!O34+'4080'!O34+'40A0'!O34+'40B0'!O34+'40C0'!O34+'4000'!O33</f>
        <v>15940</v>
      </c>
      <c r="P34" s="34">
        <f>+'4050'!P34+'4060'!P34+'4070'!P34+'4080'!P34+'40A0'!P34+'40B0'!P34+'40C0'!P34+'4000'!P33</f>
        <v>12230</v>
      </c>
      <c r="Q34" s="174">
        <f>SUM(E34:P34)</f>
        <v>189220</v>
      </c>
      <c r="R34" s="357"/>
      <c r="S34" s="372"/>
      <c r="T34" s="300" t="s">
        <v>371</v>
      </c>
      <c r="U34" s="38" t="s">
        <v>450</v>
      </c>
    </row>
    <row r="35" spans="1:21" x14ac:dyDescent="0.35">
      <c r="A35" s="110"/>
      <c r="D35" s="90" t="s">
        <v>32</v>
      </c>
      <c r="E35" s="43">
        <f>+'4050'!E35+'4060'!E35+'4070'!E35+'4080'!E35+'40A0'!E35+'40B0'!E35+'40C0'!E35+'4000'!E34</f>
        <v>0</v>
      </c>
      <c r="F35" s="43">
        <f>+'4050'!F35+'4060'!F35+'4070'!F35+'4080'!F35+'40A0'!F35+'40B0'!F35+'40C0'!F35+'4000'!F34</f>
        <v>20300</v>
      </c>
      <c r="G35" s="43">
        <f>+'4050'!G35+'4060'!G35+'4070'!G35+'4080'!G35+'40A0'!G35+'40B0'!G35+'40C0'!G35+'4000'!G34</f>
        <v>15150</v>
      </c>
      <c r="H35" s="43">
        <f>+'4050'!H35+'4060'!H35+'4070'!H35+'4080'!H35+'40A0'!H35+'40B0'!H35+'40C0'!H35+'4000'!H34</f>
        <v>24205</v>
      </c>
      <c r="I35" s="43">
        <f>+'4050'!I35+'4060'!I35+'4070'!I35+'4080'!I35+'40A0'!I35+'40B0'!I35+'40C0'!I35+'4000'!I34</f>
        <v>10300</v>
      </c>
      <c r="J35" s="43">
        <f>+'4050'!J35+'4060'!J35+'4070'!J35+'4080'!J35+'40A0'!J35+'40B0'!J35+'40C0'!J35+'4000'!J34</f>
        <v>20600</v>
      </c>
      <c r="K35" s="43">
        <f>+'4050'!K35+'4060'!K35+'4070'!K35+'4080'!K35+'40A0'!K35+'40B0'!K35+'40C0'!K35+'4000'!K34</f>
        <v>15450</v>
      </c>
      <c r="L35" s="43">
        <f>+'4050'!L35+'4060'!L35+'4070'!L35+'4080'!L35+'40A0'!L35+'40B0'!L35+'40C0'!L35+'4000'!L34</f>
        <v>10300</v>
      </c>
      <c r="M35" s="43">
        <f>+'4050'!M35+'4060'!M35+'4070'!M35+'4080'!M35+'40A0'!M35+'40B0'!M35+'40C0'!M35+'4000'!M34</f>
        <v>15150</v>
      </c>
      <c r="N35" s="43">
        <f>+'4050'!N35+'4060'!N35+'4070'!N35+'4080'!N35+'40A0'!N35+'40B0'!N35+'40C0'!N35+'4000'!N34</f>
        <v>10000</v>
      </c>
      <c r="O35" s="43">
        <f>+'4050'!O35+'4060'!O35+'4070'!O35+'4080'!O35+'40A0'!O35+'40B0'!O35+'40C0'!O35+'4000'!O34</f>
        <v>10300</v>
      </c>
      <c r="P35" s="43">
        <f>+'4050'!P35+'4060'!P35+'4070'!P35+'4080'!P35+'40A0'!P35+'40B0'!P35+'40C0'!P35+'4000'!P34</f>
        <v>0</v>
      </c>
      <c r="Q35" s="175">
        <f>SUM(E35:P35)</f>
        <v>151755</v>
      </c>
      <c r="R35" s="357"/>
      <c r="S35" s="372"/>
      <c r="T35" s="300" t="s">
        <v>371</v>
      </c>
      <c r="U35" s="38" t="s">
        <v>587</v>
      </c>
    </row>
    <row r="36" spans="1:21" x14ac:dyDescent="0.35">
      <c r="A36" s="110" t="s">
        <v>108</v>
      </c>
      <c r="C36" s="34" t="s">
        <v>33</v>
      </c>
      <c r="E36" s="43">
        <f t="shared" ref="E36:Q36" si="4">SUM(E33:E35)</f>
        <v>29282</v>
      </c>
      <c r="F36" s="43">
        <f t="shared" si="4"/>
        <v>41765</v>
      </c>
      <c r="G36" s="43">
        <f t="shared" si="4"/>
        <v>59058</v>
      </c>
      <c r="H36" s="43">
        <f t="shared" si="4"/>
        <v>67508</v>
      </c>
      <c r="I36" s="43">
        <f t="shared" si="4"/>
        <v>44135</v>
      </c>
      <c r="J36" s="43">
        <f t="shared" si="4"/>
        <v>66040</v>
      </c>
      <c r="K36" s="43">
        <f t="shared" si="4"/>
        <v>52657</v>
      </c>
      <c r="L36" s="43">
        <f t="shared" si="4"/>
        <v>31945</v>
      </c>
      <c r="M36" s="43">
        <f t="shared" si="4"/>
        <v>59240</v>
      </c>
      <c r="N36" s="43">
        <f t="shared" si="4"/>
        <v>53303</v>
      </c>
      <c r="O36" s="43">
        <f t="shared" si="4"/>
        <v>35780</v>
      </c>
      <c r="P36" s="43">
        <f t="shared" si="4"/>
        <v>36985</v>
      </c>
      <c r="Q36" s="177">
        <f t="shared" si="4"/>
        <v>577698</v>
      </c>
      <c r="R36" s="364">
        <v>576052</v>
      </c>
      <c r="S36" s="370">
        <f t="shared" si="0"/>
        <v>2.8573809308882758E-3</v>
      </c>
      <c r="T36" s="300"/>
      <c r="U36" s="38"/>
    </row>
    <row r="37" spans="1:21" x14ac:dyDescent="0.35">
      <c r="A37" s="110"/>
      <c r="Q37" s="168"/>
      <c r="R37" s="357"/>
      <c r="S37" s="372"/>
      <c r="T37" s="300"/>
      <c r="U37" s="38"/>
    </row>
    <row r="38" spans="1:21" hidden="1" x14ac:dyDescent="0.35">
      <c r="A38" s="110" t="s">
        <v>140</v>
      </c>
      <c r="B38" s="34" t="s">
        <v>34</v>
      </c>
      <c r="C38" s="34" t="s">
        <v>35</v>
      </c>
      <c r="E38" s="34">
        <f>+'4050'!E38+'4060'!E38+'4070'!E38+'4080'!E38+'40A0'!E38+'40B0'!E38+'40C0'!E38+'4000'!E37</f>
        <v>0</v>
      </c>
      <c r="F38" s="34">
        <f>+'4050'!F38+'4060'!F38+'4070'!F38+'4080'!F38+'40A0'!F38+'40B0'!F38+'40C0'!F38+'4000'!F37</f>
        <v>0</v>
      </c>
      <c r="G38" s="34">
        <f>+'4050'!G38+'4060'!G38+'4070'!G38+'4080'!G38+'40A0'!G38+'40B0'!G38+'40C0'!G38+'4000'!G37</f>
        <v>0</v>
      </c>
      <c r="H38" s="34">
        <f>+'4050'!H38+'4060'!H38+'4070'!H38+'4080'!H38+'40A0'!H38+'40B0'!H38+'40C0'!H38+'4000'!H37</f>
        <v>0</v>
      </c>
      <c r="I38" s="34">
        <f>+'4050'!I38+'4060'!I38+'4070'!I38+'4080'!I38+'40A0'!I38+'40B0'!I38+'40C0'!I38+'4000'!I37</f>
        <v>0</v>
      </c>
      <c r="J38" s="34">
        <f>+'4050'!J38+'4060'!J38+'4070'!J38+'4080'!J38+'40A0'!J38+'40B0'!J38+'40C0'!J38+'4000'!J37</f>
        <v>0</v>
      </c>
      <c r="K38" s="34">
        <f>+'4050'!K38+'4060'!K38+'4070'!K38+'4080'!K38+'40A0'!K38+'40B0'!K38+'40C0'!K38+'4000'!K37</f>
        <v>0</v>
      </c>
      <c r="L38" s="34">
        <f>+'4050'!L38+'4060'!L38+'4070'!L38+'4080'!L38+'40A0'!L38+'40B0'!L38+'40C0'!L38+'4000'!L37</f>
        <v>0</v>
      </c>
      <c r="M38" s="34">
        <f>+'4050'!M38+'4060'!M38+'4070'!M38+'4080'!M38+'40A0'!M38+'40B0'!M38+'40C0'!M38+'4000'!M37</f>
        <v>0</v>
      </c>
      <c r="N38" s="34">
        <f>+'4050'!N38+'4060'!N38+'4070'!N38+'4080'!N38+'40A0'!N38+'40B0'!N38+'40C0'!N38+'4000'!N37</f>
        <v>0</v>
      </c>
      <c r="O38" s="34">
        <f>+'4050'!O38+'4060'!O38+'4070'!O38+'4080'!O38+'40A0'!O38+'40B0'!O38+'40C0'!O38+'4000'!O37</f>
        <v>0</v>
      </c>
      <c r="P38" s="34">
        <f>+'4050'!P38+'4060'!P38+'4070'!P38+'4080'!P38+'40A0'!P38+'40B0'!P38+'40C0'!P38+'4000'!P37</f>
        <v>0</v>
      </c>
      <c r="Q38" s="168">
        <f>SUM(E38:P38)</f>
        <v>0</v>
      </c>
      <c r="R38" s="357">
        <v>0</v>
      </c>
      <c r="S38" s="372"/>
      <c r="T38" s="300"/>
      <c r="U38" s="38"/>
    </row>
    <row r="39" spans="1:21" hidden="1" x14ac:dyDescent="0.35">
      <c r="A39" s="110"/>
      <c r="Q39" s="168"/>
      <c r="R39" s="357"/>
      <c r="S39" s="372"/>
      <c r="T39" s="300"/>
      <c r="U39" s="38"/>
    </row>
    <row r="40" spans="1:21" x14ac:dyDescent="0.35">
      <c r="A40" s="110"/>
      <c r="D40" s="88" t="s">
        <v>36</v>
      </c>
      <c r="E40" s="77">
        <f>+'4050'!E40+'4060'!E40+'4070'!E40+'4080'!E40+'40A0'!E40+'40B0'!E40+'40C0'!E40+'4000'!E39</f>
        <v>0</v>
      </c>
      <c r="F40" s="77">
        <f>+'4050'!F40+'4060'!F40+'4070'!F40+'4080'!F40+'40A0'!F40+'40B0'!F40+'40C0'!F40+'4000'!F39</f>
        <v>0</v>
      </c>
      <c r="G40" s="77">
        <f>+'4050'!G40+'4060'!G40+'4070'!G40+'4080'!G40+'40A0'!G40+'40B0'!G40+'40C0'!G40+'4000'!G39</f>
        <v>0</v>
      </c>
      <c r="H40" s="77">
        <f>+'4050'!H40+'4060'!H40+'4070'!H40+'4080'!H40+'40A0'!H40+'40B0'!H40+'40C0'!H40+'4000'!H39</f>
        <v>0</v>
      </c>
      <c r="I40" s="77">
        <f>+'4050'!I40+'4060'!I40+'4070'!I40+'4080'!I40+'40A0'!I40+'40B0'!I40+'40C0'!I40+'4000'!I39</f>
        <v>0</v>
      </c>
      <c r="J40" s="77">
        <f>+'4050'!J40+'4060'!J40+'4070'!J40+'4080'!J40+'40A0'!J40+'40B0'!J40+'40C0'!J40+'4000'!J39</f>
        <v>0</v>
      </c>
      <c r="K40" s="77">
        <f>+'4050'!K40+'4060'!K40+'4070'!K40+'4080'!K40+'40A0'!K40+'40B0'!K40+'40C0'!K40+'4000'!K39</f>
        <v>0</v>
      </c>
      <c r="L40" s="77">
        <f>+'4050'!L40+'4060'!L40+'4070'!L40+'4080'!L40+'40A0'!L40+'40B0'!L40+'40C0'!L40+'4000'!L39</f>
        <v>0</v>
      </c>
      <c r="M40" s="77">
        <f>+'4050'!M40+'4060'!M40+'4070'!M40+'4080'!M40+'40A0'!M40+'40B0'!M40+'40C0'!M40+'4000'!M39</f>
        <v>0</v>
      </c>
      <c r="N40" s="77">
        <f>+'4050'!N40+'4060'!N40+'4070'!N40+'4080'!N40+'40A0'!N40+'40B0'!N40+'40C0'!N40+'4000'!N39</f>
        <v>0</v>
      </c>
      <c r="O40" s="77">
        <f>+'4050'!O40+'4060'!O40+'4070'!O40+'4080'!O40+'40A0'!O40+'40B0'!O40+'40C0'!O40+'4000'!O39</f>
        <v>0</v>
      </c>
      <c r="P40" s="77">
        <f>+'4050'!P40+'4060'!P40+'4070'!P40+'4080'!P40+'40A0'!P40+'40B0'!P40+'40C0'!P40+'4000'!P39</f>
        <v>0</v>
      </c>
      <c r="Q40" s="173">
        <f>SUM(E40:P40)</f>
        <v>0</v>
      </c>
      <c r="R40" s="357"/>
      <c r="S40" s="372"/>
      <c r="T40" s="300"/>
      <c r="U40" s="38"/>
    </row>
    <row r="41" spans="1:21" x14ac:dyDescent="0.35">
      <c r="A41" s="110"/>
      <c r="D41" s="89" t="s">
        <v>37</v>
      </c>
      <c r="E41" s="34">
        <f>+'4050'!E41+'4060'!E41+'4070'!E41+'4080'!E41+'40A0'!E41+'40B0'!E41+'40C0'!E41+'4000'!E40</f>
        <v>5340.55</v>
      </c>
      <c r="F41" s="34">
        <f>+'4050'!F41+'4060'!F41+'4070'!F41+'4080'!F41+'40A0'!F41+'40B0'!F41+'40C0'!F41+'4000'!F40</f>
        <v>5546.55</v>
      </c>
      <c r="G41" s="34">
        <f>+'4050'!G41+'4060'!G41+'4070'!G41+'4080'!G41+'40A0'!G41+'40B0'!G41+'40C0'!G41+'4000'!G40</f>
        <v>9177.2999999999993</v>
      </c>
      <c r="H41" s="34">
        <f>+'4050'!H41+'4060'!H41+'4070'!H41+'4080'!H41+'40A0'!H41+'40B0'!H41+'40C0'!H41+'4000'!H40</f>
        <v>5340.55</v>
      </c>
      <c r="I41" s="34">
        <f>+'4050'!I41+'4060'!I41+'4070'!I41+'4080'!I41+'40A0'!I41+'40B0'!I41+'40C0'!I41+'4000'!I40</f>
        <v>5546.55</v>
      </c>
      <c r="J41" s="34">
        <f>+'4050'!J41+'4060'!J41+'4070'!J41+'4080'!J41+'40A0'!J41+'40B0'!J41+'40C0'!J41+'4000'!J40</f>
        <v>9177.2999999999993</v>
      </c>
      <c r="K41" s="34">
        <f>+'4050'!K41+'4060'!K41+'4070'!K41+'4080'!K41+'40A0'!K41+'40B0'!K41+'40C0'!K41+'4000'!K40</f>
        <v>5340.55</v>
      </c>
      <c r="L41" s="34">
        <f>+'4050'!L41+'4060'!L41+'4070'!L41+'4080'!L41+'40A0'!L41+'40B0'!L41+'40C0'!L41+'4000'!L40</f>
        <v>5546.55</v>
      </c>
      <c r="M41" s="34">
        <f>+'4050'!M41+'4060'!M41+'4070'!M41+'4080'!M41+'40A0'!M41+'40B0'!M41+'40C0'!M41+'4000'!M40</f>
        <v>9177.2999999999993</v>
      </c>
      <c r="N41" s="34">
        <f>+'4050'!N41+'4060'!N41+'4070'!N41+'4080'!N41+'40A0'!N41+'40B0'!N41+'40C0'!N41+'4000'!N40</f>
        <v>5340.55</v>
      </c>
      <c r="O41" s="34">
        <f>+'4050'!O41+'4060'!O41+'4070'!O41+'4080'!O41+'40A0'!O41+'40B0'!O41+'40C0'!O41+'4000'!O40</f>
        <v>5546.55</v>
      </c>
      <c r="P41" s="34">
        <f>+'4050'!P41+'4060'!P41+'4070'!P41+'4080'!P41+'40A0'!P41+'40B0'!P41+'40C0'!P41+'4000'!P40</f>
        <v>9177.2999999999993</v>
      </c>
      <c r="Q41" s="174">
        <f>SUM(E41:P41)</f>
        <v>80257.60000000002</v>
      </c>
      <c r="R41" s="357"/>
      <c r="S41" s="372"/>
      <c r="T41" s="300" t="s">
        <v>371</v>
      </c>
      <c r="U41" s="38" t="s">
        <v>450</v>
      </c>
    </row>
    <row r="42" spans="1:21" x14ac:dyDescent="0.35">
      <c r="A42" s="110"/>
      <c r="D42" s="90" t="s">
        <v>38</v>
      </c>
      <c r="E42" s="43">
        <f>+'4050'!E42+'4060'!E42+'4070'!E42+'4080'!E42+'40A0'!E42+'40B0'!E42+'40C0'!E42+'4000'!E41</f>
        <v>0</v>
      </c>
      <c r="F42" s="43">
        <f>+'4050'!F42+'4060'!F42+'4070'!F42+'4080'!F42+'40A0'!F42+'40B0'!F42+'40C0'!F42+'4000'!F41</f>
        <v>0</v>
      </c>
      <c r="G42" s="43">
        <f>+'4050'!G42+'4060'!G42+'4070'!G42+'4080'!G42+'40A0'!G42+'40B0'!G42+'40C0'!G42+'4000'!G41</f>
        <v>0</v>
      </c>
      <c r="H42" s="43">
        <f>+'4050'!H42+'4060'!H42+'4070'!H42+'4080'!H42+'40A0'!H42+'40B0'!H42+'40C0'!H42+'4000'!H41</f>
        <v>19905</v>
      </c>
      <c r="I42" s="43">
        <f>+'4050'!I42+'4060'!I42+'4070'!I42+'4080'!I42+'40A0'!I42+'40B0'!I42+'40C0'!I42+'4000'!I41</f>
        <v>20000</v>
      </c>
      <c r="J42" s="43">
        <f>+'4050'!J42+'4060'!J42+'4070'!J42+'4080'!J42+'40A0'!J42+'40B0'!J42+'40C0'!J42+'4000'!J41</f>
        <v>10300</v>
      </c>
      <c r="K42" s="43">
        <f>+'4050'!K42+'4060'!K42+'4070'!K42+'4080'!K42+'40A0'!K42+'40B0'!K42+'40C0'!K42+'4000'!K41</f>
        <v>12360</v>
      </c>
      <c r="L42" s="43">
        <f>+'4050'!L42+'4060'!L42+'4070'!L42+'4080'!L42+'40A0'!L42+'40B0'!L42+'40C0'!L42+'4000'!L41</f>
        <v>12360</v>
      </c>
      <c r="M42" s="43">
        <f>+'4050'!M42+'4060'!M42+'4070'!M42+'4080'!M42+'40A0'!M42+'40B0'!M42+'40C0'!M42+'4000'!M41</f>
        <v>19905</v>
      </c>
      <c r="N42" s="43">
        <f>+'4050'!N42+'4060'!N42+'4070'!N42+'4080'!N42+'40A0'!N42+'40B0'!N42+'40C0'!N42+'4000'!N41</f>
        <v>20000</v>
      </c>
      <c r="O42" s="43">
        <f>+'4050'!O42+'4060'!O42+'4070'!O42+'4080'!O42+'40A0'!O42+'40B0'!O42+'40C0'!O42+'4000'!O41</f>
        <v>0</v>
      </c>
      <c r="P42" s="43">
        <f>+'4050'!P42+'4060'!P42+'4070'!P42+'4080'!P42+'40A0'!P42+'40B0'!P42+'40C0'!P42+'4000'!P41</f>
        <v>0</v>
      </c>
      <c r="Q42" s="175">
        <f>SUM(E42:P42)</f>
        <v>114830</v>
      </c>
      <c r="R42" s="357"/>
      <c r="S42" s="372"/>
      <c r="T42" s="300" t="s">
        <v>371</v>
      </c>
      <c r="U42" s="38" t="s">
        <v>588</v>
      </c>
    </row>
    <row r="43" spans="1:21" x14ac:dyDescent="0.35">
      <c r="A43" s="110" t="s">
        <v>109</v>
      </c>
      <c r="C43" s="34" t="s">
        <v>39</v>
      </c>
      <c r="E43" s="43">
        <f t="shared" ref="E43:Q43" si="5">SUM(E40:E42)</f>
        <v>5340.55</v>
      </c>
      <c r="F43" s="43">
        <f t="shared" si="5"/>
        <v>5546.55</v>
      </c>
      <c r="G43" s="43">
        <f t="shared" si="5"/>
        <v>9177.2999999999993</v>
      </c>
      <c r="H43" s="43">
        <f t="shared" si="5"/>
        <v>25245.55</v>
      </c>
      <c r="I43" s="43">
        <f t="shared" si="5"/>
        <v>25546.55</v>
      </c>
      <c r="J43" s="43">
        <f t="shared" si="5"/>
        <v>19477.3</v>
      </c>
      <c r="K43" s="43">
        <f t="shared" si="5"/>
        <v>17700.55</v>
      </c>
      <c r="L43" s="43">
        <f t="shared" si="5"/>
        <v>17906.55</v>
      </c>
      <c r="M43" s="43">
        <f t="shared" si="5"/>
        <v>29082.3</v>
      </c>
      <c r="N43" s="43">
        <f t="shared" si="5"/>
        <v>25340.55</v>
      </c>
      <c r="O43" s="43">
        <f t="shared" si="5"/>
        <v>5546.55</v>
      </c>
      <c r="P43" s="43">
        <f t="shared" si="5"/>
        <v>9177.2999999999993</v>
      </c>
      <c r="Q43" s="177">
        <f t="shared" si="5"/>
        <v>195087.60000000003</v>
      </c>
      <c r="R43" s="364">
        <v>151867</v>
      </c>
      <c r="S43" s="370">
        <f t="shared" si="0"/>
        <v>0.28459507332073475</v>
      </c>
      <c r="T43" s="300"/>
      <c r="U43" s="38"/>
    </row>
    <row r="44" spans="1:21" x14ac:dyDescent="0.35">
      <c r="A44" s="110"/>
      <c r="Q44" s="168"/>
      <c r="R44" s="357"/>
      <c r="S44" s="372"/>
      <c r="T44" s="300"/>
      <c r="U44" s="38"/>
    </row>
    <row r="45" spans="1:21" x14ac:dyDescent="0.35">
      <c r="A45" s="110" t="s">
        <v>110</v>
      </c>
      <c r="C45" s="34" t="s">
        <v>40</v>
      </c>
      <c r="E45" s="34">
        <f>+'4050'!E45+'4060'!E45+'4070'!E45+'4080'!E45+'40A0'!E45+'40B0'!E45+'40C0'!E45+'4000'!E44</f>
        <v>26393.75</v>
      </c>
      <c r="F45" s="34">
        <f>+'4050'!F45+'4060'!F45+'4070'!F45+'4080'!F45+'40A0'!F45+'40B0'!F45+'40C0'!F45+'4000'!F44</f>
        <v>26393.75</v>
      </c>
      <c r="G45" s="34">
        <f>+'4050'!G45+'4060'!G45+'4070'!G45+'4080'!G45+'40A0'!G45+'40B0'!G45+'40C0'!G45+'4000'!G44</f>
        <v>25363.75</v>
      </c>
      <c r="H45" s="34">
        <f>+'4050'!H45+'4060'!H45+'4070'!H45+'4080'!H45+'40A0'!H45+'40B0'!H45+'40C0'!H45+'4000'!H44</f>
        <v>0</v>
      </c>
      <c r="I45" s="34">
        <f>+'4050'!I45+'4060'!I45+'4070'!I45+'4080'!I45+'40A0'!I45+'40B0'!I45+'40C0'!I45+'4000'!I44</f>
        <v>0</v>
      </c>
      <c r="J45" s="34">
        <f>+'4050'!J45+'4060'!J45+'4070'!J45+'4080'!J45+'40A0'!J45+'40B0'!J45+'40C0'!J45+'4000'!J44</f>
        <v>0</v>
      </c>
      <c r="K45" s="34">
        <f>+'4050'!K45+'4060'!K45+'4070'!K45+'4080'!K45+'40A0'!K45+'40B0'!K45+'40C0'!K45+'4000'!K44</f>
        <v>0</v>
      </c>
      <c r="L45" s="34">
        <f>+'4050'!L45+'4060'!L45+'4070'!L45+'4080'!L45+'40A0'!L45+'40B0'!L45+'40C0'!L45+'4000'!L44</f>
        <v>0</v>
      </c>
      <c r="M45" s="34">
        <f>+'4050'!M45+'4060'!M45+'4070'!M45+'4080'!M45+'40A0'!M45+'40B0'!M45+'40C0'!M45+'4000'!M44</f>
        <v>0</v>
      </c>
      <c r="N45" s="34">
        <f>+'4050'!N45+'4060'!N45+'4070'!N45+'4080'!N45+'40A0'!N45+'40B0'!N45+'40C0'!N45+'4000'!N44</f>
        <v>0</v>
      </c>
      <c r="O45" s="34">
        <f>+'4050'!O45+'4060'!O45+'4070'!O45+'4080'!O45+'40A0'!O45+'40B0'!O45+'40C0'!O45+'4000'!O44</f>
        <v>6180</v>
      </c>
      <c r="P45" s="34">
        <f>+'4050'!P45+'4060'!P45+'4070'!P45+'4080'!P45+'40A0'!P45+'40B0'!P45+'40C0'!P45+'4000'!P44</f>
        <v>25878.75</v>
      </c>
      <c r="Q45" s="168">
        <f>SUM(E45:P45)</f>
        <v>110210</v>
      </c>
      <c r="R45" s="357">
        <v>79322</v>
      </c>
      <c r="S45" s="372">
        <f t="shared" si="0"/>
        <v>0.38940016641032749</v>
      </c>
      <c r="T45" s="300" t="s">
        <v>371</v>
      </c>
      <c r="U45" s="38" t="s">
        <v>450</v>
      </c>
    </row>
    <row r="46" spans="1:21" x14ac:dyDescent="0.35">
      <c r="A46" s="110"/>
      <c r="Q46" s="168"/>
      <c r="R46" s="357"/>
      <c r="S46" s="372"/>
      <c r="T46" s="300"/>
      <c r="U46" s="38"/>
    </row>
    <row r="47" spans="1:21" x14ac:dyDescent="0.35">
      <c r="A47" s="110"/>
      <c r="D47" s="88" t="s">
        <v>41</v>
      </c>
      <c r="E47" s="77">
        <f>+'4050'!E47+'4060'!E47+'4070'!E47+'4080'!E47+'40A0'!E47+'40B0'!E47+'40C0'!E47+'4000'!E46</f>
        <v>0</v>
      </c>
      <c r="F47" s="77">
        <f>+'4050'!F47+'4060'!F47+'4070'!F47+'4080'!F47+'40A0'!F47+'40B0'!F47+'40C0'!F47+'4000'!F46</f>
        <v>0</v>
      </c>
      <c r="G47" s="77">
        <f>+'4050'!G47+'4060'!G47+'4070'!G47+'4080'!G47+'40A0'!G47+'40B0'!G47+'40C0'!G47+'4000'!G46</f>
        <v>10547.80287502222</v>
      </c>
      <c r="H47" s="77">
        <f>+'4050'!H47+'4060'!H47+'4070'!H47+'4080'!H47+'40A0'!H47+'40B0'!H47+'40C0'!H47+'4000'!H46</f>
        <v>10547.80287502222</v>
      </c>
      <c r="I47" s="77">
        <f>+'4050'!I47+'4060'!I47+'4070'!I47+'4080'!I47+'40A0'!I47+'40B0'!I47+'40C0'!I47+'4000'!I46</f>
        <v>10547.80287502222</v>
      </c>
      <c r="J47" s="77">
        <f>+'4050'!J47+'4060'!J47+'4070'!J47+'4080'!J47+'40A0'!J47+'40B0'!J47+'40C0'!J47+'4000'!J46</f>
        <v>10547.80287502222</v>
      </c>
      <c r="K47" s="77">
        <f>+'4050'!K47+'4060'!K47+'4070'!K47+'4080'!K47+'40A0'!K47+'40B0'!K47+'40C0'!K47+'4000'!K46</f>
        <v>10547.80287502222</v>
      </c>
      <c r="L47" s="77">
        <f>+'4050'!L47+'4060'!L47+'4070'!L47+'4080'!L47+'40A0'!L47+'40B0'!L47+'40C0'!L47+'4000'!L46</f>
        <v>10547.80287502222</v>
      </c>
      <c r="M47" s="77">
        <f>+'4050'!M47+'4060'!M47+'4070'!M47+'4080'!M47+'40A0'!M47+'40B0'!M47+'40C0'!M47+'4000'!M46</f>
        <v>10547.80287502222</v>
      </c>
      <c r="N47" s="77">
        <f>+'4050'!N47+'4060'!N47+'4070'!N47+'4080'!N47+'40A0'!N47+'40B0'!N47+'40C0'!N47+'4000'!N46</f>
        <v>10547.80287502222</v>
      </c>
      <c r="O47" s="77">
        <f>+'4050'!O47+'4060'!O47+'4070'!O47+'4080'!O47+'40A0'!O47+'40B0'!O47+'40C0'!O47+'4000'!O46</f>
        <v>10547.80287502222</v>
      </c>
      <c r="P47" s="77">
        <f>+'4050'!P47+'4060'!P47+'4070'!P47+'4080'!P47+'40A0'!P47+'40B0'!P47+'40C0'!P47+'4000'!P46</f>
        <v>0</v>
      </c>
      <c r="Q47" s="173">
        <f>SUM(E47:P47)</f>
        <v>94930.225875199976</v>
      </c>
      <c r="R47" s="357"/>
      <c r="S47" s="372"/>
      <c r="T47" s="300" t="s">
        <v>371</v>
      </c>
      <c r="U47" s="38" t="s">
        <v>450</v>
      </c>
    </row>
    <row r="48" spans="1:21" x14ac:dyDescent="0.35">
      <c r="A48" s="110"/>
      <c r="D48" s="89" t="s">
        <v>42</v>
      </c>
      <c r="E48" s="34">
        <f>+'4050'!E48+'4060'!E48+'4070'!E48+'4080'!E48+'40A0'!E48+'40B0'!E48+'40C0'!E48+'4000'!E47</f>
        <v>0</v>
      </c>
      <c r="F48" s="34">
        <f>+'4050'!F48+'4060'!F48+'4070'!F48+'4080'!F48+'40A0'!F48+'40B0'!F48+'40C0'!F48</f>
        <v>0</v>
      </c>
      <c r="G48" s="34">
        <f>+'4050'!G48+'4060'!H48+'4070'!G48+'4080'!G48+'40A0'!G48+'40B0'!G48+'40C0'!G48+'4000'!G47</f>
        <v>3476.25</v>
      </c>
      <c r="H48" s="34">
        <f>+'4050'!H48+'4060'!I48+'4070'!H48+'4080'!H48+'40A0'!H48+'40B0'!H48+'40C0'!H48+'4000'!H47</f>
        <v>5330.25</v>
      </c>
      <c r="I48" s="34">
        <f>+'4050'!I48+'4060'!J48+'4070'!I48+'4080'!I48+'40A0'!I48+'40B0'!I48+'40C0'!I48+'4000'!I47</f>
        <v>9244.25</v>
      </c>
      <c r="J48" s="34">
        <f>+'4050'!J48+'4060'!K48+'4070'!J48+'4080'!J48+'40A0'!J48+'40B0'!J48+'40C0'!J48+'4000'!J47</f>
        <v>3476.25</v>
      </c>
      <c r="K48" s="34">
        <f>+'4050'!K48+'4060'!L48+'4070'!K48+'4080'!K48+'40A0'!K48+'40B0'!K48+'40C0'!K48+'4000'!K47</f>
        <v>3476.25</v>
      </c>
      <c r="L48" s="34">
        <f>+'4050'!L48+'4060'!M48+'4070'!L48+'4080'!L48+'40A0'!L48+'40B0'!L48+'40C0'!L48+'4000'!L47</f>
        <v>3476.25</v>
      </c>
      <c r="M48" s="34">
        <f>+'4050'!M48+'4060'!M48+'4070'!M48+'4080'!M48+'40A0'!M48+'40B0'!M48+'40C0'!M48+'4000'!M47</f>
        <v>7081.25</v>
      </c>
      <c r="N48" s="34">
        <f>+'4050'!N48+'4060'!N48+'4070'!N48+'4080'!N48+'40A0'!N48+'40B0'!N48+'40C0'!N48+'4000'!N47</f>
        <v>7493.25</v>
      </c>
      <c r="O48" s="34">
        <f>+'4050'!O48+'4060'!O48+'4070'!O48+'4080'!O48+'40A0'!O48+'40B0'!O48+'40C0'!O48+'4000'!O47</f>
        <v>1287.5</v>
      </c>
      <c r="P48" s="34">
        <f>+'4050'!P48+'4060'!P48+'4070'!P48+'4080'!P48+'40A0'!P48+'40B0'!P48+'40C0'!P48+'4000'!P47</f>
        <v>0</v>
      </c>
      <c r="Q48" s="174">
        <f>SUM(E48:P48)</f>
        <v>44341.5</v>
      </c>
      <c r="R48" s="357"/>
      <c r="S48" s="372"/>
      <c r="T48" s="300" t="s">
        <v>371</v>
      </c>
      <c r="U48" s="38" t="s">
        <v>450</v>
      </c>
    </row>
    <row r="49" spans="1:21" x14ac:dyDescent="0.35">
      <c r="A49" s="110"/>
      <c r="D49" s="90" t="s">
        <v>43</v>
      </c>
      <c r="E49" s="43">
        <f>+'4050'!E49+'4060'!E49+'4070'!E49+'4080'!E49+'40A0'!E49+'40B0'!E49+'40C0'!E49+'4000'!E48</f>
        <v>4166.666666666667</v>
      </c>
      <c r="F49" s="43">
        <f>+'4050'!F49+'4060'!F49+'4070'!F49+'4080'!F49+'40A0'!F49+'40B0'!F49+'40C0'!F49+'4000'!F48</f>
        <v>4166.666666666667</v>
      </c>
      <c r="G49" s="43">
        <f>+'4050'!G49+'4060'!G49+'4070'!G49+'4080'!G49+'40A0'!G49+'40B0'!G49+'40C0'!G49+'4000'!G48</f>
        <v>4166.666666666667</v>
      </c>
      <c r="H49" s="43">
        <f>+'4050'!H49+'4060'!H49+'4070'!H49+'4080'!H49+'40A0'!H49+'40B0'!H49+'40C0'!H49+'4000'!H48</f>
        <v>4166.666666666667</v>
      </c>
      <c r="I49" s="43">
        <f>+'4050'!I49+'4060'!I49+'4070'!I49+'4080'!I49+'40A0'!I49+'40B0'!I49+'40C0'!I49+'4000'!I48</f>
        <v>4166.666666666667</v>
      </c>
      <c r="J49" s="43">
        <f>+'4050'!J49+'4060'!J49+'4070'!J49+'4080'!J49+'40A0'!J49+'40B0'!J49+'40C0'!J49+'4000'!J48</f>
        <v>4166.666666666667</v>
      </c>
      <c r="K49" s="43">
        <f>+'4050'!K49+'4060'!K49+'4070'!K49+'4080'!K49+'40A0'!K49+'40B0'!K49+'40C0'!K49+'4000'!K48</f>
        <v>4166.666666666667</v>
      </c>
      <c r="L49" s="43">
        <f>+'4050'!L49+'4060'!L49+'4070'!L49+'4080'!L49+'40A0'!L49+'40B0'!L49+'40C0'!L49+'4000'!L48</f>
        <v>4166.666666666667</v>
      </c>
      <c r="M49" s="43">
        <f>+'4050'!M49+'4060'!M49+'4070'!M49+'4080'!M49+'40A0'!M49+'40B0'!M49+'40C0'!M49+'4000'!M48</f>
        <v>4166.666666666667</v>
      </c>
      <c r="N49" s="43">
        <f>+'4050'!N49+'4060'!N49+'4070'!N49+'4080'!N49+'40A0'!N49+'40B0'!N49+'40C0'!N49+'4000'!N48</f>
        <v>4166.666666666667</v>
      </c>
      <c r="O49" s="43">
        <f>+'4050'!O49+'4060'!O49+'4070'!O49+'4080'!O49+'40A0'!O49+'40B0'!O49+'40C0'!O49+'4000'!O48</f>
        <v>4166.666666666667</v>
      </c>
      <c r="P49" s="43">
        <f>+'4050'!P49+'4060'!P49+'4070'!P49+'4080'!P49+'40A0'!P49+'40B0'!P49+'40C0'!P49+'4000'!P48</f>
        <v>4166.666666666667</v>
      </c>
      <c r="Q49" s="175">
        <f>SUM(E49:P49)</f>
        <v>49999.999999999993</v>
      </c>
      <c r="R49" s="357"/>
      <c r="S49" s="372"/>
      <c r="T49" s="300" t="s">
        <v>371</v>
      </c>
      <c r="U49" s="38" t="s">
        <v>589</v>
      </c>
    </row>
    <row r="50" spans="1:21" x14ac:dyDescent="0.35">
      <c r="A50" s="110" t="s">
        <v>111</v>
      </c>
      <c r="C50" s="34" t="s">
        <v>44</v>
      </c>
      <c r="E50" s="43">
        <f t="shared" ref="E50:Q50" si="6">SUM(E47:E49)</f>
        <v>4166.666666666667</v>
      </c>
      <c r="F50" s="43">
        <f t="shared" si="6"/>
        <v>4166.666666666667</v>
      </c>
      <c r="G50" s="43">
        <f t="shared" si="6"/>
        <v>18190.719541688886</v>
      </c>
      <c r="H50" s="43">
        <f t="shared" si="6"/>
        <v>20044.719541688886</v>
      </c>
      <c r="I50" s="43">
        <f t="shared" si="6"/>
        <v>23958.71954168889</v>
      </c>
      <c r="J50" s="43">
        <f t="shared" si="6"/>
        <v>18190.719541688886</v>
      </c>
      <c r="K50" s="43">
        <f t="shared" si="6"/>
        <v>18190.719541688886</v>
      </c>
      <c r="L50" s="43">
        <f t="shared" si="6"/>
        <v>18190.719541688886</v>
      </c>
      <c r="M50" s="43">
        <f t="shared" si="6"/>
        <v>21795.71954168889</v>
      </c>
      <c r="N50" s="43">
        <f t="shared" si="6"/>
        <v>22207.71954168889</v>
      </c>
      <c r="O50" s="43">
        <f t="shared" si="6"/>
        <v>16001.969541688886</v>
      </c>
      <c r="P50" s="43">
        <f t="shared" si="6"/>
        <v>4166.666666666667</v>
      </c>
      <c r="Q50" s="177">
        <f t="shared" si="6"/>
        <v>189271.72587519998</v>
      </c>
      <c r="R50" s="364">
        <v>145803</v>
      </c>
      <c r="S50" s="370">
        <f t="shared" si="0"/>
        <v>0.29813327486540042</v>
      </c>
      <c r="T50" s="300"/>
      <c r="U50" s="38"/>
    </row>
    <row r="51" spans="1:21" x14ac:dyDescent="0.35">
      <c r="A51" s="110"/>
      <c r="Q51" s="168"/>
      <c r="R51" s="357"/>
      <c r="S51" s="372"/>
      <c r="T51" s="300"/>
      <c r="U51" s="38"/>
    </row>
    <row r="52" spans="1:21" x14ac:dyDescent="0.35">
      <c r="A52" s="110" t="s">
        <v>112</v>
      </c>
      <c r="C52" s="34" t="s">
        <v>45</v>
      </c>
      <c r="E52" s="34">
        <f>+'4050'!E52+'4060'!E52+'4070'!E52+'4080'!E52+'40A0'!E52+'40B0'!E52+'40C0'!E52+'4000'!E51</f>
        <v>2112</v>
      </c>
      <c r="F52" s="34">
        <f>+'4050'!F52+'4060'!F52+'4070'!F52+'4080'!F52+'40A0'!F52+'40B0'!F52+'40C0'!F52+'4000'!F51</f>
        <v>2112</v>
      </c>
      <c r="G52" s="34">
        <f>+'4050'!G52+'4060'!G52+'4070'!G52+'4080'!G52+'40A0'!G52+'40B0'!G52+'40C0'!G52+'4000'!G51</f>
        <v>2112</v>
      </c>
      <c r="H52" s="34">
        <f>+'4050'!H52+'4060'!H52+'4070'!H52+'4080'!H52+'40A0'!H52+'40B0'!H52+'40C0'!H52+'4000'!H51</f>
        <v>2112</v>
      </c>
      <c r="I52" s="34">
        <f>+'4050'!I52+'4060'!I52+'4070'!I52+'4080'!I52+'40A0'!I52+'40B0'!I52+'40C0'!I52+'4000'!I51</f>
        <v>2112</v>
      </c>
      <c r="J52" s="34">
        <f>+'4050'!J52+'4060'!J52+'4070'!J52+'4080'!J52+'40A0'!J52+'40B0'!J52+'40C0'!J52+'4000'!J51</f>
        <v>2112</v>
      </c>
      <c r="K52" s="34">
        <f>+'4050'!K52+'4060'!K52+'4070'!K52+'4080'!K52+'40A0'!K52+'40B0'!K52+'40C0'!K52+'4000'!K51</f>
        <v>2112</v>
      </c>
      <c r="L52" s="34">
        <f>+'4050'!L52+'4060'!L52+'4070'!L52+'4080'!L52+'40A0'!L52+'40B0'!L52+'40C0'!L52+'4000'!L51</f>
        <v>2112</v>
      </c>
      <c r="M52" s="34">
        <f>+'4050'!M52+'4060'!M52+'4070'!M52+'4080'!M52+'40A0'!M52+'40B0'!M52+'40C0'!M52+'4000'!M51</f>
        <v>2112</v>
      </c>
      <c r="N52" s="34">
        <f>+'4050'!N52+'4060'!N52+'4070'!N52+'4080'!N52+'40A0'!N52+'40B0'!N52+'40C0'!N52+'4000'!N51</f>
        <v>2112</v>
      </c>
      <c r="O52" s="34">
        <f>+'4050'!O52+'4060'!O52+'4070'!O52+'4080'!O52+'40A0'!O52+'40B0'!O52+'40C0'!O52+'4000'!O51</f>
        <v>2112</v>
      </c>
      <c r="P52" s="34">
        <f>+'4050'!P52+'4060'!P52+'4070'!P52+'4080'!P52+'40A0'!P52+'40B0'!P52+'40C0'!P52+'4000'!P51</f>
        <v>2112</v>
      </c>
      <c r="Q52" s="168">
        <f>SUM(E52:P52)</f>
        <v>25344</v>
      </c>
      <c r="R52" s="357">
        <v>28451</v>
      </c>
      <c r="S52" s="372">
        <f t="shared" si="0"/>
        <v>-0.10920530034093701</v>
      </c>
      <c r="T52" s="300"/>
      <c r="U52" s="38" t="s">
        <v>450</v>
      </c>
    </row>
    <row r="53" spans="1:21" x14ac:dyDescent="0.35">
      <c r="A53" s="110"/>
      <c r="Q53" s="168"/>
      <c r="R53" s="357"/>
      <c r="S53" s="372"/>
      <c r="T53" s="300"/>
      <c r="U53" s="38"/>
    </row>
    <row r="54" spans="1:21" x14ac:dyDescent="0.35">
      <c r="A54" s="110" t="s">
        <v>113</v>
      </c>
      <c r="B54" s="34" t="s">
        <v>46</v>
      </c>
      <c r="C54" s="34" t="s">
        <v>47</v>
      </c>
      <c r="E54" s="34">
        <f>'4050'!E54+'4060'!E54+'4070'!E54+'4080'!E54+'40A0'!E54+'40B0'!E54+'40C0'!E54+'4000'!E53</f>
        <v>21235</v>
      </c>
      <c r="F54" s="34">
        <f>'4050'!F54+'4060'!F54+'4070'!F54+'4080'!F54+'40A0'!F54+'40B0'!F54+'40C0'!F54+'4000'!F53</f>
        <v>21072</v>
      </c>
      <c r="G54" s="34">
        <f>'4050'!G54+'4060'!G54+'4070'!G54+'4080'!G54+'40A0'!G54+'40B0'!G54+'40C0'!G54+'4000'!G53</f>
        <v>21316</v>
      </c>
      <c r="H54" s="34">
        <f>'4050'!H54+'4060'!H54+'4070'!H54+'4080'!H54+'40A0'!H54+'40B0'!H54+'40C0'!H54+'4000'!H53</f>
        <v>21238</v>
      </c>
      <c r="I54" s="34">
        <f>'4050'!I54+'4060'!I54+'4070'!I54+'4080'!I54+'40A0'!I54+'40B0'!I54+'40C0'!I54+'4000'!I53</f>
        <v>21344</v>
      </c>
      <c r="J54" s="34">
        <f>'4050'!J54+'4060'!J54+'4070'!J54+'4080'!J54+'40A0'!J54+'40B0'!J54+'40C0'!J54+'4000'!J53</f>
        <v>21708</v>
      </c>
      <c r="K54" s="34">
        <f>'4050'!K54+'4060'!K54+'4070'!K54+'4080'!K54+'40A0'!K54+'40B0'!K54+'40C0'!K54+'4000'!K53</f>
        <v>21112</v>
      </c>
      <c r="L54" s="34">
        <f>'4050'!L54+'4060'!L54+'4070'!L54+'4080'!L54+'40A0'!L54+'40B0'!L54+'40C0'!L54+'4000'!L53</f>
        <v>21051</v>
      </c>
      <c r="M54" s="34">
        <f>'4050'!M54+'4060'!M54+'4070'!M54+'4080'!M54+'40A0'!M54+'40B0'!M54+'40C0'!M54+'4000'!M53</f>
        <v>20986</v>
      </c>
      <c r="N54" s="34">
        <f>'4050'!N54+'4060'!N54+'4070'!N54+'4080'!N54+'40A0'!N54+'40B0'!N54+'40C0'!N54+'4000'!N53</f>
        <v>20791</v>
      </c>
      <c r="O54" s="34">
        <f>'4050'!O54+'4060'!O54+'4070'!O54+'4080'!O54+'40A0'!O54+'40B0'!O54+'40C0'!O54+'4000'!O53</f>
        <v>20392</v>
      </c>
      <c r="P54" s="34">
        <f>'4050'!P54+'4060'!P54+'4070'!P54+'4080'!P54+'40A0'!P54+'40B0'!P54+'40C0'!P54+'4000'!P53</f>
        <v>20768</v>
      </c>
      <c r="Q54" s="168">
        <f>SUM(E54:P54)</f>
        <v>253013</v>
      </c>
      <c r="R54" s="357">
        <v>255695</v>
      </c>
      <c r="S54" s="372">
        <f t="shared" si="0"/>
        <v>-1.0489059230724074E-2</v>
      </c>
      <c r="T54" s="300"/>
      <c r="U54" s="38" t="s">
        <v>590</v>
      </c>
    </row>
    <row r="55" spans="1:21" x14ac:dyDescent="0.35">
      <c r="A55" s="110"/>
      <c r="Q55" s="168"/>
      <c r="R55" s="357"/>
      <c r="S55" s="372"/>
      <c r="T55" s="300"/>
      <c r="U55" s="38"/>
    </row>
    <row r="56" spans="1:21" x14ac:dyDescent="0.35">
      <c r="A56" s="110" t="s">
        <v>114</v>
      </c>
      <c r="C56" s="34" t="s">
        <v>48</v>
      </c>
      <c r="E56" s="34">
        <f>+'4050'!E56+'4060'!E56+'4070'!E56+'4080'!E56+'40A0'!E56+'40B0'!E56+'40C0'!E56+'4000'!E55</f>
        <v>8538.7000000000007</v>
      </c>
      <c r="F56" s="34">
        <f>+'4050'!F56+'4060'!F56+'4070'!F56+'4080'!F56+'40A0'!F56+'40B0'!F56+'40C0'!F56+'4000'!F55</f>
        <v>8538.7000000000007</v>
      </c>
      <c r="G56" s="34">
        <f>+'4050'!G56+'4060'!G56+'4070'!G56+'4080'!G56+'40A0'!G56+'40B0'!G56+'40C0'!G56+'4000'!G55</f>
        <v>8538.7000000000007</v>
      </c>
      <c r="H56" s="34">
        <f>+'4050'!H56+'4060'!H56+'4070'!H56+'4080'!H56+'40A0'!H56+'40B0'!H56+'40C0'!H56+'4000'!H55</f>
        <v>8590.2000000000007</v>
      </c>
      <c r="I56" s="34">
        <f>+'4050'!I56+'4060'!I56+'4070'!I56+'4080'!I56+'40A0'!I56+'40B0'!I56+'40C0'!I56+'4000'!I55</f>
        <v>8538.7000000000007</v>
      </c>
      <c r="J56" s="34">
        <f>+'4050'!J56+'4060'!J56+'4070'!J56+'4080'!J56+'40A0'!J56+'40B0'!J56+'40C0'!J56+'4000'!J55</f>
        <v>11638.7</v>
      </c>
      <c r="K56" s="34">
        <f>+'4050'!K56+'4060'!K56+'4070'!K56+'4080'!K56+'40A0'!K56+'40B0'!K56+'40C0'!K56+'4000'!K55</f>
        <v>8538.7000000000007</v>
      </c>
      <c r="L56" s="34">
        <f>+'4050'!L56+'4060'!L56+'4070'!L56+'4080'!L56+'40A0'!L56+'40B0'!L56+'40C0'!L56+'4000'!L55</f>
        <v>8538.7000000000007</v>
      </c>
      <c r="M56" s="34">
        <f>+'4050'!M56+'4060'!M56+'4070'!M56+'4080'!M56+'40A0'!M56+'40B0'!M56+'40C0'!M56+'4000'!M55</f>
        <v>8538.7000000000007</v>
      </c>
      <c r="N56" s="34">
        <f>+'4050'!N56+'4060'!N56+'4070'!N56+'4080'!N56+'40A0'!N56+'40B0'!N56+'40C0'!N56+'4000'!N55</f>
        <v>9190.2000000000007</v>
      </c>
      <c r="O56" s="34">
        <f>+'4050'!O56+'4060'!O56+'4070'!O56+'4080'!O56+'40A0'!O56+'40B0'!O56+'40C0'!O56+'4000'!O55</f>
        <v>8538.7000000000007</v>
      </c>
      <c r="P56" s="34">
        <f>+'4050'!P56+'4060'!P56+'4070'!P56+'4080'!P56+'40A0'!P56+'40B0'!P56+'40C0'!P56+'4000'!P55</f>
        <v>11638.7</v>
      </c>
      <c r="Q56" s="168">
        <f>SUM(E56:P56)</f>
        <v>109367.39999999998</v>
      </c>
      <c r="R56" s="357">
        <v>120560</v>
      </c>
      <c r="S56" s="372">
        <f t="shared" si="0"/>
        <v>-9.2838420703384328E-2</v>
      </c>
      <c r="T56" s="300"/>
      <c r="U56" s="38" t="s">
        <v>450</v>
      </c>
    </row>
    <row r="57" spans="1:21" x14ac:dyDescent="0.35">
      <c r="A57" s="110"/>
      <c r="Q57" s="168"/>
      <c r="R57" s="357"/>
      <c r="S57" s="372"/>
      <c r="T57" s="300"/>
      <c r="U57" s="38"/>
    </row>
    <row r="58" spans="1:21" x14ac:dyDescent="0.35">
      <c r="A58" s="110" t="s">
        <v>115</v>
      </c>
      <c r="C58" s="34" t="s">
        <v>23</v>
      </c>
      <c r="E58" s="34">
        <f>+'4050'!E58+'4060'!E58+'4070'!E58+'4080'!E58+'40A0'!E58+'40B0'!E58+'40C0'!E58+'4000'!E57</f>
        <v>37458.057557025</v>
      </c>
      <c r="F58" s="34">
        <f>+'4050'!F58+'4060'!F58+'4070'!F58+'4080'!F58+'40A0'!F58+'40B0'!F58+'40C0'!F58+'4000'!F57</f>
        <v>37458.057557025</v>
      </c>
      <c r="G58" s="34">
        <f>+'4050'!G58+'4060'!G58+'4070'!G58+'4080'!G58+'40A0'!G58+'40B0'!G58+'40C0'!G58+'4000'!G57</f>
        <v>37458.057557025</v>
      </c>
      <c r="H58" s="34">
        <f>+'4050'!H58+'4060'!H58+'4070'!H58+'4080'!H58+'40A0'!H58+'40B0'!H58+'40C0'!H58+'4000'!H57</f>
        <v>37458.057557025</v>
      </c>
      <c r="I58" s="34">
        <f>+'4050'!I58+'4060'!I58+'4070'!I58+'4080'!I58+'40A0'!I58+'40B0'!I58+'40C0'!I58+'4000'!I57</f>
        <v>37458.057557025</v>
      </c>
      <c r="J58" s="34">
        <f>+'4050'!J58+'4060'!J58+'4070'!J58+'4080'!J58+'40A0'!J58+'40B0'!J58+'40C0'!J58+'4000'!J57</f>
        <v>37458.057557025</v>
      </c>
      <c r="K58" s="34">
        <f>+'4050'!K58+'4060'!K58+'4070'!K58+'4080'!K58+'40A0'!K58+'40B0'!K58+'40C0'!K58+'4000'!K57</f>
        <v>37458.057557025</v>
      </c>
      <c r="L58" s="34">
        <f>+'4050'!L58+'4060'!L58+'4070'!L58+'4080'!L58+'40A0'!L58+'40B0'!L58+'40C0'!L58+'4000'!L57</f>
        <v>37458.057557025</v>
      </c>
      <c r="M58" s="34">
        <f>+'4050'!M58+'4060'!M58+'4070'!M58+'4080'!M58+'40A0'!M58+'40B0'!M58+'40C0'!M58+'4000'!M57</f>
        <v>37458.057557025</v>
      </c>
      <c r="N58" s="34">
        <f>+'4050'!N58+'4060'!N58+'4070'!N58+'4080'!N58+'40A0'!N58+'40B0'!N58+'40C0'!N58+'4000'!N57</f>
        <v>37458.057557025</v>
      </c>
      <c r="O58" s="34">
        <f>+'4050'!O58+'4060'!O58+'4070'!O58+'4080'!O58+'40A0'!O58+'40B0'!O58+'40C0'!O58+'4000'!O57</f>
        <v>37458.057557025</v>
      </c>
      <c r="P58" s="34">
        <f>+'4050'!P58+'4060'!P58+'4070'!P58+'4080'!P58+'40A0'!P58+'40B0'!P58+'40C0'!P58+'4000'!P57</f>
        <v>37458.057557025</v>
      </c>
      <c r="Q58" s="168">
        <f>SUM(E58:P58)</f>
        <v>449496.69068429997</v>
      </c>
      <c r="R58" s="357">
        <v>770524</v>
      </c>
      <c r="S58" s="372">
        <f t="shared" si="0"/>
        <v>-0.41663505525551447</v>
      </c>
      <c r="T58" s="300"/>
    </row>
    <row r="59" spans="1:21" x14ac:dyDescent="0.35">
      <c r="A59" s="110"/>
      <c r="Q59" s="168"/>
      <c r="R59" s="357"/>
      <c r="S59" s="372"/>
      <c r="T59" s="300"/>
      <c r="U59" s="38"/>
    </row>
    <row r="60" spans="1:21" x14ac:dyDescent="0.35">
      <c r="A60" s="110"/>
      <c r="D60" s="88" t="s">
        <v>49</v>
      </c>
      <c r="E60" s="77">
        <f>+'4050'!E60+'4060'!E60+'4070'!E60+'4080'!E60+'40A0'!E60+'40B0'!E60+'40C0'!E60+'4000'!E59</f>
        <v>10654</v>
      </c>
      <c r="F60" s="77">
        <f>+'4050'!F60+'4060'!F60+'4070'!F60+'4080'!F60+'40A0'!F60+'40B0'!F60+'40C0'!F60+'4000'!F59</f>
        <v>10654</v>
      </c>
      <c r="G60" s="77">
        <f>+'4050'!G60+'4060'!G60+'4070'!G60+'4080'!G60+'40A0'!G60+'40B0'!G60+'40C0'!G60+'4000'!G59</f>
        <v>10654</v>
      </c>
      <c r="H60" s="77">
        <f>+'4050'!H60+'4060'!H60+'4070'!H60+'4080'!H60+'40A0'!H60+'40B0'!H60+'40C0'!H60+'4000'!H59</f>
        <v>10654</v>
      </c>
      <c r="I60" s="77">
        <f>+'4050'!I60+'4060'!I60+'4070'!I60+'4080'!I60+'40A0'!I60+'40B0'!I60+'40C0'!I60+'4000'!I59</f>
        <v>10654</v>
      </c>
      <c r="J60" s="77">
        <f>+'4050'!J60+'4060'!J60+'4070'!J60+'4080'!J60+'40A0'!J60+'40B0'!J60+'40C0'!J60+'4000'!J59</f>
        <v>10654</v>
      </c>
      <c r="K60" s="77">
        <f>+'4050'!K60+'4060'!K60+'4070'!K60+'4080'!K60+'40A0'!K60+'40B0'!K60+'40C0'!K60+'4000'!K59</f>
        <v>10654</v>
      </c>
      <c r="L60" s="77">
        <f>+'4050'!L60+'4060'!L60+'4070'!L60+'4080'!L60+'40A0'!L60+'40B0'!L60+'40C0'!L60+'4000'!L59</f>
        <v>10654</v>
      </c>
      <c r="M60" s="77">
        <f>+'4050'!M60+'4060'!M60+'4070'!M60+'4080'!M60+'40A0'!M60+'40B0'!M60+'40C0'!M60+'4000'!M59</f>
        <v>10654</v>
      </c>
      <c r="N60" s="77">
        <f>+'4050'!N60+'4060'!N60+'4070'!N60+'4080'!N60+'40A0'!N60+'40B0'!N60+'40C0'!N60+'4000'!N59</f>
        <v>10654</v>
      </c>
      <c r="O60" s="77">
        <f>+'4050'!O60+'4060'!O60+'4070'!O60+'4080'!O60+'40A0'!O60+'40B0'!O60+'40C0'!O60+'4000'!O59</f>
        <v>10867.079999999998</v>
      </c>
      <c r="P60" s="77">
        <f>+'4050'!P60+'4060'!P60+'4070'!P60+'4080'!P60+'40A0'!P60+'40B0'!P60+'40C0'!P60+'4000'!P59</f>
        <v>10867.079999999998</v>
      </c>
      <c r="Q60" s="173">
        <f>SUM(E60:P60)</f>
        <v>128274.16</v>
      </c>
      <c r="R60" s="357"/>
      <c r="S60" s="372"/>
      <c r="T60" s="300"/>
      <c r="U60" s="38"/>
    </row>
    <row r="61" spans="1:21" x14ac:dyDescent="0.35">
      <c r="A61" s="110"/>
      <c r="D61" s="89" t="s">
        <v>50</v>
      </c>
      <c r="E61" s="34">
        <f>+'4050'!E61+'4060'!E61+'4070'!E61+'4080'!E61+'40A0'!E61+'40B0'!E61+'40C0'!E61+'4000'!E60</f>
        <v>7751</v>
      </c>
      <c r="F61" s="34">
        <f>+'4050'!F61+'4060'!F61+'4070'!F61+'4080'!F61+'40A0'!F61+'40B0'!F61+'40C0'!F61+'4000'!F60</f>
        <v>7751</v>
      </c>
      <c r="G61" s="34">
        <f>+'4050'!G61+'4060'!G61+'4070'!G61+'4080'!G61+'40A0'!G61+'40B0'!G61+'40C0'!G61+'4000'!G60</f>
        <v>7751</v>
      </c>
      <c r="H61" s="34">
        <f>+'4050'!H61+'4060'!H61+'4070'!H61+'4080'!H61+'40A0'!H61+'40B0'!H61+'40C0'!H61+'4000'!H60</f>
        <v>7751</v>
      </c>
      <c r="I61" s="34">
        <f>+'4050'!I61+'4060'!I61+'4070'!I61+'4080'!I61+'40A0'!I61+'40B0'!I61+'40C0'!I61+'4000'!I60</f>
        <v>7751</v>
      </c>
      <c r="J61" s="34">
        <f>+'4050'!J61+'4060'!J61+'4070'!J61+'4080'!J61+'40A0'!J61+'40B0'!J61+'40C0'!J61+'4000'!J60</f>
        <v>7751</v>
      </c>
      <c r="K61" s="34">
        <f>+'4050'!K61+'4060'!K61+'4070'!K61+'4080'!K61+'40A0'!K61+'40B0'!K61+'40C0'!K61+'4000'!K60</f>
        <v>7751</v>
      </c>
      <c r="L61" s="34">
        <f>+'4050'!L61+'4060'!L61+'4070'!L61+'4080'!L61+'40A0'!L61+'40B0'!L61+'40C0'!L61+'4000'!L60</f>
        <v>7751</v>
      </c>
      <c r="M61" s="34">
        <f>+'4050'!M61+'4060'!M61+'4070'!M61+'4080'!M61+'40A0'!M61+'40B0'!M61+'40C0'!M61+'4000'!M60</f>
        <v>7751</v>
      </c>
      <c r="N61" s="34">
        <f>+'4050'!N61+'4060'!N61+'4070'!N61+'4080'!N61+'40A0'!N61+'40B0'!N61+'40C0'!N61+'4000'!N60</f>
        <v>7751</v>
      </c>
      <c r="O61" s="34">
        <f>+'4050'!O61+'4060'!O61+'4070'!O61+'4080'!O61+'40A0'!O61+'40B0'!O61+'40C0'!O61+'4000'!O60</f>
        <v>7906.0199999999995</v>
      </c>
      <c r="P61" s="34">
        <f>+'4050'!P61+'4060'!P61+'4070'!P61+'4080'!P61+'40A0'!P61+'40B0'!P61+'40C0'!P61+'4000'!P60</f>
        <v>7906.0199999999995</v>
      </c>
      <c r="Q61" s="174">
        <f>SUM(E61:P61)</f>
        <v>93322.040000000008</v>
      </c>
      <c r="R61" s="357"/>
      <c r="S61" s="372"/>
      <c r="T61" s="300"/>
      <c r="U61" s="38"/>
    </row>
    <row r="62" spans="1:21" x14ac:dyDescent="0.35">
      <c r="A62" s="110"/>
      <c r="D62" s="90" t="s">
        <v>51</v>
      </c>
      <c r="E62" s="43">
        <f>+'4050'!E62+'4060'!E62+'4070'!E62+'4080'!E62+'40A0'!E62+'40B0'!E62+'40C0'!E62+'4000'!E61</f>
        <v>324</v>
      </c>
      <c r="F62" s="43">
        <f>+'4050'!F62+'4060'!F62+'4070'!F62+'4080'!F62+'40A0'!F62+'40B0'!F62+'40C0'!F62+'4000'!F61</f>
        <v>324</v>
      </c>
      <c r="G62" s="43">
        <f>+'4050'!G62+'4060'!G62+'4070'!G62+'4080'!G62+'40A0'!G62+'40B0'!G62+'40C0'!G62+'4000'!G61</f>
        <v>324</v>
      </c>
      <c r="H62" s="43">
        <f>+'4050'!H62+'4060'!H62+'4070'!H62+'4080'!H62+'40A0'!H62+'40B0'!H62+'40C0'!H62+'4000'!H61</f>
        <v>324</v>
      </c>
      <c r="I62" s="43">
        <f>+'4050'!I62+'4060'!I62+'4070'!I62+'4080'!I62+'40A0'!I62+'40B0'!I62+'40C0'!I62+'4000'!I61</f>
        <v>324</v>
      </c>
      <c r="J62" s="43">
        <f>+'4050'!J62+'4060'!J62+'4070'!J62+'4080'!J62+'40A0'!J62+'40B0'!J62+'40C0'!J62+'4000'!J61</f>
        <v>324</v>
      </c>
      <c r="K62" s="43">
        <f>+'4050'!K62+'4060'!K62+'4070'!K62+'4080'!K62+'40A0'!K62+'40B0'!K62+'40C0'!K62+'4000'!K61</f>
        <v>324</v>
      </c>
      <c r="L62" s="43">
        <f>+'4050'!L62+'4060'!L62+'4070'!L62+'4080'!L62+'40A0'!L62+'40B0'!L62+'40C0'!L62+'4000'!L61</f>
        <v>324</v>
      </c>
      <c r="M62" s="43">
        <f>+'4050'!M62+'4060'!M62+'4070'!M62+'4080'!M62+'40A0'!M62+'40B0'!M62+'40C0'!M62+'4000'!M61</f>
        <v>324</v>
      </c>
      <c r="N62" s="43">
        <f>+'4050'!N62+'4060'!N62+'4070'!N62+'4080'!N62+'40A0'!N62+'40B0'!N62+'40C0'!N62+'4000'!N61</f>
        <v>324</v>
      </c>
      <c r="O62" s="43">
        <f>+'4050'!O62+'4060'!O62+'4070'!O62+'4080'!O62+'40A0'!O62+'40B0'!O62+'40C0'!O62+'4000'!O61</f>
        <v>330.47999999999996</v>
      </c>
      <c r="P62" s="43">
        <f>+'4050'!P62+'4060'!P62+'4070'!P62+'4080'!P62+'40A0'!P62+'40B0'!P62+'40C0'!P62+'4000'!P61</f>
        <v>330.47999999999996</v>
      </c>
      <c r="Q62" s="175">
        <f>SUM(E62:P62)</f>
        <v>3900.96</v>
      </c>
      <c r="R62" s="357"/>
      <c r="S62" s="372"/>
      <c r="T62" s="300"/>
      <c r="U62" s="38"/>
    </row>
    <row r="63" spans="1:21" x14ac:dyDescent="0.35">
      <c r="A63" s="110" t="s">
        <v>116</v>
      </c>
      <c r="C63" s="34" t="s">
        <v>24</v>
      </c>
      <c r="E63" s="43">
        <f t="shared" ref="E63:Q63" si="7">SUM(E60:E62)</f>
        <v>18729</v>
      </c>
      <c r="F63" s="43">
        <f t="shared" si="7"/>
        <v>18729</v>
      </c>
      <c r="G63" s="43">
        <f t="shared" si="7"/>
        <v>18729</v>
      </c>
      <c r="H63" s="43">
        <f t="shared" si="7"/>
        <v>18729</v>
      </c>
      <c r="I63" s="43">
        <f t="shared" si="7"/>
        <v>18729</v>
      </c>
      <c r="J63" s="43">
        <f t="shared" si="7"/>
        <v>18729</v>
      </c>
      <c r="K63" s="43">
        <f t="shared" si="7"/>
        <v>18729</v>
      </c>
      <c r="L63" s="43">
        <f t="shared" si="7"/>
        <v>18729</v>
      </c>
      <c r="M63" s="43">
        <f t="shared" si="7"/>
        <v>18729</v>
      </c>
      <c r="N63" s="43">
        <f t="shared" si="7"/>
        <v>18729</v>
      </c>
      <c r="O63" s="43">
        <f t="shared" si="7"/>
        <v>19103.579999999998</v>
      </c>
      <c r="P63" s="43">
        <f t="shared" si="7"/>
        <v>19103.579999999998</v>
      </c>
      <c r="Q63" s="177">
        <f t="shared" si="7"/>
        <v>225497.16</v>
      </c>
      <c r="R63" s="364">
        <v>225428</v>
      </c>
      <c r="S63" s="370">
        <f t="shared" si="0"/>
        <v>3.0679418705759076E-4</v>
      </c>
      <c r="T63" s="300"/>
      <c r="U63" s="38"/>
    </row>
    <row r="64" spans="1:21" x14ac:dyDescent="0.35">
      <c r="A64" s="110"/>
      <c r="Q64" s="168"/>
      <c r="R64" s="357"/>
      <c r="S64" s="372"/>
      <c r="T64" s="300"/>
      <c r="U64" s="38"/>
    </row>
    <row r="65" spans="1:21" x14ac:dyDescent="0.35">
      <c r="A65" s="110"/>
      <c r="D65" s="88" t="s">
        <v>52</v>
      </c>
      <c r="E65" s="77">
        <f>+'4050'!E65+'4060'!E65+'4070'!E65+'4080'!E65+'40A0'!E65+'40B0'!E65+'40C0'!E65+'4000'!E64</f>
        <v>40618.481573756733</v>
      </c>
      <c r="F65" s="77">
        <f>+'4050'!F65+'4060'!F65+'4070'!F65+'4080'!F65+'40A0'!F65+'40B0'!F65+'40C0'!F65+'4000'!F64</f>
        <v>40706.879754695939</v>
      </c>
      <c r="G65" s="77">
        <f>+'4050'!G65+'4060'!G65+'4070'!G65+'4080'!G65+'40A0'!G65+'40B0'!G65+'40C0'!G65+'4000'!G64</f>
        <v>40989.630437063941</v>
      </c>
      <c r="H65" s="77">
        <f>+'4050'!H65+'4060'!H65+'4070'!H65+'4080'!H65+'40A0'!H65+'40B0'!H65+'40C0'!H65+'4000'!H64</f>
        <v>41748.195594585544</v>
      </c>
      <c r="I65" s="77">
        <f>+'4050'!I65+'4060'!I65+'4070'!I65+'4080'!I65+'40A0'!I65+'40B0'!I65+'40C0'!I65+'4000'!I64</f>
        <v>41748.195594585544</v>
      </c>
      <c r="J65" s="77">
        <f>+'4050'!J65+'4060'!J65+'4070'!J65+'4080'!J65+'40A0'!J65+'40B0'!J65+'40C0'!J65+'4000'!J64</f>
        <v>41748.195594585544</v>
      </c>
      <c r="K65" s="77">
        <f>+'4050'!K65+'4060'!K65+'4070'!K65+'4080'!K65+'40A0'!K65+'40B0'!K65+'40C0'!K65+'4000'!K64</f>
        <v>41543.320334809541</v>
      </c>
      <c r="L65" s="77">
        <f>+'4050'!L65+'4060'!L65+'4070'!L65+'4080'!L65+'40A0'!L65+'40B0'!L65+'40C0'!L65+'4000'!L64</f>
        <v>41543.320334809541</v>
      </c>
      <c r="M65" s="77">
        <f>+'4050'!M65+'4060'!M65+'4070'!M65+'4080'!M65+'40A0'!M65+'40B0'!M65+'40C0'!M65+'4000'!M64</f>
        <v>41477.438671656739</v>
      </c>
      <c r="N65" s="77">
        <f>+'4050'!N65+'4060'!N65+'4070'!N65+'4080'!N65+'40A0'!N65+'40B0'!N65+'40C0'!N65+'4000'!N64</f>
        <v>41477.438671656739</v>
      </c>
      <c r="O65" s="77">
        <f>+'4050'!O65+'4060'!O65+'4070'!O65+'4080'!O65+'40A0'!O65+'40B0'!O65+'40C0'!O65+'4000'!O64</f>
        <v>41100.158849409941</v>
      </c>
      <c r="P65" s="77">
        <f>+'4050'!P65+'4060'!P65+'4070'!P65+'4080'!P65+'40A0'!P65+'40B0'!P65+'40C0'!P65+'4000'!P64</f>
        <v>40523.991164803141</v>
      </c>
      <c r="Q65" s="173">
        <f>SUM(E65:P65)</f>
        <v>495225.24657641893</v>
      </c>
      <c r="R65" s="357"/>
      <c r="S65" s="372"/>
      <c r="T65" s="300" t="s">
        <v>371</v>
      </c>
      <c r="U65" s="38" t="s">
        <v>592</v>
      </c>
    </row>
    <row r="66" spans="1:21" x14ac:dyDescent="0.35">
      <c r="A66" s="110"/>
      <c r="D66" s="90" t="s">
        <v>53</v>
      </c>
      <c r="E66" s="43">
        <f>+'4050'!E66+'4060'!E66+'4070'!E66+'4080'!E66+'40A0'!E66+'40B0'!E66+'40C0'!E66+'4000'!E65</f>
        <v>1022.31502992</v>
      </c>
      <c r="F66" s="43">
        <f>+'4050'!F66+'4060'!F66+'4070'!F66+'4080'!F66+'40A0'!F66+'40B0'!F66+'40C0'!F66+'4000'!F65</f>
        <v>1017.3747441</v>
      </c>
      <c r="G66" s="43">
        <f>+'4050'!G66+'4060'!G66+'4070'!G66+'4080'!G66+'40A0'!G66+'40B0'!G66+'40C0'!G66+'4000'!G65</f>
        <v>1001.5727313</v>
      </c>
      <c r="H66" s="43">
        <f>+'4050'!H66+'4060'!H66+'4070'!H66+'4080'!H66+'40A0'!H66+'40B0'!H66+'40C0'!H66+'4000'!H65</f>
        <v>959.17900043999998</v>
      </c>
      <c r="I66" s="43">
        <f>+'4050'!I66+'4060'!I66+'4070'!I66+'4080'!I66+'40A0'!I66+'40B0'!I66+'40C0'!I66+'4000'!I65</f>
        <v>959.17900043999998</v>
      </c>
      <c r="J66" s="43">
        <f>+'4050'!J66+'4060'!J66+'4070'!J66+'4080'!J66+'40A0'!J66+'40B0'!J66+'40C0'!J66+'4000'!J65</f>
        <v>959.17900043999998</v>
      </c>
      <c r="K66" s="43">
        <f>+'4050'!K66+'4060'!K66+'4070'!K66+'4080'!K66+'40A0'!K66+'40B0'!K66+'40C0'!K66+'4000'!K65</f>
        <v>970.62881004000008</v>
      </c>
      <c r="L66" s="43">
        <f>+'4050'!L66+'4060'!L66+'4070'!L66+'4080'!L66+'40A0'!L66+'40B0'!L66+'40C0'!L66+'4000'!L65</f>
        <v>970.62881004000008</v>
      </c>
      <c r="M66" s="43">
        <f>+'4050'!M66+'4060'!M66+'4070'!M66+'4080'!M66+'40A0'!M66+'40B0'!M66+'40C0'!M66+'4000'!M65</f>
        <v>974.31072117000008</v>
      </c>
      <c r="N66" s="43">
        <f>+'4050'!N66+'4060'!N66+'4070'!N66+'4080'!N66+'40A0'!N66+'40B0'!N66+'40C0'!N66+'4000'!N65</f>
        <v>974.31072117000008</v>
      </c>
      <c r="O66" s="43">
        <f>+'4050'!O66+'4060'!O66+'4070'!O66+'4080'!O66+'40A0'!O66+'40B0'!O66+'40C0'!O66+'4000'!O65</f>
        <v>995.39565907500003</v>
      </c>
      <c r="P66" s="43">
        <f>+'4050'!P66+'4060'!P66+'4070'!P66+'4080'!P66+'40A0'!P66+'40B0'!P66+'40C0'!P66+'4000'!P65</f>
        <v>1027.59579048</v>
      </c>
      <c r="Q66" s="175">
        <f>SUM(E66:P66)</f>
        <v>11831.670018615001</v>
      </c>
      <c r="R66" s="357"/>
      <c r="S66" s="372"/>
      <c r="T66" s="300" t="s">
        <v>371</v>
      </c>
      <c r="U66" s="38" t="s">
        <v>593</v>
      </c>
    </row>
    <row r="67" spans="1:21" x14ac:dyDescent="0.35">
      <c r="A67" s="110" t="s">
        <v>117</v>
      </c>
      <c r="B67" s="34" t="s">
        <v>46</v>
      </c>
      <c r="C67" s="34" t="s">
        <v>52</v>
      </c>
      <c r="E67" s="43">
        <f>SUM(E65:E66)</f>
        <v>41640.796603676732</v>
      </c>
      <c r="F67" s="43">
        <f t="shared" ref="F67:Q67" si="8">SUM(F65:F66)</f>
        <v>41724.254498795941</v>
      </c>
      <c r="G67" s="43">
        <f t="shared" si="8"/>
        <v>41991.203168363943</v>
      </c>
      <c r="H67" s="43">
        <f t="shared" si="8"/>
        <v>42707.374595025547</v>
      </c>
      <c r="I67" s="43">
        <f t="shared" si="8"/>
        <v>42707.374595025547</v>
      </c>
      <c r="J67" s="43">
        <f t="shared" si="8"/>
        <v>42707.374595025547</v>
      </c>
      <c r="K67" s="43">
        <f t="shared" si="8"/>
        <v>42513.949144849539</v>
      </c>
      <c r="L67" s="43">
        <f t="shared" si="8"/>
        <v>42513.949144849539</v>
      </c>
      <c r="M67" s="43">
        <f t="shared" si="8"/>
        <v>42451.749392826736</v>
      </c>
      <c r="N67" s="43">
        <f t="shared" si="8"/>
        <v>42451.749392826736</v>
      </c>
      <c r="O67" s="43">
        <f t="shared" si="8"/>
        <v>42095.554508484944</v>
      </c>
      <c r="P67" s="43">
        <f t="shared" si="8"/>
        <v>41551.586955283143</v>
      </c>
      <c r="Q67" s="177">
        <f t="shared" si="8"/>
        <v>507056.91659503395</v>
      </c>
      <c r="R67" s="364">
        <v>464386</v>
      </c>
      <c r="S67" s="370">
        <f t="shared" si="0"/>
        <v>9.1886742053020498E-2</v>
      </c>
      <c r="T67" s="300"/>
      <c r="U67" s="38" t="s">
        <v>593</v>
      </c>
    </row>
    <row r="68" spans="1:21" x14ac:dyDescent="0.35">
      <c r="A68" s="110"/>
      <c r="Q68" s="168"/>
      <c r="R68" s="357"/>
      <c r="S68" s="372"/>
      <c r="T68" s="300"/>
      <c r="U68" s="38"/>
    </row>
    <row r="69" spans="1:21" x14ac:dyDescent="0.35">
      <c r="A69" s="110"/>
      <c r="B69" s="34" t="s">
        <v>34</v>
      </c>
      <c r="C69" s="34" t="s">
        <v>54</v>
      </c>
      <c r="E69" s="34">
        <f>+'4050'!E69+'4060'!E69+'4070'!E69+'4080'!E69+'40A0'!E69+'40B0'!E69+'40C0'!E69+'4000'!E68</f>
        <v>0</v>
      </c>
      <c r="F69" s="34">
        <f>+'4050'!F69+'4060'!F69+'4070'!F69+'4080'!F69+'40A0'!F69+'40B0'!F69+'40C0'!F69+'4000'!F68</f>
        <v>0</v>
      </c>
      <c r="G69" s="34">
        <f>+'4050'!G69+'4060'!G69+'4070'!G69+'4080'!G69+'40A0'!G69+'40B0'!G69+'40C0'!G69+'4000'!G68</f>
        <v>0</v>
      </c>
      <c r="H69" s="34">
        <f>+'4050'!H69+'4060'!H69+'4070'!H69+'4080'!H69+'40A0'!H69+'40B0'!H69+'40C0'!H69+'4000'!H68</f>
        <v>0</v>
      </c>
      <c r="I69" s="34">
        <f>+'4050'!I69+'4060'!I69+'4070'!I69+'4080'!I69+'40A0'!I69+'40B0'!I69+'40C0'!I69+'4000'!I68</f>
        <v>0</v>
      </c>
      <c r="J69" s="34">
        <f>+'4050'!J69+'4060'!J69+'4070'!J69+'4080'!J69+'40A0'!J69+'40B0'!J69+'40C0'!J69+'4000'!J68</f>
        <v>0</v>
      </c>
      <c r="K69" s="34">
        <f>+'4050'!K69+'4060'!K69+'4070'!K69+'4080'!K69+'40A0'!K69+'40B0'!K69+'40C0'!K69+'4000'!K68</f>
        <v>0</v>
      </c>
      <c r="L69" s="34">
        <f>+'4050'!L69+'4060'!L69+'4070'!L69+'4080'!L69+'40A0'!L69+'40B0'!L69+'40C0'!L69+'4000'!L68</f>
        <v>0</v>
      </c>
      <c r="M69" s="34">
        <f>+'4050'!M69+'4060'!M69+'4070'!M69+'4080'!M69+'40A0'!M69+'40B0'!M69+'40C0'!M69+'4000'!M68</f>
        <v>0</v>
      </c>
      <c r="N69" s="34">
        <f>+'4050'!N69+'4060'!N69+'4070'!N69+'4080'!N69+'40A0'!N69+'40B0'!N69+'40C0'!N69+'4000'!N68</f>
        <v>0</v>
      </c>
      <c r="O69" s="34">
        <f>+'4050'!O69+'4060'!O69+'4070'!O69+'4080'!O69+'40A0'!O69+'40B0'!O69+'40C0'!O69+'4000'!O68</f>
        <v>0</v>
      </c>
      <c r="P69" s="34">
        <f>+'4050'!P69+'4060'!P69+'4070'!P69+'4080'!P69+'40A0'!P69+'40B0'!P69+'40C0'!P69+'4000'!P68</f>
        <v>0</v>
      </c>
      <c r="Q69" s="168">
        <f>SUM(E69:P69)</f>
        <v>0</v>
      </c>
      <c r="R69" s="357">
        <v>0</v>
      </c>
      <c r="S69" s="372" t="e">
        <f t="shared" si="0"/>
        <v>#DIV/0!</v>
      </c>
      <c r="T69" s="300"/>
      <c r="U69" s="38"/>
    </row>
    <row r="70" spans="1:21" x14ac:dyDescent="0.35">
      <c r="A70" s="110"/>
      <c r="Q70" s="168"/>
      <c r="R70" s="357"/>
      <c r="S70" s="372"/>
      <c r="T70" s="300"/>
      <c r="U70" s="38"/>
    </row>
    <row r="71" spans="1:21" ht="18" x14ac:dyDescent="0.35">
      <c r="A71" s="110"/>
      <c r="C71" s="91" t="s">
        <v>55</v>
      </c>
      <c r="D71" s="92"/>
      <c r="E71" s="92">
        <f>+E27+E29+E31+E36+E38+E43+E45+E50+E52+E54+E56+E58+E63+E67+E69</f>
        <v>305670.76416070177</v>
      </c>
      <c r="F71" s="92">
        <f>+F27+F29+F31+F36+F38+F43+F45+F50+F52+F54+F56+F58+F63+F67+F69</f>
        <v>309529.93205582094</v>
      </c>
      <c r="G71" s="92">
        <f t="shared" ref="G71:P71" si="9">+G27+G29+G31+G36+G38+G43+G45+G50+G52+G54+G56+G58+G63+G67+G69</f>
        <v>339921.3436004112</v>
      </c>
      <c r="H71" s="92">
        <f t="shared" si="9"/>
        <v>338681.96502707276</v>
      </c>
      <c r="I71" s="92">
        <f t="shared" si="9"/>
        <v>326913.21502707276</v>
      </c>
      <c r="J71" s="92">
        <f t="shared" si="9"/>
        <v>350043.10502707277</v>
      </c>
      <c r="K71" s="92">
        <f t="shared" si="9"/>
        <v>340861.91957689676</v>
      </c>
      <c r="L71" s="92">
        <f t="shared" si="9"/>
        <v>321607.19957689673</v>
      </c>
      <c r="M71" s="92">
        <f t="shared" si="9"/>
        <v>350179.20982487401</v>
      </c>
      <c r="N71" s="92">
        <f t="shared" si="9"/>
        <v>339913.77982487396</v>
      </c>
      <c r="O71" s="92">
        <f t="shared" si="9"/>
        <v>287889.74494053214</v>
      </c>
      <c r="P71" s="92">
        <f t="shared" si="9"/>
        <v>319474.54451230809</v>
      </c>
      <c r="Q71" s="178">
        <f>+Q27+Q29+Q31+Q36+Q38+Q43+Q45+Q50+Q52+Q54+Q56+Q58+Q63+Q67+Q69</f>
        <v>3930686.7231545337</v>
      </c>
      <c r="R71" s="365">
        <f>+R27+R29+R31+R36+R38+R43+R45+R50+R52+R54+R56+R58+R63+R67+R69</f>
        <v>3949442</v>
      </c>
      <c r="S71" s="373">
        <f t="shared" si="0"/>
        <v>-4.7488422023835852E-3</v>
      </c>
      <c r="T71" s="304"/>
      <c r="U71" s="38"/>
    </row>
    <row r="72" spans="1:21" ht="18" x14ac:dyDescent="0.35">
      <c r="A72" s="110"/>
      <c r="Q72" s="171">
        <f>+'4000'!Q70+'4050'!Q71+'4060'!Q71+'4070'!Q71+'4080'!Q71+'40A0'!Q71+'40B0'!Q71+'40C0'!Q71</f>
        <v>3930686.7231545337</v>
      </c>
      <c r="R72" s="359"/>
      <c r="S72" s="383"/>
      <c r="T72" s="301"/>
      <c r="U72" s="38"/>
    </row>
    <row r="73" spans="1:21" ht="18" x14ac:dyDescent="0.35">
      <c r="A73" s="110"/>
      <c r="B73" s="35" t="s">
        <v>56</v>
      </c>
      <c r="Q73" s="168"/>
      <c r="R73" s="357"/>
      <c r="S73" s="372"/>
      <c r="T73" s="300"/>
      <c r="U73" s="38"/>
    </row>
    <row r="74" spans="1:21" x14ac:dyDescent="0.35">
      <c r="A74" s="110"/>
      <c r="Q74" s="168"/>
      <c r="R74" s="357"/>
      <c r="S74" s="372"/>
      <c r="T74" s="300"/>
      <c r="U74" s="38"/>
    </row>
    <row r="75" spans="1:21" x14ac:dyDescent="0.35">
      <c r="A75" s="110" t="s">
        <v>141</v>
      </c>
      <c r="C75" s="34" t="s">
        <v>57</v>
      </c>
      <c r="E75" s="34">
        <f>+'4050'!E75+'4060'!E75+'4070'!E75+'4080'!E75+'40A0'!E75+'40B0'!E75+'40C0'!E75+'4000'!E74</f>
        <v>0</v>
      </c>
      <c r="F75" s="34">
        <f>+'4050'!F75+'4060'!F75+'4070'!F75+'4080'!F75+'40A0'!F75+'40B0'!F75+'40C0'!F75+'4000'!F74</f>
        <v>0</v>
      </c>
      <c r="G75" s="34">
        <f>+'4050'!G75+'4060'!G75+'4070'!G75+'4080'!G75+'40A0'!G75+'40B0'!G75+'40C0'!G75+'4000'!G74</f>
        <v>0</v>
      </c>
      <c r="H75" s="34">
        <f>+'4050'!H75+'4060'!H75+'4070'!H75+'4080'!H75+'40A0'!H75+'40B0'!H75+'40C0'!H75+'4000'!H74</f>
        <v>0</v>
      </c>
      <c r="I75" s="34">
        <f>+'4050'!I75+'4060'!I75+'4070'!I75+'4080'!I75+'40A0'!I75+'40B0'!I75+'40C0'!I75+'4000'!I74</f>
        <v>0</v>
      </c>
      <c r="J75" s="34">
        <f>+'4050'!J75+'4060'!J75+'4070'!J75+'4080'!J75+'40A0'!J75+'40B0'!J75+'40C0'!J75+'4000'!J74</f>
        <v>0</v>
      </c>
      <c r="K75" s="34">
        <f>+'4050'!K75+'4060'!K75+'4070'!K75+'4080'!K75+'40A0'!K75+'40B0'!K75+'40C0'!K75+'4000'!K74</f>
        <v>0</v>
      </c>
      <c r="L75" s="34">
        <f>+'4050'!L75+'4060'!L75+'4070'!L75+'4080'!L75+'40A0'!L75+'40B0'!L75+'40C0'!L75+'4000'!L74</f>
        <v>0</v>
      </c>
      <c r="M75" s="34">
        <f>+'4050'!M75+'4060'!M75+'4070'!M75+'4080'!M75+'40A0'!M75+'40B0'!M75+'40C0'!M75+'4000'!M74</f>
        <v>0</v>
      </c>
      <c r="N75" s="34">
        <f>+'4050'!N75+'4060'!N75+'4070'!N75+'4080'!N75+'40A0'!N75+'40B0'!N75+'40C0'!N75+'4000'!N74</f>
        <v>0</v>
      </c>
      <c r="O75" s="34">
        <f>+'4050'!O75+'4060'!O75+'4070'!O75+'4080'!O75+'40A0'!O75+'40B0'!O75+'40C0'!O75+'4000'!O74</f>
        <v>0</v>
      </c>
      <c r="P75" s="34">
        <f>+'4050'!P75+'4060'!P75+'4070'!P75+'4080'!P75+'40A0'!P75+'40B0'!P75+'40C0'!P75+'4000'!P74</f>
        <v>0</v>
      </c>
      <c r="Q75" s="168">
        <f>SUM(E75:P75)</f>
        <v>0</v>
      </c>
      <c r="R75" s="357">
        <v>0</v>
      </c>
      <c r="S75" s="372"/>
      <c r="T75" s="300"/>
      <c r="U75" s="38"/>
    </row>
    <row r="76" spans="1:21" x14ac:dyDescent="0.35">
      <c r="A76" s="110"/>
      <c r="Q76" s="168"/>
      <c r="R76" s="357"/>
      <c r="S76" s="372"/>
      <c r="T76" s="300"/>
      <c r="U76" s="38"/>
    </row>
    <row r="77" spans="1:21" x14ac:dyDescent="0.35">
      <c r="A77" s="110" t="s">
        <v>118</v>
      </c>
      <c r="D77" s="34" t="s">
        <v>58</v>
      </c>
      <c r="E77" s="34">
        <f>+'4050'!E77+'4060'!E77+'4070'!E77+'4080'!E77+'40A0'!E77+'40B0'!E77+'40C0'!E77+'4000'!E76</f>
        <v>10070.583333333332</v>
      </c>
      <c r="F77" s="34">
        <f>+'4050'!F77+'4060'!F77+'4070'!F77+'4080'!F77+'40A0'!F77+'40B0'!F77+'40C0'!F77+'4000'!F76</f>
        <v>10070.583333333332</v>
      </c>
      <c r="G77" s="34">
        <f>+'4050'!G77+'4060'!G77+'4070'!G77+'4080'!G77+'40A0'!G77+'40B0'!G77+'40C0'!G77+'4000'!G76</f>
        <v>10070.583333333332</v>
      </c>
      <c r="H77" s="34">
        <f>+'4050'!H77+'4060'!H77+'4070'!H77+'4080'!H77+'40A0'!H77+'40B0'!H77+'40C0'!H77+'4000'!H76</f>
        <v>10070.583333333332</v>
      </c>
      <c r="I77" s="34">
        <f>+'4050'!I77+'4060'!I77+'4070'!I77+'4080'!I77+'40A0'!I77+'40B0'!I77+'40C0'!I77+'4000'!I76</f>
        <v>10070.583333333332</v>
      </c>
      <c r="J77" s="34">
        <f>+'4050'!J77+'4060'!J77+'4070'!J77+'4080'!J77+'40A0'!J77+'40B0'!J77+'40C0'!J77+'4000'!J76</f>
        <v>10070.583333333332</v>
      </c>
      <c r="K77" s="34">
        <f>+'4050'!K77+'4060'!K77+'4070'!K77+'4080'!K77+'40A0'!K77+'40B0'!K77+'40C0'!K77+'4000'!K76</f>
        <v>10070.583333333332</v>
      </c>
      <c r="L77" s="34">
        <f>+'4050'!L77+'4060'!L77+'4070'!L77+'4080'!L77+'40A0'!L77+'40B0'!L77+'40C0'!L77+'4000'!L76</f>
        <v>10070.583333333332</v>
      </c>
      <c r="M77" s="34">
        <f>+'4050'!M77+'4060'!M77+'4070'!M77+'4080'!M77+'40A0'!M77+'40B0'!M77+'40C0'!M77+'4000'!M76</f>
        <v>10070.583333333332</v>
      </c>
      <c r="N77" s="34">
        <f>+'4050'!N77+'4060'!N77+'4070'!N77+'4080'!N77+'40A0'!N77+'40B0'!N77+'40C0'!N77+'4000'!N76</f>
        <v>10070.583333333332</v>
      </c>
      <c r="O77" s="34">
        <f>+'4050'!O77+'4060'!O77+'4070'!O77+'4080'!O77+'40A0'!O77+'40B0'!O77+'40C0'!O77+'4000'!O76</f>
        <v>10070.583333333332</v>
      </c>
      <c r="P77" s="34">
        <f>+'4050'!P77+'4060'!P77+'4070'!P77+'4080'!P77+'40A0'!P77+'40B0'!P77+'40C0'!P77+'4000'!P76</f>
        <v>10070.583333333332</v>
      </c>
      <c r="Q77" s="168">
        <f>SUM(E77:P77)</f>
        <v>120846.99999999996</v>
      </c>
      <c r="R77" s="357"/>
      <c r="S77" s="372"/>
      <c r="T77" s="300"/>
      <c r="U77" s="38" t="s">
        <v>617</v>
      </c>
    </row>
    <row r="78" spans="1:21" x14ac:dyDescent="0.35">
      <c r="A78" s="110" t="s">
        <v>119</v>
      </c>
      <c r="D78" s="34" t="s">
        <v>59</v>
      </c>
      <c r="E78" s="43">
        <f>+'4050'!E78+'4060'!E78+'4070'!E78+'4080'!E78+'40A0'!E78+'40B0'!E78+'40C0'!E78+'4000'!E77</f>
        <v>6365.4000000000015</v>
      </c>
      <c r="F78" s="43">
        <f>+'4050'!F78+'4060'!F78+'4070'!F78+'4080'!F78+'40A0'!F78+'40B0'!F78+'40C0'!F78+'4000'!F77</f>
        <v>0</v>
      </c>
      <c r="G78" s="43">
        <f>+'4050'!G78+'4060'!G78+'4070'!G78+'4080'!G78+'40A0'!G78+'40B0'!G78+'40C0'!G78+'4000'!G77</f>
        <v>0</v>
      </c>
      <c r="H78" s="43">
        <f>+'4050'!H78+'4060'!H78+'4070'!H78+'4080'!H78+'40A0'!H78+'40B0'!H78+'40C0'!H78+'4000'!H77</f>
        <v>6365.4000000000015</v>
      </c>
      <c r="I78" s="43">
        <f>+'4050'!I78+'4060'!I78+'4070'!I78+'4080'!I78+'40A0'!I78+'40B0'!I78+'40C0'!I78+'4000'!I77</f>
        <v>0</v>
      </c>
      <c r="J78" s="43">
        <f>+'4050'!J78+'4060'!J78+'4070'!J78+'4080'!J78+'40A0'!J78+'40B0'!J78+'40C0'!J78+'4000'!J77</f>
        <v>0</v>
      </c>
      <c r="K78" s="43">
        <f>+'4050'!K78+'4060'!K78+'4070'!K78+'4080'!K78+'40A0'!K78+'40B0'!K78+'40C0'!K78+'4000'!K77</f>
        <v>6365.4000000000015</v>
      </c>
      <c r="L78" s="43">
        <f>+'4050'!L78+'4060'!L78+'4070'!L78+'4080'!L78+'40A0'!L78+'40B0'!L78+'40C0'!L78+'4000'!L77</f>
        <v>0</v>
      </c>
      <c r="M78" s="43">
        <f>+'4050'!M78+'4060'!M78+'4070'!M78+'4080'!M78+'40A0'!M78+'40B0'!M78+'40C0'!M78+'4000'!M77</f>
        <v>0</v>
      </c>
      <c r="N78" s="43">
        <f>+'4050'!N78+'4060'!N78+'4070'!N78+'4080'!N78+'40A0'!N78+'40B0'!N78+'40C0'!N78+'4000'!N77</f>
        <v>6365.4000000000015</v>
      </c>
      <c r="O78" s="43">
        <f>+'4050'!O78+'4060'!O78+'4070'!O78+'4080'!O78+'40A0'!O78+'40B0'!O78+'40C0'!O78+'4000'!O77</f>
        <v>0</v>
      </c>
      <c r="P78" s="43">
        <f>+'4050'!P78+'4060'!P78+'4070'!P78+'4080'!P78+'40A0'!P78+'40B0'!P78+'40C0'!P78+'4000'!P77</f>
        <v>0</v>
      </c>
      <c r="Q78" s="177">
        <f>SUM(E78:P78)</f>
        <v>25461.600000000006</v>
      </c>
      <c r="R78" s="357"/>
      <c r="S78" s="372"/>
      <c r="T78" s="300"/>
      <c r="U78" s="38" t="s">
        <v>591</v>
      </c>
    </row>
    <row r="79" spans="1:21" x14ac:dyDescent="0.35">
      <c r="A79" s="110"/>
      <c r="C79" s="34" t="s">
        <v>60</v>
      </c>
      <c r="E79" s="43">
        <f t="shared" ref="E79:Q79" si="10">SUM(E77:E78)</f>
        <v>16435.983333333334</v>
      </c>
      <c r="F79" s="43">
        <f t="shared" si="10"/>
        <v>10070.583333333332</v>
      </c>
      <c r="G79" s="43">
        <f t="shared" si="10"/>
        <v>10070.583333333332</v>
      </c>
      <c r="H79" s="43">
        <f t="shared" si="10"/>
        <v>16435.983333333334</v>
      </c>
      <c r="I79" s="43">
        <f t="shared" si="10"/>
        <v>10070.583333333332</v>
      </c>
      <c r="J79" s="43">
        <f t="shared" si="10"/>
        <v>10070.583333333332</v>
      </c>
      <c r="K79" s="43">
        <f t="shared" si="10"/>
        <v>16435.983333333334</v>
      </c>
      <c r="L79" s="43">
        <f t="shared" si="10"/>
        <v>10070.583333333332</v>
      </c>
      <c r="M79" s="43">
        <f t="shared" si="10"/>
        <v>10070.583333333332</v>
      </c>
      <c r="N79" s="43">
        <f t="shared" si="10"/>
        <v>16435.983333333334</v>
      </c>
      <c r="O79" s="43">
        <f t="shared" si="10"/>
        <v>10070.583333333332</v>
      </c>
      <c r="P79" s="43">
        <f t="shared" si="10"/>
        <v>10070.583333333332</v>
      </c>
      <c r="Q79" s="177">
        <f t="shared" si="10"/>
        <v>146308.59999999998</v>
      </c>
      <c r="R79" s="364">
        <v>119664</v>
      </c>
      <c r="S79" s="370">
        <f t="shared" ref="S79:S131" si="11">Q79/R79-1</f>
        <v>0.22266178633507128</v>
      </c>
      <c r="T79" s="300"/>
      <c r="U79" s="38"/>
    </row>
    <row r="80" spans="1:21" x14ac:dyDescent="0.35">
      <c r="A80" s="110"/>
      <c r="Q80" s="168"/>
      <c r="R80" s="357"/>
      <c r="S80" s="372"/>
      <c r="T80" s="300"/>
      <c r="U80" s="38"/>
    </row>
    <row r="81" spans="1:21" x14ac:dyDescent="0.35">
      <c r="A81" s="110" t="s">
        <v>142</v>
      </c>
      <c r="D81" s="34" t="s">
        <v>61</v>
      </c>
      <c r="E81" s="34">
        <f>+'4050'!E81+'4060'!E81+'4070'!E81+'4080'!E81+'40A0'!E81+'40B0'!E81+'40C0'!E81+'4000'!E80</f>
        <v>0</v>
      </c>
      <c r="F81" s="34">
        <f>+'4050'!F81+'4060'!F81+'4070'!F81+'4080'!F81+'40A0'!F81+'40B0'!F81+'40C0'!F81+'4000'!F80</f>
        <v>0</v>
      </c>
      <c r="G81" s="34">
        <f>+'4050'!G81+'4060'!G81+'4070'!G81+'4080'!G81+'40A0'!G81+'40B0'!G81+'40C0'!G81+'4000'!G80</f>
        <v>0</v>
      </c>
      <c r="H81" s="34">
        <f>+'4050'!H81+'4060'!H81+'4070'!H81+'4080'!H81+'40A0'!H81+'40B0'!H81+'40C0'!H81+'4000'!H80</f>
        <v>0</v>
      </c>
      <c r="I81" s="34">
        <f>+'4050'!I81+'4060'!I81+'4070'!I81+'4080'!I81+'40A0'!I81+'40B0'!I81+'40C0'!I81+'4000'!I80</f>
        <v>0</v>
      </c>
      <c r="J81" s="34">
        <f>+'4050'!J81+'4060'!J81+'4070'!J81+'4080'!J81+'40A0'!J81+'40B0'!J81+'40C0'!J81+'4000'!J80</f>
        <v>0</v>
      </c>
      <c r="K81" s="34">
        <f>+'4050'!K81+'4060'!K81+'4070'!K81+'4080'!K81+'40A0'!K81+'40B0'!K81+'40C0'!K81+'4000'!K80</f>
        <v>0</v>
      </c>
      <c r="L81" s="34">
        <f>+'4050'!L81+'4060'!L81+'4070'!L81+'4080'!L81+'40A0'!L81+'40B0'!L81+'40C0'!L81+'4000'!L80</f>
        <v>0</v>
      </c>
      <c r="M81" s="34">
        <f>+'4050'!M81+'4060'!M81+'4070'!M81+'4080'!M81+'40A0'!M81+'40B0'!M81+'40C0'!M81+'4000'!M80</f>
        <v>0</v>
      </c>
      <c r="N81" s="34">
        <f>+'4050'!N81+'4060'!N81+'4070'!N81+'4080'!N81+'40A0'!N81+'40B0'!N81+'40C0'!N81+'4000'!N80</f>
        <v>0</v>
      </c>
      <c r="O81" s="34">
        <f>+'4050'!O81+'4060'!O81+'4070'!O81+'4080'!O81+'40A0'!O81+'40B0'!O81+'40C0'!O81+'4000'!O80</f>
        <v>0</v>
      </c>
      <c r="P81" s="34">
        <f>+'4050'!P81+'4060'!P81+'4070'!P81+'4080'!P81+'40A0'!P81+'40B0'!P81+'40C0'!P81+'4000'!P80</f>
        <v>0</v>
      </c>
      <c r="Q81" s="168">
        <f>SUM(E81:P81)</f>
        <v>0</v>
      </c>
      <c r="R81" s="357"/>
      <c r="S81" s="372"/>
      <c r="T81" s="300"/>
      <c r="U81" s="38"/>
    </row>
    <row r="82" spans="1:21" x14ac:dyDescent="0.35">
      <c r="A82" s="110" t="s">
        <v>143</v>
      </c>
      <c r="D82" s="34" t="s">
        <v>21</v>
      </c>
      <c r="E82" s="34">
        <f>+'4050'!E82+'4060'!E82+'4070'!E82+'4080'!E82+'40A0'!E82+'40B0'!E82+'40C0'!E82+'4000'!E81</f>
        <v>0</v>
      </c>
      <c r="F82" s="34">
        <f>+'4050'!F82+'4060'!F82+'4070'!F82+'4080'!F82+'40A0'!F82+'40B0'!F82+'40C0'!F82+'4000'!F81</f>
        <v>0</v>
      </c>
      <c r="G82" s="34">
        <f>+'4050'!G82+'4060'!G82+'4070'!G82+'4080'!G82+'40A0'!G82+'40B0'!G82+'40C0'!G82+'4000'!G81</f>
        <v>0</v>
      </c>
      <c r="H82" s="34">
        <f>+'4050'!H82+'4060'!H82+'4070'!H82+'4080'!H82+'40A0'!H82+'40B0'!H82+'40C0'!H82+'4000'!H81</f>
        <v>0</v>
      </c>
      <c r="I82" s="34">
        <f>+'4050'!I82+'4060'!I82+'4070'!I82+'4080'!I82+'40A0'!I82+'40B0'!I82+'40C0'!I82+'4000'!I81</f>
        <v>0</v>
      </c>
      <c r="J82" s="34">
        <f>+'4050'!J82+'4060'!J82+'4070'!J82+'4080'!J82+'40A0'!J82+'40B0'!J82+'40C0'!J82+'4000'!J81</f>
        <v>0</v>
      </c>
      <c r="K82" s="34">
        <f>+'4050'!K82+'4060'!K82+'4070'!K82+'4080'!K82+'40A0'!K82+'40B0'!K82+'40C0'!K82+'4000'!K81</f>
        <v>0</v>
      </c>
      <c r="L82" s="34">
        <f>+'4050'!L82+'4060'!L82+'4070'!L82+'4080'!L82+'40A0'!L82+'40B0'!L82+'40C0'!L82+'4000'!L81</f>
        <v>0</v>
      </c>
      <c r="M82" s="34">
        <f>+'4050'!M82+'4060'!M82+'4070'!M82+'4080'!M82+'40A0'!M82+'40B0'!M82+'40C0'!M82+'4000'!M81</f>
        <v>0</v>
      </c>
      <c r="N82" s="34">
        <f>+'4050'!N82+'4060'!N82+'4070'!N82+'4080'!N82+'40A0'!N82+'40B0'!N82+'40C0'!N82+'4000'!N81</f>
        <v>0</v>
      </c>
      <c r="O82" s="34">
        <f>+'4050'!O82+'4060'!O82+'4070'!O82+'4080'!O82+'40A0'!O82+'40B0'!O82+'40C0'!O82+'4000'!O81</f>
        <v>0</v>
      </c>
      <c r="P82" s="34">
        <f>+'4050'!P82+'4060'!P82+'4070'!P82+'4080'!P82+'40A0'!P82+'40B0'!P82+'40C0'!P82+'4000'!P81</f>
        <v>0</v>
      </c>
      <c r="Q82" s="168">
        <f>SUM(E82:P82)</f>
        <v>0</v>
      </c>
      <c r="R82" s="357"/>
      <c r="S82" s="372"/>
      <c r="T82" s="300"/>
      <c r="U82" s="38"/>
    </row>
    <row r="83" spans="1:21" x14ac:dyDescent="0.35">
      <c r="A83" s="110" t="s">
        <v>144</v>
      </c>
      <c r="D83" s="34" t="s">
        <v>29</v>
      </c>
      <c r="E83" s="43">
        <f>+'4050'!E83+'4060'!E83+'4070'!E83+'4080'!E83+'40A0'!E83+'40B0'!E83+'40C0'!E83+'4000'!E82</f>
        <v>0</v>
      </c>
      <c r="F83" s="43">
        <f>+'4050'!F83+'4060'!F83+'4070'!F83+'4080'!F83+'40A0'!F83+'40B0'!F83+'40C0'!F83+'4000'!F82</f>
        <v>0</v>
      </c>
      <c r="G83" s="43">
        <f>+'4050'!G83+'4060'!G83+'4070'!G83+'4080'!G83+'40A0'!G83+'40B0'!G83+'40C0'!G83+'4000'!G82</f>
        <v>0</v>
      </c>
      <c r="H83" s="43">
        <f>+'4050'!H83+'4060'!H83+'4070'!H83+'4080'!H83+'40A0'!H83+'40B0'!H83+'40C0'!H83+'4000'!H82</f>
        <v>0</v>
      </c>
      <c r="I83" s="43">
        <f>+'4050'!I83+'4060'!I83+'4070'!I83+'4080'!I83+'40A0'!I83+'40B0'!I83+'40C0'!I83+'4000'!I82</f>
        <v>0</v>
      </c>
      <c r="J83" s="43">
        <f>+'4050'!J83+'4060'!J83+'4070'!J83+'4080'!J83+'40A0'!J83+'40B0'!J83+'40C0'!J83+'4000'!J82</f>
        <v>0</v>
      </c>
      <c r="K83" s="43">
        <f>+'4050'!K83+'4060'!K83+'4070'!K83+'4080'!K83+'40A0'!K83+'40B0'!K83+'40C0'!K83+'4000'!K82</f>
        <v>0</v>
      </c>
      <c r="L83" s="43">
        <f>+'4050'!L83+'4060'!L83+'4070'!L83+'4080'!L83+'40A0'!L83+'40B0'!L83+'40C0'!L83+'4000'!L82</f>
        <v>0</v>
      </c>
      <c r="M83" s="43">
        <f>+'4050'!M83+'4060'!M83+'4070'!M83+'4080'!M83+'40A0'!M83+'40B0'!M83+'40C0'!M83+'4000'!M82</f>
        <v>0</v>
      </c>
      <c r="N83" s="43">
        <f>+'4050'!N83+'4060'!N83+'4070'!N83+'4080'!N83+'40A0'!N83+'40B0'!N83+'40C0'!N83+'4000'!N82</f>
        <v>0</v>
      </c>
      <c r="O83" s="43">
        <f>+'4050'!O83+'4060'!O83+'4070'!O83+'4080'!O83+'40A0'!O83+'40B0'!O83+'40C0'!O83+'4000'!O82</f>
        <v>0</v>
      </c>
      <c r="P83" s="43">
        <f>+'4050'!P83+'4060'!P83+'4070'!P83+'4080'!P83+'40A0'!P83+'40B0'!P83+'40C0'!P83+'4000'!P82</f>
        <v>0</v>
      </c>
      <c r="Q83" s="177">
        <f>SUM(E83:P83)</f>
        <v>0</v>
      </c>
      <c r="R83" s="357"/>
      <c r="S83" s="372"/>
      <c r="T83" s="300"/>
      <c r="U83" s="38"/>
    </row>
    <row r="84" spans="1:21" x14ac:dyDescent="0.35">
      <c r="A84" s="110"/>
      <c r="C84" s="34" t="s">
        <v>62</v>
      </c>
      <c r="E84" s="87">
        <f t="shared" ref="E84:Q84" si="12">SUM(E81:E83)</f>
        <v>0</v>
      </c>
      <c r="F84" s="87">
        <f t="shared" si="12"/>
        <v>0</v>
      </c>
      <c r="G84" s="87">
        <f t="shared" si="12"/>
        <v>0</v>
      </c>
      <c r="H84" s="87">
        <f t="shared" si="12"/>
        <v>0</v>
      </c>
      <c r="I84" s="87">
        <f t="shared" si="12"/>
        <v>0</v>
      </c>
      <c r="J84" s="87">
        <f t="shared" si="12"/>
        <v>0</v>
      </c>
      <c r="K84" s="87">
        <f t="shared" si="12"/>
        <v>0</v>
      </c>
      <c r="L84" s="87">
        <f t="shared" si="12"/>
        <v>0</v>
      </c>
      <c r="M84" s="87">
        <f t="shared" si="12"/>
        <v>0</v>
      </c>
      <c r="N84" s="87">
        <f t="shared" si="12"/>
        <v>0</v>
      </c>
      <c r="O84" s="87">
        <f t="shared" si="12"/>
        <v>0</v>
      </c>
      <c r="P84" s="87">
        <f t="shared" si="12"/>
        <v>0</v>
      </c>
      <c r="Q84" s="176">
        <f t="shared" si="12"/>
        <v>0</v>
      </c>
      <c r="R84" s="364">
        <v>3737</v>
      </c>
      <c r="S84" s="370">
        <f t="shared" si="11"/>
        <v>-1</v>
      </c>
      <c r="T84" s="300"/>
      <c r="U84" s="38"/>
    </row>
    <row r="85" spans="1:21" x14ac:dyDescent="0.35">
      <c r="A85" s="110"/>
      <c r="Q85" s="168"/>
      <c r="R85" s="357"/>
      <c r="S85" s="372"/>
      <c r="T85" s="300"/>
      <c r="U85" s="38"/>
    </row>
    <row r="86" spans="1:21" x14ac:dyDescent="0.35">
      <c r="A86" s="110"/>
      <c r="D86" s="88" t="s">
        <v>31</v>
      </c>
      <c r="E86" s="77">
        <f>+'4050'!E86+'4060'!E86+'4070'!E86+'4080'!E86+'40A0'!E86+'40B0'!E86+'40C0'!E86+'4000'!E85</f>
        <v>4269.3499999999995</v>
      </c>
      <c r="F86" s="77">
        <f>+'4050'!F86+'4060'!F86+'4070'!F86+'4080'!F86+'40A0'!F86+'40B0'!F86+'40C0'!F86+'4000'!F85</f>
        <v>4269.3499999999995</v>
      </c>
      <c r="G86" s="77">
        <f>+'4050'!G86+'4060'!G86+'4070'!G86+'4080'!G86+'40A0'!G86+'40B0'!G86+'40C0'!G86+'4000'!G85</f>
        <v>4269.3499999999995</v>
      </c>
      <c r="H86" s="77">
        <f>+'4050'!H86+'4060'!H86+'4070'!H86+'4080'!H86+'40A0'!H86+'40B0'!H86+'40C0'!H86+'4000'!H85</f>
        <v>4269.3499999999995</v>
      </c>
      <c r="I86" s="77">
        <f>+'4050'!I86+'4060'!I86+'4070'!I86+'4080'!I86+'40A0'!I86+'40B0'!I86+'40C0'!I86+'4000'!I85</f>
        <v>4423.8499999999995</v>
      </c>
      <c r="J86" s="77">
        <f>+'4050'!J86+'4060'!J86+'4070'!J86+'4080'!J86+'40A0'!J86+'40B0'!J86+'40C0'!J86+'4000'!J85</f>
        <v>4269.3499999999995</v>
      </c>
      <c r="K86" s="77">
        <f>+'4050'!K86+'4060'!K86+'4070'!K86+'4080'!K86+'40A0'!K86+'40B0'!K86+'40C0'!K86+'4000'!K85</f>
        <v>4269.3499999999995</v>
      </c>
      <c r="L86" s="77">
        <f>+'4050'!L86+'4060'!L86+'4070'!L86+'4080'!L86+'40A0'!L86+'40B0'!L86+'40C0'!L86+'4000'!L85</f>
        <v>4269.3499999999995</v>
      </c>
      <c r="M86" s="77">
        <f>+'4050'!M86+'4060'!M86+'4070'!M86+'4080'!M86+'40A0'!M86+'40B0'!M86+'40C0'!M86+'4000'!M85</f>
        <v>4269.3499999999995</v>
      </c>
      <c r="N86" s="77">
        <f>+'4050'!N86+'4060'!N86+'4070'!N86+'4080'!N86+'40A0'!N86+'40B0'!N86+'40C0'!N86+'4000'!N85</f>
        <v>4269.3499999999995</v>
      </c>
      <c r="O86" s="77">
        <f>+'4050'!O86+'4060'!O86+'4070'!O86+'4080'!O86+'40A0'!O86+'40B0'!O86+'40C0'!O86+'4000'!O85</f>
        <v>4269.3499999999995</v>
      </c>
      <c r="P86" s="77">
        <f>+'4050'!P86+'4060'!P86+'4070'!P86+'4080'!P86+'40A0'!P86+'40B0'!P86+'40C0'!P86+'4000'!P85</f>
        <v>4269.3499999999995</v>
      </c>
      <c r="Q86" s="173">
        <f>SUM(E86:P86)</f>
        <v>51386.69999999999</v>
      </c>
      <c r="R86" s="357"/>
      <c r="S86" s="372"/>
      <c r="T86" s="300" t="s">
        <v>371</v>
      </c>
    </row>
    <row r="87" spans="1:21" x14ac:dyDescent="0.35">
      <c r="A87" s="110"/>
      <c r="D87" s="90" t="s">
        <v>32</v>
      </c>
      <c r="E87" s="43">
        <f>+'4050'!E87+'4060'!E87+'4070'!E87+'4080'!E87+'40A0'!E87+'40B0'!E87+'40C0'!E87+'4000'!E86</f>
        <v>0</v>
      </c>
      <c r="F87" s="43">
        <f>+'4050'!F87+'4060'!F87+'4070'!F87+'4080'!F87+'40A0'!F87+'40B0'!F87+'40C0'!F87+'4000'!F86</f>
        <v>0</v>
      </c>
      <c r="G87" s="43">
        <f>+'4050'!G87+'4060'!G87+'4070'!G87+'4080'!G87+'40A0'!G87+'40B0'!G87+'40C0'!G87+'4000'!G86</f>
        <v>0</v>
      </c>
      <c r="H87" s="43">
        <f>+'4050'!H87+'4060'!H87+'4070'!H87+'4080'!H87+'40A0'!H87+'40B0'!H87+'40C0'!H87+'4000'!H86</f>
        <v>0</v>
      </c>
      <c r="I87" s="43">
        <f>+'4050'!I87+'4060'!I87+'4070'!I87+'4080'!I87+'40A0'!I87+'40B0'!I87+'40C0'!I87+'4000'!I86</f>
        <v>0</v>
      </c>
      <c r="J87" s="43">
        <f>+'4050'!J87+'4060'!J87+'4070'!J87+'4080'!J87+'40A0'!J87+'40B0'!J87+'40C0'!J87+'4000'!J86</f>
        <v>0</v>
      </c>
      <c r="K87" s="43">
        <f>+'4050'!K87+'4060'!K87+'4070'!K87+'4080'!K87+'40A0'!K87+'40B0'!K87+'40C0'!K87+'4000'!K86</f>
        <v>0</v>
      </c>
      <c r="L87" s="43">
        <f>+'4050'!L87+'4060'!L87+'4070'!L87+'4080'!L87+'40A0'!L87+'40B0'!L87+'40C0'!L87+'4000'!L86</f>
        <v>0</v>
      </c>
      <c r="M87" s="43">
        <f>+'4050'!M87+'4060'!M87+'4070'!M87+'4080'!M87+'40A0'!M87+'40B0'!M87+'40C0'!M87+'4000'!M86</f>
        <v>0</v>
      </c>
      <c r="N87" s="43">
        <f>+'4050'!N87+'4060'!N87+'4070'!N87+'4080'!N87+'40A0'!N87+'40B0'!N87+'40C0'!N87+'4000'!N86</f>
        <v>0</v>
      </c>
      <c r="O87" s="43">
        <f>+'4050'!O87+'4060'!O87+'4070'!O87+'4080'!O87+'40A0'!O87+'40B0'!O87+'40C0'!O87+'4000'!O86</f>
        <v>0</v>
      </c>
      <c r="P87" s="43">
        <f>+'4050'!P87+'4060'!P87+'4070'!P87+'4080'!P87+'40A0'!P87+'40B0'!P87+'40C0'!P87+'4000'!P86</f>
        <v>0</v>
      </c>
      <c r="Q87" s="175">
        <f>SUM(E87:P87)</f>
        <v>0</v>
      </c>
      <c r="R87" s="357"/>
      <c r="S87" s="372"/>
      <c r="T87" s="300"/>
      <c r="U87" s="38"/>
    </row>
    <row r="88" spans="1:21" x14ac:dyDescent="0.35">
      <c r="A88" s="110" t="s">
        <v>120</v>
      </c>
      <c r="C88" s="34" t="s">
        <v>33</v>
      </c>
      <c r="E88" s="43">
        <f t="shared" ref="E88:Q88" si="13">SUM(E86:E87)</f>
        <v>4269.3499999999995</v>
      </c>
      <c r="F88" s="43">
        <f t="shared" si="13"/>
        <v>4269.3499999999995</v>
      </c>
      <c r="G88" s="43">
        <f t="shared" si="13"/>
        <v>4269.3499999999995</v>
      </c>
      <c r="H88" s="43">
        <f t="shared" si="13"/>
        <v>4269.3499999999995</v>
      </c>
      <c r="I88" s="43">
        <f t="shared" si="13"/>
        <v>4423.8499999999995</v>
      </c>
      <c r="J88" s="43">
        <f t="shared" si="13"/>
        <v>4269.3499999999995</v>
      </c>
      <c r="K88" s="43">
        <f t="shared" si="13"/>
        <v>4269.3499999999995</v>
      </c>
      <c r="L88" s="43">
        <f t="shared" si="13"/>
        <v>4269.3499999999995</v>
      </c>
      <c r="M88" s="43">
        <f t="shared" si="13"/>
        <v>4269.3499999999995</v>
      </c>
      <c r="N88" s="43">
        <f t="shared" si="13"/>
        <v>4269.3499999999995</v>
      </c>
      <c r="O88" s="43">
        <f t="shared" si="13"/>
        <v>4269.3499999999995</v>
      </c>
      <c r="P88" s="43">
        <f t="shared" si="13"/>
        <v>4269.3499999999995</v>
      </c>
      <c r="Q88" s="177">
        <f t="shared" si="13"/>
        <v>51386.69999999999</v>
      </c>
      <c r="R88" s="364">
        <v>34657</v>
      </c>
      <c r="S88" s="370">
        <f t="shared" si="11"/>
        <v>0.48272210520241199</v>
      </c>
      <c r="T88" s="300"/>
      <c r="U88" s="38" t="s">
        <v>450</v>
      </c>
    </row>
    <row r="89" spans="1:21" x14ac:dyDescent="0.35">
      <c r="A89" s="110"/>
      <c r="Q89" s="168"/>
      <c r="R89" s="357"/>
      <c r="S89" s="372"/>
      <c r="T89" s="300"/>
      <c r="U89" s="38"/>
    </row>
    <row r="90" spans="1:21" s="95" customFormat="1" hidden="1" x14ac:dyDescent="0.35">
      <c r="A90" s="111" t="s">
        <v>145</v>
      </c>
      <c r="B90" s="95" t="s">
        <v>34</v>
      </c>
      <c r="C90" s="95" t="s">
        <v>63</v>
      </c>
      <c r="E90" s="95">
        <f>'4050'!E90+'4060'!E90+'4070'!E90+'4080'!E90+'40A0'!E90+'40B0'!E90+'40C0'!E90+'4000'!E53</f>
        <v>0</v>
      </c>
      <c r="F90" s="95">
        <f>'4050'!F90+'4060'!F90+'4070'!F90+'4080'!F90+'40A0'!F90+'40B0'!F90+'40C0'!F90+'4000'!F53</f>
        <v>0</v>
      </c>
      <c r="G90" s="95">
        <f>'4050'!G90+'4060'!G90+'4070'!G90+'4080'!G90+'40A0'!G90+'40B0'!G90+'40C0'!G90+'4000'!G53</f>
        <v>0</v>
      </c>
      <c r="H90" s="95">
        <f>'4050'!H90+'4060'!H90+'4070'!H90+'4080'!H90+'40A0'!H90+'40B0'!H90+'40C0'!H90+'4000'!H53</f>
        <v>0</v>
      </c>
      <c r="I90" s="95">
        <f>'4050'!I90+'4060'!I90+'4070'!I90+'4080'!I90+'40A0'!I90+'40B0'!I90+'40C0'!I90+'4000'!I53</f>
        <v>0</v>
      </c>
      <c r="J90" s="95">
        <f>'4050'!J90+'4060'!J90+'4070'!J90+'4080'!J90+'40A0'!J90+'40B0'!J90+'40C0'!J90+'4000'!J53</f>
        <v>0</v>
      </c>
      <c r="K90" s="95">
        <f>'4050'!K90+'4060'!K90+'4070'!K90+'4080'!K90+'40A0'!K90+'40B0'!K90+'40C0'!K90+'4000'!K53</f>
        <v>0</v>
      </c>
      <c r="L90" s="95">
        <f>'4050'!L90+'4060'!L90+'4070'!L90+'4080'!L90+'40A0'!L90+'40B0'!L90+'40C0'!L90+'4000'!L53</f>
        <v>0</v>
      </c>
      <c r="M90" s="95">
        <f>'4050'!M90+'4060'!M90+'4070'!M90+'4080'!M90+'40A0'!M90+'40B0'!M90+'40C0'!M90+'4000'!M53</f>
        <v>0</v>
      </c>
      <c r="N90" s="95">
        <f>'4050'!N90+'4060'!N90+'4070'!N90+'4080'!N90+'40A0'!N90+'40B0'!N90+'40C0'!N90+'4000'!N53</f>
        <v>0</v>
      </c>
      <c r="O90" s="95">
        <f>'4050'!O90+'4060'!O90+'4070'!O90+'4080'!O90+'40A0'!O90+'40B0'!O90+'40C0'!O90+'4000'!O53</f>
        <v>0</v>
      </c>
      <c r="P90" s="95">
        <f>'4050'!P90+'4060'!P90+'4070'!P90+'4080'!P90+'40A0'!P90+'40B0'!P90+'40C0'!P90+'4000'!P53</f>
        <v>0</v>
      </c>
      <c r="Q90" s="95">
        <f>SUM(E90:P90)</f>
        <v>0</v>
      </c>
      <c r="R90" s="357"/>
      <c r="S90" s="372" t="e">
        <f t="shared" si="11"/>
        <v>#DIV/0!</v>
      </c>
      <c r="T90" s="300"/>
      <c r="U90" s="305"/>
    </row>
    <row r="91" spans="1:21" hidden="1" x14ac:dyDescent="0.35">
      <c r="A91" s="110"/>
      <c r="Q91" s="168"/>
      <c r="R91" s="357"/>
      <c r="S91" s="372" t="e">
        <f t="shared" si="11"/>
        <v>#DIV/0!</v>
      </c>
      <c r="T91" s="300"/>
      <c r="U91" s="38"/>
    </row>
    <row r="92" spans="1:21" x14ac:dyDescent="0.35">
      <c r="A92" s="110" t="s">
        <v>121</v>
      </c>
      <c r="C92" s="34" t="s">
        <v>64</v>
      </c>
      <c r="E92" s="34">
        <f>+'4050'!E92+'4060'!E92+'4070'!E92+'4080'!E92+'40A0'!E92+'40B0'!E92+'40C0'!E92+'4000'!E91</f>
        <v>3863.25</v>
      </c>
      <c r="F92" s="34">
        <f>+'4050'!F92+'4060'!F92+'4070'!F92+'4080'!F92+'40A0'!F92+'40B0'!F92+'40C0'!F92+'4000'!F91</f>
        <v>3863.25</v>
      </c>
      <c r="G92" s="34">
        <f>+'4050'!G92+'4060'!G92+'4070'!G92+'4080'!G92+'40A0'!G92+'40B0'!G92+'40C0'!G92+'4000'!G91</f>
        <v>3863.25</v>
      </c>
      <c r="H92" s="34">
        <f>+'4050'!H92+'4060'!H92+'4070'!H92+'4080'!H92+'40A0'!H92+'40B0'!H92+'40C0'!H92+'4000'!H91</f>
        <v>3863.25</v>
      </c>
      <c r="I92" s="34">
        <f>+'4050'!I92+'4060'!I92+'4070'!I92+'4080'!I92+'40A0'!I92+'40B0'!I92+'40C0'!I92+'4000'!I91</f>
        <v>3863.25</v>
      </c>
      <c r="J92" s="34">
        <f>+'4050'!J92+'4060'!J92+'4070'!J92+'4080'!J92+'40A0'!J92+'40B0'!J92+'40C0'!J92+'4000'!J91</f>
        <v>3863.25</v>
      </c>
      <c r="K92" s="34">
        <f>+'4050'!K92+'4060'!K92+'4070'!K92+'4080'!K92+'40A0'!K92+'40B0'!K92+'40C0'!K92+'4000'!K91</f>
        <v>3863.25</v>
      </c>
      <c r="L92" s="34">
        <f>+'4050'!L92+'4060'!L92+'4070'!L92+'4080'!L92+'40A0'!L92+'40B0'!L92+'40C0'!L92+'4000'!L91</f>
        <v>3863.25</v>
      </c>
      <c r="M92" s="34">
        <f>+'4050'!M92+'4060'!M92+'4070'!M92+'4080'!M92+'40A0'!M92+'40B0'!M92+'40C0'!M92+'4000'!M91</f>
        <v>3863.25</v>
      </c>
      <c r="N92" s="34">
        <f>+'4050'!N92+'4060'!N92+'4070'!N92+'4080'!N92+'40A0'!N92+'40B0'!N92+'40C0'!N92+'4000'!N91</f>
        <v>3863.25</v>
      </c>
      <c r="O92" s="34">
        <f>+'4050'!O92+'4060'!O92+'4070'!O92+'4080'!O92+'40A0'!O92+'40B0'!O92+'40C0'!O92+'4000'!O91</f>
        <v>3863.25</v>
      </c>
      <c r="P92" s="34">
        <f>+'4050'!P92+'4060'!P92+'4070'!P92+'4080'!P92+'40A0'!P92+'40B0'!P92+'40C0'!P92+'4000'!P91</f>
        <v>3863.25</v>
      </c>
      <c r="Q92" s="168">
        <f>SUM(E92:P92)</f>
        <v>46359</v>
      </c>
      <c r="R92" s="357">
        <v>48216</v>
      </c>
      <c r="S92" s="372">
        <f t="shared" si="11"/>
        <v>-3.8514186162269759E-2</v>
      </c>
      <c r="T92" s="300"/>
      <c r="U92" s="38" t="s">
        <v>450</v>
      </c>
    </row>
    <row r="93" spans="1:21" x14ac:dyDescent="0.35">
      <c r="A93" s="110"/>
      <c r="Q93" s="168"/>
      <c r="R93" s="357"/>
      <c r="S93" s="372"/>
      <c r="T93" s="300"/>
      <c r="U93" s="38"/>
    </row>
    <row r="94" spans="1:21" x14ac:dyDescent="0.35">
      <c r="A94" s="110" t="s">
        <v>122</v>
      </c>
      <c r="C94" s="34" t="s">
        <v>65</v>
      </c>
      <c r="E94" s="34">
        <f>+'4050'!E94+'4060'!E94+'4070'!E94+'4080'!E94+'40A0'!E94+'40B0'!E94+'40C0'!E94+'4000'!E93</f>
        <v>0</v>
      </c>
      <c r="F94" s="34">
        <f>+'4050'!F94+'4060'!F94+'4070'!F94+'4080'!F94+'40A0'!F94+'40B0'!F94+'40C0'!F94+'4000'!F93</f>
        <v>0</v>
      </c>
      <c r="G94" s="34">
        <f>+'4050'!G94+'4060'!G94+'4070'!G94+'4080'!G94+'40A0'!G94+'40B0'!G94+'40C0'!G94+'4000'!G93</f>
        <v>0</v>
      </c>
      <c r="H94" s="34">
        <f>+'4050'!H94+'4060'!H94+'4070'!H94+'4080'!H94+'40A0'!H94+'40B0'!H94+'40C0'!H94+'4000'!H93</f>
        <v>13821.101477975002</v>
      </c>
      <c r="I94" s="34">
        <f>+'4050'!I94+'4060'!I94+'4070'!I94+'4080'!I94+'40A0'!I94+'40B0'!I94+'40C0'!I94+'4000'!I93</f>
        <v>0</v>
      </c>
      <c r="J94" s="34">
        <f>+'4050'!J94+'4060'!J94+'4070'!J94+'4080'!J94+'40A0'!J94+'40B0'!J94+'40C0'!J94+'4000'!J93</f>
        <v>0</v>
      </c>
      <c r="K94" s="34">
        <f>+'4050'!K94+'4060'!K94+'4070'!K94+'4080'!K94+'40A0'!K94+'40B0'!K94+'40C0'!K94+'4000'!K93</f>
        <v>0</v>
      </c>
      <c r="L94" s="34">
        <f>+'4050'!L94+'4060'!L94+'4070'!L94+'4080'!L94+'40A0'!L94+'40B0'!L94+'40C0'!L94+'4000'!L93</f>
        <v>0</v>
      </c>
      <c r="M94" s="34">
        <f>+'4050'!M94+'4060'!M94+'4070'!M94+'4080'!M94+'40A0'!M94+'40B0'!M94+'40C0'!M94+'4000'!M93</f>
        <v>0</v>
      </c>
      <c r="N94" s="34">
        <f>+'4050'!N94+'4060'!N94+'4070'!N94+'4080'!N94+'40A0'!N94+'40B0'!N94+'40C0'!N94+'4000'!N93</f>
        <v>0</v>
      </c>
      <c r="O94" s="34">
        <f>+'4050'!O94+'4060'!O94+'4070'!O94+'4080'!O94+'40A0'!O94+'40B0'!O94+'40C0'!O94+'4000'!O93</f>
        <v>0</v>
      </c>
      <c r="P94" s="34">
        <f>+'4050'!P94+'4060'!P94+'4070'!P94+'4080'!P94+'40A0'!P94+'40B0'!P94+'40C0'!P94+'4000'!P93</f>
        <v>0</v>
      </c>
      <c r="Q94" s="168">
        <f>SUM(E94:P94)</f>
        <v>13821.101477975002</v>
      </c>
      <c r="R94" s="357">
        <v>0</v>
      </c>
      <c r="S94" s="372" t="e">
        <f t="shared" si="11"/>
        <v>#DIV/0!</v>
      </c>
      <c r="T94" s="300"/>
      <c r="U94" s="38" t="s">
        <v>450</v>
      </c>
    </row>
    <row r="95" spans="1:21" x14ac:dyDescent="0.35">
      <c r="A95" s="110"/>
      <c r="Q95" s="168"/>
      <c r="R95" s="357"/>
      <c r="S95" s="372"/>
      <c r="T95" s="300"/>
      <c r="U95" s="38"/>
    </row>
    <row r="96" spans="1:21" x14ac:dyDescent="0.35">
      <c r="A96" s="110" t="s">
        <v>123</v>
      </c>
      <c r="C96" s="34" t="s">
        <v>66</v>
      </c>
      <c r="E96" s="34">
        <f>+'4050'!E96+'4060'!E96+'4070'!E96+'4080'!E96+'40A0'!E96+'40B0'!E96+'40C0'!E96+'4000'!E95</f>
        <v>3530.6666666666661</v>
      </c>
      <c r="F96" s="34">
        <f>+'4050'!F96+'4060'!F96+'4070'!F96+'4080'!F96+'40A0'!F96+'40B0'!F96+'40C0'!F96+'4000'!F95</f>
        <v>3530.6666666666661</v>
      </c>
      <c r="G96" s="34">
        <f>+'4050'!G96+'4060'!G96+'4070'!G96+'4080'!G96+'40A0'!G96+'40B0'!G96+'40C0'!G96+'4000'!G95</f>
        <v>3530.6666666666661</v>
      </c>
      <c r="H96" s="34">
        <f>+'4050'!H96+'4060'!H96+'4070'!H96+'4080'!H96+'40A0'!H96+'40B0'!H96+'40C0'!H96+'4000'!H95</f>
        <v>3530.6666666666661</v>
      </c>
      <c r="I96" s="34">
        <f>+'4050'!I96+'4060'!I96+'4070'!I96+'4080'!I96+'40A0'!I96+'40B0'!I96+'40C0'!I96+'4000'!I95</f>
        <v>3530.6666666666661</v>
      </c>
      <c r="J96" s="34">
        <f>+'4050'!J96+'4060'!J96+'4070'!J96+'4080'!J96+'40A0'!J96+'40B0'!J96+'40C0'!J96+'4000'!J95</f>
        <v>3530.6666666666661</v>
      </c>
      <c r="K96" s="34">
        <f>+'4050'!K96+'4060'!K96+'4070'!K96+'4080'!K96+'40A0'!K96+'40B0'!K96+'40C0'!K96+'4000'!K95</f>
        <v>3530.6666666666661</v>
      </c>
      <c r="L96" s="34">
        <f>+'4050'!L96+'4060'!L96+'4070'!L96+'4080'!L96+'40A0'!L96+'40B0'!L96+'40C0'!L96+'4000'!L95</f>
        <v>3530.6666666666661</v>
      </c>
      <c r="M96" s="34">
        <f>+'4050'!M96+'4060'!M96+'4070'!M96+'4080'!M96+'40A0'!M96+'40B0'!M96+'40C0'!M96+'4000'!M95</f>
        <v>3530.6666666666661</v>
      </c>
      <c r="N96" s="34">
        <f>+'4050'!N96+'4060'!N96+'4070'!N96+'4080'!N96+'40A0'!N96+'40B0'!N96+'40C0'!N96+'4000'!N95</f>
        <v>3530.6666666666661</v>
      </c>
      <c r="O96" s="34">
        <f>+'4050'!O96+'4060'!O96+'4070'!O96+'4080'!O96+'40A0'!O96+'40B0'!O96+'40C0'!O96+'4000'!O95</f>
        <v>3530.6666666666661</v>
      </c>
      <c r="P96" s="34">
        <f>+'4050'!P96+'4060'!P96+'4070'!P96+'4080'!P96+'40A0'!P96+'40B0'!P96+'40C0'!P96+'4000'!P95</f>
        <v>3530.6666666666661</v>
      </c>
      <c r="Q96" s="168">
        <f>SUM(E96:P96)</f>
        <v>42367.999999999978</v>
      </c>
      <c r="R96" s="357">
        <v>38233</v>
      </c>
      <c r="S96" s="372">
        <f t="shared" si="11"/>
        <v>0.10815264300473348</v>
      </c>
      <c r="T96" s="300"/>
      <c r="U96" s="38" t="s">
        <v>450</v>
      </c>
    </row>
    <row r="97" spans="1:21" x14ac:dyDescent="0.35">
      <c r="A97" s="110"/>
      <c r="Q97" s="168"/>
      <c r="R97" s="357"/>
      <c r="S97" s="372"/>
      <c r="T97" s="300"/>
      <c r="U97" s="38"/>
    </row>
    <row r="98" spans="1:21" x14ac:dyDescent="0.35">
      <c r="A98" s="110" t="s">
        <v>130</v>
      </c>
      <c r="D98" s="34" t="s">
        <v>67</v>
      </c>
      <c r="E98" s="34">
        <f>+'4000'!E97+'4050'!E98+'4060'!E98+'4070'!E98+'4080'!E98+'40A0'!E98+'40B0'!E98+'40C0'!E98</f>
        <v>159.64999999999998</v>
      </c>
      <c r="F98" s="34">
        <f>+'4000'!F97+'4050'!F98+'4060'!F98+'4070'!F98+'4080'!F98+'40A0'!F98+'40B0'!F98+'40C0'!F98</f>
        <v>159.64999999999998</v>
      </c>
      <c r="G98" s="34">
        <f>+'4000'!G97+'4050'!G98+'4060'!G98+'4070'!G98+'4080'!G98+'40A0'!G98+'40B0'!G98+'40C0'!G98</f>
        <v>159.64999999999998</v>
      </c>
      <c r="H98" s="34">
        <f>+'4000'!H97+'4050'!H98+'4060'!H98+'4070'!H98+'4080'!H98+'40A0'!H98+'40B0'!H98+'40C0'!H98</f>
        <v>159.64999999999998</v>
      </c>
      <c r="I98" s="34">
        <f>+'4000'!I97+'4050'!I98+'4060'!I98+'4070'!I98+'4080'!I98+'40A0'!I98+'40B0'!I98+'40C0'!I98</f>
        <v>159.64999999999998</v>
      </c>
      <c r="J98" s="34">
        <f>+'4000'!J97+'4050'!J98+'4060'!J98+'4070'!J98+'4080'!J98+'40A0'!J98+'40B0'!J98+'40C0'!J98</f>
        <v>159.64999999999998</v>
      </c>
      <c r="K98" s="34">
        <f>+'4000'!K97+'4050'!K98+'4060'!K98+'4070'!K98+'4080'!K98+'40A0'!K98+'40B0'!K98+'40C0'!K98</f>
        <v>159.64999999999998</v>
      </c>
      <c r="L98" s="34">
        <f>+'4000'!L97+'4050'!L98+'4060'!L98+'4070'!L98+'4080'!L98+'40A0'!L98+'40B0'!L98+'40C0'!L98</f>
        <v>159.64999999999998</v>
      </c>
      <c r="M98" s="34">
        <f>+'4000'!M97+'4050'!M98+'4060'!M98+'4070'!M98+'4080'!M98+'40A0'!M98+'40B0'!M98+'40C0'!M98</f>
        <v>159.64999999999998</v>
      </c>
      <c r="N98" s="34">
        <f>+'4000'!N97+'4050'!N98+'4060'!N98+'4070'!N98+'4080'!N98+'40A0'!N98+'40B0'!N98+'40C0'!N98</f>
        <v>159.64999999999998</v>
      </c>
      <c r="O98" s="34">
        <f>+'4000'!O97+'4050'!O98+'4060'!O98+'4070'!O98+'4080'!O98+'40A0'!O98+'40B0'!O98+'40C0'!O98</f>
        <v>159.64999999999998</v>
      </c>
      <c r="P98" s="34">
        <f>+'4000'!P97+'4050'!P98+'4060'!P98+'4070'!P98+'4080'!P98+'40A0'!P98+'40B0'!P98+'40C0'!P98</f>
        <v>159.64999999999998</v>
      </c>
      <c r="Q98" s="168">
        <f>SUM(E98:P98)</f>
        <v>1915.8000000000002</v>
      </c>
      <c r="R98" s="357"/>
      <c r="S98" s="372"/>
      <c r="T98" s="300"/>
      <c r="U98" s="38" t="s">
        <v>450</v>
      </c>
    </row>
    <row r="99" spans="1:21" x14ac:dyDescent="0.35">
      <c r="A99" s="110" t="s">
        <v>146</v>
      </c>
      <c r="D99" s="34" t="s">
        <v>68</v>
      </c>
      <c r="E99" s="34">
        <f>+'4050'!E99+'4060'!E99+'4070'!E99+'4080'!E99+'40A0'!E99+'40B0'!E99+'40C0'!E99+'4000'!E98</f>
        <v>0</v>
      </c>
      <c r="F99" s="34">
        <f>+'4050'!F99+'4060'!F99+'4070'!F99+'4080'!F99+'40A0'!F99+'40B0'!F99+'40C0'!F99+'4000'!F98</f>
        <v>0</v>
      </c>
      <c r="G99" s="34">
        <f>+'4050'!G99+'4060'!G99+'4070'!G99+'4080'!G99+'40A0'!G99+'40B0'!G99+'40C0'!G99+'4000'!G98</f>
        <v>0</v>
      </c>
      <c r="H99" s="34">
        <f>+'4050'!H99+'4060'!H99+'4070'!H99+'4080'!H99+'40A0'!H99+'40B0'!H99+'40C0'!H99+'4000'!H98</f>
        <v>0</v>
      </c>
      <c r="I99" s="34">
        <f>+'4050'!I99+'4060'!I99+'4070'!I99+'4080'!I99+'40A0'!I99+'40B0'!I99+'40C0'!I99+'4000'!I98</f>
        <v>0</v>
      </c>
      <c r="J99" s="34">
        <f>+'4050'!J99+'4060'!J99+'4070'!J99+'4080'!J99+'40A0'!J99+'40B0'!J99+'40C0'!J99+'4000'!J98</f>
        <v>0</v>
      </c>
      <c r="K99" s="34">
        <f>+'4050'!K99+'4060'!K99+'4070'!K99+'4080'!K99+'40A0'!K99+'40B0'!K99+'40C0'!K99+'4000'!K98</f>
        <v>0</v>
      </c>
      <c r="L99" s="34">
        <f>+'4050'!L99+'4060'!L99+'4070'!L99+'4080'!L99+'40A0'!L99+'40B0'!L99+'40C0'!L99+'4000'!L98</f>
        <v>0</v>
      </c>
      <c r="M99" s="34">
        <f>+'4050'!M99+'4060'!M99+'4070'!M99+'4080'!M99+'40A0'!M99+'40B0'!M99+'40C0'!M99+'4000'!M98</f>
        <v>0</v>
      </c>
      <c r="N99" s="34">
        <f>+'4050'!N99+'4060'!N99+'4070'!N99+'4080'!N99+'40A0'!N99+'40B0'!N99+'40C0'!N99+'4000'!N98</f>
        <v>0</v>
      </c>
      <c r="O99" s="34">
        <f>+'4050'!O99+'4060'!O99+'4070'!O99+'4080'!O99+'40A0'!O99+'40B0'!O99+'40C0'!O99+'4000'!O98</f>
        <v>0</v>
      </c>
      <c r="P99" s="34">
        <f>+'4050'!P99+'4060'!P99+'4070'!P99+'4080'!P99+'40A0'!P99+'40B0'!P99+'40C0'!P99+'4000'!P98</f>
        <v>0</v>
      </c>
      <c r="Q99" s="168">
        <f>SUM(E99:P99)</f>
        <v>0</v>
      </c>
      <c r="R99" s="357"/>
      <c r="S99" s="372"/>
      <c r="T99" s="300"/>
      <c r="U99" s="38"/>
    </row>
    <row r="100" spans="1:21" x14ac:dyDescent="0.35">
      <c r="A100" s="110" t="s">
        <v>147</v>
      </c>
      <c r="D100" s="34" t="s">
        <v>69</v>
      </c>
      <c r="E100" s="34">
        <f>+'4050'!E100+'4060'!E100+'4070'!E100+'4080'!E100+'40A0'!E100+'40B0'!E100+'40C0'!E100+'4000'!E99</f>
        <v>0</v>
      </c>
      <c r="F100" s="34">
        <f>+'4050'!F100+'4060'!F100+'4070'!F100+'4080'!F100+'40A0'!F100+'40B0'!F100+'40C0'!F100+'4000'!F99</f>
        <v>0</v>
      </c>
      <c r="G100" s="34">
        <f>+'4050'!G100+'4060'!G100+'4070'!G100+'4080'!G100+'40A0'!G100+'40B0'!G100+'40C0'!G100+'4000'!G99</f>
        <v>0</v>
      </c>
      <c r="H100" s="34">
        <f>+'4050'!H100+'4060'!H100+'4070'!H100+'4080'!H100+'40A0'!H100+'40B0'!H100+'40C0'!H100+'4000'!H99</f>
        <v>0</v>
      </c>
      <c r="I100" s="34">
        <f>+'4050'!I100+'4060'!I100+'4070'!I100+'4080'!I100+'40A0'!I100+'40B0'!I100+'40C0'!I100+'4000'!I99</f>
        <v>0</v>
      </c>
      <c r="J100" s="34">
        <f>+'4050'!J100+'4060'!J100+'4070'!J100+'4080'!J100+'40A0'!J100+'40B0'!J100+'40C0'!J100+'4000'!J99</f>
        <v>0</v>
      </c>
      <c r="K100" s="34">
        <f>+'4050'!K100+'4060'!K100+'4070'!K100+'4080'!K100+'40A0'!K100+'40B0'!K100+'40C0'!K100+'4000'!K99</f>
        <v>0</v>
      </c>
      <c r="L100" s="34">
        <f>+'4050'!L100+'4060'!L100+'4070'!L100+'4080'!L100+'40A0'!L100+'40B0'!L100+'40C0'!L100+'4000'!L99</f>
        <v>0</v>
      </c>
      <c r="M100" s="34">
        <f>+'4050'!M100+'4060'!M100+'4070'!M100+'4080'!M100+'40A0'!M100+'40B0'!M100+'40C0'!M100+'4000'!M99</f>
        <v>0</v>
      </c>
      <c r="N100" s="34">
        <f>+'4050'!N100+'4060'!N100+'4070'!N100+'4080'!N100+'40A0'!N100+'40B0'!N100+'40C0'!N100+'4000'!N99</f>
        <v>0</v>
      </c>
      <c r="O100" s="34">
        <f>+'4050'!O100+'4060'!O100+'4070'!O100+'4080'!O100+'40A0'!O100+'40B0'!O100+'40C0'!O100+'4000'!O99</f>
        <v>0</v>
      </c>
      <c r="P100" s="34">
        <f>+'4050'!P100+'4060'!P100+'4070'!P100+'4080'!P100+'40A0'!P100+'40B0'!P100+'40C0'!P100+'4000'!P99</f>
        <v>0</v>
      </c>
      <c r="Q100" s="168">
        <f>SUM(E100:P100)</f>
        <v>0</v>
      </c>
      <c r="R100" s="357"/>
      <c r="S100" s="372"/>
      <c r="T100" s="300"/>
      <c r="U100" s="38"/>
    </row>
    <row r="101" spans="1:21" x14ac:dyDescent="0.35">
      <c r="A101" s="110" t="s">
        <v>131</v>
      </c>
      <c r="D101" s="34" t="s">
        <v>70</v>
      </c>
      <c r="E101" s="34">
        <f>+'4050'!E101+'4060'!E101+'4070'!E101+'4080'!E101+'40A0'!E101+'40B0'!E101+'40C0'!E101+'4000'!E100</f>
        <v>154.5</v>
      </c>
      <c r="F101" s="34">
        <f>+'4050'!F101+'4060'!F101+'4070'!F101+'4080'!F101+'40A0'!F101+'40B0'!F101+'40C0'!F101+'4000'!F100</f>
        <v>154.5</v>
      </c>
      <c r="G101" s="34">
        <f>+'4050'!G101+'4060'!G101+'4070'!G101+'4080'!G101+'40A0'!G101+'40B0'!G101+'40C0'!G101+'4000'!G100</f>
        <v>154.5</v>
      </c>
      <c r="H101" s="34">
        <f>+'4050'!H101+'4060'!H101+'4070'!H101+'4080'!H101+'40A0'!H101+'40B0'!H101+'40C0'!H101+'4000'!H100</f>
        <v>154.5</v>
      </c>
      <c r="I101" s="34">
        <f>+'4050'!I101+'4060'!I101+'4070'!I101+'4080'!I101+'40A0'!I101+'40B0'!I101+'40C0'!I101+'4000'!I100</f>
        <v>154.5</v>
      </c>
      <c r="J101" s="34">
        <f>+'4050'!J101+'4060'!J101+'4070'!J101+'4080'!J101+'40A0'!J101+'40B0'!J101+'40C0'!J101+'4000'!J100</f>
        <v>154.5</v>
      </c>
      <c r="K101" s="34">
        <f>+'4050'!K101+'4060'!K101+'4070'!K101+'4080'!K101+'40A0'!K101+'40B0'!K101+'40C0'!K101+'4000'!K100</f>
        <v>154.5</v>
      </c>
      <c r="L101" s="34">
        <f>+'4050'!L101+'4060'!L101+'4070'!L101+'4080'!L101+'40A0'!L101+'40B0'!L101+'40C0'!L101+'4000'!L100</f>
        <v>154.5</v>
      </c>
      <c r="M101" s="34">
        <f>+'4050'!M101+'4060'!M101+'4070'!M101+'4080'!M101+'40A0'!M101+'40B0'!M101+'40C0'!M101+'4000'!M100</f>
        <v>154.5</v>
      </c>
      <c r="N101" s="34">
        <f>+'4050'!N101+'4060'!N101+'4070'!N101+'4080'!N101+'40A0'!N101+'40B0'!N101+'40C0'!N101+'4000'!N100</f>
        <v>154.5</v>
      </c>
      <c r="O101" s="34">
        <f>+'4050'!O101+'4060'!O101+'4070'!O101+'4080'!O101+'40A0'!O101+'40B0'!O101+'40C0'!O101+'4000'!O100</f>
        <v>154.5</v>
      </c>
      <c r="P101" s="34">
        <f>+'4050'!P101+'4060'!P101+'4070'!P101+'4080'!P101+'40A0'!P101+'40B0'!P101+'40C0'!P101+'4000'!P100</f>
        <v>154.5</v>
      </c>
      <c r="Q101" s="168">
        <f>SUM(E101:P101)</f>
        <v>1854</v>
      </c>
      <c r="R101" s="357"/>
      <c r="S101" s="372"/>
      <c r="T101" s="300"/>
      <c r="U101" s="38" t="s">
        <v>450</v>
      </c>
    </row>
    <row r="102" spans="1:21" x14ac:dyDescent="0.35">
      <c r="A102" s="110" t="s">
        <v>124</v>
      </c>
      <c r="D102" s="34" t="s">
        <v>71</v>
      </c>
      <c r="E102" s="43">
        <f>+'4050'!E102+'4060'!E102+'4070'!E102+'4080'!E102+'40A0'!E102+'40B0'!E102+'40C0'!E102+'4000'!E101</f>
        <v>7450</v>
      </c>
      <c r="F102" s="43">
        <f>+'4050'!F102+'4060'!F102+'4070'!F102+'4080'!F102+'40A0'!F102+'40B0'!F102+'40C0'!F102+'4000'!F101</f>
        <v>7450</v>
      </c>
      <c r="G102" s="43">
        <f>+'4050'!G102+'4060'!G102+'4070'!G102+'4080'!G102+'40A0'!G102+'40B0'!G102+'40C0'!G102+'4000'!G101</f>
        <v>7450</v>
      </c>
      <c r="H102" s="43">
        <f>+'4050'!H102+'4060'!H102+'4070'!H102+'4080'!H102+'40A0'!H102+'40B0'!H102+'40C0'!H102+'4000'!H101</f>
        <v>7450</v>
      </c>
      <c r="I102" s="43">
        <f>+'4050'!I102+'4060'!I102+'4070'!I102+'4080'!I102+'40A0'!I102+'40B0'!I102+'40C0'!I102+'4000'!I101</f>
        <v>7450</v>
      </c>
      <c r="J102" s="43">
        <f>+'4050'!J102+'4060'!J102+'4070'!J102+'4080'!J102+'40A0'!J102+'40B0'!J102+'40C0'!J102+'4000'!J101</f>
        <v>7450</v>
      </c>
      <c r="K102" s="43">
        <f>+'4050'!K102+'4060'!K102+'4070'!K102+'4080'!K102+'40A0'!K102+'40B0'!K102+'40C0'!K102+'4000'!K101</f>
        <v>7450</v>
      </c>
      <c r="L102" s="43">
        <f>+'4050'!L102+'4060'!L102+'4070'!L102+'4080'!L102+'40A0'!L102+'40B0'!L102+'40C0'!L102+'4000'!L101</f>
        <v>7450</v>
      </c>
      <c r="M102" s="43">
        <f>+'4050'!M102+'4060'!M102+'4070'!M102+'4080'!M102+'40A0'!M102+'40B0'!M102+'40C0'!M102+'4000'!M101</f>
        <v>7450</v>
      </c>
      <c r="N102" s="43">
        <f>+'4050'!N102+'4060'!N102+'4070'!N102+'4080'!N102+'40A0'!N102+'40B0'!N102+'40C0'!N102+'4000'!N101</f>
        <v>7450</v>
      </c>
      <c r="O102" s="43">
        <f>+'4050'!O102+'4060'!O102+'4070'!O102+'4080'!O102+'40A0'!O102+'40B0'!O102+'40C0'!O102+'4000'!O101</f>
        <v>7450</v>
      </c>
      <c r="P102" s="43">
        <f>+'4050'!P102+'4060'!P102+'4070'!P102+'4080'!P102+'40A0'!P102+'40B0'!P102+'40C0'!P102+'4000'!P101</f>
        <v>7450</v>
      </c>
      <c r="Q102" s="177">
        <f>SUM(E102:P102)</f>
        <v>89400</v>
      </c>
      <c r="R102" s="357"/>
      <c r="S102" s="372"/>
      <c r="T102" s="300"/>
      <c r="U102" s="38" t="s">
        <v>450</v>
      </c>
    </row>
    <row r="103" spans="1:21" x14ac:dyDescent="0.35">
      <c r="A103" s="110"/>
      <c r="C103" s="34" t="s">
        <v>72</v>
      </c>
      <c r="E103" s="43">
        <f t="shared" ref="E103:Q103" si="14">SUM(E98:E102)</f>
        <v>7764.15</v>
      </c>
      <c r="F103" s="43">
        <f t="shared" si="14"/>
        <v>7764.15</v>
      </c>
      <c r="G103" s="43">
        <f t="shared" si="14"/>
        <v>7764.15</v>
      </c>
      <c r="H103" s="43">
        <f t="shared" si="14"/>
        <v>7764.15</v>
      </c>
      <c r="I103" s="43">
        <f t="shared" si="14"/>
        <v>7764.15</v>
      </c>
      <c r="J103" s="43">
        <f t="shared" si="14"/>
        <v>7764.15</v>
      </c>
      <c r="K103" s="43">
        <f t="shared" si="14"/>
        <v>7764.15</v>
      </c>
      <c r="L103" s="43">
        <f t="shared" si="14"/>
        <v>7764.15</v>
      </c>
      <c r="M103" s="43">
        <f t="shared" si="14"/>
        <v>7764.15</v>
      </c>
      <c r="N103" s="43">
        <f t="shared" si="14"/>
        <v>7764.15</v>
      </c>
      <c r="O103" s="43">
        <f t="shared" si="14"/>
        <v>7764.15</v>
      </c>
      <c r="P103" s="43">
        <f t="shared" si="14"/>
        <v>7764.15</v>
      </c>
      <c r="Q103" s="177">
        <f t="shared" si="14"/>
        <v>93169.8</v>
      </c>
      <c r="R103" s="364">
        <v>98410</v>
      </c>
      <c r="S103" s="370">
        <f t="shared" si="11"/>
        <v>-5.3248653592114614E-2</v>
      </c>
      <c r="T103" s="300"/>
      <c r="U103" s="38"/>
    </row>
    <row r="104" spans="1:21" x14ac:dyDescent="0.35">
      <c r="A104" s="110"/>
      <c r="Q104" s="168"/>
      <c r="R104" s="357"/>
      <c r="S104" s="372"/>
      <c r="T104" s="300"/>
      <c r="U104" s="38"/>
    </row>
    <row r="105" spans="1:21" ht="18" x14ac:dyDescent="0.35">
      <c r="A105" s="110"/>
      <c r="C105" s="60" t="s">
        <v>73</v>
      </c>
      <c r="D105" s="92"/>
      <c r="E105" s="92">
        <f t="shared" ref="E105:R105" si="15">+E75+E79+E84+E88+E90+E92+E94+E96+E103</f>
        <v>35863.4</v>
      </c>
      <c r="F105" s="92">
        <f t="shared" si="15"/>
        <v>29498</v>
      </c>
      <c r="G105" s="92">
        <f t="shared" si="15"/>
        <v>29498</v>
      </c>
      <c r="H105" s="92">
        <f t="shared" si="15"/>
        <v>49684.501477974998</v>
      </c>
      <c r="I105" s="92">
        <f t="shared" si="15"/>
        <v>29652.5</v>
      </c>
      <c r="J105" s="92">
        <f t="shared" si="15"/>
        <v>29498</v>
      </c>
      <c r="K105" s="92">
        <f t="shared" si="15"/>
        <v>35863.4</v>
      </c>
      <c r="L105" s="92">
        <f t="shared" si="15"/>
        <v>29498</v>
      </c>
      <c r="M105" s="92">
        <f t="shared" si="15"/>
        <v>29498</v>
      </c>
      <c r="N105" s="92">
        <f t="shared" si="15"/>
        <v>35863.4</v>
      </c>
      <c r="O105" s="92">
        <f t="shared" si="15"/>
        <v>29498</v>
      </c>
      <c r="P105" s="92">
        <f t="shared" si="15"/>
        <v>29498</v>
      </c>
      <c r="Q105" s="178">
        <f t="shared" si="15"/>
        <v>393413.20147797494</v>
      </c>
      <c r="R105" s="365">
        <f t="shared" si="15"/>
        <v>342917</v>
      </c>
      <c r="S105" s="373">
        <f t="shared" si="11"/>
        <v>0.14725487939639903</v>
      </c>
      <c r="T105" s="304"/>
      <c r="U105" s="38"/>
    </row>
    <row r="106" spans="1:21" ht="18" x14ac:dyDescent="0.35">
      <c r="A106" s="110"/>
      <c r="Q106" s="171">
        <f>+'4050'!Q105+'4060'!Q105+'4070'!Q105+'4080'!Q105+'40A0'!Q105+'40B0'!Q105+'40C0'!Q105</f>
        <v>393413.201477975</v>
      </c>
      <c r="R106" s="359"/>
      <c r="S106" s="383"/>
      <c r="T106" s="301"/>
      <c r="U106" s="38"/>
    </row>
    <row r="107" spans="1:21" ht="16.5" thickBot="1" x14ac:dyDescent="0.4">
      <c r="A107" s="110"/>
      <c r="Q107" s="168">
        <f>+Q105-Q106</f>
        <v>0</v>
      </c>
      <c r="R107" s="357"/>
      <c r="S107" s="372"/>
      <c r="T107" s="300"/>
      <c r="U107" s="38"/>
    </row>
    <row r="108" spans="1:21" s="36" customFormat="1" ht="18" thickBot="1" x14ac:dyDescent="0.4">
      <c r="A108" s="285"/>
      <c r="B108" s="286" t="s">
        <v>74</v>
      </c>
      <c r="C108" s="287"/>
      <c r="D108" s="287"/>
      <c r="E108" s="287">
        <f t="shared" ref="E108:R108" si="16">+E71+E105</f>
        <v>341534.1641607018</v>
      </c>
      <c r="F108" s="287">
        <f t="shared" si="16"/>
        <v>339027.93205582094</v>
      </c>
      <c r="G108" s="287">
        <f t="shared" si="16"/>
        <v>369419.3436004112</v>
      </c>
      <c r="H108" s="287">
        <f t="shared" si="16"/>
        <v>388366.46650504775</v>
      </c>
      <c r="I108" s="287">
        <f t="shared" si="16"/>
        <v>356565.71502707276</v>
      </c>
      <c r="J108" s="287">
        <f t="shared" si="16"/>
        <v>379541.10502707277</v>
      </c>
      <c r="K108" s="287">
        <f t="shared" si="16"/>
        <v>376725.31957689679</v>
      </c>
      <c r="L108" s="287">
        <f t="shared" si="16"/>
        <v>351105.19957689673</v>
      </c>
      <c r="M108" s="287">
        <f t="shared" si="16"/>
        <v>379677.20982487401</v>
      </c>
      <c r="N108" s="287">
        <f t="shared" si="16"/>
        <v>375777.17982487398</v>
      </c>
      <c r="O108" s="287">
        <f t="shared" si="16"/>
        <v>317387.74494053214</v>
      </c>
      <c r="P108" s="287">
        <f t="shared" si="16"/>
        <v>348972.54451230809</v>
      </c>
      <c r="Q108" s="466">
        <f t="shared" si="16"/>
        <v>4324099.9246325083</v>
      </c>
      <c r="R108" s="427">
        <f t="shared" si="16"/>
        <v>4292359</v>
      </c>
      <c r="S108" s="371">
        <f t="shared" si="11"/>
        <v>7.3947506796399054E-3</v>
      </c>
      <c r="T108" s="302"/>
      <c r="U108" s="74"/>
    </row>
    <row r="109" spans="1:21" ht="18" x14ac:dyDescent="0.35">
      <c r="A109" s="110"/>
      <c r="Q109" s="171">
        <f>+'4050'!Q107+'4060'!Q107+'4070'!Q107+'4080'!Q107+'40A0'!Q107+'40B0'!Q107+'40C0'!Q107</f>
        <v>4324099.9246325083</v>
      </c>
      <c r="R109" s="359"/>
      <c r="S109" s="383"/>
      <c r="T109" s="301"/>
      <c r="U109" s="38"/>
    </row>
    <row r="110" spans="1:21" ht="16.5" thickBot="1" x14ac:dyDescent="0.4">
      <c r="A110" s="110"/>
      <c r="Q110" s="168"/>
      <c r="R110" s="357"/>
      <c r="S110" s="372"/>
      <c r="T110" s="300"/>
      <c r="U110" s="38"/>
    </row>
    <row r="111" spans="1:21" s="36" customFormat="1" ht="18" thickBot="1" x14ac:dyDescent="0.4">
      <c r="A111" s="285"/>
      <c r="B111" s="286" t="s">
        <v>75</v>
      </c>
      <c r="C111" s="287"/>
      <c r="D111" s="287"/>
      <c r="E111" s="287">
        <f t="shared" ref="E111:R111" si="17">+E24-E108</f>
        <v>155113.02193929825</v>
      </c>
      <c r="F111" s="287">
        <f t="shared" si="17"/>
        <v>153157.15734417911</v>
      </c>
      <c r="G111" s="287">
        <f t="shared" si="17"/>
        <v>129097.19429958891</v>
      </c>
      <c r="H111" s="287">
        <f t="shared" si="17"/>
        <v>108722.89349495224</v>
      </c>
      <c r="I111" s="287">
        <f t="shared" si="17"/>
        <v>143390.13887292723</v>
      </c>
      <c r="J111" s="287">
        <f t="shared" si="17"/>
        <v>129494.54947292729</v>
      </c>
      <c r="K111" s="287">
        <f t="shared" si="17"/>
        <v>117219.29238976986</v>
      </c>
      <c r="L111" s="287">
        <f t="shared" si="17"/>
        <v>141342.51698976994</v>
      </c>
      <c r="M111" s="287">
        <f t="shared" si="17"/>
        <v>111707.4910084593</v>
      </c>
      <c r="N111" s="287">
        <f t="shared" si="17"/>
        <v>110703.88660845935</v>
      </c>
      <c r="O111" s="287">
        <f t="shared" si="17"/>
        <v>158827.92295946786</v>
      </c>
      <c r="P111" s="287">
        <f t="shared" si="17"/>
        <v>136156.90242102527</v>
      </c>
      <c r="Q111" s="466">
        <f t="shared" si="17"/>
        <v>1594932.9678008258</v>
      </c>
      <c r="R111" s="427">
        <f t="shared" si="17"/>
        <v>1695300</v>
      </c>
      <c r="S111" s="371">
        <f t="shared" si="11"/>
        <v>-5.9203109891567407E-2</v>
      </c>
      <c r="T111" s="302"/>
      <c r="U111" s="74"/>
    </row>
    <row r="112" spans="1:21" ht="18" x14ac:dyDescent="0.35">
      <c r="A112" s="110"/>
      <c r="Q112" s="171">
        <f>+'4000'!Q110+'4050'!Q109+'4060'!Q109+'4070'!Q109+'4080'!Q109+'40A0'!Q109+'40B0'!Q109+'40C0'!Q109</f>
        <v>1594932.9678008256</v>
      </c>
      <c r="R112" s="359"/>
      <c r="S112" s="383"/>
      <c r="T112" s="301"/>
      <c r="U112" s="38"/>
    </row>
    <row r="113" spans="1:21" x14ac:dyDescent="0.35">
      <c r="A113" s="110" t="s">
        <v>125</v>
      </c>
      <c r="D113" s="34" t="s">
        <v>76</v>
      </c>
      <c r="E113" s="34">
        <f>+'4050'!E111+'4060'!E111+'4070'!E111+'4080'!E111+'40A0'!E111+'40B0'!E111+'40C0'!E111+'4000'!E112</f>
        <v>0</v>
      </c>
      <c r="F113" s="34">
        <f>+'4050'!F111+'4060'!F111+'4070'!F111+'4080'!F111+'40A0'!F111+'40B0'!F111+'40C0'!F111+'4000'!F112</f>
        <v>0</v>
      </c>
      <c r="G113" s="34">
        <f>+'4050'!G111+'4060'!G111+'4070'!G111+'4080'!G111+'40A0'!G111+'40B0'!G111+'40C0'!G111+'4000'!G112</f>
        <v>0</v>
      </c>
      <c r="H113" s="34">
        <f>+'4050'!H111+'4060'!H111+'4070'!H111+'4080'!H111+'40A0'!H111+'40B0'!H111+'40C0'!H111+'4000'!H112</f>
        <v>0</v>
      </c>
      <c r="I113" s="34">
        <f>+'4050'!I111+'4060'!I111+'4070'!I111+'4080'!I111+'40A0'!I111+'40B0'!I111+'40C0'!I111+'4000'!I112</f>
        <v>0</v>
      </c>
      <c r="J113" s="34">
        <f>+'4050'!J111+'4060'!J111+'4070'!J111+'4080'!J111+'40A0'!J111+'40B0'!J111+'40C0'!J111+'4000'!J112</f>
        <v>0</v>
      </c>
      <c r="K113" s="34">
        <f>+'4050'!K111+'4060'!K111+'4070'!K111+'4080'!K111+'40A0'!K111+'40B0'!K111+'40C0'!K111+'4000'!K112</f>
        <v>0</v>
      </c>
      <c r="L113" s="34">
        <f>+'4050'!L111+'4060'!L111+'4070'!L111+'4080'!L111+'40A0'!L111+'40B0'!L111+'40C0'!L111+'4000'!L112</f>
        <v>0</v>
      </c>
      <c r="M113" s="34">
        <f>+'4050'!M111+'4060'!M111+'4070'!M111+'4080'!M111+'40A0'!M111+'40B0'!M111+'40C0'!M111+'4000'!M112</f>
        <v>0</v>
      </c>
      <c r="N113" s="34">
        <f>+'4050'!N111+'4060'!N111+'4070'!N111+'4080'!N111+'40A0'!N111+'40B0'!N111+'40C0'!N111+'4000'!N112</f>
        <v>0</v>
      </c>
      <c r="O113" s="34">
        <f>+'4050'!O111+'4060'!O111+'4070'!O111+'4080'!O111+'40A0'!O111+'40B0'!O111+'40C0'!O111+'4000'!O112</f>
        <v>0</v>
      </c>
      <c r="P113" s="34">
        <f>+'4050'!P111+'4060'!P111+'4070'!P111+'4080'!P111+'40A0'!P111+'40B0'!P111+'40C0'!P111+'4000'!P112</f>
        <v>0</v>
      </c>
      <c r="Q113" s="168">
        <f>SUM(E113:P113)</f>
        <v>0</v>
      </c>
      <c r="R113" s="357"/>
      <c r="S113" s="372"/>
      <c r="T113" s="300"/>
      <c r="U113" s="38"/>
    </row>
    <row r="114" spans="1:21" x14ac:dyDescent="0.35">
      <c r="A114" s="110" t="s">
        <v>126</v>
      </c>
      <c r="D114" s="34" t="s">
        <v>77</v>
      </c>
      <c r="E114" s="34">
        <f>+'4050'!E112+'4060'!E112+'4070'!E112+'4080'!E112+'40A0'!E112+'40B0'!E112+'40C0'!E112+'4000'!E113</f>
        <v>0</v>
      </c>
      <c r="F114" s="34">
        <f>+'4050'!F112+'4060'!F112+'4070'!F112+'4080'!F112+'40A0'!F112+'40B0'!F112+'40C0'!F112+'4000'!F113</f>
        <v>0</v>
      </c>
      <c r="G114" s="34">
        <f>+'4050'!G112+'4060'!G112+'4070'!G112+'4080'!G112+'40A0'!G112+'40B0'!G112+'40C0'!G112+'4000'!G113</f>
        <v>0</v>
      </c>
      <c r="H114" s="34">
        <f>+'4050'!H112+'4060'!H112+'4070'!H112+'4080'!H112+'40A0'!H112+'40B0'!H112+'40C0'!H112+'4000'!H113</f>
        <v>0</v>
      </c>
      <c r="I114" s="34">
        <f>+'4050'!I112+'4060'!I112+'4070'!I112+'4080'!I112+'40A0'!I112+'40B0'!I112+'40C0'!I112+'4000'!I113</f>
        <v>0</v>
      </c>
      <c r="J114" s="34">
        <f>+'4050'!J112+'4060'!J112+'4070'!J112+'4080'!J112+'40A0'!J112+'40B0'!J112+'40C0'!J112+'4000'!J113</f>
        <v>0</v>
      </c>
      <c r="K114" s="34">
        <f>+'4050'!K112+'4060'!K112+'4070'!K112+'4080'!K112+'40A0'!K112+'40B0'!K112+'40C0'!K112+'4000'!K113</f>
        <v>0</v>
      </c>
      <c r="L114" s="34">
        <f>+'4050'!L112+'4060'!L112+'4070'!L112+'4080'!L112+'40A0'!L112+'40B0'!L112+'40C0'!L112+'4000'!L113</f>
        <v>0</v>
      </c>
      <c r="M114" s="34">
        <f>+'4050'!M112+'4060'!M112+'4070'!M112+'4080'!M112+'40A0'!M112+'40B0'!M112+'40C0'!M112+'4000'!M113</f>
        <v>0</v>
      </c>
      <c r="N114" s="34">
        <f>+'4050'!N112+'4060'!N112+'4070'!N112+'4080'!N112+'40A0'!N112+'40B0'!N112+'40C0'!N112+'4000'!N113</f>
        <v>0</v>
      </c>
      <c r="O114" s="34">
        <f>+'4050'!O112+'4060'!O112+'4070'!O112+'4080'!O112+'40A0'!O112+'40B0'!O112+'40C0'!O112+'4000'!O113</f>
        <v>0</v>
      </c>
      <c r="P114" s="34">
        <f>+'4050'!P112+'4060'!P112+'4070'!P112+'4080'!P112+'40A0'!P112+'40B0'!P112+'40C0'!P112+'4000'!P113</f>
        <v>0</v>
      </c>
      <c r="Q114" s="168">
        <f>SUM(E114:P114)</f>
        <v>0</v>
      </c>
      <c r="R114" s="357"/>
      <c r="S114" s="372"/>
      <c r="T114" s="300"/>
      <c r="U114" s="38"/>
    </row>
    <row r="115" spans="1:21" x14ac:dyDescent="0.35">
      <c r="A115" s="110" t="s">
        <v>127</v>
      </c>
      <c r="D115" s="34" t="s">
        <v>78</v>
      </c>
      <c r="E115" s="34">
        <f>+'4050'!E113+'4060'!E113+'4070'!E113+'4080'!E113+'40A0'!E113+'40B0'!E113+'40C0'!E113+'4000'!E114</f>
        <v>0</v>
      </c>
      <c r="F115" s="34">
        <f>+'4050'!F113+'4060'!F113+'4070'!F113+'4080'!F113+'40A0'!F113+'40B0'!F113+'40C0'!F113+'4000'!F114</f>
        <v>0</v>
      </c>
      <c r="G115" s="34">
        <f>+'4050'!G113+'4060'!G113+'4070'!G113+'4080'!G113+'40A0'!G113+'40B0'!G113+'40C0'!G113+'4000'!G114</f>
        <v>0</v>
      </c>
      <c r="H115" s="34">
        <f>+'4050'!H113+'4060'!H113+'4070'!H113+'4080'!H113+'40A0'!H113+'40B0'!H113+'40C0'!H113+'4000'!H114</f>
        <v>0</v>
      </c>
      <c r="I115" s="34">
        <f>+'4050'!I113+'4060'!I113+'4070'!I113+'4080'!I113+'40A0'!I113+'40B0'!I113+'40C0'!I113+'4000'!I114</f>
        <v>0</v>
      </c>
      <c r="J115" s="34">
        <f>+'4050'!J113+'4060'!J113+'4070'!J113+'4080'!J113+'40A0'!J113+'40B0'!J113+'40C0'!J113+'4000'!J114</f>
        <v>0</v>
      </c>
      <c r="K115" s="34">
        <f>+'4050'!K113+'4060'!K113+'4070'!K113+'4080'!K113+'40A0'!K113+'40B0'!K113+'40C0'!K113+'4000'!K114</f>
        <v>0</v>
      </c>
      <c r="L115" s="34">
        <f>+'4050'!L113+'4060'!L113+'4070'!L113+'4080'!L113+'40A0'!L113+'40B0'!L113+'40C0'!L113+'4000'!L114</f>
        <v>0</v>
      </c>
      <c r="M115" s="34">
        <f>+'4050'!M113+'4060'!M113+'4070'!M113+'4080'!M113+'40A0'!M113+'40B0'!M113+'40C0'!M113+'4000'!M114</f>
        <v>0</v>
      </c>
      <c r="N115" s="34">
        <f>+'4050'!N113+'4060'!N113+'4070'!N113+'4080'!N113+'40A0'!N113+'40B0'!N113+'40C0'!N113+'4000'!N114</f>
        <v>0</v>
      </c>
      <c r="O115" s="34">
        <f>+'4050'!O113+'4060'!O113+'4070'!O113+'4080'!O113+'40A0'!O113+'40B0'!O113+'40C0'!O113+'4000'!O114</f>
        <v>0</v>
      </c>
      <c r="P115" s="34">
        <f>+'4050'!P113+'4060'!P113+'4070'!P113+'4080'!P113+'40A0'!P113+'40B0'!P113+'40C0'!P113+'4000'!P114</f>
        <v>0</v>
      </c>
      <c r="Q115" s="168">
        <f>SUM(E115:P115)</f>
        <v>0</v>
      </c>
      <c r="R115" s="357"/>
      <c r="S115" s="372"/>
      <c r="T115" s="300"/>
      <c r="U115" s="38"/>
    </row>
    <row r="116" spans="1:21" x14ac:dyDescent="0.35">
      <c r="A116" s="110" t="s">
        <v>133</v>
      </c>
      <c r="D116" s="34" t="s">
        <v>79</v>
      </c>
      <c r="E116" s="43">
        <f>+'4050'!E114+'4060'!E114+'4070'!E114+'4080'!E114+'40A0'!E114+'40B0'!E114+'40C0'!E114+'4000'!E115</f>
        <v>0</v>
      </c>
      <c r="F116" s="43">
        <f>+'4050'!F114+'4060'!F114+'4070'!F114+'4080'!F114+'40A0'!F114+'40B0'!F114+'40C0'!F114+'4000'!F115</f>
        <v>0</v>
      </c>
      <c r="G116" s="43">
        <f>+'4050'!G114+'4060'!G114+'4070'!G114+'4080'!G114+'40A0'!G114+'40B0'!G114+'40C0'!G114+'4000'!G115</f>
        <v>0</v>
      </c>
      <c r="H116" s="43">
        <f>+'4050'!H114+'4060'!H114+'4070'!H114+'4080'!H114+'40A0'!H114+'40B0'!H114+'40C0'!H114+'4000'!H115</f>
        <v>0</v>
      </c>
      <c r="I116" s="43">
        <f>+'4050'!I114+'4060'!I114+'4070'!I114+'4080'!I114+'40A0'!I114+'40B0'!I114+'40C0'!I114+'4000'!I115</f>
        <v>0</v>
      </c>
      <c r="J116" s="43">
        <f>+'4050'!J114+'4060'!J114+'4070'!J114+'4080'!J114+'40A0'!J114+'40B0'!J114+'40C0'!J114+'4000'!J115</f>
        <v>0</v>
      </c>
      <c r="K116" s="43">
        <f>+'4050'!K114+'4060'!K114+'4070'!K114+'4080'!K114+'40A0'!K114+'40B0'!K114+'40C0'!K114+'4000'!K115</f>
        <v>0</v>
      </c>
      <c r="L116" s="43">
        <f>+'4050'!L114+'4060'!L114+'4070'!L114+'4080'!L114+'40A0'!L114+'40B0'!L114+'40C0'!L114+'4000'!L115</f>
        <v>0</v>
      </c>
      <c r="M116" s="43">
        <f>+'4050'!M114+'4060'!M114+'4070'!M114+'4080'!M114+'40A0'!M114+'40B0'!M114+'40C0'!M114+'4000'!M115</f>
        <v>0</v>
      </c>
      <c r="N116" s="43">
        <f>+'4050'!N114+'4060'!N114+'4070'!N114+'4080'!N114+'40A0'!N114+'40B0'!N114+'40C0'!N114+'4000'!N115</f>
        <v>0</v>
      </c>
      <c r="O116" s="43">
        <f>+'4050'!O114+'4060'!O114+'4070'!O114+'4080'!O114+'40A0'!O114+'40B0'!O114+'40C0'!O114+'4000'!O115</f>
        <v>0</v>
      </c>
      <c r="P116" s="43">
        <f>+'4050'!P114+'4060'!P114+'4070'!P114+'4080'!P114+'40A0'!P114+'40B0'!P114+'40C0'!P114+'4000'!P115</f>
        <v>0</v>
      </c>
      <c r="Q116" s="177">
        <f>SUM(E116:P116)</f>
        <v>0</v>
      </c>
      <c r="R116" s="357"/>
      <c r="S116" s="372"/>
      <c r="T116" s="300"/>
      <c r="U116" s="38"/>
    </row>
    <row r="117" spans="1:21" x14ac:dyDescent="0.35">
      <c r="A117" s="110"/>
      <c r="C117" s="34" t="s">
        <v>79</v>
      </c>
      <c r="E117" s="87">
        <f t="shared" ref="E117:P117" si="18">SUM(E113:E116)</f>
        <v>0</v>
      </c>
      <c r="F117" s="87">
        <f t="shared" si="18"/>
        <v>0</v>
      </c>
      <c r="G117" s="87">
        <f t="shared" si="18"/>
        <v>0</v>
      </c>
      <c r="H117" s="87">
        <f t="shared" si="18"/>
        <v>0</v>
      </c>
      <c r="I117" s="87">
        <f t="shared" si="18"/>
        <v>0</v>
      </c>
      <c r="J117" s="87">
        <f t="shared" si="18"/>
        <v>0</v>
      </c>
      <c r="K117" s="87">
        <f t="shared" si="18"/>
        <v>0</v>
      </c>
      <c r="L117" s="87">
        <f t="shared" si="18"/>
        <v>0</v>
      </c>
      <c r="M117" s="87">
        <f t="shared" si="18"/>
        <v>0</v>
      </c>
      <c r="N117" s="87">
        <f t="shared" si="18"/>
        <v>0</v>
      </c>
      <c r="O117" s="87">
        <f t="shared" si="18"/>
        <v>0</v>
      </c>
      <c r="P117" s="87">
        <f t="shared" si="18"/>
        <v>0</v>
      </c>
      <c r="Q117" s="177">
        <f>SUM(Q113:Q116)</f>
        <v>0</v>
      </c>
      <c r="R117" s="364">
        <v>62000</v>
      </c>
      <c r="S117" s="370">
        <f t="shared" si="11"/>
        <v>-1</v>
      </c>
      <c r="T117" s="300"/>
      <c r="U117" s="38"/>
    </row>
    <row r="118" spans="1:21" x14ac:dyDescent="0.35">
      <c r="A118" s="110"/>
      <c r="Q118" s="168"/>
      <c r="R118" s="357"/>
      <c r="S118" s="372"/>
      <c r="T118" s="300"/>
      <c r="U118" s="38"/>
    </row>
    <row r="119" spans="1:21" x14ac:dyDescent="0.35">
      <c r="A119" s="110" t="s">
        <v>128</v>
      </c>
      <c r="C119" s="34" t="s">
        <v>80</v>
      </c>
      <c r="E119" s="34">
        <f>+'4050'!E117+'4060'!E117+'4070'!E117+'4080'!E117+'40A0'!E117+'40B0'!E117+'40C0'!E117+'4000'!E118</f>
        <v>17804</v>
      </c>
      <c r="F119" s="34">
        <f>+'4050'!F117+'4060'!F117+'4070'!F117+'4080'!F117+'40A0'!F117+'40B0'!F117+'40C0'!F117+'4000'!F118</f>
        <v>639</v>
      </c>
      <c r="G119" s="34">
        <f>+'4050'!G117+'4060'!G117+'4070'!G117+'4080'!G117+'40A0'!G117+'40B0'!G117+'40C0'!G117+'4000'!G118</f>
        <v>0</v>
      </c>
      <c r="H119" s="34">
        <f>+'4050'!H117+'4060'!H117+'4070'!H117+'4080'!H117+'40A0'!H117+'40B0'!H117+'40C0'!H117+'4000'!H118</f>
        <v>32336</v>
      </c>
      <c r="I119" s="34">
        <f>+'4050'!I117+'4060'!I117+'4070'!I117+'4080'!I117+'40A0'!I117+'40B0'!I117+'40C0'!I117+'4000'!I118</f>
        <v>0</v>
      </c>
      <c r="J119" s="34">
        <f>+'4050'!J117+'4060'!J117+'4070'!J117+'4080'!J117+'40A0'!J117+'40B0'!J117+'40C0'!J117+'4000'!J118</f>
        <v>0</v>
      </c>
      <c r="K119" s="34">
        <f>+'4050'!K117+'4060'!K117+'4070'!K117+'4080'!K117+'40A0'!K117+'40B0'!K117+'40C0'!K117+'4000'!K118</f>
        <v>7226</v>
      </c>
      <c r="L119" s="34">
        <f>+'4050'!L117+'4060'!L117+'4070'!L117+'4080'!L117+'40A0'!L117+'40B0'!L117+'40C0'!L117+'4000'!L118</f>
        <v>3294</v>
      </c>
      <c r="M119" s="34">
        <f>+'4050'!M117+'4060'!M117+'4070'!M117+'4080'!M117+'40A0'!M117+'40B0'!M117+'40C0'!M117+'4000'!M118</f>
        <v>0</v>
      </c>
      <c r="N119" s="34">
        <f>+'4050'!N117+'4060'!N117+'4070'!N117+'4080'!N117+'40A0'!N117+'40B0'!N117+'40C0'!N117+'4000'!N118</f>
        <v>22236</v>
      </c>
      <c r="O119" s="34">
        <f>+'4050'!O117+'4060'!O117+'4070'!O117+'4080'!O117+'40A0'!O117+'40B0'!O117+'40C0'!O117+'4000'!O118</f>
        <v>0</v>
      </c>
      <c r="P119" s="34">
        <f>+'4050'!P117+'4060'!P117+'4070'!P117+'4080'!P117+'40A0'!P117+'40B0'!P117+'40C0'!P117+'4000'!P118</f>
        <v>2622</v>
      </c>
      <c r="Q119" s="168">
        <f>SUM(E119:P119)</f>
        <v>86157</v>
      </c>
      <c r="R119" s="357">
        <v>86764</v>
      </c>
      <c r="S119" s="372">
        <f t="shared" si="11"/>
        <v>-6.9959891199115054E-3</v>
      </c>
      <c r="T119" s="300"/>
      <c r="U119" s="38" t="s">
        <v>591</v>
      </c>
    </row>
    <row r="120" spans="1:21" ht="18" x14ac:dyDescent="0.35">
      <c r="A120" s="110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180"/>
      <c r="R120" s="361"/>
      <c r="S120" s="384"/>
      <c r="T120" s="304"/>
      <c r="U120" s="38"/>
    </row>
    <row r="121" spans="1:21" ht="18" x14ac:dyDescent="0.35">
      <c r="A121" s="110" t="s">
        <v>129</v>
      </c>
      <c r="D121" s="34" t="s">
        <v>81</v>
      </c>
      <c r="E121" s="34">
        <f>+'4050'!E119+'4060'!E119+'4070'!E119+'4080'!E119+'40A0'!E119+'40B0'!E119+'40C0'!E119+'4000'!E120</f>
        <v>0</v>
      </c>
      <c r="F121" s="34">
        <f>+'4050'!F119+'4060'!F119+'4070'!F119+'4080'!F119+'40A0'!F119+'40B0'!F119+'40C0'!F119+'4000'!F120</f>
        <v>0</v>
      </c>
      <c r="G121" s="34">
        <f>+'4050'!G119+'4060'!G119+'4070'!G119+'4080'!G119+'40A0'!G119+'40B0'!G119+'40C0'!G119+'4000'!G120</f>
        <v>0</v>
      </c>
      <c r="H121" s="34">
        <f>+'4050'!H119+'4060'!H119+'4070'!H119+'4080'!H119+'40A0'!H119+'40B0'!H119+'40C0'!H119+'4000'!H120</f>
        <v>0</v>
      </c>
      <c r="I121" s="34">
        <f>+'4050'!I119+'4060'!I119+'4070'!I119+'4080'!I119+'40A0'!I119+'40B0'!I119+'40C0'!I119+'4000'!I120</f>
        <v>0</v>
      </c>
      <c r="J121" s="34">
        <f>+'4050'!J119+'4060'!J119+'4070'!J119+'4080'!J119+'40A0'!J119+'40B0'!J119+'40C0'!J119+'4000'!J120</f>
        <v>0</v>
      </c>
      <c r="K121" s="34">
        <f>+'4050'!K119+'4060'!K119+'4070'!K119+'4080'!K119+'40A0'!K119+'40B0'!K119+'40C0'!K119+'4000'!K120</f>
        <v>0</v>
      </c>
      <c r="L121" s="34">
        <f>+'4050'!L119+'4060'!L119+'4070'!L119+'4080'!L119+'40A0'!L119+'40B0'!L119+'40C0'!L119+'4000'!L120</f>
        <v>0</v>
      </c>
      <c r="M121" s="34">
        <f>+'4050'!M119+'4060'!M119+'4070'!M119+'4080'!M119+'40A0'!M119+'40B0'!M119+'40C0'!M119+'4000'!M120</f>
        <v>0</v>
      </c>
      <c r="N121" s="34">
        <f>+'4050'!N119+'4060'!N119+'4070'!N119+'4080'!N119+'40A0'!N119+'40B0'!N119+'40C0'!N119+'4000'!N120</f>
        <v>0</v>
      </c>
      <c r="O121" s="34">
        <f>+'4050'!O119+'4060'!O119+'4070'!O119+'4080'!O119+'40A0'!O119+'40B0'!O119+'40C0'!O119+'4000'!O120</f>
        <v>0</v>
      </c>
      <c r="P121" s="34">
        <f>+'4050'!P119+'4060'!P119+'4070'!P119+'4080'!P119+'40A0'!P119+'40B0'!P119+'40C0'!P119+'4000'!P120</f>
        <v>0</v>
      </c>
      <c r="Q121" s="171">
        <f>SUM(E121:P121)</f>
        <v>0</v>
      </c>
      <c r="R121" s="359"/>
      <c r="S121" s="383"/>
      <c r="T121" s="301"/>
      <c r="U121" s="38"/>
    </row>
    <row r="122" spans="1:21" x14ac:dyDescent="0.35">
      <c r="A122" s="110" t="s">
        <v>129</v>
      </c>
      <c r="B122" s="36"/>
      <c r="D122" s="34" t="s">
        <v>82</v>
      </c>
      <c r="E122" s="43">
        <f>+'4050'!E120+'4060'!E120+'4070'!E120+'4080'!E120+'40A0'!E120+'40B0'!E120+'40C0'!E120+'4000'!E121</f>
        <v>66037.710000000006</v>
      </c>
      <c r="F122" s="43">
        <f>+'4050'!F120+'4060'!F120+'4070'!F120+'4080'!F120+'40A0'!F120+'40B0'!F120+'40C0'!F120+'4000'!F121</f>
        <v>670.94999999999993</v>
      </c>
      <c r="G122" s="43">
        <f>+'4050'!G120+'4060'!G120+'4070'!G120+'4080'!G120+'40A0'!G120+'40B0'!G120+'40C0'!G120+'4000'!G121</f>
        <v>0</v>
      </c>
      <c r="H122" s="43">
        <f>+'4050'!H120+'4060'!H120+'4070'!H120+'4080'!H120+'40A0'!H120+'40B0'!H120+'40C0'!H120+'4000'!H121</f>
        <v>11432.43</v>
      </c>
      <c r="I122" s="43">
        <f>+'4050'!I120+'4060'!I120+'4070'!I120+'4080'!I120+'40A0'!I120+'40B0'!I120+'40C0'!I120+'4000'!I121</f>
        <v>0</v>
      </c>
      <c r="J122" s="43">
        <f>+'4050'!J120+'4060'!J120+'4070'!J120+'4080'!J120+'40A0'!J120+'40B0'!J120+'40C0'!J120+'4000'!J121</f>
        <v>0</v>
      </c>
      <c r="K122" s="43">
        <f>+'4050'!K120+'4060'!K120+'4070'!K120+'4080'!K120+'40A0'!K120+'40B0'!K120+'40C0'!K120+'4000'!K121</f>
        <v>16694.879999999997</v>
      </c>
      <c r="L122" s="43">
        <f>+'4050'!L120+'4060'!L120+'4070'!L120+'4080'!L120+'40A0'!L120+'40B0'!L120+'40C0'!L120+'4000'!L121</f>
        <v>0</v>
      </c>
      <c r="M122" s="43">
        <f>+'4050'!M120+'4060'!M120+'4070'!M120+'4080'!M120+'40A0'!M120+'40B0'!M120+'40C0'!M120+'4000'!M121</f>
        <v>0</v>
      </c>
      <c r="N122" s="43">
        <f>+'4050'!N120+'4060'!N120+'4070'!N120+'4080'!N120+'40A0'!N120+'40B0'!N120+'40C0'!N120+'4000'!N121</f>
        <v>0</v>
      </c>
      <c r="O122" s="43">
        <f>+'4050'!O120+'4060'!O120+'4070'!O120+'4080'!O120+'40A0'!O120+'40B0'!O120+'40C0'!O120+'4000'!O121</f>
        <v>0</v>
      </c>
      <c r="P122" s="43">
        <f>+'4050'!P120+'4060'!P120+'4070'!P120+'4080'!P120+'40A0'!P120+'40B0'!P120+'40C0'!P120+'4000'!P121</f>
        <v>0</v>
      </c>
      <c r="Q122" s="177">
        <f>SUM(E122:P122)</f>
        <v>94835.97</v>
      </c>
      <c r="R122" s="366"/>
      <c r="S122" s="374"/>
      <c r="T122" s="300"/>
      <c r="U122" s="38" t="s">
        <v>591</v>
      </c>
    </row>
    <row r="123" spans="1:21" x14ac:dyDescent="0.35">
      <c r="A123" s="110"/>
      <c r="C123" s="34" t="s">
        <v>82</v>
      </c>
      <c r="D123" s="61"/>
      <c r="E123" s="34">
        <f>SUM(E121:E122)</f>
        <v>66037.710000000006</v>
      </c>
      <c r="F123" s="34">
        <f t="shared" ref="F123:P123" si="19">SUM(F121:F122)</f>
        <v>670.94999999999993</v>
      </c>
      <c r="G123" s="34">
        <f t="shared" si="19"/>
        <v>0</v>
      </c>
      <c r="H123" s="34">
        <f t="shared" si="19"/>
        <v>11432.43</v>
      </c>
      <c r="I123" s="34">
        <f t="shared" si="19"/>
        <v>0</v>
      </c>
      <c r="J123" s="34">
        <f t="shared" si="19"/>
        <v>0</v>
      </c>
      <c r="K123" s="34">
        <f t="shared" si="19"/>
        <v>16694.879999999997</v>
      </c>
      <c r="L123" s="34">
        <f t="shared" si="19"/>
        <v>0</v>
      </c>
      <c r="M123" s="34">
        <f t="shared" si="19"/>
        <v>0</v>
      </c>
      <c r="N123" s="34">
        <f t="shared" si="19"/>
        <v>0</v>
      </c>
      <c r="O123" s="34">
        <f t="shared" si="19"/>
        <v>0</v>
      </c>
      <c r="P123" s="34">
        <f t="shared" si="19"/>
        <v>0</v>
      </c>
      <c r="Q123" s="168">
        <f t="shared" ref="Q123" si="20">SUM(Q121:Q122)</f>
        <v>94835.97</v>
      </c>
      <c r="R123" s="357">
        <v>32280</v>
      </c>
      <c r="S123" s="372">
        <f t="shared" si="11"/>
        <v>1.9379172862453533</v>
      </c>
      <c r="T123" s="300"/>
      <c r="U123" s="38"/>
    </row>
    <row r="124" spans="1:21" s="36" customFormat="1" ht="18.5" thickBot="1" x14ac:dyDescent="0.4">
      <c r="A124" s="112"/>
      <c r="Q124" s="182"/>
      <c r="R124" s="362"/>
      <c r="S124" s="385"/>
      <c r="T124" s="306"/>
      <c r="U124" s="74"/>
    </row>
    <row r="125" spans="1:21" s="36" customFormat="1" ht="18" thickBot="1" x14ac:dyDescent="0.4">
      <c r="A125" s="285"/>
      <c r="B125" s="286" t="s">
        <v>83</v>
      </c>
      <c r="C125" s="287"/>
      <c r="D125" s="287"/>
      <c r="E125" s="287">
        <f>+E111-E117-E119-E123</f>
        <v>71271.311939298248</v>
      </c>
      <c r="F125" s="287">
        <f t="shared" ref="F125:P125" si="21">+F111-F117-F119-F123</f>
        <v>151847.2073441791</v>
      </c>
      <c r="G125" s="287">
        <f t="shared" si="21"/>
        <v>129097.19429958891</v>
      </c>
      <c r="H125" s="287">
        <f t="shared" si="21"/>
        <v>64954.463494952237</v>
      </c>
      <c r="I125" s="287">
        <f t="shared" si="21"/>
        <v>143390.13887292723</v>
      </c>
      <c r="J125" s="287">
        <f t="shared" si="21"/>
        <v>129494.54947292729</v>
      </c>
      <c r="K125" s="287">
        <f t="shared" si="21"/>
        <v>93298.412389769859</v>
      </c>
      <c r="L125" s="287">
        <f t="shared" si="21"/>
        <v>138048.51698976994</v>
      </c>
      <c r="M125" s="287">
        <f t="shared" si="21"/>
        <v>111707.4910084593</v>
      </c>
      <c r="N125" s="287">
        <f t="shared" si="21"/>
        <v>88467.886608459346</v>
      </c>
      <c r="O125" s="287">
        <f t="shared" si="21"/>
        <v>158827.92295946786</v>
      </c>
      <c r="P125" s="287">
        <f t="shared" si="21"/>
        <v>133534.90242102527</v>
      </c>
      <c r="Q125" s="466">
        <f>+Q111-Q117-Q119-Q123</f>
        <v>1413939.9978008259</v>
      </c>
      <c r="R125" s="427">
        <f>+R111-R117-R119-R123</f>
        <v>1514256</v>
      </c>
      <c r="S125" s="371">
        <f t="shared" si="11"/>
        <v>-6.6247716501816156E-2</v>
      </c>
      <c r="T125" s="302"/>
      <c r="U125" s="74"/>
    </row>
    <row r="126" spans="1:21" ht="18" x14ac:dyDescent="0.35">
      <c r="A126" s="110"/>
      <c r="Q126" s="171"/>
      <c r="R126" s="359"/>
      <c r="S126" s="383"/>
      <c r="T126" s="300"/>
      <c r="U126" s="38"/>
    </row>
    <row r="127" spans="1:21" x14ac:dyDescent="0.35">
      <c r="A127" s="110"/>
      <c r="B127" s="34" t="s">
        <v>84</v>
      </c>
      <c r="Q127" s="168"/>
      <c r="R127" s="357"/>
      <c r="S127" s="372"/>
      <c r="T127" s="300"/>
      <c r="U127" s="38"/>
    </row>
    <row r="128" spans="1:21" x14ac:dyDescent="0.35">
      <c r="A128" s="110" t="s">
        <v>132</v>
      </c>
      <c r="D128" s="34" t="s">
        <v>85</v>
      </c>
      <c r="E128" s="34">
        <f>+'4050'!E126+'4060'!E126+'4070'!E126+'4080'!E126+'40A0'!E126+'40B0'!E126+'40C0'!E126+'4000'!E127</f>
        <v>93058.000000000015</v>
      </c>
      <c r="F128" s="34">
        <f>+'4050'!F126+'4060'!F126+'4070'!F126+'4080'!F126+'40A0'!F126+'40B0'!F126+'40C0'!F126+'4000'!F127</f>
        <v>93058.000000000015</v>
      </c>
      <c r="G128" s="34">
        <f>+'4050'!G126+'4060'!G126+'4070'!G126+'4080'!G126+'40A0'!G126+'40B0'!G126+'40C0'!G126+'4000'!G127</f>
        <v>93058.000000000015</v>
      </c>
      <c r="H128" s="34">
        <f>+'4050'!H126+'4060'!H126+'4070'!H126+'4080'!H126+'40A0'!H126+'40B0'!H126+'40C0'!H126+'4000'!H127</f>
        <v>93058.000000000015</v>
      </c>
      <c r="I128" s="34">
        <f>+'4050'!I126+'4060'!I126+'4070'!I126+'4080'!I126+'40A0'!I126+'40B0'!I126+'40C0'!I126+'4000'!I127</f>
        <v>93058.000000000015</v>
      </c>
      <c r="J128" s="34">
        <f>+'4050'!J126+'4060'!J126+'4070'!J126+'4080'!J126+'40A0'!J126+'40B0'!J126+'40C0'!J126+'4000'!J127</f>
        <v>93058.000000000015</v>
      </c>
      <c r="K128" s="34">
        <f>+'4050'!K126+'4060'!K126+'4070'!K126+'4080'!K126+'40A0'!K126+'40B0'!K126+'40C0'!K126+'4000'!K127</f>
        <v>93058.000000000015</v>
      </c>
      <c r="L128" s="34">
        <f>+'4050'!L126+'4060'!L126+'4070'!L126+'4080'!L126+'40A0'!L126+'40B0'!L126+'40C0'!L126+'4000'!L127</f>
        <v>93058.000000000015</v>
      </c>
      <c r="M128" s="34">
        <f>+'4050'!M126+'4060'!M126+'4070'!M126+'4080'!M126+'40A0'!M126+'40B0'!M126+'40C0'!M126+'4000'!M127</f>
        <v>93058.000000000015</v>
      </c>
      <c r="N128" s="34">
        <f>+'4050'!N126+'4060'!N126+'4070'!N126+'4080'!N126+'40A0'!N126+'40B0'!N126+'40C0'!N126+'4000'!N127</f>
        <v>93058.000000000015</v>
      </c>
      <c r="O128" s="34">
        <f>+'4050'!O126+'4060'!O126+'4070'!O126+'4080'!O126+'40A0'!O126+'40B0'!O126+'40C0'!O126+'4000'!O127</f>
        <v>93058.000000000015</v>
      </c>
      <c r="P128" s="34">
        <f>+'4050'!P126+'4060'!P126+'4070'!P126+'4080'!P126+'40A0'!P126+'40B0'!P126+'40C0'!P126+'4000'!P127</f>
        <v>93058.000000000015</v>
      </c>
      <c r="Q128" s="168">
        <f>SUM(E128:P128)</f>
        <v>1116696.0000000002</v>
      </c>
      <c r="R128" s="357">
        <v>1121261</v>
      </c>
      <c r="S128" s="372">
        <f t="shared" si="11"/>
        <v>-4.0713089994209861E-3</v>
      </c>
      <c r="T128" s="300"/>
      <c r="U128" s="38"/>
    </row>
    <row r="129" spans="1:21" x14ac:dyDescent="0.35">
      <c r="A129" s="110" t="s">
        <v>149</v>
      </c>
      <c r="D129" s="34" t="s">
        <v>86</v>
      </c>
      <c r="E129" s="34">
        <f>+'4050'!E127+'4060'!E127+'4070'!E127+'4080'!E127+'40A0'!E127+'40B0'!E127+'40C0'!E127+'4000'!E128</f>
        <v>0</v>
      </c>
      <c r="F129" s="34">
        <f>+'4050'!F127+'4060'!F127+'4070'!F127+'4080'!F127+'40A0'!F127+'40B0'!F127+'40C0'!F127+'4000'!F128</f>
        <v>0</v>
      </c>
      <c r="G129" s="34">
        <f>+'4050'!G127+'4060'!G127+'4070'!G127+'4080'!G127+'40A0'!G127+'40B0'!G127+'40C0'!G127+'4000'!G128</f>
        <v>0</v>
      </c>
      <c r="H129" s="34">
        <f>+'4050'!H127+'4060'!H127+'4070'!H127+'4080'!H127+'40A0'!H127+'40B0'!H127+'40C0'!H127+'4000'!H128</f>
        <v>0</v>
      </c>
      <c r="I129" s="34">
        <f>+'4050'!I127+'4060'!I127+'4070'!I127+'4080'!I127+'40A0'!I127+'40B0'!I127+'40C0'!I127+'4000'!I128</f>
        <v>0</v>
      </c>
      <c r="J129" s="34">
        <f>+'4050'!J127+'4060'!J127+'4070'!J127+'4080'!J127+'40A0'!J127+'40B0'!J127+'40C0'!J127+'4000'!J128</f>
        <v>0</v>
      </c>
      <c r="K129" s="34">
        <f>+'4050'!K127+'4060'!K127+'4070'!K127+'4080'!K127+'40A0'!K127+'40B0'!K127+'40C0'!K127+'4000'!K128</f>
        <v>0</v>
      </c>
      <c r="L129" s="34">
        <f>+'4050'!L127+'4060'!L127+'4070'!L127+'4080'!L127+'40A0'!L127+'40B0'!L127+'40C0'!L127+'4000'!L128</f>
        <v>0</v>
      </c>
      <c r="M129" s="34">
        <f>+'4050'!M127+'4060'!M127+'4070'!M127+'4080'!M127+'40A0'!M127+'40B0'!M127+'40C0'!M127+'4000'!M128</f>
        <v>0</v>
      </c>
      <c r="N129" s="34">
        <f>+'4050'!N127+'4060'!N127+'4070'!N127+'4080'!N127+'40A0'!N127+'40B0'!N127+'40C0'!N127+'4000'!N128</f>
        <v>0</v>
      </c>
      <c r="O129" s="34">
        <f>+'4050'!O127+'4060'!O127+'4070'!O127+'4080'!O127+'40A0'!O127+'40B0'!O127+'40C0'!O127+'4000'!O128</f>
        <v>0</v>
      </c>
      <c r="P129" s="34">
        <f>+'4050'!P127+'4060'!P127+'4070'!P127+'4080'!P127+'40A0'!P127+'40B0'!P127+'40C0'!P127+'4000'!P128</f>
        <v>0</v>
      </c>
      <c r="Q129" s="168">
        <f>SUM(E129:P129)</f>
        <v>0</v>
      </c>
      <c r="R129" s="357">
        <v>119241</v>
      </c>
      <c r="S129" s="372">
        <f t="shared" si="11"/>
        <v>-1</v>
      </c>
      <c r="T129" s="300"/>
      <c r="U129" s="38"/>
    </row>
    <row r="130" spans="1:21" x14ac:dyDescent="0.35">
      <c r="A130" s="110" t="s">
        <v>150</v>
      </c>
      <c r="D130" s="34" t="s">
        <v>87</v>
      </c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177">
        <f>SUM(E130:P130)</f>
        <v>0</v>
      </c>
      <c r="R130" s="357"/>
      <c r="S130" s="372"/>
      <c r="T130" s="300"/>
      <c r="U130" s="38"/>
    </row>
    <row r="131" spans="1:21" x14ac:dyDescent="0.35">
      <c r="A131" s="110"/>
      <c r="C131" s="34" t="s">
        <v>88</v>
      </c>
      <c r="E131" s="43">
        <f>SUM(E128:E130)</f>
        <v>93058.000000000015</v>
      </c>
      <c r="F131" s="43">
        <f t="shared" ref="F131:R131" si="22">SUM(F128:F130)</f>
        <v>93058.000000000015</v>
      </c>
      <c r="G131" s="43">
        <f t="shared" si="22"/>
        <v>93058.000000000015</v>
      </c>
      <c r="H131" s="43">
        <f t="shared" si="22"/>
        <v>93058.000000000015</v>
      </c>
      <c r="I131" s="43">
        <f t="shared" si="22"/>
        <v>93058.000000000015</v>
      </c>
      <c r="J131" s="43">
        <f t="shared" si="22"/>
        <v>93058.000000000015</v>
      </c>
      <c r="K131" s="43">
        <f t="shared" si="22"/>
        <v>93058.000000000015</v>
      </c>
      <c r="L131" s="43">
        <f t="shared" si="22"/>
        <v>93058.000000000015</v>
      </c>
      <c r="M131" s="43">
        <f t="shared" si="22"/>
        <v>93058.000000000015</v>
      </c>
      <c r="N131" s="43">
        <f t="shared" si="22"/>
        <v>93058.000000000015</v>
      </c>
      <c r="O131" s="43">
        <f t="shared" si="22"/>
        <v>93058.000000000015</v>
      </c>
      <c r="P131" s="43">
        <f t="shared" si="22"/>
        <v>93058.000000000015</v>
      </c>
      <c r="Q131" s="177">
        <f t="shared" si="22"/>
        <v>1116696.0000000002</v>
      </c>
      <c r="R131" s="364">
        <f t="shared" si="22"/>
        <v>1240502</v>
      </c>
      <c r="S131" s="370">
        <f t="shared" si="11"/>
        <v>-9.9803144210972472E-2</v>
      </c>
      <c r="T131" s="300"/>
      <c r="U131" s="38"/>
    </row>
    <row r="132" spans="1:21" ht="18" x14ac:dyDescent="0.35">
      <c r="A132" s="110"/>
      <c r="Q132" s="171"/>
      <c r="R132" s="359"/>
      <c r="S132" s="383"/>
      <c r="T132" s="300"/>
      <c r="U132" s="38"/>
    </row>
    <row r="133" spans="1:21" ht="18.5" thickBot="1" x14ac:dyDescent="0.4">
      <c r="A133" s="110"/>
      <c r="Q133" s="171"/>
      <c r="R133" s="359"/>
      <c r="S133" s="383"/>
      <c r="T133" s="301"/>
      <c r="U133" s="38"/>
    </row>
    <row r="134" spans="1:21" s="36" customFormat="1" ht="18" thickBot="1" x14ac:dyDescent="0.4">
      <c r="B134" s="286" t="s">
        <v>89</v>
      </c>
      <c r="C134" s="287"/>
      <c r="D134" s="287"/>
      <c r="E134" s="287">
        <f t="shared" ref="E134:R134" si="23">+E125-E131</f>
        <v>-21786.688060701767</v>
      </c>
      <c r="F134" s="287">
        <f t="shared" si="23"/>
        <v>58789.207344179085</v>
      </c>
      <c r="G134" s="287">
        <f>+G125-G131</f>
        <v>36039.194299588897</v>
      </c>
      <c r="H134" s="287">
        <f t="shared" si="23"/>
        <v>-28103.536505047778</v>
      </c>
      <c r="I134" s="287">
        <f t="shared" si="23"/>
        <v>50332.138872927215</v>
      </c>
      <c r="J134" s="287">
        <f t="shared" si="23"/>
        <v>36436.549472927276</v>
      </c>
      <c r="K134" s="287">
        <f t="shared" si="23"/>
        <v>240.41238976984459</v>
      </c>
      <c r="L134" s="287">
        <f t="shared" si="23"/>
        <v>44990.516989769923</v>
      </c>
      <c r="M134" s="287">
        <f t="shared" si="23"/>
        <v>18649.491008459285</v>
      </c>
      <c r="N134" s="287">
        <f t="shared" si="23"/>
        <v>-4590.1133915406681</v>
      </c>
      <c r="O134" s="287">
        <f t="shared" si="23"/>
        <v>65769.922959467847</v>
      </c>
      <c r="P134" s="287">
        <f t="shared" si="23"/>
        <v>40476.902421025254</v>
      </c>
      <c r="Q134" s="466">
        <f t="shared" si="23"/>
        <v>297243.99780082563</v>
      </c>
      <c r="R134" s="427">
        <f t="shared" si="23"/>
        <v>273754</v>
      </c>
      <c r="S134" s="405">
        <f>Q134/R134-1</f>
        <v>8.5806957344278567E-2</v>
      </c>
      <c r="T134" s="302"/>
      <c r="U134" s="74"/>
    </row>
    <row r="135" spans="1:21" ht="18" x14ac:dyDescent="0.35">
      <c r="A135" s="110"/>
      <c r="Q135" s="171"/>
      <c r="R135" s="359"/>
      <c r="S135" s="375"/>
      <c r="T135" s="294"/>
      <c r="U135" s="38"/>
    </row>
    <row r="136" spans="1:21" ht="18" x14ac:dyDescent="0.35">
      <c r="A136" s="110"/>
      <c r="B136" s="36"/>
      <c r="Q136" s="171"/>
      <c r="R136" s="359"/>
      <c r="S136" s="375"/>
      <c r="T136" s="295"/>
      <c r="U136" s="74"/>
    </row>
    <row r="137" spans="1:21" ht="18" x14ac:dyDescent="0.35">
      <c r="A137" s="110"/>
      <c r="Q137" s="171"/>
      <c r="R137" s="359"/>
      <c r="S137" s="375"/>
      <c r="T137" s="294"/>
      <c r="U137" s="38"/>
    </row>
    <row r="138" spans="1:21" x14ac:dyDescent="0.35">
      <c r="A138" s="62" t="s">
        <v>346</v>
      </c>
      <c r="B138" s="36" t="s">
        <v>665</v>
      </c>
      <c r="Q138" s="168"/>
      <c r="R138" s="357"/>
      <c r="S138" s="369"/>
      <c r="T138" s="294"/>
      <c r="U138" s="38"/>
    </row>
    <row r="139" spans="1:21" ht="18" x14ac:dyDescent="0.35">
      <c r="A139" s="110"/>
      <c r="D139" s="314">
        <f>290537+104581.24</f>
        <v>395118.24</v>
      </c>
      <c r="Q139" s="315">
        <f>+D139</f>
        <v>395118.24</v>
      </c>
      <c r="R139" s="363"/>
      <c r="S139" s="369"/>
      <c r="U139" s="331" t="s">
        <v>448</v>
      </c>
    </row>
    <row r="140" spans="1:21" ht="18.5" thickBot="1" x14ac:dyDescent="0.4">
      <c r="A140" s="112"/>
      <c r="D140" s="34" t="s">
        <v>349</v>
      </c>
      <c r="E140" s="43">
        <f>IF(T140=TRUE,0,-20050)</f>
        <v>-20050</v>
      </c>
      <c r="F140" s="43">
        <f>+E140</f>
        <v>-20050</v>
      </c>
      <c r="G140" s="43">
        <f t="shared" ref="G140:P140" si="24">+F140</f>
        <v>-20050</v>
      </c>
      <c r="H140" s="43">
        <f t="shared" si="24"/>
        <v>-20050</v>
      </c>
      <c r="I140" s="43">
        <f t="shared" si="24"/>
        <v>-20050</v>
      </c>
      <c r="J140" s="43">
        <f t="shared" si="24"/>
        <v>-20050</v>
      </c>
      <c r="K140" s="43">
        <f t="shared" si="24"/>
        <v>-20050</v>
      </c>
      <c r="L140" s="43">
        <f t="shared" si="24"/>
        <v>-20050</v>
      </c>
      <c r="M140" s="43">
        <f t="shared" si="24"/>
        <v>-20050</v>
      </c>
      <c r="N140" s="43">
        <f t="shared" si="24"/>
        <v>-20050</v>
      </c>
      <c r="O140" s="43">
        <f t="shared" si="24"/>
        <v>-20050</v>
      </c>
      <c r="P140" s="43">
        <f t="shared" si="24"/>
        <v>-20050</v>
      </c>
      <c r="Q140" s="168">
        <f>SUM(E140:P140)</f>
        <v>-240600</v>
      </c>
      <c r="R140" s="357"/>
      <c r="S140" s="369"/>
      <c r="T140" s="507" t="b">
        <v>0</v>
      </c>
      <c r="U140" s="331" t="s">
        <v>609</v>
      </c>
    </row>
    <row r="141" spans="1:21" s="36" customFormat="1" ht="18" thickBot="1" x14ac:dyDescent="0.4">
      <c r="A141" s="112"/>
      <c r="E141" s="36">
        <f>+E134+D139+E140</f>
        <v>353281.55193929822</v>
      </c>
      <c r="F141" s="36">
        <f t="shared" ref="F141:N141" si="25">+E141+F134+F140</f>
        <v>392020.75928347732</v>
      </c>
      <c r="G141" s="36">
        <f t="shared" si="25"/>
        <v>408009.95358306624</v>
      </c>
      <c r="H141" s="36">
        <f t="shared" si="25"/>
        <v>359856.41707801848</v>
      </c>
      <c r="I141" s="36">
        <f t="shared" si="25"/>
        <v>390138.55595094571</v>
      </c>
      <c r="J141" s="36">
        <f t="shared" si="25"/>
        <v>406525.105423873</v>
      </c>
      <c r="K141" s="36">
        <f t="shared" si="25"/>
        <v>386715.51781364286</v>
      </c>
      <c r="L141" s="36">
        <f t="shared" si="25"/>
        <v>411656.0348034128</v>
      </c>
      <c r="M141" s="36">
        <f t="shared" si="25"/>
        <v>410255.5258118721</v>
      </c>
      <c r="N141" s="36">
        <f t="shared" si="25"/>
        <v>385615.41242033144</v>
      </c>
      <c r="O141" s="36">
        <f>+N141+O134+O140</f>
        <v>431335.3353797993</v>
      </c>
      <c r="P141" s="36">
        <f>+O141+P134+P140</f>
        <v>451762.23780082457</v>
      </c>
      <c r="Q141" s="288">
        <f>+Q134+Q139+Q140</f>
        <v>451762.23780082562</v>
      </c>
      <c r="R141" s="360"/>
      <c r="S141" s="376"/>
      <c r="T141" s="294"/>
      <c r="U141" s="38"/>
    </row>
    <row r="142" spans="1:21" ht="18" x14ac:dyDescent="0.35">
      <c r="A142" s="112"/>
      <c r="Q142" s="171"/>
      <c r="R142" s="359"/>
      <c r="S142" s="375"/>
      <c r="T142" s="294"/>
      <c r="U142" s="38"/>
    </row>
    <row r="143" spans="1:21" x14ac:dyDescent="0.35">
      <c r="A143" s="529" t="s">
        <v>655</v>
      </c>
      <c r="B143" s="95"/>
      <c r="C143" s="95"/>
      <c r="D143" s="95"/>
      <c r="Q143" s="168"/>
      <c r="R143" s="357"/>
      <c r="S143" s="369"/>
      <c r="T143" s="294"/>
      <c r="U143" s="38"/>
    </row>
    <row r="144" spans="1:21" x14ac:dyDescent="0.35">
      <c r="A144" s="110" t="s">
        <v>128</v>
      </c>
      <c r="C144" s="34" t="s">
        <v>80</v>
      </c>
      <c r="E144" s="34">
        <f>+'4050'!E117+'4060'!E117+'4070'!E117+'4080'!E117+'40A0'!E117+'40B0'!E117+'40C0'!E117+'4000'!E118</f>
        <v>17804</v>
      </c>
      <c r="F144" s="34">
        <f>+'4050'!F117+'4060'!F117+'4070'!F117+'4080'!F117+'40A0'!F117+'40B0'!F117+'40C0'!F117+'4000'!F118</f>
        <v>639</v>
      </c>
      <c r="G144" s="34">
        <f>+'4050'!G117+'4060'!G117+'4070'!G117+'4080'!G117+'40A0'!G117+'40B0'!G117+'40C0'!G117+'4000'!G118</f>
        <v>0</v>
      </c>
      <c r="H144" s="34">
        <f>+'4050'!H117+'4060'!H117+'4070'!H117+'4080'!H117+'40A0'!H117+'40B0'!H117+'40C0'!H117+'4000'!H118</f>
        <v>32336</v>
      </c>
      <c r="I144" s="34">
        <f>+'4050'!I117+'4060'!I117+'4070'!I117+'4080'!I117+'40A0'!I117+'40B0'!I117+'40C0'!I117+'4000'!I118</f>
        <v>0</v>
      </c>
      <c r="J144" s="34">
        <f>+'4050'!J117+'4060'!J117+'4070'!J117+'4080'!J117+'40A0'!J117+'40B0'!J117+'40C0'!J117+'4000'!J118</f>
        <v>0</v>
      </c>
      <c r="K144" s="34">
        <f>+'4050'!K117+'4060'!K117+'4070'!K117+'4080'!K117+'40A0'!K117+'40B0'!K117+'40C0'!K117+'4000'!K118</f>
        <v>7226</v>
      </c>
      <c r="L144" s="34">
        <f>+'4050'!L117+'4060'!L117+'4070'!L117+'4080'!L117+'40A0'!L117+'40B0'!L117+'40C0'!L117+'4000'!L118</f>
        <v>3294</v>
      </c>
      <c r="M144" s="34">
        <f>+'4050'!M117+'4060'!M117+'4070'!M117+'4080'!M117+'40A0'!M117+'40B0'!M117+'40C0'!M117+'4000'!M118</f>
        <v>0</v>
      </c>
      <c r="N144" s="34">
        <f>+'4050'!N117+'4060'!N117+'4070'!N117+'4080'!N117+'40A0'!N117+'40B0'!N117+'40C0'!N117+'4000'!N118</f>
        <v>22236</v>
      </c>
      <c r="O144" s="34">
        <f>+'4050'!O117+'4060'!O117+'4070'!O117+'4080'!O117+'40A0'!O117+'40B0'!O117+'40C0'!O117+'4000'!O118</f>
        <v>0</v>
      </c>
      <c r="P144" s="34">
        <f>+'4050'!P117+'4060'!P117+'4070'!P117+'4080'!P117+'40A0'!P117+'40B0'!P117+'40C0'!P117+'4000'!P118</f>
        <v>2622</v>
      </c>
      <c r="Q144" s="168">
        <f>SUM(E144:P144)</f>
        <v>86157</v>
      </c>
      <c r="R144" s="357"/>
      <c r="S144" s="369"/>
      <c r="T144" s="294"/>
      <c r="U144" s="38"/>
    </row>
    <row r="145" spans="1:21" x14ac:dyDescent="0.35">
      <c r="A145" s="110" t="s">
        <v>129</v>
      </c>
      <c r="D145" s="34" t="s">
        <v>81</v>
      </c>
      <c r="E145" s="34">
        <f>+'4050'!E119+'4060'!E119+'4070'!E119+'4080'!E119+'40A0'!E119+'40B0'!E119+'40C0'!E119+'4000'!E120</f>
        <v>0</v>
      </c>
      <c r="F145" s="34">
        <f>+'4050'!F119+'4060'!F119+'4070'!F119+'4080'!F119+'40A0'!F119+'40B0'!F119+'40C0'!F119+'4000'!F120</f>
        <v>0</v>
      </c>
      <c r="G145" s="34">
        <f>+'4050'!G119+'4060'!G119+'4070'!G119+'4080'!G119+'40A0'!G119+'40B0'!G119+'40C0'!G119+'4000'!G120</f>
        <v>0</v>
      </c>
      <c r="H145" s="34">
        <f>+'4050'!H119+'4060'!H119+'4070'!H119+'4080'!H119+'40A0'!H119+'40B0'!H119+'40C0'!H119+'4000'!H120</f>
        <v>0</v>
      </c>
      <c r="I145" s="34">
        <f>+'4050'!I119+'4060'!I119+'4070'!I119+'4080'!I119+'40A0'!I119+'40B0'!I119+'40C0'!I119+'4000'!I120</f>
        <v>0</v>
      </c>
      <c r="J145" s="34">
        <f>+'4050'!J119+'4060'!J119+'4070'!J119+'4080'!J119+'40A0'!J119+'40B0'!J119+'40C0'!J119+'4000'!J120</f>
        <v>0</v>
      </c>
      <c r="K145" s="34">
        <f>+'4050'!K119+'4060'!K119+'4070'!K119+'4080'!K119+'40A0'!K119+'40B0'!K119+'40C0'!K119+'4000'!K120</f>
        <v>0</v>
      </c>
      <c r="L145" s="34">
        <f>+'4050'!L119+'4060'!L119+'4070'!L119+'4080'!L119+'40A0'!L119+'40B0'!L119+'40C0'!L119+'4000'!L120</f>
        <v>0</v>
      </c>
      <c r="M145" s="34">
        <f>+'4050'!M119+'4060'!M119+'4070'!M119+'4080'!M119+'40A0'!M119+'40B0'!M119+'40C0'!M119+'4000'!M120</f>
        <v>0</v>
      </c>
      <c r="N145" s="34">
        <f>+'4050'!N119+'4060'!N119+'4070'!N119+'4080'!N119+'40A0'!N119+'40B0'!N119+'40C0'!N119+'4000'!N120</f>
        <v>0</v>
      </c>
      <c r="O145" s="34">
        <f>+'4050'!O119+'4060'!O119+'4070'!O119+'4080'!O119+'40A0'!O119+'40B0'!O119+'40C0'!O119+'4000'!O120</f>
        <v>0</v>
      </c>
      <c r="P145" s="34">
        <f>+'4050'!P119+'4060'!P119+'4070'!P119+'4080'!P119+'40A0'!P119+'40B0'!P119+'40C0'!P119+'4000'!P120</f>
        <v>0</v>
      </c>
      <c r="Q145" s="168">
        <f>SUM(E145:P145)</f>
        <v>0</v>
      </c>
      <c r="R145" s="357"/>
      <c r="S145" s="369"/>
      <c r="T145" s="294"/>
      <c r="U145" s="38"/>
    </row>
    <row r="146" spans="1:21" x14ac:dyDescent="0.35">
      <c r="A146" s="110" t="s">
        <v>129</v>
      </c>
      <c r="D146" s="34" t="s">
        <v>82</v>
      </c>
      <c r="E146" s="34">
        <f>+'4050'!E120+'4060'!E120+'4070'!E120+'4080'!E120+'40A0'!E120+'40B0'!E120+'40C0'!E120+'4000'!E121</f>
        <v>66037.710000000006</v>
      </c>
      <c r="F146" s="34">
        <f>+'4050'!F120+'4060'!F120+'4070'!F120+'4080'!F120+'40A0'!F120+'40B0'!F120+'40C0'!F120+'4000'!F121</f>
        <v>670.94999999999993</v>
      </c>
      <c r="G146" s="34">
        <f>+'4050'!G120+'4060'!G120+'4070'!G120+'4080'!G120+'40A0'!G120+'40B0'!G120+'40C0'!G120+'4000'!G121</f>
        <v>0</v>
      </c>
      <c r="H146" s="34">
        <f>+'4050'!H120+'4060'!H120+'4070'!H120+'4080'!H120+'40A0'!H120+'40B0'!H120+'40C0'!H120+'4000'!H121</f>
        <v>11432.43</v>
      </c>
      <c r="I146" s="34">
        <f>+'4050'!I120+'4060'!I120+'4070'!I120+'4080'!I120+'40A0'!I120+'40B0'!I120+'40C0'!I120+'4000'!I121</f>
        <v>0</v>
      </c>
      <c r="J146" s="34">
        <f>+'4050'!J120+'4060'!J120+'4070'!J120+'4080'!J120+'40A0'!J120+'40B0'!J120+'40C0'!J120+'4000'!J121</f>
        <v>0</v>
      </c>
      <c r="K146" s="34">
        <f>+'4050'!K120+'4060'!K120+'4070'!K120+'4080'!K120+'40A0'!K120+'40B0'!K120+'40C0'!K120+'4000'!K121</f>
        <v>16694.879999999997</v>
      </c>
      <c r="L146" s="34">
        <f>+'4050'!L120+'4060'!L120+'4070'!L120+'4080'!L120+'40A0'!L120+'40B0'!L120+'40C0'!L120+'4000'!L121</f>
        <v>0</v>
      </c>
      <c r="M146" s="34">
        <f>+'4050'!M120+'4060'!M120+'4070'!M120+'4080'!M120+'40A0'!M120+'40B0'!M120+'40C0'!M120+'4000'!M121</f>
        <v>0</v>
      </c>
      <c r="N146" s="34">
        <f>+'4050'!N120+'4060'!N120+'4070'!N120+'4080'!N120+'40A0'!N120+'40B0'!N120+'40C0'!N120+'4000'!N121</f>
        <v>0</v>
      </c>
      <c r="O146" s="34">
        <f>+'4050'!O120+'4060'!O120+'4070'!O120+'4080'!O120+'40A0'!O120+'40B0'!O120+'40C0'!O120+'4000'!O121</f>
        <v>0</v>
      </c>
      <c r="P146" s="34">
        <f>+'4050'!P120+'4060'!P120+'4070'!P120+'4080'!P120+'40A0'!P120+'40B0'!P120+'40C0'!P120+'4000'!P121</f>
        <v>0</v>
      </c>
      <c r="Q146" s="168">
        <f>SUM(E146:P146)</f>
        <v>94835.97</v>
      </c>
      <c r="R146" s="357"/>
      <c r="S146" s="369"/>
      <c r="T146" s="294"/>
      <c r="U146" s="38"/>
    </row>
    <row r="147" spans="1:21" x14ac:dyDescent="0.35">
      <c r="A147" s="41"/>
      <c r="C147" s="34" t="s">
        <v>350</v>
      </c>
      <c r="E147" s="59">
        <f>SUM(E144:E146)</f>
        <v>83841.710000000006</v>
      </c>
      <c r="F147" s="59">
        <f t="shared" ref="F147:O147" si="26">SUM(F144:F146)</f>
        <v>1309.9499999999998</v>
      </c>
      <c r="G147" s="59">
        <f t="shared" si="26"/>
        <v>0</v>
      </c>
      <c r="H147" s="59">
        <f t="shared" si="26"/>
        <v>43768.43</v>
      </c>
      <c r="I147" s="59">
        <f t="shared" si="26"/>
        <v>0</v>
      </c>
      <c r="J147" s="59">
        <f t="shared" si="26"/>
        <v>0</v>
      </c>
      <c r="K147" s="59">
        <f t="shared" si="26"/>
        <v>23920.879999999997</v>
      </c>
      <c r="L147" s="59">
        <f t="shared" si="26"/>
        <v>3294</v>
      </c>
      <c r="M147" s="59">
        <f t="shared" si="26"/>
        <v>0</v>
      </c>
      <c r="N147" s="59">
        <f t="shared" si="26"/>
        <v>22236</v>
      </c>
      <c r="O147" s="59">
        <f t="shared" si="26"/>
        <v>0</v>
      </c>
      <c r="P147" s="59">
        <f>SUM(P144:P146)</f>
        <v>2622</v>
      </c>
      <c r="Q147" s="179">
        <f>SUM(Q144:Q146)</f>
        <v>180992.97</v>
      </c>
      <c r="R147" s="357"/>
      <c r="S147" s="369"/>
      <c r="T147" s="294"/>
      <c r="U147" s="38"/>
    </row>
    <row r="148" spans="1:21" x14ac:dyDescent="0.35">
      <c r="A148" s="41"/>
      <c r="Q148" s="168"/>
      <c r="R148" s="357"/>
      <c r="S148" s="369"/>
      <c r="T148" s="294"/>
      <c r="U148" s="38"/>
    </row>
    <row r="149" spans="1:21" ht="18" x14ac:dyDescent="0.35">
      <c r="A149" s="79"/>
      <c r="D149" s="34" t="s">
        <v>348</v>
      </c>
      <c r="E149" s="43">
        <f>-E140</f>
        <v>20050</v>
      </c>
      <c r="F149" s="43">
        <f>+E149</f>
        <v>20050</v>
      </c>
      <c r="G149" s="43">
        <f t="shared" ref="G149:P149" si="27">+F149</f>
        <v>20050</v>
      </c>
      <c r="H149" s="43">
        <f t="shared" si="27"/>
        <v>20050</v>
      </c>
      <c r="I149" s="43">
        <f t="shared" si="27"/>
        <v>20050</v>
      </c>
      <c r="J149" s="43">
        <f t="shared" si="27"/>
        <v>20050</v>
      </c>
      <c r="K149" s="43">
        <f t="shared" si="27"/>
        <v>20050</v>
      </c>
      <c r="L149" s="43">
        <f t="shared" si="27"/>
        <v>20050</v>
      </c>
      <c r="M149" s="43">
        <f t="shared" si="27"/>
        <v>20050</v>
      </c>
      <c r="N149" s="43">
        <f t="shared" si="27"/>
        <v>20050</v>
      </c>
      <c r="O149" s="43">
        <f t="shared" si="27"/>
        <v>20050</v>
      </c>
      <c r="P149" s="43">
        <f t="shared" si="27"/>
        <v>20050</v>
      </c>
      <c r="Q149" s="181"/>
      <c r="R149" s="359"/>
      <c r="S149" s="375"/>
      <c r="T149" s="294"/>
      <c r="U149" s="38"/>
    </row>
    <row r="150" spans="1:21" x14ac:dyDescent="0.35">
      <c r="A150" s="41"/>
      <c r="Q150" s="168"/>
      <c r="R150" s="357"/>
      <c r="S150" s="369"/>
      <c r="T150" s="294"/>
      <c r="U150" s="38"/>
    </row>
    <row r="151" spans="1:21" x14ac:dyDescent="0.35">
      <c r="A151" s="313"/>
      <c r="B151" s="94" t="s">
        <v>456</v>
      </c>
      <c r="C151" s="96"/>
      <c r="D151" s="95"/>
      <c r="E151" s="95"/>
      <c r="F151" s="95"/>
      <c r="G151" s="95"/>
      <c r="H151" s="95"/>
      <c r="I151" s="95"/>
      <c r="T151" s="294"/>
      <c r="U151" s="38"/>
    </row>
    <row r="152" spans="1:21" s="36" customFormat="1" x14ac:dyDescent="0.35">
      <c r="A152" s="313"/>
      <c r="C152" s="63"/>
      <c r="D152" s="314">
        <v>364692</v>
      </c>
      <c r="E152" s="36">
        <f>+D152-E147+E149</f>
        <v>300900.28999999998</v>
      </c>
      <c r="F152" s="36">
        <f t="shared" ref="F152:O152" si="28">+E152-F147+F149</f>
        <v>319640.33999999997</v>
      </c>
      <c r="G152" s="36">
        <f t="shared" si="28"/>
        <v>339690.33999999997</v>
      </c>
      <c r="H152" s="36">
        <f t="shared" si="28"/>
        <v>315971.90999999997</v>
      </c>
      <c r="I152" s="36">
        <f t="shared" si="28"/>
        <v>336021.91</v>
      </c>
      <c r="J152" s="36">
        <f t="shared" si="28"/>
        <v>356071.91</v>
      </c>
      <c r="K152" s="36">
        <f t="shared" si="28"/>
        <v>352201.02999999997</v>
      </c>
      <c r="L152" s="36">
        <f t="shared" si="28"/>
        <v>368957.02999999997</v>
      </c>
      <c r="M152" s="36">
        <f t="shared" si="28"/>
        <v>389007.02999999997</v>
      </c>
      <c r="N152" s="36">
        <f t="shared" si="28"/>
        <v>386821.02999999997</v>
      </c>
      <c r="O152" s="36">
        <f t="shared" si="28"/>
        <v>406871.02999999997</v>
      </c>
      <c r="P152" s="36">
        <f>+O152-P147+P149</f>
        <v>424299.02999999997</v>
      </c>
      <c r="S152" s="377"/>
      <c r="T152" s="294"/>
      <c r="U152" s="38"/>
    </row>
    <row r="153" spans="1:21" x14ac:dyDescent="0.35">
      <c r="A153" s="41"/>
      <c r="T153" s="294"/>
      <c r="U153" s="38"/>
    </row>
    <row r="154" spans="1:21" x14ac:dyDescent="0.35">
      <c r="A154" s="80"/>
    </row>
    <row r="155" spans="1:21" x14ac:dyDescent="0.35">
      <c r="A155" s="80"/>
      <c r="B155" s="62" t="s">
        <v>346</v>
      </c>
      <c r="D155" s="332" t="s">
        <v>347</v>
      </c>
    </row>
    <row r="156" spans="1:21" x14ac:dyDescent="0.35">
      <c r="A156" s="80"/>
    </row>
    <row r="157" spans="1:21" x14ac:dyDescent="0.35">
      <c r="A157" s="80"/>
    </row>
    <row r="158" spans="1:21" x14ac:dyDescent="0.35">
      <c r="A158" s="80"/>
    </row>
    <row r="159" spans="1:21" x14ac:dyDescent="0.35">
      <c r="A159" s="80"/>
    </row>
    <row r="160" spans="1:21" x14ac:dyDescent="0.35">
      <c r="A160" s="80"/>
    </row>
    <row r="161" spans="1:1" x14ac:dyDescent="0.35">
      <c r="A161" s="80"/>
    </row>
    <row r="162" spans="1:1" x14ac:dyDescent="0.35">
      <c r="A162" s="80"/>
    </row>
    <row r="163" spans="1:1" x14ac:dyDescent="0.35">
      <c r="A163" s="80"/>
    </row>
    <row r="164" spans="1:1" x14ac:dyDescent="0.35">
      <c r="A164" s="80"/>
    </row>
    <row r="165" spans="1:1" x14ac:dyDescent="0.35">
      <c r="A165" s="80"/>
    </row>
    <row r="166" spans="1:1" x14ac:dyDescent="0.35">
      <c r="A166" s="80"/>
    </row>
    <row r="167" spans="1:1" x14ac:dyDescent="0.35">
      <c r="A167" s="80"/>
    </row>
    <row r="168" spans="1:1" x14ac:dyDescent="0.35">
      <c r="A168" s="80"/>
    </row>
    <row r="169" spans="1:1" x14ac:dyDescent="0.35">
      <c r="A169" s="80"/>
    </row>
    <row r="170" spans="1:1" x14ac:dyDescent="0.35">
      <c r="A170" s="80"/>
    </row>
    <row r="171" spans="1:1" x14ac:dyDescent="0.35">
      <c r="A171" s="80"/>
    </row>
    <row r="172" spans="1:1" x14ac:dyDescent="0.35">
      <c r="A172" s="80"/>
    </row>
    <row r="173" spans="1:1" x14ac:dyDescent="0.35">
      <c r="A173" s="80"/>
    </row>
    <row r="174" spans="1:1" x14ac:dyDescent="0.35">
      <c r="A174" s="80"/>
    </row>
    <row r="175" spans="1:1" x14ac:dyDescent="0.35">
      <c r="A175" s="80"/>
    </row>
    <row r="176" spans="1:1" x14ac:dyDescent="0.35">
      <c r="A176" s="80"/>
    </row>
    <row r="177" spans="1:1" x14ac:dyDescent="0.35">
      <c r="A177" s="80"/>
    </row>
    <row r="178" spans="1:1" x14ac:dyDescent="0.35">
      <c r="A178" s="80"/>
    </row>
    <row r="179" spans="1:1" x14ac:dyDescent="0.35">
      <c r="A179" s="80"/>
    </row>
    <row r="180" spans="1:1" x14ac:dyDescent="0.35">
      <c r="A180" s="80"/>
    </row>
    <row r="181" spans="1:1" x14ac:dyDescent="0.35">
      <c r="A181" s="80"/>
    </row>
    <row r="182" spans="1:1" x14ac:dyDescent="0.35">
      <c r="A182" s="80"/>
    </row>
    <row r="183" spans="1:1" x14ac:dyDescent="0.35">
      <c r="A183" s="80"/>
    </row>
    <row r="184" spans="1:1" x14ac:dyDescent="0.35">
      <c r="A184" s="80"/>
    </row>
    <row r="185" spans="1:1" x14ac:dyDescent="0.35">
      <c r="A185" s="80"/>
    </row>
    <row r="186" spans="1:1" x14ac:dyDescent="0.35">
      <c r="A186" s="80"/>
    </row>
    <row r="187" spans="1:1" x14ac:dyDescent="0.35">
      <c r="A187" s="80"/>
    </row>
    <row r="188" spans="1:1" x14ac:dyDescent="0.35">
      <c r="A188" s="80"/>
    </row>
    <row r="189" spans="1:1" x14ac:dyDescent="0.35">
      <c r="A189" s="80"/>
    </row>
    <row r="190" spans="1:1" x14ac:dyDescent="0.35">
      <c r="A190" s="80"/>
    </row>
    <row r="191" spans="1:1" x14ac:dyDescent="0.35">
      <c r="A191" s="80"/>
    </row>
    <row r="192" spans="1:1" x14ac:dyDescent="0.35">
      <c r="A192" s="80"/>
    </row>
    <row r="193" spans="1:1" x14ac:dyDescent="0.35">
      <c r="A193" s="80"/>
    </row>
    <row r="194" spans="1:1" x14ac:dyDescent="0.35">
      <c r="A194" s="80"/>
    </row>
    <row r="195" spans="1:1" x14ac:dyDescent="0.35">
      <c r="A195" s="80"/>
    </row>
    <row r="196" spans="1:1" x14ac:dyDescent="0.35">
      <c r="A196" s="80"/>
    </row>
    <row r="197" spans="1:1" x14ac:dyDescent="0.35">
      <c r="A197" s="80"/>
    </row>
    <row r="198" spans="1:1" x14ac:dyDescent="0.35">
      <c r="A198" s="80"/>
    </row>
    <row r="199" spans="1:1" x14ac:dyDescent="0.35">
      <c r="A199" s="80"/>
    </row>
    <row r="200" spans="1:1" x14ac:dyDescent="0.35">
      <c r="A200" s="80"/>
    </row>
    <row r="201" spans="1:1" x14ac:dyDescent="0.35">
      <c r="A201" s="80"/>
    </row>
    <row r="202" spans="1:1" x14ac:dyDescent="0.35">
      <c r="A202" s="80"/>
    </row>
    <row r="203" spans="1:1" x14ac:dyDescent="0.35">
      <c r="A203" s="80"/>
    </row>
    <row r="204" spans="1:1" x14ac:dyDescent="0.35">
      <c r="A204" s="80"/>
    </row>
    <row r="205" spans="1:1" x14ac:dyDescent="0.35">
      <c r="A205" s="80"/>
    </row>
    <row r="206" spans="1:1" x14ac:dyDescent="0.35">
      <c r="A206" s="80"/>
    </row>
    <row r="207" spans="1:1" x14ac:dyDescent="0.35">
      <c r="A207" s="80"/>
    </row>
    <row r="208" spans="1:1" x14ac:dyDescent="0.35">
      <c r="A208" s="80"/>
    </row>
    <row r="209" spans="1:1" x14ac:dyDescent="0.35">
      <c r="A209" s="80"/>
    </row>
    <row r="210" spans="1:1" x14ac:dyDescent="0.35">
      <c r="A210" s="80"/>
    </row>
    <row r="211" spans="1:1" x14ac:dyDescent="0.35">
      <c r="A211" s="80"/>
    </row>
    <row r="212" spans="1:1" x14ac:dyDescent="0.35">
      <c r="A212" s="80"/>
    </row>
    <row r="213" spans="1:1" x14ac:dyDescent="0.35">
      <c r="A213" s="80"/>
    </row>
    <row r="214" spans="1:1" x14ac:dyDescent="0.35">
      <c r="A214" s="80"/>
    </row>
    <row r="215" spans="1:1" x14ac:dyDescent="0.35">
      <c r="A215" s="80"/>
    </row>
    <row r="216" spans="1:1" x14ac:dyDescent="0.35">
      <c r="A216" s="80"/>
    </row>
    <row r="217" spans="1:1" x14ac:dyDescent="0.35">
      <c r="A217" s="80"/>
    </row>
    <row r="218" spans="1:1" x14ac:dyDescent="0.35">
      <c r="A218" s="80"/>
    </row>
    <row r="219" spans="1:1" x14ac:dyDescent="0.35">
      <c r="A219" s="80"/>
    </row>
    <row r="220" spans="1:1" x14ac:dyDescent="0.35">
      <c r="A220" s="80"/>
    </row>
    <row r="221" spans="1:1" x14ac:dyDescent="0.35">
      <c r="A221" s="80"/>
    </row>
    <row r="222" spans="1:1" x14ac:dyDescent="0.35">
      <c r="A222" s="80"/>
    </row>
    <row r="223" spans="1:1" x14ac:dyDescent="0.35">
      <c r="A223" s="80"/>
    </row>
    <row r="224" spans="1:1" x14ac:dyDescent="0.35">
      <c r="A224" s="80"/>
    </row>
    <row r="225" spans="1:20" x14ac:dyDescent="0.35">
      <c r="A225" s="80"/>
    </row>
    <row r="226" spans="1:20" x14ac:dyDescent="0.35">
      <c r="A226" s="80"/>
    </row>
    <row r="227" spans="1:20" x14ac:dyDescent="0.35">
      <c r="A227" s="80"/>
    </row>
    <row r="228" spans="1:20" x14ac:dyDescent="0.35">
      <c r="A228" s="80"/>
    </row>
    <row r="229" spans="1:20" x14ac:dyDescent="0.35">
      <c r="A229" s="80"/>
    </row>
    <row r="230" spans="1:20" x14ac:dyDescent="0.35">
      <c r="A230" s="80"/>
    </row>
    <row r="231" spans="1:20" x14ac:dyDescent="0.35">
      <c r="A231" s="80"/>
    </row>
    <row r="232" spans="1:20" x14ac:dyDescent="0.35">
      <c r="A232" s="80"/>
    </row>
    <row r="233" spans="1:20" x14ac:dyDescent="0.35">
      <c r="A233" s="80"/>
    </row>
    <row r="234" spans="1:20" x14ac:dyDescent="0.35">
      <c r="A234" s="80"/>
    </row>
    <row r="235" spans="1:20" x14ac:dyDescent="0.35">
      <c r="A235" s="80"/>
    </row>
    <row r="236" spans="1:20" x14ac:dyDescent="0.35">
      <c r="A236" s="80"/>
      <c r="T236" s="294"/>
    </row>
    <row r="237" spans="1:20" x14ac:dyDescent="0.35">
      <c r="A237" s="80"/>
      <c r="T237" s="294"/>
    </row>
    <row r="238" spans="1:20" x14ac:dyDescent="0.35">
      <c r="A238" s="80"/>
      <c r="T238" s="294"/>
    </row>
    <row r="239" spans="1:20" x14ac:dyDescent="0.35">
      <c r="A239" s="80"/>
      <c r="T239" s="294"/>
    </row>
    <row r="240" spans="1:20" x14ac:dyDescent="0.35">
      <c r="A240" s="80"/>
      <c r="T240" s="294"/>
    </row>
    <row r="241" spans="1:20" x14ac:dyDescent="0.35">
      <c r="A241" s="80"/>
      <c r="T241" s="294"/>
    </row>
    <row r="242" spans="1:20" x14ac:dyDescent="0.35">
      <c r="A242" s="80"/>
      <c r="T242" s="294"/>
    </row>
    <row r="243" spans="1:20" x14ac:dyDescent="0.35">
      <c r="A243" s="80"/>
      <c r="T243" s="294"/>
    </row>
    <row r="244" spans="1:20" x14ac:dyDescent="0.35">
      <c r="A244" s="65"/>
      <c r="T244" s="294"/>
    </row>
    <row r="245" spans="1:20" x14ac:dyDescent="0.35">
      <c r="A245" s="65"/>
      <c r="T245" s="294"/>
    </row>
    <row r="246" spans="1:20" x14ac:dyDescent="0.35">
      <c r="A246" s="65"/>
      <c r="T246" s="294"/>
    </row>
    <row r="247" spans="1:20" x14ac:dyDescent="0.35">
      <c r="A247" s="65"/>
      <c r="T247" s="294"/>
    </row>
    <row r="248" spans="1:20" x14ac:dyDescent="0.35">
      <c r="A248" s="65"/>
      <c r="T248" s="294"/>
    </row>
    <row r="249" spans="1:20" x14ac:dyDescent="0.35">
      <c r="A249" s="65"/>
      <c r="T249" s="294"/>
    </row>
    <row r="250" spans="1:20" x14ac:dyDescent="0.35">
      <c r="A250" s="65"/>
      <c r="T250" s="294"/>
    </row>
    <row r="251" spans="1:20" x14ac:dyDescent="0.35">
      <c r="A251" s="65"/>
      <c r="T251" s="294"/>
    </row>
    <row r="252" spans="1:20" x14ac:dyDescent="0.35">
      <c r="A252" s="65"/>
      <c r="T252" s="294"/>
    </row>
    <row r="253" spans="1:20" x14ac:dyDescent="0.35">
      <c r="A253" s="65"/>
      <c r="T253" s="294"/>
    </row>
    <row r="254" spans="1:20" x14ac:dyDescent="0.35">
      <c r="A254" s="65"/>
      <c r="T254" s="294"/>
    </row>
    <row r="255" spans="1:20" x14ac:dyDescent="0.35">
      <c r="A255" s="65"/>
      <c r="T255" s="294"/>
    </row>
    <row r="256" spans="1:20" x14ac:dyDescent="0.35">
      <c r="A256" s="65"/>
      <c r="T256" s="294"/>
    </row>
    <row r="257" spans="1:20" x14ac:dyDescent="0.35">
      <c r="A257" s="65"/>
      <c r="T257" s="294"/>
    </row>
    <row r="258" spans="1:20" x14ac:dyDescent="0.35">
      <c r="A258" s="65"/>
      <c r="T258" s="294"/>
    </row>
    <row r="259" spans="1:20" x14ac:dyDescent="0.35">
      <c r="A259" s="65"/>
      <c r="T259" s="294"/>
    </row>
    <row r="260" spans="1:20" x14ac:dyDescent="0.35">
      <c r="A260" s="65"/>
      <c r="T260" s="294"/>
    </row>
    <row r="261" spans="1:20" x14ac:dyDescent="0.35">
      <c r="A261" s="65"/>
      <c r="T261" s="294"/>
    </row>
    <row r="262" spans="1:20" x14ac:dyDescent="0.35">
      <c r="A262" s="65"/>
      <c r="T262" s="294"/>
    </row>
    <row r="263" spans="1:20" x14ac:dyDescent="0.35">
      <c r="A263" s="65"/>
      <c r="T263" s="294"/>
    </row>
    <row r="264" spans="1:20" x14ac:dyDescent="0.35">
      <c r="A264" s="65"/>
      <c r="T264" s="294"/>
    </row>
    <row r="265" spans="1:20" x14ac:dyDescent="0.35">
      <c r="A265" s="65"/>
      <c r="T265" s="294"/>
    </row>
    <row r="266" spans="1:20" x14ac:dyDescent="0.35">
      <c r="A266" s="65"/>
      <c r="T266" s="294"/>
    </row>
    <row r="267" spans="1:20" x14ac:dyDescent="0.35">
      <c r="A267" s="65"/>
      <c r="T267" s="294"/>
    </row>
    <row r="268" spans="1:20" x14ac:dyDescent="0.35">
      <c r="A268" s="65"/>
      <c r="T268" s="294"/>
    </row>
    <row r="269" spans="1:20" x14ac:dyDescent="0.35">
      <c r="A269" s="65"/>
      <c r="T269" s="294"/>
    </row>
    <row r="270" spans="1:20" x14ac:dyDescent="0.35">
      <c r="A270" s="65"/>
      <c r="T270" s="294"/>
    </row>
    <row r="271" spans="1:20" x14ac:dyDescent="0.35">
      <c r="A271" s="65"/>
      <c r="T271" s="294"/>
    </row>
    <row r="272" spans="1:20" x14ac:dyDescent="0.35">
      <c r="T272" s="294"/>
    </row>
    <row r="273" spans="4:20" x14ac:dyDescent="0.35">
      <c r="D273" s="34" t="s">
        <v>308</v>
      </c>
      <c r="F273" s="34">
        <v>-2803</v>
      </c>
      <c r="G273" s="34">
        <f>+F273</f>
        <v>-2803</v>
      </c>
      <c r="H273" s="34">
        <f>-5293+G273</f>
        <v>-8096</v>
      </c>
      <c r="I273" s="34">
        <f>-3237+H273</f>
        <v>-11333</v>
      </c>
      <c r="J273" s="34">
        <f>-5607+I273</f>
        <v>-16940</v>
      </c>
      <c r="K273" s="34">
        <f>+J273</f>
        <v>-16940</v>
      </c>
      <c r="L273" s="34">
        <f>-4951+K273</f>
        <v>-21891</v>
      </c>
      <c r="M273" s="34">
        <f>+L273</f>
        <v>-21891</v>
      </c>
      <c r="N273" s="34">
        <f>+M273</f>
        <v>-21891</v>
      </c>
      <c r="O273" s="34">
        <f>+N273</f>
        <v>-21891</v>
      </c>
      <c r="P273" s="34">
        <f>+O273</f>
        <v>-21891</v>
      </c>
      <c r="Q273" s="34">
        <f>SUM(E273:P273)</f>
        <v>-168370</v>
      </c>
      <c r="T273" s="294"/>
    </row>
    <row r="274" spans="4:20" x14ac:dyDescent="0.35">
      <c r="T274" s="294"/>
    </row>
    <row r="275" spans="4:20" x14ac:dyDescent="0.35">
      <c r="E275" s="34">
        <f>+A151+E151+E273</f>
        <v>0</v>
      </c>
      <c r="F275" s="34">
        <f t="shared" ref="F275:O275" si="29">+E275+F151+F273</f>
        <v>-2803</v>
      </c>
      <c r="G275" s="34">
        <f t="shared" si="29"/>
        <v>-5606</v>
      </c>
      <c r="H275" s="34">
        <f t="shared" si="29"/>
        <v>-13702</v>
      </c>
      <c r="I275" s="34">
        <f t="shared" si="29"/>
        <v>-25035</v>
      </c>
      <c r="J275" s="34">
        <f t="shared" si="29"/>
        <v>-41975</v>
      </c>
      <c r="K275" s="34">
        <f t="shared" si="29"/>
        <v>-58915</v>
      </c>
      <c r="L275" s="34">
        <f t="shared" si="29"/>
        <v>-80806</v>
      </c>
      <c r="M275" s="34">
        <f t="shared" si="29"/>
        <v>-102697</v>
      </c>
      <c r="N275" s="34">
        <f t="shared" si="29"/>
        <v>-124588</v>
      </c>
      <c r="O275" s="34">
        <f t="shared" si="29"/>
        <v>-146479</v>
      </c>
      <c r="T275" s="294"/>
    </row>
    <row r="276" spans="4:20" x14ac:dyDescent="0.35">
      <c r="T276" s="294"/>
    </row>
    <row r="277" spans="4:20" hidden="1" x14ac:dyDescent="0.35">
      <c r="T277" s="294"/>
    </row>
    <row r="278" spans="4:20" ht="17.5" hidden="1" x14ac:dyDescent="0.5">
      <c r="D278" s="67" t="s">
        <v>162</v>
      </c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78"/>
      <c r="T278" s="294"/>
    </row>
    <row r="279" spans="4:20" hidden="1" x14ac:dyDescent="0.35"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78"/>
      <c r="T279" s="294"/>
    </row>
    <row r="280" spans="4:20" ht="17.5" hidden="1" x14ac:dyDescent="0.5">
      <c r="D280" s="68" t="s">
        <v>154</v>
      </c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78"/>
      <c r="T280" s="294"/>
    </row>
    <row r="281" spans="4:20" hidden="1" x14ac:dyDescent="0.35">
      <c r="D281" s="38" t="s">
        <v>85</v>
      </c>
      <c r="E281" s="34" t="e">
        <f>+'4050'!#REF!+'4060'!#REF!+'4070'!#REF!+'4080'!#REF!+'40A0'!#REF!+'40B0'!#REF!+'40C0'!#REF!+'4000'!#REF!</f>
        <v>#REF!</v>
      </c>
      <c r="F281" s="34" t="e">
        <f>+'4050'!#REF!+'4060'!#REF!+'4070'!#REF!+'4080'!#REF!+'40A0'!#REF!+'40B0'!#REF!+'40C0'!#REF!+'4000'!#REF!</f>
        <v>#REF!</v>
      </c>
      <c r="G281" s="34" t="e">
        <f>+'4050'!#REF!+'4060'!#REF!+'4070'!#REF!+'4080'!#REF!+'40A0'!#REF!+'40B0'!#REF!+'40C0'!#REF!+'4000'!#REF!</f>
        <v>#REF!</v>
      </c>
      <c r="H281" s="34" t="e">
        <f>+'4050'!#REF!+'4060'!#REF!+'4070'!#REF!+'4080'!#REF!+'40A0'!#REF!+'40B0'!#REF!+'40C0'!#REF!+'4000'!#REF!</f>
        <v>#REF!</v>
      </c>
      <c r="I281" s="34" t="e">
        <f>+'4050'!#REF!+'4060'!#REF!+'4070'!#REF!+'4080'!#REF!+'40A0'!#REF!+'40B0'!#REF!+'40C0'!#REF!+'4000'!#REF!</f>
        <v>#REF!</v>
      </c>
      <c r="J281" s="34" t="e">
        <f>+'4050'!#REF!+'4060'!#REF!+'4070'!#REF!+'4080'!#REF!+'40A0'!#REF!+'40B0'!#REF!+'40C0'!#REF!+'4000'!#REF!</f>
        <v>#REF!</v>
      </c>
      <c r="K281" s="34" t="e">
        <f>+'4050'!#REF!+'4060'!#REF!+'4070'!#REF!+'4080'!#REF!+'40A0'!#REF!+'40B0'!#REF!+'40C0'!#REF!+'4000'!#REF!</f>
        <v>#REF!</v>
      </c>
      <c r="L281" s="34" t="e">
        <f>+'4050'!#REF!+'4060'!#REF!+'4070'!#REF!+'4080'!#REF!+'40A0'!#REF!+'40B0'!#REF!+'40C0'!#REF!+'4000'!#REF!</f>
        <v>#REF!</v>
      </c>
      <c r="M281" s="34" t="e">
        <f>+'4050'!#REF!+'4060'!#REF!+'4070'!#REF!+'4080'!#REF!+'40A0'!#REF!+'40B0'!#REF!+'40C0'!#REF!+'4000'!#REF!</f>
        <v>#REF!</v>
      </c>
      <c r="N281" s="34" t="e">
        <f>+'4050'!#REF!+'4060'!#REF!+'4070'!#REF!+'4080'!#REF!+'40A0'!#REF!+'40B0'!#REF!+'40C0'!#REF!+'4000'!#REF!</f>
        <v>#REF!</v>
      </c>
      <c r="O281" s="34" t="e">
        <f>+'4050'!#REF!+'4060'!#REF!+'4070'!#REF!+'4080'!#REF!+'40A0'!#REF!+'40B0'!#REF!+'40C0'!#REF!+'4000'!#REF!</f>
        <v>#REF!</v>
      </c>
      <c r="P281" s="34" t="e">
        <f>+'4050'!#REF!+'4060'!#REF!+'4070'!#REF!+'4080'!#REF!+'40A0'!#REF!+'40B0'!#REF!+'40C0'!#REF!+'4000'!#REF!</f>
        <v>#REF!</v>
      </c>
      <c r="Q281" s="38" t="e">
        <f>SUM(E281:P281)</f>
        <v>#REF!</v>
      </c>
      <c r="R281" s="38"/>
      <c r="S281" s="378"/>
      <c r="T281" s="294"/>
    </row>
    <row r="282" spans="4:20" hidden="1" x14ac:dyDescent="0.35">
      <c r="D282" s="38" t="s">
        <v>155</v>
      </c>
      <c r="E282" s="34" t="e">
        <f>+'4050'!#REF!+'4060'!#REF!+'4070'!#REF!+'4080'!#REF!+'40A0'!#REF!+'40B0'!#REF!+'40C0'!#REF!+'4000'!#REF!</f>
        <v>#REF!</v>
      </c>
      <c r="F282" s="34" t="e">
        <f>+'4050'!#REF!+'4060'!#REF!+'4070'!#REF!+'4080'!#REF!+'40A0'!#REF!+'40B0'!#REF!+'40C0'!#REF!+'4000'!#REF!</f>
        <v>#REF!</v>
      </c>
      <c r="G282" s="34" t="e">
        <f>+'4050'!#REF!+'4060'!#REF!+'4070'!#REF!+'4080'!#REF!+'40A0'!#REF!+'40B0'!#REF!+'40C0'!#REF!+'4000'!#REF!</f>
        <v>#REF!</v>
      </c>
      <c r="H282" s="34" t="e">
        <f>+'4050'!#REF!+'4060'!#REF!+'4070'!#REF!+'4080'!#REF!+'40A0'!#REF!+'40B0'!#REF!+'40C0'!#REF!+'4000'!#REF!</f>
        <v>#REF!</v>
      </c>
      <c r="I282" s="34" t="e">
        <f>+'4050'!#REF!+'4060'!#REF!+'4070'!#REF!+'4080'!#REF!+'40A0'!#REF!+'40B0'!#REF!+'40C0'!#REF!+'4000'!#REF!</f>
        <v>#REF!</v>
      </c>
      <c r="J282" s="34" t="e">
        <f>+'4050'!#REF!+'4060'!#REF!+'4070'!#REF!+'4080'!#REF!+'40A0'!#REF!+'40B0'!#REF!+'40C0'!#REF!+'4000'!#REF!</f>
        <v>#REF!</v>
      </c>
      <c r="K282" s="34" t="e">
        <f>+'4050'!#REF!+'4060'!#REF!+'4070'!#REF!+'4080'!#REF!+'40A0'!#REF!+'40B0'!#REF!+'40C0'!#REF!+'4000'!#REF!</f>
        <v>#REF!</v>
      </c>
      <c r="L282" s="34" t="e">
        <f>+'4050'!#REF!+'4060'!#REF!+'4070'!#REF!+'4080'!#REF!+'40A0'!#REF!+'40B0'!#REF!+'40C0'!#REF!+'4000'!#REF!</f>
        <v>#REF!</v>
      </c>
      <c r="M282" s="34" t="e">
        <f>+'4050'!#REF!+'4060'!#REF!+'4070'!#REF!+'4080'!#REF!+'40A0'!#REF!+'40B0'!#REF!+'40C0'!#REF!+'4000'!#REF!</f>
        <v>#REF!</v>
      </c>
      <c r="N282" s="34" t="e">
        <f>+'4050'!#REF!+'4060'!#REF!+'4070'!#REF!+'4080'!#REF!+'40A0'!#REF!+'40B0'!#REF!+'40C0'!#REF!+'4000'!#REF!</f>
        <v>#REF!</v>
      </c>
      <c r="O282" s="34" t="e">
        <f>+'4050'!#REF!+'4060'!#REF!+'4070'!#REF!+'4080'!#REF!+'40A0'!#REF!+'40B0'!#REF!+'40C0'!#REF!+'4000'!#REF!</f>
        <v>#REF!</v>
      </c>
      <c r="P282" s="34" t="e">
        <f>+'4050'!#REF!+'4060'!#REF!+'4070'!#REF!+'4080'!#REF!+'40A0'!#REF!+'40B0'!#REF!+'40C0'!#REF!+'4000'!#REF!</f>
        <v>#REF!</v>
      </c>
      <c r="Q282" s="38" t="e">
        <f>SUM(E282:P282)</f>
        <v>#REF!</v>
      </c>
      <c r="R282" s="38"/>
      <c r="S282" s="378"/>
      <c r="T282" s="294"/>
    </row>
    <row r="283" spans="4:20" hidden="1" x14ac:dyDescent="0.35">
      <c r="D283" s="38" t="s">
        <v>12</v>
      </c>
      <c r="E283" s="69" t="e">
        <f>SUM(E281:E282)</f>
        <v>#REF!</v>
      </c>
      <c r="F283" s="69" t="e">
        <f t="shared" ref="F283:Q283" si="30">SUM(F281:F282)</f>
        <v>#REF!</v>
      </c>
      <c r="G283" s="69" t="e">
        <f t="shared" si="30"/>
        <v>#REF!</v>
      </c>
      <c r="H283" s="69" t="e">
        <f t="shared" si="30"/>
        <v>#REF!</v>
      </c>
      <c r="I283" s="69" t="e">
        <f t="shared" si="30"/>
        <v>#REF!</v>
      </c>
      <c r="J283" s="69" t="e">
        <f t="shared" si="30"/>
        <v>#REF!</v>
      </c>
      <c r="K283" s="69" t="e">
        <f t="shared" si="30"/>
        <v>#REF!</v>
      </c>
      <c r="L283" s="69" t="e">
        <f t="shared" si="30"/>
        <v>#REF!</v>
      </c>
      <c r="M283" s="69" t="e">
        <f t="shared" si="30"/>
        <v>#REF!</v>
      </c>
      <c r="N283" s="69" t="e">
        <f t="shared" si="30"/>
        <v>#REF!</v>
      </c>
      <c r="O283" s="69" t="e">
        <f t="shared" si="30"/>
        <v>#REF!</v>
      </c>
      <c r="P283" s="69" t="e">
        <f t="shared" si="30"/>
        <v>#REF!</v>
      </c>
      <c r="Q283" s="69" t="e">
        <f t="shared" si="30"/>
        <v>#REF!</v>
      </c>
      <c r="R283" s="38"/>
      <c r="S283" s="378"/>
      <c r="T283" s="294"/>
    </row>
    <row r="284" spans="4:20" hidden="1" x14ac:dyDescent="0.35"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78"/>
      <c r="T284" s="294"/>
    </row>
    <row r="285" spans="4:20" ht="17.5" hidden="1" x14ac:dyDescent="0.5">
      <c r="D285" s="67" t="s">
        <v>156</v>
      </c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78"/>
      <c r="T285" s="294"/>
    </row>
    <row r="286" spans="4:20" hidden="1" x14ac:dyDescent="0.35">
      <c r="D286" s="38" t="s">
        <v>85</v>
      </c>
      <c r="E286" s="34" t="e">
        <f>+'4050'!#REF!+'4060'!#REF!+'4070'!#REF!+'4080'!#REF!+'40A0'!#REF!+'40B0'!#REF!+'40C0'!#REF!+'4000'!#REF!</f>
        <v>#REF!</v>
      </c>
      <c r="F286" s="34" t="e">
        <f>+'4050'!#REF!+'4060'!#REF!+'4070'!#REF!+'4080'!#REF!+'40A0'!#REF!+'40B0'!#REF!+'40C0'!#REF!+'4000'!#REF!</f>
        <v>#REF!</v>
      </c>
      <c r="G286" s="34" t="e">
        <f>+'4050'!#REF!+'4060'!#REF!+'4070'!#REF!+'4080'!#REF!+'40A0'!#REF!+'40B0'!#REF!+'40C0'!#REF!+'4000'!#REF!</f>
        <v>#REF!</v>
      </c>
      <c r="H286" s="34" t="e">
        <f>+'4050'!#REF!+'4060'!#REF!+'4070'!#REF!+'4080'!#REF!+'40A0'!#REF!+'40B0'!#REF!+'40C0'!#REF!+'4000'!#REF!</f>
        <v>#REF!</v>
      </c>
      <c r="I286" s="34" t="e">
        <f>+'4050'!#REF!+'4060'!#REF!+'4070'!#REF!+'4080'!#REF!+'40A0'!#REF!+'40B0'!#REF!+'40C0'!#REF!+'4000'!#REF!</f>
        <v>#REF!</v>
      </c>
      <c r="J286" s="34" t="e">
        <f>+'4050'!#REF!+'4060'!#REF!+'4070'!#REF!+'4080'!#REF!+'40A0'!#REF!+'40B0'!#REF!+'40C0'!#REF!+'4000'!#REF!</f>
        <v>#REF!</v>
      </c>
      <c r="K286" s="34" t="e">
        <f>+'4050'!#REF!+'4060'!#REF!+'4070'!#REF!+'4080'!#REF!+'40A0'!#REF!+'40B0'!#REF!+'40C0'!#REF!+'4000'!#REF!</f>
        <v>#REF!</v>
      </c>
      <c r="L286" s="34" t="e">
        <f>+'4050'!#REF!+'4060'!#REF!+'4070'!#REF!+'4080'!#REF!+'40A0'!#REF!+'40B0'!#REF!+'40C0'!#REF!+'4000'!#REF!</f>
        <v>#REF!</v>
      </c>
      <c r="M286" s="34" t="e">
        <f>+'4050'!#REF!+'4060'!#REF!+'4070'!#REF!+'4080'!#REF!+'40A0'!#REF!+'40B0'!#REF!+'40C0'!#REF!+'4000'!#REF!</f>
        <v>#REF!</v>
      </c>
      <c r="N286" s="34" t="e">
        <f>+'4050'!#REF!+'4060'!#REF!+'4070'!#REF!+'4080'!#REF!+'40A0'!#REF!+'40B0'!#REF!+'40C0'!#REF!+'4000'!#REF!</f>
        <v>#REF!</v>
      </c>
      <c r="O286" s="34" t="e">
        <f>+'4050'!#REF!+'4060'!#REF!+'4070'!#REF!+'4080'!#REF!+'40A0'!#REF!+'40B0'!#REF!+'40C0'!#REF!+'4000'!#REF!</f>
        <v>#REF!</v>
      </c>
      <c r="P286" s="34" t="e">
        <f>+'4050'!#REF!+'4060'!#REF!+'4070'!#REF!+'4080'!#REF!+'40A0'!#REF!+'40B0'!#REF!+'40C0'!#REF!+'4000'!#REF!</f>
        <v>#REF!</v>
      </c>
      <c r="Q286" s="38" t="e">
        <f>SUM(E286:P286)</f>
        <v>#REF!</v>
      </c>
      <c r="R286" s="38"/>
      <c r="S286" s="378"/>
      <c r="T286" s="294"/>
    </row>
    <row r="287" spans="4:20" hidden="1" x14ac:dyDescent="0.35">
      <c r="D287" s="38" t="s">
        <v>155</v>
      </c>
      <c r="E287" s="38">
        <f>ROUND(E323*$F$300,0)</f>
        <v>0</v>
      </c>
      <c r="F287" s="38">
        <f t="shared" ref="F287:P287" si="31">ROUND(F323*$F$300,0)</f>
        <v>0</v>
      </c>
      <c r="G287" s="38">
        <f t="shared" si="31"/>
        <v>0</v>
      </c>
      <c r="H287" s="38">
        <f t="shared" si="31"/>
        <v>0</v>
      </c>
      <c r="I287" s="38">
        <f t="shared" si="31"/>
        <v>0</v>
      </c>
      <c r="J287" s="38">
        <f t="shared" si="31"/>
        <v>0</v>
      </c>
      <c r="K287" s="38">
        <f t="shared" si="31"/>
        <v>0</v>
      </c>
      <c r="L287" s="38">
        <f t="shared" si="31"/>
        <v>0</v>
      </c>
      <c r="M287" s="38">
        <f t="shared" si="31"/>
        <v>0</v>
      </c>
      <c r="N287" s="38">
        <f t="shared" si="31"/>
        <v>0</v>
      </c>
      <c r="O287" s="38">
        <f t="shared" si="31"/>
        <v>0</v>
      </c>
      <c r="P287" s="38">
        <f t="shared" si="31"/>
        <v>0</v>
      </c>
      <c r="Q287" s="38">
        <f>SUM(E287:P287)</f>
        <v>0</v>
      </c>
      <c r="R287" s="38"/>
      <c r="S287" s="378"/>
      <c r="T287" s="294"/>
    </row>
    <row r="288" spans="4:20" hidden="1" x14ac:dyDescent="0.35">
      <c r="D288" s="38" t="s">
        <v>12</v>
      </c>
      <c r="E288" s="69" t="e">
        <f>SUM(E286:E287)</f>
        <v>#REF!</v>
      </c>
      <c r="F288" s="69" t="e">
        <f t="shared" ref="F288:Q288" si="32">SUM(F286:F287)</f>
        <v>#REF!</v>
      </c>
      <c r="G288" s="69" t="e">
        <f t="shared" si="32"/>
        <v>#REF!</v>
      </c>
      <c r="H288" s="69" t="e">
        <f t="shared" si="32"/>
        <v>#REF!</v>
      </c>
      <c r="I288" s="69" t="e">
        <f t="shared" si="32"/>
        <v>#REF!</v>
      </c>
      <c r="J288" s="69" t="e">
        <f t="shared" si="32"/>
        <v>#REF!</v>
      </c>
      <c r="K288" s="69" t="e">
        <f t="shared" si="32"/>
        <v>#REF!</v>
      </c>
      <c r="L288" s="69" t="e">
        <f t="shared" si="32"/>
        <v>#REF!</v>
      </c>
      <c r="M288" s="69" t="e">
        <f t="shared" si="32"/>
        <v>#REF!</v>
      </c>
      <c r="N288" s="69" t="e">
        <f t="shared" si="32"/>
        <v>#REF!</v>
      </c>
      <c r="O288" s="69" t="e">
        <f t="shared" si="32"/>
        <v>#REF!</v>
      </c>
      <c r="P288" s="69" t="e">
        <f t="shared" si="32"/>
        <v>#REF!</v>
      </c>
      <c r="Q288" s="69" t="e">
        <f t="shared" si="32"/>
        <v>#REF!</v>
      </c>
      <c r="R288" s="38"/>
      <c r="S288" s="378"/>
    </row>
    <row r="289" spans="4:20" hidden="1" x14ac:dyDescent="0.35"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78"/>
    </row>
    <row r="290" spans="4:20" ht="17.5" hidden="1" x14ac:dyDescent="0.5">
      <c r="D290" s="67" t="s">
        <v>157</v>
      </c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78"/>
    </row>
    <row r="291" spans="4:20" hidden="1" x14ac:dyDescent="0.35">
      <c r="D291" s="38" t="s">
        <v>85</v>
      </c>
      <c r="E291" s="38" t="e">
        <f>+E281+E286</f>
        <v>#REF!</v>
      </c>
      <c r="F291" s="38" t="e">
        <f t="shared" ref="F291:P292" si="33">+F281+F286</f>
        <v>#REF!</v>
      </c>
      <c r="G291" s="38" t="e">
        <f t="shared" si="33"/>
        <v>#REF!</v>
      </c>
      <c r="H291" s="38" t="e">
        <f t="shared" si="33"/>
        <v>#REF!</v>
      </c>
      <c r="I291" s="38" t="e">
        <f t="shared" si="33"/>
        <v>#REF!</v>
      </c>
      <c r="J291" s="38" t="e">
        <f t="shared" si="33"/>
        <v>#REF!</v>
      </c>
      <c r="K291" s="38" t="e">
        <f t="shared" si="33"/>
        <v>#REF!</v>
      </c>
      <c r="L291" s="38" t="e">
        <f t="shared" si="33"/>
        <v>#REF!</v>
      </c>
      <c r="M291" s="38" t="e">
        <f t="shared" si="33"/>
        <v>#REF!</v>
      </c>
      <c r="N291" s="38" t="e">
        <f t="shared" si="33"/>
        <v>#REF!</v>
      </c>
      <c r="O291" s="38" t="e">
        <f t="shared" si="33"/>
        <v>#REF!</v>
      </c>
      <c r="P291" s="38" t="e">
        <f t="shared" si="33"/>
        <v>#REF!</v>
      </c>
      <c r="Q291" s="38" t="e">
        <f>SUM(E291:P291)</f>
        <v>#REF!</v>
      </c>
      <c r="R291" s="38"/>
      <c r="S291" s="378"/>
    </row>
    <row r="292" spans="4:20" hidden="1" x14ac:dyDescent="0.35">
      <c r="D292" s="38" t="s">
        <v>155</v>
      </c>
      <c r="E292" s="38" t="e">
        <f>+E282+E287</f>
        <v>#REF!</v>
      </c>
      <c r="F292" s="38" t="e">
        <f t="shared" si="33"/>
        <v>#REF!</v>
      </c>
      <c r="G292" s="38" t="e">
        <f t="shared" si="33"/>
        <v>#REF!</v>
      </c>
      <c r="H292" s="38" t="e">
        <f t="shared" si="33"/>
        <v>#REF!</v>
      </c>
      <c r="I292" s="38" t="e">
        <f t="shared" si="33"/>
        <v>#REF!</v>
      </c>
      <c r="J292" s="38" t="e">
        <f t="shared" si="33"/>
        <v>#REF!</v>
      </c>
      <c r="K292" s="38" t="e">
        <f t="shared" si="33"/>
        <v>#REF!</v>
      </c>
      <c r="L292" s="38" t="e">
        <f t="shared" si="33"/>
        <v>#REF!</v>
      </c>
      <c r="M292" s="38" t="e">
        <f t="shared" si="33"/>
        <v>#REF!</v>
      </c>
      <c r="N292" s="38" t="e">
        <f t="shared" si="33"/>
        <v>#REF!</v>
      </c>
      <c r="O292" s="38" t="e">
        <f t="shared" si="33"/>
        <v>#REF!</v>
      </c>
      <c r="P292" s="38" t="e">
        <f t="shared" si="33"/>
        <v>#REF!</v>
      </c>
      <c r="Q292" s="38" t="e">
        <f>SUM(E292:P292)</f>
        <v>#REF!</v>
      </c>
      <c r="R292" s="38"/>
      <c r="S292" s="378"/>
    </row>
    <row r="293" spans="4:20" hidden="1" x14ac:dyDescent="0.35">
      <c r="D293" s="38" t="s">
        <v>12</v>
      </c>
      <c r="E293" s="69" t="e">
        <f>SUM(E291:E292)</f>
        <v>#REF!</v>
      </c>
      <c r="F293" s="69" t="e">
        <f t="shared" ref="F293:Q293" si="34">SUM(F291:F292)</f>
        <v>#REF!</v>
      </c>
      <c r="G293" s="69" t="e">
        <f t="shared" si="34"/>
        <v>#REF!</v>
      </c>
      <c r="H293" s="69" t="e">
        <f t="shared" si="34"/>
        <v>#REF!</v>
      </c>
      <c r="I293" s="69" t="e">
        <f t="shared" si="34"/>
        <v>#REF!</v>
      </c>
      <c r="J293" s="69" t="e">
        <f t="shared" si="34"/>
        <v>#REF!</v>
      </c>
      <c r="K293" s="69" t="e">
        <f t="shared" si="34"/>
        <v>#REF!</v>
      </c>
      <c r="L293" s="69" t="e">
        <f t="shared" si="34"/>
        <v>#REF!</v>
      </c>
      <c r="M293" s="69" t="e">
        <f t="shared" si="34"/>
        <v>#REF!</v>
      </c>
      <c r="N293" s="69" t="e">
        <f t="shared" si="34"/>
        <v>#REF!</v>
      </c>
      <c r="O293" s="69" t="e">
        <f t="shared" si="34"/>
        <v>#REF!</v>
      </c>
      <c r="P293" s="69" t="e">
        <f t="shared" si="34"/>
        <v>#REF!</v>
      </c>
      <c r="Q293" s="69" t="e">
        <f t="shared" si="34"/>
        <v>#REF!</v>
      </c>
      <c r="R293" s="38"/>
      <c r="S293" s="378"/>
    </row>
    <row r="294" spans="4:20" hidden="1" x14ac:dyDescent="0.35"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78"/>
    </row>
    <row r="295" spans="4:20" hidden="1" x14ac:dyDescent="0.35"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78"/>
    </row>
    <row r="296" spans="4:20" hidden="1" x14ac:dyDescent="0.35"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78"/>
    </row>
    <row r="297" spans="4:20" hidden="1" x14ac:dyDescent="0.35"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78"/>
    </row>
    <row r="298" spans="4:20" hidden="1" x14ac:dyDescent="0.35"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78"/>
      <c r="T298" s="294"/>
    </row>
    <row r="299" spans="4:20" ht="17.5" hidden="1" x14ac:dyDescent="0.5">
      <c r="D299" s="68" t="s">
        <v>158</v>
      </c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78"/>
      <c r="T299" s="294"/>
    </row>
    <row r="300" spans="4:20" hidden="1" x14ac:dyDescent="0.35">
      <c r="D300" s="34" t="s">
        <v>96</v>
      </c>
      <c r="E300" s="34">
        <v>5100000</v>
      </c>
      <c r="F300" s="70">
        <f t="shared" ref="F300:F306" si="35">ROUND(E300/E$307,4)</f>
        <v>0.1275</v>
      </c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78"/>
      <c r="T300" s="294"/>
    </row>
    <row r="301" spans="4:20" hidden="1" x14ac:dyDescent="0.35">
      <c r="D301" s="34" t="s">
        <v>97</v>
      </c>
      <c r="E301" s="34">
        <v>11400000</v>
      </c>
      <c r="F301" s="70">
        <f t="shared" si="35"/>
        <v>0.28499999999999998</v>
      </c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78"/>
      <c r="T301" s="294"/>
    </row>
    <row r="302" spans="4:20" hidden="1" x14ac:dyDescent="0.35">
      <c r="D302" s="34" t="s">
        <v>98</v>
      </c>
      <c r="E302" s="34">
        <v>4900000</v>
      </c>
      <c r="F302" s="70">
        <f t="shared" si="35"/>
        <v>0.1225</v>
      </c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78"/>
      <c r="T302" s="295"/>
    </row>
    <row r="303" spans="4:20" hidden="1" x14ac:dyDescent="0.35">
      <c r="D303" s="34" t="s">
        <v>99</v>
      </c>
      <c r="E303" s="34">
        <v>14700000</v>
      </c>
      <c r="F303" s="70">
        <f t="shared" si="35"/>
        <v>0.36749999999999999</v>
      </c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78"/>
      <c r="T303" s="294"/>
    </row>
    <row r="304" spans="4:20" hidden="1" x14ac:dyDescent="0.35">
      <c r="D304" s="34" t="s">
        <v>159</v>
      </c>
      <c r="E304" s="34">
        <v>1277000</v>
      </c>
      <c r="F304" s="70">
        <f t="shared" si="35"/>
        <v>3.1899999999999998E-2</v>
      </c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78"/>
      <c r="T304" s="294"/>
    </row>
    <row r="305" spans="4:20" hidden="1" x14ac:dyDescent="0.35">
      <c r="D305" s="34" t="s">
        <v>160</v>
      </c>
      <c r="E305" s="34">
        <v>1099000</v>
      </c>
      <c r="F305" s="70">
        <f t="shared" si="35"/>
        <v>2.75E-2</v>
      </c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78"/>
      <c r="T305" s="294"/>
    </row>
    <row r="306" spans="4:20" hidden="1" x14ac:dyDescent="0.35">
      <c r="D306" s="34" t="s">
        <v>161</v>
      </c>
      <c r="E306" s="34">
        <v>1524000</v>
      </c>
      <c r="F306" s="70">
        <f t="shared" si="35"/>
        <v>3.8100000000000002E-2</v>
      </c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78"/>
      <c r="T306" s="294"/>
    </row>
    <row r="307" spans="4:20" hidden="1" x14ac:dyDescent="0.35">
      <c r="D307" s="34" t="s">
        <v>12</v>
      </c>
      <c r="E307" s="59">
        <f>SUM(E300:E306)</f>
        <v>40000000</v>
      </c>
      <c r="F307" s="71">
        <f>SUM(F300:F306)</f>
        <v>0.99999999999999989</v>
      </c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78"/>
      <c r="T307" s="294"/>
    </row>
    <row r="308" spans="4:20" hidden="1" x14ac:dyDescent="0.35"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78"/>
      <c r="T308" s="294"/>
    </row>
    <row r="309" spans="4:20" hidden="1" x14ac:dyDescent="0.35"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78"/>
      <c r="T309" s="294"/>
    </row>
    <row r="310" spans="4:20" hidden="1" x14ac:dyDescent="0.35"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78"/>
      <c r="T310" s="294"/>
    </row>
    <row r="311" spans="4:20" hidden="1" x14ac:dyDescent="0.35"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78"/>
      <c r="T311" s="294"/>
    </row>
    <row r="312" spans="4:20" hidden="1" x14ac:dyDescent="0.35"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78"/>
      <c r="T312" s="294"/>
    </row>
    <row r="313" spans="4:20" hidden="1" x14ac:dyDescent="0.35"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78"/>
      <c r="T313" s="294"/>
    </row>
    <row r="314" spans="4:20" ht="17.5" hidden="1" x14ac:dyDescent="0.5">
      <c r="D314" s="67" t="s">
        <v>162</v>
      </c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78"/>
      <c r="T314" s="294"/>
    </row>
    <row r="315" spans="4:20" hidden="1" x14ac:dyDescent="0.35"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78"/>
      <c r="T315" s="294"/>
    </row>
    <row r="316" spans="4:20" ht="17.5" hidden="1" x14ac:dyDescent="0.5">
      <c r="D316" s="68" t="s">
        <v>154</v>
      </c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78"/>
      <c r="T316" s="294"/>
    </row>
    <row r="317" spans="4:20" hidden="1" x14ac:dyDescent="0.35">
      <c r="D317" s="38" t="s">
        <v>85</v>
      </c>
      <c r="E317" s="38">
        <v>0</v>
      </c>
      <c r="F317" s="38">
        <v>0</v>
      </c>
      <c r="G317" s="38">
        <v>108208</v>
      </c>
      <c r="H317" s="38">
        <v>108024</v>
      </c>
      <c r="I317" s="38">
        <v>107839</v>
      </c>
      <c r="J317" s="38">
        <v>107653</v>
      </c>
      <c r="K317" s="38">
        <v>107466</v>
      </c>
      <c r="L317" s="38">
        <v>107279</v>
      </c>
      <c r="M317" s="38">
        <v>107090</v>
      </c>
      <c r="N317" s="38">
        <v>106901</v>
      </c>
      <c r="O317" s="38">
        <v>106712</v>
      </c>
      <c r="P317" s="38">
        <v>106521</v>
      </c>
      <c r="Q317" s="38">
        <f>SUM(E317:P317)</f>
        <v>1073693</v>
      </c>
      <c r="R317" s="38"/>
      <c r="S317" s="378"/>
      <c r="T317" s="294"/>
    </row>
    <row r="318" spans="4:20" hidden="1" x14ac:dyDescent="0.35">
      <c r="D318" s="38" t="s">
        <v>155</v>
      </c>
      <c r="E318" s="38">
        <v>0</v>
      </c>
      <c r="F318" s="38">
        <v>0</v>
      </c>
      <c r="G318" s="38">
        <v>45168</v>
      </c>
      <c r="H318" s="38">
        <v>45352</v>
      </c>
      <c r="I318" s="38">
        <v>45538</v>
      </c>
      <c r="J318" s="38">
        <v>45724</v>
      </c>
      <c r="K318" s="38">
        <v>45910</v>
      </c>
      <c r="L318" s="38">
        <v>46098</v>
      </c>
      <c r="M318" s="38">
        <v>46286</v>
      </c>
      <c r="N318" s="38">
        <v>46475</v>
      </c>
      <c r="O318" s="38">
        <v>46665</v>
      </c>
      <c r="P318" s="38">
        <v>46855</v>
      </c>
      <c r="Q318" s="38">
        <f>SUM(E318:P318)</f>
        <v>460071</v>
      </c>
      <c r="R318" s="38"/>
      <c r="S318" s="378"/>
      <c r="T318" s="294"/>
    </row>
    <row r="319" spans="4:20" hidden="1" x14ac:dyDescent="0.35">
      <c r="D319" s="38" t="s">
        <v>12</v>
      </c>
      <c r="E319" s="69">
        <f>SUM(E317:E318)</f>
        <v>0</v>
      </c>
      <c r="F319" s="69">
        <f t="shared" ref="F319:Q319" si="36">SUM(F317:F318)</f>
        <v>0</v>
      </c>
      <c r="G319" s="69">
        <f t="shared" si="36"/>
        <v>153376</v>
      </c>
      <c r="H319" s="69">
        <f t="shared" si="36"/>
        <v>153376</v>
      </c>
      <c r="I319" s="69">
        <f t="shared" si="36"/>
        <v>153377</v>
      </c>
      <c r="J319" s="69">
        <f t="shared" si="36"/>
        <v>153377</v>
      </c>
      <c r="K319" s="69">
        <f t="shared" si="36"/>
        <v>153376</v>
      </c>
      <c r="L319" s="69">
        <f t="shared" si="36"/>
        <v>153377</v>
      </c>
      <c r="M319" s="69">
        <f t="shared" si="36"/>
        <v>153376</v>
      </c>
      <c r="N319" s="69">
        <f t="shared" si="36"/>
        <v>153376</v>
      </c>
      <c r="O319" s="69">
        <f t="shared" si="36"/>
        <v>153377</v>
      </c>
      <c r="P319" s="69">
        <f t="shared" si="36"/>
        <v>153376</v>
      </c>
      <c r="Q319" s="69">
        <f t="shared" si="36"/>
        <v>1533764</v>
      </c>
      <c r="R319" s="38"/>
      <c r="S319" s="378"/>
      <c r="T319" s="294"/>
    </row>
    <row r="320" spans="4:20" hidden="1" x14ac:dyDescent="0.35"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78"/>
      <c r="T320" s="294"/>
    </row>
    <row r="321" spans="4:20" ht="17.5" hidden="1" x14ac:dyDescent="0.5">
      <c r="D321" s="67" t="s">
        <v>156</v>
      </c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78"/>
      <c r="T321" s="294"/>
    </row>
    <row r="322" spans="4:20" hidden="1" x14ac:dyDescent="0.35">
      <c r="D322" s="38" t="s">
        <v>85</v>
      </c>
      <c r="E322" s="38">
        <f>ROUND(26000000*4.6875%/360*10,0)+ROUND(26000000*4.7655%/360*21,0)</f>
        <v>106131</v>
      </c>
      <c r="F322" s="38">
        <f>ROUND(26000000*4.7655%/360*11,0)+ROUND(26000000*4.7655%/360*17,0)</f>
        <v>96369</v>
      </c>
      <c r="G322" s="38">
        <v>0</v>
      </c>
      <c r="H322" s="38">
        <v>0</v>
      </c>
      <c r="I322" s="38">
        <v>0</v>
      </c>
      <c r="J322" s="38">
        <v>0</v>
      </c>
      <c r="K322" s="38">
        <v>0</v>
      </c>
      <c r="L322" s="38">
        <v>0</v>
      </c>
      <c r="M322" s="38">
        <v>0</v>
      </c>
      <c r="N322" s="38">
        <v>0</v>
      </c>
      <c r="O322" s="38">
        <v>0</v>
      </c>
      <c r="P322" s="38">
        <v>0</v>
      </c>
      <c r="Q322" s="38">
        <f>SUM(E322:P322)</f>
        <v>202500</v>
      </c>
      <c r="R322" s="38"/>
      <c r="S322" s="378"/>
      <c r="T322" s="294"/>
    </row>
    <row r="323" spans="4:20" hidden="1" x14ac:dyDescent="0.35">
      <c r="D323" s="38" t="s">
        <v>155</v>
      </c>
      <c r="E323" s="38">
        <v>0</v>
      </c>
      <c r="F323" s="38">
        <v>0</v>
      </c>
      <c r="G323" s="38">
        <v>0</v>
      </c>
      <c r="H323" s="38">
        <v>0</v>
      </c>
      <c r="I323" s="38">
        <v>0</v>
      </c>
      <c r="J323" s="38">
        <v>0</v>
      </c>
      <c r="K323" s="38">
        <v>0</v>
      </c>
      <c r="L323" s="38">
        <v>0</v>
      </c>
      <c r="M323" s="38">
        <v>0</v>
      </c>
      <c r="N323" s="38">
        <v>0</v>
      </c>
      <c r="O323" s="38">
        <v>0</v>
      </c>
      <c r="P323" s="38">
        <v>0</v>
      </c>
      <c r="Q323" s="38">
        <f>SUM(E323:P323)</f>
        <v>0</v>
      </c>
      <c r="R323" s="38"/>
      <c r="S323" s="378"/>
      <c r="T323" s="294"/>
    </row>
    <row r="324" spans="4:20" hidden="1" x14ac:dyDescent="0.35">
      <c r="D324" s="38" t="s">
        <v>12</v>
      </c>
      <c r="E324" s="69">
        <f>SUM(E322:E323)</f>
        <v>106131</v>
      </c>
      <c r="F324" s="69">
        <f t="shared" ref="F324:Q324" si="37">SUM(F322:F323)</f>
        <v>96369</v>
      </c>
      <c r="G324" s="69">
        <f t="shared" si="37"/>
        <v>0</v>
      </c>
      <c r="H324" s="69">
        <f t="shared" si="37"/>
        <v>0</v>
      </c>
      <c r="I324" s="69">
        <f t="shared" si="37"/>
        <v>0</v>
      </c>
      <c r="J324" s="69">
        <f t="shared" si="37"/>
        <v>0</v>
      </c>
      <c r="K324" s="69">
        <f t="shared" si="37"/>
        <v>0</v>
      </c>
      <c r="L324" s="69">
        <f t="shared" si="37"/>
        <v>0</v>
      </c>
      <c r="M324" s="69">
        <f t="shared" si="37"/>
        <v>0</v>
      </c>
      <c r="N324" s="69">
        <f t="shared" si="37"/>
        <v>0</v>
      </c>
      <c r="O324" s="69">
        <f t="shared" si="37"/>
        <v>0</v>
      </c>
      <c r="P324" s="69">
        <f t="shared" si="37"/>
        <v>0</v>
      </c>
      <c r="Q324" s="69">
        <f t="shared" si="37"/>
        <v>202500</v>
      </c>
      <c r="R324" s="38"/>
      <c r="S324" s="378"/>
      <c r="T324" s="294"/>
    </row>
    <row r="325" spans="4:20" hidden="1" x14ac:dyDescent="0.35"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78"/>
      <c r="T325" s="294"/>
    </row>
    <row r="326" spans="4:20" ht="17.5" hidden="1" x14ac:dyDescent="0.5">
      <c r="D326" s="67" t="s">
        <v>157</v>
      </c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78"/>
      <c r="T326" s="294"/>
    </row>
    <row r="327" spans="4:20" hidden="1" x14ac:dyDescent="0.35">
      <c r="D327" s="38" t="s">
        <v>85</v>
      </c>
      <c r="E327" s="38">
        <f>+E317+E322</f>
        <v>106131</v>
      </c>
      <c r="F327" s="38">
        <f t="shared" ref="F327:P328" si="38">+F317+F322</f>
        <v>96369</v>
      </c>
      <c r="G327" s="38">
        <f t="shared" si="38"/>
        <v>108208</v>
      </c>
      <c r="H327" s="38">
        <f t="shared" si="38"/>
        <v>108024</v>
      </c>
      <c r="I327" s="38">
        <f t="shared" si="38"/>
        <v>107839</v>
      </c>
      <c r="J327" s="38">
        <f t="shared" si="38"/>
        <v>107653</v>
      </c>
      <c r="K327" s="38">
        <f t="shared" si="38"/>
        <v>107466</v>
      </c>
      <c r="L327" s="38">
        <f t="shared" si="38"/>
        <v>107279</v>
      </c>
      <c r="M327" s="38">
        <f t="shared" si="38"/>
        <v>107090</v>
      </c>
      <c r="N327" s="38">
        <f t="shared" si="38"/>
        <v>106901</v>
      </c>
      <c r="O327" s="38">
        <f t="shared" si="38"/>
        <v>106712</v>
      </c>
      <c r="P327" s="38">
        <f t="shared" si="38"/>
        <v>106521</v>
      </c>
      <c r="Q327" s="38">
        <f>SUM(E327:P327)</f>
        <v>1276193</v>
      </c>
      <c r="R327" s="38"/>
      <c r="S327" s="378"/>
      <c r="T327" s="294"/>
    </row>
    <row r="328" spans="4:20" hidden="1" x14ac:dyDescent="0.35">
      <c r="D328" s="38" t="s">
        <v>155</v>
      </c>
      <c r="E328" s="38">
        <f>+E318+E323</f>
        <v>0</v>
      </c>
      <c r="F328" s="38">
        <f t="shared" si="38"/>
        <v>0</v>
      </c>
      <c r="G328" s="38">
        <f t="shared" si="38"/>
        <v>45168</v>
      </c>
      <c r="H328" s="38">
        <f t="shared" si="38"/>
        <v>45352</v>
      </c>
      <c r="I328" s="38">
        <f t="shared" si="38"/>
        <v>45538</v>
      </c>
      <c r="J328" s="38">
        <f t="shared" si="38"/>
        <v>45724</v>
      </c>
      <c r="K328" s="38">
        <f t="shared" si="38"/>
        <v>45910</v>
      </c>
      <c r="L328" s="38">
        <f t="shared" si="38"/>
        <v>46098</v>
      </c>
      <c r="M328" s="38">
        <f t="shared" si="38"/>
        <v>46286</v>
      </c>
      <c r="N328" s="38">
        <f t="shared" si="38"/>
        <v>46475</v>
      </c>
      <c r="O328" s="38">
        <f t="shared" si="38"/>
        <v>46665</v>
      </c>
      <c r="P328" s="38">
        <f t="shared" si="38"/>
        <v>46855</v>
      </c>
      <c r="Q328" s="38">
        <f>SUM(E328:P328)</f>
        <v>460071</v>
      </c>
      <c r="R328" s="38"/>
      <c r="S328" s="378"/>
      <c r="T328" s="294"/>
    </row>
    <row r="329" spans="4:20" hidden="1" x14ac:dyDescent="0.35">
      <c r="D329" s="38" t="s">
        <v>12</v>
      </c>
      <c r="E329" s="69">
        <f>SUM(E327:E328)</f>
        <v>106131</v>
      </c>
      <c r="F329" s="69">
        <f t="shared" ref="F329:Q329" si="39">SUM(F327:F328)</f>
        <v>96369</v>
      </c>
      <c r="G329" s="69">
        <f t="shared" si="39"/>
        <v>153376</v>
      </c>
      <c r="H329" s="69">
        <f t="shared" si="39"/>
        <v>153376</v>
      </c>
      <c r="I329" s="69">
        <f t="shared" si="39"/>
        <v>153377</v>
      </c>
      <c r="J329" s="69">
        <f t="shared" si="39"/>
        <v>153377</v>
      </c>
      <c r="K329" s="69">
        <f t="shared" si="39"/>
        <v>153376</v>
      </c>
      <c r="L329" s="69">
        <f t="shared" si="39"/>
        <v>153377</v>
      </c>
      <c r="M329" s="69">
        <f t="shared" si="39"/>
        <v>153376</v>
      </c>
      <c r="N329" s="69">
        <f t="shared" si="39"/>
        <v>153376</v>
      </c>
      <c r="O329" s="69">
        <f t="shared" si="39"/>
        <v>153377</v>
      </c>
      <c r="P329" s="69">
        <f t="shared" si="39"/>
        <v>153376</v>
      </c>
      <c r="Q329" s="69">
        <f t="shared" si="39"/>
        <v>1736264</v>
      </c>
      <c r="R329" s="38"/>
      <c r="S329" s="378"/>
      <c r="T329" s="294"/>
    </row>
    <row r="330" spans="4:20" hidden="1" x14ac:dyDescent="0.35">
      <c r="T330" s="294"/>
    </row>
    <row r="331" spans="4:20" hidden="1" x14ac:dyDescent="0.35">
      <c r="T331" s="294"/>
    </row>
    <row r="332" spans="4:20" hidden="1" x14ac:dyDescent="0.35">
      <c r="T332" s="294"/>
    </row>
    <row r="333" spans="4:20" hidden="1" x14ac:dyDescent="0.35">
      <c r="T333" s="294"/>
    </row>
    <row r="334" spans="4:20" hidden="1" x14ac:dyDescent="0.35">
      <c r="T334" s="294"/>
    </row>
    <row r="335" spans="4:20" hidden="1" x14ac:dyDescent="0.35">
      <c r="T335" s="294"/>
    </row>
    <row r="336" spans="4:20" hidden="1" x14ac:dyDescent="0.35">
      <c r="T336" s="294"/>
    </row>
    <row r="337" spans="1:20" hidden="1" x14ac:dyDescent="0.35"/>
    <row r="338" spans="1:20" hidden="1" x14ac:dyDescent="0.35">
      <c r="T338" s="296"/>
    </row>
    <row r="339" spans="1:20" hidden="1" x14ac:dyDescent="0.35"/>
    <row r="340" spans="1:20" hidden="1" x14ac:dyDescent="0.3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78"/>
    </row>
    <row r="341" spans="1:20" ht="16.5" hidden="1" thickTop="1" x14ac:dyDescent="0.35">
      <c r="A341" s="72"/>
      <c r="B341" s="72"/>
      <c r="C341" s="72"/>
      <c r="D341" s="72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38"/>
      <c r="S341" s="378"/>
      <c r="T341" s="294"/>
    </row>
    <row r="342" spans="1:20" hidden="1" x14ac:dyDescent="0.35">
      <c r="A342" s="38"/>
      <c r="B342" s="38"/>
      <c r="C342" s="38"/>
      <c r="D342" s="74" t="s">
        <v>134</v>
      </c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78"/>
      <c r="T342" s="294"/>
    </row>
    <row r="343" spans="1:20" hidden="1" x14ac:dyDescent="0.35">
      <c r="A343" s="38"/>
      <c r="B343" s="38"/>
      <c r="C343" s="38"/>
      <c r="D343" s="75" t="s">
        <v>100</v>
      </c>
      <c r="E343" s="38">
        <v>1</v>
      </c>
      <c r="F343" s="38">
        <v>2</v>
      </c>
      <c r="G343" s="38">
        <v>3</v>
      </c>
      <c r="H343" s="38">
        <v>4</v>
      </c>
      <c r="I343" s="38">
        <v>5</v>
      </c>
      <c r="J343" s="38">
        <v>6</v>
      </c>
      <c r="K343" s="38">
        <v>7</v>
      </c>
      <c r="L343" s="38">
        <v>8</v>
      </c>
      <c r="M343" s="38">
        <v>9</v>
      </c>
      <c r="N343" s="38">
        <v>10</v>
      </c>
      <c r="O343" s="38">
        <v>11</v>
      </c>
      <c r="P343" s="38">
        <v>12</v>
      </c>
      <c r="Q343" s="76" t="s">
        <v>12</v>
      </c>
      <c r="R343" s="76"/>
      <c r="S343" s="379"/>
    </row>
    <row r="344" spans="1:20" hidden="1" x14ac:dyDescent="0.35">
      <c r="A344" s="38"/>
      <c r="B344" s="38"/>
      <c r="C344" s="38"/>
      <c r="D344" s="75" t="s">
        <v>136</v>
      </c>
      <c r="E344" s="38">
        <f t="shared" ref="E344:P344" si="40">-E10-E11</f>
        <v>-375582.66500000004</v>
      </c>
      <c r="F344" s="38">
        <f t="shared" si="40"/>
        <v>-376622.25250000006</v>
      </c>
      <c r="G344" s="38">
        <f t="shared" si="40"/>
        <v>-380394.51250000007</v>
      </c>
      <c r="H344" s="38">
        <f t="shared" si="40"/>
        <v>-385176.95250000001</v>
      </c>
      <c r="I344" s="38">
        <f t="shared" si="40"/>
        <v>-385984.53249999997</v>
      </c>
      <c r="J344" s="38">
        <f t="shared" si="40"/>
        <v>-386122.37250000006</v>
      </c>
      <c r="K344" s="38">
        <f t="shared" si="40"/>
        <v>-371126.28916666668</v>
      </c>
      <c r="L344" s="38">
        <f t="shared" si="40"/>
        <v>-371434.49916666665</v>
      </c>
      <c r="M344" s="38">
        <f t="shared" si="40"/>
        <v>-370885.79083333333</v>
      </c>
      <c r="N344" s="38">
        <f t="shared" si="40"/>
        <v>-370310.79083333333</v>
      </c>
      <c r="O344" s="38">
        <f t="shared" si="40"/>
        <v>-366463.09750000003</v>
      </c>
      <c r="P344" s="38">
        <f t="shared" si="40"/>
        <v>-360032.05083333334</v>
      </c>
      <c r="Q344" s="74">
        <f>SUM(E344:P344)</f>
        <v>-4500135.8058333341</v>
      </c>
      <c r="R344" s="74"/>
      <c r="S344" s="380"/>
    </row>
    <row r="345" spans="1:20" hidden="1" x14ac:dyDescent="0.35">
      <c r="A345" s="38"/>
      <c r="B345" s="38"/>
      <c r="C345" s="38"/>
      <c r="D345" s="75" t="s">
        <v>102</v>
      </c>
      <c r="E345" s="38">
        <f t="shared" ref="E345:P345" si="41">-E18</f>
        <v>-62057.521099999998</v>
      </c>
      <c r="F345" s="38">
        <f t="shared" si="41"/>
        <v>-56555.836899999995</v>
      </c>
      <c r="G345" s="38">
        <f t="shared" si="41"/>
        <v>-54115.025400000006</v>
      </c>
      <c r="H345" s="38">
        <f t="shared" si="41"/>
        <v>-52905.407500000001</v>
      </c>
      <c r="I345" s="38">
        <f t="shared" si="41"/>
        <v>-54964.321400000001</v>
      </c>
      <c r="J345" s="38">
        <f t="shared" si="41"/>
        <v>-58906.281999999992</v>
      </c>
      <c r="K345" s="38">
        <f t="shared" si="41"/>
        <v>-63811.322799999994</v>
      </c>
      <c r="L345" s="38">
        <f t="shared" si="41"/>
        <v>-62006.217400000009</v>
      </c>
      <c r="M345" s="38">
        <f t="shared" si="41"/>
        <v>-56491.909999999989</v>
      </c>
      <c r="N345" s="38">
        <f t="shared" si="41"/>
        <v>-57163.275600000008</v>
      </c>
      <c r="O345" s="38">
        <f t="shared" si="41"/>
        <v>-50745.57039999999</v>
      </c>
      <c r="P345" s="38">
        <f t="shared" si="41"/>
        <v>-61090.396099999998</v>
      </c>
      <c r="Q345" s="38">
        <f t="shared" ref="Q345:Q377" si="42">SUM(E345:P345)</f>
        <v>-690813.08660000004</v>
      </c>
      <c r="R345" s="38"/>
      <c r="S345" s="378"/>
    </row>
    <row r="346" spans="1:20" hidden="1" x14ac:dyDescent="0.35">
      <c r="A346" s="38"/>
      <c r="B346" s="38"/>
      <c r="C346" s="38"/>
      <c r="D346" s="75" t="s">
        <v>103</v>
      </c>
      <c r="E346" s="38">
        <f t="shared" ref="E346:P346" si="43">-E19</f>
        <v>-50300</v>
      </c>
      <c r="F346" s="38">
        <f t="shared" si="43"/>
        <v>-50300</v>
      </c>
      <c r="G346" s="38">
        <f t="shared" si="43"/>
        <v>-50300</v>
      </c>
      <c r="H346" s="38">
        <f t="shared" si="43"/>
        <v>-50300</v>
      </c>
      <c r="I346" s="38">
        <f t="shared" si="43"/>
        <v>-50300</v>
      </c>
      <c r="J346" s="38">
        <f t="shared" si="43"/>
        <v>-50300</v>
      </c>
      <c r="K346" s="38">
        <f t="shared" si="43"/>
        <v>-50300</v>
      </c>
      <c r="L346" s="38">
        <f t="shared" si="43"/>
        <v>-50300</v>
      </c>
      <c r="M346" s="38">
        <f t="shared" si="43"/>
        <v>-50300</v>
      </c>
      <c r="N346" s="38">
        <f t="shared" si="43"/>
        <v>-50300</v>
      </c>
      <c r="O346" s="38">
        <f t="shared" si="43"/>
        <v>-50300</v>
      </c>
      <c r="P346" s="38">
        <f t="shared" si="43"/>
        <v>-50300</v>
      </c>
      <c r="Q346" s="38">
        <f t="shared" si="42"/>
        <v>-603600</v>
      </c>
      <c r="R346" s="38"/>
      <c r="S346" s="378"/>
    </row>
    <row r="347" spans="1:20" hidden="1" x14ac:dyDescent="0.35">
      <c r="A347" s="38"/>
      <c r="B347" s="38"/>
      <c r="C347" s="38"/>
      <c r="D347" s="75" t="s">
        <v>104</v>
      </c>
      <c r="E347" s="38">
        <f t="shared" ref="E347:P347" si="44">-E20</f>
        <v>-8300</v>
      </c>
      <c r="F347" s="38">
        <f t="shared" si="44"/>
        <v>-8300</v>
      </c>
      <c r="G347" s="38">
        <f t="shared" si="44"/>
        <v>-8300</v>
      </c>
      <c r="H347" s="38">
        <f t="shared" si="44"/>
        <v>-8300</v>
      </c>
      <c r="I347" s="38">
        <f t="shared" si="44"/>
        <v>-8300</v>
      </c>
      <c r="J347" s="38">
        <f t="shared" si="44"/>
        <v>-8300</v>
      </c>
      <c r="K347" s="38">
        <f t="shared" si="44"/>
        <v>-8300</v>
      </c>
      <c r="L347" s="38">
        <f t="shared" si="44"/>
        <v>-8300</v>
      </c>
      <c r="M347" s="38">
        <f t="shared" si="44"/>
        <v>-8300</v>
      </c>
      <c r="N347" s="38">
        <f t="shared" si="44"/>
        <v>-8300</v>
      </c>
      <c r="O347" s="38">
        <f t="shared" si="44"/>
        <v>-8300</v>
      </c>
      <c r="P347" s="38">
        <f t="shared" si="44"/>
        <v>-8300</v>
      </c>
      <c r="Q347" s="38">
        <f t="shared" si="42"/>
        <v>-99600</v>
      </c>
      <c r="R347" s="38"/>
      <c r="S347" s="378"/>
    </row>
    <row r="348" spans="1:20" hidden="1" x14ac:dyDescent="0.35">
      <c r="A348" s="38"/>
      <c r="B348" s="38"/>
      <c r="C348" s="38"/>
      <c r="D348" s="75" t="s">
        <v>139</v>
      </c>
      <c r="E348" s="38">
        <f t="shared" ref="E348:P348" si="45">-E21</f>
        <v>0</v>
      </c>
      <c r="F348" s="38">
        <f t="shared" si="45"/>
        <v>0</v>
      </c>
      <c r="G348" s="38">
        <f t="shared" si="45"/>
        <v>0</v>
      </c>
      <c r="H348" s="38">
        <f t="shared" si="45"/>
        <v>0</v>
      </c>
      <c r="I348" s="38">
        <f t="shared" si="45"/>
        <v>0</v>
      </c>
      <c r="J348" s="38">
        <f t="shared" si="45"/>
        <v>0</v>
      </c>
      <c r="K348" s="38">
        <f t="shared" si="45"/>
        <v>0</v>
      </c>
      <c r="L348" s="38">
        <f t="shared" si="45"/>
        <v>0</v>
      </c>
      <c r="M348" s="38">
        <f t="shared" si="45"/>
        <v>0</v>
      </c>
      <c r="N348" s="38">
        <f t="shared" si="45"/>
        <v>0</v>
      </c>
      <c r="O348" s="38">
        <f t="shared" si="45"/>
        <v>0</v>
      </c>
      <c r="P348" s="38">
        <f t="shared" si="45"/>
        <v>0</v>
      </c>
      <c r="Q348" s="38">
        <f>SUM(E348:P348)</f>
        <v>0</v>
      </c>
      <c r="R348" s="38"/>
      <c r="S348" s="378"/>
    </row>
    <row r="349" spans="1:20" hidden="1" x14ac:dyDescent="0.35">
      <c r="A349" s="38"/>
      <c r="B349" s="38"/>
      <c r="C349" s="38"/>
      <c r="D349" s="75" t="s">
        <v>105</v>
      </c>
      <c r="E349" s="38">
        <f t="shared" ref="E349:P349" si="46">E27</f>
        <v>8128.5833333333348</v>
      </c>
      <c r="F349" s="38">
        <f t="shared" si="46"/>
        <v>8128.5833333333348</v>
      </c>
      <c r="G349" s="38">
        <f t="shared" si="46"/>
        <v>8128.5833333333348</v>
      </c>
      <c r="H349" s="38">
        <f t="shared" si="46"/>
        <v>8128.5833333333348</v>
      </c>
      <c r="I349" s="38">
        <f t="shared" si="46"/>
        <v>8128.5833333333348</v>
      </c>
      <c r="J349" s="38">
        <f t="shared" si="46"/>
        <v>8128.5833333333348</v>
      </c>
      <c r="K349" s="38">
        <f t="shared" si="46"/>
        <v>8128.5833333333348</v>
      </c>
      <c r="L349" s="38">
        <f t="shared" si="46"/>
        <v>8128.5833333333348</v>
      </c>
      <c r="M349" s="38">
        <f t="shared" si="46"/>
        <v>8128.5833333333348</v>
      </c>
      <c r="N349" s="38">
        <f t="shared" si="46"/>
        <v>8128.5833333333348</v>
      </c>
      <c r="O349" s="38">
        <f t="shared" si="46"/>
        <v>8128.5833333333348</v>
      </c>
      <c r="P349" s="38">
        <f t="shared" si="46"/>
        <v>8128.5833333333348</v>
      </c>
      <c r="Q349" s="38">
        <f t="shared" si="42"/>
        <v>97543</v>
      </c>
      <c r="R349" s="38"/>
      <c r="S349" s="378"/>
    </row>
    <row r="350" spans="1:20" hidden="1" x14ac:dyDescent="0.35">
      <c r="A350" s="38"/>
      <c r="B350" s="38"/>
      <c r="C350" s="38"/>
      <c r="D350" s="75" t="s">
        <v>106</v>
      </c>
      <c r="E350" s="38">
        <f t="shared" ref="E350:P350" si="47">+E29</f>
        <v>97164</v>
      </c>
      <c r="F350" s="38">
        <f t="shared" si="47"/>
        <v>88149</v>
      </c>
      <c r="G350" s="38">
        <f t="shared" si="47"/>
        <v>83677</v>
      </c>
      <c r="H350" s="38">
        <f t="shared" si="47"/>
        <v>80724</v>
      </c>
      <c r="I350" s="38">
        <f t="shared" si="47"/>
        <v>84119</v>
      </c>
      <c r="J350" s="38">
        <f t="shared" si="47"/>
        <v>90279</v>
      </c>
      <c r="K350" s="38">
        <f t="shared" si="47"/>
        <v>98568</v>
      </c>
      <c r="L350" s="38">
        <f t="shared" si="47"/>
        <v>95991</v>
      </c>
      <c r="M350" s="38">
        <f t="shared" si="47"/>
        <v>87680</v>
      </c>
      <c r="N350" s="38">
        <f t="shared" si="47"/>
        <v>88497</v>
      </c>
      <c r="O350" s="38">
        <f t="shared" si="47"/>
        <v>79214</v>
      </c>
      <c r="P350" s="38">
        <f t="shared" si="47"/>
        <v>96590</v>
      </c>
      <c r="Q350" s="38">
        <f t="shared" si="42"/>
        <v>1070652</v>
      </c>
      <c r="R350" s="38"/>
      <c r="S350" s="378"/>
    </row>
    <row r="351" spans="1:20" hidden="1" x14ac:dyDescent="0.35">
      <c r="A351" s="38"/>
      <c r="B351" s="38"/>
      <c r="C351" s="38"/>
      <c r="D351" s="75" t="s">
        <v>107</v>
      </c>
      <c r="E351" s="38">
        <f t="shared" ref="E351:P351" si="48">+E31</f>
        <v>5481.66</v>
      </c>
      <c r="F351" s="38">
        <f t="shared" si="48"/>
        <v>5746.37</v>
      </c>
      <c r="G351" s="38">
        <f t="shared" si="48"/>
        <v>6181.0300000000007</v>
      </c>
      <c r="H351" s="38">
        <f t="shared" si="48"/>
        <v>6196.48</v>
      </c>
      <c r="I351" s="38">
        <f t="shared" si="48"/>
        <v>10136.230000000001</v>
      </c>
      <c r="J351" s="38">
        <f t="shared" si="48"/>
        <v>13574.37</v>
      </c>
      <c r="K351" s="38">
        <f t="shared" si="48"/>
        <v>15153.360000000002</v>
      </c>
      <c r="L351" s="38">
        <f t="shared" si="48"/>
        <v>19042.64</v>
      </c>
      <c r="M351" s="38">
        <f t="shared" si="48"/>
        <v>13977.1</v>
      </c>
      <c r="N351" s="38">
        <f t="shared" si="48"/>
        <v>11704.92</v>
      </c>
      <c r="O351" s="38">
        <f t="shared" si="48"/>
        <v>7338.7500000000009</v>
      </c>
      <c r="P351" s="38">
        <f t="shared" si="48"/>
        <v>5916.32</v>
      </c>
      <c r="Q351" s="38">
        <f t="shared" si="42"/>
        <v>120449.23000000001</v>
      </c>
      <c r="R351" s="38"/>
      <c r="S351" s="378"/>
    </row>
    <row r="352" spans="1:20" hidden="1" x14ac:dyDescent="0.35">
      <c r="A352" s="38"/>
      <c r="B352" s="38"/>
      <c r="C352" s="38"/>
      <c r="D352" s="75" t="s">
        <v>108</v>
      </c>
      <c r="E352" s="38">
        <f t="shared" ref="E352:P352" si="49">+E36</f>
        <v>29282</v>
      </c>
      <c r="F352" s="38">
        <f t="shared" si="49"/>
        <v>41765</v>
      </c>
      <c r="G352" s="38">
        <f t="shared" si="49"/>
        <v>59058</v>
      </c>
      <c r="H352" s="38">
        <f t="shared" si="49"/>
        <v>67508</v>
      </c>
      <c r="I352" s="38">
        <f t="shared" si="49"/>
        <v>44135</v>
      </c>
      <c r="J352" s="38">
        <f t="shared" si="49"/>
        <v>66040</v>
      </c>
      <c r="K352" s="38">
        <f t="shared" si="49"/>
        <v>52657</v>
      </c>
      <c r="L352" s="38">
        <f t="shared" si="49"/>
        <v>31945</v>
      </c>
      <c r="M352" s="38">
        <f t="shared" si="49"/>
        <v>59240</v>
      </c>
      <c r="N352" s="38">
        <f t="shared" si="49"/>
        <v>53303</v>
      </c>
      <c r="O352" s="38">
        <f t="shared" si="49"/>
        <v>35780</v>
      </c>
      <c r="P352" s="38">
        <f t="shared" si="49"/>
        <v>36985</v>
      </c>
      <c r="Q352" s="38">
        <f t="shared" si="42"/>
        <v>577698</v>
      </c>
      <c r="R352" s="38"/>
      <c r="S352" s="378"/>
    </row>
    <row r="353" spans="1:19" hidden="1" x14ac:dyDescent="0.35">
      <c r="A353" s="38"/>
      <c r="B353" s="38"/>
      <c r="C353" s="38"/>
      <c r="D353" s="75" t="s">
        <v>109</v>
      </c>
      <c r="E353" s="38">
        <f t="shared" ref="E353:P353" si="50">+E43</f>
        <v>5340.55</v>
      </c>
      <c r="F353" s="38">
        <f t="shared" si="50"/>
        <v>5546.55</v>
      </c>
      <c r="G353" s="38">
        <f t="shared" si="50"/>
        <v>9177.2999999999993</v>
      </c>
      <c r="H353" s="38">
        <f t="shared" si="50"/>
        <v>25245.55</v>
      </c>
      <c r="I353" s="38">
        <f t="shared" si="50"/>
        <v>25546.55</v>
      </c>
      <c r="J353" s="38">
        <f t="shared" si="50"/>
        <v>19477.3</v>
      </c>
      <c r="K353" s="38">
        <f t="shared" si="50"/>
        <v>17700.55</v>
      </c>
      <c r="L353" s="38">
        <f t="shared" si="50"/>
        <v>17906.55</v>
      </c>
      <c r="M353" s="38">
        <f t="shared" si="50"/>
        <v>29082.3</v>
      </c>
      <c r="N353" s="38">
        <f t="shared" si="50"/>
        <v>25340.55</v>
      </c>
      <c r="O353" s="38">
        <f t="shared" si="50"/>
        <v>5546.55</v>
      </c>
      <c r="P353" s="38">
        <f t="shared" si="50"/>
        <v>9177.2999999999993</v>
      </c>
      <c r="Q353" s="38">
        <f t="shared" si="42"/>
        <v>195087.59999999998</v>
      </c>
      <c r="R353" s="38"/>
      <c r="S353" s="378"/>
    </row>
    <row r="354" spans="1:19" hidden="1" x14ac:dyDescent="0.35">
      <c r="A354" s="38"/>
      <c r="B354" s="38"/>
      <c r="C354" s="38"/>
      <c r="D354" s="75" t="s">
        <v>110</v>
      </c>
      <c r="E354" s="38">
        <f t="shared" ref="E354:P354" si="51">+E45</f>
        <v>26393.75</v>
      </c>
      <c r="F354" s="38">
        <f t="shared" si="51"/>
        <v>26393.75</v>
      </c>
      <c r="G354" s="38">
        <f t="shared" si="51"/>
        <v>25363.75</v>
      </c>
      <c r="H354" s="38">
        <f t="shared" si="51"/>
        <v>0</v>
      </c>
      <c r="I354" s="38">
        <f t="shared" si="51"/>
        <v>0</v>
      </c>
      <c r="J354" s="38">
        <f t="shared" si="51"/>
        <v>0</v>
      </c>
      <c r="K354" s="38">
        <f t="shared" si="51"/>
        <v>0</v>
      </c>
      <c r="L354" s="38">
        <f t="shared" si="51"/>
        <v>0</v>
      </c>
      <c r="M354" s="38">
        <f t="shared" si="51"/>
        <v>0</v>
      </c>
      <c r="N354" s="38">
        <f t="shared" si="51"/>
        <v>0</v>
      </c>
      <c r="O354" s="38">
        <f t="shared" si="51"/>
        <v>6180</v>
      </c>
      <c r="P354" s="38">
        <f t="shared" si="51"/>
        <v>25878.75</v>
      </c>
      <c r="Q354" s="38">
        <f t="shared" si="42"/>
        <v>110210</v>
      </c>
      <c r="R354" s="38"/>
      <c r="S354" s="378"/>
    </row>
    <row r="355" spans="1:19" hidden="1" x14ac:dyDescent="0.35">
      <c r="A355" s="38"/>
      <c r="B355" s="38"/>
      <c r="C355" s="38"/>
      <c r="D355" s="75" t="s">
        <v>111</v>
      </c>
      <c r="E355" s="38">
        <f t="shared" ref="E355:P355" si="52">+E50</f>
        <v>4166.666666666667</v>
      </c>
      <c r="F355" s="38">
        <f t="shared" si="52"/>
        <v>4166.666666666667</v>
      </c>
      <c r="G355" s="38">
        <f t="shared" si="52"/>
        <v>18190.719541688886</v>
      </c>
      <c r="H355" s="38">
        <f t="shared" si="52"/>
        <v>20044.719541688886</v>
      </c>
      <c r="I355" s="38">
        <f t="shared" si="52"/>
        <v>23958.71954168889</v>
      </c>
      <c r="J355" s="38">
        <f t="shared" si="52"/>
        <v>18190.719541688886</v>
      </c>
      <c r="K355" s="38">
        <f t="shared" si="52"/>
        <v>18190.719541688886</v>
      </c>
      <c r="L355" s="38">
        <f t="shared" si="52"/>
        <v>18190.719541688886</v>
      </c>
      <c r="M355" s="38">
        <f t="shared" si="52"/>
        <v>21795.71954168889</v>
      </c>
      <c r="N355" s="38">
        <f t="shared" si="52"/>
        <v>22207.71954168889</v>
      </c>
      <c r="O355" s="38">
        <f t="shared" si="52"/>
        <v>16001.969541688886</v>
      </c>
      <c r="P355" s="38">
        <f t="shared" si="52"/>
        <v>4166.666666666667</v>
      </c>
      <c r="Q355" s="38">
        <f t="shared" si="42"/>
        <v>189271.72587519998</v>
      </c>
      <c r="R355" s="38"/>
      <c r="S355" s="378"/>
    </row>
    <row r="356" spans="1:19" hidden="1" x14ac:dyDescent="0.35">
      <c r="A356" s="38"/>
      <c r="B356" s="38"/>
      <c r="C356" s="38"/>
      <c r="D356" s="75" t="s">
        <v>112</v>
      </c>
      <c r="E356" s="38">
        <f t="shared" ref="E356:P356" si="53">+E52</f>
        <v>2112</v>
      </c>
      <c r="F356" s="38">
        <f t="shared" si="53"/>
        <v>2112</v>
      </c>
      <c r="G356" s="38">
        <f t="shared" si="53"/>
        <v>2112</v>
      </c>
      <c r="H356" s="38">
        <f t="shared" si="53"/>
        <v>2112</v>
      </c>
      <c r="I356" s="38">
        <f t="shared" si="53"/>
        <v>2112</v>
      </c>
      <c r="J356" s="38">
        <f t="shared" si="53"/>
        <v>2112</v>
      </c>
      <c r="K356" s="38">
        <f t="shared" si="53"/>
        <v>2112</v>
      </c>
      <c r="L356" s="38">
        <f t="shared" si="53"/>
        <v>2112</v>
      </c>
      <c r="M356" s="38">
        <f t="shared" si="53"/>
        <v>2112</v>
      </c>
      <c r="N356" s="38">
        <f t="shared" si="53"/>
        <v>2112</v>
      </c>
      <c r="O356" s="38">
        <f t="shared" si="53"/>
        <v>2112</v>
      </c>
      <c r="P356" s="38">
        <f t="shared" si="53"/>
        <v>2112</v>
      </c>
      <c r="Q356" s="38">
        <f t="shared" si="42"/>
        <v>25344</v>
      </c>
      <c r="R356" s="38"/>
      <c r="S356" s="378"/>
    </row>
    <row r="357" spans="1:19" hidden="1" x14ac:dyDescent="0.35">
      <c r="A357" s="38"/>
      <c r="B357" s="38"/>
      <c r="C357" s="38"/>
      <c r="D357" s="75" t="s">
        <v>113</v>
      </c>
      <c r="E357" s="38">
        <f t="shared" ref="E357:P357" si="54">+E54</f>
        <v>21235</v>
      </c>
      <c r="F357" s="38">
        <f t="shared" si="54"/>
        <v>21072</v>
      </c>
      <c r="G357" s="38">
        <f t="shared" si="54"/>
        <v>21316</v>
      </c>
      <c r="H357" s="38">
        <f t="shared" si="54"/>
        <v>21238</v>
      </c>
      <c r="I357" s="38">
        <f t="shared" si="54"/>
        <v>21344</v>
      </c>
      <c r="J357" s="38">
        <f t="shared" si="54"/>
        <v>21708</v>
      </c>
      <c r="K357" s="38">
        <f t="shared" si="54"/>
        <v>21112</v>
      </c>
      <c r="L357" s="38">
        <f t="shared" si="54"/>
        <v>21051</v>
      </c>
      <c r="M357" s="38">
        <f t="shared" si="54"/>
        <v>20986</v>
      </c>
      <c r="N357" s="38">
        <f t="shared" si="54"/>
        <v>20791</v>
      </c>
      <c r="O357" s="38">
        <f t="shared" si="54"/>
        <v>20392</v>
      </c>
      <c r="P357" s="38">
        <f t="shared" si="54"/>
        <v>20768</v>
      </c>
      <c r="Q357" s="38">
        <f t="shared" si="42"/>
        <v>253013</v>
      </c>
      <c r="R357" s="38"/>
      <c r="S357" s="378"/>
    </row>
    <row r="358" spans="1:19" hidden="1" x14ac:dyDescent="0.35">
      <c r="A358" s="38"/>
      <c r="B358" s="38"/>
      <c r="C358" s="38"/>
      <c r="D358" s="75" t="s">
        <v>114</v>
      </c>
      <c r="E358" s="38">
        <f t="shared" ref="E358:P358" si="55">+E56</f>
        <v>8538.7000000000007</v>
      </c>
      <c r="F358" s="38">
        <f t="shared" si="55"/>
        <v>8538.7000000000007</v>
      </c>
      <c r="G358" s="38">
        <f t="shared" si="55"/>
        <v>8538.7000000000007</v>
      </c>
      <c r="H358" s="38">
        <f t="shared" si="55"/>
        <v>8590.2000000000007</v>
      </c>
      <c r="I358" s="38">
        <f t="shared" si="55"/>
        <v>8538.7000000000007</v>
      </c>
      <c r="J358" s="38">
        <f t="shared" si="55"/>
        <v>11638.7</v>
      </c>
      <c r="K358" s="38">
        <f t="shared" si="55"/>
        <v>8538.7000000000007</v>
      </c>
      <c r="L358" s="38">
        <f t="shared" si="55"/>
        <v>8538.7000000000007</v>
      </c>
      <c r="M358" s="38">
        <f t="shared" si="55"/>
        <v>8538.7000000000007</v>
      </c>
      <c r="N358" s="38">
        <f t="shared" si="55"/>
        <v>9190.2000000000007</v>
      </c>
      <c r="O358" s="38">
        <f t="shared" si="55"/>
        <v>8538.7000000000007</v>
      </c>
      <c r="P358" s="38">
        <f t="shared" si="55"/>
        <v>11638.7</v>
      </c>
      <c r="Q358" s="38">
        <f t="shared" si="42"/>
        <v>109367.39999999998</v>
      </c>
      <c r="R358" s="38"/>
      <c r="S358" s="378"/>
    </row>
    <row r="359" spans="1:19" hidden="1" x14ac:dyDescent="0.35">
      <c r="A359" s="38"/>
      <c r="B359" s="38"/>
      <c r="C359" s="38"/>
      <c r="D359" s="75" t="s">
        <v>115</v>
      </c>
      <c r="E359" s="38">
        <f t="shared" ref="E359:P359" si="56">+E58</f>
        <v>37458.057557025</v>
      </c>
      <c r="F359" s="38">
        <f t="shared" si="56"/>
        <v>37458.057557025</v>
      </c>
      <c r="G359" s="38">
        <f t="shared" si="56"/>
        <v>37458.057557025</v>
      </c>
      <c r="H359" s="38">
        <f t="shared" si="56"/>
        <v>37458.057557025</v>
      </c>
      <c r="I359" s="38">
        <f t="shared" si="56"/>
        <v>37458.057557025</v>
      </c>
      <c r="J359" s="38">
        <f t="shared" si="56"/>
        <v>37458.057557025</v>
      </c>
      <c r="K359" s="38">
        <f t="shared" si="56"/>
        <v>37458.057557025</v>
      </c>
      <c r="L359" s="38">
        <f t="shared" si="56"/>
        <v>37458.057557025</v>
      </c>
      <c r="M359" s="38">
        <f t="shared" si="56"/>
        <v>37458.057557025</v>
      </c>
      <c r="N359" s="38">
        <f t="shared" si="56"/>
        <v>37458.057557025</v>
      </c>
      <c r="O359" s="38">
        <f t="shared" si="56"/>
        <v>37458.057557025</v>
      </c>
      <c r="P359" s="38">
        <f t="shared" si="56"/>
        <v>37458.057557025</v>
      </c>
      <c r="Q359" s="38">
        <f t="shared" si="42"/>
        <v>449496.69068429997</v>
      </c>
      <c r="R359" s="38"/>
      <c r="S359" s="378"/>
    </row>
    <row r="360" spans="1:19" hidden="1" x14ac:dyDescent="0.35">
      <c r="D360" s="75" t="s">
        <v>116</v>
      </c>
      <c r="E360" s="34">
        <f t="shared" ref="E360:P360" si="57">+E63</f>
        <v>18729</v>
      </c>
      <c r="F360" s="34">
        <f t="shared" si="57"/>
        <v>18729</v>
      </c>
      <c r="G360" s="34">
        <f t="shared" si="57"/>
        <v>18729</v>
      </c>
      <c r="H360" s="34">
        <f t="shared" si="57"/>
        <v>18729</v>
      </c>
      <c r="I360" s="34">
        <f t="shared" si="57"/>
        <v>18729</v>
      </c>
      <c r="J360" s="34">
        <f t="shared" si="57"/>
        <v>18729</v>
      </c>
      <c r="K360" s="34">
        <f t="shared" si="57"/>
        <v>18729</v>
      </c>
      <c r="L360" s="34">
        <f t="shared" si="57"/>
        <v>18729</v>
      </c>
      <c r="M360" s="34">
        <f t="shared" si="57"/>
        <v>18729</v>
      </c>
      <c r="N360" s="34">
        <f t="shared" si="57"/>
        <v>18729</v>
      </c>
      <c r="O360" s="34">
        <f t="shared" si="57"/>
        <v>19103.579999999998</v>
      </c>
      <c r="P360" s="34">
        <f t="shared" si="57"/>
        <v>19103.579999999998</v>
      </c>
      <c r="Q360" s="38">
        <f t="shared" si="42"/>
        <v>225497.15999999997</v>
      </c>
      <c r="R360" s="38"/>
      <c r="S360" s="378"/>
    </row>
    <row r="361" spans="1:19" hidden="1" x14ac:dyDescent="0.35">
      <c r="D361" s="75" t="s">
        <v>117</v>
      </c>
      <c r="E361" s="34">
        <f t="shared" ref="E361:P361" si="58">+E67</f>
        <v>41640.796603676732</v>
      </c>
      <c r="F361" s="34">
        <f t="shared" si="58"/>
        <v>41724.254498795941</v>
      </c>
      <c r="G361" s="34">
        <f t="shared" si="58"/>
        <v>41991.203168363943</v>
      </c>
      <c r="H361" s="34">
        <f t="shared" si="58"/>
        <v>42707.374595025547</v>
      </c>
      <c r="I361" s="34">
        <f t="shared" si="58"/>
        <v>42707.374595025547</v>
      </c>
      <c r="J361" s="34">
        <f t="shared" si="58"/>
        <v>42707.374595025547</v>
      </c>
      <c r="K361" s="34">
        <f t="shared" si="58"/>
        <v>42513.949144849539</v>
      </c>
      <c r="L361" s="34">
        <f t="shared" si="58"/>
        <v>42513.949144849539</v>
      </c>
      <c r="M361" s="34">
        <f t="shared" si="58"/>
        <v>42451.749392826736</v>
      </c>
      <c r="N361" s="34">
        <f t="shared" si="58"/>
        <v>42451.749392826736</v>
      </c>
      <c r="O361" s="34">
        <f t="shared" si="58"/>
        <v>42095.554508484944</v>
      </c>
      <c r="P361" s="34">
        <f t="shared" si="58"/>
        <v>41551.586955283143</v>
      </c>
      <c r="Q361" s="38">
        <f t="shared" si="42"/>
        <v>507056.91659503395</v>
      </c>
      <c r="R361" s="38"/>
      <c r="S361" s="378"/>
    </row>
    <row r="362" spans="1:19" hidden="1" x14ac:dyDescent="0.35">
      <c r="D362" s="75" t="s">
        <v>118</v>
      </c>
      <c r="E362" s="34">
        <f t="shared" ref="E362:P362" si="59">+E77</f>
        <v>10070.583333333332</v>
      </c>
      <c r="F362" s="34">
        <f t="shared" si="59"/>
        <v>10070.583333333332</v>
      </c>
      <c r="G362" s="34">
        <f t="shared" si="59"/>
        <v>10070.583333333332</v>
      </c>
      <c r="H362" s="34">
        <f t="shared" si="59"/>
        <v>10070.583333333332</v>
      </c>
      <c r="I362" s="34">
        <f t="shared" si="59"/>
        <v>10070.583333333332</v>
      </c>
      <c r="J362" s="34">
        <f t="shared" si="59"/>
        <v>10070.583333333332</v>
      </c>
      <c r="K362" s="34">
        <f t="shared" si="59"/>
        <v>10070.583333333332</v>
      </c>
      <c r="L362" s="34">
        <f t="shared" si="59"/>
        <v>10070.583333333332</v>
      </c>
      <c r="M362" s="34">
        <f t="shared" si="59"/>
        <v>10070.583333333332</v>
      </c>
      <c r="N362" s="34">
        <f t="shared" si="59"/>
        <v>10070.583333333332</v>
      </c>
      <c r="O362" s="34">
        <f t="shared" si="59"/>
        <v>10070.583333333332</v>
      </c>
      <c r="P362" s="34">
        <f t="shared" si="59"/>
        <v>10070.583333333332</v>
      </c>
      <c r="Q362" s="38">
        <f t="shared" si="42"/>
        <v>120846.99999999996</v>
      </c>
      <c r="R362" s="38"/>
      <c r="S362" s="378"/>
    </row>
    <row r="363" spans="1:19" hidden="1" x14ac:dyDescent="0.35">
      <c r="D363" s="75" t="s">
        <v>119</v>
      </c>
      <c r="E363" s="34">
        <f t="shared" ref="E363:P363" si="60">+E78</f>
        <v>6365.4000000000015</v>
      </c>
      <c r="F363" s="34">
        <f t="shared" si="60"/>
        <v>0</v>
      </c>
      <c r="G363" s="34">
        <f t="shared" si="60"/>
        <v>0</v>
      </c>
      <c r="H363" s="34">
        <f t="shared" si="60"/>
        <v>6365.4000000000015</v>
      </c>
      <c r="I363" s="34">
        <f t="shared" si="60"/>
        <v>0</v>
      </c>
      <c r="J363" s="34">
        <f t="shared" si="60"/>
        <v>0</v>
      </c>
      <c r="K363" s="34">
        <f t="shared" si="60"/>
        <v>6365.4000000000015</v>
      </c>
      <c r="L363" s="34">
        <f t="shared" si="60"/>
        <v>0</v>
      </c>
      <c r="M363" s="34">
        <f t="shared" si="60"/>
        <v>0</v>
      </c>
      <c r="N363" s="34">
        <f t="shared" si="60"/>
        <v>6365.4000000000015</v>
      </c>
      <c r="O363" s="34">
        <f t="shared" si="60"/>
        <v>0</v>
      </c>
      <c r="P363" s="34">
        <f t="shared" si="60"/>
        <v>0</v>
      </c>
      <c r="Q363" s="38">
        <f t="shared" si="42"/>
        <v>25461.600000000006</v>
      </c>
      <c r="R363" s="38"/>
      <c r="S363" s="378"/>
    </row>
    <row r="364" spans="1:19" hidden="1" x14ac:dyDescent="0.35">
      <c r="D364" s="75" t="s">
        <v>120</v>
      </c>
      <c r="E364" s="34">
        <f t="shared" ref="E364:P364" si="61">+E88</f>
        <v>4269.3499999999995</v>
      </c>
      <c r="F364" s="34">
        <f t="shared" si="61"/>
        <v>4269.3499999999995</v>
      </c>
      <c r="G364" s="34">
        <f t="shared" si="61"/>
        <v>4269.3499999999995</v>
      </c>
      <c r="H364" s="34">
        <f t="shared" si="61"/>
        <v>4269.3499999999995</v>
      </c>
      <c r="I364" s="34">
        <f t="shared" si="61"/>
        <v>4423.8499999999995</v>
      </c>
      <c r="J364" s="34">
        <f t="shared" si="61"/>
        <v>4269.3499999999995</v>
      </c>
      <c r="K364" s="34">
        <f t="shared" si="61"/>
        <v>4269.3499999999995</v>
      </c>
      <c r="L364" s="34">
        <f t="shared" si="61"/>
        <v>4269.3499999999995</v>
      </c>
      <c r="M364" s="34">
        <f t="shared" si="61"/>
        <v>4269.3499999999995</v>
      </c>
      <c r="N364" s="34">
        <f t="shared" si="61"/>
        <v>4269.3499999999995</v>
      </c>
      <c r="O364" s="34">
        <f t="shared" si="61"/>
        <v>4269.3499999999995</v>
      </c>
      <c r="P364" s="34">
        <f t="shared" si="61"/>
        <v>4269.3499999999995</v>
      </c>
      <c r="Q364" s="38">
        <f t="shared" si="42"/>
        <v>51386.69999999999</v>
      </c>
      <c r="R364" s="38"/>
      <c r="S364" s="378"/>
    </row>
    <row r="365" spans="1:19" hidden="1" x14ac:dyDescent="0.35">
      <c r="D365" s="75" t="s">
        <v>121</v>
      </c>
      <c r="E365" s="34">
        <f t="shared" ref="E365:P365" si="62">+E92</f>
        <v>3863.25</v>
      </c>
      <c r="F365" s="34">
        <f t="shared" si="62"/>
        <v>3863.25</v>
      </c>
      <c r="G365" s="34">
        <f t="shared" si="62"/>
        <v>3863.25</v>
      </c>
      <c r="H365" s="34">
        <f t="shared" si="62"/>
        <v>3863.25</v>
      </c>
      <c r="I365" s="34">
        <f t="shared" si="62"/>
        <v>3863.25</v>
      </c>
      <c r="J365" s="34">
        <f t="shared" si="62"/>
        <v>3863.25</v>
      </c>
      <c r="K365" s="34">
        <f t="shared" si="62"/>
        <v>3863.25</v>
      </c>
      <c r="L365" s="34">
        <f t="shared" si="62"/>
        <v>3863.25</v>
      </c>
      <c r="M365" s="34">
        <f t="shared" si="62"/>
        <v>3863.25</v>
      </c>
      <c r="N365" s="34">
        <f t="shared" si="62"/>
        <v>3863.25</v>
      </c>
      <c r="O365" s="34">
        <f t="shared" si="62"/>
        <v>3863.25</v>
      </c>
      <c r="P365" s="34">
        <f t="shared" si="62"/>
        <v>3863.25</v>
      </c>
      <c r="Q365" s="38">
        <f t="shared" si="42"/>
        <v>46359</v>
      </c>
      <c r="R365" s="38"/>
      <c r="S365" s="378"/>
    </row>
    <row r="366" spans="1:19" hidden="1" x14ac:dyDescent="0.35">
      <c r="D366" s="75" t="s">
        <v>122</v>
      </c>
      <c r="E366" s="34">
        <f t="shared" ref="E366:P366" si="63">+E94</f>
        <v>0</v>
      </c>
      <c r="F366" s="34">
        <f t="shared" si="63"/>
        <v>0</v>
      </c>
      <c r="G366" s="34">
        <f t="shared" si="63"/>
        <v>0</v>
      </c>
      <c r="H366" s="34">
        <f t="shared" si="63"/>
        <v>13821.101477975002</v>
      </c>
      <c r="I366" s="34">
        <f t="shared" si="63"/>
        <v>0</v>
      </c>
      <c r="J366" s="34">
        <f t="shared" si="63"/>
        <v>0</v>
      </c>
      <c r="K366" s="34">
        <f t="shared" si="63"/>
        <v>0</v>
      </c>
      <c r="L366" s="34">
        <f t="shared" si="63"/>
        <v>0</v>
      </c>
      <c r="M366" s="34">
        <f t="shared" si="63"/>
        <v>0</v>
      </c>
      <c r="N366" s="34">
        <f t="shared" si="63"/>
        <v>0</v>
      </c>
      <c r="O366" s="34">
        <f t="shared" si="63"/>
        <v>0</v>
      </c>
      <c r="P366" s="34">
        <f t="shared" si="63"/>
        <v>0</v>
      </c>
      <c r="Q366" s="38">
        <f t="shared" si="42"/>
        <v>13821.101477975002</v>
      </c>
      <c r="R366" s="38"/>
      <c r="S366" s="378"/>
    </row>
    <row r="367" spans="1:19" hidden="1" x14ac:dyDescent="0.35">
      <c r="D367" s="75" t="s">
        <v>123</v>
      </c>
      <c r="E367" s="34">
        <f t="shared" ref="E367:P367" si="64">+E96</f>
        <v>3530.6666666666661</v>
      </c>
      <c r="F367" s="34">
        <f t="shared" si="64"/>
        <v>3530.6666666666661</v>
      </c>
      <c r="G367" s="34">
        <f t="shared" si="64"/>
        <v>3530.6666666666661</v>
      </c>
      <c r="H367" s="34">
        <f t="shared" si="64"/>
        <v>3530.6666666666661</v>
      </c>
      <c r="I367" s="34">
        <f t="shared" si="64"/>
        <v>3530.6666666666661</v>
      </c>
      <c r="J367" s="34">
        <f t="shared" si="64"/>
        <v>3530.6666666666661</v>
      </c>
      <c r="K367" s="34">
        <f t="shared" si="64"/>
        <v>3530.6666666666661</v>
      </c>
      <c r="L367" s="34">
        <f t="shared" si="64"/>
        <v>3530.6666666666661</v>
      </c>
      <c r="M367" s="34">
        <f t="shared" si="64"/>
        <v>3530.6666666666661</v>
      </c>
      <c r="N367" s="34">
        <f t="shared" si="64"/>
        <v>3530.6666666666661</v>
      </c>
      <c r="O367" s="34">
        <f t="shared" si="64"/>
        <v>3530.6666666666661</v>
      </c>
      <c r="P367" s="34">
        <f t="shared" si="64"/>
        <v>3530.6666666666661</v>
      </c>
      <c r="Q367" s="38">
        <f t="shared" si="42"/>
        <v>42367.999999999978</v>
      </c>
      <c r="R367" s="38"/>
      <c r="S367" s="378"/>
    </row>
    <row r="368" spans="1:19" hidden="1" x14ac:dyDescent="0.35">
      <c r="D368" s="75" t="s">
        <v>130</v>
      </c>
      <c r="E368" s="34">
        <f t="shared" ref="E368:P368" si="65">+E98</f>
        <v>159.64999999999998</v>
      </c>
      <c r="F368" s="34">
        <f t="shared" si="65"/>
        <v>159.64999999999998</v>
      </c>
      <c r="G368" s="34">
        <f t="shared" si="65"/>
        <v>159.64999999999998</v>
      </c>
      <c r="H368" s="34">
        <f t="shared" si="65"/>
        <v>159.64999999999998</v>
      </c>
      <c r="I368" s="34">
        <f t="shared" si="65"/>
        <v>159.64999999999998</v>
      </c>
      <c r="J368" s="34">
        <f t="shared" si="65"/>
        <v>159.64999999999998</v>
      </c>
      <c r="K368" s="34">
        <f t="shared" si="65"/>
        <v>159.64999999999998</v>
      </c>
      <c r="L368" s="34">
        <f t="shared" si="65"/>
        <v>159.64999999999998</v>
      </c>
      <c r="M368" s="34">
        <f t="shared" si="65"/>
        <v>159.64999999999998</v>
      </c>
      <c r="N368" s="34">
        <f t="shared" si="65"/>
        <v>159.64999999999998</v>
      </c>
      <c r="O368" s="34">
        <f t="shared" si="65"/>
        <v>159.64999999999998</v>
      </c>
      <c r="P368" s="34">
        <f t="shared" si="65"/>
        <v>159.64999999999998</v>
      </c>
      <c r="Q368" s="38">
        <f t="shared" si="42"/>
        <v>1915.8000000000002</v>
      </c>
      <c r="R368" s="38"/>
      <c r="S368" s="378"/>
    </row>
    <row r="369" spans="1:19" hidden="1" x14ac:dyDescent="0.35">
      <c r="D369" s="75" t="s">
        <v>131</v>
      </c>
      <c r="E369" s="34">
        <f t="shared" ref="E369:P369" si="66">+E101</f>
        <v>154.5</v>
      </c>
      <c r="F369" s="34">
        <f t="shared" si="66"/>
        <v>154.5</v>
      </c>
      <c r="G369" s="34">
        <f t="shared" si="66"/>
        <v>154.5</v>
      </c>
      <c r="H369" s="34">
        <f t="shared" si="66"/>
        <v>154.5</v>
      </c>
      <c r="I369" s="34">
        <f t="shared" si="66"/>
        <v>154.5</v>
      </c>
      <c r="J369" s="34">
        <f t="shared" si="66"/>
        <v>154.5</v>
      </c>
      <c r="K369" s="34">
        <f t="shared" si="66"/>
        <v>154.5</v>
      </c>
      <c r="L369" s="34">
        <f t="shared" si="66"/>
        <v>154.5</v>
      </c>
      <c r="M369" s="34">
        <f t="shared" si="66"/>
        <v>154.5</v>
      </c>
      <c r="N369" s="34">
        <f t="shared" si="66"/>
        <v>154.5</v>
      </c>
      <c r="O369" s="34">
        <f t="shared" si="66"/>
        <v>154.5</v>
      </c>
      <c r="P369" s="34">
        <f t="shared" si="66"/>
        <v>154.5</v>
      </c>
      <c r="Q369" s="38">
        <f t="shared" si="42"/>
        <v>1854</v>
      </c>
      <c r="R369" s="38"/>
      <c r="S369" s="378"/>
    </row>
    <row r="370" spans="1:19" hidden="1" x14ac:dyDescent="0.35">
      <c r="D370" s="75" t="s">
        <v>124</v>
      </c>
      <c r="E370" s="34">
        <f t="shared" ref="E370:P370" si="67">+E102</f>
        <v>7450</v>
      </c>
      <c r="F370" s="34">
        <f t="shared" si="67"/>
        <v>7450</v>
      </c>
      <c r="G370" s="34">
        <f t="shared" si="67"/>
        <v>7450</v>
      </c>
      <c r="H370" s="34">
        <f t="shared" si="67"/>
        <v>7450</v>
      </c>
      <c r="I370" s="34">
        <f t="shared" si="67"/>
        <v>7450</v>
      </c>
      <c r="J370" s="34">
        <f t="shared" si="67"/>
        <v>7450</v>
      </c>
      <c r="K370" s="34">
        <f t="shared" si="67"/>
        <v>7450</v>
      </c>
      <c r="L370" s="34">
        <f t="shared" si="67"/>
        <v>7450</v>
      </c>
      <c r="M370" s="34">
        <f t="shared" si="67"/>
        <v>7450</v>
      </c>
      <c r="N370" s="34">
        <f t="shared" si="67"/>
        <v>7450</v>
      </c>
      <c r="O370" s="34">
        <f t="shared" si="67"/>
        <v>7450</v>
      </c>
      <c r="P370" s="34">
        <f t="shared" si="67"/>
        <v>7450</v>
      </c>
      <c r="Q370" s="38">
        <f t="shared" si="42"/>
        <v>89400</v>
      </c>
      <c r="R370" s="38"/>
      <c r="S370" s="378"/>
    </row>
    <row r="371" spans="1:19" hidden="1" x14ac:dyDescent="0.35">
      <c r="D371" s="75" t="s">
        <v>125</v>
      </c>
      <c r="E371" s="34">
        <f t="shared" ref="E371:P371" si="68">+E113</f>
        <v>0</v>
      </c>
      <c r="F371" s="34">
        <f t="shared" si="68"/>
        <v>0</v>
      </c>
      <c r="G371" s="34">
        <f t="shared" si="68"/>
        <v>0</v>
      </c>
      <c r="H371" s="34">
        <f t="shared" si="68"/>
        <v>0</v>
      </c>
      <c r="I371" s="34">
        <f t="shared" si="68"/>
        <v>0</v>
      </c>
      <c r="J371" s="34">
        <f t="shared" si="68"/>
        <v>0</v>
      </c>
      <c r="K371" s="34">
        <f t="shared" si="68"/>
        <v>0</v>
      </c>
      <c r="L371" s="34">
        <f t="shared" si="68"/>
        <v>0</v>
      </c>
      <c r="M371" s="34">
        <f t="shared" si="68"/>
        <v>0</v>
      </c>
      <c r="N371" s="34">
        <f t="shared" si="68"/>
        <v>0</v>
      </c>
      <c r="O371" s="34">
        <f t="shared" si="68"/>
        <v>0</v>
      </c>
      <c r="P371" s="34">
        <f t="shared" si="68"/>
        <v>0</v>
      </c>
      <c r="Q371" s="38">
        <f t="shared" si="42"/>
        <v>0</v>
      </c>
      <c r="R371" s="38"/>
      <c r="S371" s="378"/>
    </row>
    <row r="372" spans="1:19" hidden="1" x14ac:dyDescent="0.35">
      <c r="D372" s="75" t="s">
        <v>126</v>
      </c>
      <c r="E372" s="34">
        <f t="shared" ref="E372:P372" si="69">+E114</f>
        <v>0</v>
      </c>
      <c r="F372" s="34">
        <f t="shared" si="69"/>
        <v>0</v>
      </c>
      <c r="G372" s="34">
        <f t="shared" si="69"/>
        <v>0</v>
      </c>
      <c r="H372" s="34">
        <f t="shared" si="69"/>
        <v>0</v>
      </c>
      <c r="I372" s="34">
        <f t="shared" si="69"/>
        <v>0</v>
      </c>
      <c r="J372" s="34">
        <f t="shared" si="69"/>
        <v>0</v>
      </c>
      <c r="K372" s="34">
        <f t="shared" si="69"/>
        <v>0</v>
      </c>
      <c r="L372" s="34">
        <f t="shared" si="69"/>
        <v>0</v>
      </c>
      <c r="M372" s="34">
        <f t="shared" si="69"/>
        <v>0</v>
      </c>
      <c r="N372" s="34">
        <f t="shared" si="69"/>
        <v>0</v>
      </c>
      <c r="O372" s="34">
        <f t="shared" si="69"/>
        <v>0</v>
      </c>
      <c r="P372" s="34">
        <f t="shared" si="69"/>
        <v>0</v>
      </c>
      <c r="Q372" s="38">
        <f t="shared" si="42"/>
        <v>0</v>
      </c>
      <c r="R372" s="38"/>
      <c r="S372" s="378"/>
    </row>
    <row r="373" spans="1:19" hidden="1" x14ac:dyDescent="0.35">
      <c r="D373" s="75" t="s">
        <v>127</v>
      </c>
      <c r="E373" s="34">
        <f t="shared" ref="E373:P373" si="70">+E115</f>
        <v>0</v>
      </c>
      <c r="F373" s="34">
        <f t="shared" si="70"/>
        <v>0</v>
      </c>
      <c r="G373" s="34">
        <f t="shared" si="70"/>
        <v>0</v>
      </c>
      <c r="H373" s="34">
        <f t="shared" si="70"/>
        <v>0</v>
      </c>
      <c r="I373" s="34">
        <f t="shared" si="70"/>
        <v>0</v>
      </c>
      <c r="J373" s="34">
        <f t="shared" si="70"/>
        <v>0</v>
      </c>
      <c r="K373" s="34">
        <f t="shared" si="70"/>
        <v>0</v>
      </c>
      <c r="L373" s="34">
        <f t="shared" si="70"/>
        <v>0</v>
      </c>
      <c r="M373" s="34">
        <f t="shared" si="70"/>
        <v>0</v>
      </c>
      <c r="N373" s="34">
        <f t="shared" si="70"/>
        <v>0</v>
      </c>
      <c r="O373" s="34">
        <f t="shared" si="70"/>
        <v>0</v>
      </c>
      <c r="P373" s="34">
        <f t="shared" si="70"/>
        <v>0</v>
      </c>
      <c r="Q373" s="38">
        <f t="shared" si="42"/>
        <v>0</v>
      </c>
      <c r="R373" s="38"/>
      <c r="S373" s="378"/>
    </row>
    <row r="374" spans="1:19" hidden="1" x14ac:dyDescent="0.35">
      <c r="D374" s="75" t="s">
        <v>128</v>
      </c>
      <c r="E374" s="34" t="e">
        <f>+E144+#REF!</f>
        <v>#REF!</v>
      </c>
      <c r="F374" s="34" t="e">
        <f>+F144+#REF!</f>
        <v>#REF!</v>
      </c>
      <c r="G374" s="34" t="e">
        <f>+G144+#REF!</f>
        <v>#REF!</v>
      </c>
      <c r="H374" s="34" t="e">
        <f>+H144+#REF!</f>
        <v>#REF!</v>
      </c>
      <c r="I374" s="34" t="e">
        <f>+I144+#REF!</f>
        <v>#REF!</v>
      </c>
      <c r="J374" s="34" t="e">
        <f>+J144+#REF!</f>
        <v>#REF!</v>
      </c>
      <c r="K374" s="34" t="e">
        <f>+K144+#REF!</f>
        <v>#REF!</v>
      </c>
      <c r="L374" s="34" t="e">
        <f>+L144+#REF!</f>
        <v>#REF!</v>
      </c>
      <c r="M374" s="34" t="e">
        <f>+M144+#REF!</f>
        <v>#REF!</v>
      </c>
      <c r="N374" s="34" t="e">
        <f>+N144+#REF!</f>
        <v>#REF!</v>
      </c>
      <c r="O374" s="34" t="e">
        <f>+O144+#REF!</f>
        <v>#REF!</v>
      </c>
      <c r="P374" s="34" t="e">
        <f>+P144+#REF!</f>
        <v>#REF!</v>
      </c>
      <c r="Q374" s="38" t="e">
        <f t="shared" si="42"/>
        <v>#REF!</v>
      </c>
      <c r="R374" s="38"/>
      <c r="S374" s="378"/>
    </row>
    <row r="375" spans="1:19" hidden="1" x14ac:dyDescent="0.35">
      <c r="D375" s="75" t="s">
        <v>129</v>
      </c>
      <c r="E375" s="34">
        <f t="shared" ref="E375:P375" si="71">+E147</f>
        <v>83841.710000000006</v>
      </c>
      <c r="F375" s="34">
        <f t="shared" si="71"/>
        <v>1309.9499999999998</v>
      </c>
      <c r="G375" s="34">
        <f t="shared" si="71"/>
        <v>0</v>
      </c>
      <c r="H375" s="34">
        <f t="shared" si="71"/>
        <v>43768.43</v>
      </c>
      <c r="I375" s="34">
        <f t="shared" si="71"/>
        <v>0</v>
      </c>
      <c r="J375" s="34">
        <f t="shared" si="71"/>
        <v>0</v>
      </c>
      <c r="K375" s="34">
        <f t="shared" si="71"/>
        <v>23920.879999999997</v>
      </c>
      <c r="L375" s="34">
        <f t="shared" si="71"/>
        <v>3294</v>
      </c>
      <c r="M375" s="34">
        <f t="shared" si="71"/>
        <v>0</v>
      </c>
      <c r="N375" s="34">
        <f t="shared" si="71"/>
        <v>22236</v>
      </c>
      <c r="O375" s="34">
        <f t="shared" si="71"/>
        <v>0</v>
      </c>
      <c r="P375" s="34">
        <f t="shared" si="71"/>
        <v>2622</v>
      </c>
      <c r="Q375" s="38">
        <f t="shared" si="42"/>
        <v>180992.97</v>
      </c>
      <c r="R375" s="38"/>
      <c r="S375" s="378"/>
    </row>
    <row r="376" spans="1:19" hidden="1" x14ac:dyDescent="0.35">
      <c r="D376" s="75" t="s">
        <v>132</v>
      </c>
      <c r="E376" s="34" t="e">
        <f>+#REF!</f>
        <v>#REF!</v>
      </c>
      <c r="F376" s="34" t="e">
        <f>+#REF!</f>
        <v>#REF!</v>
      </c>
      <c r="G376" s="34" t="e">
        <f>+#REF!</f>
        <v>#REF!</v>
      </c>
      <c r="H376" s="34" t="e">
        <f>+#REF!</f>
        <v>#REF!</v>
      </c>
      <c r="I376" s="34" t="e">
        <f>+#REF!</f>
        <v>#REF!</v>
      </c>
      <c r="J376" s="34" t="e">
        <f>+#REF!</f>
        <v>#REF!</v>
      </c>
      <c r="K376" s="34" t="e">
        <f>+#REF!</f>
        <v>#REF!</v>
      </c>
      <c r="L376" s="34" t="e">
        <f>+#REF!</f>
        <v>#REF!</v>
      </c>
      <c r="M376" s="34" t="e">
        <f>+#REF!</f>
        <v>#REF!</v>
      </c>
      <c r="N376" s="34" t="e">
        <f>+#REF!</f>
        <v>#REF!</v>
      </c>
      <c r="O376" s="34" t="e">
        <f>+#REF!</f>
        <v>#REF!</v>
      </c>
      <c r="P376" s="34" t="e">
        <f>+#REF!</f>
        <v>#REF!</v>
      </c>
      <c r="Q376" s="38" t="e">
        <f t="shared" si="42"/>
        <v>#REF!</v>
      </c>
      <c r="R376" s="38"/>
      <c r="S376" s="378"/>
    </row>
    <row r="377" spans="1:19" hidden="1" x14ac:dyDescent="0.35">
      <c r="D377" s="75" t="s">
        <v>149</v>
      </c>
      <c r="E377" s="34" t="e">
        <f>+#REF!</f>
        <v>#REF!</v>
      </c>
      <c r="F377" s="34" t="e">
        <f>+#REF!</f>
        <v>#REF!</v>
      </c>
      <c r="G377" s="34" t="e">
        <f>+#REF!</f>
        <v>#REF!</v>
      </c>
      <c r="H377" s="34" t="e">
        <f>+#REF!</f>
        <v>#REF!</v>
      </c>
      <c r="I377" s="34" t="e">
        <f>+#REF!</f>
        <v>#REF!</v>
      </c>
      <c r="J377" s="34" t="e">
        <f>+#REF!</f>
        <v>#REF!</v>
      </c>
      <c r="K377" s="34" t="e">
        <f>+#REF!</f>
        <v>#REF!</v>
      </c>
      <c r="L377" s="34" t="e">
        <f>+#REF!</f>
        <v>#REF!</v>
      </c>
      <c r="M377" s="34" t="e">
        <f>+#REF!</f>
        <v>#REF!</v>
      </c>
      <c r="N377" s="34" t="e">
        <f>+#REF!</f>
        <v>#REF!</v>
      </c>
      <c r="O377" s="34" t="e">
        <f>+#REF!</f>
        <v>#REF!</v>
      </c>
      <c r="P377" s="34" t="e">
        <f>+#REF!</f>
        <v>#REF!</v>
      </c>
      <c r="Q377" s="38" t="e">
        <f t="shared" si="42"/>
        <v>#REF!</v>
      </c>
      <c r="R377" s="38"/>
      <c r="S377" s="378"/>
    </row>
    <row r="378" spans="1:19" hidden="1" x14ac:dyDescent="0.35">
      <c r="D378" s="75"/>
      <c r="Q378" s="38"/>
      <c r="R378" s="38"/>
      <c r="S378" s="378"/>
    </row>
    <row r="379" spans="1:19" hidden="1" x14ac:dyDescent="0.35">
      <c r="E379" s="77" t="e">
        <f>SUM(E344:E378)</f>
        <v>#REF!</v>
      </c>
      <c r="F379" s="77" t="e">
        <f t="shared" ref="F379:Q379" si="72">SUM(F344:F378)</f>
        <v>#REF!</v>
      </c>
      <c r="G379" s="77" t="e">
        <f t="shared" si="72"/>
        <v>#REF!</v>
      </c>
      <c r="H379" s="77" t="e">
        <f t="shared" si="72"/>
        <v>#REF!</v>
      </c>
      <c r="I379" s="77" t="e">
        <f t="shared" si="72"/>
        <v>#REF!</v>
      </c>
      <c r="J379" s="77" t="e">
        <f t="shared" si="72"/>
        <v>#REF!</v>
      </c>
      <c r="K379" s="77" t="e">
        <f t="shared" si="72"/>
        <v>#REF!</v>
      </c>
      <c r="L379" s="77" t="e">
        <f t="shared" si="72"/>
        <v>#REF!</v>
      </c>
      <c r="M379" s="77" t="e">
        <f t="shared" si="72"/>
        <v>#REF!</v>
      </c>
      <c r="N379" s="77" t="e">
        <f t="shared" si="72"/>
        <v>#REF!</v>
      </c>
      <c r="O379" s="77" t="e">
        <f t="shared" si="72"/>
        <v>#REF!</v>
      </c>
      <c r="P379" s="77" t="e">
        <f t="shared" si="72"/>
        <v>#REF!</v>
      </c>
      <c r="Q379" s="77" t="e">
        <f t="shared" si="72"/>
        <v>#REF!</v>
      </c>
    </row>
    <row r="380" spans="1:19" hidden="1" x14ac:dyDescent="0.35">
      <c r="Q380" s="78" t="e">
        <f>+#REF!+Q379</f>
        <v>#REF!</v>
      </c>
      <c r="R380" s="78"/>
      <c r="S380" s="381"/>
    </row>
    <row r="381" spans="1:19" hidden="1" x14ac:dyDescent="0.35"/>
    <row r="382" spans="1:19" hidden="1" x14ac:dyDescent="0.35"/>
    <row r="383" spans="1:19" hidden="1" x14ac:dyDescent="0.3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78"/>
    </row>
    <row r="384" spans="1:19" ht="16.5" hidden="1" thickTop="1" x14ac:dyDescent="0.35">
      <c r="A384" s="72"/>
      <c r="B384" s="72"/>
      <c r="C384" s="72"/>
      <c r="D384" s="72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38"/>
      <c r="S384" s="378"/>
    </row>
    <row r="385" spans="4:16" hidden="1" x14ac:dyDescent="0.35"/>
    <row r="386" spans="4:16" hidden="1" x14ac:dyDescent="0.35">
      <c r="E386" s="39" t="s">
        <v>0</v>
      </c>
      <c r="F386" s="39" t="s">
        <v>1</v>
      </c>
      <c r="G386" s="39" t="s">
        <v>2</v>
      </c>
      <c r="H386" s="39" t="s">
        <v>3</v>
      </c>
      <c r="I386" s="39" t="s">
        <v>4</v>
      </c>
      <c r="J386" s="39" t="s">
        <v>5</v>
      </c>
      <c r="K386" s="39" t="s">
        <v>6</v>
      </c>
      <c r="L386" s="39" t="s">
        <v>7</v>
      </c>
      <c r="M386" s="39" t="s">
        <v>8</v>
      </c>
      <c r="N386" s="39" t="s">
        <v>9</v>
      </c>
      <c r="O386" s="39" t="s">
        <v>10</v>
      </c>
      <c r="P386" s="39" t="s">
        <v>11</v>
      </c>
    </row>
    <row r="387" spans="4:16" hidden="1" x14ac:dyDescent="0.35"/>
    <row r="388" spans="4:16" hidden="1" x14ac:dyDescent="0.35">
      <c r="D388" s="34" t="s">
        <v>152</v>
      </c>
      <c r="E388" s="34" t="e">
        <f>+'4050'!E253+'4060'!E286+'4070'!E261+'4080'!E288+'40A0'!#REF!+'40B0'!#REF!+'40C0'!#REF!</f>
        <v>#REF!</v>
      </c>
      <c r="F388" s="34" t="e">
        <f>+'4050'!F253+'4060'!F286+'4070'!F261+'4080'!F288+'40A0'!#REF!+'40B0'!#REF!+'40C0'!#REF!</f>
        <v>#REF!</v>
      </c>
      <c r="G388" s="34" t="e">
        <f>+'4050'!G253+'4060'!G286+'4070'!G261+'4080'!G288+'40A0'!#REF!+'40B0'!#REF!+'40C0'!#REF!</f>
        <v>#REF!</v>
      </c>
      <c r="H388" s="34" t="e">
        <f>+'4050'!H253+'4060'!H286+'4070'!H261+'4080'!H288+'40A0'!#REF!+'40B0'!#REF!+'40C0'!#REF!</f>
        <v>#REF!</v>
      </c>
      <c r="I388" s="34" t="e">
        <f>+'4050'!I253+'4060'!I286+'4070'!I261+'4080'!I288+'40A0'!#REF!+'40B0'!#REF!+'40C0'!#REF!</f>
        <v>#REF!</v>
      </c>
      <c r="J388" s="34" t="e">
        <f>+'4050'!J253+'4060'!J286+'4070'!J261+'4080'!J288+'40A0'!#REF!+'40B0'!#REF!+'40C0'!#REF!</f>
        <v>#REF!</v>
      </c>
      <c r="K388" s="34" t="e">
        <f>+'4050'!K253+'4060'!K286+'4070'!K261+'4080'!K288+'40A0'!#REF!+'40B0'!#REF!+'40C0'!#REF!</f>
        <v>#REF!</v>
      </c>
      <c r="L388" s="34" t="e">
        <f>+'4050'!L253+'4060'!L286+'4070'!L261+'4080'!L288+'40A0'!#REF!+'40B0'!#REF!+'40C0'!#REF!</f>
        <v>#REF!</v>
      </c>
      <c r="M388" s="34" t="e">
        <f>+'4050'!M253+'4060'!M286+'4070'!M261+'4080'!M288+'40A0'!#REF!+'40B0'!#REF!+'40C0'!#REF!</f>
        <v>#REF!</v>
      </c>
      <c r="N388" s="34" t="e">
        <f>+'4050'!N253+'4060'!N286+'4070'!N261+'4080'!N288+'40A0'!#REF!+'40B0'!#REF!+'40C0'!#REF!</f>
        <v>#REF!</v>
      </c>
      <c r="O388" s="34" t="e">
        <f>+'4050'!O253+'4060'!O286+'4070'!O261+'4080'!O288+'40A0'!#REF!+'40B0'!#REF!+'40C0'!#REF!</f>
        <v>#REF!</v>
      </c>
      <c r="P388" s="34" t="e">
        <f>+'4050'!P253+'4060'!P286+'4070'!P261+'4080'!P288+'40A0'!#REF!+'40B0'!#REF!+'40C0'!#REF!</f>
        <v>#REF!</v>
      </c>
    </row>
    <row r="389" spans="4:16" hidden="1" x14ac:dyDescent="0.35"/>
    <row r="390" spans="4:16" hidden="1" x14ac:dyDescent="0.35">
      <c r="D390" s="34" t="s">
        <v>151</v>
      </c>
      <c r="E390" s="34" t="e">
        <f>+'4050'!E255+'4060'!E288+'4070'!E263+'4080'!E290+'40A0'!#REF!+'40B0'!#REF!+'40C0'!#REF!</f>
        <v>#REF!</v>
      </c>
      <c r="F390" s="34" t="e">
        <f>+'4050'!F255+'4060'!F288+'4070'!F263+'4080'!F290+'40A0'!#REF!+'40B0'!#REF!+'40C0'!#REF!</f>
        <v>#REF!</v>
      </c>
      <c r="G390" s="34" t="e">
        <f>+'4050'!G255+'4060'!G288+'4070'!G263+'4080'!G290+'40A0'!#REF!+'40B0'!#REF!+'40C0'!#REF!</f>
        <v>#REF!</v>
      </c>
      <c r="H390" s="34" t="e">
        <f>+'4050'!H255+'4060'!H288+'4070'!H263+'4080'!H290+'40A0'!#REF!+'40B0'!#REF!+'40C0'!#REF!</f>
        <v>#REF!</v>
      </c>
      <c r="I390" s="34" t="e">
        <f>+'4050'!I255+'4060'!I288+'4070'!I263+'4080'!I290+'40A0'!#REF!+'40B0'!#REF!+'40C0'!#REF!</f>
        <v>#REF!</v>
      </c>
      <c r="J390" s="34" t="e">
        <f>+'4050'!J255+'4060'!J288+'4070'!J263+'4080'!J290+'40A0'!#REF!+'40B0'!#REF!+'40C0'!#REF!</f>
        <v>#REF!</v>
      </c>
      <c r="K390" s="34" t="e">
        <f>+'4050'!K255+'4060'!K288+'4070'!K263+'4080'!K290+'40A0'!#REF!+'40B0'!#REF!+'40C0'!#REF!</f>
        <v>#REF!</v>
      </c>
      <c r="L390" s="34" t="e">
        <f>+'4050'!L255+'4060'!L288+'4070'!L263+'4080'!L290+'40A0'!#REF!+'40B0'!#REF!+'40C0'!#REF!</f>
        <v>#REF!</v>
      </c>
      <c r="M390" s="34" t="e">
        <f>+'4050'!M255+'4060'!M288+'4070'!M263+'4080'!M290+'40A0'!#REF!+'40B0'!#REF!+'40C0'!#REF!</f>
        <v>#REF!</v>
      </c>
      <c r="N390" s="34" t="e">
        <f>+'4050'!N255+'4060'!N288+'4070'!N263+'4080'!N290+'40A0'!#REF!+'40B0'!#REF!+'40C0'!#REF!</f>
        <v>#REF!</v>
      </c>
      <c r="O390" s="34" t="e">
        <f>+'4050'!O255+'4060'!O288+'4070'!O263+'4080'!O290+'40A0'!#REF!+'40B0'!#REF!+'40C0'!#REF!</f>
        <v>#REF!</v>
      </c>
      <c r="P390" s="34" t="e">
        <f>+'4050'!P255+'4060'!P288+'4070'!P263+'4080'!P290+'40A0'!#REF!+'40B0'!#REF!+'40C0'!#REF!</f>
        <v>#REF!</v>
      </c>
    </row>
    <row r="391" spans="4:16" hidden="1" x14ac:dyDescent="0.35"/>
    <row r="392" spans="4:16" hidden="1" x14ac:dyDescent="0.35">
      <c r="D392" s="34" t="s">
        <v>153</v>
      </c>
      <c r="E392" s="56" t="e">
        <f>E390/E388</f>
        <v>#REF!</v>
      </c>
      <c r="F392" s="56" t="e">
        <f t="shared" ref="F392:P392" si="73">F390/F388</f>
        <v>#REF!</v>
      </c>
      <c r="G392" s="56" t="e">
        <f t="shared" si="73"/>
        <v>#REF!</v>
      </c>
      <c r="H392" s="56" t="e">
        <f t="shared" si="73"/>
        <v>#REF!</v>
      </c>
      <c r="I392" s="56" t="e">
        <f t="shared" si="73"/>
        <v>#REF!</v>
      </c>
      <c r="J392" s="56" t="e">
        <f t="shared" si="73"/>
        <v>#REF!</v>
      </c>
      <c r="K392" s="56" t="e">
        <f t="shared" si="73"/>
        <v>#REF!</v>
      </c>
      <c r="L392" s="56" t="e">
        <f t="shared" si="73"/>
        <v>#REF!</v>
      </c>
      <c r="M392" s="56" t="e">
        <f t="shared" si="73"/>
        <v>#REF!</v>
      </c>
      <c r="N392" s="56" t="e">
        <f t="shared" si="73"/>
        <v>#REF!</v>
      </c>
      <c r="O392" s="56" t="e">
        <f t="shared" si="73"/>
        <v>#REF!</v>
      </c>
      <c r="P392" s="56" t="e">
        <f t="shared" si="73"/>
        <v>#REF!</v>
      </c>
    </row>
  </sheetData>
  <sheetProtection formatColumns="0" selectLockedCells="1"/>
  <mergeCells count="1">
    <mergeCell ref="B4:C4"/>
  </mergeCells>
  <printOptions horizontalCentered="1" verticalCentered="1"/>
  <pageMargins left="0.25" right="0.25" top="0.75" bottom="0.75" header="0.3" footer="0.3"/>
  <pageSetup scale="44" fitToHeight="2" orientation="landscape" r:id="rId1"/>
  <headerFooter>
    <oddHeader>&amp;R&amp;D</oddHeader>
    <oddFooter>Page &amp;P of &amp;N</oddFooter>
  </headerFooter>
  <rowBreaks count="1" manualBreakCount="1">
    <brk id="71" min="1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>
    <tabColor theme="0"/>
  </sheetPr>
  <dimension ref="A1:Q148"/>
  <sheetViews>
    <sheetView workbookViewId="0">
      <selection activeCell="A11" sqref="A11"/>
    </sheetView>
  </sheetViews>
  <sheetFormatPr defaultColWidth="10.81640625" defaultRowHeight="16" x14ac:dyDescent="0.35"/>
  <cols>
    <col min="1" max="1" width="15.54296875" style="34" bestFit="1" customWidth="1"/>
    <col min="2" max="2" width="6.54296875" style="34" customWidth="1"/>
    <col min="3" max="3" width="2.81640625" style="34" customWidth="1"/>
    <col min="4" max="4" width="37.81640625" style="34" customWidth="1"/>
    <col min="5" max="5" width="14" style="34" bestFit="1" customWidth="1"/>
    <col min="6" max="8" width="12.81640625" style="34" bestFit="1" customWidth="1"/>
    <col min="9" max="9" width="13.81640625" style="34" customWidth="1"/>
    <col min="10" max="10" width="13.1796875" style="34" customWidth="1"/>
    <col min="11" max="16" width="12.81640625" style="34" bestFit="1" customWidth="1"/>
    <col min="17" max="17" width="15.1796875" style="34" bestFit="1" customWidth="1"/>
    <col min="18" max="16384" width="10.81640625" style="34"/>
  </cols>
  <sheetData>
    <row r="1" spans="1:17" s="51" customFormat="1" ht="29" x14ac:dyDescent="0.25">
      <c r="B1" s="50" t="s">
        <v>92</v>
      </c>
      <c r="J1" s="52" t="str">
        <f>+'NI LLC-Consolidated'!J1</f>
        <v>Operating Budget</v>
      </c>
      <c r="Q1" s="53">
        <f>'NI LLC-Consolidated'!Q1</f>
        <v>46023</v>
      </c>
    </row>
    <row r="2" spans="1:17" ht="18" x14ac:dyDescent="0.35">
      <c r="J2" s="86" t="str">
        <f>'NI LLC-Consolidated'!J2</f>
        <v>Neshaminy Interplex LLC</v>
      </c>
    </row>
    <row r="3" spans="1:17" ht="18" x14ac:dyDescent="0.35">
      <c r="Q3" s="467">
        <f>Q1</f>
        <v>46023</v>
      </c>
    </row>
    <row r="4" spans="1:17" s="39" customFormat="1" ht="18" x14ac:dyDescent="0.35"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167" t="s">
        <v>12</v>
      </c>
    </row>
    <row r="5" spans="1:17" x14ac:dyDescent="0.35">
      <c r="Q5" s="168"/>
    </row>
    <row r="6" spans="1:17" s="56" customFormat="1" x14ac:dyDescent="0.35">
      <c r="B6" s="57"/>
      <c r="D6" s="58" t="s">
        <v>13</v>
      </c>
      <c r="Q6" s="169"/>
    </row>
    <row r="7" spans="1:17" ht="18" x14ac:dyDescent="0.35">
      <c r="B7" s="35" t="s">
        <v>14</v>
      </c>
      <c r="Q7" s="168"/>
    </row>
    <row r="8" spans="1:17" x14ac:dyDescent="0.35">
      <c r="A8" s="110"/>
      <c r="Q8" s="168"/>
    </row>
    <row r="9" spans="1:17" x14ac:dyDescent="0.35">
      <c r="A9" s="110" t="s">
        <v>136</v>
      </c>
      <c r="C9" s="34" t="s">
        <v>15</v>
      </c>
      <c r="Q9" s="168">
        <f>SUM(E9:P9)</f>
        <v>0</v>
      </c>
    </row>
    <row r="10" spans="1:17" hidden="1" x14ac:dyDescent="0.35">
      <c r="A10" s="110" t="s">
        <v>101</v>
      </c>
      <c r="C10" s="34" t="s">
        <v>16</v>
      </c>
      <c r="Q10" s="168">
        <f>SUM(E10:P10)</f>
        <v>0</v>
      </c>
    </row>
    <row r="11" spans="1:17" x14ac:dyDescent="0.35">
      <c r="A11" s="110" t="s">
        <v>137</v>
      </c>
      <c r="C11" s="34" t="s">
        <v>17</v>
      </c>
      <c r="Q11" s="168">
        <f>SUM(E11:P11)</f>
        <v>0</v>
      </c>
    </row>
    <row r="12" spans="1:17" x14ac:dyDescent="0.35">
      <c r="A12" s="110" t="s">
        <v>138</v>
      </c>
      <c r="C12" s="34" t="s">
        <v>18</v>
      </c>
      <c r="Q12" s="168">
        <f>SUM(E12:P12)</f>
        <v>0</v>
      </c>
    </row>
    <row r="13" spans="1:17" x14ac:dyDescent="0.35">
      <c r="A13" s="110"/>
      <c r="C13" s="34" t="s">
        <v>19</v>
      </c>
      <c r="D13" s="44"/>
      <c r="E13" s="81">
        <f t="shared" ref="E13:Q13" si="0">SUM(E9:E12)</f>
        <v>0</v>
      </c>
      <c r="F13" s="81">
        <f t="shared" si="0"/>
        <v>0</v>
      </c>
      <c r="G13" s="81">
        <f t="shared" si="0"/>
        <v>0</v>
      </c>
      <c r="H13" s="81">
        <f t="shared" si="0"/>
        <v>0</v>
      </c>
      <c r="I13" s="81">
        <f t="shared" si="0"/>
        <v>0</v>
      </c>
      <c r="J13" s="81">
        <f t="shared" si="0"/>
        <v>0</v>
      </c>
      <c r="K13" s="81">
        <f t="shared" si="0"/>
        <v>0</v>
      </c>
      <c r="L13" s="81">
        <f t="shared" si="0"/>
        <v>0</v>
      </c>
      <c r="M13" s="81">
        <f t="shared" si="0"/>
        <v>0</v>
      </c>
      <c r="N13" s="81">
        <f t="shared" si="0"/>
        <v>0</v>
      </c>
      <c r="O13" s="81">
        <f t="shared" si="0"/>
        <v>0</v>
      </c>
      <c r="P13" s="81">
        <f t="shared" si="0"/>
        <v>0</v>
      </c>
      <c r="Q13" s="170">
        <f t="shared" si="0"/>
        <v>0</v>
      </c>
    </row>
    <row r="14" spans="1:17" ht="18" x14ac:dyDescent="0.35">
      <c r="A14" s="110"/>
      <c r="Q14" s="171"/>
    </row>
    <row r="15" spans="1:17" ht="18" x14ac:dyDescent="0.35">
      <c r="A15" s="110"/>
      <c r="B15" s="35" t="s">
        <v>20</v>
      </c>
      <c r="Q15" s="168"/>
    </row>
    <row r="16" spans="1:17" x14ac:dyDescent="0.35">
      <c r="A16" s="110" t="s">
        <v>102</v>
      </c>
      <c r="C16" s="34" t="s">
        <v>21</v>
      </c>
      <c r="Q16" s="168">
        <f>SUM(E16:P16)</f>
        <v>0</v>
      </c>
    </row>
    <row r="17" spans="1:17" x14ac:dyDescent="0.35">
      <c r="A17" s="110" t="s">
        <v>103</v>
      </c>
      <c r="C17" s="34" t="s">
        <v>22</v>
      </c>
      <c r="Q17" s="168">
        <f>SUM(E17:P17)</f>
        <v>0</v>
      </c>
    </row>
    <row r="18" spans="1:17" x14ac:dyDescent="0.35">
      <c r="A18" s="110" t="s">
        <v>104</v>
      </c>
      <c r="C18" s="34" t="s">
        <v>23</v>
      </c>
      <c r="Q18" s="168">
        <f>SUM(E18:P18)</f>
        <v>0</v>
      </c>
    </row>
    <row r="19" spans="1:17" x14ac:dyDescent="0.35">
      <c r="A19" s="110" t="s">
        <v>139</v>
      </c>
      <c r="C19" s="34" t="s">
        <v>24</v>
      </c>
      <c r="Q19" s="168">
        <f>SUM(E19:P19)</f>
        <v>0</v>
      </c>
    </row>
    <row r="20" spans="1:17" x14ac:dyDescent="0.35">
      <c r="A20" s="110"/>
      <c r="Q20" s="168"/>
    </row>
    <row r="21" spans="1:17" x14ac:dyDescent="0.35">
      <c r="A21" s="110"/>
      <c r="C21" s="34" t="s">
        <v>25</v>
      </c>
      <c r="D21" s="44"/>
      <c r="E21" s="81">
        <f t="shared" ref="E21:Q21" si="1">SUM(E16:E19)</f>
        <v>0</v>
      </c>
      <c r="F21" s="81">
        <f t="shared" si="1"/>
        <v>0</v>
      </c>
      <c r="G21" s="81">
        <f t="shared" si="1"/>
        <v>0</v>
      </c>
      <c r="H21" s="81">
        <f t="shared" si="1"/>
        <v>0</v>
      </c>
      <c r="I21" s="81">
        <f t="shared" si="1"/>
        <v>0</v>
      </c>
      <c r="J21" s="81">
        <f t="shared" si="1"/>
        <v>0</v>
      </c>
      <c r="K21" s="81">
        <f t="shared" si="1"/>
        <v>0</v>
      </c>
      <c r="L21" s="81">
        <f t="shared" si="1"/>
        <v>0</v>
      </c>
      <c r="M21" s="81">
        <f t="shared" si="1"/>
        <v>0</v>
      </c>
      <c r="N21" s="81">
        <f t="shared" si="1"/>
        <v>0</v>
      </c>
      <c r="O21" s="81">
        <f t="shared" si="1"/>
        <v>0</v>
      </c>
      <c r="P21" s="81">
        <f t="shared" si="1"/>
        <v>0</v>
      </c>
      <c r="Q21" s="170">
        <f t="shared" si="1"/>
        <v>0</v>
      </c>
    </row>
    <row r="22" spans="1:17" ht="16.5" thickBot="1" x14ac:dyDescent="0.4">
      <c r="A22" s="110"/>
      <c r="Q22" s="168"/>
    </row>
    <row r="23" spans="1:17" s="35" customFormat="1" ht="18.5" thickBot="1" x14ac:dyDescent="0.4">
      <c r="A23" s="110"/>
      <c r="B23" s="84" t="s">
        <v>26</v>
      </c>
      <c r="C23" s="85"/>
      <c r="D23" s="85"/>
      <c r="E23" s="85">
        <f t="shared" ref="E23:Q23" si="2">+E13+E21</f>
        <v>0</v>
      </c>
      <c r="F23" s="85">
        <f t="shared" si="2"/>
        <v>0</v>
      </c>
      <c r="G23" s="85">
        <f t="shared" si="2"/>
        <v>0</v>
      </c>
      <c r="H23" s="85">
        <f t="shared" si="2"/>
        <v>0</v>
      </c>
      <c r="I23" s="85">
        <f t="shared" si="2"/>
        <v>0</v>
      </c>
      <c r="J23" s="85">
        <f t="shared" si="2"/>
        <v>0</v>
      </c>
      <c r="K23" s="85">
        <f t="shared" si="2"/>
        <v>0</v>
      </c>
      <c r="L23" s="85">
        <f t="shared" si="2"/>
        <v>0</v>
      </c>
      <c r="M23" s="85">
        <f t="shared" si="2"/>
        <v>0</v>
      </c>
      <c r="N23" s="85">
        <f t="shared" si="2"/>
        <v>0</v>
      </c>
      <c r="O23" s="85">
        <f t="shared" si="2"/>
        <v>0</v>
      </c>
      <c r="P23" s="85">
        <f t="shared" si="2"/>
        <v>0</v>
      </c>
      <c r="Q23" s="172">
        <f t="shared" si="2"/>
        <v>0</v>
      </c>
    </row>
    <row r="24" spans="1:17" ht="18" x14ac:dyDescent="0.35">
      <c r="A24" s="110"/>
      <c r="Q24" s="171"/>
    </row>
    <row r="25" spans="1:17" ht="18" x14ac:dyDescent="0.35">
      <c r="A25" s="110"/>
      <c r="B25" s="35" t="s">
        <v>27</v>
      </c>
      <c r="Q25" s="168"/>
    </row>
    <row r="26" spans="1:17" x14ac:dyDescent="0.35">
      <c r="A26" s="110" t="s">
        <v>105</v>
      </c>
      <c r="C26" s="34" t="s">
        <v>28</v>
      </c>
      <c r="Q26" s="168">
        <f>SUM(E26:P26)</f>
        <v>0</v>
      </c>
    </row>
    <row r="27" spans="1:17" x14ac:dyDescent="0.35">
      <c r="A27" s="110"/>
      <c r="Q27" s="168"/>
    </row>
    <row r="28" spans="1:17" x14ac:dyDescent="0.35">
      <c r="A28" s="110" t="s">
        <v>106</v>
      </c>
      <c r="C28" s="34" t="s">
        <v>21</v>
      </c>
      <c r="Q28" s="168">
        <f>SUM(E28:P28)</f>
        <v>0</v>
      </c>
    </row>
    <row r="29" spans="1:17" x14ac:dyDescent="0.35">
      <c r="A29" s="110"/>
      <c r="Q29" s="168"/>
    </row>
    <row r="30" spans="1:17" x14ac:dyDescent="0.35">
      <c r="A30" s="110" t="s">
        <v>107</v>
      </c>
      <c r="C30" s="34" t="s">
        <v>29</v>
      </c>
      <c r="Q30" s="168">
        <f>SUM(E30:P30)</f>
        <v>0</v>
      </c>
    </row>
    <row r="31" spans="1:17" x14ac:dyDescent="0.35">
      <c r="A31" s="110"/>
      <c r="Q31" s="168"/>
    </row>
    <row r="32" spans="1:17" x14ac:dyDescent="0.35">
      <c r="A32" s="110"/>
      <c r="D32" s="88" t="s">
        <v>30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173">
        <f>SUM(E32:P32)</f>
        <v>0</v>
      </c>
    </row>
    <row r="33" spans="1:17" x14ac:dyDescent="0.35">
      <c r="A33" s="110"/>
      <c r="D33" s="89" t="s">
        <v>31</v>
      </c>
      <c r="Q33" s="174">
        <f>SUM(E33:P33)</f>
        <v>0</v>
      </c>
    </row>
    <row r="34" spans="1:17" x14ac:dyDescent="0.35">
      <c r="A34" s="110"/>
      <c r="D34" s="90" t="s">
        <v>32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175">
        <f>SUM(E34:P34)</f>
        <v>0</v>
      </c>
    </row>
    <row r="35" spans="1:17" x14ac:dyDescent="0.35">
      <c r="A35" s="110" t="s">
        <v>108</v>
      </c>
      <c r="C35" s="34" t="s">
        <v>33</v>
      </c>
      <c r="E35" s="87">
        <f t="shared" ref="E35:Q35" si="3">SUM(E32:E34)</f>
        <v>0</v>
      </c>
      <c r="F35" s="87">
        <f t="shared" si="3"/>
        <v>0</v>
      </c>
      <c r="G35" s="87">
        <f t="shared" si="3"/>
        <v>0</v>
      </c>
      <c r="H35" s="87">
        <f t="shared" si="3"/>
        <v>0</v>
      </c>
      <c r="I35" s="87">
        <f t="shared" si="3"/>
        <v>0</v>
      </c>
      <c r="J35" s="87">
        <f t="shared" si="3"/>
        <v>0</v>
      </c>
      <c r="K35" s="87">
        <f t="shared" si="3"/>
        <v>0</v>
      </c>
      <c r="L35" s="87">
        <f t="shared" si="3"/>
        <v>0</v>
      </c>
      <c r="M35" s="87">
        <f t="shared" si="3"/>
        <v>0</v>
      </c>
      <c r="N35" s="87">
        <f t="shared" si="3"/>
        <v>0</v>
      </c>
      <c r="O35" s="87">
        <f t="shared" si="3"/>
        <v>0</v>
      </c>
      <c r="P35" s="87">
        <f t="shared" si="3"/>
        <v>0</v>
      </c>
      <c r="Q35" s="176">
        <f t="shared" si="3"/>
        <v>0</v>
      </c>
    </row>
    <row r="36" spans="1:17" x14ac:dyDescent="0.35">
      <c r="A36" s="110"/>
      <c r="Q36" s="168"/>
    </row>
    <row r="37" spans="1:17" x14ac:dyDescent="0.35">
      <c r="A37" s="110" t="s">
        <v>140</v>
      </c>
      <c r="B37" s="34" t="s">
        <v>34</v>
      </c>
      <c r="C37" s="34" t="s">
        <v>35</v>
      </c>
      <c r="Q37" s="168">
        <f>SUM(E37:P37)</f>
        <v>0</v>
      </c>
    </row>
    <row r="38" spans="1:17" x14ac:dyDescent="0.35">
      <c r="A38" s="110"/>
      <c r="Q38" s="168"/>
    </row>
    <row r="39" spans="1:17" x14ac:dyDescent="0.35">
      <c r="A39" s="110"/>
      <c r="D39" s="88" t="s">
        <v>36</v>
      </c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173">
        <f>SUM(E39:P39)</f>
        <v>0</v>
      </c>
    </row>
    <row r="40" spans="1:17" x14ac:dyDescent="0.35">
      <c r="A40" s="110"/>
      <c r="D40" s="89" t="s">
        <v>37</v>
      </c>
      <c r="Q40" s="174">
        <f>SUM(E40:P40)</f>
        <v>0</v>
      </c>
    </row>
    <row r="41" spans="1:17" x14ac:dyDescent="0.35">
      <c r="A41" s="110"/>
      <c r="D41" s="90" t="s">
        <v>38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175">
        <f>SUM(E41:P41)</f>
        <v>0</v>
      </c>
    </row>
    <row r="42" spans="1:17" x14ac:dyDescent="0.35">
      <c r="A42" s="110" t="s">
        <v>109</v>
      </c>
      <c r="C42" s="34" t="s">
        <v>39</v>
      </c>
      <c r="E42" s="87">
        <f t="shared" ref="E42:Q42" si="4">SUM(E39:E41)</f>
        <v>0</v>
      </c>
      <c r="F42" s="87">
        <f t="shared" si="4"/>
        <v>0</v>
      </c>
      <c r="G42" s="87">
        <f t="shared" si="4"/>
        <v>0</v>
      </c>
      <c r="H42" s="87">
        <f t="shared" si="4"/>
        <v>0</v>
      </c>
      <c r="I42" s="87">
        <f t="shared" si="4"/>
        <v>0</v>
      </c>
      <c r="J42" s="87">
        <f t="shared" si="4"/>
        <v>0</v>
      </c>
      <c r="K42" s="87">
        <f t="shared" si="4"/>
        <v>0</v>
      </c>
      <c r="L42" s="87">
        <f t="shared" si="4"/>
        <v>0</v>
      </c>
      <c r="M42" s="87">
        <f t="shared" si="4"/>
        <v>0</v>
      </c>
      <c r="N42" s="87">
        <f t="shared" si="4"/>
        <v>0</v>
      </c>
      <c r="O42" s="87">
        <f t="shared" si="4"/>
        <v>0</v>
      </c>
      <c r="P42" s="87">
        <f t="shared" si="4"/>
        <v>0</v>
      </c>
      <c r="Q42" s="176">
        <f t="shared" si="4"/>
        <v>0</v>
      </c>
    </row>
    <row r="43" spans="1:17" x14ac:dyDescent="0.35">
      <c r="A43" s="110"/>
      <c r="Q43" s="168"/>
    </row>
    <row r="44" spans="1:17" x14ac:dyDescent="0.35">
      <c r="A44" s="110" t="s">
        <v>110</v>
      </c>
      <c r="C44" s="34" t="s">
        <v>40</v>
      </c>
      <c r="Q44" s="168">
        <f>SUM(E44:P44)</f>
        <v>0</v>
      </c>
    </row>
    <row r="45" spans="1:17" x14ac:dyDescent="0.35">
      <c r="A45" s="110"/>
      <c r="Q45" s="168"/>
    </row>
    <row r="46" spans="1:17" x14ac:dyDescent="0.35">
      <c r="A46" s="110"/>
      <c r="D46" s="88" t="s">
        <v>41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173">
        <f>SUM(E46:P46)</f>
        <v>0</v>
      </c>
    </row>
    <row r="47" spans="1:17" x14ac:dyDescent="0.35">
      <c r="A47" s="110"/>
      <c r="D47" s="89" t="s">
        <v>42</v>
      </c>
      <c r="Q47" s="174">
        <f>SUM(E47:P47)</f>
        <v>0</v>
      </c>
    </row>
    <row r="48" spans="1:17" x14ac:dyDescent="0.35">
      <c r="A48" s="110"/>
      <c r="D48" s="90" t="s">
        <v>43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175">
        <f>SUM(E48:P48)</f>
        <v>0</v>
      </c>
    </row>
    <row r="49" spans="1:17" x14ac:dyDescent="0.35">
      <c r="A49" s="110" t="s">
        <v>111</v>
      </c>
      <c r="C49" s="34" t="s">
        <v>44</v>
      </c>
      <c r="E49" s="87">
        <f t="shared" ref="E49:Q49" si="5">SUM(E46:E48)</f>
        <v>0</v>
      </c>
      <c r="F49" s="87">
        <f t="shared" si="5"/>
        <v>0</v>
      </c>
      <c r="G49" s="87">
        <f t="shared" si="5"/>
        <v>0</v>
      </c>
      <c r="H49" s="87">
        <f t="shared" si="5"/>
        <v>0</v>
      </c>
      <c r="I49" s="87">
        <f t="shared" si="5"/>
        <v>0</v>
      </c>
      <c r="J49" s="87">
        <f t="shared" si="5"/>
        <v>0</v>
      </c>
      <c r="K49" s="87">
        <f t="shared" si="5"/>
        <v>0</v>
      </c>
      <c r="L49" s="87">
        <f t="shared" si="5"/>
        <v>0</v>
      </c>
      <c r="M49" s="87">
        <f t="shared" si="5"/>
        <v>0</v>
      </c>
      <c r="N49" s="87">
        <f t="shared" si="5"/>
        <v>0</v>
      </c>
      <c r="O49" s="87">
        <f t="shared" si="5"/>
        <v>0</v>
      </c>
      <c r="P49" s="87">
        <f t="shared" si="5"/>
        <v>0</v>
      </c>
      <c r="Q49" s="176">
        <f t="shared" si="5"/>
        <v>0</v>
      </c>
    </row>
    <row r="50" spans="1:17" x14ac:dyDescent="0.35">
      <c r="A50" s="110"/>
      <c r="Q50" s="168"/>
    </row>
    <row r="51" spans="1:17" x14ac:dyDescent="0.35">
      <c r="A51" s="110" t="s">
        <v>112</v>
      </c>
      <c r="C51" s="34" t="s">
        <v>45</v>
      </c>
      <c r="Q51" s="168">
        <f>SUM(E51:P51)</f>
        <v>0</v>
      </c>
    </row>
    <row r="52" spans="1:17" x14ac:dyDescent="0.35">
      <c r="A52" s="110"/>
      <c r="Q52" s="168"/>
    </row>
    <row r="53" spans="1:17" x14ac:dyDescent="0.35">
      <c r="A53" s="110" t="s">
        <v>113</v>
      </c>
      <c r="B53" s="34" t="s">
        <v>46</v>
      </c>
      <c r="C53" s="34" t="s">
        <v>47</v>
      </c>
      <c r="E53" s="34">
        <f>ROUND(E$23*0.04,0)</f>
        <v>0</v>
      </c>
      <c r="F53" s="34">
        <f t="shared" ref="F53:O53" si="6">ROUND(F$23*0.04,0)</f>
        <v>0</v>
      </c>
      <c r="G53" s="34">
        <f t="shared" si="6"/>
        <v>0</v>
      </c>
      <c r="H53" s="34">
        <f t="shared" si="6"/>
        <v>0</v>
      </c>
      <c r="I53" s="34">
        <f t="shared" si="6"/>
        <v>0</v>
      </c>
      <c r="J53" s="34">
        <f t="shared" si="6"/>
        <v>0</v>
      </c>
      <c r="K53" s="34">
        <f t="shared" si="6"/>
        <v>0</v>
      </c>
      <c r="L53" s="34">
        <f t="shared" si="6"/>
        <v>0</v>
      </c>
      <c r="M53" s="34">
        <f t="shared" si="6"/>
        <v>0</v>
      </c>
      <c r="N53" s="34">
        <f t="shared" si="6"/>
        <v>0</v>
      </c>
      <c r="O53" s="34">
        <f t="shared" si="6"/>
        <v>0</v>
      </c>
      <c r="P53" s="34">
        <f>ROUND(P$23*0.04,0)</f>
        <v>0</v>
      </c>
      <c r="Q53" s="168">
        <f>SUM(E53:P53)</f>
        <v>0</v>
      </c>
    </row>
    <row r="54" spans="1:17" x14ac:dyDescent="0.35">
      <c r="A54" s="110"/>
      <c r="Q54" s="168"/>
    </row>
    <row r="55" spans="1:17" x14ac:dyDescent="0.35">
      <c r="A55" s="110" t="s">
        <v>114</v>
      </c>
      <c r="C55" s="34" t="s">
        <v>48</v>
      </c>
      <c r="Q55" s="168">
        <f>SUM(E55:P55)</f>
        <v>0</v>
      </c>
    </row>
    <row r="56" spans="1:17" x14ac:dyDescent="0.35">
      <c r="A56" s="110"/>
      <c r="Q56" s="168"/>
    </row>
    <row r="57" spans="1:17" x14ac:dyDescent="0.35">
      <c r="A57" s="110" t="s">
        <v>115</v>
      </c>
      <c r="C57" s="34" t="s">
        <v>23</v>
      </c>
      <c r="Q57" s="168">
        <f>SUM(E57:P57)</f>
        <v>0</v>
      </c>
    </row>
    <row r="58" spans="1:17" x14ac:dyDescent="0.35">
      <c r="A58" s="110"/>
      <c r="Q58" s="168"/>
    </row>
    <row r="59" spans="1:17" x14ac:dyDescent="0.35">
      <c r="A59" s="110"/>
      <c r="D59" s="88" t="s">
        <v>49</v>
      </c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173">
        <f>SUM(E59:P59)</f>
        <v>0</v>
      </c>
    </row>
    <row r="60" spans="1:17" x14ac:dyDescent="0.35">
      <c r="A60" s="110"/>
      <c r="D60" s="89" t="s">
        <v>50</v>
      </c>
      <c r="Q60" s="174">
        <f>SUM(E60:P60)</f>
        <v>0</v>
      </c>
    </row>
    <row r="61" spans="1:17" x14ac:dyDescent="0.35">
      <c r="A61" s="110"/>
      <c r="D61" s="90" t="s">
        <v>51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175">
        <f>SUM(E61:P61)</f>
        <v>0</v>
      </c>
    </row>
    <row r="62" spans="1:17" x14ac:dyDescent="0.35">
      <c r="A62" s="110" t="s">
        <v>116</v>
      </c>
      <c r="C62" s="34" t="s">
        <v>24</v>
      </c>
      <c r="E62" s="43">
        <f t="shared" ref="E62:Q62" si="7">SUM(E59:E61)</f>
        <v>0</v>
      </c>
      <c r="F62" s="43">
        <f t="shared" si="7"/>
        <v>0</v>
      </c>
      <c r="G62" s="43">
        <f t="shared" si="7"/>
        <v>0</v>
      </c>
      <c r="H62" s="43">
        <f t="shared" si="7"/>
        <v>0</v>
      </c>
      <c r="I62" s="43">
        <f t="shared" si="7"/>
        <v>0</v>
      </c>
      <c r="J62" s="43">
        <f t="shared" si="7"/>
        <v>0</v>
      </c>
      <c r="K62" s="43">
        <f t="shared" si="7"/>
        <v>0</v>
      </c>
      <c r="L62" s="43">
        <f t="shared" si="7"/>
        <v>0</v>
      </c>
      <c r="M62" s="43">
        <f t="shared" si="7"/>
        <v>0</v>
      </c>
      <c r="N62" s="43">
        <f t="shared" si="7"/>
        <v>0</v>
      </c>
      <c r="O62" s="43">
        <f t="shared" si="7"/>
        <v>0</v>
      </c>
      <c r="P62" s="43">
        <f t="shared" si="7"/>
        <v>0</v>
      </c>
      <c r="Q62" s="177">
        <f t="shared" si="7"/>
        <v>0</v>
      </c>
    </row>
    <row r="63" spans="1:17" x14ac:dyDescent="0.35">
      <c r="A63" s="110"/>
      <c r="Q63" s="168"/>
    </row>
    <row r="64" spans="1:17" x14ac:dyDescent="0.35">
      <c r="A64" s="110"/>
      <c r="D64" s="88" t="s">
        <v>52</v>
      </c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173">
        <f>SUM(E64:P64)</f>
        <v>0</v>
      </c>
    </row>
    <row r="65" spans="1:17" x14ac:dyDescent="0.35">
      <c r="A65" s="110"/>
      <c r="D65" s="90" t="s">
        <v>53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175">
        <f>SUM(E65:P65)</f>
        <v>0</v>
      </c>
    </row>
    <row r="66" spans="1:17" x14ac:dyDescent="0.35">
      <c r="A66" s="110" t="s">
        <v>117</v>
      </c>
      <c r="B66" s="34" t="s">
        <v>46</v>
      </c>
      <c r="C66" s="34" t="s">
        <v>52</v>
      </c>
      <c r="E66" s="43">
        <f>SUM(E64:E65)</f>
        <v>0</v>
      </c>
      <c r="F66" s="43">
        <f t="shared" ref="F66:Q66" si="8">SUM(F64:F65)</f>
        <v>0</v>
      </c>
      <c r="G66" s="43">
        <f t="shared" si="8"/>
        <v>0</v>
      </c>
      <c r="H66" s="43">
        <f t="shared" si="8"/>
        <v>0</v>
      </c>
      <c r="I66" s="43">
        <f t="shared" si="8"/>
        <v>0</v>
      </c>
      <c r="J66" s="43">
        <f t="shared" si="8"/>
        <v>0</v>
      </c>
      <c r="K66" s="43">
        <f t="shared" si="8"/>
        <v>0</v>
      </c>
      <c r="L66" s="43">
        <f t="shared" si="8"/>
        <v>0</v>
      </c>
      <c r="M66" s="43">
        <f t="shared" si="8"/>
        <v>0</v>
      </c>
      <c r="N66" s="43">
        <f t="shared" si="8"/>
        <v>0</v>
      </c>
      <c r="O66" s="43">
        <f t="shared" si="8"/>
        <v>0</v>
      </c>
      <c r="P66" s="43">
        <f t="shared" si="8"/>
        <v>0</v>
      </c>
      <c r="Q66" s="177">
        <f t="shared" si="8"/>
        <v>0</v>
      </c>
    </row>
    <row r="67" spans="1:17" x14ac:dyDescent="0.35">
      <c r="A67" s="110"/>
      <c r="Q67" s="168"/>
    </row>
    <row r="68" spans="1:17" x14ac:dyDescent="0.35">
      <c r="A68" s="110"/>
      <c r="B68" s="34" t="s">
        <v>34</v>
      </c>
      <c r="C68" s="34" t="s">
        <v>54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168">
        <f>SUM(E68:P68)</f>
        <v>0</v>
      </c>
    </row>
    <row r="69" spans="1:17" x14ac:dyDescent="0.35">
      <c r="A69" s="110"/>
      <c r="Q69" s="168"/>
    </row>
    <row r="70" spans="1:17" ht="18" x14ac:dyDescent="0.35">
      <c r="A70" s="110"/>
      <c r="C70" s="91" t="s">
        <v>55</v>
      </c>
      <c r="D70" s="92"/>
      <c r="E70" s="92">
        <f t="shared" ref="E70:Q70" si="9">+E26+E28+E30+E35+E37+E42+E44+E49+E51+E53+E55+E57+E62+E66+E68</f>
        <v>0</v>
      </c>
      <c r="F70" s="92">
        <f t="shared" si="9"/>
        <v>0</v>
      </c>
      <c r="G70" s="92">
        <f t="shared" si="9"/>
        <v>0</v>
      </c>
      <c r="H70" s="92">
        <f t="shared" si="9"/>
        <v>0</v>
      </c>
      <c r="I70" s="92">
        <f t="shared" si="9"/>
        <v>0</v>
      </c>
      <c r="J70" s="92">
        <f t="shared" si="9"/>
        <v>0</v>
      </c>
      <c r="K70" s="92">
        <f t="shared" si="9"/>
        <v>0</v>
      </c>
      <c r="L70" s="92">
        <f t="shared" si="9"/>
        <v>0</v>
      </c>
      <c r="M70" s="92">
        <f t="shared" si="9"/>
        <v>0</v>
      </c>
      <c r="N70" s="92">
        <f t="shared" si="9"/>
        <v>0</v>
      </c>
      <c r="O70" s="92">
        <f t="shared" si="9"/>
        <v>0</v>
      </c>
      <c r="P70" s="92">
        <f t="shared" si="9"/>
        <v>0</v>
      </c>
      <c r="Q70" s="178">
        <f t="shared" si="9"/>
        <v>0</v>
      </c>
    </row>
    <row r="71" spans="1:17" ht="18" x14ac:dyDescent="0.35">
      <c r="A71" s="110"/>
      <c r="Q71" s="171"/>
    </row>
    <row r="72" spans="1:17" ht="18" x14ac:dyDescent="0.35">
      <c r="A72" s="110"/>
      <c r="B72" s="35" t="s">
        <v>56</v>
      </c>
      <c r="Q72" s="168"/>
    </row>
    <row r="73" spans="1:17" x14ac:dyDescent="0.35">
      <c r="A73" s="110"/>
      <c r="Q73" s="168"/>
    </row>
    <row r="74" spans="1:17" x14ac:dyDescent="0.35">
      <c r="A74" s="110" t="s">
        <v>141</v>
      </c>
      <c r="C74" s="34" t="s">
        <v>57</v>
      </c>
      <c r="Q74" s="168">
        <f>SUM(E74:P74)</f>
        <v>0</v>
      </c>
    </row>
    <row r="75" spans="1:17" x14ac:dyDescent="0.35">
      <c r="A75" s="110"/>
      <c r="Q75" s="168"/>
    </row>
    <row r="76" spans="1:17" x14ac:dyDescent="0.35">
      <c r="A76" s="110" t="s">
        <v>118</v>
      </c>
      <c r="D76" s="34" t="s">
        <v>58</v>
      </c>
      <c r="Q76" s="168">
        <f>SUM(E76:P76)</f>
        <v>0</v>
      </c>
    </row>
    <row r="77" spans="1:17" x14ac:dyDescent="0.35">
      <c r="A77" s="110" t="s">
        <v>119</v>
      </c>
      <c r="D77" s="34" t="s">
        <v>59</v>
      </c>
      <c r="Q77" s="168">
        <f>SUM(E77:P77)</f>
        <v>0</v>
      </c>
    </row>
    <row r="78" spans="1:17" x14ac:dyDescent="0.35">
      <c r="A78" s="110"/>
      <c r="C78" s="34" t="s">
        <v>60</v>
      </c>
      <c r="E78" s="59">
        <f t="shared" ref="E78:Q78" si="10">SUM(E76:E77)</f>
        <v>0</v>
      </c>
      <c r="F78" s="59">
        <f t="shared" si="10"/>
        <v>0</v>
      </c>
      <c r="G78" s="59">
        <f t="shared" si="10"/>
        <v>0</v>
      </c>
      <c r="H78" s="59">
        <f t="shared" si="10"/>
        <v>0</v>
      </c>
      <c r="I78" s="59">
        <f t="shared" si="10"/>
        <v>0</v>
      </c>
      <c r="J78" s="59">
        <f t="shared" si="10"/>
        <v>0</v>
      </c>
      <c r="K78" s="59">
        <f t="shared" si="10"/>
        <v>0</v>
      </c>
      <c r="L78" s="59">
        <f t="shared" si="10"/>
        <v>0</v>
      </c>
      <c r="M78" s="59">
        <f t="shared" si="10"/>
        <v>0</v>
      </c>
      <c r="N78" s="59">
        <f t="shared" si="10"/>
        <v>0</v>
      </c>
      <c r="O78" s="59">
        <f t="shared" si="10"/>
        <v>0</v>
      </c>
      <c r="P78" s="59">
        <f t="shared" si="10"/>
        <v>0</v>
      </c>
      <c r="Q78" s="179">
        <f t="shared" si="10"/>
        <v>0</v>
      </c>
    </row>
    <row r="79" spans="1:17" x14ac:dyDescent="0.35">
      <c r="A79" s="110"/>
      <c r="Q79" s="168"/>
    </row>
    <row r="80" spans="1:17" x14ac:dyDescent="0.35">
      <c r="A80" s="110" t="s">
        <v>142</v>
      </c>
      <c r="D80" s="34" t="s">
        <v>61</v>
      </c>
      <c r="Q80" s="168">
        <f>SUM(E80:P80)</f>
        <v>0</v>
      </c>
    </row>
    <row r="81" spans="1:17" x14ac:dyDescent="0.35">
      <c r="A81" s="110" t="s">
        <v>143</v>
      </c>
      <c r="D81" s="34" t="s">
        <v>21</v>
      </c>
      <c r="Q81" s="168">
        <f>SUM(E81:P81)</f>
        <v>0</v>
      </c>
    </row>
    <row r="82" spans="1:17" x14ac:dyDescent="0.35">
      <c r="A82" s="110" t="s">
        <v>144</v>
      </c>
      <c r="D82" s="34" t="s">
        <v>29</v>
      </c>
      <c r="Q82" s="168">
        <f>SUM(E82:P82)</f>
        <v>0</v>
      </c>
    </row>
    <row r="83" spans="1:17" x14ac:dyDescent="0.35">
      <c r="A83" s="110"/>
      <c r="C83" s="34" t="s">
        <v>62</v>
      </c>
      <c r="E83" s="59">
        <f t="shared" ref="E83:Q83" si="11">SUM(E80:E82)</f>
        <v>0</v>
      </c>
      <c r="F83" s="59">
        <f t="shared" si="11"/>
        <v>0</v>
      </c>
      <c r="G83" s="59">
        <f t="shared" si="11"/>
        <v>0</v>
      </c>
      <c r="H83" s="59">
        <f t="shared" si="11"/>
        <v>0</v>
      </c>
      <c r="I83" s="59">
        <f t="shared" si="11"/>
        <v>0</v>
      </c>
      <c r="J83" s="59">
        <f t="shared" si="11"/>
        <v>0</v>
      </c>
      <c r="K83" s="59">
        <f t="shared" si="11"/>
        <v>0</v>
      </c>
      <c r="L83" s="59">
        <f t="shared" si="11"/>
        <v>0</v>
      </c>
      <c r="M83" s="59">
        <f t="shared" si="11"/>
        <v>0</v>
      </c>
      <c r="N83" s="59">
        <f t="shared" si="11"/>
        <v>0</v>
      </c>
      <c r="O83" s="59">
        <f t="shared" si="11"/>
        <v>0</v>
      </c>
      <c r="P83" s="59">
        <f t="shared" si="11"/>
        <v>0</v>
      </c>
      <c r="Q83" s="179">
        <f t="shared" si="11"/>
        <v>0</v>
      </c>
    </row>
    <row r="84" spans="1:17" x14ac:dyDescent="0.35">
      <c r="A84" s="110"/>
      <c r="Q84" s="168"/>
    </row>
    <row r="85" spans="1:17" x14ac:dyDescent="0.35">
      <c r="A85" s="110"/>
      <c r="D85" s="88" t="s">
        <v>31</v>
      </c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173">
        <f>SUM(E85:P85)</f>
        <v>0</v>
      </c>
    </row>
    <row r="86" spans="1:17" x14ac:dyDescent="0.35">
      <c r="A86" s="110"/>
      <c r="D86" s="90" t="s">
        <v>32</v>
      </c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175">
        <f>SUM(E86:P86)</f>
        <v>0</v>
      </c>
    </row>
    <row r="87" spans="1:17" x14ac:dyDescent="0.35">
      <c r="A87" s="110" t="s">
        <v>120</v>
      </c>
      <c r="C87" s="34" t="s">
        <v>33</v>
      </c>
      <c r="E87" s="43">
        <f t="shared" ref="E87:Q87" si="12">SUM(E85:E86)</f>
        <v>0</v>
      </c>
      <c r="F87" s="43">
        <f t="shared" si="12"/>
        <v>0</v>
      </c>
      <c r="G87" s="43">
        <f t="shared" si="12"/>
        <v>0</v>
      </c>
      <c r="H87" s="43">
        <f t="shared" si="12"/>
        <v>0</v>
      </c>
      <c r="I87" s="43">
        <f t="shared" si="12"/>
        <v>0</v>
      </c>
      <c r="J87" s="43">
        <f t="shared" si="12"/>
        <v>0</v>
      </c>
      <c r="K87" s="43">
        <f t="shared" si="12"/>
        <v>0</v>
      </c>
      <c r="L87" s="43">
        <f t="shared" si="12"/>
        <v>0</v>
      </c>
      <c r="M87" s="43">
        <f t="shared" si="12"/>
        <v>0</v>
      </c>
      <c r="N87" s="43">
        <f t="shared" si="12"/>
        <v>0</v>
      </c>
      <c r="O87" s="43">
        <f t="shared" si="12"/>
        <v>0</v>
      </c>
      <c r="P87" s="43">
        <f t="shared" si="12"/>
        <v>0</v>
      </c>
      <c r="Q87" s="177">
        <f t="shared" si="12"/>
        <v>0</v>
      </c>
    </row>
    <row r="88" spans="1:17" x14ac:dyDescent="0.35">
      <c r="A88" s="110"/>
      <c r="Q88" s="168"/>
    </row>
    <row r="89" spans="1:17" s="95" customFormat="1" hidden="1" x14ac:dyDescent="0.35">
      <c r="A89" s="111" t="s">
        <v>145</v>
      </c>
      <c r="B89" s="95" t="s">
        <v>34</v>
      </c>
      <c r="C89" s="95" t="s">
        <v>63</v>
      </c>
      <c r="Q89" s="95">
        <f>SUM(E89:P89)</f>
        <v>0</v>
      </c>
    </row>
    <row r="90" spans="1:17" hidden="1" x14ac:dyDescent="0.35">
      <c r="A90" s="110"/>
      <c r="Q90" s="168"/>
    </row>
    <row r="91" spans="1:17" x14ac:dyDescent="0.35">
      <c r="A91" s="110" t="s">
        <v>121</v>
      </c>
      <c r="C91" s="34" t="s">
        <v>64</v>
      </c>
      <c r="Q91" s="168">
        <f>SUM(E91:P91)</f>
        <v>0</v>
      </c>
    </row>
    <row r="92" spans="1:17" x14ac:dyDescent="0.35">
      <c r="A92" s="110"/>
      <c r="Q92" s="168"/>
    </row>
    <row r="93" spans="1:17" x14ac:dyDescent="0.35">
      <c r="A93" s="110" t="s">
        <v>122</v>
      </c>
      <c r="C93" s="34" t="s">
        <v>65</v>
      </c>
      <c r="Q93" s="168">
        <f>SUM(E93:P93)</f>
        <v>0</v>
      </c>
    </row>
    <row r="94" spans="1:17" x14ac:dyDescent="0.35">
      <c r="A94" s="110"/>
      <c r="Q94" s="168"/>
    </row>
    <row r="95" spans="1:17" x14ac:dyDescent="0.35">
      <c r="A95" s="110" t="s">
        <v>123</v>
      </c>
      <c r="C95" s="34" t="s">
        <v>66</v>
      </c>
      <c r="Q95" s="168">
        <f>SUM(E95:P95)</f>
        <v>0</v>
      </c>
    </row>
    <row r="96" spans="1:17" x14ac:dyDescent="0.35">
      <c r="A96" s="110"/>
      <c r="Q96" s="168"/>
    </row>
    <row r="97" spans="1:17" x14ac:dyDescent="0.35">
      <c r="A97" s="110" t="s">
        <v>130</v>
      </c>
      <c r="D97" s="34" t="s">
        <v>67</v>
      </c>
      <c r="Q97" s="168">
        <f>SUM(E97:P97)</f>
        <v>0</v>
      </c>
    </row>
    <row r="98" spans="1:17" x14ac:dyDescent="0.35">
      <c r="A98" s="110" t="s">
        <v>146</v>
      </c>
      <c r="D98" s="34" t="s">
        <v>68</v>
      </c>
      <c r="Q98" s="168">
        <f>SUM(E98:P98)</f>
        <v>0</v>
      </c>
    </row>
    <row r="99" spans="1:17" x14ac:dyDescent="0.35">
      <c r="A99" s="110" t="s">
        <v>147</v>
      </c>
      <c r="D99" s="34" t="s">
        <v>69</v>
      </c>
      <c r="Q99" s="168">
        <f>SUM(E99:P99)</f>
        <v>0</v>
      </c>
    </row>
    <row r="100" spans="1:17" x14ac:dyDescent="0.35">
      <c r="A100" s="110" t="s">
        <v>131</v>
      </c>
      <c r="D100" s="34" t="s">
        <v>70</v>
      </c>
      <c r="Q100" s="168">
        <f>SUM(E100:P100)</f>
        <v>0</v>
      </c>
    </row>
    <row r="101" spans="1:17" x14ac:dyDescent="0.35">
      <c r="A101" s="110" t="s">
        <v>124</v>
      </c>
      <c r="D101" s="34" t="s">
        <v>71</v>
      </c>
      <c r="Q101" s="168">
        <f>SUM(E101:P101)</f>
        <v>0</v>
      </c>
    </row>
    <row r="102" spans="1:17" x14ac:dyDescent="0.35">
      <c r="A102" s="110"/>
      <c r="C102" s="34" t="s">
        <v>72</v>
      </c>
      <c r="E102" s="59">
        <f t="shared" ref="E102:Q102" si="13">SUM(E97:E101)</f>
        <v>0</v>
      </c>
      <c r="F102" s="59">
        <f t="shared" si="13"/>
        <v>0</v>
      </c>
      <c r="G102" s="59">
        <f t="shared" si="13"/>
        <v>0</v>
      </c>
      <c r="H102" s="59">
        <f t="shared" si="13"/>
        <v>0</v>
      </c>
      <c r="I102" s="59">
        <f t="shared" si="13"/>
        <v>0</v>
      </c>
      <c r="J102" s="59">
        <f t="shared" si="13"/>
        <v>0</v>
      </c>
      <c r="K102" s="59">
        <f t="shared" si="13"/>
        <v>0</v>
      </c>
      <c r="L102" s="59">
        <f t="shared" si="13"/>
        <v>0</v>
      </c>
      <c r="M102" s="59">
        <f t="shared" si="13"/>
        <v>0</v>
      </c>
      <c r="N102" s="59">
        <f t="shared" si="13"/>
        <v>0</v>
      </c>
      <c r="O102" s="59">
        <f t="shared" si="13"/>
        <v>0</v>
      </c>
      <c r="P102" s="59">
        <f t="shared" si="13"/>
        <v>0</v>
      </c>
      <c r="Q102" s="179">
        <f t="shared" si="13"/>
        <v>0</v>
      </c>
    </row>
    <row r="103" spans="1:17" x14ac:dyDescent="0.35">
      <c r="A103" s="110"/>
      <c r="Q103" s="168"/>
    </row>
    <row r="104" spans="1:17" ht="18" x14ac:dyDescent="0.35">
      <c r="A104" s="110"/>
      <c r="C104" s="60" t="s">
        <v>73</v>
      </c>
      <c r="D104" s="92"/>
      <c r="E104" s="92">
        <f t="shared" ref="E104:Q104" si="14">+E74+E78+E83+E87+E89+E91+E93+E95+E102</f>
        <v>0</v>
      </c>
      <c r="F104" s="92">
        <f t="shared" si="14"/>
        <v>0</v>
      </c>
      <c r="G104" s="92">
        <f t="shared" si="14"/>
        <v>0</v>
      </c>
      <c r="H104" s="92">
        <f t="shared" si="14"/>
        <v>0</v>
      </c>
      <c r="I104" s="92">
        <f t="shared" si="14"/>
        <v>0</v>
      </c>
      <c r="J104" s="92">
        <f t="shared" si="14"/>
        <v>0</v>
      </c>
      <c r="K104" s="92">
        <f t="shared" si="14"/>
        <v>0</v>
      </c>
      <c r="L104" s="92">
        <f t="shared" si="14"/>
        <v>0</v>
      </c>
      <c r="M104" s="92">
        <f t="shared" si="14"/>
        <v>0</v>
      </c>
      <c r="N104" s="92">
        <f t="shared" si="14"/>
        <v>0</v>
      </c>
      <c r="O104" s="92">
        <f t="shared" si="14"/>
        <v>0</v>
      </c>
      <c r="P104" s="92">
        <f t="shared" si="14"/>
        <v>0</v>
      </c>
      <c r="Q104" s="178">
        <f t="shared" si="14"/>
        <v>0</v>
      </c>
    </row>
    <row r="105" spans="1:17" ht="18" x14ac:dyDescent="0.35">
      <c r="A105" s="110"/>
      <c r="Q105" s="171"/>
    </row>
    <row r="106" spans="1:17" ht="16.5" thickBot="1" x14ac:dyDescent="0.4">
      <c r="A106" s="110"/>
      <c r="Q106" s="168"/>
    </row>
    <row r="107" spans="1:17" ht="18.5" thickBot="1" x14ac:dyDescent="0.4">
      <c r="A107" s="110"/>
      <c r="B107" s="84" t="s">
        <v>74</v>
      </c>
      <c r="C107" s="85"/>
      <c r="D107" s="85"/>
      <c r="E107" s="85">
        <f t="shared" ref="E107:Q107" si="15">+E70+E104</f>
        <v>0</v>
      </c>
      <c r="F107" s="85">
        <f t="shared" si="15"/>
        <v>0</v>
      </c>
      <c r="G107" s="85">
        <f t="shared" si="15"/>
        <v>0</v>
      </c>
      <c r="H107" s="85">
        <f t="shared" si="15"/>
        <v>0</v>
      </c>
      <c r="I107" s="85">
        <f t="shared" si="15"/>
        <v>0</v>
      </c>
      <c r="J107" s="85">
        <f t="shared" si="15"/>
        <v>0</v>
      </c>
      <c r="K107" s="85">
        <f t="shared" si="15"/>
        <v>0</v>
      </c>
      <c r="L107" s="85">
        <f t="shared" si="15"/>
        <v>0</v>
      </c>
      <c r="M107" s="85">
        <f t="shared" si="15"/>
        <v>0</v>
      </c>
      <c r="N107" s="85">
        <f t="shared" si="15"/>
        <v>0</v>
      </c>
      <c r="O107" s="85">
        <f t="shared" si="15"/>
        <v>0</v>
      </c>
      <c r="P107" s="85">
        <f t="shared" si="15"/>
        <v>0</v>
      </c>
      <c r="Q107" s="172">
        <f t="shared" si="15"/>
        <v>0</v>
      </c>
    </row>
    <row r="108" spans="1:17" ht="18" x14ac:dyDescent="0.35">
      <c r="A108" s="110"/>
      <c r="Q108" s="171"/>
    </row>
    <row r="109" spans="1:17" ht="16.5" thickBot="1" x14ac:dyDescent="0.4">
      <c r="A109" s="110"/>
      <c r="Q109" s="168"/>
    </row>
    <row r="110" spans="1:17" ht="18.5" thickBot="1" x14ac:dyDescent="0.4">
      <c r="A110" s="110"/>
      <c r="B110" s="84" t="s">
        <v>75</v>
      </c>
      <c r="C110" s="85"/>
      <c r="D110" s="85"/>
      <c r="E110" s="85">
        <f t="shared" ref="E110:Q110" si="16">+E23-E107</f>
        <v>0</v>
      </c>
      <c r="F110" s="85">
        <f t="shared" si="16"/>
        <v>0</v>
      </c>
      <c r="G110" s="85">
        <f t="shared" si="16"/>
        <v>0</v>
      </c>
      <c r="H110" s="85">
        <f t="shared" si="16"/>
        <v>0</v>
      </c>
      <c r="I110" s="85">
        <f t="shared" si="16"/>
        <v>0</v>
      </c>
      <c r="J110" s="85">
        <f t="shared" si="16"/>
        <v>0</v>
      </c>
      <c r="K110" s="85">
        <f t="shared" si="16"/>
        <v>0</v>
      </c>
      <c r="L110" s="85">
        <f t="shared" si="16"/>
        <v>0</v>
      </c>
      <c r="M110" s="85">
        <f t="shared" si="16"/>
        <v>0</v>
      </c>
      <c r="N110" s="85">
        <f t="shared" si="16"/>
        <v>0</v>
      </c>
      <c r="O110" s="85">
        <f t="shared" si="16"/>
        <v>0</v>
      </c>
      <c r="P110" s="85">
        <f t="shared" si="16"/>
        <v>0</v>
      </c>
      <c r="Q110" s="172">
        <f t="shared" si="16"/>
        <v>0</v>
      </c>
    </row>
    <row r="111" spans="1:17" ht="18" x14ac:dyDescent="0.35">
      <c r="A111" s="110"/>
      <c r="Q111" s="171"/>
    </row>
    <row r="112" spans="1:17" x14ac:dyDescent="0.35">
      <c r="A112" s="110" t="s">
        <v>125</v>
      </c>
      <c r="D112" s="34" t="s">
        <v>76</v>
      </c>
      <c r="Q112" s="168">
        <f>SUM(E112:P112)</f>
        <v>0</v>
      </c>
    </row>
    <row r="113" spans="1:17" x14ac:dyDescent="0.35">
      <c r="A113" s="110" t="s">
        <v>126</v>
      </c>
      <c r="D113" s="34" t="s">
        <v>77</v>
      </c>
      <c r="Q113" s="168">
        <f>SUM(E113:P113)</f>
        <v>0</v>
      </c>
    </row>
    <row r="114" spans="1:17" x14ac:dyDescent="0.35">
      <c r="A114" s="110" t="s">
        <v>127</v>
      </c>
      <c r="D114" s="34" t="s">
        <v>78</v>
      </c>
      <c r="Q114" s="168">
        <f>SUM(E114:P114)</f>
        <v>0</v>
      </c>
    </row>
    <row r="115" spans="1:17" x14ac:dyDescent="0.35">
      <c r="A115" s="110" t="s">
        <v>133</v>
      </c>
      <c r="D115" s="34" t="s">
        <v>79</v>
      </c>
      <c r="Q115" s="168">
        <f>SUM(E115:P115)</f>
        <v>0</v>
      </c>
    </row>
    <row r="116" spans="1:17" x14ac:dyDescent="0.35">
      <c r="A116" s="110"/>
      <c r="C116" s="34" t="s">
        <v>79</v>
      </c>
      <c r="E116" s="59">
        <f t="shared" ref="E116:Q116" si="17">SUM(E112:E115)</f>
        <v>0</v>
      </c>
      <c r="F116" s="59">
        <f t="shared" si="17"/>
        <v>0</v>
      </c>
      <c r="G116" s="59">
        <f t="shared" si="17"/>
        <v>0</v>
      </c>
      <c r="H116" s="59">
        <f t="shared" si="17"/>
        <v>0</v>
      </c>
      <c r="I116" s="59">
        <f t="shared" si="17"/>
        <v>0</v>
      </c>
      <c r="J116" s="59">
        <f t="shared" si="17"/>
        <v>0</v>
      </c>
      <c r="K116" s="59">
        <f t="shared" si="17"/>
        <v>0</v>
      </c>
      <c r="L116" s="59">
        <f t="shared" si="17"/>
        <v>0</v>
      </c>
      <c r="M116" s="59">
        <f t="shared" si="17"/>
        <v>0</v>
      </c>
      <c r="N116" s="59">
        <f t="shared" si="17"/>
        <v>0</v>
      </c>
      <c r="O116" s="59">
        <f t="shared" si="17"/>
        <v>0</v>
      </c>
      <c r="P116" s="59">
        <f t="shared" si="17"/>
        <v>0</v>
      </c>
      <c r="Q116" s="179">
        <f t="shared" si="17"/>
        <v>0</v>
      </c>
    </row>
    <row r="117" spans="1:17" x14ac:dyDescent="0.35">
      <c r="A117" s="110"/>
      <c r="Q117" s="168"/>
    </row>
    <row r="118" spans="1:17" x14ac:dyDescent="0.35">
      <c r="A118" s="110" t="s">
        <v>128</v>
      </c>
      <c r="C118" s="34" t="s">
        <v>80</v>
      </c>
      <c r="Q118" s="168">
        <f>SUM(E118:P118)</f>
        <v>0</v>
      </c>
    </row>
    <row r="119" spans="1:17" ht="18" x14ac:dyDescent="0.35">
      <c r="A119" s="110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180"/>
    </row>
    <row r="120" spans="1:17" ht="18" x14ac:dyDescent="0.35">
      <c r="A120" s="110" t="s">
        <v>129</v>
      </c>
      <c r="D120" s="34" t="s">
        <v>81</v>
      </c>
      <c r="Q120" s="171">
        <f>SUM(E120:P120)</f>
        <v>0</v>
      </c>
    </row>
    <row r="121" spans="1:17" x14ac:dyDescent="0.35">
      <c r="A121" s="110" t="s">
        <v>129</v>
      </c>
      <c r="B121" s="36"/>
      <c r="D121" s="34" t="s">
        <v>82</v>
      </c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177">
        <f>SUM(E121:P121)</f>
        <v>0</v>
      </c>
    </row>
    <row r="122" spans="1:17" x14ac:dyDescent="0.35">
      <c r="A122" s="110"/>
      <c r="C122" s="34" t="s">
        <v>82</v>
      </c>
      <c r="D122" s="61"/>
      <c r="E122" s="34">
        <f t="shared" ref="E122:Q122" si="18">SUM(E120:E121)</f>
        <v>0</v>
      </c>
      <c r="F122" s="34">
        <f t="shared" si="18"/>
        <v>0</v>
      </c>
      <c r="G122" s="34">
        <f t="shared" si="18"/>
        <v>0</v>
      </c>
      <c r="H122" s="34">
        <f t="shared" si="18"/>
        <v>0</v>
      </c>
      <c r="I122" s="34">
        <f t="shared" si="18"/>
        <v>0</v>
      </c>
      <c r="J122" s="34">
        <f t="shared" si="18"/>
        <v>0</v>
      </c>
      <c r="K122" s="34">
        <f t="shared" si="18"/>
        <v>0</v>
      </c>
      <c r="L122" s="34">
        <f t="shared" si="18"/>
        <v>0</v>
      </c>
      <c r="M122" s="34">
        <f t="shared" si="18"/>
        <v>0</v>
      </c>
      <c r="N122" s="34">
        <f t="shared" si="18"/>
        <v>0</v>
      </c>
      <c r="O122" s="34">
        <f t="shared" si="18"/>
        <v>0</v>
      </c>
      <c r="P122" s="34">
        <f t="shared" si="18"/>
        <v>0</v>
      </c>
      <c r="Q122" s="168">
        <f t="shared" si="18"/>
        <v>0</v>
      </c>
    </row>
    <row r="123" spans="1:17" s="36" customFormat="1" ht="18.5" thickBot="1" x14ac:dyDescent="0.4">
      <c r="A123" s="112"/>
      <c r="Q123" s="182"/>
    </row>
    <row r="124" spans="1:17" ht="18.5" thickBot="1" x14ac:dyDescent="0.4">
      <c r="A124" s="110"/>
      <c r="B124" s="82" t="s">
        <v>83</v>
      </c>
      <c r="C124" s="83"/>
      <c r="D124" s="83"/>
      <c r="E124" s="83">
        <f t="shared" ref="E124:Q124" si="19">+E110-E116-E118-E122</f>
        <v>0</v>
      </c>
      <c r="F124" s="83">
        <f t="shared" si="19"/>
        <v>0</v>
      </c>
      <c r="G124" s="83">
        <f t="shared" si="19"/>
        <v>0</v>
      </c>
      <c r="H124" s="83">
        <f t="shared" si="19"/>
        <v>0</v>
      </c>
      <c r="I124" s="83">
        <f t="shared" si="19"/>
        <v>0</v>
      </c>
      <c r="J124" s="83">
        <f t="shared" si="19"/>
        <v>0</v>
      </c>
      <c r="K124" s="83">
        <f t="shared" si="19"/>
        <v>0</v>
      </c>
      <c r="L124" s="83">
        <f t="shared" si="19"/>
        <v>0</v>
      </c>
      <c r="M124" s="83">
        <f t="shared" si="19"/>
        <v>0</v>
      </c>
      <c r="N124" s="83">
        <f t="shared" si="19"/>
        <v>0</v>
      </c>
      <c r="O124" s="83">
        <f t="shared" si="19"/>
        <v>0</v>
      </c>
      <c r="P124" s="83">
        <f t="shared" si="19"/>
        <v>0</v>
      </c>
      <c r="Q124" s="183">
        <f t="shared" si="19"/>
        <v>0</v>
      </c>
    </row>
    <row r="125" spans="1:17" x14ac:dyDescent="0.35">
      <c r="A125" s="110"/>
      <c r="Q125" s="168"/>
    </row>
    <row r="126" spans="1:17" x14ac:dyDescent="0.35">
      <c r="A126" s="110"/>
      <c r="B126" s="34" t="s">
        <v>84</v>
      </c>
      <c r="Q126" s="168"/>
    </row>
    <row r="127" spans="1:17" x14ac:dyDescent="0.35">
      <c r="A127" s="110" t="s">
        <v>132</v>
      </c>
      <c r="D127" s="34" t="s">
        <v>85</v>
      </c>
      <c r="Q127" s="168">
        <f>SUM(E127:P127)</f>
        <v>0</v>
      </c>
    </row>
    <row r="128" spans="1:17" x14ac:dyDescent="0.35">
      <c r="A128" s="110" t="s">
        <v>149</v>
      </c>
      <c r="D128" s="34" t="s">
        <v>86</v>
      </c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68">
        <f>SUM(E128:P128)</f>
        <v>0</v>
      </c>
    </row>
    <row r="129" spans="1:17" x14ac:dyDescent="0.35">
      <c r="A129" s="110" t="s">
        <v>150</v>
      </c>
      <c r="D129" s="34" t="s">
        <v>87</v>
      </c>
      <c r="Q129" s="168">
        <f>SUM(E129:P129)</f>
        <v>0</v>
      </c>
    </row>
    <row r="130" spans="1:17" x14ac:dyDescent="0.35">
      <c r="A130" s="110"/>
      <c r="D130" s="34" t="s">
        <v>88</v>
      </c>
      <c r="E130" s="59">
        <f t="shared" ref="E130:Q130" si="20">SUM(E127:E129)</f>
        <v>0</v>
      </c>
      <c r="F130" s="59">
        <f t="shared" si="20"/>
        <v>0</v>
      </c>
      <c r="G130" s="59">
        <f t="shared" si="20"/>
        <v>0</v>
      </c>
      <c r="H130" s="59">
        <f t="shared" si="20"/>
        <v>0</v>
      </c>
      <c r="I130" s="59">
        <f t="shared" si="20"/>
        <v>0</v>
      </c>
      <c r="J130" s="59">
        <f t="shared" si="20"/>
        <v>0</v>
      </c>
      <c r="K130" s="59">
        <f t="shared" si="20"/>
        <v>0</v>
      </c>
      <c r="L130" s="59">
        <f t="shared" si="20"/>
        <v>0</v>
      </c>
      <c r="M130" s="59">
        <f t="shared" si="20"/>
        <v>0</v>
      </c>
      <c r="N130" s="59">
        <f t="shared" si="20"/>
        <v>0</v>
      </c>
      <c r="O130" s="59">
        <f t="shared" si="20"/>
        <v>0</v>
      </c>
      <c r="P130" s="59">
        <f t="shared" si="20"/>
        <v>0</v>
      </c>
      <c r="Q130" s="179">
        <f t="shared" si="20"/>
        <v>0</v>
      </c>
    </row>
    <row r="131" spans="1:17" x14ac:dyDescent="0.35">
      <c r="A131" s="110"/>
      <c r="Q131" s="168"/>
    </row>
    <row r="132" spans="1:17" ht="18.5" thickBot="1" x14ac:dyDescent="0.4">
      <c r="A132" s="112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181"/>
    </row>
    <row r="133" spans="1:17" ht="18.5" thickBot="1" x14ac:dyDescent="0.4">
      <c r="A133" s="110"/>
      <c r="B133" s="82" t="s">
        <v>89</v>
      </c>
      <c r="C133" s="83"/>
      <c r="D133" s="83"/>
      <c r="E133" s="83">
        <f t="shared" ref="E133:Q133" si="21">+E124-E130</f>
        <v>0</v>
      </c>
      <c r="F133" s="83">
        <f t="shared" si="21"/>
        <v>0</v>
      </c>
      <c r="G133" s="83">
        <f t="shared" si="21"/>
        <v>0</v>
      </c>
      <c r="H133" s="83">
        <f t="shared" si="21"/>
        <v>0</v>
      </c>
      <c r="I133" s="83">
        <f t="shared" si="21"/>
        <v>0</v>
      </c>
      <c r="J133" s="83">
        <f t="shared" si="21"/>
        <v>0</v>
      </c>
      <c r="K133" s="83">
        <f t="shared" si="21"/>
        <v>0</v>
      </c>
      <c r="L133" s="83">
        <f t="shared" si="21"/>
        <v>0</v>
      </c>
      <c r="M133" s="83">
        <f t="shared" si="21"/>
        <v>0</v>
      </c>
      <c r="N133" s="83">
        <f t="shared" si="21"/>
        <v>0</v>
      </c>
      <c r="O133" s="83">
        <f t="shared" si="21"/>
        <v>0</v>
      </c>
      <c r="P133" s="83">
        <f t="shared" si="21"/>
        <v>0</v>
      </c>
      <c r="Q133" s="183">
        <f t="shared" si="21"/>
        <v>0</v>
      </c>
    </row>
    <row r="134" spans="1:17" x14ac:dyDescent="0.35">
      <c r="A134" s="113"/>
      <c r="B134" s="36"/>
      <c r="C134" s="63"/>
    </row>
    <row r="135" spans="1:17" s="36" customFormat="1" ht="15" x14ac:dyDescent="0.3">
      <c r="A135" s="113"/>
      <c r="C135" s="63"/>
      <c r="D135" s="64"/>
    </row>
    <row r="136" spans="1:17" x14ac:dyDescent="0.35">
      <c r="A136" s="110"/>
    </row>
    <row r="137" spans="1:17" x14ac:dyDescent="0.35">
      <c r="A137" s="114"/>
    </row>
    <row r="138" spans="1:17" x14ac:dyDescent="0.35">
      <c r="A138" s="114"/>
    </row>
    <row r="139" spans="1:17" x14ac:dyDescent="0.35">
      <c r="A139" s="114"/>
    </row>
    <row r="140" spans="1:17" x14ac:dyDescent="0.35">
      <c r="A140" s="114"/>
      <c r="B140" s="62"/>
      <c r="D140" s="66"/>
    </row>
    <row r="141" spans="1:17" ht="18" x14ac:dyDescent="0.35">
      <c r="A141" s="80"/>
      <c r="D141" s="35" t="str">
        <f>"Budget Import - "&amp;B1</f>
        <v>Budget Import - Unallocated Expenses-G&amp;A, Interest</v>
      </c>
    </row>
    <row r="142" spans="1:17" ht="16.5" thickBot="1" x14ac:dyDescent="0.4">
      <c r="A142" s="80"/>
      <c r="D142" s="34" t="s">
        <v>100</v>
      </c>
      <c r="E142" s="34">
        <v>1</v>
      </c>
      <c r="F142" s="34">
        <v>2</v>
      </c>
      <c r="G142" s="34">
        <v>3</v>
      </c>
      <c r="H142" s="34">
        <v>4</v>
      </c>
      <c r="I142" s="34">
        <v>5</v>
      </c>
      <c r="J142" s="34">
        <v>6</v>
      </c>
      <c r="K142" s="34">
        <v>7</v>
      </c>
      <c r="L142" s="34">
        <v>8</v>
      </c>
      <c r="M142" s="34">
        <v>9</v>
      </c>
      <c r="N142" s="34">
        <v>10</v>
      </c>
      <c r="O142" s="34">
        <v>11</v>
      </c>
      <c r="P142" s="34">
        <v>12</v>
      </c>
      <c r="Q142" s="41" t="s">
        <v>12</v>
      </c>
    </row>
    <row r="143" spans="1:17" x14ac:dyDescent="0.35">
      <c r="A143" s="80"/>
      <c r="D143" s="98" t="s">
        <v>122</v>
      </c>
      <c r="E143" s="102">
        <f t="shared" ref="E143:P143" si="22">+E93</f>
        <v>0</v>
      </c>
      <c r="F143" s="102">
        <f t="shared" si="22"/>
        <v>0</v>
      </c>
      <c r="G143" s="102">
        <f t="shared" si="22"/>
        <v>0</v>
      </c>
      <c r="H143" s="102">
        <f t="shared" si="22"/>
        <v>0</v>
      </c>
      <c r="I143" s="102">
        <f t="shared" si="22"/>
        <v>0</v>
      </c>
      <c r="J143" s="102">
        <f t="shared" si="22"/>
        <v>0</v>
      </c>
      <c r="K143" s="102">
        <f t="shared" si="22"/>
        <v>0</v>
      </c>
      <c r="L143" s="102">
        <f t="shared" si="22"/>
        <v>0</v>
      </c>
      <c r="M143" s="102">
        <f t="shared" si="22"/>
        <v>0</v>
      </c>
      <c r="N143" s="102">
        <f t="shared" si="22"/>
        <v>0</v>
      </c>
      <c r="O143" s="102">
        <f t="shared" si="22"/>
        <v>0</v>
      </c>
      <c r="P143" s="103">
        <f t="shared" si="22"/>
        <v>0</v>
      </c>
      <c r="Q143" s="41">
        <f>SUM(E143:P143)</f>
        <v>0</v>
      </c>
    </row>
    <row r="144" spans="1:17" x14ac:dyDescent="0.35">
      <c r="A144" s="80"/>
      <c r="D144" s="99" t="s">
        <v>123</v>
      </c>
      <c r="E144" s="105">
        <f t="shared" ref="E144:P144" si="23">+E95</f>
        <v>0</v>
      </c>
      <c r="F144" s="105">
        <f t="shared" si="23"/>
        <v>0</v>
      </c>
      <c r="G144" s="105">
        <f t="shared" si="23"/>
        <v>0</v>
      </c>
      <c r="H144" s="105">
        <f t="shared" si="23"/>
        <v>0</v>
      </c>
      <c r="I144" s="105">
        <f t="shared" si="23"/>
        <v>0</v>
      </c>
      <c r="J144" s="105">
        <f t="shared" si="23"/>
        <v>0</v>
      </c>
      <c r="K144" s="105">
        <f t="shared" si="23"/>
        <v>0</v>
      </c>
      <c r="L144" s="105">
        <f t="shared" si="23"/>
        <v>0</v>
      </c>
      <c r="M144" s="105">
        <f t="shared" si="23"/>
        <v>0</v>
      </c>
      <c r="N144" s="105">
        <f t="shared" si="23"/>
        <v>0</v>
      </c>
      <c r="O144" s="105">
        <f t="shared" si="23"/>
        <v>0</v>
      </c>
      <c r="P144" s="106">
        <f t="shared" si="23"/>
        <v>0</v>
      </c>
      <c r="Q144" s="41">
        <f>SUM(E144:P144)</f>
        <v>0</v>
      </c>
    </row>
    <row r="145" spans="1:17" x14ac:dyDescent="0.35">
      <c r="A145" s="80"/>
      <c r="D145" s="99" t="s">
        <v>130</v>
      </c>
      <c r="E145" s="105">
        <f t="shared" ref="E145:P145" si="24">+E97</f>
        <v>0</v>
      </c>
      <c r="F145" s="105">
        <f t="shared" si="24"/>
        <v>0</v>
      </c>
      <c r="G145" s="105">
        <f t="shared" si="24"/>
        <v>0</v>
      </c>
      <c r="H145" s="105">
        <f t="shared" si="24"/>
        <v>0</v>
      </c>
      <c r="I145" s="105">
        <f t="shared" si="24"/>
        <v>0</v>
      </c>
      <c r="J145" s="105">
        <f t="shared" si="24"/>
        <v>0</v>
      </c>
      <c r="K145" s="105">
        <f t="shared" si="24"/>
        <v>0</v>
      </c>
      <c r="L145" s="105">
        <f t="shared" si="24"/>
        <v>0</v>
      </c>
      <c r="M145" s="105">
        <f t="shared" si="24"/>
        <v>0</v>
      </c>
      <c r="N145" s="105">
        <f t="shared" si="24"/>
        <v>0</v>
      </c>
      <c r="O145" s="105">
        <f t="shared" si="24"/>
        <v>0</v>
      </c>
      <c r="P145" s="106">
        <f t="shared" si="24"/>
        <v>0</v>
      </c>
      <c r="Q145" s="41">
        <f>SUM(E145:P145)</f>
        <v>0</v>
      </c>
    </row>
    <row r="146" spans="1:17" x14ac:dyDescent="0.35">
      <c r="A146" s="80"/>
      <c r="D146" s="99" t="s">
        <v>131</v>
      </c>
      <c r="E146" s="105">
        <f t="shared" ref="E146:P146" si="25">+E100</f>
        <v>0</v>
      </c>
      <c r="F146" s="105">
        <f t="shared" si="25"/>
        <v>0</v>
      </c>
      <c r="G146" s="105">
        <f t="shared" si="25"/>
        <v>0</v>
      </c>
      <c r="H146" s="105">
        <f t="shared" si="25"/>
        <v>0</v>
      </c>
      <c r="I146" s="105">
        <f t="shared" si="25"/>
        <v>0</v>
      </c>
      <c r="J146" s="105">
        <f t="shared" si="25"/>
        <v>0</v>
      </c>
      <c r="K146" s="105">
        <f t="shared" si="25"/>
        <v>0</v>
      </c>
      <c r="L146" s="105">
        <f t="shared" si="25"/>
        <v>0</v>
      </c>
      <c r="M146" s="105">
        <f t="shared" si="25"/>
        <v>0</v>
      </c>
      <c r="N146" s="105">
        <f t="shared" si="25"/>
        <v>0</v>
      </c>
      <c r="O146" s="105">
        <f t="shared" si="25"/>
        <v>0</v>
      </c>
      <c r="P146" s="106">
        <f t="shared" si="25"/>
        <v>0</v>
      </c>
      <c r="Q146" s="41">
        <f>SUM(E146:P146)</f>
        <v>0</v>
      </c>
    </row>
    <row r="147" spans="1:17" ht="16.5" thickBot="1" x14ac:dyDescent="0.4">
      <c r="A147" s="80"/>
      <c r="D147" s="100" t="s">
        <v>132</v>
      </c>
      <c r="E147" s="108">
        <f t="shared" ref="E147:P147" si="26">+E127</f>
        <v>0</v>
      </c>
      <c r="F147" s="108">
        <f t="shared" si="26"/>
        <v>0</v>
      </c>
      <c r="G147" s="108">
        <f t="shared" si="26"/>
        <v>0</v>
      </c>
      <c r="H147" s="108">
        <f t="shared" si="26"/>
        <v>0</v>
      </c>
      <c r="I147" s="108">
        <f t="shared" si="26"/>
        <v>0</v>
      </c>
      <c r="J147" s="108">
        <f t="shared" si="26"/>
        <v>0</v>
      </c>
      <c r="K147" s="108">
        <f t="shared" si="26"/>
        <v>0</v>
      </c>
      <c r="L147" s="108">
        <f t="shared" si="26"/>
        <v>0</v>
      </c>
      <c r="M147" s="108">
        <f t="shared" si="26"/>
        <v>0</v>
      </c>
      <c r="N147" s="108">
        <f t="shared" si="26"/>
        <v>0</v>
      </c>
      <c r="O147" s="108">
        <f t="shared" si="26"/>
        <v>0</v>
      </c>
      <c r="P147" s="109">
        <f t="shared" si="26"/>
        <v>0</v>
      </c>
      <c r="Q147" s="41">
        <f>SUM(E147:P147)</f>
        <v>0</v>
      </c>
    </row>
    <row r="148" spans="1:17" x14ac:dyDescent="0.35">
      <c r="A148" s="80"/>
      <c r="E148" s="34">
        <f t="shared" ref="E148:Q148" si="27">SUM(E143:E147)</f>
        <v>0</v>
      </c>
      <c r="F148" s="34">
        <f t="shared" si="27"/>
        <v>0</v>
      </c>
      <c r="G148" s="34">
        <f t="shared" si="27"/>
        <v>0</v>
      </c>
      <c r="H148" s="34">
        <f t="shared" si="27"/>
        <v>0</v>
      </c>
      <c r="I148" s="34">
        <f t="shared" si="27"/>
        <v>0</v>
      </c>
      <c r="J148" s="34">
        <f t="shared" si="27"/>
        <v>0</v>
      </c>
      <c r="K148" s="34">
        <f t="shared" si="27"/>
        <v>0</v>
      </c>
      <c r="L148" s="34">
        <f t="shared" si="27"/>
        <v>0</v>
      </c>
      <c r="M148" s="34">
        <f t="shared" si="27"/>
        <v>0</v>
      </c>
      <c r="N148" s="34">
        <f t="shared" si="27"/>
        <v>0</v>
      </c>
      <c r="O148" s="34">
        <f t="shared" si="27"/>
        <v>0</v>
      </c>
      <c r="P148" s="34">
        <f t="shared" si="27"/>
        <v>0</v>
      </c>
      <c r="Q148" s="41">
        <f t="shared" si="27"/>
        <v>0</v>
      </c>
    </row>
  </sheetData>
  <sheetProtection selectLockedCells="1"/>
  <pageMargins left="0.5" right="0.5" top="0.5" bottom="0.5" header="0.25" footer="0.25"/>
  <pageSetup paperSize="5" scale="45" fitToHeight="2" orientation="landscape" cellComments="asDisplayed" r:id="rId1"/>
  <headerFooter alignWithMargins="0">
    <oddFooter>&amp;L&amp;Z&amp;F\&amp;A&amp;R&amp;D;&amp;T</oddFooter>
  </headerFooter>
  <rowBreaks count="1" manualBreakCount="1">
    <brk id="71" min="1" max="16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theme="0"/>
  </sheetPr>
  <dimension ref="A1:V385"/>
  <sheetViews>
    <sheetView tabSelected="1" view="pageBreakPreview" topLeftCell="A47" zoomScale="60" zoomScaleNormal="82" workbookViewId="0">
      <selection activeCell="A11" sqref="A11"/>
    </sheetView>
  </sheetViews>
  <sheetFormatPr defaultColWidth="10.81640625" defaultRowHeight="16" outlineLevelRow="1" outlineLevelCol="1" x14ac:dyDescent="0.35"/>
  <cols>
    <col min="1" max="1" width="15.54296875" style="34" bestFit="1" customWidth="1"/>
    <col min="2" max="2" width="9.1796875" style="34" customWidth="1"/>
    <col min="3" max="3" width="2.81640625" style="34" customWidth="1"/>
    <col min="4" max="4" width="37.81640625" style="34" customWidth="1"/>
    <col min="5" max="5" width="13.81640625" style="34" customWidth="1"/>
    <col min="6" max="6" width="11.81640625" style="34" customWidth="1"/>
    <col min="7" max="7" width="12.1796875" style="34" customWidth="1"/>
    <col min="8" max="8" width="12.81640625" style="34" customWidth="1"/>
    <col min="9" max="9" width="11.81640625" style="34" customWidth="1"/>
    <col min="10" max="10" width="11.453125" style="34" customWidth="1"/>
    <col min="11" max="16" width="13.1796875" style="34" customWidth="1"/>
    <col min="17" max="17" width="14.54296875" style="34" bestFit="1" customWidth="1"/>
    <col min="18" max="18" width="14.453125" style="34" bestFit="1" customWidth="1"/>
    <col min="19" max="19" width="13.81640625" style="34" hidden="1" customWidth="1" outlineLevel="1"/>
    <col min="20" max="20" width="11.1796875" style="330" hidden="1" customWidth="1" outlineLevel="1"/>
    <col min="21" max="21" width="9.81640625" style="54" bestFit="1" customWidth="1" collapsed="1"/>
    <col min="22" max="22" width="64.81640625" style="34" bestFit="1" customWidth="1"/>
    <col min="23" max="16384" width="10.81640625" style="34"/>
  </cols>
  <sheetData>
    <row r="1" spans="1:22" s="51" customFormat="1" ht="29" x14ac:dyDescent="0.25">
      <c r="B1" s="280">
        <v>4050</v>
      </c>
      <c r="C1" s="280"/>
      <c r="J1" s="52" t="str">
        <f>+'NI LLC-Consolidated'!J1</f>
        <v>Operating Budget</v>
      </c>
      <c r="Q1" s="389">
        <f>'NI LLC-Consolidated'!Q1</f>
        <v>46023</v>
      </c>
      <c r="R1" s="389"/>
      <c r="S1" s="389"/>
      <c r="T1" s="390"/>
      <c r="U1" s="291"/>
    </row>
    <row r="2" spans="1:22" ht="18" x14ac:dyDescent="0.35">
      <c r="J2" s="120" t="str">
        <f>'NI LLC-Consolidated'!J2</f>
        <v>Neshaminy Interplex LLC</v>
      </c>
      <c r="Q2" s="391"/>
      <c r="R2" s="391"/>
      <c r="S2" s="391"/>
      <c r="T2" s="388"/>
    </row>
    <row r="3" spans="1:22" ht="18" x14ac:dyDescent="0.35">
      <c r="Q3" s="468">
        <f>Q1</f>
        <v>46023</v>
      </c>
      <c r="R3" s="469"/>
      <c r="S3" s="392" t="s">
        <v>504</v>
      </c>
      <c r="T3" s="393"/>
    </row>
    <row r="4" spans="1:22" s="39" customFormat="1" ht="18" x14ac:dyDescent="0.35">
      <c r="B4" s="281">
        <v>54008</v>
      </c>
      <c r="C4" s="281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29" t="s">
        <v>12</v>
      </c>
      <c r="R4" s="429" t="s">
        <v>442</v>
      </c>
      <c r="S4" s="394" t="s">
        <v>12</v>
      </c>
      <c r="T4" s="395" t="s">
        <v>503</v>
      </c>
      <c r="U4" s="292" t="s">
        <v>449</v>
      </c>
      <c r="V4" s="297" t="s">
        <v>370</v>
      </c>
    </row>
    <row r="5" spans="1:22" x14ac:dyDescent="0.35">
      <c r="Q5" s="430"/>
      <c r="R5" s="430"/>
      <c r="S5" s="396"/>
      <c r="T5" s="397"/>
      <c r="U5" s="294"/>
      <c r="V5" s="38"/>
    </row>
    <row r="6" spans="1:22" s="56" customFormat="1" x14ac:dyDescent="0.35">
      <c r="B6" s="57"/>
      <c r="D6" s="276" t="s">
        <v>13</v>
      </c>
      <c r="E6" s="277">
        <f>'Renew &amp; Vac'!AJ9</f>
        <v>0.58579999999999999</v>
      </c>
      <c r="F6" s="277">
        <f>'Renew &amp; Vac'!AK9</f>
        <v>0.58579999999999999</v>
      </c>
      <c r="G6" s="277">
        <f>'Renew &amp; Vac'!AL9</f>
        <v>0.58579999999999999</v>
      </c>
      <c r="H6" s="277">
        <f>'Renew &amp; Vac'!AM9</f>
        <v>0.58579999999999999</v>
      </c>
      <c r="I6" s="277">
        <f>'Renew &amp; Vac'!AN9</f>
        <v>0.58579999999999999</v>
      </c>
      <c r="J6" s="277">
        <f>'Renew &amp; Vac'!AO9</f>
        <v>0.58579999999999999</v>
      </c>
      <c r="K6" s="277">
        <f>'Renew &amp; Vac'!AP9</f>
        <v>0.58579999999999999</v>
      </c>
      <c r="L6" s="277">
        <f>'Renew &amp; Vac'!AQ9</f>
        <v>0.58579999999999999</v>
      </c>
      <c r="M6" s="277">
        <f>'Renew &amp; Vac'!AR9</f>
        <v>0.58579999999999999</v>
      </c>
      <c r="N6" s="277">
        <f>'Renew &amp; Vac'!AS9</f>
        <v>0.58579999999999999</v>
      </c>
      <c r="O6" s="277">
        <f>'Renew &amp; Vac'!AT9</f>
        <v>0.58579999999999999</v>
      </c>
      <c r="P6" s="277">
        <f>'Renew &amp; Vac'!AU9</f>
        <v>0.58579999999999999</v>
      </c>
      <c r="Q6" s="431"/>
      <c r="R6" s="431"/>
      <c r="S6" s="398"/>
      <c r="T6" s="399"/>
      <c r="U6" s="298"/>
      <c r="V6" s="299"/>
    </row>
    <row r="7" spans="1:22" s="56" customFormat="1" x14ac:dyDescent="0.35">
      <c r="B7" s="57"/>
      <c r="D7" s="276" t="s">
        <v>447</v>
      </c>
      <c r="E7" s="278">
        <f>$B$4*E6</f>
        <v>31637.886399999999</v>
      </c>
      <c r="F7" s="278">
        <f t="shared" ref="F7:P7" si="0">$B$4*F6</f>
        <v>31637.886399999999</v>
      </c>
      <c r="G7" s="278">
        <f t="shared" si="0"/>
        <v>31637.886399999999</v>
      </c>
      <c r="H7" s="278">
        <f t="shared" si="0"/>
        <v>31637.886399999999</v>
      </c>
      <c r="I7" s="278">
        <f t="shared" si="0"/>
        <v>31637.886399999999</v>
      </c>
      <c r="J7" s="278">
        <f t="shared" si="0"/>
        <v>31637.886399999999</v>
      </c>
      <c r="K7" s="278">
        <f t="shared" si="0"/>
        <v>31637.886399999999</v>
      </c>
      <c r="L7" s="278">
        <f t="shared" si="0"/>
        <v>31637.886399999999</v>
      </c>
      <c r="M7" s="278">
        <f t="shared" si="0"/>
        <v>31637.886399999999</v>
      </c>
      <c r="N7" s="278">
        <f t="shared" si="0"/>
        <v>31637.886399999999</v>
      </c>
      <c r="O7" s="278">
        <f t="shared" si="0"/>
        <v>31637.886399999999</v>
      </c>
      <c r="P7" s="278">
        <f t="shared" si="0"/>
        <v>31637.886399999999</v>
      </c>
      <c r="Q7" s="431"/>
      <c r="R7" s="431"/>
      <c r="S7" s="398"/>
      <c r="T7" s="399"/>
      <c r="U7" s="298"/>
      <c r="V7" s="299"/>
    </row>
    <row r="8" spans="1:22" ht="18" x14ac:dyDescent="0.35">
      <c r="B8" s="35" t="s">
        <v>14</v>
      </c>
      <c r="Q8" s="430"/>
      <c r="R8" s="430"/>
      <c r="S8" s="396"/>
      <c r="T8" s="397"/>
      <c r="U8" s="294"/>
      <c r="V8" s="38"/>
    </row>
    <row r="9" spans="1:22" x14ac:dyDescent="0.35">
      <c r="A9" s="110"/>
      <c r="Q9" s="430"/>
      <c r="R9" s="430"/>
      <c r="S9" s="396"/>
      <c r="T9" s="397"/>
      <c r="U9" s="294"/>
      <c r="V9" s="38"/>
    </row>
    <row r="10" spans="1:22" x14ac:dyDescent="0.35">
      <c r="A10" s="110" t="s">
        <v>136</v>
      </c>
      <c r="C10" s="34" t="s">
        <v>163</v>
      </c>
      <c r="E10" s="34">
        <f>SUMIFS('In Place Revenue'!$G:$G,'In Place Revenue'!$A:$A,"4050",'In Place Revenue'!$H:$H,1)</f>
        <v>43151.750000000007</v>
      </c>
      <c r="F10" s="34">
        <f>SUMIFS('In Place Revenue'!$G:$G,'In Place Revenue'!$A:$A,"4050",'In Place Revenue'!$H:$H,2)</f>
        <v>43151.750000000007</v>
      </c>
      <c r="G10" s="34">
        <f>SUMIFS('In Place Revenue'!$G:$G,'In Place Revenue'!$A:$A,"4050",'In Place Revenue'!$H:$H,3)</f>
        <v>43151.750000000007</v>
      </c>
      <c r="H10" s="34">
        <f>SUMIFS('In Place Revenue'!$G:$G,'In Place Revenue'!$A:$A,"4050",'In Place Revenue'!$H:$H,4)</f>
        <v>37187.33</v>
      </c>
      <c r="I10" s="34">
        <f>SUMIFS('In Place Revenue'!$G:$G,'In Place Revenue'!$A:$A,"4050",'In Place Revenue'!$H:$H,5)</f>
        <v>37187.33</v>
      </c>
      <c r="J10" s="34">
        <f>SUMIFS('In Place Revenue'!$G:$G,'In Place Revenue'!$A:$A,"4050",'In Place Revenue'!$H:$H,6)</f>
        <v>37187.33</v>
      </c>
      <c r="K10" s="34">
        <f>SUMIFS('In Place Revenue'!$G:$G,'In Place Revenue'!$A:$A,"4050",'In Place Revenue'!$H:$H,7)</f>
        <v>19840.96</v>
      </c>
      <c r="L10" s="34">
        <f>SUMIFS('In Place Revenue'!$G:$G,'In Place Revenue'!$A:$A,"4050",'In Place Revenue'!$H:$H,8)</f>
        <v>19840.96</v>
      </c>
      <c r="M10" s="34">
        <f>SUMIFS('In Place Revenue'!$G:$G,'In Place Revenue'!$A:$A,"4050",'In Place Revenue'!$H:$H,9)</f>
        <v>19840.96</v>
      </c>
      <c r="N10" s="34">
        <f>SUMIFS('In Place Revenue'!$G:$G,'In Place Revenue'!$A:$A,"4050",'In Place Revenue'!$H:$H,10)</f>
        <v>11025.710000000001</v>
      </c>
      <c r="O10" s="34">
        <f>SUMIFS('In Place Revenue'!$G:$G,'In Place Revenue'!$A:$A,"4050",'In Place Revenue'!$H:$H,11)</f>
        <v>7562.42</v>
      </c>
      <c r="P10" s="34">
        <f>SUMIFS('In Place Revenue'!$G:$G,'In Place Revenue'!$A:$A,"4050",'In Place Revenue'!$H:$H,12)</f>
        <v>7562.42</v>
      </c>
      <c r="Q10" s="430">
        <f>SUM(E10:P10)</f>
        <v>326690.67000000004</v>
      </c>
      <c r="R10" s="432">
        <f>Q10/$B$4</f>
        <v>6.0489310842838107</v>
      </c>
      <c r="S10" s="396">
        <v>534079.37</v>
      </c>
      <c r="T10" s="460">
        <f>IFERROR(Q10/S10-1,"-")</f>
        <v>-0.38831063630111751</v>
      </c>
      <c r="U10" s="300"/>
      <c r="V10" s="38"/>
    </row>
    <row r="11" spans="1:22" x14ac:dyDescent="0.35">
      <c r="A11" s="110" t="s">
        <v>136</v>
      </c>
      <c r="C11" s="34" t="s">
        <v>164</v>
      </c>
      <c r="E11" s="34">
        <f>'Renew &amp; Vac'!AJ10</f>
        <v>5483.708333333333</v>
      </c>
      <c r="F11" s="34">
        <f>'Renew &amp; Vac'!AK10</f>
        <v>5483.708333333333</v>
      </c>
      <c r="G11" s="34">
        <f>'Renew &amp; Vac'!AL10</f>
        <v>5483.708333333333</v>
      </c>
      <c r="H11" s="34">
        <f>'Renew &amp; Vac'!AM10</f>
        <v>11448.125</v>
      </c>
      <c r="I11" s="34">
        <f>'Renew &amp; Vac'!AN10</f>
        <v>11448.125</v>
      </c>
      <c r="J11" s="34">
        <f>'Renew &amp; Vac'!AO10</f>
        <v>11448.125</v>
      </c>
      <c r="K11" s="34">
        <f>'Renew &amp; Vac'!AP10</f>
        <v>28841.291666666668</v>
      </c>
      <c r="L11" s="34">
        <f>'Renew &amp; Vac'!AQ10</f>
        <v>28841.291666666668</v>
      </c>
      <c r="M11" s="34">
        <f>'Renew &amp; Vac'!AR10</f>
        <v>28841.291666666668</v>
      </c>
      <c r="N11" s="34">
        <f>'Renew &amp; Vac'!AS10</f>
        <v>37656.541666666664</v>
      </c>
      <c r="O11" s="34">
        <f>'Renew &amp; Vac'!AT10</f>
        <v>41119.833333333336</v>
      </c>
      <c r="P11" s="34">
        <f>'Renew &amp; Vac'!AU10</f>
        <v>41119.833333333336</v>
      </c>
      <c r="Q11" s="430">
        <f>SUM(E11:P11)</f>
        <v>257215.58333333334</v>
      </c>
      <c r="R11" s="432">
        <f t="shared" ref="R11:R71" si="1">Q11/$B$4</f>
        <v>4.7625459808423445</v>
      </c>
      <c r="S11" s="396"/>
      <c r="T11" s="460" t="str">
        <f>IFERROR(Q11/S11-1,"-")</f>
        <v>-</v>
      </c>
      <c r="U11" s="300"/>
      <c r="V11" s="38"/>
    </row>
    <row r="12" spans="1:22" hidden="1" x14ac:dyDescent="0.35">
      <c r="A12" s="110" t="s">
        <v>101</v>
      </c>
      <c r="C12" s="34" t="s">
        <v>16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30">
        <f>SUM(E12:P12)</f>
        <v>0</v>
      </c>
      <c r="R12" s="432">
        <f t="shared" si="1"/>
        <v>0</v>
      </c>
      <c r="S12" s="396"/>
      <c r="T12" s="399" t="e">
        <f>R12/S12-1</f>
        <v>#DIV/0!</v>
      </c>
      <c r="U12" s="300"/>
      <c r="V12" s="38"/>
    </row>
    <row r="13" spans="1:22" x14ac:dyDescent="0.35">
      <c r="A13" s="110" t="s">
        <v>137</v>
      </c>
      <c r="C13" s="34" t="s">
        <v>17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30">
        <f>SUM(E13:P13)</f>
        <v>0</v>
      </c>
      <c r="R13" s="432">
        <f t="shared" si="1"/>
        <v>0</v>
      </c>
      <c r="S13" s="396"/>
      <c r="T13" s="460" t="str">
        <f>IFERROR(Q13/S13-1,"-")</f>
        <v>-</v>
      </c>
      <c r="U13" s="300"/>
      <c r="V13" s="38"/>
    </row>
    <row r="14" spans="1:22" x14ac:dyDescent="0.35">
      <c r="A14" s="110" t="s">
        <v>138</v>
      </c>
      <c r="C14" s="34" t="s">
        <v>18</v>
      </c>
      <c r="E14" s="40">
        <v>207</v>
      </c>
      <c r="F14" s="40">
        <v>207</v>
      </c>
      <c r="G14" s="40">
        <v>207</v>
      </c>
      <c r="H14" s="40">
        <v>207</v>
      </c>
      <c r="I14" s="40">
        <v>207</v>
      </c>
      <c r="J14" s="40">
        <v>207</v>
      </c>
      <c r="K14" s="40">
        <v>207</v>
      </c>
      <c r="L14" s="40">
        <v>207</v>
      </c>
      <c r="M14" s="40">
        <v>207</v>
      </c>
      <c r="N14" s="40">
        <v>207</v>
      </c>
      <c r="O14" s="40">
        <v>207</v>
      </c>
      <c r="P14" s="40">
        <v>207</v>
      </c>
      <c r="Q14" s="430">
        <f>SUM(E14:P14)</f>
        <v>2484</v>
      </c>
      <c r="R14" s="432">
        <f t="shared" si="1"/>
        <v>4.5993186194637832E-2</v>
      </c>
      <c r="S14" s="396"/>
      <c r="T14" s="460" t="str">
        <f>IFERROR(Q14/S14-1,"-")</f>
        <v>-</v>
      </c>
      <c r="U14" s="300" t="s">
        <v>371</v>
      </c>
      <c r="V14" s="38" t="s">
        <v>451</v>
      </c>
    </row>
    <row r="15" spans="1:22" x14ac:dyDescent="0.35">
      <c r="A15" s="110"/>
      <c r="C15" s="34" t="s">
        <v>19</v>
      </c>
      <c r="D15" s="44"/>
      <c r="E15" s="59">
        <f t="shared" ref="E15:Q15" si="2">SUM(E10:E14)</f>
        <v>48842.458333333343</v>
      </c>
      <c r="F15" s="59">
        <f t="shared" si="2"/>
        <v>48842.458333333343</v>
      </c>
      <c r="G15" s="59">
        <f t="shared" si="2"/>
        <v>48842.458333333343</v>
      </c>
      <c r="H15" s="59">
        <f t="shared" si="2"/>
        <v>48842.455000000002</v>
      </c>
      <c r="I15" s="59">
        <f t="shared" si="2"/>
        <v>48842.455000000002</v>
      </c>
      <c r="J15" s="59">
        <f t="shared" si="2"/>
        <v>48842.455000000002</v>
      </c>
      <c r="K15" s="59">
        <f t="shared" si="2"/>
        <v>48889.251666666663</v>
      </c>
      <c r="L15" s="59">
        <f t="shared" si="2"/>
        <v>48889.251666666663</v>
      </c>
      <c r="M15" s="59">
        <f t="shared" si="2"/>
        <v>48889.251666666663</v>
      </c>
      <c r="N15" s="59">
        <f t="shared" si="2"/>
        <v>48889.251666666663</v>
      </c>
      <c r="O15" s="59">
        <f t="shared" si="2"/>
        <v>48889.253333333334</v>
      </c>
      <c r="P15" s="59">
        <f t="shared" si="2"/>
        <v>48889.253333333334</v>
      </c>
      <c r="Q15" s="433">
        <f t="shared" si="2"/>
        <v>586390.25333333341</v>
      </c>
      <c r="R15" s="434">
        <f t="shared" si="1"/>
        <v>10.857470251320793</v>
      </c>
      <c r="S15" s="400">
        <f>SUM(S10:S14)</f>
        <v>534079.37</v>
      </c>
      <c r="T15" s="461">
        <f>IFERROR(Q15/S15-1,"-")</f>
        <v>9.7945897691823269E-2</v>
      </c>
      <c r="U15" s="300"/>
      <c r="V15" s="38"/>
    </row>
    <row r="16" spans="1:22" ht="18" x14ac:dyDescent="0.35">
      <c r="A16" s="110"/>
      <c r="Q16" s="435"/>
      <c r="R16" s="436"/>
      <c r="S16" s="402"/>
      <c r="T16" s="403"/>
      <c r="U16" s="301"/>
      <c r="V16" s="38"/>
    </row>
    <row r="17" spans="1:22" ht="18" x14ac:dyDescent="0.35">
      <c r="A17" s="110"/>
      <c r="B17" s="35" t="s">
        <v>20</v>
      </c>
      <c r="Q17" s="430"/>
      <c r="R17" s="432"/>
      <c r="S17" s="396"/>
      <c r="T17" s="399"/>
      <c r="U17" s="300"/>
      <c r="V17" s="38"/>
    </row>
    <row r="18" spans="1:22" x14ac:dyDescent="0.35">
      <c r="A18" s="110" t="s">
        <v>102</v>
      </c>
      <c r="C18" s="34" t="s">
        <v>21</v>
      </c>
      <c r="E18" s="34">
        <f t="shared" ref="E18:P18" si="3">E6*E29</f>
        <v>7434.3877999999995</v>
      </c>
      <c r="F18" s="34">
        <f t="shared" si="3"/>
        <v>6089.3909999999996</v>
      </c>
      <c r="G18" s="34">
        <f t="shared" si="3"/>
        <v>5289.1881999999996</v>
      </c>
      <c r="H18" s="34">
        <f t="shared" si="3"/>
        <v>5077.1286</v>
      </c>
      <c r="I18" s="34">
        <f t="shared" si="3"/>
        <v>4161.5231999999996</v>
      </c>
      <c r="J18" s="34">
        <f t="shared" si="3"/>
        <v>4534.6777999999995</v>
      </c>
      <c r="K18" s="34">
        <f t="shared" si="3"/>
        <v>5136.2943999999998</v>
      </c>
      <c r="L18" s="34">
        <f t="shared" si="3"/>
        <v>5243.4957999999997</v>
      </c>
      <c r="M18" s="34">
        <f t="shared" si="3"/>
        <v>4391.7425999999996</v>
      </c>
      <c r="N18" s="34">
        <f t="shared" si="3"/>
        <v>5212.4484000000002</v>
      </c>
      <c r="O18" s="34">
        <f t="shared" si="3"/>
        <v>4861.5541999999996</v>
      </c>
      <c r="P18" s="34">
        <f t="shared" si="3"/>
        <v>6659.9601999999995</v>
      </c>
      <c r="Q18" s="430">
        <f>SUM(E18:P18)</f>
        <v>64091.792199999996</v>
      </c>
      <c r="R18" s="432">
        <f t="shared" si="1"/>
        <v>1.1867092319656347</v>
      </c>
      <c r="S18" s="396">
        <v>61616.19</v>
      </c>
      <c r="T18" s="460">
        <f>IFERROR(Q18/S18-1,"-")</f>
        <v>4.0177787688592703E-2</v>
      </c>
      <c r="U18" s="300" t="s">
        <v>371</v>
      </c>
      <c r="V18" s="316" t="str">
        <f>Q18/Q29*100&amp;"% Set to occupancy"</f>
        <v>58.58% Set to occupancy</v>
      </c>
    </row>
    <row r="19" spans="1:22" x14ac:dyDescent="0.35">
      <c r="A19" s="110" t="s">
        <v>103</v>
      </c>
      <c r="C19" s="34" t="s">
        <v>22</v>
      </c>
      <c r="E19" s="34">
        <f>+'Tenant Recoveries'!F21</f>
        <v>3600</v>
      </c>
      <c r="F19" s="34">
        <f t="shared" ref="F19:P19" si="4">+E19</f>
        <v>3600</v>
      </c>
      <c r="G19" s="34">
        <f t="shared" si="4"/>
        <v>3600</v>
      </c>
      <c r="H19" s="34">
        <f t="shared" si="4"/>
        <v>3600</v>
      </c>
      <c r="I19" s="34">
        <f t="shared" si="4"/>
        <v>3600</v>
      </c>
      <c r="J19" s="34">
        <f t="shared" si="4"/>
        <v>3600</v>
      </c>
      <c r="K19" s="34">
        <f t="shared" si="4"/>
        <v>3600</v>
      </c>
      <c r="L19" s="34">
        <f t="shared" si="4"/>
        <v>3600</v>
      </c>
      <c r="M19" s="34">
        <f t="shared" si="4"/>
        <v>3600</v>
      </c>
      <c r="N19" s="34">
        <f t="shared" si="4"/>
        <v>3600</v>
      </c>
      <c r="O19" s="34">
        <f t="shared" si="4"/>
        <v>3600</v>
      </c>
      <c r="P19" s="34">
        <f t="shared" si="4"/>
        <v>3600</v>
      </c>
      <c r="Q19" s="430">
        <f>SUM(E19:P19)</f>
        <v>43200</v>
      </c>
      <c r="R19" s="432">
        <f t="shared" si="1"/>
        <v>0.79988149903717964</v>
      </c>
      <c r="S19" s="396">
        <v>33608</v>
      </c>
      <c r="T19" s="460">
        <f>IFERROR(Q19/S19-1,"-")</f>
        <v>0.28540823613425381</v>
      </c>
      <c r="U19" s="300"/>
      <c r="V19" s="316">
        <f>Q19/(Q71-Q63-Q58-Q29)</f>
        <v>0.14622019989423674</v>
      </c>
    </row>
    <row r="20" spans="1:22" x14ac:dyDescent="0.35">
      <c r="A20" s="110" t="s">
        <v>104</v>
      </c>
      <c r="C20" s="34" t="s">
        <v>23</v>
      </c>
      <c r="E20" s="34">
        <f>+'Tenant Recoveries'!F22</f>
        <v>200</v>
      </c>
      <c r="F20" s="34">
        <f t="shared" ref="F20:P20" si="5">+E20</f>
        <v>200</v>
      </c>
      <c r="G20" s="34">
        <f t="shared" si="5"/>
        <v>200</v>
      </c>
      <c r="H20" s="34">
        <f t="shared" si="5"/>
        <v>200</v>
      </c>
      <c r="I20" s="34">
        <f t="shared" si="5"/>
        <v>200</v>
      </c>
      <c r="J20" s="34">
        <f t="shared" si="5"/>
        <v>200</v>
      </c>
      <c r="K20" s="34">
        <f t="shared" si="5"/>
        <v>200</v>
      </c>
      <c r="L20" s="34">
        <f t="shared" si="5"/>
        <v>200</v>
      </c>
      <c r="M20" s="34">
        <f t="shared" si="5"/>
        <v>200</v>
      </c>
      <c r="N20" s="34">
        <f t="shared" si="5"/>
        <v>200</v>
      </c>
      <c r="O20" s="34">
        <f t="shared" si="5"/>
        <v>200</v>
      </c>
      <c r="P20" s="34">
        <f t="shared" si="5"/>
        <v>200</v>
      </c>
      <c r="Q20" s="430">
        <f>SUM(E20:P20)</f>
        <v>2400</v>
      </c>
      <c r="R20" s="432">
        <f t="shared" si="1"/>
        <v>4.4437861057621091E-2</v>
      </c>
      <c r="S20" s="396">
        <v>1302</v>
      </c>
      <c r="T20" s="460">
        <f>IFERROR(Q20/S20-1,"-")</f>
        <v>0.84331797235023043</v>
      </c>
      <c r="U20" s="300"/>
      <c r="V20" s="316">
        <f>Q20/Q58</f>
        <v>5.3031005762841761E-2</v>
      </c>
    </row>
    <row r="21" spans="1:22" x14ac:dyDescent="0.35">
      <c r="A21" s="110" t="s">
        <v>139</v>
      </c>
      <c r="C21" s="34" t="s">
        <v>24</v>
      </c>
      <c r="Q21" s="430">
        <f>SUM(E21:P21)</f>
        <v>0</v>
      </c>
      <c r="R21" s="432">
        <f t="shared" si="1"/>
        <v>0</v>
      </c>
      <c r="S21" s="396">
        <v>0</v>
      </c>
      <c r="T21" s="464" t="str">
        <f>IFERROR(Q21/S21-1,"-")</f>
        <v>-</v>
      </c>
      <c r="U21" s="300"/>
      <c r="V21" s="38"/>
    </row>
    <row r="22" spans="1:22" x14ac:dyDescent="0.35">
      <c r="A22" s="110"/>
      <c r="C22" s="34" t="s">
        <v>25</v>
      </c>
      <c r="D22" s="44"/>
      <c r="E22" s="59">
        <f t="shared" ref="E22:Q22" si="6">SUM(E18:E21)</f>
        <v>11234.3878</v>
      </c>
      <c r="F22" s="59">
        <f t="shared" si="6"/>
        <v>9889.3909999999996</v>
      </c>
      <c r="G22" s="59">
        <f t="shared" si="6"/>
        <v>9089.1882000000005</v>
      </c>
      <c r="H22" s="59">
        <f t="shared" si="6"/>
        <v>8877.1286</v>
      </c>
      <c r="I22" s="59">
        <f t="shared" si="6"/>
        <v>7961.5231999999996</v>
      </c>
      <c r="J22" s="59">
        <f t="shared" si="6"/>
        <v>8334.6777999999995</v>
      </c>
      <c r="K22" s="59">
        <f t="shared" si="6"/>
        <v>8936.2943999999989</v>
      </c>
      <c r="L22" s="59">
        <f t="shared" si="6"/>
        <v>9043.4958000000006</v>
      </c>
      <c r="M22" s="59">
        <f t="shared" si="6"/>
        <v>8191.7425999999996</v>
      </c>
      <c r="N22" s="59">
        <f t="shared" si="6"/>
        <v>9012.4484000000011</v>
      </c>
      <c r="O22" s="59">
        <f t="shared" si="6"/>
        <v>8661.5541999999987</v>
      </c>
      <c r="P22" s="59">
        <f t="shared" si="6"/>
        <v>10459.9602</v>
      </c>
      <c r="Q22" s="433">
        <f t="shared" si="6"/>
        <v>109691.7922</v>
      </c>
      <c r="R22" s="434">
        <f t="shared" si="1"/>
        <v>2.0310285920604354</v>
      </c>
      <c r="S22" s="400">
        <f>SUM(S18:S21)</f>
        <v>96526.19</v>
      </c>
      <c r="T22" s="461">
        <f>IFERROR(Q22/S22-1,"-")</f>
        <v>0.13639409366514932</v>
      </c>
      <c r="U22" s="300"/>
      <c r="V22" s="38"/>
    </row>
    <row r="23" spans="1:22" ht="16.5" thickBot="1" x14ac:dyDescent="0.4">
      <c r="A23" s="110"/>
      <c r="Q23" s="430"/>
      <c r="R23" s="432">
        <f t="shared" si="1"/>
        <v>0</v>
      </c>
      <c r="S23" s="396"/>
      <c r="T23" s="399"/>
      <c r="U23" s="300"/>
      <c r="V23" s="38"/>
    </row>
    <row r="24" spans="1:22" s="37" customFormat="1" ht="18" thickBot="1" x14ac:dyDescent="0.4">
      <c r="A24" s="285"/>
      <c r="B24" s="286" t="s">
        <v>26</v>
      </c>
      <c r="C24" s="287"/>
      <c r="D24" s="287"/>
      <c r="E24" s="287">
        <f t="shared" ref="E24:Q24" si="7">+E15+E22</f>
        <v>60076.84613333334</v>
      </c>
      <c r="F24" s="287">
        <f t="shared" si="7"/>
        <v>58731.849333333346</v>
      </c>
      <c r="G24" s="287">
        <f t="shared" si="7"/>
        <v>57931.646533333347</v>
      </c>
      <c r="H24" s="287">
        <f t="shared" si="7"/>
        <v>57719.583599999998</v>
      </c>
      <c r="I24" s="287">
        <f t="shared" si="7"/>
        <v>56803.978199999998</v>
      </c>
      <c r="J24" s="287">
        <f t="shared" si="7"/>
        <v>57177.132799999999</v>
      </c>
      <c r="K24" s="287">
        <f t="shared" si="7"/>
        <v>57825.546066666662</v>
      </c>
      <c r="L24" s="287">
        <f t="shared" si="7"/>
        <v>57932.747466666668</v>
      </c>
      <c r="M24" s="287">
        <f t="shared" si="7"/>
        <v>57080.994266666661</v>
      </c>
      <c r="N24" s="287">
        <f t="shared" si="7"/>
        <v>57901.700066666664</v>
      </c>
      <c r="O24" s="287">
        <f t="shared" si="7"/>
        <v>57550.807533333333</v>
      </c>
      <c r="P24" s="287">
        <f t="shared" si="7"/>
        <v>59349.213533333335</v>
      </c>
      <c r="Q24" s="426">
        <f t="shared" si="7"/>
        <v>696082.04553333344</v>
      </c>
      <c r="R24" s="428">
        <f t="shared" si="1"/>
        <v>12.88849884338123</v>
      </c>
      <c r="S24" s="427">
        <f>+S15+S22</f>
        <v>630605.56000000006</v>
      </c>
      <c r="T24" s="405">
        <f>IFERROR(Q24/S24-1,"-")</f>
        <v>0.10383112628016367</v>
      </c>
      <c r="U24" s="302"/>
      <c r="V24" s="303"/>
    </row>
    <row r="25" spans="1:22" ht="18" x14ac:dyDescent="0.35">
      <c r="A25" s="110"/>
      <c r="Q25" s="435"/>
      <c r="R25" s="436"/>
      <c r="S25" s="402"/>
      <c r="T25" s="403"/>
      <c r="U25" s="301"/>
      <c r="V25" s="38"/>
    </row>
    <row r="26" spans="1:22" ht="18" x14ac:dyDescent="0.35">
      <c r="A26" s="110"/>
      <c r="B26" s="35" t="s">
        <v>27</v>
      </c>
      <c r="Q26" s="430"/>
      <c r="R26" s="432"/>
      <c r="S26" s="396"/>
      <c r="T26" s="399"/>
      <c r="U26" s="300"/>
      <c r="V26" s="38"/>
    </row>
    <row r="27" spans="1:22" x14ac:dyDescent="0.35">
      <c r="A27" s="110" t="s">
        <v>105</v>
      </c>
      <c r="C27" s="34" t="s">
        <v>28</v>
      </c>
      <c r="E27" s="34">
        <f>'Allocated Expenses'!F6</f>
        <v>1104.9382194648244</v>
      </c>
      <c r="F27" s="34">
        <f>'Allocated Expenses'!G6</f>
        <v>1104.9382194648244</v>
      </c>
      <c r="G27" s="34">
        <f>'Allocated Expenses'!H6</f>
        <v>1104.9382194648244</v>
      </c>
      <c r="H27" s="34">
        <f>'Allocated Expenses'!I6</f>
        <v>1104.9382194648244</v>
      </c>
      <c r="I27" s="34">
        <f>'Allocated Expenses'!J6</f>
        <v>1104.9382194648244</v>
      </c>
      <c r="J27" s="34">
        <f>'Allocated Expenses'!K6</f>
        <v>1104.9382194648244</v>
      </c>
      <c r="K27" s="34">
        <f>'Allocated Expenses'!L6</f>
        <v>1104.9382194648244</v>
      </c>
      <c r="L27" s="34">
        <f>'Allocated Expenses'!M6</f>
        <v>1104.9382194648244</v>
      </c>
      <c r="M27" s="34">
        <f>'Allocated Expenses'!N6</f>
        <v>1104.9382194648244</v>
      </c>
      <c r="N27" s="34">
        <f>'Allocated Expenses'!O6</f>
        <v>1104.9382194648244</v>
      </c>
      <c r="O27" s="34">
        <f>'Allocated Expenses'!P6</f>
        <v>1104.9382194648244</v>
      </c>
      <c r="P27" s="34">
        <f>'Allocated Expenses'!Q6</f>
        <v>1104.9382194648244</v>
      </c>
      <c r="Q27" s="430">
        <f>SUM(E27:P27)</f>
        <v>13259.258633577892</v>
      </c>
      <c r="R27" s="432">
        <f t="shared" si="1"/>
        <v>0.24550545536916554</v>
      </c>
      <c r="S27" s="396">
        <v>9312</v>
      </c>
      <c r="T27" s="460">
        <f>IFERROR(Q27/S27-1,"-")</f>
        <v>0.42388945807322731</v>
      </c>
      <c r="U27" s="300"/>
      <c r="V27" s="38" t="s">
        <v>618</v>
      </c>
    </row>
    <row r="28" spans="1:22" x14ac:dyDescent="0.35">
      <c r="A28" s="110"/>
      <c r="Q28" s="430"/>
      <c r="R28" s="432"/>
      <c r="S28" s="396"/>
      <c r="T28" s="399"/>
      <c r="U28" s="300"/>
      <c r="V28" s="38"/>
    </row>
    <row r="29" spans="1:22" x14ac:dyDescent="0.35">
      <c r="A29" s="110" t="s">
        <v>106</v>
      </c>
      <c r="C29" s="34" t="s">
        <v>21</v>
      </c>
      <c r="E29" s="40">
        <v>12691</v>
      </c>
      <c r="F29" s="40">
        <v>10395</v>
      </c>
      <c r="G29" s="40">
        <v>9029</v>
      </c>
      <c r="H29" s="40">
        <v>8667</v>
      </c>
      <c r="I29" s="40">
        <v>7104</v>
      </c>
      <c r="J29" s="40">
        <v>7741</v>
      </c>
      <c r="K29" s="40">
        <v>8768</v>
      </c>
      <c r="L29" s="40">
        <v>8951</v>
      </c>
      <c r="M29" s="40">
        <v>7497</v>
      </c>
      <c r="N29" s="40">
        <v>8898</v>
      </c>
      <c r="O29" s="40">
        <v>8299</v>
      </c>
      <c r="P29" s="40">
        <v>11369</v>
      </c>
      <c r="Q29" s="430">
        <f>SUM(E29:P29)</f>
        <v>109409</v>
      </c>
      <c r="R29" s="432">
        <f t="shared" si="1"/>
        <v>2.0257924751888607</v>
      </c>
      <c r="S29" s="396">
        <v>106977.43</v>
      </c>
      <c r="T29" s="460">
        <f>IFERROR(Q29/S29-1,"-")</f>
        <v>2.2729747760812824E-2</v>
      </c>
      <c r="U29" s="300" t="s">
        <v>371</v>
      </c>
      <c r="V29" s="38" t="s">
        <v>535</v>
      </c>
    </row>
    <row r="30" spans="1:22" x14ac:dyDescent="0.35">
      <c r="A30" s="110"/>
      <c r="Q30" s="430"/>
      <c r="R30" s="432"/>
      <c r="S30" s="396"/>
      <c r="T30" s="399"/>
      <c r="U30" s="300"/>
      <c r="V30" s="38"/>
    </row>
    <row r="31" spans="1:22" x14ac:dyDescent="0.35">
      <c r="A31" s="110" t="s">
        <v>107</v>
      </c>
      <c r="C31" s="34" t="s">
        <v>29</v>
      </c>
      <c r="E31" s="34">
        <f>'Water Sewer'!D10</f>
        <v>903.31</v>
      </c>
      <c r="F31" s="34">
        <f>'Water Sewer'!E10</f>
        <v>919.79</v>
      </c>
      <c r="G31" s="34">
        <f>'Water Sewer'!F10</f>
        <v>962.02</v>
      </c>
      <c r="H31" s="34">
        <f>'Water Sewer'!G10</f>
        <v>946.57</v>
      </c>
      <c r="I31" s="34">
        <f>'Water Sewer'!H10</f>
        <v>1572.8100000000002</v>
      </c>
      <c r="J31" s="34">
        <f>'Water Sewer'!I10</f>
        <v>2022.92</v>
      </c>
      <c r="K31" s="34">
        <f>'Water Sewer'!J10</f>
        <v>2235.1</v>
      </c>
      <c r="L31" s="34">
        <f>'Water Sewer'!K10</f>
        <v>2706.84</v>
      </c>
      <c r="M31" s="34">
        <f>'Water Sewer'!L10</f>
        <v>3096.18</v>
      </c>
      <c r="N31" s="34">
        <f>'Water Sewer'!M10</f>
        <v>2022.92</v>
      </c>
      <c r="O31" s="34">
        <f>'Water Sewer'!N10</f>
        <v>1042.3600000000001</v>
      </c>
      <c r="P31" s="34">
        <f>'Water Sewer'!O10</f>
        <v>975.41000000000008</v>
      </c>
      <c r="Q31" s="430">
        <f>SUM(E31:P31)</f>
        <v>19406.23</v>
      </c>
      <c r="R31" s="432">
        <f t="shared" si="1"/>
        <v>0.35932139683009923</v>
      </c>
      <c r="S31" s="396">
        <v>11349.98</v>
      </c>
      <c r="T31" s="460">
        <f>IFERROR(Q31/S31-1,"-")</f>
        <v>0.70980301286874514</v>
      </c>
      <c r="U31" s="300" t="s">
        <v>459</v>
      </c>
      <c r="V31" s="38" t="s">
        <v>450</v>
      </c>
    </row>
    <row r="32" spans="1:22" x14ac:dyDescent="0.35">
      <c r="A32" s="110"/>
      <c r="Q32" s="430"/>
      <c r="R32" s="432"/>
      <c r="S32" s="396"/>
      <c r="T32" s="399"/>
      <c r="U32" s="300"/>
      <c r="V32" s="38"/>
    </row>
    <row r="33" spans="1:22" x14ac:dyDescent="0.35">
      <c r="A33" s="110"/>
      <c r="D33" s="88" t="s">
        <v>30</v>
      </c>
      <c r="E33" s="77">
        <f>'Building Maint'!C17</f>
        <v>2737</v>
      </c>
      <c r="F33" s="77">
        <f>'Building Maint'!D17</f>
        <v>1037</v>
      </c>
      <c r="G33" s="77">
        <f>'Building Maint'!E17</f>
        <v>6671</v>
      </c>
      <c r="H33" s="77">
        <f>'Building Maint'!F17</f>
        <v>4383</v>
      </c>
      <c r="I33" s="77">
        <f>'Building Maint'!G17</f>
        <v>1037</v>
      </c>
      <c r="J33" s="77">
        <f>'Building Maint'!H17</f>
        <v>6653</v>
      </c>
      <c r="K33" s="77">
        <f>'Building Maint'!I17</f>
        <v>2737</v>
      </c>
      <c r="L33" s="77">
        <f>'Building Maint'!J17</f>
        <v>1037</v>
      </c>
      <c r="M33" s="77">
        <f>'Building Maint'!K17</f>
        <v>6653</v>
      </c>
      <c r="N33" s="77">
        <f>'Building Maint'!L17</f>
        <v>4383</v>
      </c>
      <c r="O33" s="77">
        <f>'Building Maint'!M17</f>
        <v>1037</v>
      </c>
      <c r="P33" s="77">
        <f>'Building Maint'!N17</f>
        <v>6653</v>
      </c>
      <c r="Q33" s="437">
        <f>SUM(E33:P33)</f>
        <v>45018</v>
      </c>
      <c r="R33" s="438">
        <f t="shared" si="1"/>
        <v>0.83354317878832762</v>
      </c>
      <c r="S33" s="396"/>
      <c r="T33" s="399"/>
      <c r="U33" s="300" t="s">
        <v>371</v>
      </c>
      <c r="V33" s="38" t="s">
        <v>450</v>
      </c>
    </row>
    <row r="34" spans="1:22" x14ac:dyDescent="0.35">
      <c r="A34" s="110"/>
      <c r="D34" s="89" t="s">
        <v>31</v>
      </c>
      <c r="E34" s="34">
        <f>'Building Maint'!C6</f>
        <v>2350</v>
      </c>
      <c r="F34" s="34">
        <f>'Building Maint'!D6</f>
        <v>1100</v>
      </c>
      <c r="G34" s="34">
        <f>'Building Maint'!E6</f>
        <v>1300</v>
      </c>
      <c r="H34" s="34">
        <f>'Building Maint'!F6</f>
        <v>1725</v>
      </c>
      <c r="I34" s="34">
        <f>'Building Maint'!G6</f>
        <v>2940</v>
      </c>
      <c r="J34" s="34">
        <f>'Building Maint'!H6</f>
        <v>1475</v>
      </c>
      <c r="K34" s="34">
        <f>'Building Maint'!I6</f>
        <v>3845</v>
      </c>
      <c r="L34" s="34">
        <f>'Building Maint'!J6</f>
        <v>1100</v>
      </c>
      <c r="M34" s="34">
        <f>'Building Maint'!K6</f>
        <v>1300</v>
      </c>
      <c r="N34" s="34">
        <f>'Building Maint'!L6</f>
        <v>1725</v>
      </c>
      <c r="O34" s="34">
        <f>'Building Maint'!M6</f>
        <v>1575</v>
      </c>
      <c r="P34" s="34">
        <f>'Building Maint'!N6</f>
        <v>1100</v>
      </c>
      <c r="Q34" s="439">
        <f>SUM(E34:P34)</f>
        <v>21535</v>
      </c>
      <c r="R34" s="440">
        <f t="shared" si="1"/>
        <v>0.39873722411494594</v>
      </c>
      <c r="S34" s="396"/>
      <c r="T34" s="399"/>
      <c r="U34" s="300" t="s">
        <v>371</v>
      </c>
      <c r="V34" s="38" t="s">
        <v>450</v>
      </c>
    </row>
    <row r="35" spans="1:22" x14ac:dyDescent="0.35">
      <c r="A35" s="110"/>
      <c r="D35" s="90" t="s">
        <v>32</v>
      </c>
      <c r="E35" s="42"/>
      <c r="F35" s="42"/>
      <c r="G35" s="42">
        <v>10000</v>
      </c>
      <c r="H35" s="42"/>
      <c r="I35" s="42"/>
      <c r="J35" s="42"/>
      <c r="K35" s="42"/>
      <c r="L35" s="42"/>
      <c r="M35" s="42"/>
      <c r="N35" s="42">
        <v>10000</v>
      </c>
      <c r="O35" s="42"/>
      <c r="P35" s="42"/>
      <c r="Q35" s="441">
        <f>SUM(E35:P35)</f>
        <v>20000</v>
      </c>
      <c r="R35" s="442">
        <f t="shared" si="1"/>
        <v>0.37031550881350911</v>
      </c>
      <c r="S35" s="396"/>
      <c r="T35" s="399"/>
      <c r="U35" s="300" t="s">
        <v>459</v>
      </c>
      <c r="V35" s="38" t="s">
        <v>457</v>
      </c>
    </row>
    <row r="36" spans="1:22" x14ac:dyDescent="0.35">
      <c r="A36" s="110" t="s">
        <v>108</v>
      </c>
      <c r="C36" s="34" t="s">
        <v>33</v>
      </c>
      <c r="E36" s="43">
        <f t="shared" ref="E36:O36" si="8">SUM(E33:E35)</f>
        <v>5087</v>
      </c>
      <c r="F36" s="43">
        <f t="shared" si="8"/>
        <v>2137</v>
      </c>
      <c r="G36" s="43">
        <f t="shared" si="8"/>
        <v>17971</v>
      </c>
      <c r="H36" s="43">
        <f t="shared" si="8"/>
        <v>6108</v>
      </c>
      <c r="I36" s="43">
        <f t="shared" si="8"/>
        <v>3977</v>
      </c>
      <c r="J36" s="43">
        <f t="shared" si="8"/>
        <v>8128</v>
      </c>
      <c r="K36" s="43">
        <f t="shared" si="8"/>
        <v>6582</v>
      </c>
      <c r="L36" s="43">
        <f t="shared" si="8"/>
        <v>2137</v>
      </c>
      <c r="M36" s="43">
        <f t="shared" si="8"/>
        <v>7953</v>
      </c>
      <c r="N36" s="43">
        <f t="shared" si="8"/>
        <v>16108</v>
      </c>
      <c r="O36" s="43">
        <f t="shared" si="8"/>
        <v>2612</v>
      </c>
      <c r="P36" s="43">
        <f>SUM(P33:P35)</f>
        <v>7753</v>
      </c>
      <c r="Q36" s="443">
        <f>SUM(Q33:Q35)</f>
        <v>86553</v>
      </c>
      <c r="R36" s="444">
        <f t="shared" si="1"/>
        <v>1.6025959117167827</v>
      </c>
      <c r="S36" s="400">
        <v>86001.72</v>
      </c>
      <c r="T36" s="461">
        <f>IFERROR(Q36/S36-1,"-")</f>
        <v>6.4101043560524928E-3</v>
      </c>
      <c r="U36" s="300"/>
      <c r="V36" s="38"/>
    </row>
    <row r="37" spans="1:22" x14ac:dyDescent="0.35">
      <c r="A37" s="110"/>
      <c r="Q37" s="430"/>
      <c r="R37" s="432"/>
      <c r="S37" s="396"/>
      <c r="T37" s="399"/>
      <c r="U37" s="300"/>
      <c r="V37" s="38"/>
    </row>
    <row r="38" spans="1:22" hidden="1" x14ac:dyDescent="0.35">
      <c r="A38" s="110" t="s">
        <v>303</v>
      </c>
      <c r="B38" s="34" t="s">
        <v>34</v>
      </c>
      <c r="C38" s="34" t="s">
        <v>35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30">
        <f>SUM(E38:P38)</f>
        <v>0</v>
      </c>
      <c r="R38" s="432">
        <f t="shared" si="1"/>
        <v>0</v>
      </c>
      <c r="S38" s="396"/>
      <c r="T38" s="399"/>
      <c r="U38" s="300"/>
      <c r="V38" s="38"/>
    </row>
    <row r="39" spans="1:22" hidden="1" x14ac:dyDescent="0.35">
      <c r="A39" s="110"/>
      <c r="Q39" s="430"/>
      <c r="R39" s="432"/>
      <c r="S39" s="396"/>
      <c r="T39" s="399"/>
      <c r="U39" s="300"/>
      <c r="V39" s="38"/>
    </row>
    <row r="40" spans="1:22" x14ac:dyDescent="0.35">
      <c r="A40" s="110"/>
      <c r="D40" s="88" t="s">
        <v>36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437">
        <f>SUM(E40:P40)</f>
        <v>0</v>
      </c>
      <c r="R40" s="438">
        <f t="shared" si="1"/>
        <v>0</v>
      </c>
      <c r="S40" s="396"/>
      <c r="T40" s="399"/>
      <c r="U40" s="300"/>
      <c r="V40" s="38"/>
    </row>
    <row r="41" spans="1:22" x14ac:dyDescent="0.35">
      <c r="A41" s="110"/>
      <c r="D41" s="89" t="s">
        <v>37</v>
      </c>
      <c r="E41" s="34">
        <f>'Parking Lot Maint'!C6</f>
        <v>803.4</v>
      </c>
      <c r="F41" s="34">
        <f>'Parking Lot Maint'!D6</f>
        <v>803.4</v>
      </c>
      <c r="G41" s="34">
        <f>'Parking Lot Maint'!E6</f>
        <v>1323.5500000000002</v>
      </c>
      <c r="H41" s="34">
        <f>'Parking Lot Maint'!F6</f>
        <v>803.4</v>
      </c>
      <c r="I41" s="34">
        <f>'Parking Lot Maint'!G6</f>
        <v>803.4</v>
      </c>
      <c r="J41" s="34">
        <f>'Parking Lot Maint'!H6</f>
        <v>1323.5500000000002</v>
      </c>
      <c r="K41" s="34">
        <f>'Parking Lot Maint'!I6</f>
        <v>803.4</v>
      </c>
      <c r="L41" s="34">
        <f>'Parking Lot Maint'!J6</f>
        <v>803.4</v>
      </c>
      <c r="M41" s="34">
        <f>'Parking Lot Maint'!K6</f>
        <v>1323.5500000000002</v>
      </c>
      <c r="N41" s="34">
        <f>'Parking Lot Maint'!L6</f>
        <v>803.4</v>
      </c>
      <c r="O41" s="34">
        <f>'Parking Lot Maint'!M6</f>
        <v>803.4</v>
      </c>
      <c r="P41" s="34">
        <f>'Parking Lot Maint'!N6</f>
        <v>1323.5500000000002</v>
      </c>
      <c r="Q41" s="439">
        <f>SUM(E41:P41)</f>
        <v>11721.399999999998</v>
      </c>
      <c r="R41" s="440">
        <f t="shared" si="1"/>
        <v>0.21703081025033324</v>
      </c>
      <c r="S41" s="396"/>
      <c r="T41" s="399"/>
      <c r="U41" s="300" t="s">
        <v>371</v>
      </c>
      <c r="V41" s="38" t="s">
        <v>450</v>
      </c>
    </row>
    <row r="42" spans="1:22" x14ac:dyDescent="0.35">
      <c r="A42" s="110"/>
      <c r="D42" s="90" t="s">
        <v>38</v>
      </c>
      <c r="E42" s="42"/>
      <c r="F42" s="42"/>
      <c r="G42" s="42"/>
      <c r="H42" s="42">
        <v>6000</v>
      </c>
      <c r="I42" s="42"/>
      <c r="J42" s="42"/>
      <c r="K42" s="42"/>
      <c r="L42" s="42"/>
      <c r="M42" s="42">
        <v>6000</v>
      </c>
      <c r="N42" s="42"/>
      <c r="O42" s="42"/>
      <c r="P42" s="42"/>
      <c r="Q42" s="441">
        <f>SUM(E42:P42)</f>
        <v>12000</v>
      </c>
      <c r="R42" s="442">
        <f t="shared" si="1"/>
        <v>0.22218930528810546</v>
      </c>
      <c r="S42" s="396"/>
      <c r="T42" s="399"/>
      <c r="U42" s="300" t="s">
        <v>459</v>
      </c>
      <c r="V42" s="38" t="s">
        <v>458</v>
      </c>
    </row>
    <row r="43" spans="1:22" x14ac:dyDescent="0.35">
      <c r="A43" s="110" t="s">
        <v>140</v>
      </c>
      <c r="C43" s="34" t="s">
        <v>39</v>
      </c>
      <c r="E43" s="43">
        <f t="shared" ref="E43:P43" si="9">SUM(E40:E42)</f>
        <v>803.4</v>
      </c>
      <c r="F43" s="43">
        <f t="shared" si="9"/>
        <v>803.4</v>
      </c>
      <c r="G43" s="43">
        <f t="shared" si="9"/>
        <v>1323.5500000000002</v>
      </c>
      <c r="H43" s="43">
        <f t="shared" si="9"/>
        <v>6803.4</v>
      </c>
      <c r="I43" s="43">
        <f t="shared" si="9"/>
        <v>803.4</v>
      </c>
      <c r="J43" s="43">
        <f t="shared" si="9"/>
        <v>1323.5500000000002</v>
      </c>
      <c r="K43" s="43">
        <f t="shared" si="9"/>
        <v>803.4</v>
      </c>
      <c r="L43" s="43">
        <f t="shared" si="9"/>
        <v>803.4</v>
      </c>
      <c r="M43" s="43">
        <f t="shared" si="9"/>
        <v>7323.55</v>
      </c>
      <c r="N43" s="43">
        <f t="shared" si="9"/>
        <v>803.4</v>
      </c>
      <c r="O43" s="43">
        <f t="shared" si="9"/>
        <v>803.4</v>
      </c>
      <c r="P43" s="43">
        <f t="shared" si="9"/>
        <v>1323.5500000000002</v>
      </c>
      <c r="Q43" s="443">
        <f>SUM(Q40:Q42)</f>
        <v>23721.399999999998</v>
      </c>
      <c r="R43" s="444">
        <f t="shared" si="1"/>
        <v>0.4392201155384387</v>
      </c>
      <c r="S43" s="400">
        <v>16795.600000000002</v>
      </c>
      <c r="T43" s="461">
        <f>IFERROR(Q43/S43-1,"-")</f>
        <v>0.41235799852342248</v>
      </c>
      <c r="U43" s="300"/>
      <c r="V43" s="38"/>
    </row>
    <row r="44" spans="1:22" x14ac:dyDescent="0.35">
      <c r="A44" s="110"/>
      <c r="Q44" s="430"/>
      <c r="R44" s="432"/>
      <c r="S44" s="396"/>
      <c r="T44" s="399"/>
      <c r="U44" s="300"/>
      <c r="V44" s="38"/>
    </row>
    <row r="45" spans="1:22" x14ac:dyDescent="0.35">
      <c r="A45" s="110" t="s">
        <v>110</v>
      </c>
      <c r="C45" s="34" t="s">
        <v>40</v>
      </c>
      <c r="E45" s="40">
        <f>1.03*3500</f>
        <v>3605</v>
      </c>
      <c r="F45" s="40">
        <f>1.03*3500</f>
        <v>3605</v>
      </c>
      <c r="G45" s="40">
        <f>1.03*3500</f>
        <v>3605</v>
      </c>
      <c r="H45" s="40"/>
      <c r="I45" s="40"/>
      <c r="J45" s="40"/>
      <c r="K45" s="40"/>
      <c r="L45" s="40"/>
      <c r="M45" s="40"/>
      <c r="N45" s="40"/>
      <c r="O45" s="40">
        <f>1.03*1000</f>
        <v>1030</v>
      </c>
      <c r="P45" s="40">
        <f>1.03*3500</f>
        <v>3605</v>
      </c>
      <c r="Q45" s="430">
        <f>SUM(E45:P45)</f>
        <v>15450</v>
      </c>
      <c r="R45" s="432">
        <f t="shared" si="1"/>
        <v>0.28606873055843579</v>
      </c>
      <c r="S45" s="396">
        <v>11247.509999999998</v>
      </c>
      <c r="T45" s="460">
        <f>IFERROR(Q45/S45-1,"-")</f>
        <v>0.37363736507013567</v>
      </c>
      <c r="U45" s="300" t="s">
        <v>371</v>
      </c>
      <c r="V45" s="38" t="s">
        <v>450</v>
      </c>
    </row>
    <row r="46" spans="1:22" x14ac:dyDescent="0.35">
      <c r="A46" s="110"/>
      <c r="Q46" s="430"/>
      <c r="R46" s="432"/>
      <c r="S46" s="396"/>
      <c r="T46" s="399"/>
      <c r="U46" s="300"/>
      <c r="V46" s="38"/>
    </row>
    <row r="47" spans="1:22" x14ac:dyDescent="0.35">
      <c r="A47" s="110"/>
      <c r="D47" s="88" t="s">
        <v>41</v>
      </c>
      <c r="E47" s="77">
        <f>'Allocated Expenses'!F17</f>
        <v>0</v>
      </c>
      <c r="F47" s="77">
        <f>'Allocated Expenses'!G17</f>
        <v>0</v>
      </c>
      <c r="G47" s="77">
        <f>'Allocated Expenses'!H17</f>
        <v>922.69384924444444</v>
      </c>
      <c r="H47" s="77">
        <f>'Allocated Expenses'!I17</f>
        <v>922.69384924444444</v>
      </c>
      <c r="I47" s="77">
        <f>'Allocated Expenses'!J17</f>
        <v>922.69384924444444</v>
      </c>
      <c r="J47" s="77">
        <f>'Allocated Expenses'!K17</f>
        <v>922.69384924444444</v>
      </c>
      <c r="K47" s="77">
        <f>'Allocated Expenses'!L17</f>
        <v>922.69384924444444</v>
      </c>
      <c r="L47" s="77">
        <f>'Allocated Expenses'!M17</f>
        <v>922.69384924444444</v>
      </c>
      <c r="M47" s="77">
        <f>'Allocated Expenses'!N17</f>
        <v>922.69384924444444</v>
      </c>
      <c r="N47" s="77">
        <f>'Allocated Expenses'!O17</f>
        <v>922.69384924444444</v>
      </c>
      <c r="O47" s="77">
        <f>'Allocated Expenses'!P17</f>
        <v>922.69384924444444</v>
      </c>
      <c r="P47" s="77">
        <f>'Allocated Expenses'!Q17</f>
        <v>0</v>
      </c>
      <c r="Q47" s="437">
        <f>SUM(E47:P47)</f>
        <v>8304.2446431999997</v>
      </c>
      <c r="R47" s="438">
        <f t="shared" si="1"/>
        <v>0.15375952901792325</v>
      </c>
      <c r="S47" s="396"/>
      <c r="T47" s="399"/>
      <c r="U47" s="300" t="s">
        <v>371</v>
      </c>
      <c r="V47" s="38" t="s">
        <v>450</v>
      </c>
    </row>
    <row r="48" spans="1:22" x14ac:dyDescent="0.35">
      <c r="A48" s="110"/>
      <c r="D48" s="89" t="s">
        <v>42</v>
      </c>
      <c r="E48" s="34">
        <f>Landscaping!C6</f>
        <v>0</v>
      </c>
      <c r="F48" s="34">
        <f>Landscaping!D6</f>
        <v>0</v>
      </c>
      <c r="G48" s="34">
        <f>Landscaping!E6</f>
        <v>463.5</v>
      </c>
      <c r="H48" s="34">
        <f>Landscaping!F6</f>
        <v>463.5</v>
      </c>
      <c r="I48" s="34">
        <f>Landscaping!G6</f>
        <v>2008.5</v>
      </c>
      <c r="J48" s="34">
        <f>Landscaping!H6</f>
        <v>463.5</v>
      </c>
      <c r="K48" s="34">
        <f>Landscaping!I6</f>
        <v>463.5</v>
      </c>
      <c r="L48" s="34">
        <f>Landscaping!J6</f>
        <v>463.5</v>
      </c>
      <c r="M48" s="34">
        <f>Landscaping!K6</f>
        <v>2008.5</v>
      </c>
      <c r="N48" s="34">
        <f>Landscaping!L6</f>
        <v>463.5</v>
      </c>
      <c r="O48" s="34">
        <f>Landscaping!M6</f>
        <v>206</v>
      </c>
      <c r="P48" s="34">
        <f>Landscaping!N6</f>
        <v>0</v>
      </c>
      <c r="Q48" s="439">
        <f>SUM(E48:P48)</f>
        <v>7004</v>
      </c>
      <c r="R48" s="440">
        <f t="shared" si="1"/>
        <v>0.12968449118649089</v>
      </c>
      <c r="S48" s="396"/>
      <c r="T48" s="399"/>
      <c r="U48" s="300" t="s">
        <v>371</v>
      </c>
      <c r="V48" s="38" t="s">
        <v>450</v>
      </c>
    </row>
    <row r="49" spans="1:22" x14ac:dyDescent="0.35">
      <c r="A49" s="110"/>
      <c r="D49" s="90" t="s">
        <v>43</v>
      </c>
      <c r="E49" s="43">
        <f>'Allocated Expenses'!F28</f>
        <v>566.38519394770731</v>
      </c>
      <c r="F49" s="43">
        <f>'Allocated Expenses'!G28</f>
        <v>566.38519394770731</v>
      </c>
      <c r="G49" s="43">
        <f>'Allocated Expenses'!H28</f>
        <v>566.38519394770731</v>
      </c>
      <c r="H49" s="43">
        <f>'Allocated Expenses'!I28</f>
        <v>566.38519394770731</v>
      </c>
      <c r="I49" s="43">
        <f>'Allocated Expenses'!J28</f>
        <v>566.38519394770731</v>
      </c>
      <c r="J49" s="43">
        <f>'Allocated Expenses'!K28</f>
        <v>566.38519394770731</v>
      </c>
      <c r="K49" s="43">
        <f>'Allocated Expenses'!L28</f>
        <v>566.38519394770731</v>
      </c>
      <c r="L49" s="43">
        <f>'Allocated Expenses'!M28</f>
        <v>566.38519394770731</v>
      </c>
      <c r="M49" s="43">
        <f>'Allocated Expenses'!N28</f>
        <v>566.38519394770731</v>
      </c>
      <c r="N49" s="43">
        <f>'Allocated Expenses'!O28</f>
        <v>566.38519394770731</v>
      </c>
      <c r="O49" s="43">
        <f>'Allocated Expenses'!P28</f>
        <v>566.38519394770731</v>
      </c>
      <c r="P49" s="43">
        <f>'Allocated Expenses'!Q28</f>
        <v>566.38519394770731</v>
      </c>
      <c r="Q49" s="441">
        <f>SUM(E49:P49)</f>
        <v>6796.6223273724872</v>
      </c>
      <c r="R49" s="442">
        <f t="shared" si="1"/>
        <v>0.12584473276870994</v>
      </c>
      <c r="S49" s="396"/>
      <c r="T49" s="399"/>
      <c r="U49" s="300" t="s">
        <v>459</v>
      </c>
      <c r="V49" s="38" t="s">
        <v>589</v>
      </c>
    </row>
    <row r="50" spans="1:22" x14ac:dyDescent="0.35">
      <c r="A50" s="110" t="s">
        <v>111</v>
      </c>
      <c r="C50" s="34" t="s">
        <v>44</v>
      </c>
      <c r="E50" s="43">
        <f>SUM(E47:E49)</f>
        <v>566.38519394770731</v>
      </c>
      <c r="F50" s="43">
        <f>SUM(F47:F49)</f>
        <v>566.38519394770731</v>
      </c>
      <c r="G50" s="43">
        <f>SUM(G47:G49)</f>
        <v>1952.5790431921519</v>
      </c>
      <c r="H50" s="43">
        <f t="shared" ref="H50:N50" si="10">SUM(H47:H49)</f>
        <v>1952.5790431921519</v>
      </c>
      <c r="I50" s="43">
        <f t="shared" si="10"/>
        <v>3497.5790431921514</v>
      </c>
      <c r="J50" s="43">
        <f t="shared" si="10"/>
        <v>1952.5790431921519</v>
      </c>
      <c r="K50" s="43">
        <f t="shared" si="10"/>
        <v>1952.5790431921519</v>
      </c>
      <c r="L50" s="43">
        <f t="shared" si="10"/>
        <v>1952.5790431921519</v>
      </c>
      <c r="M50" s="43">
        <f t="shared" si="10"/>
        <v>3497.5790431921514</v>
      </c>
      <c r="N50" s="43">
        <f t="shared" si="10"/>
        <v>1952.5790431921519</v>
      </c>
      <c r="O50" s="43">
        <f>SUM(O47:O49)</f>
        <v>1695.0790431921519</v>
      </c>
      <c r="P50" s="43">
        <f>SUM(P47:P49)</f>
        <v>566.38519394770731</v>
      </c>
      <c r="Q50" s="443">
        <f>SUM(Q47:Q49)</f>
        <v>22104.866970572486</v>
      </c>
      <c r="R50" s="444">
        <f t="shared" si="1"/>
        <v>0.40928875297312411</v>
      </c>
      <c r="S50" s="400">
        <v>14324.67</v>
      </c>
      <c r="T50" s="461">
        <f>IFERROR(Q50/S50-1,"-")</f>
        <v>0.5431327193277391</v>
      </c>
      <c r="U50" s="300"/>
      <c r="V50" s="38"/>
    </row>
    <row r="51" spans="1:22" x14ac:dyDescent="0.35">
      <c r="A51" s="110"/>
      <c r="Q51" s="430"/>
      <c r="R51" s="432"/>
      <c r="S51" s="396"/>
      <c r="T51" s="399"/>
      <c r="U51" s="300"/>
      <c r="V51" s="38"/>
    </row>
    <row r="52" spans="1:22" x14ac:dyDescent="0.35">
      <c r="A52" s="110" t="s">
        <v>112</v>
      </c>
      <c r="C52" s="34" t="s">
        <v>45</v>
      </c>
      <c r="E52" s="34">
        <f>'Allocated Expenses'!F39</f>
        <v>295.68</v>
      </c>
      <c r="F52" s="34">
        <f>'Allocated Expenses'!G39</f>
        <v>295.68</v>
      </c>
      <c r="G52" s="34">
        <f>'Allocated Expenses'!H39</f>
        <v>295.68</v>
      </c>
      <c r="H52" s="34">
        <f>'Allocated Expenses'!I39</f>
        <v>295.68</v>
      </c>
      <c r="I52" s="34">
        <f>'Allocated Expenses'!J39</f>
        <v>295.68</v>
      </c>
      <c r="J52" s="34">
        <f>'Allocated Expenses'!K39</f>
        <v>295.68</v>
      </c>
      <c r="K52" s="34">
        <f>'Allocated Expenses'!L39</f>
        <v>295.68</v>
      </c>
      <c r="L52" s="34">
        <f>'Allocated Expenses'!M39</f>
        <v>295.68</v>
      </c>
      <c r="M52" s="34">
        <f>'Allocated Expenses'!N39</f>
        <v>295.68</v>
      </c>
      <c r="N52" s="34">
        <f>'Allocated Expenses'!O39</f>
        <v>295.68</v>
      </c>
      <c r="O52" s="34">
        <f>'Allocated Expenses'!P39</f>
        <v>295.68</v>
      </c>
      <c r="P52" s="34">
        <f>'Allocated Expenses'!Q39</f>
        <v>295.68</v>
      </c>
      <c r="Q52" s="430">
        <f>SUM(E52:P52)</f>
        <v>3548.1599999999994</v>
      </c>
      <c r="R52" s="432">
        <f t="shared" si="1"/>
        <v>6.5696933787587009E-2</v>
      </c>
      <c r="S52" s="396">
        <v>3980.8599999999997</v>
      </c>
      <c r="T52" s="460">
        <f>IFERROR(Q52/S52-1,"-")</f>
        <v>-0.10869510608260535</v>
      </c>
      <c r="U52" s="300" t="s">
        <v>371</v>
      </c>
      <c r="V52" s="38" t="s">
        <v>450</v>
      </c>
    </row>
    <row r="53" spans="1:22" x14ac:dyDescent="0.35">
      <c r="A53" s="110"/>
      <c r="Q53" s="430"/>
      <c r="R53" s="432"/>
      <c r="S53" s="396"/>
      <c r="T53" s="399"/>
      <c r="U53" s="300"/>
      <c r="V53" s="38"/>
    </row>
    <row r="54" spans="1:22" x14ac:dyDescent="0.35">
      <c r="A54" s="110" t="s">
        <v>113</v>
      </c>
      <c r="B54" s="34" t="s">
        <v>46</v>
      </c>
      <c r="C54" s="34" t="s">
        <v>47</v>
      </c>
      <c r="E54" s="34">
        <f>ROUND(E$24*0.04,0)</f>
        <v>2403</v>
      </c>
      <c r="F54" s="34">
        <f t="shared" ref="F54:O54" si="11">ROUND(F$24*0.04,0)</f>
        <v>2349</v>
      </c>
      <c r="G54" s="34">
        <f t="shared" si="11"/>
        <v>2317</v>
      </c>
      <c r="H54" s="34">
        <f t="shared" si="11"/>
        <v>2309</v>
      </c>
      <c r="I54" s="34">
        <f t="shared" si="11"/>
        <v>2272</v>
      </c>
      <c r="J54" s="34">
        <f t="shared" si="11"/>
        <v>2287</v>
      </c>
      <c r="K54" s="34">
        <f t="shared" si="11"/>
        <v>2313</v>
      </c>
      <c r="L54" s="34">
        <f t="shared" si="11"/>
        <v>2317</v>
      </c>
      <c r="M54" s="34">
        <f t="shared" si="11"/>
        <v>2283</v>
      </c>
      <c r="N54" s="34">
        <f t="shared" si="11"/>
        <v>2316</v>
      </c>
      <c r="O54" s="34">
        <f t="shared" si="11"/>
        <v>2302</v>
      </c>
      <c r="P54" s="34">
        <f>ROUND(P$24*0.04,0)</f>
        <v>2374</v>
      </c>
      <c r="Q54" s="430">
        <f>SUM(E54:P54)</f>
        <v>27842</v>
      </c>
      <c r="R54" s="432">
        <f t="shared" si="1"/>
        <v>0.51551621981928608</v>
      </c>
      <c r="S54" s="396">
        <v>26023.920000000002</v>
      </c>
      <c r="T54" s="460">
        <f>IFERROR(Q54/S54-1,"-")</f>
        <v>6.9861880915711216E-2</v>
      </c>
      <c r="U54" s="300"/>
      <c r="V54" s="38"/>
    </row>
    <row r="55" spans="1:22" x14ac:dyDescent="0.35">
      <c r="A55" s="110"/>
      <c r="Q55" s="430"/>
      <c r="R55" s="432"/>
      <c r="S55" s="396"/>
      <c r="T55" s="399"/>
      <c r="U55" s="300"/>
      <c r="V55" s="38"/>
    </row>
    <row r="56" spans="1:22" x14ac:dyDescent="0.35">
      <c r="A56" s="110" t="s">
        <v>114</v>
      </c>
      <c r="C56" s="34" t="s">
        <v>48</v>
      </c>
      <c r="E56" s="34">
        <f>Trash!C6</f>
        <v>1751</v>
      </c>
      <c r="F56" s="34">
        <f>Trash!D6</f>
        <v>1751</v>
      </c>
      <c r="G56" s="34">
        <f>Trash!E6</f>
        <v>1751</v>
      </c>
      <c r="H56" s="34">
        <f>Trash!F6</f>
        <v>1751</v>
      </c>
      <c r="I56" s="34">
        <f>Trash!G6</f>
        <v>1751</v>
      </c>
      <c r="J56" s="34">
        <f>Trash!H6</f>
        <v>2251</v>
      </c>
      <c r="K56" s="34">
        <f>Trash!I6</f>
        <v>1751</v>
      </c>
      <c r="L56" s="34">
        <f>Trash!J6</f>
        <v>1751</v>
      </c>
      <c r="M56" s="34">
        <f>Trash!K6</f>
        <v>1751</v>
      </c>
      <c r="N56" s="34">
        <f>Trash!L6</f>
        <v>1751</v>
      </c>
      <c r="O56" s="34">
        <f>Trash!M6</f>
        <v>1751</v>
      </c>
      <c r="P56" s="34">
        <f>Trash!N6</f>
        <v>2251</v>
      </c>
      <c r="Q56" s="430">
        <f>SUM(E56:P56)</f>
        <v>22012</v>
      </c>
      <c r="R56" s="432">
        <f t="shared" si="1"/>
        <v>0.40756924900014813</v>
      </c>
      <c r="S56" s="396">
        <v>23004.59</v>
      </c>
      <c r="T56" s="460">
        <f>IFERROR(Q56/S56-1,"-")</f>
        <v>-4.3147476221049752E-2</v>
      </c>
      <c r="U56" s="300" t="s">
        <v>371</v>
      </c>
      <c r="V56" s="38" t="s">
        <v>565</v>
      </c>
    </row>
    <row r="57" spans="1:22" x14ac:dyDescent="0.35">
      <c r="A57" s="110"/>
      <c r="Q57" s="430"/>
      <c r="R57" s="432"/>
      <c r="S57" s="396"/>
      <c r="T57" s="399"/>
      <c r="U57" s="300"/>
      <c r="V57" s="38"/>
    </row>
    <row r="58" spans="1:22" x14ac:dyDescent="0.35">
      <c r="A58" s="110" t="s">
        <v>115</v>
      </c>
      <c r="C58" s="34" t="s">
        <v>23</v>
      </c>
      <c r="E58" s="34">
        <f>+'INS RET'!E59</f>
        <v>3771.3785948999998</v>
      </c>
      <c r="F58" s="34">
        <f>+'INS RET'!F59</f>
        <v>3771.3785948999998</v>
      </c>
      <c r="G58" s="34">
        <f>+'INS RET'!G59</f>
        <v>3771.3785948999998</v>
      </c>
      <c r="H58" s="34">
        <f>+'INS RET'!H59</f>
        <v>3771.3785948999998</v>
      </c>
      <c r="I58" s="34">
        <f>+'INS RET'!I59</f>
        <v>3771.3785948999998</v>
      </c>
      <c r="J58" s="34">
        <f>+'INS RET'!J59</f>
        <v>3771.3785948999998</v>
      </c>
      <c r="K58" s="34">
        <f>+'INS RET'!K59</f>
        <v>3771.3785948999998</v>
      </c>
      <c r="L58" s="34">
        <f>+'INS RET'!L59</f>
        <v>3771.3785948999998</v>
      </c>
      <c r="M58" s="34">
        <f>+'INS RET'!M59</f>
        <v>3771.3785948999998</v>
      </c>
      <c r="N58" s="34">
        <f>+'INS RET'!N59</f>
        <v>3771.3785948999998</v>
      </c>
      <c r="O58" s="34">
        <f>+'INS RET'!O59</f>
        <v>3771.3785948999998</v>
      </c>
      <c r="P58" s="34">
        <f>+'INS RET'!P59</f>
        <v>3771.3785948999998</v>
      </c>
      <c r="Q58" s="430">
        <f>SUM(E58:P58)</f>
        <v>45256.543138800007</v>
      </c>
      <c r="R58" s="432">
        <f t="shared" si="1"/>
        <v>0.83795998997926247</v>
      </c>
      <c r="S58" s="396">
        <v>102397.79000000001</v>
      </c>
      <c r="T58" s="460">
        <f>IFERROR(Q58/S58-1,"-")</f>
        <v>-0.55803203234366672</v>
      </c>
      <c r="U58" s="300"/>
      <c r="V58" s="38"/>
    </row>
    <row r="59" spans="1:22" x14ac:dyDescent="0.35">
      <c r="A59" s="110"/>
      <c r="Q59" s="430"/>
      <c r="R59" s="432"/>
      <c r="S59" s="396"/>
      <c r="T59" s="399"/>
      <c r="U59" s="300"/>
      <c r="V59" s="38"/>
    </row>
    <row r="60" spans="1:22" x14ac:dyDescent="0.35">
      <c r="A60" s="110"/>
      <c r="D60" s="88" t="s">
        <v>49</v>
      </c>
      <c r="E60" s="77">
        <f>+'INS RET'!E6+'INS RET'!E7</f>
        <v>1461</v>
      </c>
      <c r="F60" s="77">
        <f>+'INS RET'!F6+'INS RET'!F7</f>
        <v>1461</v>
      </c>
      <c r="G60" s="77">
        <f>+'INS RET'!G6+'INS RET'!G7</f>
        <v>1461</v>
      </c>
      <c r="H60" s="77">
        <f>+'INS RET'!H6+'INS RET'!H7</f>
        <v>1461</v>
      </c>
      <c r="I60" s="77">
        <f>+'INS RET'!I6+'INS RET'!I7</f>
        <v>1461</v>
      </c>
      <c r="J60" s="77">
        <f>+'INS RET'!J6+'INS RET'!J7</f>
        <v>1461</v>
      </c>
      <c r="K60" s="77">
        <f>+'INS RET'!K6+'INS RET'!K7</f>
        <v>1461</v>
      </c>
      <c r="L60" s="77">
        <f>+'INS RET'!L6+'INS RET'!L7</f>
        <v>1461</v>
      </c>
      <c r="M60" s="77">
        <f>+'INS RET'!M6+'INS RET'!M7</f>
        <v>1461</v>
      </c>
      <c r="N60" s="77">
        <f>+'INS RET'!N6+'INS RET'!N7</f>
        <v>1461</v>
      </c>
      <c r="O60" s="77">
        <f>+'INS RET'!O6+'INS RET'!O7</f>
        <v>1490.22</v>
      </c>
      <c r="P60" s="77">
        <f>+'INS RET'!P6+'INS RET'!P7</f>
        <v>1490.22</v>
      </c>
      <c r="Q60" s="437">
        <f>SUM(E60:P60)</f>
        <v>17590.439999999999</v>
      </c>
      <c r="R60" s="438">
        <f t="shared" si="1"/>
        <v>0.32570063694267515</v>
      </c>
      <c r="S60" s="396"/>
      <c r="T60" s="399"/>
      <c r="U60" s="300"/>
      <c r="V60" s="38"/>
    </row>
    <row r="61" spans="1:22" x14ac:dyDescent="0.35">
      <c r="A61" s="110"/>
      <c r="D61" s="89" t="s">
        <v>50</v>
      </c>
      <c r="E61" s="34">
        <f>+'INS RET'!E9</f>
        <v>1036</v>
      </c>
      <c r="F61" s="34">
        <f>+'INS RET'!F9</f>
        <v>1036</v>
      </c>
      <c r="G61" s="34">
        <f>+'INS RET'!G9</f>
        <v>1036</v>
      </c>
      <c r="H61" s="34">
        <f>+'INS RET'!H9</f>
        <v>1036</v>
      </c>
      <c r="I61" s="34">
        <f>+'INS RET'!I9</f>
        <v>1036</v>
      </c>
      <c r="J61" s="34">
        <f>+'INS RET'!J9</f>
        <v>1036</v>
      </c>
      <c r="K61" s="34">
        <f>+'INS RET'!K9</f>
        <v>1036</v>
      </c>
      <c r="L61" s="34">
        <f>+'INS RET'!L9</f>
        <v>1036</v>
      </c>
      <c r="M61" s="34">
        <f>+'INS RET'!M9</f>
        <v>1036</v>
      </c>
      <c r="N61" s="34">
        <f>+'INS RET'!N9</f>
        <v>1036</v>
      </c>
      <c r="O61" s="34">
        <f>+'INS RET'!O9</f>
        <v>1056.72</v>
      </c>
      <c r="P61" s="34">
        <f>+'INS RET'!P9</f>
        <v>1056.72</v>
      </c>
      <c r="Q61" s="439">
        <f>SUM(E61:P61)</f>
        <v>12473.439999999999</v>
      </c>
      <c r="R61" s="440">
        <f t="shared" si="1"/>
        <v>0.23095541401273884</v>
      </c>
      <c r="S61" s="396"/>
      <c r="T61" s="399"/>
      <c r="U61" s="300"/>
      <c r="V61" s="38"/>
    </row>
    <row r="62" spans="1:22" x14ac:dyDescent="0.35">
      <c r="A62" s="110"/>
      <c r="D62" s="90" t="s">
        <v>51</v>
      </c>
      <c r="E62" s="43">
        <f>+'INS RET'!E10</f>
        <v>50</v>
      </c>
      <c r="F62" s="43">
        <f>+'INS RET'!F10</f>
        <v>50</v>
      </c>
      <c r="G62" s="43">
        <f>+'INS RET'!G10</f>
        <v>50</v>
      </c>
      <c r="H62" s="43">
        <f>+'INS RET'!H10</f>
        <v>50</v>
      </c>
      <c r="I62" s="43">
        <f>+'INS RET'!I10</f>
        <v>50</v>
      </c>
      <c r="J62" s="43">
        <f>+'INS RET'!J10</f>
        <v>50</v>
      </c>
      <c r="K62" s="43">
        <f>+'INS RET'!K10</f>
        <v>50</v>
      </c>
      <c r="L62" s="43">
        <f>+'INS RET'!L10</f>
        <v>50</v>
      </c>
      <c r="M62" s="43">
        <f>+'INS RET'!M10</f>
        <v>50</v>
      </c>
      <c r="N62" s="43">
        <f>+'INS RET'!N10</f>
        <v>50</v>
      </c>
      <c r="O62" s="43">
        <f>+'INS RET'!O10</f>
        <v>51</v>
      </c>
      <c r="P62" s="43">
        <f>+'INS RET'!P10</f>
        <v>51</v>
      </c>
      <c r="Q62" s="441">
        <f>SUM(E62:P62)</f>
        <v>602</v>
      </c>
      <c r="R62" s="442">
        <f t="shared" si="1"/>
        <v>1.1146496815286623E-2</v>
      </c>
      <c r="S62" s="396"/>
      <c r="T62" s="399"/>
      <c r="U62" s="300"/>
      <c r="V62" s="38"/>
    </row>
    <row r="63" spans="1:22" x14ac:dyDescent="0.35">
      <c r="A63" s="110" t="s">
        <v>116</v>
      </c>
      <c r="C63" s="34" t="s">
        <v>24</v>
      </c>
      <c r="E63" s="43">
        <f t="shared" ref="E63:Q63" si="12">SUM(E60:E62)</f>
        <v>2547</v>
      </c>
      <c r="F63" s="43">
        <f t="shared" si="12"/>
        <v>2547</v>
      </c>
      <c r="G63" s="43">
        <f t="shared" si="12"/>
        <v>2547</v>
      </c>
      <c r="H63" s="43">
        <f t="shared" si="12"/>
        <v>2547</v>
      </c>
      <c r="I63" s="43">
        <f t="shared" si="12"/>
        <v>2547</v>
      </c>
      <c r="J63" s="43">
        <f t="shared" si="12"/>
        <v>2547</v>
      </c>
      <c r="K63" s="43">
        <f t="shared" si="12"/>
        <v>2547</v>
      </c>
      <c r="L63" s="43">
        <f t="shared" si="12"/>
        <v>2547</v>
      </c>
      <c r="M63" s="43">
        <f t="shared" si="12"/>
        <v>2547</v>
      </c>
      <c r="N63" s="43">
        <f t="shared" si="12"/>
        <v>2547</v>
      </c>
      <c r="O63" s="43">
        <f t="shared" si="12"/>
        <v>2597.94</v>
      </c>
      <c r="P63" s="43">
        <f t="shared" si="12"/>
        <v>2597.94</v>
      </c>
      <c r="Q63" s="443">
        <f t="shared" si="12"/>
        <v>30665.879999999997</v>
      </c>
      <c r="R63" s="444">
        <f t="shared" si="1"/>
        <v>0.56780254777070061</v>
      </c>
      <c r="S63" s="400">
        <v>30392</v>
      </c>
      <c r="T63" s="461">
        <f>IFERROR(Q63/S63-1,"-")</f>
        <v>9.0115819952618637E-3</v>
      </c>
      <c r="U63" s="300"/>
      <c r="V63" s="38"/>
    </row>
    <row r="64" spans="1:22" x14ac:dyDescent="0.35">
      <c r="A64" s="110"/>
      <c r="Q64" s="430"/>
      <c r="R64" s="432"/>
      <c r="S64" s="396"/>
      <c r="T64" s="399"/>
      <c r="U64" s="300"/>
      <c r="V64" s="38"/>
    </row>
    <row r="65" spans="1:22" x14ac:dyDescent="0.35">
      <c r="A65" s="110"/>
      <c r="D65" s="88" t="s">
        <v>52</v>
      </c>
      <c r="E65" s="77">
        <f>'Allocated Expenses'!F50+'Allocated Expenses'!F61</f>
        <v>4956.1825417540595</v>
      </c>
      <c r="F65" s="77">
        <f>'Allocated Expenses'!G50+'Allocated Expenses'!G61</f>
        <v>4956.1825417540595</v>
      </c>
      <c r="G65" s="77">
        <f>'Allocated Expenses'!H50+'Allocated Expenses'!H61</f>
        <v>4956.1825417540595</v>
      </c>
      <c r="H65" s="77">
        <f>'Allocated Expenses'!I50+'Allocated Expenses'!I61</f>
        <v>4956.1825417540595</v>
      </c>
      <c r="I65" s="77">
        <f>'Allocated Expenses'!J50+'Allocated Expenses'!J61</f>
        <v>4956.1825417540595</v>
      </c>
      <c r="J65" s="77">
        <f>'Allocated Expenses'!K50+'Allocated Expenses'!K61</f>
        <v>4956.1825417540595</v>
      </c>
      <c r="K65" s="77">
        <f>'Allocated Expenses'!L50+'Allocated Expenses'!L61</f>
        <v>4956.1825417540595</v>
      </c>
      <c r="L65" s="77">
        <f>'Allocated Expenses'!M50+'Allocated Expenses'!M61</f>
        <v>4956.1825417540595</v>
      </c>
      <c r="M65" s="77">
        <f>'Allocated Expenses'!N50+'Allocated Expenses'!N61</f>
        <v>4956.1825417540595</v>
      </c>
      <c r="N65" s="77">
        <f>'Allocated Expenses'!O50+'Allocated Expenses'!O61</f>
        <v>4956.1825417540595</v>
      </c>
      <c r="O65" s="77">
        <f>'Allocated Expenses'!P50+'Allocated Expenses'!P61</f>
        <v>4956.1825417540595</v>
      </c>
      <c r="P65" s="77">
        <f>'Allocated Expenses'!Q50+'Allocated Expenses'!Q61</f>
        <v>4956.1825417540595</v>
      </c>
      <c r="Q65" s="445">
        <f>SUM(E65:P65)</f>
        <v>59474.190501048717</v>
      </c>
      <c r="R65" s="438">
        <f t="shared" si="1"/>
        <v>1.1012107558333712</v>
      </c>
      <c r="S65" s="396"/>
      <c r="T65" s="399"/>
      <c r="U65" s="300" t="s">
        <v>371</v>
      </c>
      <c r="V65" s="38" t="s">
        <v>592</v>
      </c>
    </row>
    <row r="66" spans="1:22" x14ac:dyDescent="0.35">
      <c r="A66" s="110"/>
      <c r="D66" s="90" t="s">
        <v>53</v>
      </c>
      <c r="E66" s="43">
        <f>'Allocated Expenses'!F74</f>
        <v>172.80912756000001</v>
      </c>
      <c r="F66" s="43">
        <f>'Allocated Expenses'!G74</f>
        <v>172.80912756000001</v>
      </c>
      <c r="G66" s="43">
        <f>'Allocated Expenses'!H74</f>
        <v>172.80912756000001</v>
      </c>
      <c r="H66" s="43">
        <f>'Allocated Expenses'!I74</f>
        <v>172.80912756000001</v>
      </c>
      <c r="I66" s="43">
        <f>'Allocated Expenses'!J74</f>
        <v>172.80912756000001</v>
      </c>
      <c r="J66" s="43">
        <f>'Allocated Expenses'!K74</f>
        <v>172.80912756000001</v>
      </c>
      <c r="K66" s="43">
        <f>'Allocated Expenses'!L74</f>
        <v>172.80912756000001</v>
      </c>
      <c r="L66" s="43">
        <f>'Allocated Expenses'!M74</f>
        <v>172.80912756000001</v>
      </c>
      <c r="M66" s="43">
        <f>'Allocated Expenses'!N74</f>
        <v>172.80912756000001</v>
      </c>
      <c r="N66" s="43">
        <f>'Allocated Expenses'!O74</f>
        <v>172.80912756000001</v>
      </c>
      <c r="O66" s="43">
        <f>'Allocated Expenses'!P74</f>
        <v>172.80912756000001</v>
      </c>
      <c r="P66" s="43">
        <f>'Allocated Expenses'!Q74</f>
        <v>172.80912756000001</v>
      </c>
      <c r="Q66" s="443">
        <f>SUM(E66:P66)</f>
        <v>2073.7095307200002</v>
      </c>
      <c r="R66" s="442">
        <f t="shared" si="1"/>
        <v>3.8396340000000001E-2</v>
      </c>
      <c r="S66" s="396"/>
      <c r="T66" s="399"/>
      <c r="U66" s="300" t="s">
        <v>371</v>
      </c>
      <c r="V66" s="38" t="s">
        <v>593</v>
      </c>
    </row>
    <row r="67" spans="1:22" x14ac:dyDescent="0.35">
      <c r="A67" s="110" t="s">
        <v>117</v>
      </c>
      <c r="B67" s="34" t="s">
        <v>46</v>
      </c>
      <c r="C67" s="34" t="s">
        <v>52</v>
      </c>
      <c r="E67" s="43">
        <f>SUM(E65:E66)</f>
        <v>5128.9916693140594</v>
      </c>
      <c r="F67" s="43">
        <f t="shared" ref="F67:Q67" si="13">SUM(F65:F66)</f>
        <v>5128.9916693140594</v>
      </c>
      <c r="G67" s="43">
        <f t="shared" si="13"/>
        <v>5128.9916693140594</v>
      </c>
      <c r="H67" s="43">
        <f t="shared" si="13"/>
        <v>5128.9916693140594</v>
      </c>
      <c r="I67" s="43">
        <f t="shared" si="13"/>
        <v>5128.9916693140594</v>
      </c>
      <c r="J67" s="43">
        <f t="shared" si="13"/>
        <v>5128.9916693140594</v>
      </c>
      <c r="K67" s="43">
        <f t="shared" si="13"/>
        <v>5128.9916693140594</v>
      </c>
      <c r="L67" s="43">
        <f t="shared" si="13"/>
        <v>5128.9916693140594</v>
      </c>
      <c r="M67" s="43">
        <f t="shared" si="13"/>
        <v>5128.9916693140594</v>
      </c>
      <c r="N67" s="43">
        <f t="shared" si="13"/>
        <v>5128.9916693140594</v>
      </c>
      <c r="O67" s="43">
        <f t="shared" si="13"/>
        <v>5128.9916693140594</v>
      </c>
      <c r="P67" s="43">
        <f t="shared" si="13"/>
        <v>5128.9916693140594</v>
      </c>
      <c r="Q67" s="443">
        <f t="shared" si="13"/>
        <v>61547.900031768717</v>
      </c>
      <c r="R67" s="444">
        <f t="shared" si="1"/>
        <v>1.1396070958333713</v>
      </c>
      <c r="S67" s="364">
        <v>54794.66</v>
      </c>
      <c r="T67" s="461">
        <f>IFERROR(Q67/S67-1,"-")</f>
        <v>0.12324631691790255</v>
      </c>
      <c r="U67" s="300"/>
      <c r="V67" s="38"/>
    </row>
    <row r="68" spans="1:22" x14ac:dyDescent="0.35">
      <c r="A68" s="110"/>
      <c r="Q68" s="430"/>
      <c r="R68" s="432"/>
      <c r="S68" s="396"/>
      <c r="T68" s="399"/>
      <c r="U68" s="300"/>
      <c r="V68" s="38"/>
    </row>
    <row r="69" spans="1:22" hidden="1" x14ac:dyDescent="0.35">
      <c r="A69" s="110"/>
      <c r="B69" s="34" t="s">
        <v>34</v>
      </c>
      <c r="C69" s="34" t="s">
        <v>54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30">
        <f>SUM(E69:P69)</f>
        <v>0</v>
      </c>
      <c r="R69" s="432">
        <f t="shared" si="1"/>
        <v>0</v>
      </c>
      <c r="S69" s="396"/>
      <c r="T69" s="460" t="str">
        <f>IFERROR(Q69/S69-1,"-")</f>
        <v>-</v>
      </c>
      <c r="U69" s="300"/>
      <c r="V69" s="38"/>
    </row>
    <row r="70" spans="1:22" hidden="1" x14ac:dyDescent="0.35">
      <c r="A70" s="110"/>
      <c r="Q70" s="430"/>
      <c r="R70" s="432"/>
      <c r="S70" s="396"/>
      <c r="T70" s="399"/>
      <c r="U70" s="300"/>
      <c r="V70" s="38"/>
    </row>
    <row r="71" spans="1:22" ht="18" x14ac:dyDescent="0.35">
      <c r="A71" s="110"/>
      <c r="C71" s="91" t="s">
        <v>55</v>
      </c>
      <c r="D71" s="92"/>
      <c r="E71" s="92">
        <f t="shared" ref="E71:P71" si="14">+E27+E29+E31+E36+E38+E43+E45+E50+E52+E54+E56+E58+E63+E67+E69</f>
        <v>40658.083677626593</v>
      </c>
      <c r="F71" s="92">
        <f>+F27+F29+F31+F36+F38+F43+F45+F50+F52+F54+F56+F58+F63+F67+F69</f>
        <v>35374.563677626589</v>
      </c>
      <c r="G71" s="92">
        <f t="shared" si="14"/>
        <v>51759.13752687104</v>
      </c>
      <c r="H71" s="92">
        <f t="shared" si="14"/>
        <v>41385.537526871034</v>
      </c>
      <c r="I71" s="92">
        <f t="shared" si="14"/>
        <v>33825.777526871039</v>
      </c>
      <c r="J71" s="92">
        <f>+J27+J29+J31+J36+J38+J43+J45+J50+J52+J54+J56+J58+J63+J67+J69</f>
        <v>38554.037526871041</v>
      </c>
      <c r="K71" s="92">
        <f t="shared" si="14"/>
        <v>37253.06752687104</v>
      </c>
      <c r="L71" s="92">
        <f t="shared" si="14"/>
        <v>33466.807526871038</v>
      </c>
      <c r="M71" s="92">
        <f t="shared" si="14"/>
        <v>46249.297526871036</v>
      </c>
      <c r="N71" s="92">
        <f t="shared" si="14"/>
        <v>46699.887526871047</v>
      </c>
      <c r="O71" s="92">
        <f t="shared" si="14"/>
        <v>32433.767526871034</v>
      </c>
      <c r="P71" s="92">
        <f t="shared" si="14"/>
        <v>43116.273677626596</v>
      </c>
      <c r="Q71" s="446">
        <f>+Q27+Q29+Q31+Q36+Q38+Q43+Q45+Q50+Q52+Q54+Q56+Q58+Q63+Q67+Q69</f>
        <v>480776.23877471907</v>
      </c>
      <c r="R71" s="447">
        <f t="shared" si="1"/>
        <v>8.9019448743652614</v>
      </c>
      <c r="S71" s="406">
        <f>+S27+S29+S31+S36+S38+S43+S45+S50+S52+S54+S56+S58+S63+S67+S69</f>
        <v>496602.7300000001</v>
      </c>
      <c r="T71" s="465">
        <f>IFERROR(Q71/S71-1,"-")</f>
        <v>-3.1869521187048333E-2</v>
      </c>
      <c r="U71" s="304"/>
      <c r="V71" s="38">
        <f>Q71-Q58-Q29</f>
        <v>326110.69563591905</v>
      </c>
    </row>
    <row r="72" spans="1:22" ht="18" x14ac:dyDescent="0.35">
      <c r="A72" s="110"/>
      <c r="Q72" s="435"/>
      <c r="R72" s="436"/>
      <c r="S72" s="402"/>
      <c r="T72" s="403"/>
      <c r="U72" s="301"/>
      <c r="V72" s="38"/>
    </row>
    <row r="73" spans="1:22" ht="18" x14ac:dyDescent="0.35">
      <c r="A73" s="110"/>
      <c r="B73" s="35" t="s">
        <v>56</v>
      </c>
      <c r="Q73" s="430"/>
      <c r="R73" s="432"/>
      <c r="S73" s="396"/>
      <c r="T73" s="399"/>
      <c r="U73" s="300"/>
      <c r="V73" s="38"/>
    </row>
    <row r="74" spans="1:22" x14ac:dyDescent="0.35">
      <c r="A74" s="110"/>
      <c r="Q74" s="430"/>
      <c r="R74" s="432"/>
      <c r="S74" s="396"/>
      <c r="T74" s="399"/>
      <c r="U74" s="300"/>
      <c r="V74" s="38"/>
    </row>
    <row r="75" spans="1:22" x14ac:dyDescent="0.35">
      <c r="A75" s="110" t="s">
        <v>148</v>
      </c>
      <c r="C75" s="34" t="s">
        <v>57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30">
        <f>SUM(E75:P75)</f>
        <v>0</v>
      </c>
      <c r="R75" s="432">
        <f t="shared" ref="R75:R131" si="15">Q75/$B$4</f>
        <v>0</v>
      </c>
      <c r="S75" s="396"/>
      <c r="T75" s="460" t="str">
        <f>IFERROR(Q75/S75-1,"-")</f>
        <v>-</v>
      </c>
      <c r="U75" s="300"/>
      <c r="V75" s="38"/>
    </row>
    <row r="76" spans="1:22" x14ac:dyDescent="0.35">
      <c r="A76" s="110"/>
      <c r="Q76" s="430"/>
      <c r="R76" s="432"/>
      <c r="S76" s="396"/>
      <c r="T76" s="399"/>
      <c r="U76" s="300"/>
      <c r="V76" s="38"/>
    </row>
    <row r="77" spans="1:22" x14ac:dyDescent="0.35">
      <c r="A77" s="110" t="s">
        <v>118</v>
      </c>
      <c r="D77" s="34" t="s">
        <v>58</v>
      </c>
      <c r="E77" s="34">
        <f>'Allocated Expenses'!F85</f>
        <v>1368.9190306599719</v>
      </c>
      <c r="F77" s="34">
        <f>'Allocated Expenses'!G85</f>
        <v>1368.9190306599719</v>
      </c>
      <c r="G77" s="34">
        <f>'Allocated Expenses'!H85</f>
        <v>1368.9190306599719</v>
      </c>
      <c r="H77" s="34">
        <f>'Allocated Expenses'!I85</f>
        <v>1368.9190306599719</v>
      </c>
      <c r="I77" s="34">
        <f>'Allocated Expenses'!J85</f>
        <v>1368.9190306599719</v>
      </c>
      <c r="J77" s="34">
        <f>'Allocated Expenses'!K85</f>
        <v>1368.9190306599719</v>
      </c>
      <c r="K77" s="34">
        <f>'Allocated Expenses'!L85</f>
        <v>1368.9190306599719</v>
      </c>
      <c r="L77" s="34">
        <f>'Allocated Expenses'!M85</f>
        <v>1368.9190306599719</v>
      </c>
      <c r="M77" s="34">
        <f>'Allocated Expenses'!N85</f>
        <v>1368.9190306599719</v>
      </c>
      <c r="N77" s="34">
        <f>'Allocated Expenses'!O85</f>
        <v>1368.9190306599719</v>
      </c>
      <c r="O77" s="34">
        <f>'Allocated Expenses'!P85</f>
        <v>1368.9190306599719</v>
      </c>
      <c r="P77" s="34">
        <f>'Allocated Expenses'!Q85</f>
        <v>1368.9190306599719</v>
      </c>
      <c r="Q77" s="430">
        <f>SUM(E77:P77)</f>
        <v>16427.028367919662</v>
      </c>
      <c r="R77" s="432">
        <f t="shared" si="15"/>
        <v>0.30415916841800589</v>
      </c>
      <c r="S77" s="396"/>
      <c r="T77" s="399"/>
      <c r="U77" s="300"/>
      <c r="V77" s="38" t="s">
        <v>618</v>
      </c>
    </row>
    <row r="78" spans="1:22" x14ac:dyDescent="0.35">
      <c r="A78" s="110" t="s">
        <v>119</v>
      </c>
      <c r="D78" s="34" t="s">
        <v>59</v>
      </c>
      <c r="E78" s="43">
        <f>'Allocated Expenses'!F96</f>
        <v>865.26439525313685</v>
      </c>
      <c r="F78" s="43">
        <f>'Allocated Expenses'!G96</f>
        <v>0</v>
      </c>
      <c r="G78" s="43">
        <f>'Allocated Expenses'!H96</f>
        <v>0</v>
      </c>
      <c r="H78" s="43">
        <f>'Allocated Expenses'!I96</f>
        <v>865.26439525313685</v>
      </c>
      <c r="I78" s="43">
        <f>'Allocated Expenses'!J96</f>
        <v>0</v>
      </c>
      <c r="J78" s="43">
        <f>'Allocated Expenses'!K96</f>
        <v>0</v>
      </c>
      <c r="K78" s="43">
        <f>'Allocated Expenses'!L96</f>
        <v>865.26439525313685</v>
      </c>
      <c r="L78" s="43">
        <f>'Allocated Expenses'!M96</f>
        <v>0</v>
      </c>
      <c r="M78" s="43">
        <f>'Allocated Expenses'!N96</f>
        <v>0</v>
      </c>
      <c r="N78" s="43">
        <f>'Allocated Expenses'!O96</f>
        <v>865.26439525313685</v>
      </c>
      <c r="O78" s="43">
        <f>'Allocated Expenses'!P96</f>
        <v>0</v>
      </c>
      <c r="P78" s="43">
        <f>'Allocated Expenses'!Q96</f>
        <v>0</v>
      </c>
      <c r="Q78" s="443">
        <f>SUM(E78:P78)</f>
        <v>3461.0575810125474</v>
      </c>
      <c r="R78" s="444">
        <f t="shared" si="15"/>
        <v>6.408416495727573E-2</v>
      </c>
      <c r="S78" s="396"/>
      <c r="T78" s="399"/>
      <c r="U78" s="300"/>
      <c r="V78" s="38"/>
    </row>
    <row r="79" spans="1:22" x14ac:dyDescent="0.35">
      <c r="A79" s="110"/>
      <c r="C79" s="34" t="s">
        <v>60</v>
      </c>
      <c r="E79" s="43">
        <f t="shared" ref="E79:Q79" si="16">SUM(E77:E78)</f>
        <v>2234.1834259131087</v>
      </c>
      <c r="F79" s="43">
        <f>SUM(F77:F78)</f>
        <v>1368.9190306599719</v>
      </c>
      <c r="G79" s="43">
        <f t="shared" si="16"/>
        <v>1368.9190306599719</v>
      </c>
      <c r="H79" s="43">
        <f t="shared" si="16"/>
        <v>2234.1834259131087</v>
      </c>
      <c r="I79" s="43">
        <f t="shared" si="16"/>
        <v>1368.9190306599719</v>
      </c>
      <c r="J79" s="43">
        <f t="shared" si="16"/>
        <v>1368.9190306599719</v>
      </c>
      <c r="K79" s="43">
        <f t="shared" si="16"/>
        <v>2234.1834259131087</v>
      </c>
      <c r="L79" s="43">
        <f t="shared" si="16"/>
        <v>1368.9190306599719</v>
      </c>
      <c r="M79" s="43">
        <f t="shared" si="16"/>
        <v>1368.9190306599719</v>
      </c>
      <c r="N79" s="43">
        <f t="shared" si="16"/>
        <v>2234.1834259131087</v>
      </c>
      <c r="O79" s="43">
        <f t="shared" si="16"/>
        <v>1368.9190306599719</v>
      </c>
      <c r="P79" s="43">
        <f t="shared" si="16"/>
        <v>1368.9190306599719</v>
      </c>
      <c r="Q79" s="443">
        <f t="shared" si="16"/>
        <v>19888.08594893221</v>
      </c>
      <c r="R79" s="444">
        <f t="shared" si="15"/>
        <v>0.36824333337528165</v>
      </c>
      <c r="S79" s="400">
        <v>16451.7</v>
      </c>
      <c r="T79" s="461">
        <f>IFERROR(Q79/S79-1,"-")</f>
        <v>0.20887725578099592</v>
      </c>
      <c r="U79" s="300"/>
      <c r="V79" s="38"/>
    </row>
    <row r="80" spans="1:22" x14ac:dyDescent="0.35">
      <c r="A80" s="110"/>
      <c r="Q80" s="430"/>
      <c r="R80" s="432"/>
      <c r="S80" s="396"/>
      <c r="T80" s="399"/>
      <c r="U80" s="300"/>
      <c r="V80" s="38"/>
    </row>
    <row r="81" spans="1:22" x14ac:dyDescent="0.35">
      <c r="A81" s="110" t="s">
        <v>142</v>
      </c>
      <c r="D81" s="34" t="s">
        <v>61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30">
        <f>SUM(E81:P81)</f>
        <v>0</v>
      </c>
      <c r="R81" s="432">
        <f t="shared" si="15"/>
        <v>0</v>
      </c>
      <c r="S81" s="396"/>
      <c r="T81" s="399"/>
      <c r="U81" s="300"/>
      <c r="V81" s="38"/>
    </row>
    <row r="82" spans="1:22" x14ac:dyDescent="0.35">
      <c r="A82" s="110" t="s">
        <v>143</v>
      </c>
      <c r="D82" s="34" t="s">
        <v>21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30">
        <f>SUM(E82:P82)</f>
        <v>0</v>
      </c>
      <c r="R82" s="432">
        <f t="shared" si="15"/>
        <v>0</v>
      </c>
      <c r="S82" s="396"/>
      <c r="T82" s="399"/>
      <c r="U82" s="300"/>
      <c r="V82" s="38"/>
    </row>
    <row r="83" spans="1:22" x14ac:dyDescent="0.35">
      <c r="A83" s="110" t="s">
        <v>144</v>
      </c>
      <c r="D83" s="34" t="s">
        <v>29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43">
        <f>SUM(E83:P83)</f>
        <v>0</v>
      </c>
      <c r="R83" s="444">
        <f t="shared" si="15"/>
        <v>0</v>
      </c>
      <c r="S83" s="396"/>
      <c r="T83" s="399"/>
      <c r="U83" s="300"/>
      <c r="V83" s="38"/>
    </row>
    <row r="84" spans="1:22" x14ac:dyDescent="0.35">
      <c r="A84" s="110"/>
      <c r="C84" s="34" t="s">
        <v>62</v>
      </c>
      <c r="E84" s="43">
        <f t="shared" ref="E84:Q84" si="17">SUM(E81:E83)</f>
        <v>0</v>
      </c>
      <c r="F84" s="43">
        <f t="shared" si="17"/>
        <v>0</v>
      </c>
      <c r="G84" s="43">
        <f t="shared" si="17"/>
        <v>0</v>
      </c>
      <c r="H84" s="43">
        <f t="shared" si="17"/>
        <v>0</v>
      </c>
      <c r="I84" s="43">
        <f t="shared" si="17"/>
        <v>0</v>
      </c>
      <c r="J84" s="43">
        <f t="shared" si="17"/>
        <v>0</v>
      </c>
      <c r="K84" s="43">
        <f t="shared" si="17"/>
        <v>0</v>
      </c>
      <c r="L84" s="43">
        <f t="shared" si="17"/>
        <v>0</v>
      </c>
      <c r="M84" s="43">
        <f t="shared" si="17"/>
        <v>0</v>
      </c>
      <c r="N84" s="43">
        <f t="shared" si="17"/>
        <v>0</v>
      </c>
      <c r="O84" s="43">
        <f t="shared" si="17"/>
        <v>0</v>
      </c>
      <c r="P84" s="43">
        <f t="shared" si="17"/>
        <v>0</v>
      </c>
      <c r="Q84" s="443">
        <f t="shared" si="17"/>
        <v>0</v>
      </c>
      <c r="R84" s="444">
        <f t="shared" si="15"/>
        <v>0</v>
      </c>
      <c r="S84" s="400">
        <v>278.52</v>
      </c>
      <c r="T84" s="461">
        <f>IFERROR(Q84/S84-1,"-")</f>
        <v>-1</v>
      </c>
      <c r="U84" s="300"/>
      <c r="V84" s="38"/>
    </row>
    <row r="85" spans="1:22" x14ac:dyDescent="0.35">
      <c r="A85" s="110"/>
      <c r="Q85" s="430"/>
      <c r="R85" s="432"/>
      <c r="S85" s="396"/>
      <c r="T85" s="399"/>
      <c r="U85" s="300"/>
      <c r="V85" s="38"/>
    </row>
    <row r="86" spans="1:22" x14ac:dyDescent="0.35">
      <c r="A86" s="110"/>
      <c r="D86" s="88" t="s">
        <v>31</v>
      </c>
      <c r="E86" s="117">
        <f>1.03*590</f>
        <v>607.70000000000005</v>
      </c>
      <c r="F86" s="117">
        <f t="shared" ref="F86:P86" si="18">1.03*590</f>
        <v>607.70000000000005</v>
      </c>
      <c r="G86" s="117">
        <f t="shared" si="18"/>
        <v>607.70000000000005</v>
      </c>
      <c r="H86" s="117">
        <f t="shared" si="18"/>
        <v>607.70000000000005</v>
      </c>
      <c r="I86" s="117">
        <f t="shared" si="18"/>
        <v>607.70000000000005</v>
      </c>
      <c r="J86" s="117">
        <f t="shared" si="18"/>
        <v>607.70000000000005</v>
      </c>
      <c r="K86" s="117">
        <f t="shared" si="18"/>
        <v>607.70000000000005</v>
      </c>
      <c r="L86" s="117">
        <f t="shared" si="18"/>
        <v>607.70000000000005</v>
      </c>
      <c r="M86" s="117">
        <f t="shared" si="18"/>
        <v>607.70000000000005</v>
      </c>
      <c r="N86" s="117">
        <f t="shared" si="18"/>
        <v>607.70000000000005</v>
      </c>
      <c r="O86" s="117">
        <f t="shared" si="18"/>
        <v>607.70000000000005</v>
      </c>
      <c r="P86" s="117">
        <f t="shared" si="18"/>
        <v>607.70000000000005</v>
      </c>
      <c r="Q86" s="445">
        <f>SUM(E86:P86)</f>
        <v>7292.3999999999987</v>
      </c>
      <c r="R86" s="438">
        <f t="shared" si="15"/>
        <v>0.13502444082358167</v>
      </c>
      <c r="S86" s="396"/>
      <c r="T86" s="399"/>
      <c r="U86" s="300" t="s">
        <v>371</v>
      </c>
      <c r="V86" s="38" t="s">
        <v>461</v>
      </c>
    </row>
    <row r="87" spans="1:22" x14ac:dyDescent="0.35">
      <c r="A87" s="110"/>
      <c r="D87" s="90" t="s">
        <v>32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3">
        <f>SUM(E87:P87)</f>
        <v>0</v>
      </c>
      <c r="R87" s="442">
        <f t="shared" si="15"/>
        <v>0</v>
      </c>
      <c r="S87" s="396"/>
      <c r="T87" s="399"/>
      <c r="U87" s="300"/>
      <c r="V87" s="38"/>
    </row>
    <row r="88" spans="1:22" x14ac:dyDescent="0.35">
      <c r="A88" s="110" t="s">
        <v>120</v>
      </c>
      <c r="C88" s="34" t="s">
        <v>33</v>
      </c>
      <c r="E88" s="43">
        <f t="shared" ref="E88:Q88" si="19">SUM(E86:E87)</f>
        <v>607.70000000000005</v>
      </c>
      <c r="F88" s="43">
        <f t="shared" si="19"/>
        <v>607.70000000000005</v>
      </c>
      <c r="G88" s="43">
        <f t="shared" si="19"/>
        <v>607.70000000000005</v>
      </c>
      <c r="H88" s="43">
        <f t="shared" si="19"/>
        <v>607.70000000000005</v>
      </c>
      <c r="I88" s="43">
        <f t="shared" si="19"/>
        <v>607.70000000000005</v>
      </c>
      <c r="J88" s="43">
        <f t="shared" si="19"/>
        <v>607.70000000000005</v>
      </c>
      <c r="K88" s="43">
        <f t="shared" si="19"/>
        <v>607.70000000000005</v>
      </c>
      <c r="L88" s="43">
        <f t="shared" si="19"/>
        <v>607.70000000000005</v>
      </c>
      <c r="M88" s="43">
        <f t="shared" si="19"/>
        <v>607.70000000000005</v>
      </c>
      <c r="N88" s="43">
        <f t="shared" si="19"/>
        <v>607.70000000000005</v>
      </c>
      <c r="O88" s="43">
        <f t="shared" si="19"/>
        <v>607.70000000000005</v>
      </c>
      <c r="P88" s="43">
        <f t="shared" si="19"/>
        <v>607.70000000000005</v>
      </c>
      <c r="Q88" s="443">
        <f t="shared" si="19"/>
        <v>7292.3999999999987</v>
      </c>
      <c r="R88" s="444">
        <f t="shared" si="15"/>
        <v>0.13502444082358167</v>
      </c>
      <c r="S88" s="400">
        <v>5075.6499999999996</v>
      </c>
      <c r="T88" s="461">
        <f>IFERROR(Q88/S88-1,"-")</f>
        <v>0.43674209214583337</v>
      </c>
      <c r="U88" s="300"/>
      <c r="V88" s="38"/>
    </row>
    <row r="89" spans="1:22" x14ac:dyDescent="0.35">
      <c r="A89" s="110"/>
      <c r="Q89" s="430"/>
      <c r="R89" s="432"/>
      <c r="S89" s="396"/>
      <c r="T89" s="399"/>
      <c r="U89" s="300"/>
      <c r="V89" s="38"/>
    </row>
    <row r="90" spans="1:22" s="95" customFormat="1" hidden="1" x14ac:dyDescent="0.35">
      <c r="A90" s="111" t="s">
        <v>145</v>
      </c>
      <c r="B90" s="95" t="s">
        <v>34</v>
      </c>
      <c r="C90" s="95" t="s">
        <v>63</v>
      </c>
      <c r="Q90" s="448">
        <f>SUM(E90:P90)</f>
        <v>0</v>
      </c>
      <c r="R90" s="449">
        <f t="shared" si="15"/>
        <v>0</v>
      </c>
      <c r="S90" s="396"/>
      <c r="T90" s="399" t="e">
        <f>R90/S90-1</f>
        <v>#DIV/0!</v>
      </c>
      <c r="U90" s="300"/>
      <c r="V90" s="305"/>
    </row>
    <row r="91" spans="1:22" hidden="1" x14ac:dyDescent="0.35">
      <c r="A91" s="110"/>
      <c r="Q91" s="430"/>
      <c r="R91" s="432"/>
      <c r="S91" s="396"/>
      <c r="T91" s="399" t="e">
        <f>R91/S91-1</f>
        <v>#DIV/0!</v>
      </c>
      <c r="U91" s="300"/>
      <c r="V91" s="38"/>
    </row>
    <row r="92" spans="1:22" x14ac:dyDescent="0.35">
      <c r="A92" s="110" t="s">
        <v>121</v>
      </c>
      <c r="C92" s="34" t="s">
        <v>64</v>
      </c>
      <c r="E92" s="34">
        <f>'Allocated Expenses'!F107+'Allocated Expenses'!F118</f>
        <v>525.14102412443526</v>
      </c>
      <c r="F92" s="34">
        <f>'Allocated Expenses'!G107+'Allocated Expenses'!G118</f>
        <v>525.14102412443526</v>
      </c>
      <c r="G92" s="34">
        <f>'Allocated Expenses'!H107+'Allocated Expenses'!H118</f>
        <v>525.14102412443526</v>
      </c>
      <c r="H92" s="34">
        <f>'Allocated Expenses'!I107+'Allocated Expenses'!I118</f>
        <v>525.14102412443526</v>
      </c>
      <c r="I92" s="34">
        <f>'Allocated Expenses'!J107+'Allocated Expenses'!J118</f>
        <v>525.14102412443526</v>
      </c>
      <c r="J92" s="34">
        <f>'Allocated Expenses'!K107+'Allocated Expenses'!K118</f>
        <v>525.14102412443526</v>
      </c>
      <c r="K92" s="34">
        <f>'Allocated Expenses'!L107+'Allocated Expenses'!L118</f>
        <v>525.14102412443526</v>
      </c>
      <c r="L92" s="34">
        <f>'Allocated Expenses'!M107+'Allocated Expenses'!M118</f>
        <v>525.14102412443526</v>
      </c>
      <c r="M92" s="34">
        <f>'Allocated Expenses'!N107+'Allocated Expenses'!N118</f>
        <v>525.14102412443526</v>
      </c>
      <c r="N92" s="34">
        <f>'Allocated Expenses'!O107+'Allocated Expenses'!O118</f>
        <v>525.14102412443526</v>
      </c>
      <c r="O92" s="34">
        <f>'Allocated Expenses'!P107+'Allocated Expenses'!P118</f>
        <v>525.14102412443526</v>
      </c>
      <c r="P92" s="34">
        <f>'Allocated Expenses'!Q107+'Allocated Expenses'!Q118</f>
        <v>525.14102412443526</v>
      </c>
      <c r="Q92" s="430">
        <f>SUM(E92:P92)</f>
        <v>6301.692289493225</v>
      </c>
      <c r="R92" s="432">
        <f t="shared" si="15"/>
        <v>0.11668071932849254</v>
      </c>
      <c r="S92" s="396">
        <v>6000</v>
      </c>
      <c r="T92" s="460">
        <f>IFERROR(Q92/S92-1,"-")</f>
        <v>5.0282048248870836E-2</v>
      </c>
      <c r="U92" s="300"/>
      <c r="V92" s="38"/>
    </row>
    <row r="93" spans="1:22" x14ac:dyDescent="0.35">
      <c r="A93" s="110"/>
      <c r="Q93" s="430"/>
      <c r="R93" s="432"/>
      <c r="S93" s="396"/>
      <c r="T93" s="399"/>
      <c r="U93" s="300"/>
      <c r="V93" s="38"/>
    </row>
    <row r="94" spans="1:22" x14ac:dyDescent="0.35">
      <c r="A94" s="110" t="s">
        <v>122</v>
      </c>
      <c r="C94" s="34" t="s">
        <v>65</v>
      </c>
      <c r="E94" s="34">
        <f>'Allocated Expenses'!F129</f>
        <v>0</v>
      </c>
      <c r="F94" s="34">
        <f>'Allocated Expenses'!G129</f>
        <v>0</v>
      </c>
      <c r="G94" s="34">
        <f>'Allocated Expenses'!H129</f>
        <v>0</v>
      </c>
      <c r="H94" s="34">
        <f>'Allocated Expenses'!I129</f>
        <v>1619.1844412717451</v>
      </c>
      <c r="I94" s="34">
        <f>'Allocated Expenses'!J129</f>
        <v>0</v>
      </c>
      <c r="J94" s="34">
        <f>'Allocated Expenses'!K129</f>
        <v>0</v>
      </c>
      <c r="K94" s="34">
        <f>'Allocated Expenses'!L129</f>
        <v>0</v>
      </c>
      <c r="L94" s="34">
        <f>'Allocated Expenses'!M129</f>
        <v>0</v>
      </c>
      <c r="M94" s="34">
        <f>'Allocated Expenses'!N129</f>
        <v>0</v>
      </c>
      <c r="N94" s="34">
        <f>'Allocated Expenses'!O129</f>
        <v>0</v>
      </c>
      <c r="O94" s="34">
        <f>'Allocated Expenses'!P129</f>
        <v>0</v>
      </c>
      <c r="P94" s="34">
        <f>'Allocated Expenses'!Q129</f>
        <v>0</v>
      </c>
      <c r="Q94" s="430">
        <f>SUM(E94:P94)</f>
        <v>1619.1844412717451</v>
      </c>
      <c r="R94" s="432">
        <f t="shared" si="15"/>
        <v>2.9980455511623188E-2</v>
      </c>
      <c r="S94" s="396">
        <v>0</v>
      </c>
      <c r="T94" s="460" t="str">
        <f>IFERROR(Q94/S94-1,"-")</f>
        <v>-</v>
      </c>
      <c r="U94" s="300"/>
      <c r="V94" s="38"/>
    </row>
    <row r="95" spans="1:22" x14ac:dyDescent="0.35">
      <c r="A95" s="110"/>
      <c r="Q95" s="430"/>
      <c r="R95" s="432"/>
      <c r="S95" s="396"/>
      <c r="T95" s="399"/>
      <c r="U95" s="300"/>
      <c r="V95" s="38"/>
    </row>
    <row r="96" spans="1:22" x14ac:dyDescent="0.35">
      <c r="A96" s="110" t="s">
        <v>123</v>
      </c>
      <c r="C96" s="34" t="s">
        <v>66</v>
      </c>
      <c r="E96" s="34">
        <f>'Allocated Expenses'!F141</f>
        <v>479.93215794352932</v>
      </c>
      <c r="F96" s="34">
        <f>'Allocated Expenses'!G141</f>
        <v>479.93215794352932</v>
      </c>
      <c r="G96" s="34">
        <f>'Allocated Expenses'!H141</f>
        <v>479.93215794352932</v>
      </c>
      <c r="H96" s="34">
        <f>'Allocated Expenses'!I141</f>
        <v>479.93215794352932</v>
      </c>
      <c r="I96" s="34">
        <f>'Allocated Expenses'!J141</f>
        <v>479.93215794352932</v>
      </c>
      <c r="J96" s="34">
        <f>'Allocated Expenses'!K141</f>
        <v>479.93215794352932</v>
      </c>
      <c r="K96" s="34">
        <f>'Allocated Expenses'!L141</f>
        <v>479.93215794352932</v>
      </c>
      <c r="L96" s="34">
        <f>'Allocated Expenses'!M141</f>
        <v>479.93215794352932</v>
      </c>
      <c r="M96" s="34">
        <f>'Allocated Expenses'!N141</f>
        <v>479.93215794352932</v>
      </c>
      <c r="N96" s="34">
        <f>'Allocated Expenses'!O141</f>
        <v>479.93215794352932</v>
      </c>
      <c r="O96" s="34">
        <f>'Allocated Expenses'!P141</f>
        <v>479.93215794352932</v>
      </c>
      <c r="P96" s="34">
        <f>'Allocated Expenses'!Q141</f>
        <v>479.93215794352932</v>
      </c>
      <c r="Q96" s="430">
        <f>SUM(E96:P96)</f>
        <v>5759.18589532235</v>
      </c>
      <c r="R96" s="432">
        <f t="shared" si="15"/>
        <v>0.10663579275889405</v>
      </c>
      <c r="S96" s="396">
        <v>5821.26</v>
      </c>
      <c r="T96" s="460">
        <f>IFERROR(Q96/S96-1,"-")</f>
        <v>-1.0663345165419558E-2</v>
      </c>
      <c r="U96" s="300"/>
      <c r="V96" s="38"/>
    </row>
    <row r="97" spans="1:22" x14ac:dyDescent="0.35">
      <c r="A97" s="110"/>
      <c r="Q97" s="430"/>
      <c r="R97" s="432"/>
      <c r="S97" s="396"/>
      <c r="T97" s="399"/>
      <c r="U97" s="300"/>
      <c r="V97" s="38"/>
    </row>
    <row r="98" spans="1:22" x14ac:dyDescent="0.35">
      <c r="A98" s="110" t="s">
        <v>130</v>
      </c>
      <c r="D98" s="34" t="s">
        <v>67</v>
      </c>
      <c r="E98" s="34">
        <f>'Allocated Expenses'!F152</f>
        <v>21.701615091300354</v>
      </c>
      <c r="F98" s="34">
        <f>'Allocated Expenses'!G152</f>
        <v>21.701615091300354</v>
      </c>
      <c r="G98" s="34">
        <f>'Allocated Expenses'!H152</f>
        <v>21.701615091300354</v>
      </c>
      <c r="H98" s="34">
        <f>'Allocated Expenses'!I152</f>
        <v>21.701615091300354</v>
      </c>
      <c r="I98" s="34">
        <f>'Allocated Expenses'!J152</f>
        <v>21.701615091300354</v>
      </c>
      <c r="J98" s="34">
        <f>'Allocated Expenses'!K152</f>
        <v>21.701615091300354</v>
      </c>
      <c r="K98" s="34">
        <f>'Allocated Expenses'!L152</f>
        <v>21.701615091300354</v>
      </c>
      <c r="L98" s="34">
        <f>'Allocated Expenses'!M152</f>
        <v>21.701615091300354</v>
      </c>
      <c r="M98" s="34">
        <f>'Allocated Expenses'!N152</f>
        <v>21.701615091300354</v>
      </c>
      <c r="N98" s="34">
        <f>'Allocated Expenses'!O152</f>
        <v>21.701615091300354</v>
      </c>
      <c r="O98" s="34">
        <f>'Allocated Expenses'!P152</f>
        <v>21.701615091300354</v>
      </c>
      <c r="P98" s="34">
        <f>'Allocated Expenses'!Q152</f>
        <v>21.701615091300354</v>
      </c>
      <c r="Q98" s="430">
        <f>SUM(E98:P98)</f>
        <v>260.41938109560431</v>
      </c>
      <c r="R98" s="432">
        <f t="shared" si="15"/>
        <v>4.8218667807658922E-3</v>
      </c>
      <c r="S98" s="396"/>
      <c r="T98" s="399"/>
      <c r="U98" s="300"/>
      <c r="V98" s="38"/>
    </row>
    <row r="99" spans="1:22" x14ac:dyDescent="0.35">
      <c r="A99" s="110" t="s">
        <v>146</v>
      </c>
      <c r="D99" s="34" t="s">
        <v>68</v>
      </c>
      <c r="E99" s="34">
        <f>'Allocated Expenses'!F163</f>
        <v>0</v>
      </c>
      <c r="F99" s="34">
        <f>'Allocated Expenses'!G163</f>
        <v>0</v>
      </c>
      <c r="G99" s="34">
        <f>'Allocated Expenses'!H163</f>
        <v>0</v>
      </c>
      <c r="H99" s="34">
        <f>'Allocated Expenses'!I163</f>
        <v>0</v>
      </c>
      <c r="I99" s="34">
        <f>'Allocated Expenses'!J163</f>
        <v>0</v>
      </c>
      <c r="J99" s="34">
        <f>'Allocated Expenses'!K163</f>
        <v>0</v>
      </c>
      <c r="K99" s="34">
        <f>'Allocated Expenses'!L163</f>
        <v>0</v>
      </c>
      <c r="L99" s="34">
        <f>'Allocated Expenses'!M163</f>
        <v>0</v>
      </c>
      <c r="M99" s="34">
        <f>'Allocated Expenses'!N163</f>
        <v>0</v>
      </c>
      <c r="N99" s="34">
        <f>'Allocated Expenses'!O163</f>
        <v>0</v>
      </c>
      <c r="O99" s="34">
        <f>'Allocated Expenses'!P163</f>
        <v>0</v>
      </c>
      <c r="P99" s="34">
        <f>'Allocated Expenses'!Q163</f>
        <v>0</v>
      </c>
      <c r="Q99" s="430">
        <f>SUM(E99:P99)</f>
        <v>0</v>
      </c>
      <c r="R99" s="432">
        <f t="shared" si="15"/>
        <v>0</v>
      </c>
      <c r="S99" s="396"/>
      <c r="T99" s="399"/>
      <c r="U99" s="300"/>
      <c r="V99" s="38"/>
    </row>
    <row r="100" spans="1:22" x14ac:dyDescent="0.35">
      <c r="A100" s="110" t="s">
        <v>147</v>
      </c>
      <c r="D100" s="34" t="s">
        <v>69</v>
      </c>
      <c r="E100" s="34">
        <f>'Allocated Expenses'!F174</f>
        <v>0</v>
      </c>
      <c r="F100" s="34">
        <f>'Allocated Expenses'!G174</f>
        <v>0</v>
      </c>
      <c r="G100" s="34">
        <f>'Allocated Expenses'!H174</f>
        <v>0</v>
      </c>
      <c r="H100" s="34">
        <f>'Allocated Expenses'!I174</f>
        <v>0</v>
      </c>
      <c r="I100" s="34">
        <f>'Allocated Expenses'!J174</f>
        <v>0</v>
      </c>
      <c r="J100" s="34">
        <f>'Allocated Expenses'!K174</f>
        <v>0</v>
      </c>
      <c r="K100" s="34">
        <f>'Allocated Expenses'!L174</f>
        <v>0</v>
      </c>
      <c r="L100" s="34">
        <f>'Allocated Expenses'!M174</f>
        <v>0</v>
      </c>
      <c r="M100" s="34">
        <f>'Allocated Expenses'!N174</f>
        <v>0</v>
      </c>
      <c r="N100" s="34">
        <f>'Allocated Expenses'!O174</f>
        <v>0</v>
      </c>
      <c r="O100" s="34">
        <f>'Allocated Expenses'!P174</f>
        <v>0</v>
      </c>
      <c r="P100" s="34">
        <f>'Allocated Expenses'!Q174</f>
        <v>0</v>
      </c>
      <c r="Q100" s="430">
        <f>SUM(E100:P100)</f>
        <v>0</v>
      </c>
      <c r="R100" s="432">
        <f t="shared" si="15"/>
        <v>0</v>
      </c>
      <c r="S100" s="396"/>
      <c r="T100" s="399"/>
      <c r="U100" s="300"/>
      <c r="V100" s="38"/>
    </row>
    <row r="101" spans="1:22" x14ac:dyDescent="0.35">
      <c r="A101" s="110" t="s">
        <v>131</v>
      </c>
      <c r="D101" s="34" t="s">
        <v>70</v>
      </c>
      <c r="E101" s="34">
        <f>'Allocated Expenses'!F185</f>
        <v>21.00156299158099</v>
      </c>
      <c r="F101" s="34">
        <f>'Allocated Expenses'!G185</f>
        <v>21.00156299158099</v>
      </c>
      <c r="G101" s="34">
        <f>'Allocated Expenses'!H185</f>
        <v>21.00156299158099</v>
      </c>
      <c r="H101" s="34">
        <f>'Allocated Expenses'!I185</f>
        <v>21.00156299158099</v>
      </c>
      <c r="I101" s="34">
        <f>'Allocated Expenses'!J185</f>
        <v>21.00156299158099</v>
      </c>
      <c r="J101" s="34">
        <f>'Allocated Expenses'!K185</f>
        <v>21.00156299158099</v>
      </c>
      <c r="K101" s="34">
        <f>'Allocated Expenses'!L185</f>
        <v>21.00156299158099</v>
      </c>
      <c r="L101" s="34">
        <f>'Allocated Expenses'!M185</f>
        <v>21.00156299158099</v>
      </c>
      <c r="M101" s="34">
        <f>'Allocated Expenses'!N185</f>
        <v>21.00156299158099</v>
      </c>
      <c r="N101" s="34">
        <f>'Allocated Expenses'!O185</f>
        <v>21.00156299158099</v>
      </c>
      <c r="O101" s="34">
        <f>'Allocated Expenses'!P185</f>
        <v>21.00156299158099</v>
      </c>
      <c r="P101" s="34">
        <f>'Allocated Expenses'!Q185</f>
        <v>21.00156299158099</v>
      </c>
      <c r="Q101" s="430">
        <f>SUM(E101:P101)</f>
        <v>252.01875589897182</v>
      </c>
      <c r="R101" s="432">
        <f t="shared" si="15"/>
        <v>4.6663226910637649E-3</v>
      </c>
      <c r="S101" s="396"/>
      <c r="T101" s="399"/>
      <c r="U101" s="300"/>
      <c r="V101" s="38"/>
    </row>
    <row r="102" spans="1:22" x14ac:dyDescent="0.35">
      <c r="A102" s="110" t="s">
        <v>124</v>
      </c>
      <c r="D102" s="34" t="s">
        <v>71</v>
      </c>
      <c r="E102" s="43">
        <f>'Allocated Expenses'!F196</f>
        <v>650</v>
      </c>
      <c r="F102" s="43">
        <f>'Allocated Expenses'!G196</f>
        <v>650</v>
      </c>
      <c r="G102" s="43">
        <f>'Allocated Expenses'!H196</f>
        <v>650</v>
      </c>
      <c r="H102" s="43">
        <f>'Allocated Expenses'!I196</f>
        <v>650</v>
      </c>
      <c r="I102" s="43">
        <f>'Allocated Expenses'!J196</f>
        <v>650</v>
      </c>
      <c r="J102" s="43">
        <f>'Allocated Expenses'!K196</f>
        <v>650</v>
      </c>
      <c r="K102" s="43">
        <f>'Allocated Expenses'!L196</f>
        <v>650</v>
      </c>
      <c r="L102" s="43">
        <f>'Allocated Expenses'!M196</f>
        <v>650</v>
      </c>
      <c r="M102" s="43">
        <f>'Allocated Expenses'!N196</f>
        <v>650</v>
      </c>
      <c r="N102" s="43">
        <f>'Allocated Expenses'!O196</f>
        <v>650</v>
      </c>
      <c r="O102" s="43">
        <f>'Allocated Expenses'!P196</f>
        <v>650</v>
      </c>
      <c r="P102" s="43">
        <f>'Allocated Expenses'!Q196</f>
        <v>650</v>
      </c>
      <c r="Q102" s="443">
        <f>SUM(E102:P102)</f>
        <v>7800</v>
      </c>
      <c r="R102" s="444">
        <f t="shared" si="15"/>
        <v>0.14442304843726855</v>
      </c>
      <c r="S102" s="396"/>
      <c r="T102" s="399"/>
      <c r="U102" s="300"/>
      <c r="V102" s="38"/>
    </row>
    <row r="103" spans="1:22" x14ac:dyDescent="0.35">
      <c r="A103" s="110"/>
      <c r="C103" s="34" t="s">
        <v>72</v>
      </c>
      <c r="E103" s="43">
        <f>SUM(E98:E102)</f>
        <v>692.70317808288132</v>
      </c>
      <c r="F103" s="43">
        <f t="shared" ref="F103:Q103" si="20">SUM(F98:F102)</f>
        <v>692.70317808288132</v>
      </c>
      <c r="G103" s="43">
        <f t="shared" si="20"/>
        <v>692.70317808288132</v>
      </c>
      <c r="H103" s="43">
        <f t="shared" si="20"/>
        <v>692.70317808288132</v>
      </c>
      <c r="I103" s="43">
        <f t="shared" si="20"/>
        <v>692.70317808288132</v>
      </c>
      <c r="J103" s="43">
        <f t="shared" si="20"/>
        <v>692.70317808288132</v>
      </c>
      <c r="K103" s="43">
        <f t="shared" si="20"/>
        <v>692.70317808288132</v>
      </c>
      <c r="L103" s="43">
        <f t="shared" si="20"/>
        <v>692.70317808288132</v>
      </c>
      <c r="M103" s="43">
        <f t="shared" si="20"/>
        <v>692.70317808288132</v>
      </c>
      <c r="N103" s="43">
        <f t="shared" si="20"/>
        <v>692.70317808288132</v>
      </c>
      <c r="O103" s="43">
        <f t="shared" si="20"/>
        <v>692.70317808288132</v>
      </c>
      <c r="P103" s="43">
        <f t="shared" si="20"/>
        <v>692.70317808288132</v>
      </c>
      <c r="Q103" s="443">
        <f t="shared" si="20"/>
        <v>8312.4381369945768</v>
      </c>
      <c r="R103" s="444">
        <f t="shared" si="15"/>
        <v>0.15391123790909822</v>
      </c>
      <c r="S103" s="400">
        <v>8040</v>
      </c>
      <c r="T103" s="461">
        <f>IFERROR(Q103/S103-1,"-")</f>
        <v>3.388534042221103E-2</v>
      </c>
      <c r="U103" s="300"/>
      <c r="V103" s="38"/>
    </row>
    <row r="104" spans="1:22" x14ac:dyDescent="0.35">
      <c r="A104" s="110"/>
      <c r="Q104" s="430"/>
      <c r="R104" s="432"/>
      <c r="S104" s="396"/>
      <c r="T104" s="399"/>
      <c r="U104" s="300"/>
      <c r="V104" s="38"/>
    </row>
    <row r="105" spans="1:22" ht="18" x14ac:dyDescent="0.35">
      <c r="A105" s="110"/>
      <c r="C105" s="60" t="s">
        <v>73</v>
      </c>
      <c r="D105" s="92"/>
      <c r="E105" s="92">
        <f t="shared" ref="E105:P105" si="21">+E75+E79+E84+E88+E90+E92+E94+E96+E103</f>
        <v>4539.6597860639549</v>
      </c>
      <c r="F105" s="92">
        <f t="shared" si="21"/>
        <v>3674.3953908108178</v>
      </c>
      <c r="G105" s="92">
        <f t="shared" si="21"/>
        <v>3674.3953908108178</v>
      </c>
      <c r="H105" s="92">
        <f t="shared" si="21"/>
        <v>6158.8442273356995</v>
      </c>
      <c r="I105" s="92">
        <f t="shared" si="21"/>
        <v>3674.3953908108178</v>
      </c>
      <c r="J105" s="92">
        <f t="shared" si="21"/>
        <v>3674.3953908108178</v>
      </c>
      <c r="K105" s="92">
        <f t="shared" si="21"/>
        <v>4539.6597860639549</v>
      </c>
      <c r="L105" s="92">
        <f t="shared" si="21"/>
        <v>3674.3953908108178</v>
      </c>
      <c r="M105" s="92">
        <f t="shared" si="21"/>
        <v>3674.3953908108178</v>
      </c>
      <c r="N105" s="92">
        <f t="shared" si="21"/>
        <v>4539.6597860639549</v>
      </c>
      <c r="O105" s="92">
        <f t="shared" si="21"/>
        <v>3674.3953908108178</v>
      </c>
      <c r="P105" s="92">
        <f t="shared" si="21"/>
        <v>3674.3953908108178</v>
      </c>
      <c r="Q105" s="446">
        <f>+Q75+Q79+Q84+Q88+Q90+Q92+Q94+Q96+Q103</f>
        <v>49172.986712014106</v>
      </c>
      <c r="R105" s="447">
        <f t="shared" si="15"/>
        <v>0.91047597970697125</v>
      </c>
      <c r="S105" s="406">
        <f t="shared" ref="S105" si="22">+S75+S79+S84+S88+S90+S92+S94+S96+S103</f>
        <v>41667.130000000005</v>
      </c>
      <c r="T105" s="465">
        <f>IFERROR(Q105/S105-1,"-")</f>
        <v>0.18013855794757405</v>
      </c>
      <c r="U105" s="304"/>
      <c r="V105" s="38"/>
    </row>
    <row r="106" spans="1:22" ht="18.5" thickBot="1" x14ac:dyDescent="0.4">
      <c r="A106" s="110"/>
      <c r="Q106" s="435"/>
      <c r="R106" s="436"/>
      <c r="S106" s="402"/>
      <c r="T106" s="403"/>
      <c r="U106" s="301"/>
      <c r="V106" s="38"/>
    </row>
    <row r="107" spans="1:22" s="36" customFormat="1" ht="18" thickBot="1" x14ac:dyDescent="0.4">
      <c r="A107" s="285"/>
      <c r="B107" s="286" t="s">
        <v>74</v>
      </c>
      <c r="C107" s="287"/>
      <c r="D107" s="287"/>
      <c r="E107" s="287">
        <f t="shared" ref="E107:Q107" si="23">+E71+E105</f>
        <v>45197.743463690545</v>
      </c>
      <c r="F107" s="287">
        <f t="shared" si="23"/>
        <v>39048.959068437405</v>
      </c>
      <c r="G107" s="287">
        <f t="shared" si="23"/>
        <v>55433.532917681856</v>
      </c>
      <c r="H107" s="287">
        <f t="shared" si="23"/>
        <v>47544.381754206734</v>
      </c>
      <c r="I107" s="287">
        <f t="shared" si="23"/>
        <v>37500.172917681855</v>
      </c>
      <c r="J107" s="287">
        <f t="shared" si="23"/>
        <v>42228.432917681857</v>
      </c>
      <c r="K107" s="287">
        <f t="shared" si="23"/>
        <v>41792.727312934992</v>
      </c>
      <c r="L107" s="287">
        <f t="shared" si="23"/>
        <v>37141.202917681854</v>
      </c>
      <c r="M107" s="287">
        <f t="shared" si="23"/>
        <v>49923.692917681852</v>
      </c>
      <c r="N107" s="287">
        <f t="shared" si="23"/>
        <v>51239.547312934999</v>
      </c>
      <c r="O107" s="287">
        <f t="shared" si="23"/>
        <v>36108.162917681853</v>
      </c>
      <c r="P107" s="287">
        <f t="shared" si="23"/>
        <v>46790.669068437412</v>
      </c>
      <c r="Q107" s="426">
        <f t="shared" si="23"/>
        <v>529949.22548673314</v>
      </c>
      <c r="R107" s="428">
        <f t="shared" si="15"/>
        <v>9.8124208540722329</v>
      </c>
      <c r="S107" s="427">
        <f>+S71+S105</f>
        <v>538269.8600000001</v>
      </c>
      <c r="T107" s="405">
        <f>IFERROR(Q107/S107-1,"-")</f>
        <v>-1.545810964274863E-2</v>
      </c>
      <c r="U107" s="302"/>
      <c r="V107" s="74"/>
    </row>
    <row r="108" spans="1:22" ht="18.5" thickBot="1" x14ac:dyDescent="0.4">
      <c r="A108" s="110"/>
      <c r="Q108" s="435"/>
      <c r="R108" s="436"/>
      <c r="S108" s="402"/>
      <c r="T108" s="403"/>
      <c r="U108" s="301"/>
      <c r="V108" s="38"/>
    </row>
    <row r="109" spans="1:22" s="36" customFormat="1" ht="18" thickBot="1" x14ac:dyDescent="0.4">
      <c r="A109" s="285"/>
      <c r="B109" s="286" t="s">
        <v>75</v>
      </c>
      <c r="C109" s="287"/>
      <c r="D109" s="287"/>
      <c r="E109" s="287">
        <f t="shared" ref="E109:Q109" si="24">+E24-E107</f>
        <v>14879.102669642794</v>
      </c>
      <c r="F109" s="287">
        <f t="shared" si="24"/>
        <v>19682.890264895941</v>
      </c>
      <c r="G109" s="287">
        <f t="shared" si="24"/>
        <v>2498.1136156514913</v>
      </c>
      <c r="H109" s="287">
        <f t="shared" si="24"/>
        <v>10175.201845793265</v>
      </c>
      <c r="I109" s="287">
        <f t="shared" si="24"/>
        <v>19303.805282318142</v>
      </c>
      <c r="J109" s="287">
        <f t="shared" si="24"/>
        <v>14948.699882318142</v>
      </c>
      <c r="K109" s="287">
        <f t="shared" si="24"/>
        <v>16032.81875373167</v>
      </c>
      <c r="L109" s="287">
        <f t="shared" si="24"/>
        <v>20791.544548984813</v>
      </c>
      <c r="M109" s="287">
        <f t="shared" si="24"/>
        <v>7157.301348984809</v>
      </c>
      <c r="N109" s="287">
        <f t="shared" si="24"/>
        <v>6662.1527537316651</v>
      </c>
      <c r="O109" s="287">
        <f t="shared" si="24"/>
        <v>21442.644615651479</v>
      </c>
      <c r="P109" s="287">
        <f t="shared" si="24"/>
        <v>12558.544464895924</v>
      </c>
      <c r="Q109" s="426">
        <f t="shared" si="24"/>
        <v>166132.8200466003</v>
      </c>
      <c r="R109" s="428">
        <f t="shared" si="15"/>
        <v>3.0760779893089967</v>
      </c>
      <c r="S109" s="427">
        <f>+S24-S107</f>
        <v>92335.699999999953</v>
      </c>
      <c r="T109" s="405">
        <f>IFERROR(Q109/S109-1,"-")</f>
        <v>0.79922630192439525</v>
      </c>
      <c r="U109" s="302"/>
      <c r="V109" s="74"/>
    </row>
    <row r="110" spans="1:22" ht="18" x14ac:dyDescent="0.35">
      <c r="A110" s="110"/>
      <c r="Q110" s="435"/>
      <c r="R110" s="436"/>
      <c r="S110" s="402"/>
      <c r="T110" s="403"/>
      <c r="U110" s="301"/>
      <c r="V110" s="38"/>
    </row>
    <row r="111" spans="1:22" x14ac:dyDescent="0.35">
      <c r="A111" s="110" t="s">
        <v>125</v>
      </c>
      <c r="D111" s="34" t="s">
        <v>76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30">
        <f>SUM(E111:P111)</f>
        <v>0</v>
      </c>
      <c r="R111" s="432">
        <f t="shared" si="15"/>
        <v>0</v>
      </c>
      <c r="S111" s="396"/>
      <c r="T111" s="399"/>
      <c r="U111" s="300"/>
      <c r="V111" s="38"/>
    </row>
    <row r="112" spans="1:22" x14ac:dyDescent="0.35">
      <c r="A112" s="110" t="s">
        <v>126</v>
      </c>
      <c r="D112" s="34" t="s">
        <v>77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30">
        <f>SUM(E112:P112)</f>
        <v>0</v>
      </c>
      <c r="R112" s="432">
        <f t="shared" si="15"/>
        <v>0</v>
      </c>
      <c r="S112" s="396"/>
      <c r="T112" s="399"/>
      <c r="U112" s="300"/>
      <c r="V112" s="38"/>
    </row>
    <row r="113" spans="1:22" x14ac:dyDescent="0.35">
      <c r="A113" s="110" t="s">
        <v>127</v>
      </c>
      <c r="D113" s="34" t="s">
        <v>78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30">
        <f>SUM(E113:P113)</f>
        <v>0</v>
      </c>
      <c r="R113" s="432">
        <f t="shared" si="15"/>
        <v>0</v>
      </c>
      <c r="S113" s="396"/>
      <c r="T113" s="399"/>
      <c r="U113" s="300"/>
      <c r="V113" s="38"/>
    </row>
    <row r="114" spans="1:22" x14ac:dyDescent="0.35">
      <c r="A114" s="110" t="s">
        <v>135</v>
      </c>
      <c r="D114" s="34" t="s">
        <v>79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43">
        <f>SUM(E114:P114)</f>
        <v>0</v>
      </c>
      <c r="R114" s="444">
        <f t="shared" si="15"/>
        <v>0</v>
      </c>
      <c r="S114" s="396"/>
      <c r="T114" s="399"/>
      <c r="U114" s="300"/>
      <c r="V114" s="38"/>
    </row>
    <row r="115" spans="1:22" x14ac:dyDescent="0.35">
      <c r="A115" s="110"/>
      <c r="C115" s="34" t="s">
        <v>79</v>
      </c>
      <c r="E115" s="43">
        <f t="shared" ref="E115:Q115" si="25">SUM(E111:E114)</f>
        <v>0</v>
      </c>
      <c r="F115" s="43">
        <f t="shared" si="25"/>
        <v>0</v>
      </c>
      <c r="G115" s="43">
        <f t="shared" si="25"/>
        <v>0</v>
      </c>
      <c r="H115" s="43">
        <f t="shared" si="25"/>
        <v>0</v>
      </c>
      <c r="I115" s="43">
        <f t="shared" si="25"/>
        <v>0</v>
      </c>
      <c r="J115" s="43">
        <f t="shared" si="25"/>
        <v>0</v>
      </c>
      <c r="K115" s="43">
        <f t="shared" si="25"/>
        <v>0</v>
      </c>
      <c r="L115" s="43">
        <f t="shared" si="25"/>
        <v>0</v>
      </c>
      <c r="M115" s="43">
        <f t="shared" si="25"/>
        <v>0</v>
      </c>
      <c r="N115" s="43">
        <f t="shared" si="25"/>
        <v>0</v>
      </c>
      <c r="O115" s="43">
        <f t="shared" si="25"/>
        <v>0</v>
      </c>
      <c r="P115" s="43">
        <f t="shared" si="25"/>
        <v>0</v>
      </c>
      <c r="Q115" s="443">
        <f t="shared" si="25"/>
        <v>0</v>
      </c>
      <c r="R115" s="444">
        <f t="shared" si="15"/>
        <v>0</v>
      </c>
      <c r="S115" s="400"/>
      <c r="T115" s="461" t="str">
        <f>IFERROR(Q115/S115-1,"-")</f>
        <v>-</v>
      </c>
      <c r="U115" s="300"/>
      <c r="V115" s="38"/>
    </row>
    <row r="116" spans="1:22" x14ac:dyDescent="0.35">
      <c r="A116" s="110"/>
      <c r="Q116" s="430"/>
      <c r="R116" s="432"/>
      <c r="S116" s="396"/>
      <c r="T116" s="399"/>
      <c r="U116" s="300"/>
      <c r="V116" s="38"/>
    </row>
    <row r="117" spans="1:22" x14ac:dyDescent="0.35">
      <c r="A117" s="110" t="s">
        <v>128</v>
      </c>
      <c r="C117" s="34" t="s">
        <v>80</v>
      </c>
      <c r="E117" s="34">
        <f>'Renew &amp; Vac'!AJ11</f>
        <v>0</v>
      </c>
      <c r="F117" s="34">
        <f>'Renew &amp; Vac'!AK11</f>
        <v>0</v>
      </c>
      <c r="G117" s="34">
        <f>'Renew &amp; Vac'!AL11</f>
        <v>0</v>
      </c>
      <c r="H117" s="34">
        <f>'Renew &amp; Vac'!AM11</f>
        <v>11301</v>
      </c>
      <c r="I117" s="34">
        <f>'Renew &amp; Vac'!AN11</f>
        <v>0</v>
      </c>
      <c r="J117" s="34">
        <f>'Renew &amp; Vac'!AO11</f>
        <v>0</v>
      </c>
      <c r="K117" s="34">
        <f>'Renew &amp; Vac'!AP11</f>
        <v>0</v>
      </c>
      <c r="L117" s="34">
        <f>'Renew &amp; Vac'!AQ11</f>
        <v>0</v>
      </c>
      <c r="M117" s="34">
        <f>'Renew &amp; Vac'!AR11</f>
        <v>0</v>
      </c>
      <c r="N117" s="34">
        <f>'Renew &amp; Vac'!AS11</f>
        <v>11436</v>
      </c>
      <c r="O117" s="34">
        <f>'Renew &amp; Vac'!AT11</f>
        <v>0</v>
      </c>
      <c r="P117" s="34">
        <f>'Renew &amp; Vac'!AU11</f>
        <v>0</v>
      </c>
      <c r="Q117" s="430">
        <f>SUM(E117:P117)</f>
        <v>22737</v>
      </c>
      <c r="R117" s="432">
        <f t="shared" si="15"/>
        <v>0.42099318619463783</v>
      </c>
      <c r="S117" s="396">
        <v>3100</v>
      </c>
      <c r="T117" s="460">
        <f>IFERROR(Q117/S117-1,"-")</f>
        <v>6.3345161290322585</v>
      </c>
      <c r="U117" s="300"/>
      <c r="V117" s="38"/>
    </row>
    <row r="118" spans="1:22" ht="18" x14ac:dyDescent="0.35">
      <c r="A118" s="11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450"/>
      <c r="R118" s="451"/>
      <c r="S118" s="407"/>
      <c r="T118" s="408"/>
      <c r="U118" s="304"/>
      <c r="V118" s="38"/>
    </row>
    <row r="119" spans="1:22" ht="18" x14ac:dyDescent="0.35">
      <c r="A119" s="110" t="s">
        <v>129</v>
      </c>
      <c r="D119" s="34" t="s">
        <v>81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35">
        <f>SUM(E119:P119)</f>
        <v>0</v>
      </c>
      <c r="R119" s="436">
        <f t="shared" si="15"/>
        <v>0</v>
      </c>
      <c r="S119" s="402"/>
      <c r="T119" s="403"/>
      <c r="U119" s="301"/>
      <c r="V119" s="38"/>
    </row>
    <row r="120" spans="1:22" x14ac:dyDescent="0.35">
      <c r="A120" s="110" t="s">
        <v>129</v>
      </c>
      <c r="B120" s="36"/>
      <c r="D120" s="34" t="s">
        <v>82</v>
      </c>
      <c r="E120" s="43">
        <f>'Renew &amp; Vac'!AJ12</f>
        <v>0</v>
      </c>
      <c r="F120" s="43">
        <f>'Renew &amp; Vac'!AK12</f>
        <v>0</v>
      </c>
      <c r="G120" s="43">
        <f>'Renew &amp; Vac'!AL12</f>
        <v>0</v>
      </c>
      <c r="H120" s="43">
        <f>'Renew &amp; Vac'!AM12</f>
        <v>0</v>
      </c>
      <c r="I120" s="43">
        <f>'Renew &amp; Vac'!AN12</f>
        <v>0</v>
      </c>
      <c r="J120" s="43">
        <f>'Renew &amp; Vac'!AO12</f>
        <v>0</v>
      </c>
      <c r="K120" s="43">
        <f>'Renew &amp; Vac'!AP12</f>
        <v>0</v>
      </c>
      <c r="L120" s="43">
        <f>'Renew &amp; Vac'!AQ12</f>
        <v>0</v>
      </c>
      <c r="M120" s="43">
        <f>'Renew &amp; Vac'!AR12</f>
        <v>0</v>
      </c>
      <c r="N120" s="43">
        <f>'Renew &amp; Vac'!AS12</f>
        <v>0</v>
      </c>
      <c r="O120" s="43">
        <f>'Renew &amp; Vac'!AT12</f>
        <v>0</v>
      </c>
      <c r="P120" s="43">
        <f>'Renew &amp; Vac'!AU12</f>
        <v>0</v>
      </c>
      <c r="Q120" s="443">
        <f>SUM(E120:P120)</f>
        <v>0</v>
      </c>
      <c r="R120" s="444">
        <f t="shared" si="15"/>
        <v>0</v>
      </c>
      <c r="S120" s="409"/>
      <c r="T120" s="404"/>
      <c r="U120" s="300"/>
      <c r="V120" s="38"/>
    </row>
    <row r="121" spans="1:22" x14ac:dyDescent="0.35">
      <c r="A121" s="110"/>
      <c r="C121" s="34" t="s">
        <v>82</v>
      </c>
      <c r="D121" s="61"/>
      <c r="E121" s="34">
        <f>SUM(E119:E120)</f>
        <v>0</v>
      </c>
      <c r="F121" s="34">
        <f t="shared" ref="F121:Q121" si="26">SUM(F119:F120)</f>
        <v>0</v>
      </c>
      <c r="G121" s="34">
        <f t="shared" si="26"/>
        <v>0</v>
      </c>
      <c r="H121" s="34">
        <f t="shared" si="26"/>
        <v>0</v>
      </c>
      <c r="I121" s="34">
        <f t="shared" si="26"/>
        <v>0</v>
      </c>
      <c r="J121" s="34">
        <f t="shared" si="26"/>
        <v>0</v>
      </c>
      <c r="K121" s="34">
        <f t="shared" si="26"/>
        <v>0</v>
      </c>
      <c r="L121" s="34">
        <f t="shared" si="26"/>
        <v>0</v>
      </c>
      <c r="M121" s="34">
        <f t="shared" si="26"/>
        <v>0</v>
      </c>
      <c r="N121" s="34">
        <f t="shared" si="26"/>
        <v>0</v>
      </c>
      <c r="O121" s="34">
        <f t="shared" si="26"/>
        <v>0</v>
      </c>
      <c r="P121" s="34">
        <f t="shared" si="26"/>
        <v>0</v>
      </c>
      <c r="Q121" s="430">
        <f t="shared" si="26"/>
        <v>0</v>
      </c>
      <c r="R121" s="432">
        <f t="shared" si="15"/>
        <v>0</v>
      </c>
      <c r="S121" s="396">
        <v>560</v>
      </c>
      <c r="T121" s="460">
        <f>IFERROR(Q121/S121-1,"-")</f>
        <v>-1</v>
      </c>
      <c r="U121" s="300"/>
      <c r="V121" s="38" t="s">
        <v>502</v>
      </c>
    </row>
    <row r="122" spans="1:22" s="36" customFormat="1" ht="18.5" thickBot="1" x14ac:dyDescent="0.4">
      <c r="A122" s="112"/>
      <c r="Q122" s="452"/>
      <c r="R122" s="453"/>
      <c r="S122" s="410"/>
      <c r="T122" s="411"/>
      <c r="U122" s="306"/>
      <c r="V122" s="74"/>
    </row>
    <row r="123" spans="1:22" s="36" customFormat="1" ht="18" thickBot="1" x14ac:dyDescent="0.4">
      <c r="A123" s="285"/>
      <c r="B123" s="286" t="s">
        <v>83</v>
      </c>
      <c r="C123" s="287"/>
      <c r="D123" s="287"/>
      <c r="E123" s="287">
        <f t="shared" ref="E123:Q123" si="27">+E109-E115-E117-E121</f>
        <v>14879.102669642794</v>
      </c>
      <c r="F123" s="287">
        <f t="shared" si="27"/>
        <v>19682.890264895941</v>
      </c>
      <c r="G123" s="287">
        <f t="shared" si="27"/>
        <v>2498.1136156514913</v>
      </c>
      <c r="H123" s="287">
        <f t="shared" si="27"/>
        <v>-1125.7981542067355</v>
      </c>
      <c r="I123" s="287">
        <f t="shared" si="27"/>
        <v>19303.805282318142</v>
      </c>
      <c r="J123" s="287">
        <f t="shared" si="27"/>
        <v>14948.699882318142</v>
      </c>
      <c r="K123" s="287">
        <f t="shared" si="27"/>
        <v>16032.81875373167</v>
      </c>
      <c r="L123" s="287">
        <f t="shared" si="27"/>
        <v>20791.544548984813</v>
      </c>
      <c r="M123" s="287">
        <f t="shared" si="27"/>
        <v>7157.301348984809</v>
      </c>
      <c r="N123" s="287">
        <f t="shared" si="27"/>
        <v>-4773.8472462683349</v>
      </c>
      <c r="O123" s="287">
        <f t="shared" si="27"/>
        <v>21442.644615651479</v>
      </c>
      <c r="P123" s="287">
        <f t="shared" si="27"/>
        <v>12558.544464895924</v>
      </c>
      <c r="Q123" s="426">
        <f t="shared" si="27"/>
        <v>143395.8200466003</v>
      </c>
      <c r="R123" s="428">
        <f t="shared" si="15"/>
        <v>2.655084803114359</v>
      </c>
      <c r="S123" s="427">
        <f>+S109-S115-S117-S121</f>
        <v>88675.699999999953</v>
      </c>
      <c r="T123" s="405">
        <f>IFERROR(Q123/S123-1,"-")</f>
        <v>0.61708134299024842</v>
      </c>
      <c r="U123" s="302"/>
      <c r="V123" s="74"/>
    </row>
    <row r="124" spans="1:22" ht="18" x14ac:dyDescent="0.35">
      <c r="A124" s="110"/>
      <c r="Q124" s="430"/>
      <c r="R124" s="432"/>
      <c r="S124" s="402"/>
      <c r="T124" s="403"/>
      <c r="U124" s="300"/>
      <c r="V124" s="38"/>
    </row>
    <row r="125" spans="1:22" x14ac:dyDescent="0.35">
      <c r="A125" s="110"/>
      <c r="B125" s="34" t="s">
        <v>84</v>
      </c>
      <c r="Q125" s="430"/>
      <c r="R125" s="432"/>
      <c r="S125" s="396"/>
      <c r="T125" s="399"/>
      <c r="U125" s="300"/>
      <c r="V125" s="38"/>
    </row>
    <row r="126" spans="1:22" x14ac:dyDescent="0.35">
      <c r="A126" s="110" t="s">
        <v>132</v>
      </c>
      <c r="D126" s="34" t="s">
        <v>85</v>
      </c>
      <c r="E126" s="34">
        <f>+'Allocated Expenses'!F208</f>
        <v>12649.60161081258</v>
      </c>
      <c r="F126" s="34">
        <f>+'Allocated Expenses'!G208</f>
        <v>12649.60161081258</v>
      </c>
      <c r="G126" s="34">
        <f>+'Allocated Expenses'!H208</f>
        <v>12649.60161081258</v>
      </c>
      <c r="H126" s="34">
        <f>+'Allocated Expenses'!I208</f>
        <v>12649.60161081258</v>
      </c>
      <c r="I126" s="34">
        <f>+'Allocated Expenses'!J208</f>
        <v>12649.60161081258</v>
      </c>
      <c r="J126" s="34">
        <f>+'Allocated Expenses'!K208</f>
        <v>12649.60161081258</v>
      </c>
      <c r="K126" s="34">
        <f>+'Allocated Expenses'!L208</f>
        <v>12649.60161081258</v>
      </c>
      <c r="L126" s="34">
        <f>+'Allocated Expenses'!M208</f>
        <v>12649.60161081258</v>
      </c>
      <c r="M126" s="34">
        <f>+'Allocated Expenses'!N208</f>
        <v>12649.60161081258</v>
      </c>
      <c r="N126" s="34">
        <f>+'Allocated Expenses'!O208</f>
        <v>12649.60161081258</v>
      </c>
      <c r="O126" s="34">
        <f>+'Allocated Expenses'!P208</f>
        <v>12649.60161081258</v>
      </c>
      <c r="P126" s="34">
        <f>+'Allocated Expenses'!Q208</f>
        <v>12649.60161081258</v>
      </c>
      <c r="Q126" s="430">
        <f>SUM(E126:P126)</f>
        <v>151795.21932975095</v>
      </c>
      <c r="R126" s="432">
        <f t="shared" si="15"/>
        <v>2.8106061940777467</v>
      </c>
      <c r="S126" s="396">
        <v>156974.39000000001</v>
      </c>
      <c r="T126" s="460">
        <f>IFERROR(Q126/S126-1,"-")</f>
        <v>-3.2993730189039505E-2</v>
      </c>
      <c r="U126" s="300"/>
      <c r="V126" s="38"/>
    </row>
    <row r="127" spans="1:22" x14ac:dyDescent="0.35">
      <c r="A127" s="110" t="s">
        <v>149</v>
      </c>
      <c r="D127" s="34" t="s">
        <v>86</v>
      </c>
      <c r="E127" s="34">
        <f>+'Allocated Expenses'!E224</f>
        <v>0</v>
      </c>
      <c r="F127" s="34">
        <f>+'Allocated Expenses'!F224</f>
        <v>0</v>
      </c>
      <c r="G127" s="34">
        <f>+'Allocated Expenses'!G224</f>
        <v>0</v>
      </c>
      <c r="H127" s="34">
        <f>+'Allocated Expenses'!H224</f>
        <v>0</v>
      </c>
      <c r="I127" s="34">
        <f>+'Allocated Expenses'!I224</f>
        <v>0</v>
      </c>
      <c r="J127" s="34">
        <f>+'Allocated Expenses'!J224</f>
        <v>0</v>
      </c>
      <c r="K127" s="34">
        <f>+'Allocated Expenses'!K224</f>
        <v>0</v>
      </c>
      <c r="L127" s="34">
        <f>+'Allocated Expenses'!L224</f>
        <v>0</v>
      </c>
      <c r="M127" s="34">
        <f>+'Allocated Expenses'!M224</f>
        <v>0</v>
      </c>
      <c r="N127" s="34">
        <f>+'Allocated Expenses'!N224</f>
        <v>0</v>
      </c>
      <c r="O127" s="34">
        <f>+'Allocated Expenses'!O224</f>
        <v>0</v>
      </c>
      <c r="P127" s="34">
        <f>+'Allocated Expenses'!P224</f>
        <v>0</v>
      </c>
      <c r="Q127" s="430">
        <f>SUM(E127:P127)</f>
        <v>0</v>
      </c>
      <c r="R127" s="432">
        <f t="shared" si="15"/>
        <v>0</v>
      </c>
      <c r="S127" s="396">
        <v>16694.650000000023</v>
      </c>
      <c r="T127" s="460">
        <f>IFERROR(Q127/S127-1,"-")</f>
        <v>-1</v>
      </c>
      <c r="U127" s="300"/>
      <c r="V127" s="38"/>
    </row>
    <row r="128" spans="1:22" x14ac:dyDescent="0.35">
      <c r="A128" s="110" t="s">
        <v>150</v>
      </c>
      <c r="D128" s="34" t="s">
        <v>87</v>
      </c>
      <c r="Q128" s="430">
        <f>SUM(E128:P128)</f>
        <v>0</v>
      </c>
      <c r="R128" s="432">
        <f t="shared" si="15"/>
        <v>0</v>
      </c>
      <c r="S128" s="396"/>
      <c r="T128" s="460" t="str">
        <f>IFERROR(Q128/S128-1,"-")</f>
        <v>-</v>
      </c>
      <c r="U128" s="300"/>
      <c r="V128" s="38"/>
    </row>
    <row r="129" spans="1:22" x14ac:dyDescent="0.35">
      <c r="A129" s="110"/>
      <c r="C129" s="34" t="s">
        <v>88</v>
      </c>
      <c r="E129" s="59">
        <f t="shared" ref="E129:Q129" si="28">SUM(E126:E128)</f>
        <v>12649.60161081258</v>
      </c>
      <c r="F129" s="59">
        <f t="shared" si="28"/>
        <v>12649.60161081258</v>
      </c>
      <c r="G129" s="59">
        <f t="shared" si="28"/>
        <v>12649.60161081258</v>
      </c>
      <c r="H129" s="59">
        <f t="shared" si="28"/>
        <v>12649.60161081258</v>
      </c>
      <c r="I129" s="59">
        <f t="shared" si="28"/>
        <v>12649.60161081258</v>
      </c>
      <c r="J129" s="59">
        <f t="shared" si="28"/>
        <v>12649.60161081258</v>
      </c>
      <c r="K129" s="59">
        <f t="shared" si="28"/>
        <v>12649.60161081258</v>
      </c>
      <c r="L129" s="59">
        <f t="shared" si="28"/>
        <v>12649.60161081258</v>
      </c>
      <c r="M129" s="59">
        <f t="shared" si="28"/>
        <v>12649.60161081258</v>
      </c>
      <c r="N129" s="59">
        <f t="shared" si="28"/>
        <v>12649.60161081258</v>
      </c>
      <c r="O129" s="59">
        <f t="shared" si="28"/>
        <v>12649.60161081258</v>
      </c>
      <c r="P129" s="59">
        <f t="shared" si="28"/>
        <v>12649.60161081258</v>
      </c>
      <c r="Q129" s="433">
        <f t="shared" si="28"/>
        <v>151795.21932975095</v>
      </c>
      <c r="R129" s="434">
        <f t="shared" si="15"/>
        <v>2.8106061940777467</v>
      </c>
      <c r="S129" s="400">
        <f t="shared" ref="S129" si="29">SUM(S126:S128)</f>
        <v>173669.04000000004</v>
      </c>
      <c r="T129" s="401">
        <f>Q129/S129-1</f>
        <v>-0.12595118087973012</v>
      </c>
      <c r="U129" s="300"/>
      <c r="V129" s="38"/>
    </row>
    <row r="130" spans="1:22" ht="18.5" thickBot="1" x14ac:dyDescent="0.4">
      <c r="A130" s="110"/>
      <c r="Q130" s="430"/>
      <c r="R130" s="432"/>
      <c r="S130" s="402"/>
      <c r="T130" s="403"/>
      <c r="U130" s="300"/>
      <c r="V130" s="38"/>
    </row>
    <row r="131" spans="1:22" s="36" customFormat="1" ht="18" thickBot="1" x14ac:dyDescent="0.4">
      <c r="A131" s="285"/>
      <c r="B131" s="286" t="s">
        <v>89</v>
      </c>
      <c r="C131" s="287"/>
      <c r="D131" s="287"/>
      <c r="E131" s="287">
        <f t="shared" ref="E131:Q131" si="30">+E123-E129</f>
        <v>2229.5010588302139</v>
      </c>
      <c r="F131" s="287">
        <f t="shared" si="30"/>
        <v>7033.2886540833606</v>
      </c>
      <c r="G131" s="287">
        <f t="shared" si="30"/>
        <v>-10151.487995161089</v>
      </c>
      <c r="H131" s="287">
        <f t="shared" si="30"/>
        <v>-13775.399765019316</v>
      </c>
      <c r="I131" s="287">
        <f t="shared" si="30"/>
        <v>6654.2036715055619</v>
      </c>
      <c r="J131" s="287">
        <f t="shared" si="30"/>
        <v>2299.0982715055616</v>
      </c>
      <c r="K131" s="287">
        <f t="shared" si="30"/>
        <v>3383.2171429190894</v>
      </c>
      <c r="L131" s="287">
        <f t="shared" si="30"/>
        <v>8141.942938172233</v>
      </c>
      <c r="M131" s="287">
        <f t="shared" si="30"/>
        <v>-5492.3002618277715</v>
      </c>
      <c r="N131" s="287">
        <f t="shared" si="30"/>
        <v>-17423.448857080915</v>
      </c>
      <c r="O131" s="287">
        <f t="shared" si="30"/>
        <v>8793.0430048388989</v>
      </c>
      <c r="P131" s="287">
        <f t="shared" si="30"/>
        <v>-91.057145916656737</v>
      </c>
      <c r="Q131" s="426">
        <f t="shared" si="30"/>
        <v>-8399.3992831506475</v>
      </c>
      <c r="R131" s="428">
        <f t="shared" si="15"/>
        <v>-0.1555213909633878</v>
      </c>
      <c r="S131" s="427">
        <f>+S123-S129</f>
        <v>-84993.340000000084</v>
      </c>
      <c r="T131" s="405">
        <f>IFERROR(Q131/S131-1,"-")</f>
        <v>-0.90117579467814024</v>
      </c>
      <c r="U131" s="302"/>
      <c r="V131" s="74"/>
    </row>
    <row r="132" spans="1:22" ht="18" x14ac:dyDescent="0.35">
      <c r="A132" s="113"/>
      <c r="B132" s="36"/>
      <c r="C132" s="63"/>
      <c r="Q132" s="391"/>
      <c r="R132" s="391"/>
      <c r="S132" s="412"/>
      <c r="T132" s="413"/>
    </row>
    <row r="133" spans="1:22" s="36" customFormat="1" ht="17.5" x14ac:dyDescent="0.3">
      <c r="A133" s="113"/>
      <c r="C133" s="63"/>
      <c r="D133" s="64"/>
      <c r="Q133" s="415"/>
      <c r="R133" s="415"/>
      <c r="S133" s="412"/>
      <c r="T133" s="413"/>
      <c r="U133" s="293"/>
    </row>
    <row r="134" spans="1:22" ht="18" x14ac:dyDescent="0.35">
      <c r="A134" s="110"/>
      <c r="Q134" s="391"/>
      <c r="R134" s="391"/>
      <c r="S134" s="412"/>
      <c r="T134" s="413"/>
    </row>
    <row r="135" spans="1:22" x14ac:dyDescent="0.35">
      <c r="A135" s="114"/>
      <c r="Q135" s="391"/>
      <c r="R135" s="391"/>
      <c r="S135" s="391"/>
      <c r="T135" s="388"/>
    </row>
    <row r="136" spans="1:22" x14ac:dyDescent="0.35">
      <c r="A136" s="114"/>
      <c r="Q136" s="391"/>
      <c r="R136" s="391"/>
      <c r="S136" s="414"/>
      <c r="T136" s="388"/>
    </row>
    <row r="137" spans="1:22" ht="17.5" x14ac:dyDescent="0.35">
      <c r="B137" s="37" t="str">
        <f>"Rental Summary by Month "&amp;C1</f>
        <v xml:space="preserve">Rental Summary by Month </v>
      </c>
      <c r="E137" s="517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T137" s="34"/>
      <c r="U137" s="34"/>
    </row>
    <row r="138" spans="1:22" x14ac:dyDescent="0.35">
      <c r="B138" s="43" t="s">
        <v>619</v>
      </c>
      <c r="C138" s="43"/>
      <c r="D138" s="43" t="s">
        <v>424</v>
      </c>
      <c r="E138" s="519">
        <f>E159</f>
        <v>46023</v>
      </c>
      <c r="F138" s="519">
        <f t="shared" ref="F138:P138" si="31">F159</f>
        <v>46054</v>
      </c>
      <c r="G138" s="519">
        <f t="shared" si="31"/>
        <v>46082</v>
      </c>
      <c r="H138" s="519">
        <f t="shared" si="31"/>
        <v>46113</v>
      </c>
      <c r="I138" s="519">
        <f t="shared" si="31"/>
        <v>46143</v>
      </c>
      <c r="J138" s="519">
        <f t="shared" si="31"/>
        <v>46174</v>
      </c>
      <c r="K138" s="519">
        <f t="shared" si="31"/>
        <v>46204</v>
      </c>
      <c r="L138" s="519">
        <f t="shared" si="31"/>
        <v>46235</v>
      </c>
      <c r="M138" s="519">
        <f t="shared" si="31"/>
        <v>46266</v>
      </c>
      <c r="N138" s="519">
        <f t="shared" si="31"/>
        <v>46296</v>
      </c>
      <c r="O138" s="519">
        <f t="shared" si="31"/>
        <v>46327</v>
      </c>
      <c r="P138" s="519">
        <f t="shared" si="31"/>
        <v>46357</v>
      </c>
      <c r="Q138" s="481" t="s">
        <v>12</v>
      </c>
      <c r="T138" s="34"/>
      <c r="U138" s="34"/>
    </row>
    <row r="139" spans="1:22" x14ac:dyDescent="0.35">
      <c r="B139" s="127" t="str">
        <f t="shared" ref="B139:B147" si="32">B160</f>
        <v>4050-101</v>
      </c>
      <c r="D139" s="34" t="str">
        <f>IF(D160="None",D180,D160)</f>
        <v>VACANT</v>
      </c>
      <c r="E139" s="77">
        <f>SUMIF($B$160:$B$175,$B139,E$160:E$175)+SUMIF($B$181:$B$196,$B139,E$181:E$196)</f>
        <v>0</v>
      </c>
      <c r="F139" s="77">
        <f t="shared" ref="F139:P154" si="33">SUMIF($B$160:$B$175,$B139,F$160:F$175)+SUMIF($B$181:$B$196,$B139,F$181:F$196)</f>
        <v>0</v>
      </c>
      <c r="G139" s="77">
        <f t="shared" si="33"/>
        <v>0</v>
      </c>
      <c r="H139" s="77">
        <f t="shared" si="33"/>
        <v>0</v>
      </c>
      <c r="I139" s="77">
        <f t="shared" si="33"/>
        <v>0</v>
      </c>
      <c r="J139" s="77">
        <f t="shared" si="33"/>
        <v>0</v>
      </c>
      <c r="K139" s="77">
        <f t="shared" si="33"/>
        <v>0</v>
      </c>
      <c r="L139" s="77">
        <f t="shared" si="33"/>
        <v>0</v>
      </c>
      <c r="M139" s="77">
        <f t="shared" si="33"/>
        <v>0</v>
      </c>
      <c r="N139" s="77">
        <f t="shared" si="33"/>
        <v>0</v>
      </c>
      <c r="O139" s="77">
        <f t="shared" si="33"/>
        <v>0</v>
      </c>
      <c r="P139" s="77">
        <f>SUMIF($B$160:$B$175,$B139,P$160:P$175)+SUMIF($B$181:$B$196,$B139,P$181:P$196)</f>
        <v>0</v>
      </c>
      <c r="Q139" s="135">
        <f>SUM(E139:P139)</f>
        <v>0</v>
      </c>
      <c r="T139" s="34"/>
      <c r="U139" s="34"/>
    </row>
    <row r="140" spans="1:22" x14ac:dyDescent="0.35">
      <c r="B140" s="127" t="str">
        <f t="shared" si="32"/>
        <v>4050-113</v>
      </c>
      <c r="D140" s="34" t="str">
        <f>IF(D161="None",D181,D161)</f>
        <v>American Bread Company LLC</v>
      </c>
      <c r="E140" s="34">
        <f>SUMIF($B$160:$B$175,$B140,E$160:E$175)+SUMIF($B$181:$B$196,$B140,E$181:E$196)</f>
        <v>2601.63</v>
      </c>
      <c r="F140" s="34">
        <f t="shared" si="33"/>
        <v>2601.63</v>
      </c>
      <c r="G140" s="34">
        <f t="shared" si="33"/>
        <v>2601.63</v>
      </c>
      <c r="H140" s="34">
        <f t="shared" si="33"/>
        <v>2601.63</v>
      </c>
      <c r="I140" s="34">
        <f t="shared" si="33"/>
        <v>2601.63</v>
      </c>
      <c r="J140" s="34">
        <f t="shared" si="33"/>
        <v>2601.63</v>
      </c>
      <c r="K140" s="34">
        <f t="shared" si="33"/>
        <v>2601.63</v>
      </c>
      <c r="L140" s="34">
        <f t="shared" si="33"/>
        <v>2601.63</v>
      </c>
      <c r="M140" s="34">
        <f t="shared" si="33"/>
        <v>2601.63</v>
      </c>
      <c r="N140" s="34">
        <f t="shared" si="33"/>
        <v>2601.63</v>
      </c>
      <c r="O140" s="34">
        <f t="shared" si="33"/>
        <v>2601.63</v>
      </c>
      <c r="P140" s="34">
        <f t="shared" si="33"/>
        <v>2601.63</v>
      </c>
      <c r="Q140" s="36">
        <f t="shared" ref="Q140:Q154" si="34">SUM(E140:P140)</f>
        <v>31219.560000000009</v>
      </c>
    </row>
    <row r="141" spans="1:22" x14ac:dyDescent="0.35">
      <c r="B141" s="127" t="str">
        <f t="shared" si="32"/>
        <v>4050-115</v>
      </c>
      <c r="D141" s="34" t="str">
        <f>IF(D162="None",D183,D162)</f>
        <v>SKH Abstract Agency Inc.</v>
      </c>
      <c r="E141" s="34">
        <f t="shared" ref="E141:E154" si="35">SUMIF($B$160:$B$175,$B141,E$160:E$175)+SUMIF($B$181:$B$196,$B141,E$181:E$196)</f>
        <v>1046.79</v>
      </c>
      <c r="F141" s="34">
        <f t="shared" si="33"/>
        <v>1046.79</v>
      </c>
      <c r="G141" s="34">
        <f t="shared" si="33"/>
        <v>1046.79</v>
      </c>
      <c r="H141" s="34">
        <f t="shared" si="33"/>
        <v>1046.79</v>
      </c>
      <c r="I141" s="34">
        <f t="shared" si="33"/>
        <v>1046.79</v>
      </c>
      <c r="J141" s="34">
        <f t="shared" si="33"/>
        <v>1046.79</v>
      </c>
      <c r="K141" s="34">
        <f t="shared" si="33"/>
        <v>1046.79</v>
      </c>
      <c r="L141" s="34">
        <f t="shared" si="33"/>
        <v>1046.79</v>
      </c>
      <c r="M141" s="34">
        <f t="shared" si="33"/>
        <v>1046.79</v>
      </c>
      <c r="N141" s="34">
        <f t="shared" si="33"/>
        <v>1046.79</v>
      </c>
      <c r="O141" s="34">
        <f t="shared" si="33"/>
        <v>1046.79</v>
      </c>
      <c r="P141" s="34">
        <f t="shared" si="33"/>
        <v>1046.79</v>
      </c>
      <c r="Q141" s="36">
        <f t="shared" si="34"/>
        <v>12561.480000000003</v>
      </c>
    </row>
    <row r="142" spans="1:22" x14ac:dyDescent="0.35">
      <c r="B142" s="127" t="str">
        <f t="shared" si="32"/>
        <v>4050-117</v>
      </c>
      <c r="D142" s="34" t="str">
        <f>IF(D163="None",D184,D163)</f>
        <v>VACANT</v>
      </c>
      <c r="E142" s="34">
        <f t="shared" si="35"/>
        <v>0</v>
      </c>
      <c r="F142" s="34">
        <f t="shared" si="33"/>
        <v>0</v>
      </c>
      <c r="G142" s="34">
        <f t="shared" si="33"/>
        <v>0</v>
      </c>
      <c r="H142" s="34">
        <f t="shared" si="33"/>
        <v>0</v>
      </c>
      <c r="I142" s="34">
        <f t="shared" si="33"/>
        <v>0</v>
      </c>
      <c r="J142" s="34">
        <f t="shared" si="33"/>
        <v>0</v>
      </c>
      <c r="K142" s="34">
        <f t="shared" si="33"/>
        <v>0</v>
      </c>
      <c r="L142" s="34">
        <f t="shared" si="33"/>
        <v>0</v>
      </c>
      <c r="M142" s="34">
        <f t="shared" si="33"/>
        <v>0</v>
      </c>
      <c r="N142" s="34">
        <f t="shared" si="33"/>
        <v>0</v>
      </c>
      <c r="O142" s="34">
        <f t="shared" si="33"/>
        <v>0</v>
      </c>
      <c r="P142" s="34">
        <f t="shared" si="33"/>
        <v>0</v>
      </c>
      <c r="Q142" s="36">
        <f t="shared" si="34"/>
        <v>0</v>
      </c>
    </row>
    <row r="143" spans="1:22" x14ac:dyDescent="0.35">
      <c r="B143" s="127" t="str">
        <f t="shared" si="32"/>
        <v>4050-119</v>
      </c>
      <c r="D143" s="34" t="str">
        <f>IF(D164="None",D185,D164)</f>
        <v>VACANT</v>
      </c>
      <c r="E143" s="34">
        <f t="shared" si="35"/>
        <v>2852.0833333333335</v>
      </c>
      <c r="F143" s="34">
        <f t="shared" si="33"/>
        <v>2852.0833333333335</v>
      </c>
      <c r="G143" s="34">
        <f t="shared" si="33"/>
        <v>2852.0833333333335</v>
      </c>
      <c r="H143" s="34">
        <f t="shared" si="33"/>
        <v>2852.0833333333335</v>
      </c>
      <c r="I143" s="34">
        <f t="shared" si="33"/>
        <v>2852.0833333333335</v>
      </c>
      <c r="J143" s="34">
        <f t="shared" si="33"/>
        <v>2852.0833333333335</v>
      </c>
      <c r="K143" s="34">
        <f t="shared" si="33"/>
        <v>2852.0833333333335</v>
      </c>
      <c r="L143" s="34">
        <f t="shared" si="33"/>
        <v>2852.0833333333335</v>
      </c>
      <c r="M143" s="34">
        <f t="shared" si="33"/>
        <v>2852.0833333333335</v>
      </c>
      <c r="N143" s="34">
        <f t="shared" si="33"/>
        <v>2852.0833333333335</v>
      </c>
      <c r="O143" s="34">
        <f t="shared" si="33"/>
        <v>2852.0833333333335</v>
      </c>
      <c r="P143" s="34">
        <f t="shared" si="33"/>
        <v>2852.0833333333335</v>
      </c>
      <c r="Q143" s="36">
        <f t="shared" si="34"/>
        <v>34224.999999999993</v>
      </c>
    </row>
    <row r="144" spans="1:22" x14ac:dyDescent="0.35">
      <c r="B144" s="127" t="str">
        <f t="shared" si="32"/>
        <v>4050-201</v>
      </c>
      <c r="D144" s="34" t="str">
        <f>IF(D165="None",D186,D165)</f>
        <v>ABC Home Medical Supply, Inc.</v>
      </c>
      <c r="E144" s="34">
        <f t="shared" si="35"/>
        <v>1824.88</v>
      </c>
      <c r="F144" s="34">
        <f t="shared" si="33"/>
        <v>1824.88</v>
      </c>
      <c r="G144" s="34">
        <f t="shared" si="33"/>
        <v>1824.88</v>
      </c>
      <c r="H144" s="34">
        <f t="shared" si="33"/>
        <v>1824.88</v>
      </c>
      <c r="I144" s="34">
        <f t="shared" si="33"/>
        <v>1824.88</v>
      </c>
      <c r="J144" s="34">
        <f t="shared" si="33"/>
        <v>1824.88</v>
      </c>
      <c r="K144" s="34">
        <f t="shared" si="33"/>
        <v>1871.67</v>
      </c>
      <c r="L144" s="34">
        <f t="shared" si="33"/>
        <v>1871.67</v>
      </c>
      <c r="M144" s="34">
        <f t="shared" si="33"/>
        <v>1871.67</v>
      </c>
      <c r="N144" s="34">
        <f t="shared" si="33"/>
        <v>1871.67</v>
      </c>
      <c r="O144" s="34">
        <f t="shared" si="33"/>
        <v>1871.67</v>
      </c>
      <c r="P144" s="34">
        <f t="shared" si="33"/>
        <v>1871.67</v>
      </c>
      <c r="Q144" s="36">
        <f t="shared" si="34"/>
        <v>22179.299999999996</v>
      </c>
    </row>
    <row r="145" spans="2:21" x14ac:dyDescent="0.35">
      <c r="B145" s="127" t="str">
        <f t="shared" si="32"/>
        <v>4050-205</v>
      </c>
      <c r="D145" s="34" t="str">
        <f>IF(D166="None",D187,D166)</f>
        <v>Office Works Partnership</v>
      </c>
      <c r="E145" s="34">
        <f t="shared" si="35"/>
        <v>14653.33</v>
      </c>
      <c r="F145" s="34">
        <f t="shared" si="33"/>
        <v>14653.33</v>
      </c>
      <c r="G145" s="34">
        <f t="shared" si="33"/>
        <v>14653.33</v>
      </c>
      <c r="H145" s="34">
        <f t="shared" si="33"/>
        <v>14653.33</v>
      </c>
      <c r="I145" s="34">
        <f t="shared" si="33"/>
        <v>14653.33</v>
      </c>
      <c r="J145" s="34">
        <f t="shared" si="33"/>
        <v>14653.33</v>
      </c>
      <c r="K145" s="34">
        <f t="shared" si="33"/>
        <v>14653.333333333334</v>
      </c>
      <c r="L145" s="34">
        <f t="shared" si="33"/>
        <v>14653.333333333334</v>
      </c>
      <c r="M145" s="34">
        <f t="shared" si="33"/>
        <v>14653.333333333334</v>
      </c>
      <c r="N145" s="34">
        <f t="shared" si="33"/>
        <v>14653.333333333334</v>
      </c>
      <c r="O145" s="34">
        <f t="shared" si="33"/>
        <v>14653.333333333334</v>
      </c>
      <c r="P145" s="34">
        <f t="shared" si="33"/>
        <v>14653.333333333334</v>
      </c>
      <c r="Q145" s="36">
        <f t="shared" si="34"/>
        <v>175839.98</v>
      </c>
    </row>
    <row r="146" spans="2:21" x14ac:dyDescent="0.35">
      <c r="B146" s="127" t="str">
        <f t="shared" si="32"/>
        <v>4050-206</v>
      </c>
      <c r="D146" s="34" t="str">
        <f t="shared" ref="D146:D147" si="36">IF(D167="None",D188,D167)</f>
        <v>Khavinson &amp; Associates, P.C.</v>
      </c>
      <c r="E146" s="34">
        <f t="shared" si="35"/>
        <v>3463.29</v>
      </c>
      <c r="F146" s="34">
        <f t="shared" si="33"/>
        <v>3463.29</v>
      </c>
      <c r="G146" s="34">
        <f t="shared" si="33"/>
        <v>3463.29</v>
      </c>
      <c r="H146" s="34">
        <f t="shared" si="33"/>
        <v>3463.29</v>
      </c>
      <c r="I146" s="34">
        <f t="shared" si="33"/>
        <v>3463.29</v>
      </c>
      <c r="J146" s="34">
        <f t="shared" si="33"/>
        <v>3463.29</v>
      </c>
      <c r="K146" s="34">
        <f t="shared" si="33"/>
        <v>3463.29</v>
      </c>
      <c r="L146" s="34">
        <f t="shared" si="33"/>
        <v>3463.29</v>
      </c>
      <c r="M146" s="34">
        <f t="shared" si="33"/>
        <v>3463.29</v>
      </c>
      <c r="N146" s="34">
        <f t="shared" si="33"/>
        <v>3463.29</v>
      </c>
      <c r="O146" s="34">
        <f t="shared" si="33"/>
        <v>3463.2916666666665</v>
      </c>
      <c r="P146" s="34">
        <f t="shared" si="33"/>
        <v>3463.2916666666665</v>
      </c>
      <c r="Q146" s="36">
        <f t="shared" ref="Q146:Q147" si="37">SUM(E146:P146)</f>
        <v>41559.48333333333</v>
      </c>
    </row>
    <row r="147" spans="2:21" x14ac:dyDescent="0.35">
      <c r="B147" s="127" t="str">
        <f t="shared" si="32"/>
        <v>4050-207</v>
      </c>
      <c r="D147" s="34" t="str">
        <f t="shared" si="36"/>
        <v>Pragmatics, Inc.</v>
      </c>
      <c r="E147" s="34">
        <f t="shared" si="35"/>
        <v>5964.42</v>
      </c>
      <c r="F147" s="34">
        <f t="shared" si="33"/>
        <v>5964.42</v>
      </c>
      <c r="G147" s="34">
        <f t="shared" si="33"/>
        <v>5964.42</v>
      </c>
      <c r="H147" s="34">
        <f t="shared" si="33"/>
        <v>5964.416666666667</v>
      </c>
      <c r="I147" s="34">
        <f t="shared" si="33"/>
        <v>5964.416666666667</v>
      </c>
      <c r="J147" s="34">
        <f t="shared" si="33"/>
        <v>5964.416666666667</v>
      </c>
      <c r="K147" s="34">
        <f t="shared" si="33"/>
        <v>5964.416666666667</v>
      </c>
      <c r="L147" s="34">
        <f t="shared" si="33"/>
        <v>5964.416666666667</v>
      </c>
      <c r="M147" s="34">
        <f t="shared" si="33"/>
        <v>5964.416666666667</v>
      </c>
      <c r="N147" s="34">
        <f t="shared" si="33"/>
        <v>5964.416666666667</v>
      </c>
      <c r="O147" s="34">
        <f t="shared" si="33"/>
        <v>5964.416666666667</v>
      </c>
      <c r="P147" s="34">
        <f t="shared" si="33"/>
        <v>5964.416666666667</v>
      </c>
      <c r="Q147" s="36">
        <f t="shared" si="37"/>
        <v>71573.009999999995</v>
      </c>
    </row>
    <row r="148" spans="2:21" x14ac:dyDescent="0.35">
      <c r="B148" s="127" t="str">
        <f t="shared" ref="B148:B154" si="38">B169</f>
        <v>4050-215</v>
      </c>
      <c r="D148" s="34" t="str">
        <f t="shared" ref="D148:D154" si="39">IF(D169="None",D190,D169)</f>
        <v>VACANT</v>
      </c>
      <c r="E148" s="34">
        <f t="shared" si="35"/>
        <v>2631.625</v>
      </c>
      <c r="F148" s="34">
        <f t="shared" si="33"/>
        <v>2631.625</v>
      </c>
      <c r="G148" s="34">
        <f t="shared" si="33"/>
        <v>2631.625</v>
      </c>
      <c r="H148" s="34">
        <f t="shared" si="33"/>
        <v>2631.625</v>
      </c>
      <c r="I148" s="34">
        <f t="shared" si="33"/>
        <v>2631.625</v>
      </c>
      <c r="J148" s="34">
        <f t="shared" si="33"/>
        <v>2631.625</v>
      </c>
      <c r="K148" s="34">
        <f t="shared" si="33"/>
        <v>2631.625</v>
      </c>
      <c r="L148" s="34">
        <f t="shared" si="33"/>
        <v>2631.625</v>
      </c>
      <c r="M148" s="34">
        <f t="shared" si="33"/>
        <v>2631.625</v>
      </c>
      <c r="N148" s="34">
        <f t="shared" si="33"/>
        <v>2631.625</v>
      </c>
      <c r="O148" s="34">
        <f t="shared" si="33"/>
        <v>2631.625</v>
      </c>
      <c r="P148" s="34">
        <f t="shared" si="33"/>
        <v>2631.625</v>
      </c>
      <c r="Q148" s="36">
        <f t="shared" si="34"/>
        <v>31579.5</v>
      </c>
    </row>
    <row r="149" spans="2:21" x14ac:dyDescent="0.35">
      <c r="B149" s="127" t="str">
        <f t="shared" si="38"/>
        <v>4050-300</v>
      </c>
      <c r="D149" s="34" t="str">
        <f t="shared" si="39"/>
        <v>First Choice Lending Of NJ</v>
      </c>
      <c r="E149" s="34">
        <f t="shared" si="35"/>
        <v>1307.83</v>
      </c>
      <c r="F149" s="34">
        <f t="shared" si="33"/>
        <v>1307.83</v>
      </c>
      <c r="G149" s="34">
        <f t="shared" si="33"/>
        <v>1307.83</v>
      </c>
      <c r="H149" s="34">
        <f t="shared" si="33"/>
        <v>1307.83</v>
      </c>
      <c r="I149" s="34">
        <f t="shared" si="33"/>
        <v>1307.83</v>
      </c>
      <c r="J149" s="34">
        <f t="shared" si="33"/>
        <v>1307.83</v>
      </c>
      <c r="K149" s="34">
        <f t="shared" si="33"/>
        <v>1307.83</v>
      </c>
      <c r="L149" s="34">
        <f t="shared" si="33"/>
        <v>1307.83</v>
      </c>
      <c r="M149" s="34">
        <f t="shared" si="33"/>
        <v>1307.83</v>
      </c>
      <c r="N149" s="34">
        <f t="shared" si="33"/>
        <v>1307.83</v>
      </c>
      <c r="O149" s="34">
        <f t="shared" si="33"/>
        <v>1307.83</v>
      </c>
      <c r="P149" s="34">
        <f t="shared" si="33"/>
        <v>1307.83</v>
      </c>
      <c r="Q149" s="36">
        <f t="shared" si="34"/>
        <v>15693.96</v>
      </c>
    </row>
    <row r="150" spans="2:21" x14ac:dyDescent="0.35">
      <c r="B150" s="127" t="str">
        <f t="shared" si="38"/>
        <v>4050-301</v>
      </c>
      <c r="D150" s="34" t="str">
        <f t="shared" si="39"/>
        <v>Disaster Solutions, Inc.</v>
      </c>
      <c r="E150" s="34">
        <f t="shared" si="35"/>
        <v>2739.83</v>
      </c>
      <c r="F150" s="34">
        <f t="shared" si="33"/>
        <v>2739.83</v>
      </c>
      <c r="G150" s="34">
        <f t="shared" si="33"/>
        <v>2739.83</v>
      </c>
      <c r="H150" s="34">
        <f t="shared" si="33"/>
        <v>2739.83</v>
      </c>
      <c r="I150" s="34">
        <f t="shared" si="33"/>
        <v>2739.83</v>
      </c>
      <c r="J150" s="34">
        <f t="shared" si="33"/>
        <v>2739.83</v>
      </c>
      <c r="K150" s="34">
        <f t="shared" si="33"/>
        <v>2739.8333333333335</v>
      </c>
      <c r="L150" s="34">
        <f t="shared" si="33"/>
        <v>2739.8333333333335</v>
      </c>
      <c r="M150" s="34">
        <f t="shared" si="33"/>
        <v>2739.8333333333335</v>
      </c>
      <c r="N150" s="34">
        <f t="shared" si="33"/>
        <v>2739.8333333333335</v>
      </c>
      <c r="O150" s="34">
        <f t="shared" si="33"/>
        <v>2739.8333333333335</v>
      </c>
      <c r="P150" s="34">
        <f t="shared" si="33"/>
        <v>2739.8333333333335</v>
      </c>
      <c r="Q150" s="36">
        <f t="shared" si="34"/>
        <v>32877.979999999996</v>
      </c>
    </row>
    <row r="151" spans="2:21" x14ac:dyDescent="0.35">
      <c r="B151" s="127" t="str">
        <f t="shared" si="38"/>
        <v>4050-303</v>
      </c>
      <c r="D151" s="34" t="str">
        <f t="shared" si="39"/>
        <v>VACANT</v>
      </c>
      <c r="E151" s="34">
        <f t="shared" si="35"/>
        <v>0</v>
      </c>
      <c r="F151" s="34">
        <f t="shared" si="33"/>
        <v>0</v>
      </c>
      <c r="G151" s="34">
        <f t="shared" si="33"/>
        <v>0</v>
      </c>
      <c r="H151" s="34">
        <f t="shared" si="33"/>
        <v>0</v>
      </c>
      <c r="I151" s="34">
        <f t="shared" si="33"/>
        <v>0</v>
      </c>
      <c r="J151" s="34">
        <f t="shared" si="33"/>
        <v>0</v>
      </c>
      <c r="K151" s="34">
        <f t="shared" si="33"/>
        <v>0</v>
      </c>
      <c r="L151" s="34">
        <f t="shared" si="33"/>
        <v>0</v>
      </c>
      <c r="M151" s="34">
        <f t="shared" si="33"/>
        <v>0</v>
      </c>
      <c r="N151" s="34">
        <f t="shared" si="33"/>
        <v>0</v>
      </c>
      <c r="O151" s="34">
        <f t="shared" si="33"/>
        <v>0</v>
      </c>
      <c r="P151" s="34">
        <f t="shared" si="33"/>
        <v>0</v>
      </c>
      <c r="Q151" s="36">
        <f t="shared" si="34"/>
        <v>0</v>
      </c>
    </row>
    <row r="152" spans="2:21" x14ac:dyDescent="0.35">
      <c r="B152" s="127" t="str">
        <f t="shared" si="38"/>
        <v>4050-305</v>
      </c>
      <c r="D152" s="34" t="str">
        <f t="shared" si="39"/>
        <v>VACANT</v>
      </c>
      <c r="E152" s="34">
        <f t="shared" si="35"/>
        <v>0</v>
      </c>
      <c r="F152" s="34">
        <f t="shared" si="33"/>
        <v>0</v>
      </c>
      <c r="G152" s="34">
        <f t="shared" si="33"/>
        <v>0</v>
      </c>
      <c r="H152" s="34">
        <f t="shared" si="33"/>
        <v>0</v>
      </c>
      <c r="I152" s="34">
        <f t="shared" si="33"/>
        <v>0</v>
      </c>
      <c r="J152" s="34">
        <f t="shared" si="33"/>
        <v>0</v>
      </c>
      <c r="K152" s="34">
        <f t="shared" si="33"/>
        <v>0</v>
      </c>
      <c r="L152" s="34">
        <f t="shared" si="33"/>
        <v>0</v>
      </c>
      <c r="M152" s="34">
        <f t="shared" si="33"/>
        <v>0</v>
      </c>
      <c r="N152" s="34">
        <f t="shared" si="33"/>
        <v>0</v>
      </c>
      <c r="O152" s="34">
        <f t="shared" si="33"/>
        <v>0</v>
      </c>
      <c r="P152" s="34">
        <f t="shared" si="33"/>
        <v>0</v>
      </c>
      <c r="Q152" s="36">
        <f t="shared" si="34"/>
        <v>0</v>
      </c>
    </row>
    <row r="153" spans="2:21" x14ac:dyDescent="0.35">
      <c r="B153" s="127" t="str">
        <f t="shared" si="38"/>
        <v>4050-307</v>
      </c>
      <c r="D153" s="34" t="str">
        <f t="shared" si="39"/>
        <v>Larry H. Lefkowitz, Esquire</v>
      </c>
      <c r="E153" s="34">
        <f t="shared" si="35"/>
        <v>734.5</v>
      </c>
      <c r="F153" s="34">
        <f t="shared" si="33"/>
        <v>734.5</v>
      </c>
      <c r="G153" s="34">
        <f t="shared" si="33"/>
        <v>734.5</v>
      </c>
      <c r="H153" s="34">
        <f t="shared" si="33"/>
        <v>734.5</v>
      </c>
      <c r="I153" s="34">
        <f t="shared" si="33"/>
        <v>734.5</v>
      </c>
      <c r="J153" s="34">
        <f t="shared" si="33"/>
        <v>734.5</v>
      </c>
      <c r="K153" s="34">
        <f t="shared" si="33"/>
        <v>734.5</v>
      </c>
      <c r="L153" s="34">
        <f t="shared" si="33"/>
        <v>734.5</v>
      </c>
      <c r="M153" s="34">
        <f t="shared" si="33"/>
        <v>734.5</v>
      </c>
      <c r="N153" s="34">
        <f t="shared" si="33"/>
        <v>734.5</v>
      </c>
      <c r="O153" s="34">
        <f t="shared" si="33"/>
        <v>734.5</v>
      </c>
      <c r="P153" s="34">
        <f t="shared" si="33"/>
        <v>734.5</v>
      </c>
      <c r="Q153" s="36">
        <f t="shared" si="34"/>
        <v>8814</v>
      </c>
    </row>
    <row r="154" spans="2:21" x14ac:dyDescent="0.35">
      <c r="B154" s="520" t="str">
        <f t="shared" si="38"/>
        <v>4050-315</v>
      </c>
      <c r="C154" s="43"/>
      <c r="D154" s="43" t="str">
        <f t="shared" si="39"/>
        <v>Fenningham Stevens Dempster &amp;</v>
      </c>
      <c r="E154" s="43">
        <f t="shared" si="35"/>
        <v>8815.25</v>
      </c>
      <c r="F154" s="43">
        <f t="shared" si="33"/>
        <v>8815.25</v>
      </c>
      <c r="G154" s="43">
        <f t="shared" si="33"/>
        <v>8815.25</v>
      </c>
      <c r="H154" s="43">
        <f t="shared" si="33"/>
        <v>8815.25</v>
      </c>
      <c r="I154" s="43">
        <f t="shared" si="33"/>
        <v>8815.25</v>
      </c>
      <c r="J154" s="43">
        <f t="shared" si="33"/>
        <v>8815.25</v>
      </c>
      <c r="K154" s="43">
        <f t="shared" si="33"/>
        <v>8815.25</v>
      </c>
      <c r="L154" s="43">
        <f t="shared" si="33"/>
        <v>8815.25</v>
      </c>
      <c r="M154" s="43">
        <f t="shared" si="33"/>
        <v>8815.25</v>
      </c>
      <c r="N154" s="43">
        <f t="shared" si="33"/>
        <v>8815.25</v>
      </c>
      <c r="O154" s="43">
        <f t="shared" si="33"/>
        <v>8815.25</v>
      </c>
      <c r="P154" s="43">
        <f t="shared" si="33"/>
        <v>8815.25</v>
      </c>
      <c r="Q154" s="87">
        <f t="shared" si="34"/>
        <v>105783</v>
      </c>
    </row>
    <row r="155" spans="2:21" x14ac:dyDescent="0.35">
      <c r="B155" s="10"/>
      <c r="D155" s="44"/>
      <c r="E155" s="36">
        <f t="shared" ref="E155:Q155" si="40">SUM(E139:E154)</f>
        <v>48635.458333333336</v>
      </c>
      <c r="F155" s="36">
        <f t="shared" si="40"/>
        <v>48635.458333333336</v>
      </c>
      <c r="G155" s="36">
        <f t="shared" si="40"/>
        <v>48635.458333333336</v>
      </c>
      <c r="H155" s="36">
        <f t="shared" si="40"/>
        <v>48635.455000000002</v>
      </c>
      <c r="I155" s="36">
        <f t="shared" si="40"/>
        <v>48635.455000000002</v>
      </c>
      <c r="J155" s="36">
        <f t="shared" si="40"/>
        <v>48635.455000000002</v>
      </c>
      <c r="K155" s="36">
        <f t="shared" si="40"/>
        <v>48682.251666666671</v>
      </c>
      <c r="L155" s="36">
        <f t="shared" si="40"/>
        <v>48682.251666666671</v>
      </c>
      <c r="M155" s="36">
        <f t="shared" si="40"/>
        <v>48682.251666666671</v>
      </c>
      <c r="N155" s="36">
        <f t="shared" si="40"/>
        <v>48682.251666666671</v>
      </c>
      <c r="O155" s="36">
        <f t="shared" si="40"/>
        <v>48682.253333333341</v>
      </c>
      <c r="P155" s="36">
        <f t="shared" si="40"/>
        <v>48682.253333333341</v>
      </c>
      <c r="Q155" s="36">
        <f t="shared" si="40"/>
        <v>583906.25333333341</v>
      </c>
    </row>
    <row r="156" spans="2:21" x14ac:dyDescent="0.35">
      <c r="B156" s="10"/>
      <c r="E156" s="95">
        <f>(E10+E11)-E155</f>
        <v>0</v>
      </c>
      <c r="F156" s="95">
        <f t="shared" ref="F156:Q156" si="41">(F10+F11)-F155</f>
        <v>0</v>
      </c>
      <c r="G156" s="95">
        <f t="shared" si="41"/>
        <v>0</v>
      </c>
      <c r="H156" s="95">
        <f t="shared" si="41"/>
        <v>0</v>
      </c>
      <c r="I156" s="95">
        <f t="shared" si="41"/>
        <v>0</v>
      </c>
      <c r="J156" s="95">
        <f t="shared" si="41"/>
        <v>0</v>
      </c>
      <c r="K156" s="95">
        <f t="shared" si="41"/>
        <v>0</v>
      </c>
      <c r="L156" s="95">
        <f t="shared" si="41"/>
        <v>0</v>
      </c>
      <c r="M156" s="95">
        <f t="shared" si="41"/>
        <v>0</v>
      </c>
      <c r="N156" s="95">
        <f t="shared" si="41"/>
        <v>0</v>
      </c>
      <c r="O156" s="95">
        <f t="shared" si="41"/>
        <v>0</v>
      </c>
      <c r="P156" s="95">
        <f t="shared" si="41"/>
        <v>0</v>
      </c>
      <c r="Q156" s="95">
        <f t="shared" si="41"/>
        <v>0</v>
      </c>
    </row>
    <row r="158" spans="2:21" ht="17.5" x14ac:dyDescent="0.35">
      <c r="B158" s="521" t="s">
        <v>163</v>
      </c>
      <c r="E158" s="522"/>
      <c r="F158" s="522"/>
      <c r="G158" s="522"/>
      <c r="H158" s="522"/>
      <c r="I158" s="522"/>
      <c r="J158" s="522"/>
      <c r="K158" s="522"/>
      <c r="L158" s="522"/>
      <c r="M158" s="522"/>
      <c r="N158" s="522"/>
      <c r="O158" s="522"/>
      <c r="P158" s="522"/>
      <c r="S158" s="54"/>
      <c r="T158" s="34"/>
      <c r="U158" s="34"/>
    </row>
    <row r="159" spans="2:21" outlineLevel="1" x14ac:dyDescent="0.35">
      <c r="B159" s="43" t="s">
        <v>619</v>
      </c>
      <c r="C159" s="43"/>
      <c r="D159" s="43" t="s">
        <v>424</v>
      </c>
      <c r="E159" s="519">
        <v>46023</v>
      </c>
      <c r="F159" s="519">
        <v>46054</v>
      </c>
      <c r="G159" s="519">
        <v>46082</v>
      </c>
      <c r="H159" s="519">
        <v>46113</v>
      </c>
      <c r="I159" s="519">
        <v>46143</v>
      </c>
      <c r="J159" s="519">
        <v>46174</v>
      </c>
      <c r="K159" s="519">
        <v>46204</v>
      </c>
      <c r="L159" s="519">
        <v>46235</v>
      </c>
      <c r="M159" s="519">
        <v>46266</v>
      </c>
      <c r="N159" s="519">
        <v>46296</v>
      </c>
      <c r="O159" s="519">
        <v>46327</v>
      </c>
      <c r="P159" s="519">
        <v>46357</v>
      </c>
      <c r="Q159" s="481" t="s">
        <v>12</v>
      </c>
      <c r="R159" s="54"/>
      <c r="S159" s="54"/>
      <c r="T159" s="34"/>
      <c r="U159" s="34"/>
    </row>
    <row r="160" spans="2:21" outlineLevel="1" x14ac:dyDescent="0.35">
      <c r="B160" s="523" t="s">
        <v>621</v>
      </c>
      <c r="C160" s="115"/>
      <c r="D160" s="34" t="str">
        <f>IFERROR(VLOOKUP(B160,'In Place Revenue'!$B$2:$H$630,2,FALSE),VLOOKUP(B160,$B$181:$D$196,3,FALSE))</f>
        <v>VACANT</v>
      </c>
      <c r="E160" s="34">
        <f>SUMIFS('In Place Revenue'!$G$2:$G$764,'In Place Revenue'!$B$2:$B$764,$B160,'In Place Revenue'!$D$2:$D$764,E$159)</f>
        <v>0</v>
      </c>
      <c r="F160" s="34">
        <f>SUMIFS('In Place Revenue'!$G$2:$G$764,'In Place Revenue'!$B$2:$B$764,$B160,'In Place Revenue'!$D$2:$D$764,F$159)</f>
        <v>0</v>
      </c>
      <c r="G160" s="34">
        <f>SUMIFS('In Place Revenue'!$G$2:$G$764,'In Place Revenue'!$B$2:$B$764,$B160,'In Place Revenue'!$D$2:$D$764,G$159)</f>
        <v>0</v>
      </c>
      <c r="H160" s="34">
        <f>SUMIFS('In Place Revenue'!$G$2:$G$764,'In Place Revenue'!$B$2:$B$764,$B160,'In Place Revenue'!$D$2:$D$764,H$159)</f>
        <v>0</v>
      </c>
      <c r="I160" s="34">
        <f>SUMIFS('In Place Revenue'!$G$2:$G$764,'In Place Revenue'!$B$2:$B$764,$B160,'In Place Revenue'!$D$2:$D$764,I$159)</f>
        <v>0</v>
      </c>
      <c r="J160" s="34">
        <f>SUMIFS('In Place Revenue'!$G$2:$G$764,'In Place Revenue'!$B$2:$B$764,$B160,'In Place Revenue'!$D$2:$D$764,J$159)</f>
        <v>0</v>
      </c>
      <c r="K160" s="34">
        <f>SUMIFS('In Place Revenue'!$G$2:$G$764,'In Place Revenue'!$B$2:$B$764,$B160,'In Place Revenue'!$D$2:$D$764,K$159)</f>
        <v>0</v>
      </c>
      <c r="L160" s="34">
        <f>SUMIFS('In Place Revenue'!$G$2:$G$764,'In Place Revenue'!$B$2:$B$764,$B160,'In Place Revenue'!$D$2:$D$764,L$159)</f>
        <v>0</v>
      </c>
      <c r="M160" s="34">
        <f>SUMIFS('In Place Revenue'!$G$2:$G$764,'In Place Revenue'!$B$2:$B$764,$B160,'In Place Revenue'!$D$2:$D$764,M$159)</f>
        <v>0</v>
      </c>
      <c r="N160" s="34">
        <f>SUMIFS('In Place Revenue'!$G$2:$G$764,'In Place Revenue'!$B$2:$B$764,$B160,'In Place Revenue'!$D$2:$D$764,N$159)</f>
        <v>0</v>
      </c>
      <c r="O160" s="34">
        <f>SUMIFS('In Place Revenue'!$G$2:$G$764,'In Place Revenue'!$B$2:$B$764,$B160,'In Place Revenue'!$D$2:$D$764,O$159)</f>
        <v>0</v>
      </c>
      <c r="P160" s="34">
        <f>SUMIFS('In Place Revenue'!$G$2:$G$764,'In Place Revenue'!$B$2:$B$764,$B160,'In Place Revenue'!$D$2:$D$764,P$159)</f>
        <v>0</v>
      </c>
      <c r="Q160" s="36">
        <f>SUM(E160:P160)</f>
        <v>0</v>
      </c>
    </row>
    <row r="161" spans="2:17" outlineLevel="1" x14ac:dyDescent="0.35">
      <c r="B161" s="523" t="s">
        <v>170</v>
      </c>
      <c r="C161" s="115"/>
      <c r="D161" s="34" t="str">
        <f>IFERROR(VLOOKUP(B161,'In Place Revenue'!$B$2:$H$630,2,FALSE),VLOOKUP(B161,$B$181:$D$196,3,FALSE))</f>
        <v>American Bread Company LLC</v>
      </c>
      <c r="E161" s="34">
        <f>SUMIFS('In Place Revenue'!$G$2:$G$764,'In Place Revenue'!$B$2:$B$764,$B161,'In Place Revenue'!$D$2:$D$764,E$159)</f>
        <v>2601.63</v>
      </c>
      <c r="F161" s="34">
        <f>SUMIFS('In Place Revenue'!$G$2:$G$764,'In Place Revenue'!$B$2:$B$764,$B161,'In Place Revenue'!$D$2:$D$764,F$159)</f>
        <v>2601.63</v>
      </c>
      <c r="G161" s="34">
        <f>SUMIFS('In Place Revenue'!$G$2:$G$764,'In Place Revenue'!$B$2:$B$764,$B161,'In Place Revenue'!$D$2:$D$764,G$159)</f>
        <v>2601.63</v>
      </c>
      <c r="H161" s="34">
        <f>SUMIFS('In Place Revenue'!$G$2:$G$764,'In Place Revenue'!$B$2:$B$764,$B161,'In Place Revenue'!$D$2:$D$764,H$159)</f>
        <v>2601.63</v>
      </c>
      <c r="I161" s="34">
        <f>SUMIFS('In Place Revenue'!$G$2:$G$764,'In Place Revenue'!$B$2:$B$764,$B161,'In Place Revenue'!$D$2:$D$764,I$159)</f>
        <v>2601.63</v>
      </c>
      <c r="J161" s="34">
        <f>SUMIFS('In Place Revenue'!$G$2:$G$764,'In Place Revenue'!$B$2:$B$764,$B161,'In Place Revenue'!$D$2:$D$764,J$159)</f>
        <v>2601.63</v>
      </c>
      <c r="K161" s="34">
        <f>SUMIFS('In Place Revenue'!$G$2:$G$764,'In Place Revenue'!$B$2:$B$764,$B161,'In Place Revenue'!$D$2:$D$764,K$159)</f>
        <v>2601.63</v>
      </c>
      <c r="L161" s="34">
        <f>SUMIFS('In Place Revenue'!$G$2:$G$764,'In Place Revenue'!$B$2:$B$764,$B161,'In Place Revenue'!$D$2:$D$764,L$159)</f>
        <v>2601.63</v>
      </c>
      <c r="M161" s="34">
        <f>SUMIFS('In Place Revenue'!$G$2:$G$764,'In Place Revenue'!$B$2:$B$764,$B161,'In Place Revenue'!$D$2:$D$764,M$159)</f>
        <v>2601.63</v>
      </c>
      <c r="N161" s="34">
        <f>SUMIFS('In Place Revenue'!$G$2:$G$764,'In Place Revenue'!$B$2:$B$764,$B161,'In Place Revenue'!$D$2:$D$764,N$159)</f>
        <v>2601.63</v>
      </c>
      <c r="O161" s="34">
        <f>SUMIFS('In Place Revenue'!$G$2:$G$764,'In Place Revenue'!$B$2:$B$764,$B161,'In Place Revenue'!$D$2:$D$764,O$159)</f>
        <v>2601.63</v>
      </c>
      <c r="P161" s="34">
        <f>SUMIFS('In Place Revenue'!$G$2:$G$764,'In Place Revenue'!$B$2:$B$764,$B161,'In Place Revenue'!$D$2:$D$764,P$159)</f>
        <v>2601.63</v>
      </c>
      <c r="Q161" s="36">
        <f t="shared" ref="Q161:Q175" si="42">SUM(E161:P161)</f>
        <v>31219.560000000009</v>
      </c>
    </row>
    <row r="162" spans="2:17" outlineLevel="1" x14ac:dyDescent="0.35">
      <c r="B162" s="523" t="s">
        <v>322</v>
      </c>
      <c r="C162" s="115"/>
      <c r="D162" s="34" t="str">
        <f>IFERROR(VLOOKUP(B162,'In Place Revenue'!$B$2:$H$630,2,FALSE),VLOOKUP(B162,$B$181:$D$196,3,FALSE))</f>
        <v>SKH Abstract Agency Inc.</v>
      </c>
      <c r="E162" s="34">
        <f>SUMIFS('In Place Revenue'!$G$2:$G$764,'In Place Revenue'!$B$2:$B$764,$B162,'In Place Revenue'!$D$2:$D$764,E$159)</f>
        <v>1046.79</v>
      </c>
      <c r="F162" s="34">
        <f>SUMIFS('In Place Revenue'!$G$2:$G$764,'In Place Revenue'!$B$2:$B$764,$B162,'In Place Revenue'!$D$2:$D$764,F$159)</f>
        <v>1046.79</v>
      </c>
      <c r="G162" s="34">
        <f>SUMIFS('In Place Revenue'!$G$2:$G$764,'In Place Revenue'!$B$2:$B$764,$B162,'In Place Revenue'!$D$2:$D$764,G$159)</f>
        <v>1046.79</v>
      </c>
      <c r="H162" s="34">
        <f>SUMIFS('In Place Revenue'!$G$2:$G$764,'In Place Revenue'!$B$2:$B$764,$B162,'In Place Revenue'!$D$2:$D$764,H$159)</f>
        <v>1046.79</v>
      </c>
      <c r="I162" s="34">
        <f>SUMIFS('In Place Revenue'!$G$2:$G$764,'In Place Revenue'!$B$2:$B$764,$B162,'In Place Revenue'!$D$2:$D$764,I$159)</f>
        <v>1046.79</v>
      </c>
      <c r="J162" s="34">
        <f>SUMIFS('In Place Revenue'!$G$2:$G$764,'In Place Revenue'!$B$2:$B$764,$B162,'In Place Revenue'!$D$2:$D$764,J$159)</f>
        <v>1046.79</v>
      </c>
      <c r="K162" s="34">
        <f>SUMIFS('In Place Revenue'!$G$2:$G$764,'In Place Revenue'!$B$2:$B$764,$B162,'In Place Revenue'!$D$2:$D$764,K$159)</f>
        <v>1046.79</v>
      </c>
      <c r="L162" s="34">
        <f>SUMIFS('In Place Revenue'!$G$2:$G$764,'In Place Revenue'!$B$2:$B$764,$B162,'In Place Revenue'!$D$2:$D$764,L$159)</f>
        <v>1046.79</v>
      </c>
      <c r="M162" s="34">
        <f>SUMIFS('In Place Revenue'!$G$2:$G$764,'In Place Revenue'!$B$2:$B$764,$B162,'In Place Revenue'!$D$2:$D$764,M$159)</f>
        <v>1046.79</v>
      </c>
      <c r="N162" s="34">
        <f>SUMIFS('In Place Revenue'!$G$2:$G$764,'In Place Revenue'!$B$2:$B$764,$B162,'In Place Revenue'!$D$2:$D$764,N$159)</f>
        <v>1046.79</v>
      </c>
      <c r="O162" s="34">
        <f>SUMIFS('In Place Revenue'!$G$2:$G$764,'In Place Revenue'!$B$2:$B$764,$B162,'In Place Revenue'!$D$2:$D$764,O$159)</f>
        <v>1046.79</v>
      </c>
      <c r="P162" s="34">
        <f>SUMIFS('In Place Revenue'!$G$2:$G$764,'In Place Revenue'!$B$2:$B$764,$B162,'In Place Revenue'!$D$2:$D$764,P$159)</f>
        <v>1046.79</v>
      </c>
      <c r="Q162" s="36">
        <f t="shared" si="42"/>
        <v>12561.480000000003</v>
      </c>
    </row>
    <row r="163" spans="2:17" outlineLevel="1" x14ac:dyDescent="0.35">
      <c r="B163" s="523" t="s">
        <v>620</v>
      </c>
      <c r="C163" s="115"/>
      <c r="D163" s="34" t="str">
        <f>IFERROR(VLOOKUP(B163,'In Place Revenue'!$B$2:$H$630,2,FALSE),VLOOKUP(B163,$B$181:$D$196,3,FALSE))</f>
        <v>VACANT</v>
      </c>
      <c r="E163" s="34">
        <f>SUMIFS('In Place Revenue'!$G$2:$G$764,'In Place Revenue'!$B$2:$B$764,$B163,'In Place Revenue'!$D$2:$D$764,E$159)</f>
        <v>0</v>
      </c>
      <c r="F163" s="34">
        <f>SUMIFS('In Place Revenue'!$G$2:$G$764,'In Place Revenue'!$B$2:$B$764,$B163,'In Place Revenue'!$D$2:$D$764,F$159)</f>
        <v>0</v>
      </c>
      <c r="G163" s="34">
        <f>SUMIFS('In Place Revenue'!$G$2:$G$764,'In Place Revenue'!$B$2:$B$764,$B163,'In Place Revenue'!$D$2:$D$764,G$159)</f>
        <v>0</v>
      </c>
      <c r="H163" s="34">
        <f>SUMIFS('In Place Revenue'!$G$2:$G$764,'In Place Revenue'!$B$2:$B$764,$B163,'In Place Revenue'!$D$2:$D$764,H$159)</f>
        <v>0</v>
      </c>
      <c r="I163" s="34">
        <f>SUMIFS('In Place Revenue'!$G$2:$G$764,'In Place Revenue'!$B$2:$B$764,$B163,'In Place Revenue'!$D$2:$D$764,I$159)</f>
        <v>0</v>
      </c>
      <c r="J163" s="34">
        <f>SUMIFS('In Place Revenue'!$G$2:$G$764,'In Place Revenue'!$B$2:$B$764,$B163,'In Place Revenue'!$D$2:$D$764,J$159)</f>
        <v>0</v>
      </c>
      <c r="K163" s="34">
        <f>SUMIFS('In Place Revenue'!$G$2:$G$764,'In Place Revenue'!$B$2:$B$764,$B163,'In Place Revenue'!$D$2:$D$764,K$159)</f>
        <v>0</v>
      </c>
      <c r="L163" s="34">
        <f>SUMIFS('In Place Revenue'!$G$2:$G$764,'In Place Revenue'!$B$2:$B$764,$B163,'In Place Revenue'!$D$2:$D$764,L$159)</f>
        <v>0</v>
      </c>
      <c r="M163" s="34">
        <f>SUMIFS('In Place Revenue'!$G$2:$G$764,'In Place Revenue'!$B$2:$B$764,$B163,'In Place Revenue'!$D$2:$D$764,M$159)</f>
        <v>0</v>
      </c>
      <c r="N163" s="34">
        <f>SUMIFS('In Place Revenue'!$G$2:$G$764,'In Place Revenue'!$B$2:$B$764,$B163,'In Place Revenue'!$D$2:$D$764,N$159)</f>
        <v>0</v>
      </c>
      <c r="O163" s="34">
        <f>SUMIFS('In Place Revenue'!$G$2:$G$764,'In Place Revenue'!$B$2:$B$764,$B163,'In Place Revenue'!$D$2:$D$764,O$159)</f>
        <v>0</v>
      </c>
      <c r="P163" s="34">
        <f>SUMIFS('In Place Revenue'!$G$2:$G$764,'In Place Revenue'!$B$2:$B$764,$B163,'In Place Revenue'!$D$2:$D$764,P$159)</f>
        <v>0</v>
      </c>
      <c r="Q163" s="36">
        <f t="shared" si="42"/>
        <v>0</v>
      </c>
    </row>
    <row r="164" spans="2:17" outlineLevel="1" x14ac:dyDescent="0.35">
      <c r="B164" s="523" t="s">
        <v>240</v>
      </c>
      <c r="C164" s="115"/>
      <c r="D164" s="34" t="str">
        <f>IFERROR(VLOOKUP(B164,'In Place Revenue'!$B$2:$H$630,2,FALSE),VLOOKUP(B164,$B$181:$D$196,3,FALSE))</f>
        <v>VACANT</v>
      </c>
      <c r="E164" s="34">
        <f>SUMIFS('In Place Revenue'!$G$2:$G$764,'In Place Revenue'!$B$2:$B$764,$B164,'In Place Revenue'!$D$2:$D$764,E$159)</f>
        <v>0</v>
      </c>
      <c r="F164" s="34">
        <f>SUMIFS('In Place Revenue'!$G$2:$G$764,'In Place Revenue'!$B$2:$B$764,$B164,'In Place Revenue'!$D$2:$D$764,F$159)</f>
        <v>0</v>
      </c>
      <c r="G164" s="34">
        <f>SUMIFS('In Place Revenue'!$G$2:$G$764,'In Place Revenue'!$B$2:$B$764,$B164,'In Place Revenue'!$D$2:$D$764,G$159)</f>
        <v>0</v>
      </c>
      <c r="H164" s="34">
        <f>SUMIFS('In Place Revenue'!$G$2:$G$764,'In Place Revenue'!$B$2:$B$764,$B164,'In Place Revenue'!$D$2:$D$764,H$159)</f>
        <v>0</v>
      </c>
      <c r="I164" s="34">
        <f>SUMIFS('In Place Revenue'!$G$2:$G$764,'In Place Revenue'!$B$2:$B$764,$B164,'In Place Revenue'!$D$2:$D$764,I$159)</f>
        <v>0</v>
      </c>
      <c r="J164" s="34">
        <f>SUMIFS('In Place Revenue'!$G$2:$G$764,'In Place Revenue'!$B$2:$B$764,$B164,'In Place Revenue'!$D$2:$D$764,J$159)</f>
        <v>0</v>
      </c>
      <c r="K164" s="34">
        <f>SUMIFS('In Place Revenue'!$G$2:$G$764,'In Place Revenue'!$B$2:$B$764,$B164,'In Place Revenue'!$D$2:$D$764,K$159)</f>
        <v>0</v>
      </c>
      <c r="L164" s="34">
        <f>SUMIFS('In Place Revenue'!$G$2:$G$764,'In Place Revenue'!$B$2:$B$764,$B164,'In Place Revenue'!$D$2:$D$764,L$159)</f>
        <v>0</v>
      </c>
      <c r="M164" s="34">
        <f>SUMIFS('In Place Revenue'!$G$2:$G$764,'In Place Revenue'!$B$2:$B$764,$B164,'In Place Revenue'!$D$2:$D$764,M$159)</f>
        <v>0</v>
      </c>
      <c r="N164" s="34">
        <f>SUMIFS('In Place Revenue'!$G$2:$G$764,'In Place Revenue'!$B$2:$B$764,$B164,'In Place Revenue'!$D$2:$D$764,N$159)</f>
        <v>0</v>
      </c>
      <c r="O164" s="34">
        <f>SUMIFS('In Place Revenue'!$G$2:$G$764,'In Place Revenue'!$B$2:$B$764,$B164,'In Place Revenue'!$D$2:$D$764,O$159)</f>
        <v>0</v>
      </c>
      <c r="P164" s="34">
        <f>SUMIFS('In Place Revenue'!$G$2:$G$764,'In Place Revenue'!$B$2:$B$764,$B164,'In Place Revenue'!$D$2:$D$764,P$159)</f>
        <v>0</v>
      </c>
      <c r="Q164" s="36">
        <f t="shared" si="42"/>
        <v>0</v>
      </c>
    </row>
    <row r="165" spans="2:17" outlineLevel="1" x14ac:dyDescent="0.35">
      <c r="B165" s="523" t="s">
        <v>241</v>
      </c>
      <c r="C165" s="115"/>
      <c r="D165" s="34" t="str">
        <f>IFERROR(VLOOKUP(B165,'In Place Revenue'!$B$2:$H$630,2,FALSE),VLOOKUP(B165,$B$181:$D$196,3,FALSE))</f>
        <v>ABC Home Medical Supply, Inc.</v>
      </c>
      <c r="E165" s="34">
        <f>SUMIFS('In Place Revenue'!$G$2:$G$764,'In Place Revenue'!$B$2:$B$764,$B165,'In Place Revenue'!$D$2:$D$764,E$159)</f>
        <v>1824.88</v>
      </c>
      <c r="F165" s="34">
        <f>SUMIFS('In Place Revenue'!$G$2:$G$764,'In Place Revenue'!$B$2:$B$764,$B165,'In Place Revenue'!$D$2:$D$764,F$159)</f>
        <v>1824.88</v>
      </c>
      <c r="G165" s="34">
        <f>SUMIFS('In Place Revenue'!$G$2:$G$764,'In Place Revenue'!$B$2:$B$764,$B165,'In Place Revenue'!$D$2:$D$764,G$159)</f>
        <v>1824.88</v>
      </c>
      <c r="H165" s="34">
        <f>SUMIFS('In Place Revenue'!$G$2:$G$764,'In Place Revenue'!$B$2:$B$764,$B165,'In Place Revenue'!$D$2:$D$764,H$159)</f>
        <v>1824.88</v>
      </c>
      <c r="I165" s="34">
        <f>SUMIFS('In Place Revenue'!$G$2:$G$764,'In Place Revenue'!$B$2:$B$764,$B165,'In Place Revenue'!$D$2:$D$764,I$159)</f>
        <v>1824.88</v>
      </c>
      <c r="J165" s="34">
        <f>SUMIFS('In Place Revenue'!$G$2:$G$764,'In Place Revenue'!$B$2:$B$764,$B165,'In Place Revenue'!$D$2:$D$764,J$159)</f>
        <v>1824.88</v>
      </c>
      <c r="K165" s="34">
        <f>SUMIFS('In Place Revenue'!$G$2:$G$764,'In Place Revenue'!$B$2:$B$764,$B165,'In Place Revenue'!$D$2:$D$764,K$159)</f>
        <v>1871.67</v>
      </c>
      <c r="L165" s="34">
        <f>SUMIFS('In Place Revenue'!$G$2:$G$764,'In Place Revenue'!$B$2:$B$764,$B165,'In Place Revenue'!$D$2:$D$764,L$159)</f>
        <v>1871.67</v>
      </c>
      <c r="M165" s="34">
        <f>SUMIFS('In Place Revenue'!$G$2:$G$764,'In Place Revenue'!$B$2:$B$764,$B165,'In Place Revenue'!$D$2:$D$764,M$159)</f>
        <v>1871.67</v>
      </c>
      <c r="N165" s="34">
        <f>SUMIFS('In Place Revenue'!$G$2:$G$764,'In Place Revenue'!$B$2:$B$764,$B165,'In Place Revenue'!$D$2:$D$764,N$159)</f>
        <v>1871.67</v>
      </c>
      <c r="O165" s="34">
        <f>SUMIFS('In Place Revenue'!$G$2:$G$764,'In Place Revenue'!$B$2:$B$764,$B165,'In Place Revenue'!$D$2:$D$764,O$159)</f>
        <v>1871.67</v>
      </c>
      <c r="P165" s="34">
        <f>SUMIFS('In Place Revenue'!$G$2:$G$764,'In Place Revenue'!$B$2:$B$764,$B165,'In Place Revenue'!$D$2:$D$764,P$159)</f>
        <v>1871.67</v>
      </c>
      <c r="Q165" s="36">
        <f t="shared" si="42"/>
        <v>22179.299999999996</v>
      </c>
    </row>
    <row r="166" spans="2:17" outlineLevel="1" x14ac:dyDescent="0.35">
      <c r="B166" s="523" t="s">
        <v>384</v>
      </c>
      <c r="C166" s="115"/>
      <c r="D166" s="34" t="str">
        <f>IFERROR(VLOOKUP(B166,'In Place Revenue'!$B$2:$H$630,2,FALSE),VLOOKUP(B166,$B$181:$D$196,3,FALSE))</f>
        <v>Office Works Partnership</v>
      </c>
      <c r="E166" s="34">
        <f>SUMIFS('In Place Revenue'!$G$2:$G$764,'In Place Revenue'!$B$2:$B$764,$B166,'In Place Revenue'!$D$2:$D$764,E$159)</f>
        <v>14653.33</v>
      </c>
      <c r="F166" s="34">
        <f>SUMIFS('In Place Revenue'!$G$2:$G$764,'In Place Revenue'!$B$2:$B$764,$B166,'In Place Revenue'!$D$2:$D$764,F$159)</f>
        <v>14653.33</v>
      </c>
      <c r="G166" s="34">
        <f>SUMIFS('In Place Revenue'!$G$2:$G$764,'In Place Revenue'!$B$2:$B$764,$B166,'In Place Revenue'!$D$2:$D$764,G$159)</f>
        <v>14653.33</v>
      </c>
      <c r="H166" s="34">
        <f>SUMIFS('In Place Revenue'!$G$2:$G$764,'In Place Revenue'!$B$2:$B$764,$B166,'In Place Revenue'!$D$2:$D$764,H$159)</f>
        <v>14653.33</v>
      </c>
      <c r="I166" s="34">
        <f>SUMIFS('In Place Revenue'!$G$2:$G$764,'In Place Revenue'!$B$2:$B$764,$B166,'In Place Revenue'!$D$2:$D$764,I$159)</f>
        <v>14653.33</v>
      </c>
      <c r="J166" s="34">
        <f>SUMIFS('In Place Revenue'!$G$2:$G$764,'In Place Revenue'!$B$2:$B$764,$B166,'In Place Revenue'!$D$2:$D$764,J$159)</f>
        <v>14653.33</v>
      </c>
      <c r="K166" s="34">
        <f>SUMIFS('In Place Revenue'!$G$2:$G$764,'In Place Revenue'!$B$2:$B$764,$B166,'In Place Revenue'!$D$2:$D$764,K$159)</f>
        <v>0</v>
      </c>
      <c r="L166" s="34">
        <f>SUMIFS('In Place Revenue'!$G$2:$G$764,'In Place Revenue'!$B$2:$B$764,$B166,'In Place Revenue'!$D$2:$D$764,L$159)</f>
        <v>0</v>
      </c>
      <c r="M166" s="34">
        <f>SUMIFS('In Place Revenue'!$G$2:$G$764,'In Place Revenue'!$B$2:$B$764,$B166,'In Place Revenue'!$D$2:$D$764,M$159)</f>
        <v>0</v>
      </c>
      <c r="N166" s="34">
        <f>SUMIFS('In Place Revenue'!$G$2:$G$764,'In Place Revenue'!$B$2:$B$764,$B166,'In Place Revenue'!$D$2:$D$764,N$159)</f>
        <v>0</v>
      </c>
      <c r="O166" s="34">
        <f>SUMIFS('In Place Revenue'!$G$2:$G$764,'In Place Revenue'!$B$2:$B$764,$B166,'In Place Revenue'!$D$2:$D$764,O$159)</f>
        <v>0</v>
      </c>
      <c r="P166" s="34">
        <f>SUMIFS('In Place Revenue'!$G$2:$G$764,'In Place Revenue'!$B$2:$B$764,$B166,'In Place Revenue'!$D$2:$D$764,P$159)</f>
        <v>0</v>
      </c>
      <c r="Q166" s="36">
        <f t="shared" si="42"/>
        <v>87919.98</v>
      </c>
    </row>
    <row r="167" spans="2:17" outlineLevel="1" x14ac:dyDescent="0.35">
      <c r="B167" s="523" t="s">
        <v>234</v>
      </c>
      <c r="C167" s="115"/>
      <c r="D167" s="34" t="str">
        <f>IFERROR(VLOOKUP(B167,'In Place Revenue'!$B$2:$H$630,2,FALSE),VLOOKUP(B167,$B$181:$D$196,3,FALSE))</f>
        <v>Khavinson &amp; Associates, P.C.</v>
      </c>
      <c r="E167" s="34">
        <f>SUMIFS('In Place Revenue'!$G$2:$G$764,'In Place Revenue'!$B$2:$B$764,$B167,'In Place Revenue'!$D$2:$D$764,E$159)</f>
        <v>3463.29</v>
      </c>
      <c r="F167" s="34">
        <f>SUMIFS('In Place Revenue'!$G$2:$G$764,'In Place Revenue'!$B$2:$B$764,$B167,'In Place Revenue'!$D$2:$D$764,F$159)</f>
        <v>3463.29</v>
      </c>
      <c r="G167" s="34">
        <f>SUMIFS('In Place Revenue'!$G$2:$G$764,'In Place Revenue'!$B$2:$B$764,$B167,'In Place Revenue'!$D$2:$D$764,G$159)</f>
        <v>3463.29</v>
      </c>
      <c r="H167" s="34">
        <f>SUMIFS('In Place Revenue'!$G$2:$G$764,'In Place Revenue'!$B$2:$B$764,$B167,'In Place Revenue'!$D$2:$D$764,H$159)</f>
        <v>3463.29</v>
      </c>
      <c r="I167" s="34">
        <f>SUMIFS('In Place Revenue'!$G$2:$G$764,'In Place Revenue'!$B$2:$B$764,$B167,'In Place Revenue'!$D$2:$D$764,I$159)</f>
        <v>3463.29</v>
      </c>
      <c r="J167" s="34">
        <f>SUMIFS('In Place Revenue'!$G$2:$G$764,'In Place Revenue'!$B$2:$B$764,$B167,'In Place Revenue'!$D$2:$D$764,J$159)</f>
        <v>3463.29</v>
      </c>
      <c r="K167" s="34">
        <f>SUMIFS('In Place Revenue'!$G$2:$G$764,'In Place Revenue'!$B$2:$B$764,$B167,'In Place Revenue'!$D$2:$D$764,K$159)</f>
        <v>3463.29</v>
      </c>
      <c r="L167" s="34">
        <f>SUMIFS('In Place Revenue'!$G$2:$G$764,'In Place Revenue'!$B$2:$B$764,$B167,'In Place Revenue'!$D$2:$D$764,L$159)</f>
        <v>3463.29</v>
      </c>
      <c r="M167" s="34">
        <f>SUMIFS('In Place Revenue'!$G$2:$G$764,'In Place Revenue'!$B$2:$B$764,$B167,'In Place Revenue'!$D$2:$D$764,M$159)</f>
        <v>3463.29</v>
      </c>
      <c r="N167" s="34">
        <f>SUMIFS('In Place Revenue'!$G$2:$G$764,'In Place Revenue'!$B$2:$B$764,$B167,'In Place Revenue'!$D$2:$D$764,N$159)</f>
        <v>3463.29</v>
      </c>
      <c r="O167" s="34">
        <f>SUMIFS('In Place Revenue'!$G$2:$G$764,'In Place Revenue'!$B$2:$B$764,$B167,'In Place Revenue'!$D$2:$D$764,O$159)</f>
        <v>0</v>
      </c>
      <c r="P167" s="34">
        <f>SUMIFS('In Place Revenue'!$G$2:$G$764,'In Place Revenue'!$B$2:$B$764,$B167,'In Place Revenue'!$D$2:$D$764,P$159)</f>
        <v>0</v>
      </c>
      <c r="Q167" s="36">
        <f t="shared" ref="Q167:Q168" si="43">SUM(E167:P167)</f>
        <v>34632.9</v>
      </c>
    </row>
    <row r="168" spans="2:17" outlineLevel="1" x14ac:dyDescent="0.35">
      <c r="B168" s="523" t="s">
        <v>172</v>
      </c>
      <c r="C168" s="115"/>
      <c r="D168" s="34" t="str">
        <f>IFERROR(VLOOKUP(B168,'In Place Revenue'!$B$2:$H$630,2,FALSE),VLOOKUP(B168,$B$181:$D$196,3,FALSE))</f>
        <v>Pragmatics, Inc.</v>
      </c>
      <c r="E168" s="34">
        <f>SUMIFS('In Place Revenue'!$G$2:$G$764,'In Place Revenue'!$B$2:$B$764,$B168,'In Place Revenue'!$D$2:$D$764,E$159)</f>
        <v>5964.42</v>
      </c>
      <c r="F168" s="34">
        <f>SUMIFS('In Place Revenue'!$G$2:$G$764,'In Place Revenue'!$B$2:$B$764,$B168,'In Place Revenue'!$D$2:$D$764,F$159)</f>
        <v>5964.42</v>
      </c>
      <c r="G168" s="34">
        <f>SUMIFS('In Place Revenue'!$G$2:$G$764,'In Place Revenue'!$B$2:$B$764,$B168,'In Place Revenue'!$D$2:$D$764,G$159)</f>
        <v>5964.42</v>
      </c>
      <c r="H168" s="34">
        <f>SUMIFS('In Place Revenue'!$G$2:$G$764,'In Place Revenue'!$B$2:$B$764,$B168,'In Place Revenue'!$D$2:$D$764,H$159)</f>
        <v>0</v>
      </c>
      <c r="I168" s="34">
        <f>SUMIFS('In Place Revenue'!$G$2:$G$764,'In Place Revenue'!$B$2:$B$764,$B168,'In Place Revenue'!$D$2:$D$764,I$159)</f>
        <v>0</v>
      </c>
      <c r="J168" s="34">
        <f>SUMIFS('In Place Revenue'!$G$2:$G$764,'In Place Revenue'!$B$2:$B$764,$B168,'In Place Revenue'!$D$2:$D$764,J$159)</f>
        <v>0</v>
      </c>
      <c r="K168" s="34">
        <f>SUMIFS('In Place Revenue'!$G$2:$G$764,'In Place Revenue'!$B$2:$B$764,$B168,'In Place Revenue'!$D$2:$D$764,K$159)</f>
        <v>0</v>
      </c>
      <c r="L168" s="34">
        <f>SUMIFS('In Place Revenue'!$G$2:$G$764,'In Place Revenue'!$B$2:$B$764,$B168,'In Place Revenue'!$D$2:$D$764,L$159)</f>
        <v>0</v>
      </c>
      <c r="M168" s="34">
        <f>SUMIFS('In Place Revenue'!$G$2:$G$764,'In Place Revenue'!$B$2:$B$764,$B168,'In Place Revenue'!$D$2:$D$764,M$159)</f>
        <v>0</v>
      </c>
      <c r="N168" s="34">
        <f>SUMIFS('In Place Revenue'!$G$2:$G$764,'In Place Revenue'!$B$2:$B$764,$B168,'In Place Revenue'!$D$2:$D$764,N$159)</f>
        <v>0</v>
      </c>
      <c r="O168" s="34">
        <f>SUMIFS('In Place Revenue'!$G$2:$G$764,'In Place Revenue'!$B$2:$B$764,$B168,'In Place Revenue'!$D$2:$D$764,O$159)</f>
        <v>0</v>
      </c>
      <c r="P168" s="34">
        <f>SUMIFS('In Place Revenue'!$G$2:$G$764,'In Place Revenue'!$B$2:$B$764,$B168,'In Place Revenue'!$D$2:$D$764,P$159)</f>
        <v>0</v>
      </c>
      <c r="Q168" s="36">
        <f t="shared" si="43"/>
        <v>17893.260000000002</v>
      </c>
    </row>
    <row r="169" spans="2:17" outlineLevel="1" x14ac:dyDescent="0.35">
      <c r="B169" s="523" t="s">
        <v>242</v>
      </c>
      <c r="C169" s="115"/>
      <c r="D169" s="34" t="str">
        <f>IFERROR(VLOOKUP(B169,'In Place Revenue'!$B$2:$H$630,2,FALSE),VLOOKUP(B169,$B$181:$D$196,3,FALSE))</f>
        <v>VACANT</v>
      </c>
      <c r="E169" s="34">
        <f>SUMIFS('In Place Revenue'!$G$2:$G$764,'In Place Revenue'!$B$2:$B$764,$B169,'In Place Revenue'!$D$2:$D$764,E$159)</f>
        <v>0</v>
      </c>
      <c r="F169" s="34">
        <f>SUMIFS('In Place Revenue'!$G$2:$G$764,'In Place Revenue'!$B$2:$B$764,$B169,'In Place Revenue'!$D$2:$D$764,F$159)</f>
        <v>0</v>
      </c>
      <c r="G169" s="34">
        <f>SUMIFS('In Place Revenue'!$G$2:$G$764,'In Place Revenue'!$B$2:$B$764,$B169,'In Place Revenue'!$D$2:$D$764,G$159)</f>
        <v>0</v>
      </c>
      <c r="H169" s="34">
        <f>SUMIFS('In Place Revenue'!$G$2:$G$764,'In Place Revenue'!$B$2:$B$764,$B169,'In Place Revenue'!$D$2:$D$764,H$159)</f>
        <v>0</v>
      </c>
      <c r="I169" s="34">
        <f>SUMIFS('In Place Revenue'!$G$2:$G$764,'In Place Revenue'!$B$2:$B$764,$B169,'In Place Revenue'!$D$2:$D$764,I$159)</f>
        <v>0</v>
      </c>
      <c r="J169" s="34">
        <f>SUMIFS('In Place Revenue'!$G$2:$G$764,'In Place Revenue'!$B$2:$B$764,$B169,'In Place Revenue'!$D$2:$D$764,J$159)</f>
        <v>0</v>
      </c>
      <c r="K169" s="34">
        <f>SUMIFS('In Place Revenue'!$G$2:$G$764,'In Place Revenue'!$B$2:$B$764,$B169,'In Place Revenue'!$D$2:$D$764,K$159)</f>
        <v>0</v>
      </c>
      <c r="L169" s="34">
        <f>SUMIFS('In Place Revenue'!$G$2:$G$764,'In Place Revenue'!$B$2:$B$764,$B169,'In Place Revenue'!$D$2:$D$764,L$159)</f>
        <v>0</v>
      </c>
      <c r="M169" s="34">
        <f>SUMIFS('In Place Revenue'!$G$2:$G$764,'In Place Revenue'!$B$2:$B$764,$B169,'In Place Revenue'!$D$2:$D$764,M$159)</f>
        <v>0</v>
      </c>
      <c r="N169" s="34">
        <f>SUMIFS('In Place Revenue'!$G$2:$G$764,'In Place Revenue'!$B$2:$B$764,$B169,'In Place Revenue'!$D$2:$D$764,N$159)</f>
        <v>0</v>
      </c>
      <c r="O169" s="34">
        <f>SUMIFS('In Place Revenue'!$G$2:$G$764,'In Place Revenue'!$B$2:$B$764,$B169,'In Place Revenue'!$D$2:$D$764,O$159)</f>
        <v>0</v>
      </c>
      <c r="P169" s="34">
        <f>SUMIFS('In Place Revenue'!$G$2:$G$764,'In Place Revenue'!$B$2:$B$764,$B169,'In Place Revenue'!$D$2:$D$764,P$159)</f>
        <v>0</v>
      </c>
      <c r="Q169" s="36">
        <f t="shared" si="42"/>
        <v>0</v>
      </c>
    </row>
    <row r="170" spans="2:17" outlineLevel="1" x14ac:dyDescent="0.35">
      <c r="B170" s="523" t="s">
        <v>174</v>
      </c>
      <c r="C170" s="115"/>
      <c r="D170" s="34" t="str">
        <f>IFERROR(VLOOKUP(B170,'In Place Revenue'!$B$2:$H$630,2,FALSE),VLOOKUP(B170,$B$181:$D$196,3,FALSE))</f>
        <v>First Choice Lending Of NJ</v>
      </c>
      <c r="E170" s="34">
        <f>SUMIFS('In Place Revenue'!$G$2:$G$764,'In Place Revenue'!$B$2:$B$764,$B170,'In Place Revenue'!$D$2:$D$764,E$159)</f>
        <v>1307.83</v>
      </c>
      <c r="F170" s="34">
        <f>SUMIFS('In Place Revenue'!$G$2:$G$764,'In Place Revenue'!$B$2:$B$764,$B170,'In Place Revenue'!$D$2:$D$764,F$159)</f>
        <v>1307.83</v>
      </c>
      <c r="G170" s="34">
        <f>SUMIFS('In Place Revenue'!$G$2:$G$764,'In Place Revenue'!$B$2:$B$764,$B170,'In Place Revenue'!$D$2:$D$764,G$159)</f>
        <v>1307.83</v>
      </c>
      <c r="H170" s="34">
        <f>SUMIFS('In Place Revenue'!$G$2:$G$764,'In Place Revenue'!$B$2:$B$764,$B170,'In Place Revenue'!$D$2:$D$764,H$159)</f>
        <v>1307.83</v>
      </c>
      <c r="I170" s="34">
        <f>SUMIFS('In Place Revenue'!$G$2:$G$764,'In Place Revenue'!$B$2:$B$764,$B170,'In Place Revenue'!$D$2:$D$764,I$159)</f>
        <v>1307.83</v>
      </c>
      <c r="J170" s="34">
        <f>SUMIFS('In Place Revenue'!$G$2:$G$764,'In Place Revenue'!$B$2:$B$764,$B170,'In Place Revenue'!$D$2:$D$764,J$159)</f>
        <v>1307.83</v>
      </c>
      <c r="K170" s="34">
        <f>SUMIFS('In Place Revenue'!$G$2:$G$764,'In Place Revenue'!$B$2:$B$764,$B170,'In Place Revenue'!$D$2:$D$764,K$159)</f>
        <v>1307.83</v>
      </c>
      <c r="L170" s="34">
        <f>SUMIFS('In Place Revenue'!$G$2:$G$764,'In Place Revenue'!$B$2:$B$764,$B170,'In Place Revenue'!$D$2:$D$764,L$159)</f>
        <v>1307.83</v>
      </c>
      <c r="M170" s="34">
        <f>SUMIFS('In Place Revenue'!$G$2:$G$764,'In Place Revenue'!$B$2:$B$764,$B170,'In Place Revenue'!$D$2:$D$764,M$159)</f>
        <v>1307.83</v>
      </c>
      <c r="N170" s="34">
        <f>SUMIFS('In Place Revenue'!$G$2:$G$764,'In Place Revenue'!$B$2:$B$764,$B170,'In Place Revenue'!$D$2:$D$764,N$159)</f>
        <v>1307.83</v>
      </c>
      <c r="O170" s="34">
        <f>SUMIFS('In Place Revenue'!$G$2:$G$764,'In Place Revenue'!$B$2:$B$764,$B170,'In Place Revenue'!$D$2:$D$764,O$159)</f>
        <v>1307.83</v>
      </c>
      <c r="P170" s="34">
        <f>SUMIFS('In Place Revenue'!$G$2:$G$764,'In Place Revenue'!$B$2:$B$764,$B170,'In Place Revenue'!$D$2:$D$764,P$159)</f>
        <v>1307.83</v>
      </c>
      <c r="Q170" s="36">
        <f t="shared" si="42"/>
        <v>15693.96</v>
      </c>
    </row>
    <row r="171" spans="2:17" outlineLevel="1" x14ac:dyDescent="0.35">
      <c r="B171" s="523" t="s">
        <v>331</v>
      </c>
      <c r="C171" s="115"/>
      <c r="D171" s="34" t="str">
        <f>IFERROR(VLOOKUP(B171,'In Place Revenue'!$B$2:$H$630,2,FALSE),VLOOKUP(B171,$B$181:$D$196,3,FALSE))</f>
        <v>Disaster Solutions, Inc.</v>
      </c>
      <c r="E171" s="34">
        <f>SUMIFS('In Place Revenue'!$G$2:$G$764,'In Place Revenue'!$B$2:$B$764,$B171,'In Place Revenue'!$D$2:$D$764,E$159)</f>
        <v>2739.83</v>
      </c>
      <c r="F171" s="34">
        <f>SUMIFS('In Place Revenue'!$G$2:$G$764,'In Place Revenue'!$B$2:$B$764,$B171,'In Place Revenue'!$D$2:$D$764,F$159)</f>
        <v>2739.83</v>
      </c>
      <c r="G171" s="34">
        <f>SUMIFS('In Place Revenue'!$G$2:$G$764,'In Place Revenue'!$B$2:$B$764,$B171,'In Place Revenue'!$D$2:$D$764,G$159)</f>
        <v>2739.83</v>
      </c>
      <c r="H171" s="34">
        <f>SUMIFS('In Place Revenue'!$G$2:$G$764,'In Place Revenue'!$B$2:$B$764,$B171,'In Place Revenue'!$D$2:$D$764,H$159)</f>
        <v>2739.83</v>
      </c>
      <c r="I171" s="34">
        <f>SUMIFS('In Place Revenue'!$G$2:$G$764,'In Place Revenue'!$B$2:$B$764,$B171,'In Place Revenue'!$D$2:$D$764,I$159)</f>
        <v>2739.83</v>
      </c>
      <c r="J171" s="34">
        <f>SUMIFS('In Place Revenue'!$G$2:$G$764,'In Place Revenue'!$B$2:$B$764,$B171,'In Place Revenue'!$D$2:$D$764,J$159)</f>
        <v>2739.83</v>
      </c>
      <c r="K171" s="34">
        <f>SUMIFS('In Place Revenue'!$G$2:$G$764,'In Place Revenue'!$B$2:$B$764,$B171,'In Place Revenue'!$D$2:$D$764,K$159)</f>
        <v>0</v>
      </c>
      <c r="L171" s="34">
        <f>SUMIFS('In Place Revenue'!$G$2:$G$764,'In Place Revenue'!$B$2:$B$764,$B171,'In Place Revenue'!$D$2:$D$764,L$159)</f>
        <v>0</v>
      </c>
      <c r="M171" s="34">
        <f>SUMIFS('In Place Revenue'!$G$2:$G$764,'In Place Revenue'!$B$2:$B$764,$B171,'In Place Revenue'!$D$2:$D$764,M$159)</f>
        <v>0</v>
      </c>
      <c r="N171" s="34">
        <f>SUMIFS('In Place Revenue'!$G$2:$G$764,'In Place Revenue'!$B$2:$B$764,$B171,'In Place Revenue'!$D$2:$D$764,N$159)</f>
        <v>0</v>
      </c>
      <c r="O171" s="34">
        <f>SUMIFS('In Place Revenue'!$G$2:$G$764,'In Place Revenue'!$B$2:$B$764,$B171,'In Place Revenue'!$D$2:$D$764,O$159)</f>
        <v>0</v>
      </c>
      <c r="P171" s="34">
        <f>SUMIFS('In Place Revenue'!$G$2:$G$764,'In Place Revenue'!$B$2:$B$764,$B171,'In Place Revenue'!$D$2:$D$764,P$159)</f>
        <v>0</v>
      </c>
      <c r="Q171" s="36">
        <f t="shared" si="42"/>
        <v>16438.98</v>
      </c>
    </row>
    <row r="172" spans="2:17" outlineLevel="1" x14ac:dyDescent="0.35">
      <c r="B172" s="523" t="s">
        <v>622</v>
      </c>
      <c r="C172" s="115"/>
      <c r="D172" s="34" t="str">
        <f>IFERROR(VLOOKUP(B172,'In Place Revenue'!$B$2:$H$630,2,FALSE),VLOOKUP(B172,$B$181:$D$196,3,FALSE))</f>
        <v>VACANT</v>
      </c>
      <c r="E172" s="34">
        <f>SUMIFS('In Place Revenue'!$G$2:$G$764,'In Place Revenue'!$B$2:$B$764,$B172,'In Place Revenue'!$D$2:$D$764,E$159)</f>
        <v>0</v>
      </c>
      <c r="F172" s="34">
        <f>SUMIFS('In Place Revenue'!$G$2:$G$764,'In Place Revenue'!$B$2:$B$764,$B172,'In Place Revenue'!$D$2:$D$764,F$159)</f>
        <v>0</v>
      </c>
      <c r="G172" s="34">
        <f>SUMIFS('In Place Revenue'!$G$2:$G$764,'In Place Revenue'!$B$2:$B$764,$B172,'In Place Revenue'!$D$2:$D$764,G$159)</f>
        <v>0</v>
      </c>
      <c r="H172" s="34">
        <f>SUMIFS('In Place Revenue'!$G$2:$G$764,'In Place Revenue'!$B$2:$B$764,$B172,'In Place Revenue'!$D$2:$D$764,H$159)</f>
        <v>0</v>
      </c>
      <c r="I172" s="34">
        <f>SUMIFS('In Place Revenue'!$G$2:$G$764,'In Place Revenue'!$B$2:$B$764,$B172,'In Place Revenue'!$D$2:$D$764,I$159)</f>
        <v>0</v>
      </c>
      <c r="J172" s="34">
        <f>SUMIFS('In Place Revenue'!$G$2:$G$764,'In Place Revenue'!$B$2:$B$764,$B172,'In Place Revenue'!$D$2:$D$764,J$159)</f>
        <v>0</v>
      </c>
      <c r="K172" s="34">
        <f>SUMIFS('In Place Revenue'!$G$2:$G$764,'In Place Revenue'!$B$2:$B$764,$B172,'In Place Revenue'!$D$2:$D$764,K$159)</f>
        <v>0</v>
      </c>
      <c r="L172" s="34">
        <f>SUMIFS('In Place Revenue'!$G$2:$G$764,'In Place Revenue'!$B$2:$B$764,$B172,'In Place Revenue'!$D$2:$D$764,L$159)</f>
        <v>0</v>
      </c>
      <c r="M172" s="34">
        <f>SUMIFS('In Place Revenue'!$G$2:$G$764,'In Place Revenue'!$B$2:$B$764,$B172,'In Place Revenue'!$D$2:$D$764,M$159)</f>
        <v>0</v>
      </c>
      <c r="N172" s="34">
        <f>SUMIFS('In Place Revenue'!$G$2:$G$764,'In Place Revenue'!$B$2:$B$764,$B172,'In Place Revenue'!$D$2:$D$764,N$159)</f>
        <v>0</v>
      </c>
      <c r="O172" s="34">
        <f>SUMIFS('In Place Revenue'!$G$2:$G$764,'In Place Revenue'!$B$2:$B$764,$B172,'In Place Revenue'!$D$2:$D$764,O$159)</f>
        <v>0</v>
      </c>
      <c r="P172" s="34">
        <f>SUMIFS('In Place Revenue'!$G$2:$G$764,'In Place Revenue'!$B$2:$B$764,$B172,'In Place Revenue'!$D$2:$D$764,P$159)</f>
        <v>0</v>
      </c>
      <c r="Q172" s="36">
        <f t="shared" si="42"/>
        <v>0</v>
      </c>
    </row>
    <row r="173" spans="2:17" outlineLevel="1" x14ac:dyDescent="0.35">
      <c r="B173" s="523" t="s">
        <v>623</v>
      </c>
      <c r="C173" s="115"/>
      <c r="D173" s="34" t="str">
        <f>IFERROR(VLOOKUP(B173,'In Place Revenue'!$B$2:$H$630,2,FALSE),VLOOKUP(B173,$B$181:$D$196,3,FALSE))</f>
        <v>VACANT</v>
      </c>
      <c r="E173" s="34">
        <f>SUMIFS('In Place Revenue'!$G$2:$G$764,'In Place Revenue'!$B$2:$B$764,$B173,'In Place Revenue'!$D$2:$D$764,E$159)</f>
        <v>0</v>
      </c>
      <c r="F173" s="34">
        <f>SUMIFS('In Place Revenue'!$G$2:$G$764,'In Place Revenue'!$B$2:$B$764,$B173,'In Place Revenue'!$D$2:$D$764,F$159)</f>
        <v>0</v>
      </c>
      <c r="G173" s="34">
        <f>SUMIFS('In Place Revenue'!$G$2:$G$764,'In Place Revenue'!$B$2:$B$764,$B173,'In Place Revenue'!$D$2:$D$764,G$159)</f>
        <v>0</v>
      </c>
      <c r="H173" s="34">
        <f>SUMIFS('In Place Revenue'!$G$2:$G$764,'In Place Revenue'!$B$2:$B$764,$B173,'In Place Revenue'!$D$2:$D$764,H$159)</f>
        <v>0</v>
      </c>
      <c r="I173" s="34">
        <f>SUMIFS('In Place Revenue'!$G$2:$G$764,'In Place Revenue'!$B$2:$B$764,$B173,'In Place Revenue'!$D$2:$D$764,I$159)</f>
        <v>0</v>
      </c>
      <c r="J173" s="34">
        <f>SUMIFS('In Place Revenue'!$G$2:$G$764,'In Place Revenue'!$B$2:$B$764,$B173,'In Place Revenue'!$D$2:$D$764,J$159)</f>
        <v>0</v>
      </c>
      <c r="K173" s="34">
        <f>SUMIFS('In Place Revenue'!$G$2:$G$764,'In Place Revenue'!$B$2:$B$764,$B173,'In Place Revenue'!$D$2:$D$764,K$159)</f>
        <v>0</v>
      </c>
      <c r="L173" s="34">
        <f>SUMIFS('In Place Revenue'!$G$2:$G$764,'In Place Revenue'!$B$2:$B$764,$B173,'In Place Revenue'!$D$2:$D$764,L$159)</f>
        <v>0</v>
      </c>
      <c r="M173" s="34">
        <f>SUMIFS('In Place Revenue'!$G$2:$G$764,'In Place Revenue'!$B$2:$B$764,$B173,'In Place Revenue'!$D$2:$D$764,M$159)</f>
        <v>0</v>
      </c>
      <c r="N173" s="34">
        <f>SUMIFS('In Place Revenue'!$G$2:$G$764,'In Place Revenue'!$B$2:$B$764,$B173,'In Place Revenue'!$D$2:$D$764,N$159)</f>
        <v>0</v>
      </c>
      <c r="O173" s="34">
        <f>SUMIFS('In Place Revenue'!$G$2:$G$764,'In Place Revenue'!$B$2:$B$764,$B173,'In Place Revenue'!$D$2:$D$764,O$159)</f>
        <v>0</v>
      </c>
      <c r="P173" s="34">
        <f>SUMIFS('In Place Revenue'!$G$2:$G$764,'In Place Revenue'!$B$2:$B$764,$B173,'In Place Revenue'!$D$2:$D$764,P$159)</f>
        <v>0</v>
      </c>
      <c r="Q173" s="36">
        <f t="shared" si="42"/>
        <v>0</v>
      </c>
    </row>
    <row r="174" spans="2:17" outlineLevel="1" x14ac:dyDescent="0.35">
      <c r="B174" s="523" t="s">
        <v>276</v>
      </c>
      <c r="C174" s="115"/>
      <c r="D174" s="34" t="str">
        <f>IFERROR(VLOOKUP(B174,'In Place Revenue'!$B$2:$H$630,2,FALSE),VLOOKUP(B174,$B$181:$D$196,3,FALSE))</f>
        <v>Larry H. Lefkowitz, Esquire</v>
      </c>
      <c r="E174" s="34">
        <f>SUMIFS('In Place Revenue'!$G$2:$G$764,'In Place Revenue'!$B$2:$B$764,$B174,'In Place Revenue'!$D$2:$D$764,E$159)</f>
        <v>734.5</v>
      </c>
      <c r="F174" s="34">
        <f>SUMIFS('In Place Revenue'!$G$2:$G$764,'In Place Revenue'!$B$2:$B$764,$B174,'In Place Revenue'!$D$2:$D$764,F$159)</f>
        <v>734.5</v>
      </c>
      <c r="G174" s="34">
        <f>SUMIFS('In Place Revenue'!$G$2:$G$764,'In Place Revenue'!$B$2:$B$764,$B174,'In Place Revenue'!$D$2:$D$764,G$159)</f>
        <v>734.5</v>
      </c>
      <c r="H174" s="34">
        <f>SUMIFS('In Place Revenue'!$G$2:$G$764,'In Place Revenue'!$B$2:$B$764,$B174,'In Place Revenue'!$D$2:$D$764,H$159)</f>
        <v>734.5</v>
      </c>
      <c r="I174" s="34">
        <f>SUMIFS('In Place Revenue'!$G$2:$G$764,'In Place Revenue'!$B$2:$B$764,$B174,'In Place Revenue'!$D$2:$D$764,I$159)</f>
        <v>734.5</v>
      </c>
      <c r="J174" s="34">
        <f>SUMIFS('In Place Revenue'!$G$2:$G$764,'In Place Revenue'!$B$2:$B$764,$B174,'In Place Revenue'!$D$2:$D$764,J$159)</f>
        <v>734.5</v>
      </c>
      <c r="K174" s="34">
        <f>SUMIFS('In Place Revenue'!$G$2:$G$764,'In Place Revenue'!$B$2:$B$764,$B174,'In Place Revenue'!$D$2:$D$764,K$159)</f>
        <v>734.5</v>
      </c>
      <c r="L174" s="34">
        <f>SUMIFS('In Place Revenue'!$G$2:$G$764,'In Place Revenue'!$B$2:$B$764,$B174,'In Place Revenue'!$D$2:$D$764,L$159)</f>
        <v>734.5</v>
      </c>
      <c r="M174" s="34">
        <f>SUMIFS('In Place Revenue'!$G$2:$G$764,'In Place Revenue'!$B$2:$B$764,$B174,'In Place Revenue'!$D$2:$D$764,M$159)</f>
        <v>734.5</v>
      </c>
      <c r="N174" s="34">
        <f>SUMIFS('In Place Revenue'!$G$2:$G$764,'In Place Revenue'!$B$2:$B$764,$B174,'In Place Revenue'!$D$2:$D$764,N$159)</f>
        <v>734.5</v>
      </c>
      <c r="O174" s="34">
        <f>SUMIFS('In Place Revenue'!$G$2:$G$764,'In Place Revenue'!$B$2:$B$764,$B174,'In Place Revenue'!$D$2:$D$764,O$159)</f>
        <v>734.5</v>
      </c>
      <c r="P174" s="34">
        <f>SUMIFS('In Place Revenue'!$G$2:$G$764,'In Place Revenue'!$B$2:$B$764,$B174,'In Place Revenue'!$D$2:$D$764,P$159)</f>
        <v>734.5</v>
      </c>
      <c r="Q174" s="36">
        <f t="shared" si="42"/>
        <v>8814</v>
      </c>
    </row>
    <row r="175" spans="2:17" outlineLevel="1" x14ac:dyDescent="0.35">
      <c r="B175" s="524" t="s">
        <v>243</v>
      </c>
      <c r="C175" s="116"/>
      <c r="D175" s="43" t="str">
        <f>IFERROR(VLOOKUP(B175,'In Place Revenue'!$B$2:$H$630,2,FALSE),VLOOKUP(B175,$B$181:$D$196,3,FALSE))</f>
        <v>Fenningham Stevens Dempster &amp;</v>
      </c>
      <c r="E175" s="43">
        <f>SUMIFS('In Place Revenue'!$G$2:$G$764,'In Place Revenue'!$B$2:$B$764,$B175,'In Place Revenue'!$D$2:$D$764,E$159)</f>
        <v>8815.25</v>
      </c>
      <c r="F175" s="43">
        <f>SUMIFS('In Place Revenue'!$G$2:$G$764,'In Place Revenue'!$B$2:$B$764,$B175,'In Place Revenue'!$D$2:$D$764,F$159)</f>
        <v>8815.25</v>
      </c>
      <c r="G175" s="43">
        <f>SUMIFS('In Place Revenue'!$G$2:$G$764,'In Place Revenue'!$B$2:$B$764,$B175,'In Place Revenue'!$D$2:$D$764,G$159)</f>
        <v>8815.25</v>
      </c>
      <c r="H175" s="43">
        <f>SUMIFS('In Place Revenue'!$G$2:$G$764,'In Place Revenue'!$B$2:$B$764,$B175,'In Place Revenue'!$D$2:$D$764,H$159)</f>
        <v>8815.25</v>
      </c>
      <c r="I175" s="43">
        <f>SUMIFS('In Place Revenue'!$G$2:$G$764,'In Place Revenue'!$B$2:$B$764,$B175,'In Place Revenue'!$D$2:$D$764,I$159)</f>
        <v>8815.25</v>
      </c>
      <c r="J175" s="43">
        <f>SUMIFS('In Place Revenue'!$G$2:$G$764,'In Place Revenue'!$B$2:$B$764,$B175,'In Place Revenue'!$D$2:$D$764,J$159)</f>
        <v>8815.25</v>
      </c>
      <c r="K175" s="43">
        <f>SUMIFS('In Place Revenue'!$G$2:$G$764,'In Place Revenue'!$B$2:$B$764,$B175,'In Place Revenue'!$D$2:$D$764,K$159)</f>
        <v>8815.25</v>
      </c>
      <c r="L175" s="43">
        <f>SUMIFS('In Place Revenue'!$G$2:$G$764,'In Place Revenue'!$B$2:$B$764,$B175,'In Place Revenue'!$D$2:$D$764,L$159)</f>
        <v>8815.25</v>
      </c>
      <c r="M175" s="43">
        <f>SUMIFS('In Place Revenue'!$G$2:$G$764,'In Place Revenue'!$B$2:$B$764,$B175,'In Place Revenue'!$D$2:$D$764,M$159)</f>
        <v>8815.25</v>
      </c>
      <c r="N175" s="43">
        <f>SUMIFS('In Place Revenue'!$G$2:$G$764,'In Place Revenue'!$B$2:$B$764,$B175,'In Place Revenue'!$D$2:$D$764,N$159)</f>
        <v>0</v>
      </c>
      <c r="O175" s="43">
        <f>SUMIFS('In Place Revenue'!$G$2:$G$764,'In Place Revenue'!$B$2:$B$764,$B175,'In Place Revenue'!$D$2:$D$764,O$159)</f>
        <v>0</v>
      </c>
      <c r="P175" s="43">
        <f>SUMIFS('In Place Revenue'!$G$2:$G$764,'In Place Revenue'!$B$2:$B$764,$B175,'In Place Revenue'!$D$2:$D$764,P$159)</f>
        <v>0</v>
      </c>
      <c r="Q175" s="87">
        <f t="shared" si="42"/>
        <v>79337.25</v>
      </c>
    </row>
    <row r="176" spans="2:17" outlineLevel="1" x14ac:dyDescent="0.35">
      <c r="B176" s="10"/>
      <c r="D176" s="44" t="s">
        <v>12</v>
      </c>
      <c r="E176" s="36">
        <f t="shared" ref="E176:Q176" si="44">SUM(E160:E175)</f>
        <v>43151.750000000007</v>
      </c>
      <c r="F176" s="36">
        <f t="shared" si="44"/>
        <v>43151.750000000007</v>
      </c>
      <c r="G176" s="36">
        <f t="shared" si="44"/>
        <v>43151.750000000007</v>
      </c>
      <c r="H176" s="36">
        <f t="shared" si="44"/>
        <v>37187.33</v>
      </c>
      <c r="I176" s="36">
        <f t="shared" si="44"/>
        <v>37187.33</v>
      </c>
      <c r="J176" s="36">
        <f t="shared" si="44"/>
        <v>37187.33</v>
      </c>
      <c r="K176" s="36">
        <f t="shared" si="44"/>
        <v>19840.96</v>
      </c>
      <c r="L176" s="36">
        <f t="shared" si="44"/>
        <v>19840.96</v>
      </c>
      <c r="M176" s="36">
        <f t="shared" si="44"/>
        <v>19840.96</v>
      </c>
      <c r="N176" s="36">
        <f t="shared" si="44"/>
        <v>11025.710000000001</v>
      </c>
      <c r="O176" s="36">
        <f t="shared" si="44"/>
        <v>7562.42</v>
      </c>
      <c r="P176" s="36">
        <f t="shared" si="44"/>
        <v>7562.42</v>
      </c>
      <c r="Q176" s="36">
        <f t="shared" si="44"/>
        <v>326690.67000000004</v>
      </c>
    </row>
    <row r="177" spans="2:21" outlineLevel="1" x14ac:dyDescent="0.35">
      <c r="B177" s="10"/>
      <c r="E177" s="95">
        <f>E10-E176</f>
        <v>0</v>
      </c>
      <c r="F177" s="95">
        <f t="shared" ref="F177:Q177" si="45">F10-F176</f>
        <v>0</v>
      </c>
      <c r="G177" s="95">
        <f t="shared" si="45"/>
        <v>0</v>
      </c>
      <c r="H177" s="95">
        <f t="shared" si="45"/>
        <v>0</v>
      </c>
      <c r="I177" s="95">
        <f t="shared" si="45"/>
        <v>0</v>
      </c>
      <c r="J177" s="95">
        <f t="shared" si="45"/>
        <v>0</v>
      </c>
      <c r="K177" s="95">
        <f t="shared" si="45"/>
        <v>0</v>
      </c>
      <c r="L177" s="95">
        <f t="shared" si="45"/>
        <v>0</v>
      </c>
      <c r="M177" s="95">
        <f t="shared" si="45"/>
        <v>0</v>
      </c>
      <c r="N177" s="95">
        <f t="shared" si="45"/>
        <v>0</v>
      </c>
      <c r="O177" s="95">
        <f t="shared" si="45"/>
        <v>0</v>
      </c>
      <c r="P177" s="95">
        <f t="shared" si="45"/>
        <v>0</v>
      </c>
      <c r="Q177" s="95">
        <f t="shared" si="45"/>
        <v>0</v>
      </c>
    </row>
    <row r="178" spans="2:21" x14ac:dyDescent="0.35">
      <c r="B178" s="10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</row>
    <row r="179" spans="2:21" ht="17.5" x14ac:dyDescent="0.35">
      <c r="B179" s="37" t="s">
        <v>164</v>
      </c>
      <c r="E179" s="517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T179" s="34"/>
      <c r="U179" s="34"/>
    </row>
    <row r="180" spans="2:21" outlineLevel="1" x14ac:dyDescent="0.35">
      <c r="B180" s="43" t="s">
        <v>619</v>
      </c>
      <c r="C180" s="43"/>
      <c r="D180" s="43" t="s">
        <v>424</v>
      </c>
      <c r="E180" s="519">
        <f>E159</f>
        <v>46023</v>
      </c>
      <c r="F180" s="519">
        <f t="shared" ref="F180:P180" si="46">F159</f>
        <v>46054</v>
      </c>
      <c r="G180" s="519">
        <f t="shared" si="46"/>
        <v>46082</v>
      </c>
      <c r="H180" s="519">
        <f t="shared" si="46"/>
        <v>46113</v>
      </c>
      <c r="I180" s="519">
        <f t="shared" si="46"/>
        <v>46143</v>
      </c>
      <c r="J180" s="519">
        <f t="shared" si="46"/>
        <v>46174</v>
      </c>
      <c r="K180" s="519">
        <f t="shared" si="46"/>
        <v>46204</v>
      </c>
      <c r="L180" s="519">
        <f t="shared" si="46"/>
        <v>46235</v>
      </c>
      <c r="M180" s="519">
        <f t="shared" si="46"/>
        <v>46266</v>
      </c>
      <c r="N180" s="519">
        <f t="shared" si="46"/>
        <v>46296</v>
      </c>
      <c r="O180" s="519">
        <f t="shared" si="46"/>
        <v>46327</v>
      </c>
      <c r="P180" s="519">
        <f t="shared" si="46"/>
        <v>46357</v>
      </c>
      <c r="Q180" s="481" t="s">
        <v>12</v>
      </c>
      <c r="T180" s="34"/>
      <c r="U180" s="34"/>
    </row>
    <row r="181" spans="2:21" outlineLevel="1" x14ac:dyDescent="0.35">
      <c r="B181" s="525" t="str">
        <f t="shared" ref="B181:B187" si="47">B160</f>
        <v>4050-101</v>
      </c>
      <c r="D181" s="34" t="str">
        <f>IFERROR(VLOOKUP(B181,'Renew &amp; Vac'!$A$9:$B$23,2,FALSE),IFERROR(VLOOKUP(B181,'Renew &amp; Vac'!$L$9:$M$23,2,FALSE),VLOOKUP(B181,$B$160:$D$175,3,FALSE)))</f>
        <v>VACANT</v>
      </c>
      <c r="E181" s="34">
        <f>SUMIFS('Renew &amp; Vac'!$S$9:$S$23,'Renew &amp; Vac'!$L$9:$L$23,$B181,'Renew &amp; Vac'!$O$9:$O$23,"&lt;="&amp;E$180,'Renew &amp; Vac'!$P$9:$P$23,"&gt;="&amp;E$180)+SUMIFS('Renew &amp; Vac'!$H$9:$H$23,'Renew &amp; Vac'!$A$9:$A$23,'4050'!$B181,'Renew &amp; Vac'!$D$9:$D$23,"&lt;="&amp;E$180,'Renew &amp; Vac'!$E$9:$E$23,"&gt;="&amp;E180)</f>
        <v>0</v>
      </c>
      <c r="F181" s="34">
        <f>SUMIFS('Renew &amp; Vac'!$S$9:$S$23,'Renew &amp; Vac'!$L$9:$L$23,$B181,'Renew &amp; Vac'!$O$9:$O$23,"&lt;="&amp;F$180,'Renew &amp; Vac'!$P$9:$P$23,"&gt;="&amp;F$180)+SUMIFS('Renew &amp; Vac'!$H$9:$H$23,'Renew &amp; Vac'!$A$9:$A$23,'4050'!$B181,'Renew &amp; Vac'!$D$9:$D$23,"&lt;="&amp;F$180,'Renew &amp; Vac'!$E$9:$E$23,"&gt;="&amp;F180)</f>
        <v>0</v>
      </c>
      <c r="G181" s="34">
        <f>SUMIFS('Renew &amp; Vac'!$S$9:$S$23,'Renew &amp; Vac'!$L$9:$L$23,$B181,'Renew &amp; Vac'!$O$9:$O$23,"&lt;="&amp;G$180,'Renew &amp; Vac'!$P$9:$P$23,"&gt;="&amp;G$180)+SUMIFS('Renew &amp; Vac'!$H$9:$H$23,'Renew &amp; Vac'!$A$9:$A$23,'4050'!$B181,'Renew &amp; Vac'!$D$9:$D$23,"&lt;="&amp;G$180,'Renew &amp; Vac'!$E$9:$E$23,"&gt;="&amp;G180)</f>
        <v>0</v>
      </c>
      <c r="H181" s="34">
        <f>SUMIFS('Renew &amp; Vac'!$S$9:$S$23,'Renew &amp; Vac'!$L$9:$L$23,$B181,'Renew &amp; Vac'!$O$9:$O$23,"&lt;="&amp;H$180,'Renew &amp; Vac'!$P$9:$P$23,"&gt;="&amp;H$180)+SUMIFS('Renew &amp; Vac'!$H$9:$H$23,'Renew &amp; Vac'!$A$9:$A$23,'4050'!$B181,'Renew &amp; Vac'!$D$9:$D$23,"&lt;="&amp;H$180,'Renew &amp; Vac'!$E$9:$E$23,"&gt;="&amp;H180)</f>
        <v>0</v>
      </c>
      <c r="I181" s="34">
        <f>SUMIFS('Renew &amp; Vac'!$S$9:$S$23,'Renew &amp; Vac'!$L$9:$L$23,$B181,'Renew &amp; Vac'!$O$9:$O$23,"&lt;="&amp;I$180,'Renew &amp; Vac'!$P$9:$P$23,"&gt;="&amp;I$180)+SUMIFS('Renew &amp; Vac'!$H$9:$H$23,'Renew &amp; Vac'!$A$9:$A$23,'4050'!$B181,'Renew &amp; Vac'!$D$9:$D$23,"&lt;="&amp;I$180,'Renew &amp; Vac'!$E$9:$E$23,"&gt;="&amp;I180)</f>
        <v>0</v>
      </c>
      <c r="J181" s="34">
        <f>SUMIFS('Renew &amp; Vac'!$S$9:$S$23,'Renew &amp; Vac'!$L$9:$L$23,$B181,'Renew &amp; Vac'!$O$9:$O$23,"&lt;="&amp;J$180,'Renew &amp; Vac'!$P$9:$P$23,"&gt;="&amp;J$180)+SUMIFS('Renew &amp; Vac'!$H$9:$H$23,'Renew &amp; Vac'!$A$9:$A$23,'4050'!$B181,'Renew &amp; Vac'!$D$9:$D$23,"&lt;="&amp;J$180,'Renew &amp; Vac'!$E$9:$E$23,"&gt;="&amp;J180)</f>
        <v>0</v>
      </c>
      <c r="K181" s="34">
        <f>SUMIFS('Renew &amp; Vac'!$S$9:$S$23,'Renew &amp; Vac'!$L$9:$L$23,$B181,'Renew &amp; Vac'!$O$9:$O$23,"&lt;="&amp;K$180,'Renew &amp; Vac'!$P$9:$P$23,"&gt;="&amp;K$180)+SUMIFS('Renew &amp; Vac'!$H$9:$H$23,'Renew &amp; Vac'!$A$9:$A$23,'4050'!$B181,'Renew &amp; Vac'!$D$9:$D$23,"&lt;="&amp;K$180,'Renew &amp; Vac'!$E$9:$E$23,"&gt;="&amp;K180)</f>
        <v>0</v>
      </c>
      <c r="L181" s="34">
        <f>SUMIFS('Renew &amp; Vac'!$S$9:$S$23,'Renew &amp; Vac'!$L$9:$L$23,$B181,'Renew &amp; Vac'!$O$9:$O$23,"&lt;="&amp;L$180,'Renew &amp; Vac'!$P$9:$P$23,"&gt;="&amp;L$180)+SUMIFS('Renew &amp; Vac'!$H$9:$H$23,'Renew &amp; Vac'!$A$9:$A$23,'4050'!$B181,'Renew &amp; Vac'!$D$9:$D$23,"&lt;="&amp;L$180,'Renew &amp; Vac'!$E$9:$E$23,"&gt;="&amp;L180)</f>
        <v>0</v>
      </c>
      <c r="M181" s="34">
        <f>SUMIFS('Renew &amp; Vac'!$S$9:$S$23,'Renew &amp; Vac'!$L$9:$L$23,$B181,'Renew &amp; Vac'!$O$9:$O$23,"&lt;="&amp;M$180,'Renew &amp; Vac'!$P$9:$P$23,"&gt;="&amp;M$180)+SUMIFS('Renew &amp; Vac'!$H$9:$H$23,'Renew &amp; Vac'!$A$9:$A$23,'4050'!$B181,'Renew &amp; Vac'!$D$9:$D$23,"&lt;="&amp;M$180,'Renew &amp; Vac'!$E$9:$E$23,"&gt;="&amp;M180)</f>
        <v>0</v>
      </c>
      <c r="N181" s="34">
        <f>SUMIFS('Renew &amp; Vac'!$S$9:$S$23,'Renew &amp; Vac'!$L$9:$L$23,$B181,'Renew &amp; Vac'!$O$9:$O$23,"&lt;="&amp;N$180,'Renew &amp; Vac'!$P$9:$P$23,"&gt;="&amp;N$180)+SUMIFS('Renew &amp; Vac'!$H$9:$H$23,'Renew &amp; Vac'!$A$9:$A$23,'4050'!$B181,'Renew &amp; Vac'!$D$9:$D$23,"&lt;="&amp;N$180,'Renew &amp; Vac'!$E$9:$E$23,"&gt;="&amp;N180)</f>
        <v>0</v>
      </c>
      <c r="O181" s="34">
        <f>SUMIFS('Renew &amp; Vac'!$S$9:$S$23,'Renew &amp; Vac'!$L$9:$L$23,$B181,'Renew &amp; Vac'!$O$9:$O$23,"&lt;="&amp;O$180,'Renew &amp; Vac'!$P$9:$P$23,"&gt;="&amp;O$180)+SUMIFS('Renew &amp; Vac'!$H$9:$H$23,'Renew &amp; Vac'!$A$9:$A$23,'4050'!$B181,'Renew &amp; Vac'!$D$9:$D$23,"&lt;="&amp;O$180,'Renew &amp; Vac'!$E$9:$E$23,"&gt;="&amp;O180)</f>
        <v>0</v>
      </c>
      <c r="P181" s="34">
        <f>SUMIFS('Renew &amp; Vac'!$S$9:$S$23,'Renew &amp; Vac'!$L$9:$L$23,$B181,'Renew &amp; Vac'!$O$9:$O$23,"&lt;="&amp;P$180,'Renew &amp; Vac'!$P$9:$P$23,"&gt;="&amp;P$180)+SUMIFS('Renew &amp; Vac'!$H$9:$H$23,'Renew &amp; Vac'!$A$9:$A$23,'4050'!$B181,'Renew &amp; Vac'!$D$9:$D$23,"&lt;="&amp;P$180,'Renew &amp; Vac'!$E$9:$E$23,"&gt;="&amp;P180)</f>
        <v>0</v>
      </c>
      <c r="Q181" s="36">
        <f>SUM(E181:P181)</f>
        <v>0</v>
      </c>
      <c r="T181" s="34"/>
      <c r="U181" s="34"/>
    </row>
    <row r="182" spans="2:21" outlineLevel="1" x14ac:dyDescent="0.35">
      <c r="B182" s="127" t="str">
        <f t="shared" si="47"/>
        <v>4050-113</v>
      </c>
      <c r="D182" s="34" t="str">
        <f>IFERROR(VLOOKUP(B182,'Renew &amp; Vac'!$A$9:$B$23,2,FALSE),IFERROR(VLOOKUP(B182,'Renew &amp; Vac'!$L$9:$M$23,2,FALSE),VLOOKUP(B182,$B$160:$D$175,3,FALSE)))</f>
        <v>American Bread Company LLC</v>
      </c>
      <c r="E182" s="34">
        <f>SUMIFS('Renew &amp; Vac'!$S$9:$S$23,'Renew &amp; Vac'!$L$9:$L$23,$B182,'Renew &amp; Vac'!$O$9:$O$23,"&lt;="&amp;E$180,'Renew &amp; Vac'!$P$9:$P$23,"&gt;="&amp;E$180)+SUMIFS('Renew &amp; Vac'!$H$9:$H$23,'Renew &amp; Vac'!$A$9:$A$23,'4050'!$B182,'Renew &amp; Vac'!$D$9:$D$23,"&lt;="&amp;E$180,'Renew &amp; Vac'!$E$9:$E$23,"&gt;="&amp;E181)</f>
        <v>0</v>
      </c>
      <c r="F182" s="34">
        <f>SUMIFS('Renew &amp; Vac'!$S$9:$S$23,'Renew &amp; Vac'!$L$9:$L$23,$B182,'Renew &amp; Vac'!$O$9:$O$23,"&lt;="&amp;F$180,'Renew &amp; Vac'!$P$9:$P$23,"&gt;="&amp;F$180)+SUMIFS('Renew &amp; Vac'!$H$9:$H$23,'Renew &amp; Vac'!$A$9:$A$23,'4050'!$B182,'Renew &amp; Vac'!$D$9:$D$23,"&lt;="&amp;F$180,'Renew &amp; Vac'!$E$9:$E$23,"&gt;="&amp;F181)</f>
        <v>0</v>
      </c>
      <c r="G182" s="34">
        <f>SUMIFS('Renew &amp; Vac'!$S$9:$S$23,'Renew &amp; Vac'!$L$9:$L$23,$B182,'Renew &amp; Vac'!$O$9:$O$23,"&lt;="&amp;G$180,'Renew &amp; Vac'!$P$9:$P$23,"&gt;="&amp;G$180)+SUMIFS('Renew &amp; Vac'!$H$9:$H$23,'Renew &amp; Vac'!$A$9:$A$23,'4050'!$B182,'Renew &amp; Vac'!$D$9:$D$23,"&lt;="&amp;G$180,'Renew &amp; Vac'!$E$9:$E$23,"&gt;="&amp;G181)</f>
        <v>0</v>
      </c>
      <c r="H182" s="34">
        <f>SUMIFS('Renew &amp; Vac'!$S$9:$S$23,'Renew &amp; Vac'!$L$9:$L$23,$B182,'Renew &amp; Vac'!$O$9:$O$23,"&lt;="&amp;H$180,'Renew &amp; Vac'!$P$9:$P$23,"&gt;="&amp;H$180)+SUMIFS('Renew &amp; Vac'!$H$9:$H$23,'Renew &amp; Vac'!$A$9:$A$23,'4050'!$B182,'Renew &amp; Vac'!$D$9:$D$23,"&lt;="&amp;H$180,'Renew &amp; Vac'!$E$9:$E$23,"&gt;="&amp;H181)</f>
        <v>0</v>
      </c>
      <c r="I182" s="34">
        <f>SUMIFS('Renew &amp; Vac'!$S$9:$S$23,'Renew &amp; Vac'!$L$9:$L$23,$B182,'Renew &amp; Vac'!$O$9:$O$23,"&lt;="&amp;I$180,'Renew &amp; Vac'!$P$9:$P$23,"&gt;="&amp;I$180)+SUMIFS('Renew &amp; Vac'!$H$9:$H$23,'Renew &amp; Vac'!$A$9:$A$23,'4050'!$B182,'Renew &amp; Vac'!$D$9:$D$23,"&lt;="&amp;I$180,'Renew &amp; Vac'!$E$9:$E$23,"&gt;="&amp;I181)</f>
        <v>0</v>
      </c>
      <c r="J182" s="34">
        <f>SUMIFS('Renew &amp; Vac'!$S$9:$S$23,'Renew &amp; Vac'!$L$9:$L$23,$B182,'Renew &amp; Vac'!$O$9:$O$23,"&lt;="&amp;J$180,'Renew &amp; Vac'!$P$9:$P$23,"&gt;="&amp;J$180)+SUMIFS('Renew &amp; Vac'!$H$9:$H$23,'Renew &amp; Vac'!$A$9:$A$23,'4050'!$B182,'Renew &amp; Vac'!$D$9:$D$23,"&lt;="&amp;J$180,'Renew &amp; Vac'!$E$9:$E$23,"&gt;="&amp;J181)</f>
        <v>0</v>
      </c>
      <c r="K182" s="34">
        <f>SUMIFS('Renew &amp; Vac'!$S$9:$S$23,'Renew &amp; Vac'!$L$9:$L$23,$B182,'Renew &amp; Vac'!$O$9:$O$23,"&lt;="&amp;K$180,'Renew &amp; Vac'!$P$9:$P$23,"&gt;="&amp;K$180)+SUMIFS('Renew &amp; Vac'!$H$9:$H$23,'Renew &amp; Vac'!$A$9:$A$23,'4050'!$B182,'Renew &amp; Vac'!$D$9:$D$23,"&lt;="&amp;K$180,'Renew &amp; Vac'!$E$9:$E$23,"&gt;="&amp;K181)</f>
        <v>0</v>
      </c>
      <c r="L182" s="34">
        <f>SUMIFS('Renew &amp; Vac'!$S$9:$S$23,'Renew &amp; Vac'!$L$9:$L$23,$B182,'Renew &amp; Vac'!$O$9:$O$23,"&lt;="&amp;L$180,'Renew &amp; Vac'!$P$9:$P$23,"&gt;="&amp;L$180)+SUMIFS('Renew &amp; Vac'!$H$9:$H$23,'Renew &amp; Vac'!$A$9:$A$23,'4050'!$B182,'Renew &amp; Vac'!$D$9:$D$23,"&lt;="&amp;L$180,'Renew &amp; Vac'!$E$9:$E$23,"&gt;="&amp;L181)</f>
        <v>0</v>
      </c>
      <c r="M182" s="34">
        <f>SUMIFS('Renew &amp; Vac'!$S$9:$S$23,'Renew &amp; Vac'!$L$9:$L$23,$B182,'Renew &amp; Vac'!$O$9:$O$23,"&lt;="&amp;M$180,'Renew &amp; Vac'!$P$9:$P$23,"&gt;="&amp;M$180)+SUMIFS('Renew &amp; Vac'!$H$9:$H$23,'Renew &amp; Vac'!$A$9:$A$23,'4050'!$B182,'Renew &amp; Vac'!$D$9:$D$23,"&lt;="&amp;M$180,'Renew &amp; Vac'!$E$9:$E$23,"&gt;="&amp;M181)</f>
        <v>0</v>
      </c>
      <c r="N182" s="34">
        <f>SUMIFS('Renew &amp; Vac'!$S$9:$S$23,'Renew &amp; Vac'!$L$9:$L$23,$B182,'Renew &amp; Vac'!$O$9:$O$23,"&lt;="&amp;N$180,'Renew &amp; Vac'!$P$9:$P$23,"&gt;="&amp;N$180)+SUMIFS('Renew &amp; Vac'!$H$9:$H$23,'Renew &amp; Vac'!$A$9:$A$23,'4050'!$B182,'Renew &amp; Vac'!$D$9:$D$23,"&lt;="&amp;N$180,'Renew &amp; Vac'!$E$9:$E$23,"&gt;="&amp;N181)</f>
        <v>0</v>
      </c>
      <c r="O182" s="34">
        <f>SUMIFS('Renew &amp; Vac'!$S$9:$S$23,'Renew &amp; Vac'!$L$9:$L$23,$B182,'Renew &amp; Vac'!$O$9:$O$23,"&lt;="&amp;O$180,'Renew &amp; Vac'!$P$9:$P$23,"&gt;="&amp;O$180)+SUMIFS('Renew &amp; Vac'!$H$9:$H$23,'Renew &amp; Vac'!$A$9:$A$23,'4050'!$B182,'Renew &amp; Vac'!$D$9:$D$23,"&lt;="&amp;O$180,'Renew &amp; Vac'!$E$9:$E$23,"&gt;="&amp;O181)</f>
        <v>0</v>
      </c>
      <c r="P182" s="34">
        <f>SUMIFS('Renew &amp; Vac'!$S$9:$S$23,'Renew &amp; Vac'!$L$9:$L$23,$B182,'Renew &amp; Vac'!$O$9:$O$23,"&lt;="&amp;P$180,'Renew &amp; Vac'!$P$9:$P$23,"&gt;="&amp;P$180)+SUMIFS('Renew &amp; Vac'!$H$9:$H$23,'Renew &amp; Vac'!$A$9:$A$23,'4050'!$B182,'Renew &amp; Vac'!$D$9:$D$23,"&lt;="&amp;P$180,'Renew &amp; Vac'!$E$9:$E$23,"&gt;="&amp;P181)</f>
        <v>0</v>
      </c>
      <c r="Q182" s="36">
        <f t="shared" ref="Q182:Q196" si="48">SUM(E182:P182)</f>
        <v>0</v>
      </c>
    </row>
    <row r="183" spans="2:21" outlineLevel="1" x14ac:dyDescent="0.35">
      <c r="B183" s="127" t="str">
        <f t="shared" si="47"/>
        <v>4050-115</v>
      </c>
      <c r="D183" s="34" t="str">
        <f>IFERROR(VLOOKUP(B183,'Renew &amp; Vac'!$A$9:$B$23,2,FALSE),IFERROR(VLOOKUP(B183,'Renew &amp; Vac'!$L$9:$M$23,2,FALSE),VLOOKUP(B183,$B$160:$D$175,3,FALSE)))</f>
        <v>SKH Abstract Agency Inc.</v>
      </c>
      <c r="E183" s="34">
        <f>SUMIFS('Renew &amp; Vac'!$S$9:$S$23,'Renew &amp; Vac'!$L$9:$L$23,$B183,'Renew &amp; Vac'!$O$9:$O$23,"&lt;="&amp;E$180,'Renew &amp; Vac'!$P$9:$P$23,"&gt;="&amp;E$180)+SUMIFS('Renew &amp; Vac'!$H$9:$H$23,'Renew &amp; Vac'!$A$9:$A$23,'4050'!$B183,'Renew &amp; Vac'!$D$9:$D$23,"&lt;="&amp;E$180,'Renew &amp; Vac'!$E$9:$E$23,"&gt;="&amp;E182)</f>
        <v>0</v>
      </c>
      <c r="F183" s="34">
        <f>SUMIFS('Renew &amp; Vac'!$S$9:$S$23,'Renew &amp; Vac'!$L$9:$L$23,$B183,'Renew &amp; Vac'!$O$9:$O$23,"&lt;="&amp;F$180,'Renew &amp; Vac'!$P$9:$P$23,"&gt;="&amp;F$180)+SUMIFS('Renew &amp; Vac'!$H$9:$H$23,'Renew &amp; Vac'!$A$9:$A$23,'4050'!$B183,'Renew &amp; Vac'!$D$9:$D$23,"&lt;="&amp;F$180,'Renew &amp; Vac'!$E$9:$E$23,"&gt;="&amp;F182)</f>
        <v>0</v>
      </c>
      <c r="G183" s="34">
        <f>SUMIFS('Renew &amp; Vac'!$S$9:$S$23,'Renew &amp; Vac'!$L$9:$L$23,$B183,'Renew &amp; Vac'!$O$9:$O$23,"&lt;="&amp;G$180,'Renew &amp; Vac'!$P$9:$P$23,"&gt;="&amp;G$180)+SUMIFS('Renew &amp; Vac'!$H$9:$H$23,'Renew &amp; Vac'!$A$9:$A$23,'4050'!$B183,'Renew &amp; Vac'!$D$9:$D$23,"&lt;="&amp;G$180,'Renew &amp; Vac'!$E$9:$E$23,"&gt;="&amp;G182)</f>
        <v>0</v>
      </c>
      <c r="H183" s="34">
        <f>SUMIFS('Renew &amp; Vac'!$S$9:$S$23,'Renew &amp; Vac'!$L$9:$L$23,$B183,'Renew &amp; Vac'!$O$9:$O$23,"&lt;="&amp;H$180,'Renew &amp; Vac'!$P$9:$P$23,"&gt;="&amp;H$180)+SUMIFS('Renew &amp; Vac'!$H$9:$H$23,'Renew &amp; Vac'!$A$9:$A$23,'4050'!$B183,'Renew &amp; Vac'!$D$9:$D$23,"&lt;="&amp;H$180,'Renew &amp; Vac'!$E$9:$E$23,"&gt;="&amp;H182)</f>
        <v>0</v>
      </c>
      <c r="I183" s="34">
        <f>SUMIFS('Renew &amp; Vac'!$S$9:$S$23,'Renew &amp; Vac'!$L$9:$L$23,$B183,'Renew &amp; Vac'!$O$9:$O$23,"&lt;="&amp;I$180,'Renew &amp; Vac'!$P$9:$P$23,"&gt;="&amp;I$180)+SUMIFS('Renew &amp; Vac'!$H$9:$H$23,'Renew &amp; Vac'!$A$9:$A$23,'4050'!$B183,'Renew &amp; Vac'!$D$9:$D$23,"&lt;="&amp;I$180,'Renew &amp; Vac'!$E$9:$E$23,"&gt;="&amp;I182)</f>
        <v>0</v>
      </c>
      <c r="J183" s="34">
        <f>SUMIFS('Renew &amp; Vac'!$S$9:$S$23,'Renew &amp; Vac'!$L$9:$L$23,$B183,'Renew &amp; Vac'!$O$9:$O$23,"&lt;="&amp;J$180,'Renew &amp; Vac'!$P$9:$P$23,"&gt;="&amp;J$180)+SUMIFS('Renew &amp; Vac'!$H$9:$H$23,'Renew &amp; Vac'!$A$9:$A$23,'4050'!$B183,'Renew &amp; Vac'!$D$9:$D$23,"&lt;="&amp;J$180,'Renew &amp; Vac'!$E$9:$E$23,"&gt;="&amp;J182)</f>
        <v>0</v>
      </c>
      <c r="K183" s="34">
        <f>SUMIFS('Renew &amp; Vac'!$S$9:$S$23,'Renew &amp; Vac'!$L$9:$L$23,$B183,'Renew &amp; Vac'!$O$9:$O$23,"&lt;="&amp;K$180,'Renew &amp; Vac'!$P$9:$P$23,"&gt;="&amp;K$180)+SUMIFS('Renew &amp; Vac'!$H$9:$H$23,'Renew &amp; Vac'!$A$9:$A$23,'4050'!$B183,'Renew &amp; Vac'!$D$9:$D$23,"&lt;="&amp;K$180,'Renew &amp; Vac'!$E$9:$E$23,"&gt;="&amp;K182)</f>
        <v>0</v>
      </c>
      <c r="L183" s="34">
        <f>SUMIFS('Renew &amp; Vac'!$S$9:$S$23,'Renew &amp; Vac'!$L$9:$L$23,$B183,'Renew &amp; Vac'!$O$9:$O$23,"&lt;="&amp;L$180,'Renew &amp; Vac'!$P$9:$P$23,"&gt;="&amp;L$180)+SUMIFS('Renew &amp; Vac'!$H$9:$H$23,'Renew &amp; Vac'!$A$9:$A$23,'4050'!$B183,'Renew &amp; Vac'!$D$9:$D$23,"&lt;="&amp;L$180,'Renew &amp; Vac'!$E$9:$E$23,"&gt;="&amp;L182)</f>
        <v>0</v>
      </c>
      <c r="M183" s="34">
        <f>SUMIFS('Renew &amp; Vac'!$S$9:$S$23,'Renew &amp; Vac'!$L$9:$L$23,$B183,'Renew &amp; Vac'!$O$9:$O$23,"&lt;="&amp;M$180,'Renew &amp; Vac'!$P$9:$P$23,"&gt;="&amp;M$180)+SUMIFS('Renew &amp; Vac'!$H$9:$H$23,'Renew &amp; Vac'!$A$9:$A$23,'4050'!$B183,'Renew &amp; Vac'!$D$9:$D$23,"&lt;="&amp;M$180,'Renew &amp; Vac'!$E$9:$E$23,"&gt;="&amp;M182)</f>
        <v>0</v>
      </c>
      <c r="N183" s="34">
        <f>SUMIFS('Renew &amp; Vac'!$S$9:$S$23,'Renew &amp; Vac'!$L$9:$L$23,$B183,'Renew &amp; Vac'!$O$9:$O$23,"&lt;="&amp;N$180,'Renew &amp; Vac'!$P$9:$P$23,"&gt;="&amp;N$180)+SUMIFS('Renew &amp; Vac'!$H$9:$H$23,'Renew &amp; Vac'!$A$9:$A$23,'4050'!$B183,'Renew &amp; Vac'!$D$9:$D$23,"&lt;="&amp;N$180,'Renew &amp; Vac'!$E$9:$E$23,"&gt;="&amp;N182)</f>
        <v>0</v>
      </c>
      <c r="O183" s="34">
        <f>SUMIFS('Renew &amp; Vac'!$S$9:$S$23,'Renew &amp; Vac'!$L$9:$L$23,$B183,'Renew &amp; Vac'!$O$9:$O$23,"&lt;="&amp;O$180,'Renew &amp; Vac'!$P$9:$P$23,"&gt;="&amp;O$180)+SUMIFS('Renew &amp; Vac'!$H$9:$H$23,'Renew &amp; Vac'!$A$9:$A$23,'4050'!$B183,'Renew &amp; Vac'!$D$9:$D$23,"&lt;="&amp;O$180,'Renew &amp; Vac'!$E$9:$E$23,"&gt;="&amp;O182)</f>
        <v>0</v>
      </c>
      <c r="P183" s="34">
        <f>SUMIFS('Renew &amp; Vac'!$S$9:$S$23,'Renew &amp; Vac'!$L$9:$L$23,$B183,'Renew &amp; Vac'!$O$9:$O$23,"&lt;="&amp;P$180,'Renew &amp; Vac'!$P$9:$P$23,"&gt;="&amp;P$180)+SUMIFS('Renew &amp; Vac'!$H$9:$H$23,'Renew &amp; Vac'!$A$9:$A$23,'4050'!$B183,'Renew &amp; Vac'!$D$9:$D$23,"&lt;="&amp;P$180,'Renew &amp; Vac'!$E$9:$E$23,"&gt;="&amp;P182)</f>
        <v>0</v>
      </c>
      <c r="Q183" s="36">
        <f t="shared" si="48"/>
        <v>0</v>
      </c>
    </row>
    <row r="184" spans="2:21" outlineLevel="1" x14ac:dyDescent="0.35">
      <c r="B184" s="127" t="str">
        <f t="shared" si="47"/>
        <v>4050-117</v>
      </c>
      <c r="D184" s="34" t="str">
        <f>IFERROR(VLOOKUP(B184,'Renew &amp; Vac'!$A$9:$B$23,2,FALSE),IFERROR(VLOOKUP(B184,'Renew &amp; Vac'!$L$9:$M$23,2,FALSE),VLOOKUP(B184,$B$160:$D$175,3,FALSE)))</f>
        <v>VACANT</v>
      </c>
      <c r="E184" s="34">
        <f>SUMIFS('Renew &amp; Vac'!$S$9:$S$23,'Renew &amp; Vac'!$L$9:$L$23,$B184,'Renew &amp; Vac'!$O$9:$O$23,"&lt;="&amp;E$180,'Renew &amp; Vac'!$P$9:$P$23,"&gt;="&amp;E$180)+SUMIFS('Renew &amp; Vac'!$H$9:$H$23,'Renew &amp; Vac'!$A$9:$A$23,'4050'!$B184,'Renew &amp; Vac'!$D$9:$D$23,"&lt;="&amp;E$180,'Renew &amp; Vac'!$E$9:$E$23,"&gt;="&amp;E183)</f>
        <v>0</v>
      </c>
      <c r="F184" s="34">
        <f>SUMIFS('Renew &amp; Vac'!$S$9:$S$23,'Renew &amp; Vac'!$L$9:$L$23,$B184,'Renew &amp; Vac'!$O$9:$O$23,"&lt;="&amp;F$180,'Renew &amp; Vac'!$P$9:$P$23,"&gt;="&amp;F$180)+SUMIFS('Renew &amp; Vac'!$H$9:$H$23,'Renew &amp; Vac'!$A$9:$A$23,'4050'!$B184,'Renew &amp; Vac'!$D$9:$D$23,"&lt;="&amp;F$180,'Renew &amp; Vac'!$E$9:$E$23,"&gt;="&amp;F183)</f>
        <v>0</v>
      </c>
      <c r="G184" s="34">
        <f>SUMIFS('Renew &amp; Vac'!$S$9:$S$23,'Renew &amp; Vac'!$L$9:$L$23,$B184,'Renew &amp; Vac'!$O$9:$O$23,"&lt;="&amp;G$180,'Renew &amp; Vac'!$P$9:$P$23,"&gt;="&amp;G$180)+SUMIFS('Renew &amp; Vac'!$H$9:$H$23,'Renew &amp; Vac'!$A$9:$A$23,'4050'!$B184,'Renew &amp; Vac'!$D$9:$D$23,"&lt;="&amp;G$180,'Renew &amp; Vac'!$E$9:$E$23,"&gt;="&amp;G183)</f>
        <v>0</v>
      </c>
      <c r="H184" s="34">
        <f>SUMIFS('Renew &amp; Vac'!$S$9:$S$23,'Renew &amp; Vac'!$L$9:$L$23,$B184,'Renew &amp; Vac'!$O$9:$O$23,"&lt;="&amp;H$180,'Renew &amp; Vac'!$P$9:$P$23,"&gt;="&amp;H$180)+SUMIFS('Renew &amp; Vac'!$H$9:$H$23,'Renew &amp; Vac'!$A$9:$A$23,'4050'!$B184,'Renew &amp; Vac'!$D$9:$D$23,"&lt;="&amp;H$180,'Renew &amp; Vac'!$E$9:$E$23,"&gt;="&amp;H183)</f>
        <v>0</v>
      </c>
      <c r="I184" s="34">
        <f>SUMIFS('Renew &amp; Vac'!$S$9:$S$23,'Renew &amp; Vac'!$L$9:$L$23,$B184,'Renew &amp; Vac'!$O$9:$O$23,"&lt;="&amp;I$180,'Renew &amp; Vac'!$P$9:$P$23,"&gt;="&amp;I$180)+SUMIFS('Renew &amp; Vac'!$H$9:$H$23,'Renew &amp; Vac'!$A$9:$A$23,'4050'!$B184,'Renew &amp; Vac'!$D$9:$D$23,"&lt;="&amp;I$180,'Renew &amp; Vac'!$E$9:$E$23,"&gt;="&amp;I183)</f>
        <v>0</v>
      </c>
      <c r="J184" s="34">
        <f>SUMIFS('Renew &amp; Vac'!$S$9:$S$23,'Renew &amp; Vac'!$L$9:$L$23,$B184,'Renew &amp; Vac'!$O$9:$O$23,"&lt;="&amp;J$180,'Renew &amp; Vac'!$P$9:$P$23,"&gt;="&amp;J$180)+SUMIFS('Renew &amp; Vac'!$H$9:$H$23,'Renew &amp; Vac'!$A$9:$A$23,'4050'!$B184,'Renew &amp; Vac'!$D$9:$D$23,"&lt;="&amp;J$180,'Renew &amp; Vac'!$E$9:$E$23,"&gt;="&amp;J183)</f>
        <v>0</v>
      </c>
      <c r="K184" s="34">
        <f>SUMIFS('Renew &amp; Vac'!$S$9:$S$23,'Renew &amp; Vac'!$L$9:$L$23,$B184,'Renew &amp; Vac'!$O$9:$O$23,"&lt;="&amp;K$180,'Renew &amp; Vac'!$P$9:$P$23,"&gt;="&amp;K$180)+SUMIFS('Renew &amp; Vac'!$H$9:$H$23,'Renew &amp; Vac'!$A$9:$A$23,'4050'!$B184,'Renew &amp; Vac'!$D$9:$D$23,"&lt;="&amp;K$180,'Renew &amp; Vac'!$E$9:$E$23,"&gt;="&amp;K183)</f>
        <v>0</v>
      </c>
      <c r="L184" s="34">
        <f>SUMIFS('Renew &amp; Vac'!$S$9:$S$23,'Renew &amp; Vac'!$L$9:$L$23,$B184,'Renew &amp; Vac'!$O$9:$O$23,"&lt;="&amp;L$180,'Renew &amp; Vac'!$P$9:$P$23,"&gt;="&amp;L$180)+SUMIFS('Renew &amp; Vac'!$H$9:$H$23,'Renew &amp; Vac'!$A$9:$A$23,'4050'!$B184,'Renew &amp; Vac'!$D$9:$D$23,"&lt;="&amp;L$180,'Renew &amp; Vac'!$E$9:$E$23,"&gt;="&amp;L183)</f>
        <v>0</v>
      </c>
      <c r="M184" s="34">
        <f>SUMIFS('Renew &amp; Vac'!$S$9:$S$23,'Renew &amp; Vac'!$L$9:$L$23,$B184,'Renew &amp; Vac'!$O$9:$O$23,"&lt;="&amp;M$180,'Renew &amp; Vac'!$P$9:$P$23,"&gt;="&amp;M$180)+SUMIFS('Renew &amp; Vac'!$H$9:$H$23,'Renew &amp; Vac'!$A$9:$A$23,'4050'!$B184,'Renew &amp; Vac'!$D$9:$D$23,"&lt;="&amp;M$180,'Renew &amp; Vac'!$E$9:$E$23,"&gt;="&amp;M183)</f>
        <v>0</v>
      </c>
      <c r="N184" s="34">
        <f>SUMIFS('Renew &amp; Vac'!$S$9:$S$23,'Renew &amp; Vac'!$L$9:$L$23,$B184,'Renew &amp; Vac'!$O$9:$O$23,"&lt;="&amp;N$180,'Renew &amp; Vac'!$P$9:$P$23,"&gt;="&amp;N$180)+SUMIFS('Renew &amp; Vac'!$H$9:$H$23,'Renew &amp; Vac'!$A$9:$A$23,'4050'!$B184,'Renew &amp; Vac'!$D$9:$D$23,"&lt;="&amp;N$180,'Renew &amp; Vac'!$E$9:$E$23,"&gt;="&amp;N183)</f>
        <v>0</v>
      </c>
      <c r="O184" s="34">
        <f>SUMIFS('Renew &amp; Vac'!$S$9:$S$23,'Renew &amp; Vac'!$L$9:$L$23,$B184,'Renew &amp; Vac'!$O$9:$O$23,"&lt;="&amp;O$180,'Renew &amp; Vac'!$P$9:$P$23,"&gt;="&amp;O$180)+SUMIFS('Renew &amp; Vac'!$H$9:$H$23,'Renew &amp; Vac'!$A$9:$A$23,'4050'!$B184,'Renew &amp; Vac'!$D$9:$D$23,"&lt;="&amp;O$180,'Renew &amp; Vac'!$E$9:$E$23,"&gt;="&amp;O183)</f>
        <v>0</v>
      </c>
      <c r="P184" s="34">
        <f>SUMIFS('Renew &amp; Vac'!$S$9:$S$23,'Renew &amp; Vac'!$L$9:$L$23,$B184,'Renew &amp; Vac'!$O$9:$O$23,"&lt;="&amp;P$180,'Renew &amp; Vac'!$P$9:$P$23,"&gt;="&amp;P$180)+SUMIFS('Renew &amp; Vac'!$H$9:$H$23,'Renew &amp; Vac'!$A$9:$A$23,'4050'!$B184,'Renew &amp; Vac'!$D$9:$D$23,"&lt;="&amp;P$180,'Renew &amp; Vac'!$E$9:$E$23,"&gt;="&amp;P183)</f>
        <v>0</v>
      </c>
      <c r="Q184" s="36">
        <f t="shared" si="48"/>
        <v>0</v>
      </c>
    </row>
    <row r="185" spans="2:21" outlineLevel="1" x14ac:dyDescent="0.35">
      <c r="B185" s="127" t="str">
        <f t="shared" si="47"/>
        <v>4050-119</v>
      </c>
      <c r="D185" s="34" t="str">
        <f>IFERROR(VLOOKUP(B185,'Renew &amp; Vac'!$A$9:$B$23,2,FALSE),IFERROR(VLOOKUP(B185,'Renew &amp; Vac'!$L$9:$M$23,2,FALSE),VLOOKUP(B185,$B$160:$D$175,3,FALSE)))</f>
        <v>VACANT</v>
      </c>
      <c r="E185" s="34">
        <f>SUMIFS('Renew &amp; Vac'!$S$9:$S$23,'Renew &amp; Vac'!$L$9:$L$23,$B185,'Renew &amp; Vac'!$O$9:$O$23,"&lt;="&amp;E$180,'Renew &amp; Vac'!$P$9:$P$23,"&gt;="&amp;E$180)+SUMIFS('Renew &amp; Vac'!$H$9:$H$23,'Renew &amp; Vac'!$A$9:$A$23,'4050'!$B185,'Renew &amp; Vac'!$D$9:$D$23,"&lt;="&amp;E$180,'Renew &amp; Vac'!$E$9:$E$23,"&gt;="&amp;E184)</f>
        <v>2852.0833333333335</v>
      </c>
      <c r="F185" s="34">
        <f>SUMIFS('Renew &amp; Vac'!$S$9:$S$23,'Renew &amp; Vac'!$L$9:$L$23,$B185,'Renew &amp; Vac'!$O$9:$O$23,"&lt;="&amp;F$180,'Renew &amp; Vac'!$P$9:$P$23,"&gt;="&amp;F$180)+SUMIFS('Renew &amp; Vac'!$H$9:$H$23,'Renew &amp; Vac'!$A$9:$A$23,'4050'!$B185,'Renew &amp; Vac'!$D$9:$D$23,"&lt;="&amp;F$180,'Renew &amp; Vac'!$E$9:$E$23,"&gt;="&amp;F184)</f>
        <v>2852.0833333333335</v>
      </c>
      <c r="G185" s="34">
        <f>SUMIFS('Renew &amp; Vac'!$S$9:$S$23,'Renew &amp; Vac'!$L$9:$L$23,$B185,'Renew &amp; Vac'!$O$9:$O$23,"&lt;="&amp;G$180,'Renew &amp; Vac'!$P$9:$P$23,"&gt;="&amp;G$180)+SUMIFS('Renew &amp; Vac'!$H$9:$H$23,'Renew &amp; Vac'!$A$9:$A$23,'4050'!$B185,'Renew &amp; Vac'!$D$9:$D$23,"&lt;="&amp;G$180,'Renew &amp; Vac'!$E$9:$E$23,"&gt;="&amp;G184)</f>
        <v>2852.0833333333335</v>
      </c>
      <c r="H185" s="34">
        <f>SUMIFS('Renew &amp; Vac'!$S$9:$S$23,'Renew &amp; Vac'!$L$9:$L$23,$B185,'Renew &amp; Vac'!$O$9:$O$23,"&lt;="&amp;H$180,'Renew &amp; Vac'!$P$9:$P$23,"&gt;="&amp;H$180)+SUMIFS('Renew &amp; Vac'!$H$9:$H$23,'Renew &amp; Vac'!$A$9:$A$23,'4050'!$B185,'Renew &amp; Vac'!$D$9:$D$23,"&lt;="&amp;H$180,'Renew &amp; Vac'!$E$9:$E$23,"&gt;="&amp;H184)</f>
        <v>2852.0833333333335</v>
      </c>
      <c r="I185" s="34">
        <f>SUMIFS('Renew &amp; Vac'!$S$9:$S$23,'Renew &amp; Vac'!$L$9:$L$23,$B185,'Renew &amp; Vac'!$O$9:$O$23,"&lt;="&amp;I$180,'Renew &amp; Vac'!$P$9:$P$23,"&gt;="&amp;I$180)+SUMIFS('Renew &amp; Vac'!$H$9:$H$23,'Renew &amp; Vac'!$A$9:$A$23,'4050'!$B185,'Renew &amp; Vac'!$D$9:$D$23,"&lt;="&amp;I$180,'Renew &amp; Vac'!$E$9:$E$23,"&gt;="&amp;I184)</f>
        <v>2852.0833333333335</v>
      </c>
      <c r="J185" s="34">
        <f>SUMIFS('Renew &amp; Vac'!$S$9:$S$23,'Renew &amp; Vac'!$L$9:$L$23,$B185,'Renew &amp; Vac'!$O$9:$O$23,"&lt;="&amp;J$180,'Renew &amp; Vac'!$P$9:$P$23,"&gt;="&amp;J$180)+SUMIFS('Renew &amp; Vac'!$H$9:$H$23,'Renew &amp; Vac'!$A$9:$A$23,'4050'!$B185,'Renew &amp; Vac'!$D$9:$D$23,"&lt;="&amp;J$180,'Renew &amp; Vac'!$E$9:$E$23,"&gt;="&amp;J184)</f>
        <v>2852.0833333333335</v>
      </c>
      <c r="K185" s="34">
        <f>SUMIFS('Renew &amp; Vac'!$S$9:$S$23,'Renew &amp; Vac'!$L$9:$L$23,$B185,'Renew &amp; Vac'!$O$9:$O$23,"&lt;="&amp;K$180,'Renew &amp; Vac'!$P$9:$P$23,"&gt;="&amp;K$180)+SUMIFS('Renew &amp; Vac'!$H$9:$H$23,'Renew &amp; Vac'!$A$9:$A$23,'4050'!$B185,'Renew &amp; Vac'!$D$9:$D$23,"&lt;="&amp;K$180,'Renew &amp; Vac'!$E$9:$E$23,"&gt;="&amp;K184)</f>
        <v>2852.0833333333335</v>
      </c>
      <c r="L185" s="34">
        <f>SUMIFS('Renew &amp; Vac'!$S$9:$S$23,'Renew &amp; Vac'!$L$9:$L$23,$B185,'Renew &amp; Vac'!$O$9:$O$23,"&lt;="&amp;L$180,'Renew &amp; Vac'!$P$9:$P$23,"&gt;="&amp;L$180)+SUMIFS('Renew &amp; Vac'!$H$9:$H$23,'Renew &amp; Vac'!$A$9:$A$23,'4050'!$B185,'Renew &amp; Vac'!$D$9:$D$23,"&lt;="&amp;L$180,'Renew &amp; Vac'!$E$9:$E$23,"&gt;="&amp;L184)</f>
        <v>2852.0833333333335</v>
      </c>
      <c r="M185" s="34">
        <f>SUMIFS('Renew &amp; Vac'!$S$9:$S$23,'Renew &amp; Vac'!$L$9:$L$23,$B185,'Renew &amp; Vac'!$O$9:$O$23,"&lt;="&amp;M$180,'Renew &amp; Vac'!$P$9:$P$23,"&gt;="&amp;M$180)+SUMIFS('Renew &amp; Vac'!$H$9:$H$23,'Renew &amp; Vac'!$A$9:$A$23,'4050'!$B185,'Renew &amp; Vac'!$D$9:$D$23,"&lt;="&amp;M$180,'Renew &amp; Vac'!$E$9:$E$23,"&gt;="&amp;M184)</f>
        <v>2852.0833333333335</v>
      </c>
      <c r="N185" s="34">
        <f>SUMIFS('Renew &amp; Vac'!$S$9:$S$23,'Renew &amp; Vac'!$L$9:$L$23,$B185,'Renew &amp; Vac'!$O$9:$O$23,"&lt;="&amp;N$180,'Renew &amp; Vac'!$P$9:$P$23,"&gt;="&amp;N$180)+SUMIFS('Renew &amp; Vac'!$H$9:$H$23,'Renew &amp; Vac'!$A$9:$A$23,'4050'!$B185,'Renew &amp; Vac'!$D$9:$D$23,"&lt;="&amp;N$180,'Renew &amp; Vac'!$E$9:$E$23,"&gt;="&amp;N184)</f>
        <v>2852.0833333333335</v>
      </c>
      <c r="O185" s="34">
        <f>SUMIFS('Renew &amp; Vac'!$S$9:$S$23,'Renew &amp; Vac'!$L$9:$L$23,$B185,'Renew &amp; Vac'!$O$9:$O$23,"&lt;="&amp;O$180,'Renew &amp; Vac'!$P$9:$P$23,"&gt;="&amp;O$180)+SUMIFS('Renew &amp; Vac'!$H$9:$H$23,'Renew &amp; Vac'!$A$9:$A$23,'4050'!$B185,'Renew &amp; Vac'!$D$9:$D$23,"&lt;="&amp;O$180,'Renew &amp; Vac'!$E$9:$E$23,"&gt;="&amp;O184)</f>
        <v>2852.0833333333335</v>
      </c>
      <c r="P185" s="34">
        <f>SUMIFS('Renew &amp; Vac'!$S$9:$S$23,'Renew &amp; Vac'!$L$9:$L$23,$B185,'Renew &amp; Vac'!$O$9:$O$23,"&lt;="&amp;P$180,'Renew &amp; Vac'!$P$9:$P$23,"&gt;="&amp;P$180)+SUMIFS('Renew &amp; Vac'!$H$9:$H$23,'Renew &amp; Vac'!$A$9:$A$23,'4050'!$B185,'Renew &amp; Vac'!$D$9:$D$23,"&lt;="&amp;P$180,'Renew &amp; Vac'!$E$9:$E$23,"&gt;="&amp;P184)</f>
        <v>2852.0833333333335</v>
      </c>
      <c r="Q185" s="36">
        <f t="shared" si="48"/>
        <v>34224.999999999993</v>
      </c>
    </row>
    <row r="186" spans="2:21" outlineLevel="1" x14ac:dyDescent="0.35">
      <c r="B186" s="127" t="str">
        <f t="shared" si="47"/>
        <v>4050-201</v>
      </c>
      <c r="D186" s="34" t="str">
        <f>IFERROR(VLOOKUP(B186,'Renew &amp; Vac'!$A$9:$B$23,2,FALSE),IFERROR(VLOOKUP(B186,'Renew &amp; Vac'!$L$9:$M$23,2,FALSE),VLOOKUP(B186,$B$160:$D$175,3,FALSE)))</f>
        <v>ABC Home Medical Supply, Inc.</v>
      </c>
      <c r="E186" s="34">
        <f>SUMIFS('Renew &amp; Vac'!$S$9:$S$23,'Renew &amp; Vac'!$L$9:$L$23,$B186,'Renew &amp; Vac'!$O$9:$O$23,"&lt;="&amp;E$180,'Renew &amp; Vac'!$P$9:$P$23,"&gt;="&amp;E$180)+SUMIFS('Renew &amp; Vac'!$H$9:$H$23,'Renew &amp; Vac'!$A$9:$A$23,'4050'!$B186,'Renew &amp; Vac'!$D$9:$D$23,"&lt;="&amp;E$180,'Renew &amp; Vac'!$E$9:$E$23,"&gt;="&amp;E185)</f>
        <v>0</v>
      </c>
      <c r="F186" s="34">
        <f>SUMIFS('Renew &amp; Vac'!$S$9:$S$23,'Renew &amp; Vac'!$L$9:$L$23,$B186,'Renew &amp; Vac'!$O$9:$O$23,"&lt;="&amp;F$180,'Renew &amp; Vac'!$P$9:$P$23,"&gt;="&amp;F$180)+SUMIFS('Renew &amp; Vac'!$H$9:$H$23,'Renew &amp; Vac'!$A$9:$A$23,'4050'!$B186,'Renew &amp; Vac'!$D$9:$D$23,"&lt;="&amp;F$180,'Renew &amp; Vac'!$E$9:$E$23,"&gt;="&amp;F185)</f>
        <v>0</v>
      </c>
      <c r="G186" s="34">
        <f>SUMIFS('Renew &amp; Vac'!$S$9:$S$23,'Renew &amp; Vac'!$L$9:$L$23,$B186,'Renew &amp; Vac'!$O$9:$O$23,"&lt;="&amp;G$180,'Renew &amp; Vac'!$P$9:$P$23,"&gt;="&amp;G$180)+SUMIFS('Renew &amp; Vac'!$H$9:$H$23,'Renew &amp; Vac'!$A$9:$A$23,'4050'!$B186,'Renew &amp; Vac'!$D$9:$D$23,"&lt;="&amp;G$180,'Renew &amp; Vac'!$E$9:$E$23,"&gt;="&amp;G185)</f>
        <v>0</v>
      </c>
      <c r="H186" s="34">
        <f>SUMIFS('Renew &amp; Vac'!$S$9:$S$23,'Renew &amp; Vac'!$L$9:$L$23,$B186,'Renew &amp; Vac'!$O$9:$O$23,"&lt;="&amp;H$180,'Renew &amp; Vac'!$P$9:$P$23,"&gt;="&amp;H$180)+SUMIFS('Renew &amp; Vac'!$H$9:$H$23,'Renew &amp; Vac'!$A$9:$A$23,'4050'!$B186,'Renew &amp; Vac'!$D$9:$D$23,"&lt;="&amp;H$180,'Renew &amp; Vac'!$E$9:$E$23,"&gt;="&amp;H185)</f>
        <v>0</v>
      </c>
      <c r="I186" s="34">
        <f>SUMIFS('Renew &amp; Vac'!$S$9:$S$23,'Renew &amp; Vac'!$L$9:$L$23,$B186,'Renew &amp; Vac'!$O$9:$O$23,"&lt;="&amp;I$180,'Renew &amp; Vac'!$P$9:$P$23,"&gt;="&amp;I$180)+SUMIFS('Renew &amp; Vac'!$H$9:$H$23,'Renew &amp; Vac'!$A$9:$A$23,'4050'!$B186,'Renew &amp; Vac'!$D$9:$D$23,"&lt;="&amp;I$180,'Renew &amp; Vac'!$E$9:$E$23,"&gt;="&amp;I185)</f>
        <v>0</v>
      </c>
      <c r="J186" s="34">
        <f>SUMIFS('Renew &amp; Vac'!$S$9:$S$23,'Renew &amp; Vac'!$L$9:$L$23,$B186,'Renew &amp; Vac'!$O$9:$O$23,"&lt;="&amp;J$180,'Renew &amp; Vac'!$P$9:$P$23,"&gt;="&amp;J$180)+SUMIFS('Renew &amp; Vac'!$H$9:$H$23,'Renew &amp; Vac'!$A$9:$A$23,'4050'!$B186,'Renew &amp; Vac'!$D$9:$D$23,"&lt;="&amp;J$180,'Renew &amp; Vac'!$E$9:$E$23,"&gt;="&amp;J185)</f>
        <v>0</v>
      </c>
      <c r="K186" s="34">
        <f>SUMIFS('Renew &amp; Vac'!$S$9:$S$23,'Renew &amp; Vac'!$L$9:$L$23,$B186,'Renew &amp; Vac'!$O$9:$O$23,"&lt;="&amp;K$180,'Renew &amp; Vac'!$P$9:$P$23,"&gt;="&amp;K$180)+SUMIFS('Renew &amp; Vac'!$H$9:$H$23,'Renew &amp; Vac'!$A$9:$A$23,'4050'!$B186,'Renew &amp; Vac'!$D$9:$D$23,"&lt;="&amp;K$180,'Renew &amp; Vac'!$E$9:$E$23,"&gt;="&amp;K185)</f>
        <v>0</v>
      </c>
      <c r="L186" s="34">
        <f>SUMIFS('Renew &amp; Vac'!$S$9:$S$23,'Renew &amp; Vac'!$L$9:$L$23,$B186,'Renew &amp; Vac'!$O$9:$O$23,"&lt;="&amp;L$180,'Renew &amp; Vac'!$P$9:$P$23,"&gt;="&amp;L$180)+SUMIFS('Renew &amp; Vac'!$H$9:$H$23,'Renew &amp; Vac'!$A$9:$A$23,'4050'!$B186,'Renew &amp; Vac'!$D$9:$D$23,"&lt;="&amp;L$180,'Renew &amp; Vac'!$E$9:$E$23,"&gt;="&amp;L185)</f>
        <v>0</v>
      </c>
      <c r="M186" s="34">
        <f>SUMIFS('Renew &amp; Vac'!$S$9:$S$23,'Renew &amp; Vac'!$L$9:$L$23,$B186,'Renew &amp; Vac'!$O$9:$O$23,"&lt;="&amp;M$180,'Renew &amp; Vac'!$P$9:$P$23,"&gt;="&amp;M$180)+SUMIFS('Renew &amp; Vac'!$H$9:$H$23,'Renew &amp; Vac'!$A$9:$A$23,'4050'!$B186,'Renew &amp; Vac'!$D$9:$D$23,"&lt;="&amp;M$180,'Renew &amp; Vac'!$E$9:$E$23,"&gt;="&amp;M185)</f>
        <v>0</v>
      </c>
      <c r="N186" s="34">
        <f>SUMIFS('Renew &amp; Vac'!$S$9:$S$23,'Renew &amp; Vac'!$L$9:$L$23,$B186,'Renew &amp; Vac'!$O$9:$O$23,"&lt;="&amp;N$180,'Renew &amp; Vac'!$P$9:$P$23,"&gt;="&amp;N$180)+SUMIFS('Renew &amp; Vac'!$H$9:$H$23,'Renew &amp; Vac'!$A$9:$A$23,'4050'!$B186,'Renew &amp; Vac'!$D$9:$D$23,"&lt;="&amp;N$180,'Renew &amp; Vac'!$E$9:$E$23,"&gt;="&amp;N185)</f>
        <v>0</v>
      </c>
      <c r="O186" s="34">
        <f>SUMIFS('Renew &amp; Vac'!$S$9:$S$23,'Renew &amp; Vac'!$L$9:$L$23,$B186,'Renew &amp; Vac'!$O$9:$O$23,"&lt;="&amp;O$180,'Renew &amp; Vac'!$P$9:$P$23,"&gt;="&amp;O$180)+SUMIFS('Renew &amp; Vac'!$H$9:$H$23,'Renew &amp; Vac'!$A$9:$A$23,'4050'!$B186,'Renew &amp; Vac'!$D$9:$D$23,"&lt;="&amp;O$180,'Renew &amp; Vac'!$E$9:$E$23,"&gt;="&amp;O185)</f>
        <v>0</v>
      </c>
      <c r="P186" s="34">
        <f>SUMIFS('Renew &amp; Vac'!$S$9:$S$23,'Renew &amp; Vac'!$L$9:$L$23,$B186,'Renew &amp; Vac'!$O$9:$O$23,"&lt;="&amp;P$180,'Renew &amp; Vac'!$P$9:$P$23,"&gt;="&amp;P$180)+SUMIFS('Renew &amp; Vac'!$H$9:$H$23,'Renew &amp; Vac'!$A$9:$A$23,'4050'!$B186,'Renew &amp; Vac'!$D$9:$D$23,"&lt;="&amp;P$180,'Renew &amp; Vac'!$E$9:$E$23,"&gt;="&amp;P185)</f>
        <v>0</v>
      </c>
      <c r="Q186" s="36">
        <f t="shared" si="48"/>
        <v>0</v>
      </c>
    </row>
    <row r="187" spans="2:21" outlineLevel="1" x14ac:dyDescent="0.35">
      <c r="B187" s="127" t="str">
        <f t="shared" si="47"/>
        <v>4050-205</v>
      </c>
      <c r="D187" s="34" t="str">
        <f>IFERROR(VLOOKUP(B187,'Renew &amp; Vac'!$A$9:$B$23,2,FALSE),IFERROR(VLOOKUP(B187,'Renew &amp; Vac'!$L$9:$M$23,2,FALSE),VLOOKUP(B187,$B$160:$D$175,3,FALSE)))</f>
        <v>Office Works</v>
      </c>
      <c r="E187" s="34">
        <f>SUMIFS('Renew &amp; Vac'!$S$9:$S$23,'Renew &amp; Vac'!$L$9:$L$23,$B187,'Renew &amp; Vac'!$O$9:$O$23,"&lt;="&amp;E$180,'Renew &amp; Vac'!$P$9:$P$23,"&gt;="&amp;E$180)+SUMIFS('Renew &amp; Vac'!$H$9:$H$23,'Renew &amp; Vac'!$A$9:$A$23,'4050'!$B187,'Renew &amp; Vac'!$D$9:$D$23,"&lt;="&amp;E$180,'Renew &amp; Vac'!$E$9:$E$23,"&gt;="&amp;E186)</f>
        <v>0</v>
      </c>
      <c r="F187" s="34">
        <f>SUMIFS('Renew &amp; Vac'!$S$9:$S$23,'Renew &amp; Vac'!$L$9:$L$23,$B187,'Renew &amp; Vac'!$O$9:$O$23,"&lt;="&amp;F$180,'Renew &amp; Vac'!$P$9:$P$23,"&gt;="&amp;F$180)+SUMIFS('Renew &amp; Vac'!$H$9:$H$23,'Renew &amp; Vac'!$A$9:$A$23,'4050'!$B187,'Renew &amp; Vac'!$D$9:$D$23,"&lt;="&amp;F$180,'Renew &amp; Vac'!$E$9:$E$23,"&gt;="&amp;F186)</f>
        <v>0</v>
      </c>
      <c r="G187" s="34">
        <f>SUMIFS('Renew &amp; Vac'!$S$9:$S$23,'Renew &amp; Vac'!$L$9:$L$23,$B187,'Renew &amp; Vac'!$O$9:$O$23,"&lt;="&amp;G$180,'Renew &amp; Vac'!$P$9:$P$23,"&gt;="&amp;G$180)+SUMIFS('Renew &amp; Vac'!$H$9:$H$23,'Renew &amp; Vac'!$A$9:$A$23,'4050'!$B187,'Renew &amp; Vac'!$D$9:$D$23,"&lt;="&amp;G$180,'Renew &amp; Vac'!$E$9:$E$23,"&gt;="&amp;G186)</f>
        <v>0</v>
      </c>
      <c r="H187" s="34">
        <f>SUMIFS('Renew &amp; Vac'!$S$9:$S$23,'Renew &amp; Vac'!$L$9:$L$23,$B187,'Renew &amp; Vac'!$O$9:$O$23,"&lt;="&amp;H$180,'Renew &amp; Vac'!$P$9:$P$23,"&gt;="&amp;H$180)+SUMIFS('Renew &amp; Vac'!$H$9:$H$23,'Renew &amp; Vac'!$A$9:$A$23,'4050'!$B187,'Renew &amp; Vac'!$D$9:$D$23,"&lt;="&amp;H$180,'Renew &amp; Vac'!$E$9:$E$23,"&gt;="&amp;H186)</f>
        <v>0</v>
      </c>
      <c r="I187" s="34">
        <f>SUMIFS('Renew &amp; Vac'!$S$9:$S$23,'Renew &amp; Vac'!$L$9:$L$23,$B187,'Renew &amp; Vac'!$O$9:$O$23,"&lt;="&amp;I$180,'Renew &amp; Vac'!$P$9:$P$23,"&gt;="&amp;I$180)+SUMIFS('Renew &amp; Vac'!$H$9:$H$23,'Renew &amp; Vac'!$A$9:$A$23,'4050'!$B187,'Renew &amp; Vac'!$D$9:$D$23,"&lt;="&amp;I$180,'Renew &amp; Vac'!$E$9:$E$23,"&gt;="&amp;I186)</f>
        <v>0</v>
      </c>
      <c r="J187" s="34">
        <f>SUMIFS('Renew &amp; Vac'!$S$9:$S$23,'Renew &amp; Vac'!$L$9:$L$23,$B187,'Renew &amp; Vac'!$O$9:$O$23,"&lt;="&amp;J$180,'Renew &amp; Vac'!$P$9:$P$23,"&gt;="&amp;J$180)+SUMIFS('Renew &amp; Vac'!$H$9:$H$23,'Renew &amp; Vac'!$A$9:$A$23,'4050'!$B187,'Renew &amp; Vac'!$D$9:$D$23,"&lt;="&amp;J$180,'Renew &amp; Vac'!$E$9:$E$23,"&gt;="&amp;J186)</f>
        <v>0</v>
      </c>
      <c r="K187" s="34">
        <f>SUMIFS('Renew &amp; Vac'!$S$9:$S$23,'Renew &amp; Vac'!$L$9:$L$23,$B187,'Renew &amp; Vac'!$O$9:$O$23,"&lt;="&amp;K$180,'Renew &amp; Vac'!$P$9:$P$23,"&gt;="&amp;K$180)+SUMIFS('Renew &amp; Vac'!$H$9:$H$23,'Renew &amp; Vac'!$A$9:$A$23,'4050'!$B187,'Renew &amp; Vac'!$D$9:$D$23,"&lt;="&amp;K$180,'Renew &amp; Vac'!$E$9:$E$23,"&gt;="&amp;K186)</f>
        <v>14653.333333333334</v>
      </c>
      <c r="L187" s="34">
        <f>SUMIFS('Renew &amp; Vac'!$S$9:$S$23,'Renew &amp; Vac'!$L$9:$L$23,$B187,'Renew &amp; Vac'!$O$9:$O$23,"&lt;="&amp;L$180,'Renew &amp; Vac'!$P$9:$P$23,"&gt;="&amp;L$180)+SUMIFS('Renew &amp; Vac'!$H$9:$H$23,'Renew &amp; Vac'!$A$9:$A$23,'4050'!$B187,'Renew &amp; Vac'!$D$9:$D$23,"&lt;="&amp;L$180,'Renew &amp; Vac'!$E$9:$E$23,"&gt;="&amp;L186)</f>
        <v>14653.333333333334</v>
      </c>
      <c r="M187" s="34">
        <f>SUMIFS('Renew &amp; Vac'!$S$9:$S$23,'Renew &amp; Vac'!$L$9:$L$23,$B187,'Renew &amp; Vac'!$O$9:$O$23,"&lt;="&amp;M$180,'Renew &amp; Vac'!$P$9:$P$23,"&gt;="&amp;M$180)+SUMIFS('Renew &amp; Vac'!$H$9:$H$23,'Renew &amp; Vac'!$A$9:$A$23,'4050'!$B187,'Renew &amp; Vac'!$D$9:$D$23,"&lt;="&amp;M$180,'Renew &amp; Vac'!$E$9:$E$23,"&gt;="&amp;M186)</f>
        <v>14653.333333333334</v>
      </c>
      <c r="N187" s="34">
        <f>SUMIFS('Renew &amp; Vac'!$S$9:$S$23,'Renew &amp; Vac'!$L$9:$L$23,$B187,'Renew &amp; Vac'!$O$9:$O$23,"&lt;="&amp;N$180,'Renew &amp; Vac'!$P$9:$P$23,"&gt;="&amp;N$180)+SUMIFS('Renew &amp; Vac'!$H$9:$H$23,'Renew &amp; Vac'!$A$9:$A$23,'4050'!$B187,'Renew &amp; Vac'!$D$9:$D$23,"&lt;="&amp;N$180,'Renew &amp; Vac'!$E$9:$E$23,"&gt;="&amp;N186)</f>
        <v>14653.333333333334</v>
      </c>
      <c r="O187" s="34">
        <f>SUMIFS('Renew &amp; Vac'!$S$9:$S$23,'Renew &amp; Vac'!$L$9:$L$23,$B187,'Renew &amp; Vac'!$O$9:$O$23,"&lt;="&amp;O$180,'Renew &amp; Vac'!$P$9:$P$23,"&gt;="&amp;O$180)+SUMIFS('Renew &amp; Vac'!$H$9:$H$23,'Renew &amp; Vac'!$A$9:$A$23,'4050'!$B187,'Renew &amp; Vac'!$D$9:$D$23,"&lt;="&amp;O$180,'Renew &amp; Vac'!$E$9:$E$23,"&gt;="&amp;O186)</f>
        <v>14653.333333333334</v>
      </c>
      <c r="P187" s="34">
        <f>SUMIFS('Renew &amp; Vac'!$S$9:$S$23,'Renew &amp; Vac'!$L$9:$L$23,$B187,'Renew &amp; Vac'!$O$9:$O$23,"&lt;="&amp;P$180,'Renew &amp; Vac'!$P$9:$P$23,"&gt;="&amp;P$180)+SUMIFS('Renew &amp; Vac'!$H$9:$H$23,'Renew &amp; Vac'!$A$9:$A$23,'4050'!$B187,'Renew &amp; Vac'!$D$9:$D$23,"&lt;="&amp;P$180,'Renew &amp; Vac'!$E$9:$E$23,"&gt;="&amp;P186)</f>
        <v>14653.333333333334</v>
      </c>
      <c r="Q187" s="36">
        <f t="shared" si="48"/>
        <v>87920</v>
      </c>
    </row>
    <row r="188" spans="2:21" outlineLevel="1" x14ac:dyDescent="0.35">
      <c r="B188" s="127" t="str">
        <f t="shared" ref="B188:B189" si="49">B167</f>
        <v>4050-206</v>
      </c>
      <c r="D188" s="34" t="str">
        <f>IFERROR(VLOOKUP(B188,'Renew &amp; Vac'!$A$9:$B$23,2,FALSE),IFERROR(VLOOKUP(B188,'Renew &amp; Vac'!$L$9:$M$23,2,FALSE),VLOOKUP(B188,$B$160:$D$175,3,FALSE)))</f>
        <v>Khavinson &amp; Associates</v>
      </c>
      <c r="E188" s="34">
        <f>SUMIFS('Renew &amp; Vac'!$S$9:$S$23,'Renew &amp; Vac'!$L$9:$L$23,$B188,'Renew &amp; Vac'!$O$9:$O$23,"&lt;="&amp;E$180,'Renew &amp; Vac'!$P$9:$P$23,"&gt;="&amp;E$180)+SUMIFS('Renew &amp; Vac'!$H$9:$H$23,'Renew &amp; Vac'!$A$9:$A$23,'4050'!$B188,'Renew &amp; Vac'!$D$9:$D$23,"&lt;="&amp;E$180,'Renew &amp; Vac'!$E$9:$E$23,"&gt;="&amp;E187)</f>
        <v>0</v>
      </c>
      <c r="F188" s="34">
        <f>SUMIFS('Renew &amp; Vac'!$S$9:$S$23,'Renew &amp; Vac'!$L$9:$L$23,$B188,'Renew &amp; Vac'!$O$9:$O$23,"&lt;="&amp;F$180,'Renew &amp; Vac'!$P$9:$P$23,"&gt;="&amp;F$180)+SUMIFS('Renew &amp; Vac'!$H$9:$H$23,'Renew &amp; Vac'!$A$9:$A$23,'4050'!$B188,'Renew &amp; Vac'!$D$9:$D$23,"&lt;="&amp;F$180,'Renew &amp; Vac'!$E$9:$E$23,"&gt;="&amp;F187)</f>
        <v>0</v>
      </c>
      <c r="G188" s="34">
        <f>SUMIFS('Renew &amp; Vac'!$S$9:$S$23,'Renew &amp; Vac'!$L$9:$L$23,$B188,'Renew &amp; Vac'!$O$9:$O$23,"&lt;="&amp;G$180,'Renew &amp; Vac'!$P$9:$P$23,"&gt;="&amp;G$180)+SUMIFS('Renew &amp; Vac'!$H$9:$H$23,'Renew &amp; Vac'!$A$9:$A$23,'4050'!$B188,'Renew &amp; Vac'!$D$9:$D$23,"&lt;="&amp;G$180,'Renew &amp; Vac'!$E$9:$E$23,"&gt;="&amp;G187)</f>
        <v>0</v>
      </c>
      <c r="H188" s="34">
        <f>SUMIFS('Renew &amp; Vac'!$S$9:$S$23,'Renew &amp; Vac'!$L$9:$L$23,$B188,'Renew &amp; Vac'!$O$9:$O$23,"&lt;="&amp;H$180,'Renew &amp; Vac'!$P$9:$P$23,"&gt;="&amp;H$180)+SUMIFS('Renew &amp; Vac'!$H$9:$H$23,'Renew &amp; Vac'!$A$9:$A$23,'4050'!$B188,'Renew &amp; Vac'!$D$9:$D$23,"&lt;="&amp;H$180,'Renew &amp; Vac'!$E$9:$E$23,"&gt;="&amp;H187)</f>
        <v>0</v>
      </c>
      <c r="I188" s="34">
        <f>SUMIFS('Renew &amp; Vac'!$S$9:$S$23,'Renew &amp; Vac'!$L$9:$L$23,$B188,'Renew &amp; Vac'!$O$9:$O$23,"&lt;="&amp;I$180,'Renew &amp; Vac'!$P$9:$P$23,"&gt;="&amp;I$180)+SUMIFS('Renew &amp; Vac'!$H$9:$H$23,'Renew &amp; Vac'!$A$9:$A$23,'4050'!$B188,'Renew &amp; Vac'!$D$9:$D$23,"&lt;="&amp;I$180,'Renew &amp; Vac'!$E$9:$E$23,"&gt;="&amp;I187)</f>
        <v>0</v>
      </c>
      <c r="J188" s="34">
        <f>SUMIFS('Renew &amp; Vac'!$S$9:$S$23,'Renew &amp; Vac'!$L$9:$L$23,$B188,'Renew &amp; Vac'!$O$9:$O$23,"&lt;="&amp;J$180,'Renew &amp; Vac'!$P$9:$P$23,"&gt;="&amp;J$180)+SUMIFS('Renew &amp; Vac'!$H$9:$H$23,'Renew &amp; Vac'!$A$9:$A$23,'4050'!$B188,'Renew &amp; Vac'!$D$9:$D$23,"&lt;="&amp;J$180,'Renew &amp; Vac'!$E$9:$E$23,"&gt;="&amp;J187)</f>
        <v>0</v>
      </c>
      <c r="K188" s="34">
        <f>SUMIFS('Renew &amp; Vac'!$S$9:$S$23,'Renew &amp; Vac'!$L$9:$L$23,$B188,'Renew &amp; Vac'!$O$9:$O$23,"&lt;="&amp;K$180,'Renew &amp; Vac'!$P$9:$P$23,"&gt;="&amp;K$180)+SUMIFS('Renew &amp; Vac'!$H$9:$H$23,'Renew &amp; Vac'!$A$9:$A$23,'4050'!$B188,'Renew &amp; Vac'!$D$9:$D$23,"&lt;="&amp;K$180,'Renew &amp; Vac'!$E$9:$E$23,"&gt;="&amp;K187)</f>
        <v>0</v>
      </c>
      <c r="L188" s="34">
        <f>SUMIFS('Renew &amp; Vac'!$S$9:$S$23,'Renew &amp; Vac'!$L$9:$L$23,$B188,'Renew &amp; Vac'!$O$9:$O$23,"&lt;="&amp;L$180,'Renew &amp; Vac'!$P$9:$P$23,"&gt;="&amp;L$180)+SUMIFS('Renew &amp; Vac'!$H$9:$H$23,'Renew &amp; Vac'!$A$9:$A$23,'4050'!$B188,'Renew &amp; Vac'!$D$9:$D$23,"&lt;="&amp;L$180,'Renew &amp; Vac'!$E$9:$E$23,"&gt;="&amp;L187)</f>
        <v>0</v>
      </c>
      <c r="M188" s="34">
        <f>SUMIFS('Renew &amp; Vac'!$S$9:$S$23,'Renew &amp; Vac'!$L$9:$L$23,$B188,'Renew &amp; Vac'!$O$9:$O$23,"&lt;="&amp;M$180,'Renew &amp; Vac'!$P$9:$P$23,"&gt;="&amp;M$180)+SUMIFS('Renew &amp; Vac'!$H$9:$H$23,'Renew &amp; Vac'!$A$9:$A$23,'4050'!$B188,'Renew &amp; Vac'!$D$9:$D$23,"&lt;="&amp;M$180,'Renew &amp; Vac'!$E$9:$E$23,"&gt;="&amp;M187)</f>
        <v>0</v>
      </c>
      <c r="N188" s="34">
        <f>SUMIFS('Renew &amp; Vac'!$S$9:$S$23,'Renew &amp; Vac'!$L$9:$L$23,$B188,'Renew &amp; Vac'!$O$9:$O$23,"&lt;="&amp;N$180,'Renew &amp; Vac'!$P$9:$P$23,"&gt;="&amp;N$180)+SUMIFS('Renew &amp; Vac'!$H$9:$H$23,'Renew &amp; Vac'!$A$9:$A$23,'4050'!$B188,'Renew &amp; Vac'!$D$9:$D$23,"&lt;="&amp;N$180,'Renew &amp; Vac'!$E$9:$E$23,"&gt;="&amp;N187)</f>
        <v>0</v>
      </c>
      <c r="O188" s="34">
        <f>SUMIFS('Renew &amp; Vac'!$S$9:$S$23,'Renew &amp; Vac'!$L$9:$L$23,$B188,'Renew &amp; Vac'!$O$9:$O$23,"&lt;="&amp;O$180,'Renew &amp; Vac'!$P$9:$P$23,"&gt;="&amp;O$180)+SUMIFS('Renew &amp; Vac'!$H$9:$H$23,'Renew &amp; Vac'!$A$9:$A$23,'4050'!$B188,'Renew &amp; Vac'!$D$9:$D$23,"&lt;="&amp;O$180,'Renew &amp; Vac'!$E$9:$E$23,"&gt;="&amp;O187)</f>
        <v>3463.2916666666665</v>
      </c>
      <c r="P188" s="34">
        <f>SUMIFS('Renew &amp; Vac'!$S$9:$S$23,'Renew &amp; Vac'!$L$9:$L$23,$B188,'Renew &amp; Vac'!$O$9:$O$23,"&lt;="&amp;P$180,'Renew &amp; Vac'!$P$9:$P$23,"&gt;="&amp;P$180)+SUMIFS('Renew &amp; Vac'!$H$9:$H$23,'Renew &amp; Vac'!$A$9:$A$23,'4050'!$B188,'Renew &amp; Vac'!$D$9:$D$23,"&lt;="&amp;P$180,'Renew &amp; Vac'!$E$9:$E$23,"&gt;="&amp;P187)</f>
        <v>3463.2916666666665</v>
      </c>
      <c r="Q188" s="36">
        <f t="shared" ref="Q188:Q189" si="50">SUM(E188:P188)</f>
        <v>6926.583333333333</v>
      </c>
    </row>
    <row r="189" spans="2:21" outlineLevel="1" x14ac:dyDescent="0.35">
      <c r="B189" s="127" t="str">
        <f t="shared" si="49"/>
        <v>4050-207</v>
      </c>
      <c r="D189" s="34" t="str">
        <f>IFERROR(VLOOKUP(B189,'Renew &amp; Vac'!$A$9:$B$23,2,FALSE),IFERROR(VLOOKUP(B189,'Renew &amp; Vac'!$L$9:$M$23,2,FALSE),VLOOKUP(B189,$B$160:$D$175,3,FALSE)))</f>
        <v>Pragmatics</v>
      </c>
      <c r="E189" s="34">
        <f>SUMIFS('Renew &amp; Vac'!$S$9:$S$23,'Renew &amp; Vac'!$L$9:$L$23,$B189,'Renew &amp; Vac'!$O$9:$O$23,"&lt;="&amp;E$180,'Renew &amp; Vac'!$P$9:$P$23,"&gt;="&amp;E$180)+SUMIFS('Renew &amp; Vac'!$H$9:$H$23,'Renew &amp; Vac'!$A$9:$A$23,'4050'!$B189,'Renew &amp; Vac'!$D$9:$D$23,"&lt;="&amp;E$180,'Renew &amp; Vac'!$E$9:$E$23,"&gt;="&amp;E188)</f>
        <v>0</v>
      </c>
      <c r="F189" s="34">
        <f>SUMIFS('Renew &amp; Vac'!$S$9:$S$23,'Renew &amp; Vac'!$L$9:$L$23,$B189,'Renew &amp; Vac'!$O$9:$O$23,"&lt;="&amp;F$180,'Renew &amp; Vac'!$P$9:$P$23,"&gt;="&amp;F$180)+SUMIFS('Renew &amp; Vac'!$H$9:$H$23,'Renew &amp; Vac'!$A$9:$A$23,'4050'!$B189,'Renew &amp; Vac'!$D$9:$D$23,"&lt;="&amp;F$180,'Renew &amp; Vac'!$E$9:$E$23,"&gt;="&amp;F188)</f>
        <v>0</v>
      </c>
      <c r="G189" s="34">
        <f>SUMIFS('Renew &amp; Vac'!$S$9:$S$23,'Renew &amp; Vac'!$L$9:$L$23,$B189,'Renew &amp; Vac'!$O$9:$O$23,"&lt;="&amp;G$180,'Renew &amp; Vac'!$P$9:$P$23,"&gt;="&amp;G$180)+SUMIFS('Renew &amp; Vac'!$H$9:$H$23,'Renew &amp; Vac'!$A$9:$A$23,'4050'!$B189,'Renew &amp; Vac'!$D$9:$D$23,"&lt;="&amp;G$180,'Renew &amp; Vac'!$E$9:$E$23,"&gt;="&amp;G188)</f>
        <v>0</v>
      </c>
      <c r="H189" s="34">
        <f>SUMIFS('Renew &amp; Vac'!$S$9:$S$23,'Renew &amp; Vac'!$L$9:$L$23,$B189,'Renew &amp; Vac'!$O$9:$O$23,"&lt;="&amp;H$180,'Renew &amp; Vac'!$P$9:$P$23,"&gt;="&amp;H$180)+SUMIFS('Renew &amp; Vac'!$H$9:$H$23,'Renew &amp; Vac'!$A$9:$A$23,'4050'!$B189,'Renew &amp; Vac'!$D$9:$D$23,"&lt;="&amp;H$180,'Renew &amp; Vac'!$E$9:$E$23,"&gt;="&amp;H188)</f>
        <v>5964.416666666667</v>
      </c>
      <c r="I189" s="34">
        <f>SUMIFS('Renew &amp; Vac'!$S$9:$S$23,'Renew &amp; Vac'!$L$9:$L$23,$B189,'Renew &amp; Vac'!$O$9:$O$23,"&lt;="&amp;I$180,'Renew &amp; Vac'!$P$9:$P$23,"&gt;="&amp;I$180)+SUMIFS('Renew &amp; Vac'!$H$9:$H$23,'Renew &amp; Vac'!$A$9:$A$23,'4050'!$B189,'Renew &amp; Vac'!$D$9:$D$23,"&lt;="&amp;I$180,'Renew &amp; Vac'!$E$9:$E$23,"&gt;="&amp;I188)</f>
        <v>5964.416666666667</v>
      </c>
      <c r="J189" s="34">
        <f>SUMIFS('Renew &amp; Vac'!$S$9:$S$23,'Renew &amp; Vac'!$L$9:$L$23,$B189,'Renew &amp; Vac'!$O$9:$O$23,"&lt;="&amp;J$180,'Renew &amp; Vac'!$P$9:$P$23,"&gt;="&amp;J$180)+SUMIFS('Renew &amp; Vac'!$H$9:$H$23,'Renew &amp; Vac'!$A$9:$A$23,'4050'!$B189,'Renew &amp; Vac'!$D$9:$D$23,"&lt;="&amp;J$180,'Renew &amp; Vac'!$E$9:$E$23,"&gt;="&amp;J188)</f>
        <v>5964.416666666667</v>
      </c>
      <c r="K189" s="34">
        <f>SUMIFS('Renew &amp; Vac'!$S$9:$S$23,'Renew &amp; Vac'!$L$9:$L$23,$B189,'Renew &amp; Vac'!$O$9:$O$23,"&lt;="&amp;K$180,'Renew &amp; Vac'!$P$9:$P$23,"&gt;="&amp;K$180)+SUMIFS('Renew &amp; Vac'!$H$9:$H$23,'Renew &amp; Vac'!$A$9:$A$23,'4050'!$B189,'Renew &amp; Vac'!$D$9:$D$23,"&lt;="&amp;K$180,'Renew &amp; Vac'!$E$9:$E$23,"&gt;="&amp;K188)</f>
        <v>5964.416666666667</v>
      </c>
      <c r="L189" s="34">
        <f>SUMIFS('Renew &amp; Vac'!$S$9:$S$23,'Renew &amp; Vac'!$L$9:$L$23,$B189,'Renew &amp; Vac'!$O$9:$O$23,"&lt;="&amp;L$180,'Renew &amp; Vac'!$P$9:$P$23,"&gt;="&amp;L$180)+SUMIFS('Renew &amp; Vac'!$H$9:$H$23,'Renew &amp; Vac'!$A$9:$A$23,'4050'!$B189,'Renew &amp; Vac'!$D$9:$D$23,"&lt;="&amp;L$180,'Renew &amp; Vac'!$E$9:$E$23,"&gt;="&amp;L188)</f>
        <v>5964.416666666667</v>
      </c>
      <c r="M189" s="34">
        <f>SUMIFS('Renew &amp; Vac'!$S$9:$S$23,'Renew &amp; Vac'!$L$9:$L$23,$B189,'Renew &amp; Vac'!$O$9:$O$23,"&lt;="&amp;M$180,'Renew &amp; Vac'!$P$9:$P$23,"&gt;="&amp;M$180)+SUMIFS('Renew &amp; Vac'!$H$9:$H$23,'Renew &amp; Vac'!$A$9:$A$23,'4050'!$B189,'Renew &amp; Vac'!$D$9:$D$23,"&lt;="&amp;M$180,'Renew &amp; Vac'!$E$9:$E$23,"&gt;="&amp;M188)</f>
        <v>5964.416666666667</v>
      </c>
      <c r="N189" s="34">
        <f>SUMIFS('Renew &amp; Vac'!$S$9:$S$23,'Renew &amp; Vac'!$L$9:$L$23,$B189,'Renew &amp; Vac'!$O$9:$O$23,"&lt;="&amp;N$180,'Renew &amp; Vac'!$P$9:$P$23,"&gt;="&amp;N$180)+SUMIFS('Renew &amp; Vac'!$H$9:$H$23,'Renew &amp; Vac'!$A$9:$A$23,'4050'!$B189,'Renew &amp; Vac'!$D$9:$D$23,"&lt;="&amp;N$180,'Renew &amp; Vac'!$E$9:$E$23,"&gt;="&amp;N188)</f>
        <v>5964.416666666667</v>
      </c>
      <c r="O189" s="34">
        <f>SUMIFS('Renew &amp; Vac'!$S$9:$S$23,'Renew &amp; Vac'!$L$9:$L$23,$B189,'Renew &amp; Vac'!$O$9:$O$23,"&lt;="&amp;O$180,'Renew &amp; Vac'!$P$9:$P$23,"&gt;="&amp;O$180)+SUMIFS('Renew &amp; Vac'!$H$9:$H$23,'Renew &amp; Vac'!$A$9:$A$23,'4050'!$B189,'Renew &amp; Vac'!$D$9:$D$23,"&lt;="&amp;O$180,'Renew &amp; Vac'!$E$9:$E$23,"&gt;="&amp;O188)</f>
        <v>5964.416666666667</v>
      </c>
      <c r="P189" s="34">
        <f>SUMIFS('Renew &amp; Vac'!$S$9:$S$23,'Renew &amp; Vac'!$L$9:$L$23,$B189,'Renew &amp; Vac'!$O$9:$O$23,"&lt;="&amp;P$180,'Renew &amp; Vac'!$P$9:$P$23,"&gt;="&amp;P$180)+SUMIFS('Renew &amp; Vac'!$H$9:$H$23,'Renew &amp; Vac'!$A$9:$A$23,'4050'!$B189,'Renew &amp; Vac'!$D$9:$D$23,"&lt;="&amp;P$180,'Renew &amp; Vac'!$E$9:$E$23,"&gt;="&amp;P188)</f>
        <v>5964.416666666667</v>
      </c>
      <c r="Q189" s="36">
        <f t="shared" si="50"/>
        <v>53679.749999999993</v>
      </c>
    </row>
    <row r="190" spans="2:21" outlineLevel="1" x14ac:dyDescent="0.35">
      <c r="B190" s="127" t="str">
        <f t="shared" ref="B190:B196" si="51">B169</f>
        <v>4050-215</v>
      </c>
      <c r="D190" s="34" t="str">
        <f>IFERROR(VLOOKUP(B190,'Renew &amp; Vac'!$A$9:$B$23,2,FALSE),IFERROR(VLOOKUP(B190,'Renew &amp; Vac'!$L$9:$M$23,2,FALSE),VLOOKUP(B190,$B$160:$D$175,3,FALSE)))</f>
        <v>VACANT</v>
      </c>
      <c r="E190" s="34">
        <f>SUMIFS('Renew &amp; Vac'!$S$9:$S$23,'Renew &amp; Vac'!$L$9:$L$23,$B190,'Renew &amp; Vac'!$O$9:$O$23,"&lt;="&amp;E$180,'Renew &amp; Vac'!$P$9:$P$23,"&gt;="&amp;E$180)+SUMIFS('Renew &amp; Vac'!$H$9:$H$23,'Renew &amp; Vac'!$A$9:$A$23,'4050'!$B190,'Renew &amp; Vac'!$D$9:$D$23,"&lt;="&amp;E$180,'Renew &amp; Vac'!$E$9:$E$23,"&gt;="&amp;E189)</f>
        <v>2631.625</v>
      </c>
      <c r="F190" s="34">
        <f>SUMIFS('Renew &amp; Vac'!$S$9:$S$23,'Renew &amp; Vac'!$L$9:$L$23,$B190,'Renew &amp; Vac'!$O$9:$O$23,"&lt;="&amp;F$180,'Renew &amp; Vac'!$P$9:$P$23,"&gt;="&amp;F$180)+SUMIFS('Renew &amp; Vac'!$H$9:$H$23,'Renew &amp; Vac'!$A$9:$A$23,'4050'!$B190,'Renew &amp; Vac'!$D$9:$D$23,"&lt;="&amp;F$180,'Renew &amp; Vac'!$E$9:$E$23,"&gt;="&amp;F189)</f>
        <v>2631.625</v>
      </c>
      <c r="G190" s="34">
        <f>SUMIFS('Renew &amp; Vac'!$S$9:$S$23,'Renew &amp; Vac'!$L$9:$L$23,$B190,'Renew &amp; Vac'!$O$9:$O$23,"&lt;="&amp;G$180,'Renew &amp; Vac'!$P$9:$P$23,"&gt;="&amp;G$180)+SUMIFS('Renew &amp; Vac'!$H$9:$H$23,'Renew &amp; Vac'!$A$9:$A$23,'4050'!$B190,'Renew &amp; Vac'!$D$9:$D$23,"&lt;="&amp;G$180,'Renew &amp; Vac'!$E$9:$E$23,"&gt;="&amp;G189)</f>
        <v>2631.625</v>
      </c>
      <c r="H190" s="34">
        <f>SUMIFS('Renew &amp; Vac'!$S$9:$S$23,'Renew &amp; Vac'!$L$9:$L$23,$B190,'Renew &amp; Vac'!$O$9:$O$23,"&lt;="&amp;H$180,'Renew &amp; Vac'!$P$9:$P$23,"&gt;="&amp;H$180)+SUMIFS('Renew &amp; Vac'!$H$9:$H$23,'Renew &amp; Vac'!$A$9:$A$23,'4050'!$B190,'Renew &amp; Vac'!$D$9:$D$23,"&lt;="&amp;H$180,'Renew &amp; Vac'!$E$9:$E$23,"&gt;="&amp;H189)</f>
        <v>2631.625</v>
      </c>
      <c r="I190" s="34">
        <f>SUMIFS('Renew &amp; Vac'!$S$9:$S$23,'Renew &amp; Vac'!$L$9:$L$23,$B190,'Renew &amp; Vac'!$O$9:$O$23,"&lt;="&amp;I$180,'Renew &amp; Vac'!$P$9:$P$23,"&gt;="&amp;I$180)+SUMIFS('Renew &amp; Vac'!$H$9:$H$23,'Renew &amp; Vac'!$A$9:$A$23,'4050'!$B190,'Renew &amp; Vac'!$D$9:$D$23,"&lt;="&amp;I$180,'Renew &amp; Vac'!$E$9:$E$23,"&gt;="&amp;I189)</f>
        <v>2631.625</v>
      </c>
      <c r="J190" s="34">
        <f>SUMIFS('Renew &amp; Vac'!$S$9:$S$23,'Renew &amp; Vac'!$L$9:$L$23,$B190,'Renew &amp; Vac'!$O$9:$O$23,"&lt;="&amp;J$180,'Renew &amp; Vac'!$P$9:$P$23,"&gt;="&amp;J$180)+SUMIFS('Renew &amp; Vac'!$H$9:$H$23,'Renew &amp; Vac'!$A$9:$A$23,'4050'!$B190,'Renew &amp; Vac'!$D$9:$D$23,"&lt;="&amp;J$180,'Renew &amp; Vac'!$E$9:$E$23,"&gt;="&amp;J189)</f>
        <v>2631.625</v>
      </c>
      <c r="K190" s="34">
        <f>SUMIFS('Renew &amp; Vac'!$S$9:$S$23,'Renew &amp; Vac'!$L$9:$L$23,$B190,'Renew &amp; Vac'!$O$9:$O$23,"&lt;="&amp;K$180,'Renew &amp; Vac'!$P$9:$P$23,"&gt;="&amp;K$180)+SUMIFS('Renew &amp; Vac'!$H$9:$H$23,'Renew &amp; Vac'!$A$9:$A$23,'4050'!$B190,'Renew &amp; Vac'!$D$9:$D$23,"&lt;="&amp;K$180,'Renew &amp; Vac'!$E$9:$E$23,"&gt;="&amp;K189)</f>
        <v>2631.625</v>
      </c>
      <c r="L190" s="34">
        <f>SUMIFS('Renew &amp; Vac'!$S$9:$S$23,'Renew &amp; Vac'!$L$9:$L$23,$B190,'Renew &amp; Vac'!$O$9:$O$23,"&lt;="&amp;L$180,'Renew &amp; Vac'!$P$9:$P$23,"&gt;="&amp;L$180)+SUMIFS('Renew &amp; Vac'!$H$9:$H$23,'Renew &amp; Vac'!$A$9:$A$23,'4050'!$B190,'Renew &amp; Vac'!$D$9:$D$23,"&lt;="&amp;L$180,'Renew &amp; Vac'!$E$9:$E$23,"&gt;="&amp;L189)</f>
        <v>2631.625</v>
      </c>
      <c r="M190" s="34">
        <f>SUMIFS('Renew &amp; Vac'!$S$9:$S$23,'Renew &amp; Vac'!$L$9:$L$23,$B190,'Renew &amp; Vac'!$O$9:$O$23,"&lt;="&amp;M$180,'Renew &amp; Vac'!$P$9:$P$23,"&gt;="&amp;M$180)+SUMIFS('Renew &amp; Vac'!$H$9:$H$23,'Renew &amp; Vac'!$A$9:$A$23,'4050'!$B190,'Renew &amp; Vac'!$D$9:$D$23,"&lt;="&amp;M$180,'Renew &amp; Vac'!$E$9:$E$23,"&gt;="&amp;M189)</f>
        <v>2631.625</v>
      </c>
      <c r="N190" s="34">
        <f>SUMIFS('Renew &amp; Vac'!$S$9:$S$23,'Renew &amp; Vac'!$L$9:$L$23,$B190,'Renew &amp; Vac'!$O$9:$O$23,"&lt;="&amp;N$180,'Renew &amp; Vac'!$P$9:$P$23,"&gt;="&amp;N$180)+SUMIFS('Renew &amp; Vac'!$H$9:$H$23,'Renew &amp; Vac'!$A$9:$A$23,'4050'!$B190,'Renew &amp; Vac'!$D$9:$D$23,"&lt;="&amp;N$180,'Renew &amp; Vac'!$E$9:$E$23,"&gt;="&amp;N189)</f>
        <v>2631.625</v>
      </c>
      <c r="O190" s="34">
        <f>SUMIFS('Renew &amp; Vac'!$S$9:$S$23,'Renew &amp; Vac'!$L$9:$L$23,$B190,'Renew &amp; Vac'!$O$9:$O$23,"&lt;="&amp;O$180,'Renew &amp; Vac'!$P$9:$P$23,"&gt;="&amp;O$180)+SUMIFS('Renew &amp; Vac'!$H$9:$H$23,'Renew &amp; Vac'!$A$9:$A$23,'4050'!$B190,'Renew &amp; Vac'!$D$9:$D$23,"&lt;="&amp;O$180,'Renew &amp; Vac'!$E$9:$E$23,"&gt;="&amp;O189)</f>
        <v>2631.625</v>
      </c>
      <c r="P190" s="34">
        <f>SUMIFS('Renew &amp; Vac'!$S$9:$S$23,'Renew &amp; Vac'!$L$9:$L$23,$B190,'Renew &amp; Vac'!$O$9:$O$23,"&lt;="&amp;P$180,'Renew &amp; Vac'!$P$9:$P$23,"&gt;="&amp;P$180)+SUMIFS('Renew &amp; Vac'!$H$9:$H$23,'Renew &amp; Vac'!$A$9:$A$23,'4050'!$B190,'Renew &amp; Vac'!$D$9:$D$23,"&lt;="&amp;P$180,'Renew &amp; Vac'!$E$9:$E$23,"&gt;="&amp;P189)</f>
        <v>2631.625</v>
      </c>
      <c r="Q190" s="36">
        <f t="shared" si="48"/>
        <v>31579.5</v>
      </c>
    </row>
    <row r="191" spans="2:21" outlineLevel="1" x14ac:dyDescent="0.35">
      <c r="B191" s="127" t="str">
        <f t="shared" si="51"/>
        <v>4050-300</v>
      </c>
      <c r="D191" s="34" t="str">
        <f>IFERROR(VLOOKUP(B191,'Renew &amp; Vac'!$A$9:$B$23,2,FALSE),IFERROR(VLOOKUP(B191,'Renew &amp; Vac'!$L$9:$M$23,2,FALSE),VLOOKUP(B191,$B$160:$D$175,3,FALSE)))</f>
        <v>First Choice Lending Of NJ</v>
      </c>
      <c r="E191" s="34">
        <f>SUMIFS('Renew &amp; Vac'!$S$9:$S$23,'Renew &amp; Vac'!$L$9:$L$23,$B191,'Renew &amp; Vac'!$O$9:$O$23,"&lt;="&amp;E$180,'Renew &amp; Vac'!$P$9:$P$23,"&gt;="&amp;E$180)+SUMIFS('Renew &amp; Vac'!$H$9:$H$23,'Renew &amp; Vac'!$A$9:$A$23,'4050'!$B191,'Renew &amp; Vac'!$D$9:$D$23,"&lt;="&amp;E$180,'Renew &amp; Vac'!$E$9:$E$23,"&gt;="&amp;E190)</f>
        <v>0</v>
      </c>
      <c r="F191" s="34">
        <f>SUMIFS('Renew &amp; Vac'!$S$9:$S$23,'Renew &amp; Vac'!$L$9:$L$23,$B191,'Renew &amp; Vac'!$O$9:$O$23,"&lt;="&amp;F$180,'Renew &amp; Vac'!$P$9:$P$23,"&gt;="&amp;F$180)+SUMIFS('Renew &amp; Vac'!$H$9:$H$23,'Renew &amp; Vac'!$A$9:$A$23,'4050'!$B191,'Renew &amp; Vac'!$D$9:$D$23,"&lt;="&amp;F$180,'Renew &amp; Vac'!$E$9:$E$23,"&gt;="&amp;F190)</f>
        <v>0</v>
      </c>
      <c r="G191" s="34">
        <f>SUMIFS('Renew &amp; Vac'!$S$9:$S$23,'Renew &amp; Vac'!$L$9:$L$23,$B191,'Renew &amp; Vac'!$O$9:$O$23,"&lt;="&amp;G$180,'Renew &amp; Vac'!$P$9:$P$23,"&gt;="&amp;G$180)+SUMIFS('Renew &amp; Vac'!$H$9:$H$23,'Renew &amp; Vac'!$A$9:$A$23,'4050'!$B191,'Renew &amp; Vac'!$D$9:$D$23,"&lt;="&amp;G$180,'Renew &amp; Vac'!$E$9:$E$23,"&gt;="&amp;G190)</f>
        <v>0</v>
      </c>
      <c r="H191" s="34">
        <f>SUMIFS('Renew &amp; Vac'!$S$9:$S$23,'Renew &amp; Vac'!$L$9:$L$23,$B191,'Renew &amp; Vac'!$O$9:$O$23,"&lt;="&amp;H$180,'Renew &amp; Vac'!$P$9:$P$23,"&gt;="&amp;H$180)+SUMIFS('Renew &amp; Vac'!$H$9:$H$23,'Renew &amp; Vac'!$A$9:$A$23,'4050'!$B191,'Renew &amp; Vac'!$D$9:$D$23,"&lt;="&amp;H$180,'Renew &amp; Vac'!$E$9:$E$23,"&gt;="&amp;H190)</f>
        <v>0</v>
      </c>
      <c r="I191" s="34">
        <f>SUMIFS('Renew &amp; Vac'!$S$9:$S$23,'Renew &amp; Vac'!$L$9:$L$23,$B191,'Renew &amp; Vac'!$O$9:$O$23,"&lt;="&amp;I$180,'Renew &amp; Vac'!$P$9:$P$23,"&gt;="&amp;I$180)+SUMIFS('Renew &amp; Vac'!$H$9:$H$23,'Renew &amp; Vac'!$A$9:$A$23,'4050'!$B191,'Renew &amp; Vac'!$D$9:$D$23,"&lt;="&amp;I$180,'Renew &amp; Vac'!$E$9:$E$23,"&gt;="&amp;I190)</f>
        <v>0</v>
      </c>
      <c r="J191" s="34">
        <f>SUMIFS('Renew &amp; Vac'!$S$9:$S$23,'Renew &amp; Vac'!$L$9:$L$23,$B191,'Renew &amp; Vac'!$O$9:$O$23,"&lt;="&amp;J$180,'Renew &amp; Vac'!$P$9:$P$23,"&gt;="&amp;J$180)+SUMIFS('Renew &amp; Vac'!$H$9:$H$23,'Renew &amp; Vac'!$A$9:$A$23,'4050'!$B191,'Renew &amp; Vac'!$D$9:$D$23,"&lt;="&amp;J$180,'Renew &amp; Vac'!$E$9:$E$23,"&gt;="&amp;J190)</f>
        <v>0</v>
      </c>
      <c r="K191" s="34">
        <f>SUMIFS('Renew &amp; Vac'!$S$9:$S$23,'Renew &amp; Vac'!$L$9:$L$23,$B191,'Renew &amp; Vac'!$O$9:$O$23,"&lt;="&amp;K$180,'Renew &amp; Vac'!$P$9:$P$23,"&gt;="&amp;K$180)+SUMIFS('Renew &amp; Vac'!$H$9:$H$23,'Renew &amp; Vac'!$A$9:$A$23,'4050'!$B191,'Renew &amp; Vac'!$D$9:$D$23,"&lt;="&amp;K$180,'Renew &amp; Vac'!$E$9:$E$23,"&gt;="&amp;K190)</f>
        <v>0</v>
      </c>
      <c r="L191" s="34">
        <f>SUMIFS('Renew &amp; Vac'!$S$9:$S$23,'Renew &amp; Vac'!$L$9:$L$23,$B191,'Renew &amp; Vac'!$O$9:$O$23,"&lt;="&amp;L$180,'Renew &amp; Vac'!$P$9:$P$23,"&gt;="&amp;L$180)+SUMIFS('Renew &amp; Vac'!$H$9:$H$23,'Renew &amp; Vac'!$A$9:$A$23,'4050'!$B191,'Renew &amp; Vac'!$D$9:$D$23,"&lt;="&amp;L$180,'Renew &amp; Vac'!$E$9:$E$23,"&gt;="&amp;L190)</f>
        <v>0</v>
      </c>
      <c r="M191" s="34">
        <f>SUMIFS('Renew &amp; Vac'!$S$9:$S$23,'Renew &amp; Vac'!$L$9:$L$23,$B191,'Renew &amp; Vac'!$O$9:$O$23,"&lt;="&amp;M$180,'Renew &amp; Vac'!$P$9:$P$23,"&gt;="&amp;M$180)+SUMIFS('Renew &amp; Vac'!$H$9:$H$23,'Renew &amp; Vac'!$A$9:$A$23,'4050'!$B191,'Renew &amp; Vac'!$D$9:$D$23,"&lt;="&amp;M$180,'Renew &amp; Vac'!$E$9:$E$23,"&gt;="&amp;M190)</f>
        <v>0</v>
      </c>
      <c r="N191" s="34">
        <f>SUMIFS('Renew &amp; Vac'!$S$9:$S$23,'Renew &amp; Vac'!$L$9:$L$23,$B191,'Renew &amp; Vac'!$O$9:$O$23,"&lt;="&amp;N$180,'Renew &amp; Vac'!$P$9:$P$23,"&gt;="&amp;N$180)+SUMIFS('Renew &amp; Vac'!$H$9:$H$23,'Renew &amp; Vac'!$A$9:$A$23,'4050'!$B191,'Renew &amp; Vac'!$D$9:$D$23,"&lt;="&amp;N$180,'Renew &amp; Vac'!$E$9:$E$23,"&gt;="&amp;N190)</f>
        <v>0</v>
      </c>
      <c r="O191" s="34">
        <f>SUMIFS('Renew &amp; Vac'!$S$9:$S$23,'Renew &amp; Vac'!$L$9:$L$23,$B191,'Renew &amp; Vac'!$O$9:$O$23,"&lt;="&amp;O$180,'Renew &amp; Vac'!$P$9:$P$23,"&gt;="&amp;O$180)+SUMIFS('Renew &amp; Vac'!$H$9:$H$23,'Renew &amp; Vac'!$A$9:$A$23,'4050'!$B191,'Renew &amp; Vac'!$D$9:$D$23,"&lt;="&amp;O$180,'Renew &amp; Vac'!$E$9:$E$23,"&gt;="&amp;O190)</f>
        <v>0</v>
      </c>
      <c r="P191" s="34">
        <f>SUMIFS('Renew &amp; Vac'!$S$9:$S$23,'Renew &amp; Vac'!$L$9:$L$23,$B191,'Renew &amp; Vac'!$O$9:$O$23,"&lt;="&amp;P$180,'Renew &amp; Vac'!$P$9:$P$23,"&gt;="&amp;P$180)+SUMIFS('Renew &amp; Vac'!$H$9:$H$23,'Renew &amp; Vac'!$A$9:$A$23,'4050'!$B191,'Renew &amp; Vac'!$D$9:$D$23,"&lt;="&amp;P$180,'Renew &amp; Vac'!$E$9:$E$23,"&gt;="&amp;P190)</f>
        <v>0</v>
      </c>
      <c r="Q191" s="36">
        <f t="shared" si="48"/>
        <v>0</v>
      </c>
    </row>
    <row r="192" spans="2:21" outlineLevel="1" x14ac:dyDescent="0.35">
      <c r="B192" s="127" t="str">
        <f t="shared" si="51"/>
        <v>4050-301</v>
      </c>
      <c r="D192" s="34" t="str">
        <f>IFERROR(VLOOKUP(B192,'Renew &amp; Vac'!$A$9:$B$23,2,FALSE),IFERROR(VLOOKUP(B192,'Renew &amp; Vac'!$L$9:$M$23,2,FALSE),VLOOKUP(B192,$B$160:$D$175,3,FALSE)))</f>
        <v>Disaster Solutions</v>
      </c>
      <c r="E192" s="34">
        <f>SUMIFS('Renew &amp; Vac'!$S$9:$S$23,'Renew &amp; Vac'!$L$9:$L$23,$B192,'Renew &amp; Vac'!$O$9:$O$23,"&lt;="&amp;E$180,'Renew &amp; Vac'!$P$9:$P$23,"&gt;="&amp;E$180)+SUMIFS('Renew &amp; Vac'!$H$9:$H$23,'Renew &amp; Vac'!$A$9:$A$23,'4050'!$B192,'Renew &amp; Vac'!$D$9:$D$23,"&lt;="&amp;E$180,'Renew &amp; Vac'!$E$9:$E$23,"&gt;="&amp;E191)</f>
        <v>0</v>
      </c>
      <c r="F192" s="34">
        <f>SUMIFS('Renew &amp; Vac'!$S$9:$S$23,'Renew &amp; Vac'!$L$9:$L$23,$B192,'Renew &amp; Vac'!$O$9:$O$23,"&lt;="&amp;F$180,'Renew &amp; Vac'!$P$9:$P$23,"&gt;="&amp;F$180)+SUMIFS('Renew &amp; Vac'!$H$9:$H$23,'Renew &amp; Vac'!$A$9:$A$23,'4050'!$B192,'Renew &amp; Vac'!$D$9:$D$23,"&lt;="&amp;F$180,'Renew &amp; Vac'!$E$9:$E$23,"&gt;="&amp;F191)</f>
        <v>0</v>
      </c>
      <c r="G192" s="34">
        <f>SUMIFS('Renew &amp; Vac'!$S$9:$S$23,'Renew &amp; Vac'!$L$9:$L$23,$B192,'Renew &amp; Vac'!$O$9:$O$23,"&lt;="&amp;G$180,'Renew &amp; Vac'!$P$9:$P$23,"&gt;="&amp;G$180)+SUMIFS('Renew &amp; Vac'!$H$9:$H$23,'Renew &amp; Vac'!$A$9:$A$23,'4050'!$B192,'Renew &amp; Vac'!$D$9:$D$23,"&lt;="&amp;G$180,'Renew &amp; Vac'!$E$9:$E$23,"&gt;="&amp;G191)</f>
        <v>0</v>
      </c>
      <c r="H192" s="34">
        <f>SUMIFS('Renew &amp; Vac'!$S$9:$S$23,'Renew &amp; Vac'!$L$9:$L$23,$B192,'Renew &amp; Vac'!$O$9:$O$23,"&lt;="&amp;H$180,'Renew &amp; Vac'!$P$9:$P$23,"&gt;="&amp;H$180)+SUMIFS('Renew &amp; Vac'!$H$9:$H$23,'Renew &amp; Vac'!$A$9:$A$23,'4050'!$B192,'Renew &amp; Vac'!$D$9:$D$23,"&lt;="&amp;H$180,'Renew &amp; Vac'!$E$9:$E$23,"&gt;="&amp;H191)</f>
        <v>0</v>
      </c>
      <c r="I192" s="34">
        <f>SUMIFS('Renew &amp; Vac'!$S$9:$S$23,'Renew &amp; Vac'!$L$9:$L$23,$B192,'Renew &amp; Vac'!$O$9:$O$23,"&lt;="&amp;I$180,'Renew &amp; Vac'!$P$9:$P$23,"&gt;="&amp;I$180)+SUMIFS('Renew &amp; Vac'!$H$9:$H$23,'Renew &amp; Vac'!$A$9:$A$23,'4050'!$B192,'Renew &amp; Vac'!$D$9:$D$23,"&lt;="&amp;I$180,'Renew &amp; Vac'!$E$9:$E$23,"&gt;="&amp;I191)</f>
        <v>0</v>
      </c>
      <c r="J192" s="34">
        <f>SUMIFS('Renew &amp; Vac'!$S$9:$S$23,'Renew &amp; Vac'!$L$9:$L$23,$B192,'Renew &amp; Vac'!$O$9:$O$23,"&lt;="&amp;J$180,'Renew &amp; Vac'!$P$9:$P$23,"&gt;="&amp;J$180)+SUMIFS('Renew &amp; Vac'!$H$9:$H$23,'Renew &amp; Vac'!$A$9:$A$23,'4050'!$B192,'Renew &amp; Vac'!$D$9:$D$23,"&lt;="&amp;J$180,'Renew &amp; Vac'!$E$9:$E$23,"&gt;="&amp;J191)</f>
        <v>0</v>
      </c>
      <c r="K192" s="34">
        <f>SUMIFS('Renew &amp; Vac'!$S$9:$S$23,'Renew &amp; Vac'!$L$9:$L$23,$B192,'Renew &amp; Vac'!$O$9:$O$23,"&lt;="&amp;K$180,'Renew &amp; Vac'!$P$9:$P$23,"&gt;="&amp;K$180)+SUMIFS('Renew &amp; Vac'!$H$9:$H$23,'Renew &amp; Vac'!$A$9:$A$23,'4050'!$B192,'Renew &amp; Vac'!$D$9:$D$23,"&lt;="&amp;K$180,'Renew &amp; Vac'!$E$9:$E$23,"&gt;="&amp;K191)</f>
        <v>2739.8333333333335</v>
      </c>
      <c r="L192" s="34">
        <f>SUMIFS('Renew &amp; Vac'!$S$9:$S$23,'Renew &amp; Vac'!$L$9:$L$23,$B192,'Renew &amp; Vac'!$O$9:$O$23,"&lt;="&amp;L$180,'Renew &amp; Vac'!$P$9:$P$23,"&gt;="&amp;L$180)+SUMIFS('Renew &amp; Vac'!$H$9:$H$23,'Renew &amp; Vac'!$A$9:$A$23,'4050'!$B192,'Renew &amp; Vac'!$D$9:$D$23,"&lt;="&amp;L$180,'Renew &amp; Vac'!$E$9:$E$23,"&gt;="&amp;L191)</f>
        <v>2739.8333333333335</v>
      </c>
      <c r="M192" s="34">
        <f>SUMIFS('Renew &amp; Vac'!$S$9:$S$23,'Renew &amp; Vac'!$L$9:$L$23,$B192,'Renew &amp; Vac'!$O$9:$O$23,"&lt;="&amp;M$180,'Renew &amp; Vac'!$P$9:$P$23,"&gt;="&amp;M$180)+SUMIFS('Renew &amp; Vac'!$H$9:$H$23,'Renew &amp; Vac'!$A$9:$A$23,'4050'!$B192,'Renew &amp; Vac'!$D$9:$D$23,"&lt;="&amp;M$180,'Renew &amp; Vac'!$E$9:$E$23,"&gt;="&amp;M191)</f>
        <v>2739.8333333333335</v>
      </c>
      <c r="N192" s="34">
        <f>SUMIFS('Renew &amp; Vac'!$S$9:$S$23,'Renew &amp; Vac'!$L$9:$L$23,$B192,'Renew &amp; Vac'!$O$9:$O$23,"&lt;="&amp;N$180,'Renew &amp; Vac'!$P$9:$P$23,"&gt;="&amp;N$180)+SUMIFS('Renew &amp; Vac'!$H$9:$H$23,'Renew &amp; Vac'!$A$9:$A$23,'4050'!$B192,'Renew &amp; Vac'!$D$9:$D$23,"&lt;="&amp;N$180,'Renew &amp; Vac'!$E$9:$E$23,"&gt;="&amp;N191)</f>
        <v>2739.8333333333335</v>
      </c>
      <c r="O192" s="34">
        <f>SUMIFS('Renew &amp; Vac'!$S$9:$S$23,'Renew &amp; Vac'!$L$9:$L$23,$B192,'Renew &amp; Vac'!$O$9:$O$23,"&lt;="&amp;O$180,'Renew &amp; Vac'!$P$9:$P$23,"&gt;="&amp;O$180)+SUMIFS('Renew &amp; Vac'!$H$9:$H$23,'Renew &amp; Vac'!$A$9:$A$23,'4050'!$B192,'Renew &amp; Vac'!$D$9:$D$23,"&lt;="&amp;O$180,'Renew &amp; Vac'!$E$9:$E$23,"&gt;="&amp;O191)</f>
        <v>2739.8333333333335</v>
      </c>
      <c r="P192" s="34">
        <f>SUMIFS('Renew &amp; Vac'!$S$9:$S$23,'Renew &amp; Vac'!$L$9:$L$23,$B192,'Renew &amp; Vac'!$O$9:$O$23,"&lt;="&amp;P$180,'Renew &amp; Vac'!$P$9:$P$23,"&gt;="&amp;P$180)+SUMIFS('Renew &amp; Vac'!$H$9:$H$23,'Renew &amp; Vac'!$A$9:$A$23,'4050'!$B192,'Renew &amp; Vac'!$D$9:$D$23,"&lt;="&amp;P$180,'Renew &amp; Vac'!$E$9:$E$23,"&gt;="&amp;P191)</f>
        <v>2739.8333333333335</v>
      </c>
      <c r="Q192" s="36">
        <f t="shared" si="48"/>
        <v>16439</v>
      </c>
    </row>
    <row r="193" spans="1:20" outlineLevel="1" x14ac:dyDescent="0.35">
      <c r="B193" s="127" t="str">
        <f t="shared" si="51"/>
        <v>4050-303</v>
      </c>
      <c r="D193" s="34" t="str">
        <f>IFERROR(VLOOKUP(B193,'Renew &amp; Vac'!$A$9:$B$23,2,FALSE),IFERROR(VLOOKUP(B193,'Renew &amp; Vac'!$L$9:$M$23,2,FALSE),VLOOKUP(B193,$B$160:$D$175,3,FALSE)))</f>
        <v>VACANT</v>
      </c>
      <c r="E193" s="34">
        <f>SUMIFS('Renew &amp; Vac'!$S$9:$S$23,'Renew &amp; Vac'!$L$9:$L$23,$B193,'Renew &amp; Vac'!$O$9:$O$23,"&lt;="&amp;E$180,'Renew &amp; Vac'!$P$9:$P$23,"&gt;="&amp;E$180)+SUMIFS('Renew &amp; Vac'!$H$9:$H$23,'Renew &amp; Vac'!$A$9:$A$23,'4050'!$B193,'Renew &amp; Vac'!$D$9:$D$23,"&lt;="&amp;E$180,'Renew &amp; Vac'!$E$9:$E$23,"&gt;="&amp;E192)</f>
        <v>0</v>
      </c>
      <c r="F193" s="34">
        <f>SUMIFS('Renew &amp; Vac'!$S$9:$S$23,'Renew &amp; Vac'!$L$9:$L$23,$B193,'Renew &amp; Vac'!$O$9:$O$23,"&lt;="&amp;F$180,'Renew &amp; Vac'!$P$9:$P$23,"&gt;="&amp;F$180)+SUMIFS('Renew &amp; Vac'!$H$9:$H$23,'Renew &amp; Vac'!$A$9:$A$23,'4050'!$B193,'Renew &amp; Vac'!$D$9:$D$23,"&lt;="&amp;F$180,'Renew &amp; Vac'!$E$9:$E$23,"&gt;="&amp;F192)</f>
        <v>0</v>
      </c>
      <c r="G193" s="34">
        <f>SUMIFS('Renew &amp; Vac'!$S$9:$S$23,'Renew &amp; Vac'!$L$9:$L$23,$B193,'Renew &amp; Vac'!$O$9:$O$23,"&lt;="&amp;G$180,'Renew &amp; Vac'!$P$9:$P$23,"&gt;="&amp;G$180)+SUMIFS('Renew &amp; Vac'!$H$9:$H$23,'Renew &amp; Vac'!$A$9:$A$23,'4050'!$B193,'Renew &amp; Vac'!$D$9:$D$23,"&lt;="&amp;G$180,'Renew &amp; Vac'!$E$9:$E$23,"&gt;="&amp;G192)</f>
        <v>0</v>
      </c>
      <c r="H193" s="34">
        <f>SUMIFS('Renew &amp; Vac'!$S$9:$S$23,'Renew &amp; Vac'!$L$9:$L$23,$B193,'Renew &amp; Vac'!$O$9:$O$23,"&lt;="&amp;H$180,'Renew &amp; Vac'!$P$9:$P$23,"&gt;="&amp;H$180)+SUMIFS('Renew &amp; Vac'!$H$9:$H$23,'Renew &amp; Vac'!$A$9:$A$23,'4050'!$B193,'Renew &amp; Vac'!$D$9:$D$23,"&lt;="&amp;H$180,'Renew &amp; Vac'!$E$9:$E$23,"&gt;="&amp;H192)</f>
        <v>0</v>
      </c>
      <c r="I193" s="34">
        <f>SUMIFS('Renew &amp; Vac'!$S$9:$S$23,'Renew &amp; Vac'!$L$9:$L$23,$B193,'Renew &amp; Vac'!$O$9:$O$23,"&lt;="&amp;I$180,'Renew &amp; Vac'!$P$9:$P$23,"&gt;="&amp;I$180)+SUMIFS('Renew &amp; Vac'!$H$9:$H$23,'Renew &amp; Vac'!$A$9:$A$23,'4050'!$B193,'Renew &amp; Vac'!$D$9:$D$23,"&lt;="&amp;I$180,'Renew &amp; Vac'!$E$9:$E$23,"&gt;="&amp;I192)</f>
        <v>0</v>
      </c>
      <c r="J193" s="34">
        <f>SUMIFS('Renew &amp; Vac'!$S$9:$S$23,'Renew &amp; Vac'!$L$9:$L$23,$B193,'Renew &amp; Vac'!$O$9:$O$23,"&lt;="&amp;J$180,'Renew &amp; Vac'!$P$9:$P$23,"&gt;="&amp;J$180)+SUMIFS('Renew &amp; Vac'!$H$9:$H$23,'Renew &amp; Vac'!$A$9:$A$23,'4050'!$B193,'Renew &amp; Vac'!$D$9:$D$23,"&lt;="&amp;J$180,'Renew &amp; Vac'!$E$9:$E$23,"&gt;="&amp;J192)</f>
        <v>0</v>
      </c>
      <c r="K193" s="34">
        <f>SUMIFS('Renew &amp; Vac'!$S$9:$S$23,'Renew &amp; Vac'!$L$9:$L$23,$B193,'Renew &amp; Vac'!$O$9:$O$23,"&lt;="&amp;K$180,'Renew &amp; Vac'!$P$9:$P$23,"&gt;="&amp;K$180)+SUMIFS('Renew &amp; Vac'!$H$9:$H$23,'Renew &amp; Vac'!$A$9:$A$23,'4050'!$B193,'Renew &amp; Vac'!$D$9:$D$23,"&lt;="&amp;K$180,'Renew &amp; Vac'!$E$9:$E$23,"&gt;="&amp;K192)</f>
        <v>0</v>
      </c>
      <c r="L193" s="34">
        <f>SUMIFS('Renew &amp; Vac'!$S$9:$S$23,'Renew &amp; Vac'!$L$9:$L$23,$B193,'Renew &amp; Vac'!$O$9:$O$23,"&lt;="&amp;L$180,'Renew &amp; Vac'!$P$9:$P$23,"&gt;="&amp;L$180)+SUMIFS('Renew &amp; Vac'!$H$9:$H$23,'Renew &amp; Vac'!$A$9:$A$23,'4050'!$B193,'Renew &amp; Vac'!$D$9:$D$23,"&lt;="&amp;L$180,'Renew &amp; Vac'!$E$9:$E$23,"&gt;="&amp;L192)</f>
        <v>0</v>
      </c>
      <c r="M193" s="34">
        <f>SUMIFS('Renew &amp; Vac'!$S$9:$S$23,'Renew &amp; Vac'!$L$9:$L$23,$B193,'Renew &amp; Vac'!$O$9:$O$23,"&lt;="&amp;M$180,'Renew &amp; Vac'!$P$9:$P$23,"&gt;="&amp;M$180)+SUMIFS('Renew &amp; Vac'!$H$9:$H$23,'Renew &amp; Vac'!$A$9:$A$23,'4050'!$B193,'Renew &amp; Vac'!$D$9:$D$23,"&lt;="&amp;M$180,'Renew &amp; Vac'!$E$9:$E$23,"&gt;="&amp;M192)</f>
        <v>0</v>
      </c>
      <c r="N193" s="34">
        <f>SUMIFS('Renew &amp; Vac'!$S$9:$S$23,'Renew &amp; Vac'!$L$9:$L$23,$B193,'Renew &amp; Vac'!$O$9:$O$23,"&lt;="&amp;N$180,'Renew &amp; Vac'!$P$9:$P$23,"&gt;="&amp;N$180)+SUMIFS('Renew &amp; Vac'!$H$9:$H$23,'Renew &amp; Vac'!$A$9:$A$23,'4050'!$B193,'Renew &amp; Vac'!$D$9:$D$23,"&lt;="&amp;N$180,'Renew &amp; Vac'!$E$9:$E$23,"&gt;="&amp;N192)</f>
        <v>0</v>
      </c>
      <c r="O193" s="34">
        <f>SUMIFS('Renew &amp; Vac'!$S$9:$S$23,'Renew &amp; Vac'!$L$9:$L$23,$B193,'Renew &amp; Vac'!$O$9:$O$23,"&lt;="&amp;O$180,'Renew &amp; Vac'!$P$9:$P$23,"&gt;="&amp;O$180)+SUMIFS('Renew &amp; Vac'!$H$9:$H$23,'Renew &amp; Vac'!$A$9:$A$23,'4050'!$B193,'Renew &amp; Vac'!$D$9:$D$23,"&lt;="&amp;O$180,'Renew &amp; Vac'!$E$9:$E$23,"&gt;="&amp;O192)</f>
        <v>0</v>
      </c>
      <c r="P193" s="34">
        <f>SUMIFS('Renew &amp; Vac'!$S$9:$S$23,'Renew &amp; Vac'!$L$9:$L$23,$B193,'Renew &amp; Vac'!$O$9:$O$23,"&lt;="&amp;P$180,'Renew &amp; Vac'!$P$9:$P$23,"&gt;="&amp;P$180)+SUMIFS('Renew &amp; Vac'!$H$9:$H$23,'Renew &amp; Vac'!$A$9:$A$23,'4050'!$B193,'Renew &amp; Vac'!$D$9:$D$23,"&lt;="&amp;P$180,'Renew &amp; Vac'!$E$9:$E$23,"&gt;="&amp;P192)</f>
        <v>0</v>
      </c>
      <c r="Q193" s="36">
        <f t="shared" si="48"/>
        <v>0</v>
      </c>
    </row>
    <row r="194" spans="1:20" outlineLevel="1" x14ac:dyDescent="0.35">
      <c r="B194" s="127" t="str">
        <f t="shared" si="51"/>
        <v>4050-305</v>
      </c>
      <c r="D194" s="34" t="str">
        <f>IFERROR(VLOOKUP(B194,'Renew &amp; Vac'!$A$9:$B$23,2,FALSE),IFERROR(VLOOKUP(B194,'Renew &amp; Vac'!$L$9:$M$23,2,FALSE),VLOOKUP(B194,$B$160:$D$175,3,FALSE)))</f>
        <v>VACANT</v>
      </c>
      <c r="E194" s="34">
        <f>SUMIFS('Renew &amp; Vac'!$S$9:$S$23,'Renew &amp; Vac'!$L$9:$L$23,$B194,'Renew &amp; Vac'!$O$9:$O$23,"&lt;="&amp;E$180,'Renew &amp; Vac'!$P$9:$P$23,"&gt;="&amp;E$180)+SUMIFS('Renew &amp; Vac'!$H$9:$H$23,'Renew &amp; Vac'!$A$9:$A$23,'4050'!$B194,'Renew &amp; Vac'!$D$9:$D$23,"&lt;="&amp;E$180,'Renew &amp; Vac'!$E$9:$E$23,"&gt;="&amp;E193)</f>
        <v>0</v>
      </c>
      <c r="F194" s="34">
        <f>SUMIFS('Renew &amp; Vac'!$S$9:$S$23,'Renew &amp; Vac'!$L$9:$L$23,$B194,'Renew &amp; Vac'!$O$9:$O$23,"&lt;="&amp;F$180,'Renew &amp; Vac'!$P$9:$P$23,"&gt;="&amp;F$180)+SUMIFS('Renew &amp; Vac'!$H$9:$H$23,'Renew &amp; Vac'!$A$9:$A$23,'4050'!$B194,'Renew &amp; Vac'!$D$9:$D$23,"&lt;="&amp;F$180,'Renew &amp; Vac'!$E$9:$E$23,"&gt;="&amp;F193)</f>
        <v>0</v>
      </c>
      <c r="G194" s="34">
        <f>SUMIFS('Renew &amp; Vac'!$S$9:$S$23,'Renew &amp; Vac'!$L$9:$L$23,$B194,'Renew &amp; Vac'!$O$9:$O$23,"&lt;="&amp;G$180,'Renew &amp; Vac'!$P$9:$P$23,"&gt;="&amp;G$180)+SUMIFS('Renew &amp; Vac'!$H$9:$H$23,'Renew &amp; Vac'!$A$9:$A$23,'4050'!$B194,'Renew &amp; Vac'!$D$9:$D$23,"&lt;="&amp;G$180,'Renew &amp; Vac'!$E$9:$E$23,"&gt;="&amp;G193)</f>
        <v>0</v>
      </c>
      <c r="H194" s="34">
        <f>SUMIFS('Renew &amp; Vac'!$S$9:$S$23,'Renew &amp; Vac'!$L$9:$L$23,$B194,'Renew &amp; Vac'!$O$9:$O$23,"&lt;="&amp;H$180,'Renew &amp; Vac'!$P$9:$P$23,"&gt;="&amp;H$180)+SUMIFS('Renew &amp; Vac'!$H$9:$H$23,'Renew &amp; Vac'!$A$9:$A$23,'4050'!$B194,'Renew &amp; Vac'!$D$9:$D$23,"&lt;="&amp;H$180,'Renew &amp; Vac'!$E$9:$E$23,"&gt;="&amp;H193)</f>
        <v>0</v>
      </c>
      <c r="I194" s="34">
        <f>SUMIFS('Renew &amp; Vac'!$S$9:$S$23,'Renew &amp; Vac'!$L$9:$L$23,$B194,'Renew &amp; Vac'!$O$9:$O$23,"&lt;="&amp;I$180,'Renew &amp; Vac'!$P$9:$P$23,"&gt;="&amp;I$180)+SUMIFS('Renew &amp; Vac'!$H$9:$H$23,'Renew &amp; Vac'!$A$9:$A$23,'4050'!$B194,'Renew &amp; Vac'!$D$9:$D$23,"&lt;="&amp;I$180,'Renew &amp; Vac'!$E$9:$E$23,"&gt;="&amp;I193)</f>
        <v>0</v>
      </c>
      <c r="J194" s="34">
        <f>SUMIFS('Renew &amp; Vac'!$S$9:$S$23,'Renew &amp; Vac'!$L$9:$L$23,$B194,'Renew &amp; Vac'!$O$9:$O$23,"&lt;="&amp;J$180,'Renew &amp; Vac'!$P$9:$P$23,"&gt;="&amp;J$180)+SUMIFS('Renew &amp; Vac'!$H$9:$H$23,'Renew &amp; Vac'!$A$9:$A$23,'4050'!$B194,'Renew &amp; Vac'!$D$9:$D$23,"&lt;="&amp;J$180,'Renew &amp; Vac'!$E$9:$E$23,"&gt;="&amp;J193)</f>
        <v>0</v>
      </c>
      <c r="K194" s="34">
        <f>SUMIFS('Renew &amp; Vac'!$S$9:$S$23,'Renew &amp; Vac'!$L$9:$L$23,$B194,'Renew &amp; Vac'!$O$9:$O$23,"&lt;="&amp;K$180,'Renew &amp; Vac'!$P$9:$P$23,"&gt;="&amp;K$180)+SUMIFS('Renew &amp; Vac'!$H$9:$H$23,'Renew &amp; Vac'!$A$9:$A$23,'4050'!$B194,'Renew &amp; Vac'!$D$9:$D$23,"&lt;="&amp;K$180,'Renew &amp; Vac'!$E$9:$E$23,"&gt;="&amp;K193)</f>
        <v>0</v>
      </c>
      <c r="L194" s="34">
        <f>SUMIFS('Renew &amp; Vac'!$S$9:$S$23,'Renew &amp; Vac'!$L$9:$L$23,$B194,'Renew &amp; Vac'!$O$9:$O$23,"&lt;="&amp;L$180,'Renew &amp; Vac'!$P$9:$P$23,"&gt;="&amp;L$180)+SUMIFS('Renew &amp; Vac'!$H$9:$H$23,'Renew &amp; Vac'!$A$9:$A$23,'4050'!$B194,'Renew &amp; Vac'!$D$9:$D$23,"&lt;="&amp;L$180,'Renew &amp; Vac'!$E$9:$E$23,"&gt;="&amp;L193)</f>
        <v>0</v>
      </c>
      <c r="M194" s="34">
        <f>SUMIFS('Renew &amp; Vac'!$S$9:$S$23,'Renew &amp; Vac'!$L$9:$L$23,$B194,'Renew &amp; Vac'!$O$9:$O$23,"&lt;="&amp;M$180,'Renew &amp; Vac'!$P$9:$P$23,"&gt;="&amp;M$180)+SUMIFS('Renew &amp; Vac'!$H$9:$H$23,'Renew &amp; Vac'!$A$9:$A$23,'4050'!$B194,'Renew &amp; Vac'!$D$9:$D$23,"&lt;="&amp;M$180,'Renew &amp; Vac'!$E$9:$E$23,"&gt;="&amp;M193)</f>
        <v>0</v>
      </c>
      <c r="N194" s="34">
        <f>SUMIFS('Renew &amp; Vac'!$S$9:$S$23,'Renew &amp; Vac'!$L$9:$L$23,$B194,'Renew &amp; Vac'!$O$9:$O$23,"&lt;="&amp;N$180,'Renew &amp; Vac'!$P$9:$P$23,"&gt;="&amp;N$180)+SUMIFS('Renew &amp; Vac'!$H$9:$H$23,'Renew &amp; Vac'!$A$9:$A$23,'4050'!$B194,'Renew &amp; Vac'!$D$9:$D$23,"&lt;="&amp;N$180,'Renew &amp; Vac'!$E$9:$E$23,"&gt;="&amp;N193)</f>
        <v>0</v>
      </c>
      <c r="O194" s="34">
        <f>SUMIFS('Renew &amp; Vac'!$S$9:$S$23,'Renew &amp; Vac'!$L$9:$L$23,$B194,'Renew &amp; Vac'!$O$9:$O$23,"&lt;="&amp;O$180,'Renew &amp; Vac'!$P$9:$P$23,"&gt;="&amp;O$180)+SUMIFS('Renew &amp; Vac'!$H$9:$H$23,'Renew &amp; Vac'!$A$9:$A$23,'4050'!$B194,'Renew &amp; Vac'!$D$9:$D$23,"&lt;="&amp;O$180,'Renew &amp; Vac'!$E$9:$E$23,"&gt;="&amp;O193)</f>
        <v>0</v>
      </c>
      <c r="P194" s="34">
        <f>SUMIFS('Renew &amp; Vac'!$S$9:$S$23,'Renew &amp; Vac'!$L$9:$L$23,$B194,'Renew &amp; Vac'!$O$9:$O$23,"&lt;="&amp;P$180,'Renew &amp; Vac'!$P$9:$P$23,"&gt;="&amp;P$180)+SUMIFS('Renew &amp; Vac'!$H$9:$H$23,'Renew &amp; Vac'!$A$9:$A$23,'4050'!$B194,'Renew &amp; Vac'!$D$9:$D$23,"&lt;="&amp;P$180,'Renew &amp; Vac'!$E$9:$E$23,"&gt;="&amp;P193)</f>
        <v>0</v>
      </c>
      <c r="Q194" s="36">
        <f t="shared" si="48"/>
        <v>0</v>
      </c>
    </row>
    <row r="195" spans="1:20" outlineLevel="1" x14ac:dyDescent="0.35">
      <c r="B195" s="127" t="str">
        <f t="shared" si="51"/>
        <v>4050-307</v>
      </c>
      <c r="D195" s="34" t="str">
        <f>IFERROR(VLOOKUP(B195,'Renew &amp; Vac'!$A$9:$B$23,2,FALSE),IFERROR(VLOOKUP(B195,'Renew &amp; Vac'!$L$9:$M$23,2,FALSE),VLOOKUP(B195,$B$160:$D$175,3,FALSE)))</f>
        <v>Larry H. Lefkowitz, Esquire</v>
      </c>
      <c r="E195" s="34">
        <f>SUMIFS('Renew &amp; Vac'!$S$9:$S$23,'Renew &amp; Vac'!$L$9:$L$23,$B195,'Renew &amp; Vac'!$O$9:$O$23,"&lt;="&amp;E$180,'Renew &amp; Vac'!$P$9:$P$23,"&gt;="&amp;E$180)+SUMIFS('Renew &amp; Vac'!$H$9:$H$23,'Renew &amp; Vac'!$A$9:$A$23,'4050'!$B195,'Renew &amp; Vac'!$D$9:$D$23,"&lt;="&amp;E$180,'Renew &amp; Vac'!$E$9:$E$23,"&gt;="&amp;E194)</f>
        <v>0</v>
      </c>
      <c r="F195" s="34">
        <f>SUMIFS('Renew &amp; Vac'!$S$9:$S$23,'Renew &amp; Vac'!$L$9:$L$23,$B195,'Renew &amp; Vac'!$O$9:$O$23,"&lt;="&amp;F$180,'Renew &amp; Vac'!$P$9:$P$23,"&gt;="&amp;F$180)+SUMIFS('Renew &amp; Vac'!$H$9:$H$23,'Renew &amp; Vac'!$A$9:$A$23,'4050'!$B195,'Renew &amp; Vac'!$D$9:$D$23,"&lt;="&amp;F$180,'Renew &amp; Vac'!$E$9:$E$23,"&gt;="&amp;F194)</f>
        <v>0</v>
      </c>
      <c r="G195" s="34">
        <f>SUMIFS('Renew &amp; Vac'!$S$9:$S$23,'Renew &amp; Vac'!$L$9:$L$23,$B195,'Renew &amp; Vac'!$O$9:$O$23,"&lt;="&amp;G$180,'Renew &amp; Vac'!$P$9:$P$23,"&gt;="&amp;G$180)+SUMIFS('Renew &amp; Vac'!$H$9:$H$23,'Renew &amp; Vac'!$A$9:$A$23,'4050'!$B195,'Renew &amp; Vac'!$D$9:$D$23,"&lt;="&amp;G$180,'Renew &amp; Vac'!$E$9:$E$23,"&gt;="&amp;G194)</f>
        <v>0</v>
      </c>
      <c r="H195" s="34">
        <f>SUMIFS('Renew &amp; Vac'!$S$9:$S$23,'Renew &amp; Vac'!$L$9:$L$23,$B195,'Renew &amp; Vac'!$O$9:$O$23,"&lt;="&amp;H$180,'Renew &amp; Vac'!$P$9:$P$23,"&gt;="&amp;H$180)+SUMIFS('Renew &amp; Vac'!$H$9:$H$23,'Renew &amp; Vac'!$A$9:$A$23,'4050'!$B195,'Renew &amp; Vac'!$D$9:$D$23,"&lt;="&amp;H$180,'Renew &amp; Vac'!$E$9:$E$23,"&gt;="&amp;H194)</f>
        <v>0</v>
      </c>
      <c r="I195" s="34">
        <f>SUMIFS('Renew &amp; Vac'!$S$9:$S$23,'Renew &amp; Vac'!$L$9:$L$23,$B195,'Renew &amp; Vac'!$O$9:$O$23,"&lt;="&amp;I$180,'Renew &amp; Vac'!$P$9:$P$23,"&gt;="&amp;I$180)+SUMIFS('Renew &amp; Vac'!$H$9:$H$23,'Renew &amp; Vac'!$A$9:$A$23,'4050'!$B195,'Renew &amp; Vac'!$D$9:$D$23,"&lt;="&amp;I$180,'Renew &amp; Vac'!$E$9:$E$23,"&gt;="&amp;I194)</f>
        <v>0</v>
      </c>
      <c r="J195" s="34">
        <f>SUMIFS('Renew &amp; Vac'!$S$9:$S$23,'Renew &amp; Vac'!$L$9:$L$23,$B195,'Renew &amp; Vac'!$O$9:$O$23,"&lt;="&amp;J$180,'Renew &amp; Vac'!$P$9:$P$23,"&gt;="&amp;J$180)+SUMIFS('Renew &amp; Vac'!$H$9:$H$23,'Renew &amp; Vac'!$A$9:$A$23,'4050'!$B195,'Renew &amp; Vac'!$D$9:$D$23,"&lt;="&amp;J$180,'Renew &amp; Vac'!$E$9:$E$23,"&gt;="&amp;J194)</f>
        <v>0</v>
      </c>
      <c r="K195" s="34">
        <f>SUMIFS('Renew &amp; Vac'!$S$9:$S$23,'Renew &amp; Vac'!$L$9:$L$23,$B195,'Renew &amp; Vac'!$O$9:$O$23,"&lt;="&amp;K$180,'Renew &amp; Vac'!$P$9:$P$23,"&gt;="&amp;K$180)+SUMIFS('Renew &amp; Vac'!$H$9:$H$23,'Renew &amp; Vac'!$A$9:$A$23,'4050'!$B195,'Renew &amp; Vac'!$D$9:$D$23,"&lt;="&amp;K$180,'Renew &amp; Vac'!$E$9:$E$23,"&gt;="&amp;K194)</f>
        <v>0</v>
      </c>
      <c r="L195" s="34">
        <f>SUMIFS('Renew &amp; Vac'!$S$9:$S$23,'Renew &amp; Vac'!$L$9:$L$23,$B195,'Renew &amp; Vac'!$O$9:$O$23,"&lt;="&amp;L$180,'Renew &amp; Vac'!$P$9:$P$23,"&gt;="&amp;L$180)+SUMIFS('Renew &amp; Vac'!$H$9:$H$23,'Renew &amp; Vac'!$A$9:$A$23,'4050'!$B195,'Renew &amp; Vac'!$D$9:$D$23,"&lt;="&amp;L$180,'Renew &amp; Vac'!$E$9:$E$23,"&gt;="&amp;L194)</f>
        <v>0</v>
      </c>
      <c r="M195" s="34">
        <f>SUMIFS('Renew &amp; Vac'!$S$9:$S$23,'Renew &amp; Vac'!$L$9:$L$23,$B195,'Renew &amp; Vac'!$O$9:$O$23,"&lt;="&amp;M$180,'Renew &amp; Vac'!$P$9:$P$23,"&gt;="&amp;M$180)+SUMIFS('Renew &amp; Vac'!$H$9:$H$23,'Renew &amp; Vac'!$A$9:$A$23,'4050'!$B195,'Renew &amp; Vac'!$D$9:$D$23,"&lt;="&amp;M$180,'Renew &amp; Vac'!$E$9:$E$23,"&gt;="&amp;M194)</f>
        <v>0</v>
      </c>
      <c r="N195" s="34">
        <f>SUMIFS('Renew &amp; Vac'!$S$9:$S$23,'Renew &amp; Vac'!$L$9:$L$23,$B195,'Renew &amp; Vac'!$O$9:$O$23,"&lt;="&amp;N$180,'Renew &amp; Vac'!$P$9:$P$23,"&gt;="&amp;N$180)+SUMIFS('Renew &amp; Vac'!$H$9:$H$23,'Renew &amp; Vac'!$A$9:$A$23,'4050'!$B195,'Renew &amp; Vac'!$D$9:$D$23,"&lt;="&amp;N$180,'Renew &amp; Vac'!$E$9:$E$23,"&gt;="&amp;N194)</f>
        <v>0</v>
      </c>
      <c r="O195" s="34">
        <f>SUMIFS('Renew &amp; Vac'!$S$9:$S$23,'Renew &amp; Vac'!$L$9:$L$23,$B195,'Renew &amp; Vac'!$O$9:$O$23,"&lt;="&amp;O$180,'Renew &amp; Vac'!$P$9:$P$23,"&gt;="&amp;O$180)+SUMIFS('Renew &amp; Vac'!$H$9:$H$23,'Renew &amp; Vac'!$A$9:$A$23,'4050'!$B195,'Renew &amp; Vac'!$D$9:$D$23,"&lt;="&amp;O$180,'Renew &amp; Vac'!$E$9:$E$23,"&gt;="&amp;O194)</f>
        <v>0</v>
      </c>
      <c r="P195" s="34">
        <f>SUMIFS('Renew &amp; Vac'!$S$9:$S$23,'Renew &amp; Vac'!$L$9:$L$23,$B195,'Renew &amp; Vac'!$O$9:$O$23,"&lt;="&amp;P$180,'Renew &amp; Vac'!$P$9:$P$23,"&gt;="&amp;P$180)+SUMIFS('Renew &amp; Vac'!$H$9:$H$23,'Renew &amp; Vac'!$A$9:$A$23,'4050'!$B195,'Renew &amp; Vac'!$D$9:$D$23,"&lt;="&amp;P$180,'Renew &amp; Vac'!$E$9:$E$23,"&gt;="&amp;P194)</f>
        <v>0</v>
      </c>
      <c r="Q195" s="36">
        <f t="shared" si="48"/>
        <v>0</v>
      </c>
    </row>
    <row r="196" spans="1:20" outlineLevel="1" x14ac:dyDescent="0.35">
      <c r="B196" s="520" t="str">
        <f t="shared" si="51"/>
        <v>4050-315</v>
      </c>
      <c r="C196" s="43"/>
      <c r="D196" s="43" t="str">
        <f>IFERROR(VLOOKUP(B196,'Renew &amp; Vac'!$A$9:$B$23,2,FALSE),IFERROR(VLOOKUP(B196,'Renew &amp; Vac'!$L$9:$M$23,2,FALSE),VLOOKUP(B196,$B$160:$D$175,3,FALSE)))</f>
        <v>Fenningham Stevens Dempster</v>
      </c>
      <c r="E196" s="43">
        <f>SUMIFS('Renew &amp; Vac'!$S$9:$S$23,'Renew &amp; Vac'!$L$9:$L$23,$B196,'Renew &amp; Vac'!$O$9:$O$23,"&lt;="&amp;E$180,'Renew &amp; Vac'!$P$9:$P$23,"&gt;="&amp;E$180)+SUMIFS('Renew &amp; Vac'!$H$9:$H$23,'Renew &amp; Vac'!$A$9:$A$23,'4050'!$B196,'Renew &amp; Vac'!$D$9:$D$23,"&lt;="&amp;E$180,'Renew &amp; Vac'!$E$9:$E$23,"&gt;="&amp;E195)</f>
        <v>0</v>
      </c>
      <c r="F196" s="43">
        <f>SUMIFS('Renew &amp; Vac'!$S$9:$S$23,'Renew &amp; Vac'!$L$9:$L$23,$B196,'Renew &amp; Vac'!$O$9:$O$23,"&lt;="&amp;F$180,'Renew &amp; Vac'!$P$9:$P$23,"&gt;="&amp;F$180)+SUMIFS('Renew &amp; Vac'!$H$9:$H$23,'Renew &amp; Vac'!$A$9:$A$23,'4050'!$B196,'Renew &amp; Vac'!$D$9:$D$23,"&lt;="&amp;F$180,'Renew &amp; Vac'!$E$9:$E$23,"&gt;="&amp;F195)</f>
        <v>0</v>
      </c>
      <c r="G196" s="43">
        <f>SUMIFS('Renew &amp; Vac'!$S$9:$S$23,'Renew &amp; Vac'!$L$9:$L$23,$B196,'Renew &amp; Vac'!$O$9:$O$23,"&lt;="&amp;G$180,'Renew &amp; Vac'!$P$9:$P$23,"&gt;="&amp;G$180)+SUMIFS('Renew &amp; Vac'!$H$9:$H$23,'Renew &amp; Vac'!$A$9:$A$23,'4050'!$B196,'Renew &amp; Vac'!$D$9:$D$23,"&lt;="&amp;G$180,'Renew &amp; Vac'!$E$9:$E$23,"&gt;="&amp;G195)</f>
        <v>0</v>
      </c>
      <c r="H196" s="43">
        <f>SUMIFS('Renew &amp; Vac'!$S$9:$S$23,'Renew &amp; Vac'!$L$9:$L$23,$B196,'Renew &amp; Vac'!$O$9:$O$23,"&lt;="&amp;H$180,'Renew &amp; Vac'!$P$9:$P$23,"&gt;="&amp;H$180)+SUMIFS('Renew &amp; Vac'!$H$9:$H$23,'Renew &amp; Vac'!$A$9:$A$23,'4050'!$B196,'Renew &amp; Vac'!$D$9:$D$23,"&lt;="&amp;H$180,'Renew &amp; Vac'!$E$9:$E$23,"&gt;="&amp;H195)</f>
        <v>0</v>
      </c>
      <c r="I196" s="43">
        <f>SUMIFS('Renew &amp; Vac'!$S$9:$S$23,'Renew &amp; Vac'!$L$9:$L$23,$B196,'Renew &amp; Vac'!$O$9:$O$23,"&lt;="&amp;I$180,'Renew &amp; Vac'!$P$9:$P$23,"&gt;="&amp;I$180)+SUMIFS('Renew &amp; Vac'!$H$9:$H$23,'Renew &amp; Vac'!$A$9:$A$23,'4050'!$B196,'Renew &amp; Vac'!$D$9:$D$23,"&lt;="&amp;I$180,'Renew &amp; Vac'!$E$9:$E$23,"&gt;="&amp;I195)</f>
        <v>0</v>
      </c>
      <c r="J196" s="43">
        <f>SUMIFS('Renew &amp; Vac'!$S$9:$S$23,'Renew &amp; Vac'!$L$9:$L$23,$B196,'Renew &amp; Vac'!$O$9:$O$23,"&lt;="&amp;J$180,'Renew &amp; Vac'!$P$9:$P$23,"&gt;="&amp;J$180)+SUMIFS('Renew &amp; Vac'!$H$9:$H$23,'Renew &amp; Vac'!$A$9:$A$23,'4050'!$B196,'Renew &amp; Vac'!$D$9:$D$23,"&lt;="&amp;J$180,'Renew &amp; Vac'!$E$9:$E$23,"&gt;="&amp;J195)</f>
        <v>0</v>
      </c>
      <c r="K196" s="43">
        <f>SUMIFS('Renew &amp; Vac'!$S$9:$S$23,'Renew &amp; Vac'!$L$9:$L$23,$B196,'Renew &amp; Vac'!$O$9:$O$23,"&lt;="&amp;K$180,'Renew &amp; Vac'!$P$9:$P$23,"&gt;="&amp;K$180)+SUMIFS('Renew &amp; Vac'!$H$9:$H$23,'Renew &amp; Vac'!$A$9:$A$23,'4050'!$B196,'Renew &amp; Vac'!$D$9:$D$23,"&lt;="&amp;K$180,'Renew &amp; Vac'!$E$9:$E$23,"&gt;="&amp;K195)</f>
        <v>0</v>
      </c>
      <c r="L196" s="43">
        <f>SUMIFS('Renew &amp; Vac'!$S$9:$S$23,'Renew &amp; Vac'!$L$9:$L$23,$B196,'Renew &amp; Vac'!$O$9:$O$23,"&lt;="&amp;L$180,'Renew &amp; Vac'!$P$9:$P$23,"&gt;="&amp;L$180)+SUMIFS('Renew &amp; Vac'!$H$9:$H$23,'Renew &amp; Vac'!$A$9:$A$23,'4050'!$B196,'Renew &amp; Vac'!$D$9:$D$23,"&lt;="&amp;L$180,'Renew &amp; Vac'!$E$9:$E$23,"&gt;="&amp;L195)</f>
        <v>0</v>
      </c>
      <c r="M196" s="43">
        <f>SUMIFS('Renew &amp; Vac'!$S$9:$S$23,'Renew &amp; Vac'!$L$9:$L$23,$B196,'Renew &amp; Vac'!$O$9:$O$23,"&lt;="&amp;M$180,'Renew &amp; Vac'!$P$9:$P$23,"&gt;="&amp;M$180)+SUMIFS('Renew &amp; Vac'!$H$9:$H$23,'Renew &amp; Vac'!$A$9:$A$23,'4050'!$B196,'Renew &amp; Vac'!$D$9:$D$23,"&lt;="&amp;M$180,'Renew &amp; Vac'!$E$9:$E$23,"&gt;="&amp;M195)</f>
        <v>0</v>
      </c>
      <c r="N196" s="43">
        <f>SUMIFS('Renew &amp; Vac'!$S$9:$S$23,'Renew &amp; Vac'!$L$9:$L$23,$B196,'Renew &amp; Vac'!$O$9:$O$23,"&lt;="&amp;N$180,'Renew &amp; Vac'!$P$9:$P$23,"&gt;="&amp;N$180)+SUMIFS('Renew &amp; Vac'!$H$9:$H$23,'Renew &amp; Vac'!$A$9:$A$23,'4050'!$B196,'Renew &amp; Vac'!$D$9:$D$23,"&lt;="&amp;N$180,'Renew &amp; Vac'!$E$9:$E$23,"&gt;="&amp;N195)</f>
        <v>8815.25</v>
      </c>
      <c r="O196" s="43">
        <f>SUMIFS('Renew &amp; Vac'!$S$9:$S$23,'Renew &amp; Vac'!$L$9:$L$23,$B196,'Renew &amp; Vac'!$O$9:$O$23,"&lt;="&amp;O$180,'Renew &amp; Vac'!$P$9:$P$23,"&gt;="&amp;O$180)+SUMIFS('Renew &amp; Vac'!$H$9:$H$23,'Renew &amp; Vac'!$A$9:$A$23,'4050'!$B196,'Renew &amp; Vac'!$D$9:$D$23,"&lt;="&amp;O$180,'Renew &amp; Vac'!$E$9:$E$23,"&gt;="&amp;O195)</f>
        <v>8815.25</v>
      </c>
      <c r="P196" s="43">
        <f>SUMIFS('Renew &amp; Vac'!$S$9:$S$23,'Renew &amp; Vac'!$L$9:$L$23,$B196,'Renew &amp; Vac'!$O$9:$O$23,"&lt;="&amp;P$180,'Renew &amp; Vac'!$P$9:$P$23,"&gt;="&amp;P$180)+SUMIFS('Renew &amp; Vac'!$H$9:$H$23,'Renew &amp; Vac'!$A$9:$A$23,'4050'!$B196,'Renew &amp; Vac'!$D$9:$D$23,"&lt;="&amp;P$180,'Renew &amp; Vac'!$E$9:$E$23,"&gt;="&amp;P195)</f>
        <v>8815.25</v>
      </c>
      <c r="Q196" s="87">
        <f t="shared" si="48"/>
        <v>26445.75</v>
      </c>
    </row>
    <row r="197" spans="1:20" outlineLevel="1" x14ac:dyDescent="0.35">
      <c r="B197" s="10"/>
      <c r="D197" s="44"/>
      <c r="E197" s="36">
        <f t="shared" ref="E197:Q197" si="52">SUM(E181:E196)</f>
        <v>5483.7083333333339</v>
      </c>
      <c r="F197" s="36">
        <f t="shared" si="52"/>
        <v>5483.7083333333339</v>
      </c>
      <c r="G197" s="36">
        <f t="shared" si="52"/>
        <v>5483.7083333333339</v>
      </c>
      <c r="H197" s="36">
        <f t="shared" si="52"/>
        <v>11448.125</v>
      </c>
      <c r="I197" s="36">
        <f t="shared" si="52"/>
        <v>11448.125</v>
      </c>
      <c r="J197" s="36">
        <f t="shared" si="52"/>
        <v>11448.125</v>
      </c>
      <c r="K197" s="36">
        <f t="shared" si="52"/>
        <v>28841.291666666668</v>
      </c>
      <c r="L197" s="36">
        <f t="shared" si="52"/>
        <v>28841.291666666668</v>
      </c>
      <c r="M197" s="36">
        <f t="shared" si="52"/>
        <v>28841.291666666668</v>
      </c>
      <c r="N197" s="36">
        <f t="shared" si="52"/>
        <v>37656.541666666672</v>
      </c>
      <c r="O197" s="36">
        <f t="shared" si="52"/>
        <v>41119.833333333336</v>
      </c>
      <c r="P197" s="36">
        <f t="shared" si="52"/>
        <v>41119.833333333336</v>
      </c>
      <c r="Q197" s="36">
        <f t="shared" si="52"/>
        <v>257215.58333333331</v>
      </c>
    </row>
    <row r="198" spans="1:20" outlineLevel="1" x14ac:dyDescent="0.35">
      <c r="B198" s="10"/>
      <c r="E198" s="95">
        <f t="shared" ref="E198:Q198" si="53">E11-E197</f>
        <v>0</v>
      </c>
      <c r="F198" s="95">
        <f t="shared" si="53"/>
        <v>0</v>
      </c>
      <c r="G198" s="95">
        <f t="shared" si="53"/>
        <v>0</v>
      </c>
      <c r="H198" s="95">
        <f t="shared" si="53"/>
        <v>0</v>
      </c>
      <c r="I198" s="95">
        <f t="shared" si="53"/>
        <v>0</v>
      </c>
      <c r="J198" s="95">
        <f t="shared" si="53"/>
        <v>0</v>
      </c>
      <c r="K198" s="95">
        <f t="shared" si="53"/>
        <v>0</v>
      </c>
      <c r="L198" s="95">
        <f t="shared" si="53"/>
        <v>0</v>
      </c>
      <c r="M198" s="95">
        <f t="shared" si="53"/>
        <v>0</v>
      </c>
      <c r="N198" s="95">
        <f t="shared" si="53"/>
        <v>0</v>
      </c>
      <c r="O198" s="95">
        <f t="shared" si="53"/>
        <v>0</v>
      </c>
      <c r="P198" s="95">
        <f t="shared" si="53"/>
        <v>0</v>
      </c>
      <c r="Q198" s="95">
        <f t="shared" si="53"/>
        <v>0</v>
      </c>
    </row>
    <row r="199" spans="1:20" ht="17.149999999999999" customHeight="1" x14ac:dyDescent="0.35">
      <c r="B199" s="10"/>
    </row>
    <row r="200" spans="1:20" x14ac:dyDescent="0.35">
      <c r="A200" s="80"/>
      <c r="Q200" s="391"/>
      <c r="R200" s="391"/>
      <c r="S200" s="391"/>
      <c r="T200" s="388"/>
    </row>
    <row r="201" spans="1:20" x14ac:dyDescent="0.35">
      <c r="A201" s="80"/>
      <c r="Q201" s="391"/>
      <c r="R201" s="391"/>
      <c r="S201" s="391"/>
      <c r="T201" s="388"/>
    </row>
    <row r="202" spans="1:20" x14ac:dyDescent="0.35">
      <c r="A202" s="80"/>
      <c r="Q202" s="391"/>
      <c r="R202" s="391"/>
      <c r="S202" s="391"/>
      <c r="T202" s="388"/>
    </row>
    <row r="203" spans="1:20" x14ac:dyDescent="0.35">
      <c r="A203" s="80"/>
      <c r="Q203" s="391"/>
      <c r="R203" s="391"/>
      <c r="S203" s="391"/>
      <c r="T203" s="388"/>
    </row>
    <row r="204" spans="1:20" ht="18" x14ac:dyDescent="0.35">
      <c r="A204" s="80"/>
      <c r="D204" s="35" t="str">
        <f>"Budget Import - "&amp;B1</f>
        <v>Budget Import - 4050</v>
      </c>
      <c r="E204" s="532">
        <v>5</v>
      </c>
      <c r="F204" s="533">
        <f>E204+1</f>
        <v>6</v>
      </c>
      <c r="G204" s="533">
        <f t="shared" ref="G204:P204" si="54">F204+1</f>
        <v>7</v>
      </c>
      <c r="H204" s="533">
        <f t="shared" si="54"/>
        <v>8</v>
      </c>
      <c r="I204" s="533">
        <f t="shared" si="54"/>
        <v>9</v>
      </c>
      <c r="J204" s="533">
        <f t="shared" si="54"/>
        <v>10</v>
      </c>
      <c r="K204" s="533">
        <f t="shared" si="54"/>
        <v>11</v>
      </c>
      <c r="L204" s="533">
        <f t="shared" si="54"/>
        <v>12</v>
      </c>
      <c r="M204" s="533">
        <f t="shared" si="54"/>
        <v>13</v>
      </c>
      <c r="N204" s="533">
        <f t="shared" si="54"/>
        <v>14</v>
      </c>
      <c r="O204" s="533">
        <f t="shared" si="54"/>
        <v>15</v>
      </c>
      <c r="P204" s="533">
        <f t="shared" si="54"/>
        <v>16</v>
      </c>
      <c r="Q204" s="533" t="s">
        <v>664</v>
      </c>
      <c r="R204" s="391"/>
      <c r="S204" s="391"/>
      <c r="T204" s="388"/>
    </row>
    <row r="205" spans="1:20" ht="16.5" thickBot="1" x14ac:dyDescent="0.4">
      <c r="A205" s="80"/>
      <c r="D205" s="34" t="s">
        <v>100</v>
      </c>
      <c r="E205" s="34">
        <v>1</v>
      </c>
      <c r="F205" s="34">
        <v>2</v>
      </c>
      <c r="G205" s="34">
        <v>3</v>
      </c>
      <c r="H205" s="34">
        <v>4</v>
      </c>
      <c r="I205" s="34">
        <v>5</v>
      </c>
      <c r="J205" s="34">
        <v>6</v>
      </c>
      <c r="K205" s="34">
        <v>7</v>
      </c>
      <c r="L205" s="34">
        <v>8</v>
      </c>
      <c r="M205" s="34">
        <v>9</v>
      </c>
      <c r="N205" s="34">
        <v>10</v>
      </c>
      <c r="O205" s="34">
        <v>11</v>
      </c>
      <c r="P205" s="34">
        <v>12</v>
      </c>
      <c r="Q205" s="391" t="s">
        <v>12</v>
      </c>
      <c r="R205" s="391"/>
      <c r="S205" s="391"/>
      <c r="T205" s="388"/>
    </row>
    <row r="206" spans="1:20" x14ac:dyDescent="0.35">
      <c r="A206" s="534" t="str">
        <f>VLOOKUP($D206,$A$10:$D$130,3,FALSE)</f>
        <v>Rental Income - In Place</v>
      </c>
      <c r="D206" s="101" t="s">
        <v>136</v>
      </c>
      <c r="E206" s="102">
        <f>-(VLOOKUP($D206,$A$10:$P$131,E$204,FALSE)+E11)</f>
        <v>-48635.458333333343</v>
      </c>
      <c r="F206" s="102">
        <f t="shared" ref="F206:P206" si="55">-(VLOOKUP($D206,$A$10:$P$131,F$204,FALSE)+F11)</f>
        <v>-48635.458333333343</v>
      </c>
      <c r="G206" s="102">
        <f t="shared" si="55"/>
        <v>-48635.458333333343</v>
      </c>
      <c r="H206" s="102">
        <f t="shared" si="55"/>
        <v>-48635.455000000002</v>
      </c>
      <c r="I206" s="102">
        <f t="shared" si="55"/>
        <v>-48635.455000000002</v>
      </c>
      <c r="J206" s="102">
        <f t="shared" si="55"/>
        <v>-48635.455000000002</v>
      </c>
      <c r="K206" s="102">
        <f t="shared" si="55"/>
        <v>-48682.251666666663</v>
      </c>
      <c r="L206" s="102">
        <f t="shared" si="55"/>
        <v>-48682.251666666663</v>
      </c>
      <c r="M206" s="102">
        <f t="shared" si="55"/>
        <v>-48682.251666666663</v>
      </c>
      <c r="N206" s="102">
        <f t="shared" si="55"/>
        <v>-48682.251666666663</v>
      </c>
      <c r="O206" s="102">
        <f t="shared" si="55"/>
        <v>-48682.253333333334</v>
      </c>
      <c r="P206" s="103">
        <f t="shared" si="55"/>
        <v>-48682.253333333334</v>
      </c>
      <c r="Q206" s="456">
        <f>SUM(E206:P206)</f>
        <v>-583906.2533333333</v>
      </c>
      <c r="R206" s="456"/>
      <c r="S206" s="391"/>
      <c r="T206" s="388"/>
    </row>
    <row r="207" spans="1:20" x14ac:dyDescent="0.35">
      <c r="A207" s="534" t="str">
        <f t="shared" ref="A207:A230" si="56">VLOOKUP($D207,$A$10:$D$130,3,FALSE)</f>
        <v>Interest Income</v>
      </c>
      <c r="D207" s="104" t="s">
        <v>138</v>
      </c>
      <c r="E207" s="105">
        <f t="shared" ref="E207:P210" si="57">-VLOOKUP($D207,$A$10:$P$131,E$204,FALSE)</f>
        <v>-207</v>
      </c>
      <c r="F207" s="105">
        <f t="shared" si="57"/>
        <v>-207</v>
      </c>
      <c r="G207" s="105">
        <f t="shared" si="57"/>
        <v>-207</v>
      </c>
      <c r="H207" s="105">
        <f t="shared" si="57"/>
        <v>-207</v>
      </c>
      <c r="I207" s="105">
        <f t="shared" si="57"/>
        <v>-207</v>
      </c>
      <c r="J207" s="105">
        <f t="shared" si="57"/>
        <v>-207</v>
      </c>
      <c r="K207" s="105">
        <f t="shared" si="57"/>
        <v>-207</v>
      </c>
      <c r="L207" s="105">
        <f t="shared" si="57"/>
        <v>-207</v>
      </c>
      <c r="M207" s="105">
        <f t="shared" si="57"/>
        <v>-207</v>
      </c>
      <c r="N207" s="105">
        <f t="shared" si="57"/>
        <v>-207</v>
      </c>
      <c r="O207" s="105">
        <f t="shared" si="57"/>
        <v>-207</v>
      </c>
      <c r="P207" s="106">
        <f t="shared" si="57"/>
        <v>-207</v>
      </c>
      <c r="Q207" s="456">
        <f t="shared" ref="Q207:Q240" si="58">SUM(E207:P207)</f>
        <v>-2484</v>
      </c>
      <c r="R207" s="456"/>
      <c r="S207" s="391"/>
      <c r="T207" s="388"/>
    </row>
    <row r="208" spans="1:20" x14ac:dyDescent="0.35">
      <c r="A208" s="534" t="str">
        <f t="shared" si="56"/>
        <v>Electric</v>
      </c>
      <c r="D208" s="104" t="s">
        <v>102</v>
      </c>
      <c r="E208" s="105">
        <f t="shared" si="57"/>
        <v>-7434.3877999999995</v>
      </c>
      <c r="F208" s="105">
        <f t="shared" si="57"/>
        <v>-6089.3909999999996</v>
      </c>
      <c r="G208" s="105">
        <f t="shared" si="57"/>
        <v>-5289.1881999999996</v>
      </c>
      <c r="H208" s="105">
        <f t="shared" si="57"/>
        <v>-5077.1286</v>
      </c>
      <c r="I208" s="105">
        <f t="shared" si="57"/>
        <v>-4161.5231999999996</v>
      </c>
      <c r="J208" s="105">
        <f t="shared" si="57"/>
        <v>-4534.6777999999995</v>
      </c>
      <c r="K208" s="105">
        <f t="shared" si="57"/>
        <v>-5136.2943999999998</v>
      </c>
      <c r="L208" s="105">
        <f t="shared" si="57"/>
        <v>-5243.4957999999997</v>
      </c>
      <c r="M208" s="105">
        <f t="shared" si="57"/>
        <v>-4391.7425999999996</v>
      </c>
      <c r="N208" s="105">
        <f t="shared" si="57"/>
        <v>-5212.4484000000002</v>
      </c>
      <c r="O208" s="105">
        <f t="shared" si="57"/>
        <v>-4861.5541999999996</v>
      </c>
      <c r="P208" s="106">
        <f t="shared" si="57"/>
        <v>-6659.9601999999995</v>
      </c>
      <c r="Q208" s="456">
        <f t="shared" si="58"/>
        <v>-64091.792199999996</v>
      </c>
      <c r="R208" s="456"/>
      <c r="S208" s="391"/>
      <c r="T208" s="388"/>
    </row>
    <row r="209" spans="1:20" x14ac:dyDescent="0.35">
      <c r="A209" s="534" t="str">
        <f t="shared" si="56"/>
        <v>Common Area Maintenance</v>
      </c>
      <c r="D209" s="104" t="s">
        <v>103</v>
      </c>
      <c r="E209" s="105">
        <f t="shared" si="57"/>
        <v>-3600</v>
      </c>
      <c r="F209" s="105">
        <f t="shared" si="57"/>
        <v>-3600</v>
      </c>
      <c r="G209" s="105">
        <f t="shared" si="57"/>
        <v>-3600</v>
      </c>
      <c r="H209" s="105">
        <f t="shared" si="57"/>
        <v>-3600</v>
      </c>
      <c r="I209" s="105">
        <f t="shared" si="57"/>
        <v>-3600</v>
      </c>
      <c r="J209" s="105">
        <f t="shared" si="57"/>
        <v>-3600</v>
      </c>
      <c r="K209" s="105">
        <f t="shared" si="57"/>
        <v>-3600</v>
      </c>
      <c r="L209" s="105">
        <f t="shared" si="57"/>
        <v>-3600</v>
      </c>
      <c r="M209" s="105">
        <f t="shared" si="57"/>
        <v>-3600</v>
      </c>
      <c r="N209" s="105">
        <f t="shared" si="57"/>
        <v>-3600</v>
      </c>
      <c r="O209" s="105">
        <f t="shared" si="57"/>
        <v>-3600</v>
      </c>
      <c r="P209" s="106">
        <f t="shared" si="57"/>
        <v>-3600</v>
      </c>
      <c r="Q209" s="456">
        <f t="shared" si="58"/>
        <v>-43200</v>
      </c>
      <c r="R209" s="456"/>
      <c r="S209" s="391"/>
      <c r="T209" s="388"/>
    </row>
    <row r="210" spans="1:20" x14ac:dyDescent="0.35">
      <c r="A210" s="534" t="str">
        <f t="shared" si="56"/>
        <v>Real Estate Taxes</v>
      </c>
      <c r="D210" s="104" t="s">
        <v>104</v>
      </c>
      <c r="E210" s="105">
        <f t="shared" si="57"/>
        <v>-200</v>
      </c>
      <c r="F210" s="105">
        <f t="shared" si="57"/>
        <v>-200</v>
      </c>
      <c r="G210" s="105">
        <f t="shared" si="57"/>
        <v>-200</v>
      </c>
      <c r="H210" s="105">
        <f t="shared" si="57"/>
        <v>-200</v>
      </c>
      <c r="I210" s="105">
        <f t="shared" si="57"/>
        <v>-200</v>
      </c>
      <c r="J210" s="105">
        <f t="shared" si="57"/>
        <v>-200</v>
      </c>
      <c r="K210" s="105">
        <f t="shared" si="57"/>
        <v>-200</v>
      </c>
      <c r="L210" s="105">
        <f t="shared" si="57"/>
        <v>-200</v>
      </c>
      <c r="M210" s="105">
        <f t="shared" si="57"/>
        <v>-200</v>
      </c>
      <c r="N210" s="105">
        <f t="shared" si="57"/>
        <v>-200</v>
      </c>
      <c r="O210" s="105">
        <f t="shared" si="57"/>
        <v>-200</v>
      </c>
      <c r="P210" s="106">
        <f t="shared" si="57"/>
        <v>-200</v>
      </c>
      <c r="Q210" s="456">
        <f t="shared" si="58"/>
        <v>-2400</v>
      </c>
      <c r="R210" s="456"/>
      <c r="S210" s="391"/>
      <c r="T210" s="388"/>
    </row>
    <row r="211" spans="1:20" x14ac:dyDescent="0.35">
      <c r="A211" s="534" t="str">
        <f t="shared" si="56"/>
        <v>Insurance</v>
      </c>
      <c r="D211" s="104" t="s">
        <v>139</v>
      </c>
      <c r="E211" s="105">
        <f>-VLOOKUP($D211,$A$10:$P$131,E$204,FALSE)</f>
        <v>0</v>
      </c>
      <c r="F211" s="105">
        <f t="shared" ref="F211:P211" si="59">-VLOOKUP($D211,$A$10:$P$131,F$204,FALSE)</f>
        <v>0</v>
      </c>
      <c r="G211" s="105">
        <f t="shared" si="59"/>
        <v>0</v>
      </c>
      <c r="H211" s="105">
        <f t="shared" si="59"/>
        <v>0</v>
      </c>
      <c r="I211" s="105">
        <f t="shared" si="59"/>
        <v>0</v>
      </c>
      <c r="J211" s="105">
        <f t="shared" si="59"/>
        <v>0</v>
      </c>
      <c r="K211" s="105">
        <f t="shared" si="59"/>
        <v>0</v>
      </c>
      <c r="L211" s="105">
        <f t="shared" si="59"/>
        <v>0</v>
      </c>
      <c r="M211" s="105">
        <f t="shared" si="59"/>
        <v>0</v>
      </c>
      <c r="N211" s="105">
        <f t="shared" si="59"/>
        <v>0</v>
      </c>
      <c r="O211" s="105">
        <f t="shared" si="59"/>
        <v>0</v>
      </c>
      <c r="P211" s="106">
        <f t="shared" si="59"/>
        <v>0</v>
      </c>
      <c r="Q211" s="456">
        <f t="shared" si="58"/>
        <v>0</v>
      </c>
      <c r="R211" s="456"/>
      <c r="S211" s="391"/>
      <c r="T211" s="388"/>
    </row>
    <row r="212" spans="1:20" x14ac:dyDescent="0.35">
      <c r="A212" s="534" t="str">
        <f t="shared" si="56"/>
        <v>Maintenance Salaries</v>
      </c>
      <c r="D212" s="104" t="s">
        <v>105</v>
      </c>
      <c r="E212" s="105">
        <f>VLOOKUP($D212,$A$10:$P$131,E$204,FALSE)</f>
        <v>1104.9382194648244</v>
      </c>
      <c r="F212" s="105">
        <f t="shared" ref="F212:P227" si="60">VLOOKUP($D212,$A$10:$P$131,F$204,FALSE)</f>
        <v>1104.9382194648244</v>
      </c>
      <c r="G212" s="105">
        <f t="shared" si="60"/>
        <v>1104.9382194648244</v>
      </c>
      <c r="H212" s="105">
        <f t="shared" si="60"/>
        <v>1104.9382194648244</v>
      </c>
      <c r="I212" s="105">
        <f t="shared" si="60"/>
        <v>1104.9382194648244</v>
      </c>
      <c r="J212" s="105">
        <f t="shared" si="60"/>
        <v>1104.9382194648244</v>
      </c>
      <c r="K212" s="105">
        <f t="shared" si="60"/>
        <v>1104.9382194648244</v>
      </c>
      <c r="L212" s="105">
        <f t="shared" si="60"/>
        <v>1104.9382194648244</v>
      </c>
      <c r="M212" s="105">
        <f t="shared" si="60"/>
        <v>1104.9382194648244</v>
      </c>
      <c r="N212" s="105">
        <f t="shared" si="60"/>
        <v>1104.9382194648244</v>
      </c>
      <c r="O212" s="105">
        <f t="shared" si="60"/>
        <v>1104.9382194648244</v>
      </c>
      <c r="P212" s="106">
        <f t="shared" si="60"/>
        <v>1104.9382194648244</v>
      </c>
      <c r="Q212" s="456">
        <f t="shared" si="58"/>
        <v>13259.258633577892</v>
      </c>
      <c r="R212" s="456"/>
      <c r="S212" s="391"/>
      <c r="T212" s="388"/>
    </row>
    <row r="213" spans="1:20" x14ac:dyDescent="0.35">
      <c r="A213" s="534" t="str">
        <f t="shared" si="56"/>
        <v>Electric</v>
      </c>
      <c r="D213" s="104" t="s">
        <v>106</v>
      </c>
      <c r="E213" s="105">
        <f t="shared" ref="E213:P240" si="61">VLOOKUP($D213,$A$10:$P$131,E$204,FALSE)</f>
        <v>12691</v>
      </c>
      <c r="F213" s="105">
        <f t="shared" si="60"/>
        <v>10395</v>
      </c>
      <c r="G213" s="105">
        <f t="shared" si="60"/>
        <v>9029</v>
      </c>
      <c r="H213" s="105">
        <f t="shared" si="60"/>
        <v>8667</v>
      </c>
      <c r="I213" s="105">
        <f t="shared" si="60"/>
        <v>7104</v>
      </c>
      <c r="J213" s="105">
        <f t="shared" si="60"/>
        <v>7741</v>
      </c>
      <c r="K213" s="105">
        <f t="shared" si="60"/>
        <v>8768</v>
      </c>
      <c r="L213" s="105">
        <f t="shared" si="60"/>
        <v>8951</v>
      </c>
      <c r="M213" s="105">
        <f t="shared" si="60"/>
        <v>7497</v>
      </c>
      <c r="N213" s="105">
        <f t="shared" si="60"/>
        <v>8898</v>
      </c>
      <c r="O213" s="105">
        <f t="shared" si="60"/>
        <v>8299</v>
      </c>
      <c r="P213" s="106">
        <f t="shared" si="60"/>
        <v>11369</v>
      </c>
      <c r="Q213" s="456">
        <f t="shared" si="58"/>
        <v>109409</v>
      </c>
      <c r="R213" s="456"/>
      <c r="S213" s="391"/>
      <c r="T213" s="388"/>
    </row>
    <row r="214" spans="1:20" x14ac:dyDescent="0.35">
      <c r="A214" s="534" t="str">
        <f t="shared" si="56"/>
        <v>Water &amp; Sewer</v>
      </c>
      <c r="D214" s="104" t="s">
        <v>107</v>
      </c>
      <c r="E214" s="105">
        <f t="shared" si="61"/>
        <v>903.31</v>
      </c>
      <c r="F214" s="105">
        <f t="shared" si="60"/>
        <v>919.79</v>
      </c>
      <c r="G214" s="105">
        <f t="shared" si="60"/>
        <v>962.02</v>
      </c>
      <c r="H214" s="105">
        <f t="shared" si="60"/>
        <v>946.57</v>
      </c>
      <c r="I214" s="105">
        <f t="shared" si="60"/>
        <v>1572.8100000000002</v>
      </c>
      <c r="J214" s="105">
        <f t="shared" si="60"/>
        <v>2022.92</v>
      </c>
      <c r="K214" s="105">
        <f t="shared" si="60"/>
        <v>2235.1</v>
      </c>
      <c r="L214" s="105">
        <f t="shared" si="60"/>
        <v>2706.84</v>
      </c>
      <c r="M214" s="105">
        <f t="shared" si="60"/>
        <v>3096.18</v>
      </c>
      <c r="N214" s="105">
        <f t="shared" si="60"/>
        <v>2022.92</v>
      </c>
      <c r="O214" s="105">
        <f t="shared" si="60"/>
        <v>1042.3600000000001</v>
      </c>
      <c r="P214" s="106">
        <f t="shared" si="60"/>
        <v>975.41000000000008</v>
      </c>
      <c r="Q214" s="456">
        <f t="shared" si="58"/>
        <v>19406.23</v>
      </c>
      <c r="R214" s="456"/>
      <c r="S214" s="391"/>
      <c r="T214" s="388"/>
    </row>
    <row r="215" spans="1:20" x14ac:dyDescent="0.35">
      <c r="A215" s="534" t="str">
        <f t="shared" si="56"/>
        <v>Building Maintenance</v>
      </c>
      <c r="D215" s="104" t="s">
        <v>108</v>
      </c>
      <c r="E215" s="105">
        <f t="shared" si="61"/>
        <v>5087</v>
      </c>
      <c r="F215" s="105">
        <f t="shared" si="60"/>
        <v>2137</v>
      </c>
      <c r="G215" s="105">
        <f t="shared" si="60"/>
        <v>17971</v>
      </c>
      <c r="H215" s="105">
        <f t="shared" si="60"/>
        <v>6108</v>
      </c>
      <c r="I215" s="105">
        <f t="shared" si="60"/>
        <v>3977</v>
      </c>
      <c r="J215" s="105">
        <f t="shared" si="60"/>
        <v>8128</v>
      </c>
      <c r="K215" s="105">
        <f t="shared" si="60"/>
        <v>6582</v>
      </c>
      <c r="L215" s="105">
        <f t="shared" si="60"/>
        <v>2137</v>
      </c>
      <c r="M215" s="105">
        <f t="shared" si="60"/>
        <v>7953</v>
      </c>
      <c r="N215" s="105">
        <f t="shared" si="60"/>
        <v>16108</v>
      </c>
      <c r="O215" s="105">
        <f t="shared" si="60"/>
        <v>2612</v>
      </c>
      <c r="P215" s="106">
        <f t="shared" si="60"/>
        <v>7753</v>
      </c>
      <c r="Q215" s="456">
        <f t="shared" si="58"/>
        <v>86553</v>
      </c>
      <c r="R215" s="456"/>
      <c r="S215" s="391"/>
      <c r="T215" s="388"/>
    </row>
    <row r="216" spans="1:20" x14ac:dyDescent="0.35">
      <c r="A216" s="534" t="str">
        <f t="shared" si="56"/>
        <v>Parking Lot Maintenance</v>
      </c>
      <c r="D216" s="104" t="s">
        <v>140</v>
      </c>
      <c r="E216" s="105">
        <f t="shared" si="61"/>
        <v>803.4</v>
      </c>
      <c r="F216" s="105">
        <f t="shared" si="60"/>
        <v>803.4</v>
      </c>
      <c r="G216" s="105">
        <f t="shared" si="60"/>
        <v>1323.5500000000002</v>
      </c>
      <c r="H216" s="105">
        <f t="shared" si="60"/>
        <v>6803.4</v>
      </c>
      <c r="I216" s="105">
        <f t="shared" si="60"/>
        <v>803.4</v>
      </c>
      <c r="J216" s="105">
        <f t="shared" si="60"/>
        <v>1323.5500000000002</v>
      </c>
      <c r="K216" s="105">
        <f t="shared" si="60"/>
        <v>803.4</v>
      </c>
      <c r="L216" s="105">
        <f t="shared" si="60"/>
        <v>803.4</v>
      </c>
      <c r="M216" s="105">
        <f t="shared" si="60"/>
        <v>7323.55</v>
      </c>
      <c r="N216" s="105">
        <f t="shared" si="60"/>
        <v>803.4</v>
      </c>
      <c r="O216" s="105">
        <f t="shared" si="60"/>
        <v>803.4</v>
      </c>
      <c r="P216" s="106">
        <f t="shared" si="60"/>
        <v>1323.5500000000002</v>
      </c>
      <c r="Q216" s="456">
        <f t="shared" si="58"/>
        <v>23721.4</v>
      </c>
      <c r="R216" s="456"/>
      <c r="S216" s="391"/>
      <c r="T216" s="388"/>
    </row>
    <row r="217" spans="1:20" x14ac:dyDescent="0.35">
      <c r="A217" s="534" t="str">
        <f t="shared" si="56"/>
        <v>Snow Removal</v>
      </c>
      <c r="D217" s="104" t="s">
        <v>110</v>
      </c>
      <c r="E217" s="105">
        <f t="shared" si="61"/>
        <v>3605</v>
      </c>
      <c r="F217" s="105">
        <f t="shared" si="60"/>
        <v>3605</v>
      </c>
      <c r="G217" s="105">
        <f t="shared" si="60"/>
        <v>3605</v>
      </c>
      <c r="H217" s="105">
        <f t="shared" si="60"/>
        <v>0</v>
      </c>
      <c r="I217" s="105">
        <f t="shared" si="60"/>
        <v>0</v>
      </c>
      <c r="J217" s="105">
        <f t="shared" si="60"/>
        <v>0</v>
      </c>
      <c r="K217" s="105">
        <f t="shared" si="60"/>
        <v>0</v>
      </c>
      <c r="L217" s="105">
        <f t="shared" si="60"/>
        <v>0</v>
      </c>
      <c r="M217" s="105">
        <f t="shared" si="60"/>
        <v>0</v>
      </c>
      <c r="N217" s="105">
        <f t="shared" si="60"/>
        <v>0</v>
      </c>
      <c r="O217" s="105">
        <f t="shared" si="60"/>
        <v>1030</v>
      </c>
      <c r="P217" s="106">
        <f t="shared" si="60"/>
        <v>3605</v>
      </c>
      <c r="Q217" s="456">
        <f t="shared" si="58"/>
        <v>15450</v>
      </c>
      <c r="R217" s="456"/>
      <c r="S217" s="391"/>
      <c r="T217" s="388"/>
    </row>
    <row r="218" spans="1:20" x14ac:dyDescent="0.35">
      <c r="A218" s="534" t="str">
        <f t="shared" si="56"/>
        <v>Landscaping</v>
      </c>
      <c r="D218" s="104" t="s">
        <v>111</v>
      </c>
      <c r="E218" s="105">
        <f t="shared" si="61"/>
        <v>566.38519394770731</v>
      </c>
      <c r="F218" s="105">
        <f t="shared" si="60"/>
        <v>566.38519394770731</v>
      </c>
      <c r="G218" s="105">
        <f t="shared" si="60"/>
        <v>1952.5790431921519</v>
      </c>
      <c r="H218" s="105">
        <f t="shared" si="60"/>
        <v>1952.5790431921519</v>
      </c>
      <c r="I218" s="105">
        <f t="shared" si="60"/>
        <v>3497.5790431921514</v>
      </c>
      <c r="J218" s="105">
        <f t="shared" si="60"/>
        <v>1952.5790431921519</v>
      </c>
      <c r="K218" s="105">
        <f t="shared" si="60"/>
        <v>1952.5790431921519</v>
      </c>
      <c r="L218" s="105">
        <f t="shared" si="60"/>
        <v>1952.5790431921519</v>
      </c>
      <c r="M218" s="105">
        <f t="shared" si="60"/>
        <v>3497.5790431921514</v>
      </c>
      <c r="N218" s="105">
        <f t="shared" si="60"/>
        <v>1952.5790431921519</v>
      </c>
      <c r="O218" s="105">
        <f t="shared" si="60"/>
        <v>1695.0790431921519</v>
      </c>
      <c r="P218" s="106">
        <f t="shared" si="60"/>
        <v>566.38519394770731</v>
      </c>
      <c r="Q218" s="456">
        <f t="shared" si="58"/>
        <v>22104.86697057249</v>
      </c>
      <c r="R218" s="456"/>
      <c r="S218" s="391"/>
      <c r="T218" s="388"/>
    </row>
    <row r="219" spans="1:20" x14ac:dyDescent="0.35">
      <c r="A219" s="534" t="str">
        <f t="shared" si="56"/>
        <v>Security</v>
      </c>
      <c r="D219" s="104" t="s">
        <v>112</v>
      </c>
      <c r="E219" s="105">
        <f t="shared" si="61"/>
        <v>295.68</v>
      </c>
      <c r="F219" s="105">
        <f t="shared" si="60"/>
        <v>295.68</v>
      </c>
      <c r="G219" s="105">
        <f t="shared" si="60"/>
        <v>295.68</v>
      </c>
      <c r="H219" s="105">
        <f t="shared" si="60"/>
        <v>295.68</v>
      </c>
      <c r="I219" s="105">
        <f t="shared" si="60"/>
        <v>295.68</v>
      </c>
      <c r="J219" s="105">
        <f t="shared" si="60"/>
        <v>295.68</v>
      </c>
      <c r="K219" s="105">
        <f t="shared" si="60"/>
        <v>295.68</v>
      </c>
      <c r="L219" s="105">
        <f t="shared" si="60"/>
        <v>295.68</v>
      </c>
      <c r="M219" s="105">
        <f t="shared" si="60"/>
        <v>295.68</v>
      </c>
      <c r="N219" s="105">
        <f t="shared" si="60"/>
        <v>295.68</v>
      </c>
      <c r="O219" s="105">
        <f t="shared" si="60"/>
        <v>295.68</v>
      </c>
      <c r="P219" s="106">
        <f t="shared" si="60"/>
        <v>295.68</v>
      </c>
      <c r="Q219" s="456">
        <f t="shared" si="58"/>
        <v>3548.1599999999994</v>
      </c>
      <c r="R219" s="456"/>
      <c r="S219" s="391"/>
      <c r="T219" s="388"/>
    </row>
    <row r="220" spans="1:20" x14ac:dyDescent="0.35">
      <c r="A220" s="534" t="str">
        <f t="shared" si="56"/>
        <v>Management Fee</v>
      </c>
      <c r="D220" s="104" t="s">
        <v>113</v>
      </c>
      <c r="E220" s="105">
        <f t="shared" si="61"/>
        <v>2403</v>
      </c>
      <c r="F220" s="105">
        <f t="shared" si="60"/>
        <v>2349</v>
      </c>
      <c r="G220" s="105">
        <f t="shared" si="60"/>
        <v>2317</v>
      </c>
      <c r="H220" s="105">
        <f t="shared" si="60"/>
        <v>2309</v>
      </c>
      <c r="I220" s="105">
        <f t="shared" si="60"/>
        <v>2272</v>
      </c>
      <c r="J220" s="105">
        <f t="shared" si="60"/>
        <v>2287</v>
      </c>
      <c r="K220" s="105">
        <f t="shared" si="60"/>
        <v>2313</v>
      </c>
      <c r="L220" s="105">
        <f t="shared" si="60"/>
        <v>2317</v>
      </c>
      <c r="M220" s="105">
        <f t="shared" si="60"/>
        <v>2283</v>
      </c>
      <c r="N220" s="105">
        <f t="shared" si="60"/>
        <v>2316</v>
      </c>
      <c r="O220" s="105">
        <f t="shared" si="60"/>
        <v>2302</v>
      </c>
      <c r="P220" s="106">
        <f t="shared" si="60"/>
        <v>2374</v>
      </c>
      <c r="Q220" s="456">
        <f t="shared" si="58"/>
        <v>27842</v>
      </c>
      <c r="R220" s="456"/>
      <c r="S220" s="391"/>
      <c r="T220" s="388"/>
    </row>
    <row r="221" spans="1:20" x14ac:dyDescent="0.35">
      <c r="A221" s="534" t="str">
        <f t="shared" si="56"/>
        <v>Trash Removal</v>
      </c>
      <c r="D221" s="104" t="s">
        <v>114</v>
      </c>
      <c r="E221" s="105">
        <f t="shared" si="61"/>
        <v>1751</v>
      </c>
      <c r="F221" s="105">
        <f t="shared" si="60"/>
        <v>1751</v>
      </c>
      <c r="G221" s="105">
        <f t="shared" si="60"/>
        <v>1751</v>
      </c>
      <c r="H221" s="105">
        <f t="shared" si="60"/>
        <v>1751</v>
      </c>
      <c r="I221" s="105">
        <f t="shared" si="60"/>
        <v>1751</v>
      </c>
      <c r="J221" s="105">
        <f t="shared" si="60"/>
        <v>2251</v>
      </c>
      <c r="K221" s="105">
        <f t="shared" si="60"/>
        <v>1751</v>
      </c>
      <c r="L221" s="105">
        <f t="shared" si="60"/>
        <v>1751</v>
      </c>
      <c r="M221" s="105">
        <f t="shared" si="60"/>
        <v>1751</v>
      </c>
      <c r="N221" s="105">
        <f t="shared" si="60"/>
        <v>1751</v>
      </c>
      <c r="O221" s="105">
        <f t="shared" si="60"/>
        <v>1751</v>
      </c>
      <c r="P221" s="106">
        <f t="shared" si="60"/>
        <v>2251</v>
      </c>
      <c r="Q221" s="456">
        <f t="shared" si="58"/>
        <v>22012</v>
      </c>
      <c r="R221" s="456"/>
      <c r="S221" s="391"/>
      <c r="T221" s="388"/>
    </row>
    <row r="222" spans="1:20" x14ac:dyDescent="0.35">
      <c r="A222" s="534" t="str">
        <f t="shared" si="56"/>
        <v>Real Estate Taxes</v>
      </c>
      <c r="D222" s="104" t="s">
        <v>115</v>
      </c>
      <c r="E222" s="105">
        <f t="shared" si="61"/>
        <v>3771.3785948999998</v>
      </c>
      <c r="F222" s="105">
        <f t="shared" si="60"/>
        <v>3771.3785948999998</v>
      </c>
      <c r="G222" s="105">
        <f t="shared" si="60"/>
        <v>3771.3785948999998</v>
      </c>
      <c r="H222" s="105">
        <f t="shared" si="60"/>
        <v>3771.3785948999998</v>
      </c>
      <c r="I222" s="105">
        <f t="shared" si="60"/>
        <v>3771.3785948999998</v>
      </c>
      <c r="J222" s="105">
        <f t="shared" si="60"/>
        <v>3771.3785948999998</v>
      </c>
      <c r="K222" s="105">
        <f t="shared" si="60"/>
        <v>3771.3785948999998</v>
      </c>
      <c r="L222" s="105">
        <f t="shared" si="60"/>
        <v>3771.3785948999998</v>
      </c>
      <c r="M222" s="105">
        <f t="shared" si="60"/>
        <v>3771.3785948999998</v>
      </c>
      <c r="N222" s="105">
        <f t="shared" si="60"/>
        <v>3771.3785948999998</v>
      </c>
      <c r="O222" s="105">
        <f t="shared" si="60"/>
        <v>3771.3785948999998</v>
      </c>
      <c r="P222" s="106">
        <f t="shared" si="60"/>
        <v>3771.3785948999998</v>
      </c>
      <c r="Q222" s="456">
        <f t="shared" si="58"/>
        <v>45256.543138800007</v>
      </c>
      <c r="R222" s="456"/>
      <c r="S222" s="391"/>
      <c r="T222" s="388"/>
    </row>
    <row r="223" spans="1:20" x14ac:dyDescent="0.35">
      <c r="A223" s="534" t="str">
        <f t="shared" si="56"/>
        <v>Insurance</v>
      </c>
      <c r="D223" s="104" t="s">
        <v>116</v>
      </c>
      <c r="E223" s="105">
        <f t="shared" si="61"/>
        <v>2547</v>
      </c>
      <c r="F223" s="105">
        <f t="shared" si="60"/>
        <v>2547</v>
      </c>
      <c r="G223" s="105">
        <f t="shared" si="60"/>
        <v>2547</v>
      </c>
      <c r="H223" s="105">
        <f t="shared" si="60"/>
        <v>2547</v>
      </c>
      <c r="I223" s="105">
        <f t="shared" si="60"/>
        <v>2547</v>
      </c>
      <c r="J223" s="105">
        <f t="shared" si="60"/>
        <v>2547</v>
      </c>
      <c r="K223" s="105">
        <f t="shared" si="60"/>
        <v>2547</v>
      </c>
      <c r="L223" s="105">
        <f t="shared" si="60"/>
        <v>2547</v>
      </c>
      <c r="M223" s="105">
        <f t="shared" si="60"/>
        <v>2547</v>
      </c>
      <c r="N223" s="105">
        <f t="shared" si="60"/>
        <v>2547</v>
      </c>
      <c r="O223" s="105">
        <f t="shared" si="60"/>
        <v>2597.94</v>
      </c>
      <c r="P223" s="106">
        <f t="shared" si="60"/>
        <v>2597.94</v>
      </c>
      <c r="Q223" s="456">
        <f t="shared" si="58"/>
        <v>30665.879999999997</v>
      </c>
      <c r="R223" s="456"/>
      <c r="S223" s="391"/>
      <c r="T223" s="388"/>
    </row>
    <row r="224" spans="1:20" x14ac:dyDescent="0.35">
      <c r="A224" s="534" t="str">
        <f t="shared" si="56"/>
        <v>Cleaning &amp; Supplies</v>
      </c>
      <c r="D224" s="104" t="s">
        <v>117</v>
      </c>
      <c r="E224" s="105">
        <f t="shared" si="61"/>
        <v>5128.9916693140594</v>
      </c>
      <c r="F224" s="105">
        <f t="shared" si="60"/>
        <v>5128.9916693140594</v>
      </c>
      <c r="G224" s="105">
        <f t="shared" si="60"/>
        <v>5128.9916693140594</v>
      </c>
      <c r="H224" s="105">
        <f t="shared" si="60"/>
        <v>5128.9916693140594</v>
      </c>
      <c r="I224" s="105">
        <f t="shared" si="60"/>
        <v>5128.9916693140594</v>
      </c>
      <c r="J224" s="105">
        <f t="shared" si="60"/>
        <v>5128.9916693140594</v>
      </c>
      <c r="K224" s="105">
        <f t="shared" si="60"/>
        <v>5128.9916693140594</v>
      </c>
      <c r="L224" s="105">
        <f t="shared" si="60"/>
        <v>5128.9916693140594</v>
      </c>
      <c r="M224" s="105">
        <f t="shared" si="60"/>
        <v>5128.9916693140594</v>
      </c>
      <c r="N224" s="105">
        <f t="shared" si="60"/>
        <v>5128.9916693140594</v>
      </c>
      <c r="O224" s="105">
        <f t="shared" si="60"/>
        <v>5128.9916693140594</v>
      </c>
      <c r="P224" s="106">
        <f t="shared" si="60"/>
        <v>5128.9916693140594</v>
      </c>
      <c r="Q224" s="456">
        <f t="shared" si="58"/>
        <v>61547.900031768724</v>
      </c>
      <c r="R224" s="456"/>
      <c r="S224" s="391"/>
      <c r="T224" s="388"/>
    </row>
    <row r="225" spans="1:20" x14ac:dyDescent="0.35">
      <c r="A225" s="534" t="str">
        <f>VLOOKUP($D225,$A$10:$D$130,4,FALSE)</f>
        <v>Salaries &amp; Wages</v>
      </c>
      <c r="D225" s="104" t="s">
        <v>118</v>
      </c>
      <c r="E225" s="105">
        <f t="shared" si="61"/>
        <v>1368.9190306599719</v>
      </c>
      <c r="F225" s="105">
        <f t="shared" si="60"/>
        <v>1368.9190306599719</v>
      </c>
      <c r="G225" s="105">
        <f t="shared" si="60"/>
        <v>1368.9190306599719</v>
      </c>
      <c r="H225" s="105">
        <f t="shared" si="60"/>
        <v>1368.9190306599719</v>
      </c>
      <c r="I225" s="105">
        <f t="shared" si="60"/>
        <v>1368.9190306599719</v>
      </c>
      <c r="J225" s="105">
        <f t="shared" si="60"/>
        <v>1368.9190306599719</v>
      </c>
      <c r="K225" s="105">
        <f t="shared" si="60"/>
        <v>1368.9190306599719</v>
      </c>
      <c r="L225" s="105">
        <f t="shared" si="60"/>
        <v>1368.9190306599719</v>
      </c>
      <c r="M225" s="105">
        <f t="shared" si="60"/>
        <v>1368.9190306599719</v>
      </c>
      <c r="N225" s="105">
        <f t="shared" si="60"/>
        <v>1368.9190306599719</v>
      </c>
      <c r="O225" s="105">
        <f t="shared" si="60"/>
        <v>1368.9190306599719</v>
      </c>
      <c r="P225" s="106">
        <f t="shared" si="60"/>
        <v>1368.9190306599719</v>
      </c>
      <c r="Q225" s="456">
        <f t="shared" si="58"/>
        <v>16427.028367919662</v>
      </c>
      <c r="R225" s="456"/>
      <c r="S225" s="391"/>
      <c r="T225" s="388"/>
    </row>
    <row r="226" spans="1:20" x14ac:dyDescent="0.35">
      <c r="A226" s="534" t="str">
        <f>VLOOKUP($D226,$A$10:$D$130,4,FALSE)</f>
        <v>Commissions-Internal Broker</v>
      </c>
      <c r="D226" s="104" t="s">
        <v>119</v>
      </c>
      <c r="E226" s="105">
        <f t="shared" si="61"/>
        <v>865.26439525313685</v>
      </c>
      <c r="F226" s="105">
        <f t="shared" si="60"/>
        <v>0</v>
      </c>
      <c r="G226" s="105">
        <f t="shared" si="60"/>
        <v>0</v>
      </c>
      <c r="H226" s="105">
        <f t="shared" si="60"/>
        <v>865.26439525313685</v>
      </c>
      <c r="I226" s="105">
        <f t="shared" si="60"/>
        <v>0</v>
      </c>
      <c r="J226" s="105">
        <f t="shared" si="60"/>
        <v>0</v>
      </c>
      <c r="K226" s="105">
        <f t="shared" si="60"/>
        <v>865.26439525313685</v>
      </c>
      <c r="L226" s="105">
        <f t="shared" si="60"/>
        <v>0</v>
      </c>
      <c r="M226" s="105">
        <f t="shared" si="60"/>
        <v>0</v>
      </c>
      <c r="N226" s="105">
        <f t="shared" si="60"/>
        <v>865.26439525313685</v>
      </c>
      <c r="O226" s="105">
        <f t="shared" si="60"/>
        <v>0</v>
      </c>
      <c r="P226" s="106">
        <f t="shared" si="60"/>
        <v>0</v>
      </c>
      <c r="Q226" s="456">
        <f t="shared" si="58"/>
        <v>3461.0575810125474</v>
      </c>
      <c r="R226" s="456"/>
      <c r="S226" s="391"/>
      <c r="T226" s="388"/>
    </row>
    <row r="227" spans="1:20" x14ac:dyDescent="0.35">
      <c r="A227" s="534" t="str">
        <f>VLOOKUP($D227,$A$10:$D$130,3,FALSE)</f>
        <v>Building Maintenance</v>
      </c>
      <c r="D227" s="104" t="s">
        <v>120</v>
      </c>
      <c r="E227" s="105">
        <f t="shared" si="61"/>
        <v>607.70000000000005</v>
      </c>
      <c r="F227" s="105">
        <f t="shared" si="60"/>
        <v>607.70000000000005</v>
      </c>
      <c r="G227" s="105">
        <f t="shared" si="60"/>
        <v>607.70000000000005</v>
      </c>
      <c r="H227" s="105">
        <f t="shared" si="60"/>
        <v>607.70000000000005</v>
      </c>
      <c r="I227" s="105">
        <f t="shared" si="60"/>
        <v>607.70000000000005</v>
      </c>
      <c r="J227" s="105">
        <f t="shared" si="60"/>
        <v>607.70000000000005</v>
      </c>
      <c r="K227" s="105">
        <f t="shared" si="60"/>
        <v>607.70000000000005</v>
      </c>
      <c r="L227" s="105">
        <f t="shared" si="60"/>
        <v>607.70000000000005</v>
      </c>
      <c r="M227" s="105">
        <f t="shared" si="60"/>
        <v>607.70000000000005</v>
      </c>
      <c r="N227" s="105">
        <f t="shared" si="60"/>
        <v>607.70000000000005</v>
      </c>
      <c r="O227" s="105">
        <f t="shared" si="60"/>
        <v>607.70000000000005</v>
      </c>
      <c r="P227" s="106">
        <f t="shared" si="60"/>
        <v>607.70000000000005</v>
      </c>
      <c r="Q227" s="456">
        <f t="shared" si="58"/>
        <v>7292.3999999999987</v>
      </c>
      <c r="R227" s="456"/>
      <c r="S227" s="391"/>
      <c r="T227" s="388"/>
    </row>
    <row r="228" spans="1:20" x14ac:dyDescent="0.35">
      <c r="A228" s="534" t="str">
        <f>VLOOKUP($D228,$A$10:$D$130,3,FALSE)</f>
        <v>Marketing</v>
      </c>
      <c r="D228" s="104" t="s">
        <v>121</v>
      </c>
      <c r="E228" s="105">
        <f t="shared" si="61"/>
        <v>525.14102412443526</v>
      </c>
      <c r="F228" s="105">
        <f t="shared" si="61"/>
        <v>525.14102412443526</v>
      </c>
      <c r="G228" s="105">
        <f t="shared" si="61"/>
        <v>525.14102412443526</v>
      </c>
      <c r="H228" s="105">
        <f t="shared" si="61"/>
        <v>525.14102412443526</v>
      </c>
      <c r="I228" s="105">
        <f t="shared" si="61"/>
        <v>525.14102412443526</v>
      </c>
      <c r="J228" s="105">
        <f t="shared" si="61"/>
        <v>525.14102412443526</v>
      </c>
      <c r="K228" s="105">
        <f t="shared" si="61"/>
        <v>525.14102412443526</v>
      </c>
      <c r="L228" s="105">
        <f t="shared" si="61"/>
        <v>525.14102412443526</v>
      </c>
      <c r="M228" s="105">
        <f t="shared" si="61"/>
        <v>525.14102412443526</v>
      </c>
      <c r="N228" s="105">
        <f t="shared" si="61"/>
        <v>525.14102412443526</v>
      </c>
      <c r="O228" s="105">
        <f t="shared" si="61"/>
        <v>525.14102412443526</v>
      </c>
      <c r="P228" s="106">
        <f t="shared" si="61"/>
        <v>525.14102412443526</v>
      </c>
      <c r="Q228" s="456">
        <f t="shared" si="58"/>
        <v>6301.692289493225</v>
      </c>
      <c r="R228" s="456"/>
      <c r="S228" s="391"/>
      <c r="T228" s="388"/>
    </row>
    <row r="229" spans="1:20" x14ac:dyDescent="0.35">
      <c r="A229" s="534" t="str">
        <f t="shared" si="56"/>
        <v>Business Taxes</v>
      </c>
      <c r="D229" s="104" t="s">
        <v>122</v>
      </c>
      <c r="E229" s="105">
        <f t="shared" si="61"/>
        <v>0</v>
      </c>
      <c r="F229" s="105">
        <f t="shared" si="61"/>
        <v>0</v>
      </c>
      <c r="G229" s="105">
        <f t="shared" si="61"/>
        <v>0</v>
      </c>
      <c r="H229" s="105">
        <f t="shared" si="61"/>
        <v>1619.1844412717451</v>
      </c>
      <c r="I229" s="105">
        <f t="shared" si="61"/>
        <v>0</v>
      </c>
      <c r="J229" s="105">
        <f t="shared" si="61"/>
        <v>0</v>
      </c>
      <c r="K229" s="105">
        <f t="shared" si="61"/>
        <v>0</v>
      </c>
      <c r="L229" s="105">
        <f t="shared" si="61"/>
        <v>0</v>
      </c>
      <c r="M229" s="105">
        <f t="shared" si="61"/>
        <v>0</v>
      </c>
      <c r="N229" s="105">
        <f t="shared" si="61"/>
        <v>0</v>
      </c>
      <c r="O229" s="105">
        <f t="shared" si="61"/>
        <v>0</v>
      </c>
      <c r="P229" s="106">
        <f t="shared" si="61"/>
        <v>0</v>
      </c>
      <c r="Q229" s="456">
        <f t="shared" si="58"/>
        <v>1619.1844412717451</v>
      </c>
      <c r="R229" s="456"/>
      <c r="S229" s="391"/>
      <c r="T229" s="388"/>
    </row>
    <row r="230" spans="1:20" x14ac:dyDescent="0.35">
      <c r="A230" s="534" t="str">
        <f t="shared" si="56"/>
        <v>Legal &amp; Accounting</v>
      </c>
      <c r="D230" s="104" t="s">
        <v>123</v>
      </c>
      <c r="E230" s="105">
        <f t="shared" si="61"/>
        <v>479.93215794352932</v>
      </c>
      <c r="F230" s="105">
        <f t="shared" si="61"/>
        <v>479.93215794352932</v>
      </c>
      <c r="G230" s="105">
        <f t="shared" si="61"/>
        <v>479.93215794352932</v>
      </c>
      <c r="H230" s="105">
        <f t="shared" si="61"/>
        <v>479.93215794352932</v>
      </c>
      <c r="I230" s="105">
        <f t="shared" si="61"/>
        <v>479.93215794352932</v>
      </c>
      <c r="J230" s="105">
        <f t="shared" si="61"/>
        <v>479.93215794352932</v>
      </c>
      <c r="K230" s="105">
        <f t="shared" si="61"/>
        <v>479.93215794352932</v>
      </c>
      <c r="L230" s="105">
        <f t="shared" si="61"/>
        <v>479.93215794352932</v>
      </c>
      <c r="M230" s="105">
        <f t="shared" si="61"/>
        <v>479.93215794352932</v>
      </c>
      <c r="N230" s="105">
        <f t="shared" si="61"/>
        <v>479.93215794352932</v>
      </c>
      <c r="O230" s="105">
        <f t="shared" si="61"/>
        <v>479.93215794352932</v>
      </c>
      <c r="P230" s="106">
        <f t="shared" si="61"/>
        <v>479.93215794352932</v>
      </c>
      <c r="Q230" s="456">
        <f t="shared" si="58"/>
        <v>5759.18589532235</v>
      </c>
      <c r="R230" s="456"/>
      <c r="S230" s="391"/>
      <c r="T230" s="388"/>
    </row>
    <row r="231" spans="1:20" x14ac:dyDescent="0.35">
      <c r="A231" s="534" t="str">
        <f>VLOOKUP($D231,$A$10:$D$130,4,FALSE)</f>
        <v>Bank Fees</v>
      </c>
      <c r="D231" s="104" t="s">
        <v>130</v>
      </c>
      <c r="E231" s="105">
        <f t="shared" si="61"/>
        <v>21.701615091300354</v>
      </c>
      <c r="F231" s="105">
        <f t="shared" si="61"/>
        <v>21.701615091300354</v>
      </c>
      <c r="G231" s="105">
        <f t="shared" si="61"/>
        <v>21.701615091300354</v>
      </c>
      <c r="H231" s="105">
        <f t="shared" si="61"/>
        <v>21.701615091300354</v>
      </c>
      <c r="I231" s="105">
        <f t="shared" si="61"/>
        <v>21.701615091300354</v>
      </c>
      <c r="J231" s="105">
        <f t="shared" si="61"/>
        <v>21.701615091300354</v>
      </c>
      <c r="K231" s="105">
        <f t="shared" si="61"/>
        <v>21.701615091300354</v>
      </c>
      <c r="L231" s="105">
        <f t="shared" si="61"/>
        <v>21.701615091300354</v>
      </c>
      <c r="M231" s="105">
        <f t="shared" si="61"/>
        <v>21.701615091300354</v>
      </c>
      <c r="N231" s="105">
        <f t="shared" si="61"/>
        <v>21.701615091300354</v>
      </c>
      <c r="O231" s="105">
        <f t="shared" si="61"/>
        <v>21.701615091300354</v>
      </c>
      <c r="P231" s="106">
        <f t="shared" si="61"/>
        <v>21.701615091300354</v>
      </c>
      <c r="Q231" s="456">
        <f t="shared" si="58"/>
        <v>260.41938109560431</v>
      </c>
      <c r="R231" s="456"/>
      <c r="S231" s="391"/>
      <c r="T231" s="388"/>
    </row>
    <row r="232" spans="1:20" x14ac:dyDescent="0.35">
      <c r="A232" s="534" t="str">
        <f>VLOOKUP($D232,$A$10:$D$130,4,FALSE)</f>
        <v>Other G&amp;A Expense</v>
      </c>
      <c r="D232" s="104" t="s">
        <v>131</v>
      </c>
      <c r="E232" s="105">
        <f t="shared" si="61"/>
        <v>21.00156299158099</v>
      </c>
      <c r="F232" s="105">
        <f t="shared" si="61"/>
        <v>21.00156299158099</v>
      </c>
      <c r="G232" s="105">
        <f t="shared" si="61"/>
        <v>21.00156299158099</v>
      </c>
      <c r="H232" s="105">
        <f t="shared" si="61"/>
        <v>21.00156299158099</v>
      </c>
      <c r="I232" s="105">
        <f t="shared" si="61"/>
        <v>21.00156299158099</v>
      </c>
      <c r="J232" s="105">
        <f t="shared" si="61"/>
        <v>21.00156299158099</v>
      </c>
      <c r="K232" s="105">
        <f t="shared" si="61"/>
        <v>21.00156299158099</v>
      </c>
      <c r="L232" s="105">
        <f t="shared" si="61"/>
        <v>21.00156299158099</v>
      </c>
      <c r="M232" s="105">
        <f t="shared" si="61"/>
        <v>21.00156299158099</v>
      </c>
      <c r="N232" s="105">
        <f t="shared" si="61"/>
        <v>21.00156299158099</v>
      </c>
      <c r="O232" s="105">
        <f t="shared" si="61"/>
        <v>21.00156299158099</v>
      </c>
      <c r="P232" s="106">
        <f t="shared" si="61"/>
        <v>21.00156299158099</v>
      </c>
      <c r="Q232" s="456">
        <f t="shared" si="58"/>
        <v>252.01875589897182</v>
      </c>
      <c r="R232" s="456"/>
      <c r="S232" s="391"/>
      <c r="T232" s="388"/>
    </row>
    <row r="233" spans="1:20" x14ac:dyDescent="0.35">
      <c r="A233" s="534" t="str">
        <f>VLOOKUP($D233,$A$10:$D$130,4,FALSE)</f>
        <v>Other G&amp;A-allocated from LIK</v>
      </c>
      <c r="D233" s="104" t="s">
        <v>124</v>
      </c>
      <c r="E233" s="105">
        <f t="shared" si="61"/>
        <v>650</v>
      </c>
      <c r="F233" s="105">
        <f t="shared" si="61"/>
        <v>650</v>
      </c>
      <c r="G233" s="105">
        <f t="shared" si="61"/>
        <v>650</v>
      </c>
      <c r="H233" s="105">
        <f t="shared" si="61"/>
        <v>650</v>
      </c>
      <c r="I233" s="105">
        <f t="shared" si="61"/>
        <v>650</v>
      </c>
      <c r="J233" s="105">
        <f t="shared" si="61"/>
        <v>650</v>
      </c>
      <c r="K233" s="105">
        <f t="shared" si="61"/>
        <v>650</v>
      </c>
      <c r="L233" s="105">
        <f t="shared" si="61"/>
        <v>650</v>
      </c>
      <c r="M233" s="105">
        <f t="shared" si="61"/>
        <v>650</v>
      </c>
      <c r="N233" s="105">
        <f t="shared" si="61"/>
        <v>650</v>
      </c>
      <c r="O233" s="105">
        <f t="shared" si="61"/>
        <v>650</v>
      </c>
      <c r="P233" s="106">
        <f t="shared" si="61"/>
        <v>650</v>
      </c>
      <c r="Q233" s="456">
        <f t="shared" si="58"/>
        <v>7800</v>
      </c>
      <c r="R233" s="456"/>
      <c r="S233" s="391"/>
      <c r="T233" s="388"/>
    </row>
    <row r="234" spans="1:20" x14ac:dyDescent="0.35">
      <c r="A234" s="534" t="str">
        <f t="shared" ref="A234:A236" si="62">VLOOKUP($D234,$A$10:$D$130,4,FALSE)</f>
        <v>Land Improvements</v>
      </c>
      <c r="D234" s="104" t="s">
        <v>125</v>
      </c>
      <c r="E234" s="105">
        <f t="shared" si="61"/>
        <v>0</v>
      </c>
      <c r="F234" s="105">
        <f t="shared" si="61"/>
        <v>0</v>
      </c>
      <c r="G234" s="105">
        <f t="shared" si="61"/>
        <v>0</v>
      </c>
      <c r="H234" s="105">
        <f t="shared" si="61"/>
        <v>0</v>
      </c>
      <c r="I234" s="105">
        <f t="shared" si="61"/>
        <v>0</v>
      </c>
      <c r="J234" s="105">
        <f t="shared" si="61"/>
        <v>0</v>
      </c>
      <c r="K234" s="105">
        <f t="shared" si="61"/>
        <v>0</v>
      </c>
      <c r="L234" s="105">
        <f t="shared" si="61"/>
        <v>0</v>
      </c>
      <c r="M234" s="105">
        <f t="shared" si="61"/>
        <v>0</v>
      </c>
      <c r="N234" s="105">
        <f t="shared" si="61"/>
        <v>0</v>
      </c>
      <c r="O234" s="105">
        <f t="shared" si="61"/>
        <v>0</v>
      </c>
      <c r="P234" s="106">
        <f t="shared" si="61"/>
        <v>0</v>
      </c>
      <c r="Q234" s="456">
        <f t="shared" si="58"/>
        <v>0</v>
      </c>
      <c r="R234" s="456"/>
      <c r="S234" s="391"/>
      <c r="T234" s="388"/>
    </row>
    <row r="235" spans="1:20" x14ac:dyDescent="0.35">
      <c r="A235" s="534" t="str">
        <f t="shared" si="62"/>
        <v>Buildings</v>
      </c>
      <c r="D235" s="104" t="s">
        <v>126</v>
      </c>
      <c r="E235" s="105">
        <f t="shared" si="61"/>
        <v>0</v>
      </c>
      <c r="F235" s="105">
        <f t="shared" si="61"/>
        <v>0</v>
      </c>
      <c r="G235" s="105">
        <f t="shared" si="61"/>
        <v>0</v>
      </c>
      <c r="H235" s="105">
        <f t="shared" si="61"/>
        <v>0</v>
      </c>
      <c r="I235" s="105">
        <f t="shared" si="61"/>
        <v>0</v>
      </c>
      <c r="J235" s="105">
        <f t="shared" si="61"/>
        <v>0</v>
      </c>
      <c r="K235" s="105">
        <f t="shared" si="61"/>
        <v>0</v>
      </c>
      <c r="L235" s="105">
        <f t="shared" si="61"/>
        <v>0</v>
      </c>
      <c r="M235" s="105">
        <f t="shared" si="61"/>
        <v>0</v>
      </c>
      <c r="N235" s="105">
        <f t="shared" si="61"/>
        <v>0</v>
      </c>
      <c r="O235" s="105">
        <f t="shared" si="61"/>
        <v>0</v>
      </c>
      <c r="P235" s="106">
        <f t="shared" si="61"/>
        <v>0</v>
      </c>
      <c r="Q235" s="456">
        <f t="shared" si="58"/>
        <v>0</v>
      </c>
      <c r="R235" s="456"/>
      <c r="S235" s="391"/>
      <c r="T235" s="388"/>
    </row>
    <row r="236" spans="1:20" x14ac:dyDescent="0.35">
      <c r="A236" s="534" t="str">
        <f t="shared" si="62"/>
        <v>Equipment</v>
      </c>
      <c r="D236" s="104" t="s">
        <v>127</v>
      </c>
      <c r="E236" s="105">
        <f t="shared" si="61"/>
        <v>0</v>
      </c>
      <c r="F236" s="105">
        <f t="shared" si="61"/>
        <v>0</v>
      </c>
      <c r="G236" s="105">
        <f t="shared" si="61"/>
        <v>0</v>
      </c>
      <c r="H236" s="105">
        <f t="shared" si="61"/>
        <v>0</v>
      </c>
      <c r="I236" s="105">
        <f t="shared" si="61"/>
        <v>0</v>
      </c>
      <c r="J236" s="105">
        <f t="shared" si="61"/>
        <v>0</v>
      </c>
      <c r="K236" s="105">
        <f t="shared" si="61"/>
        <v>0</v>
      </c>
      <c r="L236" s="105">
        <f t="shared" si="61"/>
        <v>0</v>
      </c>
      <c r="M236" s="105">
        <f t="shared" si="61"/>
        <v>0</v>
      </c>
      <c r="N236" s="105">
        <f t="shared" si="61"/>
        <v>0</v>
      </c>
      <c r="O236" s="105">
        <f t="shared" si="61"/>
        <v>0</v>
      </c>
      <c r="P236" s="106">
        <f t="shared" si="61"/>
        <v>0</v>
      </c>
      <c r="Q236" s="456">
        <f t="shared" si="58"/>
        <v>0</v>
      </c>
      <c r="R236" s="456"/>
      <c r="S236" s="391"/>
      <c r="T236" s="388"/>
    </row>
    <row r="237" spans="1:20" x14ac:dyDescent="0.35">
      <c r="A237" s="534" t="str">
        <f>VLOOKUP($D237,$A$10:$D$130,3,FALSE)</f>
        <v>Tenant Improvements</v>
      </c>
      <c r="D237" s="104" t="s">
        <v>128</v>
      </c>
      <c r="E237" s="105">
        <f t="shared" si="61"/>
        <v>0</v>
      </c>
      <c r="F237" s="105">
        <f t="shared" si="61"/>
        <v>0</v>
      </c>
      <c r="G237" s="105">
        <f t="shared" si="61"/>
        <v>0</v>
      </c>
      <c r="H237" s="105">
        <f t="shared" si="61"/>
        <v>11301</v>
      </c>
      <c r="I237" s="105">
        <f t="shared" si="61"/>
        <v>0</v>
      </c>
      <c r="J237" s="105">
        <f t="shared" si="61"/>
        <v>0</v>
      </c>
      <c r="K237" s="105">
        <f t="shared" si="61"/>
        <v>0</v>
      </c>
      <c r="L237" s="105">
        <f t="shared" si="61"/>
        <v>0</v>
      </c>
      <c r="M237" s="105">
        <f t="shared" si="61"/>
        <v>0</v>
      </c>
      <c r="N237" s="105">
        <f t="shared" si="61"/>
        <v>11436</v>
      </c>
      <c r="O237" s="105">
        <f t="shared" si="61"/>
        <v>0</v>
      </c>
      <c r="P237" s="106">
        <f t="shared" si="61"/>
        <v>0</v>
      </c>
      <c r="Q237" s="456">
        <f t="shared" si="58"/>
        <v>22737</v>
      </c>
      <c r="R237" s="456"/>
      <c r="S237" s="391"/>
      <c r="T237" s="388"/>
    </row>
    <row r="238" spans="1:20" x14ac:dyDescent="0.35">
      <c r="A238" s="534" t="str">
        <f>VLOOKUP($D238,$A$10:$D$130,4,FALSE)</f>
        <v>Deferred Marketing</v>
      </c>
      <c r="D238" s="104" t="s">
        <v>129</v>
      </c>
      <c r="E238" s="105">
        <f t="shared" si="61"/>
        <v>0</v>
      </c>
      <c r="F238" s="105">
        <f t="shared" si="61"/>
        <v>0</v>
      </c>
      <c r="G238" s="105">
        <f t="shared" si="61"/>
        <v>0</v>
      </c>
      <c r="H238" s="105">
        <f t="shared" si="61"/>
        <v>0</v>
      </c>
      <c r="I238" s="105">
        <f t="shared" si="61"/>
        <v>0</v>
      </c>
      <c r="J238" s="105">
        <f t="shared" si="61"/>
        <v>0</v>
      </c>
      <c r="K238" s="105">
        <f t="shared" si="61"/>
        <v>0</v>
      </c>
      <c r="L238" s="105">
        <f t="shared" si="61"/>
        <v>0</v>
      </c>
      <c r="M238" s="105">
        <f t="shared" si="61"/>
        <v>0</v>
      </c>
      <c r="N238" s="105">
        <f t="shared" si="61"/>
        <v>0</v>
      </c>
      <c r="O238" s="105">
        <f t="shared" si="61"/>
        <v>0</v>
      </c>
      <c r="P238" s="106">
        <f t="shared" si="61"/>
        <v>0</v>
      </c>
      <c r="Q238" s="456">
        <f t="shared" si="58"/>
        <v>0</v>
      </c>
      <c r="R238" s="456"/>
      <c r="S238" s="391"/>
      <c r="T238" s="388"/>
    </row>
    <row r="239" spans="1:20" x14ac:dyDescent="0.35">
      <c r="A239" s="534" t="str">
        <f>VLOOKUP($D239,$A$10:$D$130,4,FALSE)</f>
        <v>Interest</v>
      </c>
      <c r="D239" s="104" t="s">
        <v>132</v>
      </c>
      <c r="E239" s="105">
        <f t="shared" si="61"/>
        <v>12649.60161081258</v>
      </c>
      <c r="F239" s="105">
        <f t="shared" si="61"/>
        <v>12649.60161081258</v>
      </c>
      <c r="G239" s="105">
        <f t="shared" si="61"/>
        <v>12649.60161081258</v>
      </c>
      <c r="H239" s="105">
        <f t="shared" si="61"/>
        <v>12649.60161081258</v>
      </c>
      <c r="I239" s="105">
        <f t="shared" si="61"/>
        <v>12649.60161081258</v>
      </c>
      <c r="J239" s="105">
        <f t="shared" si="61"/>
        <v>12649.60161081258</v>
      </c>
      <c r="K239" s="105">
        <f t="shared" si="61"/>
        <v>12649.60161081258</v>
      </c>
      <c r="L239" s="105">
        <f t="shared" si="61"/>
        <v>12649.60161081258</v>
      </c>
      <c r="M239" s="105">
        <f t="shared" si="61"/>
        <v>12649.60161081258</v>
      </c>
      <c r="N239" s="105">
        <f t="shared" si="61"/>
        <v>12649.60161081258</v>
      </c>
      <c r="O239" s="105">
        <f t="shared" si="61"/>
        <v>12649.60161081258</v>
      </c>
      <c r="P239" s="106">
        <f t="shared" si="61"/>
        <v>12649.60161081258</v>
      </c>
      <c r="Q239" s="456">
        <f t="shared" si="58"/>
        <v>151795.21932975095</v>
      </c>
      <c r="R239" s="456"/>
      <c r="S239" s="391"/>
      <c r="T239" s="388"/>
    </row>
    <row r="240" spans="1:20" ht="16.5" thickBot="1" x14ac:dyDescent="0.4">
      <c r="A240" s="534" t="str">
        <f>VLOOKUP($D240,$A$10:$D$130,4,FALSE)</f>
        <v>Mortgage Amortization</v>
      </c>
      <c r="D240" s="107" t="s">
        <v>149</v>
      </c>
      <c r="E240" s="108">
        <f t="shared" si="61"/>
        <v>0</v>
      </c>
      <c r="F240" s="108">
        <f t="shared" si="61"/>
        <v>0</v>
      </c>
      <c r="G240" s="108">
        <f t="shared" si="61"/>
        <v>0</v>
      </c>
      <c r="H240" s="108">
        <f t="shared" si="61"/>
        <v>0</v>
      </c>
      <c r="I240" s="108">
        <f t="shared" si="61"/>
        <v>0</v>
      </c>
      <c r="J240" s="108">
        <f t="shared" si="61"/>
        <v>0</v>
      </c>
      <c r="K240" s="108">
        <f t="shared" si="61"/>
        <v>0</v>
      </c>
      <c r="L240" s="108">
        <f t="shared" si="61"/>
        <v>0</v>
      </c>
      <c r="M240" s="108">
        <f t="shared" si="61"/>
        <v>0</v>
      </c>
      <c r="N240" s="108">
        <f t="shared" si="61"/>
        <v>0</v>
      </c>
      <c r="O240" s="108">
        <f t="shared" si="61"/>
        <v>0</v>
      </c>
      <c r="P240" s="109">
        <f t="shared" si="61"/>
        <v>0</v>
      </c>
      <c r="Q240" s="456">
        <f t="shared" si="58"/>
        <v>0</v>
      </c>
      <c r="R240" s="456"/>
      <c r="S240" s="391"/>
      <c r="T240" s="388"/>
    </row>
    <row r="241" spans="1:21" x14ac:dyDescent="0.35">
      <c r="A241" s="534"/>
      <c r="E241" s="34">
        <f t="shared" ref="E241:P241" si="63">SUM(E206:E240)</f>
        <v>-2229.5010588302084</v>
      </c>
      <c r="F241" s="34">
        <f t="shared" si="63"/>
        <v>-7033.2886540833497</v>
      </c>
      <c r="G241" s="34">
        <f t="shared" si="63"/>
        <v>10151.487995161095</v>
      </c>
      <c r="H241" s="34">
        <f t="shared" si="63"/>
        <v>13775.399765019325</v>
      </c>
      <c r="I241" s="34">
        <f t="shared" si="63"/>
        <v>-6654.2036715055656</v>
      </c>
      <c r="J241" s="34">
        <f t="shared" si="63"/>
        <v>-2299.0982715055634</v>
      </c>
      <c r="K241" s="34">
        <f t="shared" si="63"/>
        <v>-3383.217142919093</v>
      </c>
      <c r="L241" s="34">
        <f t="shared" si="63"/>
        <v>-8141.9429381722293</v>
      </c>
      <c r="M241" s="34">
        <f t="shared" si="63"/>
        <v>5492.3002618277778</v>
      </c>
      <c r="N241" s="34">
        <f t="shared" si="63"/>
        <v>17423.448857080912</v>
      </c>
      <c r="O241" s="34">
        <f t="shared" si="63"/>
        <v>-8793.0430048388989</v>
      </c>
      <c r="P241" s="34">
        <f t="shared" si="63"/>
        <v>91.057145916664012</v>
      </c>
      <c r="Q241" s="456">
        <f>SUM(E241:P241)</f>
        <v>8399.3992831508658</v>
      </c>
      <c r="R241" s="391"/>
      <c r="S241" s="391"/>
      <c r="T241" s="388"/>
    </row>
    <row r="242" spans="1:21" x14ac:dyDescent="0.35">
      <c r="E242" s="62">
        <f>E131+E241</f>
        <v>5.4569682106375694E-12</v>
      </c>
      <c r="F242" s="62">
        <f t="shared" ref="F242:O242" si="64">F131+F241</f>
        <v>1.0913936421275139E-11</v>
      </c>
      <c r="G242" s="62">
        <f t="shared" si="64"/>
        <v>0</v>
      </c>
      <c r="H242" s="62">
        <f t="shared" si="64"/>
        <v>0</v>
      </c>
      <c r="I242" s="62">
        <f t="shared" si="64"/>
        <v>0</v>
      </c>
      <c r="J242" s="62">
        <f t="shared" si="64"/>
        <v>0</v>
      </c>
      <c r="K242" s="62">
        <f t="shared" si="64"/>
        <v>-3.637978807091713E-12</v>
      </c>
      <c r="L242" s="62">
        <f t="shared" si="64"/>
        <v>0</v>
      </c>
      <c r="M242" s="62">
        <f t="shared" si="64"/>
        <v>0</v>
      </c>
      <c r="N242" s="62">
        <f t="shared" si="64"/>
        <v>0</v>
      </c>
      <c r="O242" s="62">
        <f t="shared" si="64"/>
        <v>0</v>
      </c>
      <c r="P242" s="62">
        <f>P131+P241</f>
        <v>7.2759576141834259E-12</v>
      </c>
      <c r="Q242" s="62">
        <f>Q131+Q241</f>
        <v>2.1827872842550278E-10</v>
      </c>
      <c r="R242" s="391"/>
      <c r="S242" s="391"/>
      <c r="T242" s="388"/>
    </row>
    <row r="243" spans="1:21" x14ac:dyDescent="0.35">
      <c r="R243" s="391"/>
      <c r="S243" s="391"/>
      <c r="T243" s="388"/>
    </row>
    <row r="244" spans="1:21" hidden="1" x14ac:dyDescent="0.35"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91"/>
      <c r="S244" s="391"/>
      <c r="T244" s="388"/>
    </row>
    <row r="245" spans="1:21" ht="17.5" hidden="1" x14ac:dyDescent="0.5">
      <c r="D245" s="67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R245" s="416"/>
      <c r="S245" s="391"/>
      <c r="T245" s="388"/>
      <c r="U245" s="294"/>
    </row>
    <row r="246" spans="1:21" hidden="1" x14ac:dyDescent="0.35"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R246" s="416"/>
      <c r="S246" s="391"/>
      <c r="T246" s="388"/>
      <c r="U246" s="294"/>
    </row>
    <row r="247" spans="1:21" ht="17.5" hidden="1" x14ac:dyDescent="0.5">
      <c r="D247" s="6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R247" s="416"/>
      <c r="S247" s="391"/>
      <c r="T247" s="388"/>
      <c r="U247" s="294"/>
    </row>
    <row r="248" spans="1:21" hidden="1" x14ac:dyDescent="0.35">
      <c r="D248" s="38"/>
      <c r="R248" s="416"/>
      <c r="S248" s="391"/>
      <c r="T248" s="388"/>
      <c r="U248" s="294"/>
    </row>
    <row r="249" spans="1:21" hidden="1" x14ac:dyDescent="0.35">
      <c r="D249" s="38"/>
      <c r="R249" s="416"/>
      <c r="S249" s="391"/>
      <c r="T249" s="388"/>
      <c r="U249" s="294"/>
    </row>
    <row r="250" spans="1:21" hidden="1" x14ac:dyDescent="0.35">
      <c r="D250" s="38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59"/>
      <c r="R250" s="457"/>
      <c r="S250" s="391"/>
      <c r="T250" s="388"/>
      <c r="U250" s="294"/>
    </row>
    <row r="251" spans="1:21" hidden="1" x14ac:dyDescent="0.35">
      <c r="D251" s="38"/>
      <c r="E251" s="38" t="s">
        <v>0</v>
      </c>
      <c r="F251" s="38" t="s">
        <v>1</v>
      </c>
      <c r="G251" s="38" t="s">
        <v>2</v>
      </c>
      <c r="H251" s="38" t="s">
        <v>3</v>
      </c>
      <c r="I251" s="38" t="s">
        <v>4</v>
      </c>
      <c r="J251" s="38" t="s">
        <v>5</v>
      </c>
      <c r="K251" s="38" t="s">
        <v>6</v>
      </c>
      <c r="L251" s="38" t="s">
        <v>7</v>
      </c>
      <c r="M251" s="38" t="s">
        <v>8</v>
      </c>
      <c r="N251" s="38" t="s">
        <v>9</v>
      </c>
      <c r="O251" s="38" t="s">
        <v>10</v>
      </c>
      <c r="P251" s="38" t="s">
        <v>11</v>
      </c>
      <c r="R251" s="416"/>
      <c r="S251" s="391"/>
      <c r="T251" s="388"/>
      <c r="U251" s="294"/>
    </row>
    <row r="252" spans="1:21" ht="17.5" hidden="1" x14ac:dyDescent="0.5">
      <c r="D252" s="67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R252" s="416"/>
      <c r="S252" s="391"/>
      <c r="T252" s="388"/>
      <c r="U252" s="294"/>
    </row>
    <row r="253" spans="1:21" hidden="1" x14ac:dyDescent="0.35">
      <c r="D253" s="38" t="s">
        <v>152</v>
      </c>
      <c r="E253" s="34">
        <v>54008</v>
      </c>
      <c r="F253" s="34">
        <v>54008</v>
      </c>
      <c r="G253" s="34">
        <v>54008</v>
      </c>
      <c r="H253" s="34">
        <v>54008</v>
      </c>
      <c r="I253" s="34">
        <v>54008</v>
      </c>
      <c r="J253" s="34">
        <v>54008</v>
      </c>
      <c r="K253" s="34">
        <v>54008</v>
      </c>
      <c r="L253" s="34">
        <v>54008</v>
      </c>
      <c r="M253" s="34">
        <v>54008</v>
      </c>
      <c r="N253" s="34">
        <v>54008</v>
      </c>
      <c r="O253" s="34">
        <v>54008</v>
      </c>
      <c r="P253" s="34">
        <v>54008</v>
      </c>
      <c r="R253" s="416"/>
      <c r="S253" s="391"/>
      <c r="T253" s="388"/>
      <c r="U253" s="294"/>
    </row>
    <row r="254" spans="1:21" hidden="1" x14ac:dyDescent="0.35"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R254" s="416"/>
      <c r="S254" s="391"/>
      <c r="T254" s="388"/>
      <c r="U254" s="294"/>
    </row>
    <row r="255" spans="1:21" hidden="1" x14ac:dyDescent="0.35">
      <c r="D255" s="38" t="s">
        <v>151</v>
      </c>
      <c r="E255" s="69">
        <v>41069</v>
      </c>
      <c r="F255" s="69">
        <v>41069</v>
      </c>
      <c r="G255" s="69">
        <v>41069</v>
      </c>
      <c r="H255" s="69">
        <v>41069</v>
      </c>
      <c r="I255" s="69">
        <v>41069</v>
      </c>
      <c r="J255" s="69">
        <v>41069</v>
      </c>
      <c r="K255" s="69">
        <v>41069</v>
      </c>
      <c r="L255" s="69">
        <v>44709</v>
      </c>
      <c r="M255" s="69">
        <v>47586</v>
      </c>
      <c r="N255" s="69">
        <v>47586</v>
      </c>
      <c r="O255" s="69">
        <v>47586</v>
      </c>
      <c r="P255" s="69">
        <v>47586</v>
      </c>
      <c r="Q255" s="59"/>
      <c r="R255" s="457"/>
      <c r="S255" s="391"/>
      <c r="T255" s="388"/>
      <c r="U255" s="294"/>
    </row>
    <row r="256" spans="1:21" hidden="1" x14ac:dyDescent="0.35"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R256" s="416"/>
      <c r="S256" s="391"/>
      <c r="T256" s="388"/>
      <c r="U256" s="294"/>
    </row>
    <row r="257" spans="4:21" ht="17.5" hidden="1" x14ac:dyDescent="0.5">
      <c r="D257" s="67" t="s">
        <v>153</v>
      </c>
      <c r="E257" s="38">
        <f>E255/E253</f>
        <v>0.76042438157310033</v>
      </c>
      <c r="F257" s="38">
        <f t="shared" ref="F257:P257" si="65">F255/F253</f>
        <v>0.76042438157310033</v>
      </c>
      <c r="G257" s="38">
        <f t="shared" si="65"/>
        <v>0.76042438157310033</v>
      </c>
      <c r="H257" s="38">
        <f t="shared" si="65"/>
        <v>0.76042438157310033</v>
      </c>
      <c r="I257" s="38">
        <f t="shared" si="65"/>
        <v>0.76042438157310033</v>
      </c>
      <c r="J257" s="38">
        <f t="shared" si="65"/>
        <v>0.76042438157310033</v>
      </c>
      <c r="K257" s="38">
        <f t="shared" si="65"/>
        <v>0.76042438157310033</v>
      </c>
      <c r="L257" s="38">
        <f t="shared" si="65"/>
        <v>0.82782180417715889</v>
      </c>
      <c r="M257" s="38">
        <f t="shared" si="65"/>
        <v>0.88109169011998223</v>
      </c>
      <c r="N257" s="38">
        <f t="shared" si="65"/>
        <v>0.88109169011998223</v>
      </c>
      <c r="O257" s="38">
        <f t="shared" si="65"/>
        <v>0.88109169011998223</v>
      </c>
      <c r="P257" s="38">
        <f t="shared" si="65"/>
        <v>0.88109169011998223</v>
      </c>
      <c r="R257" s="416"/>
      <c r="S257" s="391"/>
      <c r="T257" s="388"/>
      <c r="U257" s="294"/>
    </row>
    <row r="258" spans="4:21" hidden="1" x14ac:dyDescent="0.35"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R258" s="416"/>
      <c r="S258" s="391"/>
      <c r="T258" s="388"/>
      <c r="U258" s="294"/>
    </row>
    <row r="259" spans="4:21" hidden="1" x14ac:dyDescent="0.35"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R259" s="416"/>
      <c r="S259" s="391"/>
      <c r="T259" s="388"/>
      <c r="U259" s="294"/>
    </row>
    <row r="260" spans="4:21" hidden="1" x14ac:dyDescent="0.35">
      <c r="D260" s="38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59"/>
      <c r="R260" s="457"/>
      <c r="S260" s="391"/>
      <c r="T260" s="388"/>
      <c r="U260" s="294"/>
    </row>
    <row r="261" spans="4:21" hidden="1" x14ac:dyDescent="0.35"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R261" s="416"/>
      <c r="S261" s="391"/>
      <c r="T261" s="388"/>
      <c r="U261" s="294"/>
    </row>
    <row r="262" spans="4:21" hidden="1" x14ac:dyDescent="0.35"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R262" s="416"/>
      <c r="S262" s="391"/>
      <c r="T262" s="388"/>
      <c r="U262" s="294"/>
    </row>
    <row r="263" spans="4:21" hidden="1" x14ac:dyDescent="0.35"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R263" s="416"/>
      <c r="S263" s="391"/>
      <c r="T263" s="388"/>
      <c r="U263" s="294"/>
    </row>
    <row r="264" spans="4:21" hidden="1" x14ac:dyDescent="0.35"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R264" s="416"/>
      <c r="S264" s="391"/>
      <c r="T264" s="388"/>
      <c r="U264" s="294"/>
    </row>
    <row r="265" spans="4:21" hidden="1" x14ac:dyDescent="0.35"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R265" s="416"/>
      <c r="S265" s="391"/>
      <c r="T265" s="388"/>
      <c r="U265" s="294"/>
    </row>
    <row r="266" spans="4:21" ht="17.5" hidden="1" x14ac:dyDescent="0.5">
      <c r="D266" s="6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R266" s="416"/>
      <c r="S266" s="391"/>
      <c r="T266" s="388"/>
      <c r="U266" s="294"/>
    </row>
    <row r="267" spans="4:21" hidden="1" x14ac:dyDescent="0.35">
      <c r="F267" s="70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R267" s="416"/>
      <c r="S267" s="391"/>
      <c r="T267" s="388"/>
      <c r="U267" s="294"/>
    </row>
    <row r="268" spans="4:21" hidden="1" x14ac:dyDescent="0.35">
      <c r="F268" s="70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R268" s="416"/>
      <c r="S268" s="391"/>
      <c r="T268" s="388"/>
      <c r="U268" s="294"/>
    </row>
    <row r="269" spans="4:21" hidden="1" x14ac:dyDescent="0.35">
      <c r="F269" s="70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R269" s="416"/>
      <c r="S269" s="391"/>
      <c r="T269" s="388"/>
      <c r="U269" s="294"/>
    </row>
    <row r="270" spans="4:21" hidden="1" x14ac:dyDescent="0.35">
      <c r="F270" s="70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R270" s="416"/>
      <c r="S270" s="391"/>
      <c r="T270" s="388"/>
      <c r="U270" s="294"/>
    </row>
    <row r="271" spans="4:21" hidden="1" x14ac:dyDescent="0.35">
      <c r="F271" s="70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R271" s="416"/>
      <c r="S271" s="391"/>
      <c r="T271" s="388"/>
      <c r="U271" s="294"/>
    </row>
    <row r="272" spans="4:21" hidden="1" x14ac:dyDescent="0.35">
      <c r="F272" s="70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R272" s="416"/>
      <c r="S272" s="391"/>
      <c r="T272" s="388"/>
      <c r="U272" s="294"/>
    </row>
    <row r="273" spans="4:21" hidden="1" x14ac:dyDescent="0.35">
      <c r="F273" s="70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R273" s="416"/>
      <c r="S273" s="391"/>
      <c r="T273" s="388"/>
      <c r="U273" s="294"/>
    </row>
    <row r="274" spans="4:21" hidden="1" x14ac:dyDescent="0.35">
      <c r="E274" s="59"/>
      <c r="F274" s="71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R274" s="416"/>
      <c r="S274" s="391"/>
      <c r="T274" s="388"/>
      <c r="U274" s="294"/>
    </row>
    <row r="275" spans="4:21" hidden="1" x14ac:dyDescent="0.35"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R275" s="416"/>
      <c r="S275" s="391"/>
      <c r="T275" s="388"/>
      <c r="U275" s="294"/>
    </row>
    <row r="276" spans="4:21" hidden="1" x14ac:dyDescent="0.35"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R276" s="416"/>
      <c r="S276" s="391"/>
      <c r="T276" s="388"/>
      <c r="U276" s="294"/>
    </row>
    <row r="277" spans="4:21" hidden="1" x14ac:dyDescent="0.35"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R277" s="416"/>
      <c r="S277" s="391"/>
      <c r="T277" s="388"/>
      <c r="U277" s="294"/>
    </row>
    <row r="278" spans="4:21" hidden="1" x14ac:dyDescent="0.35"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R278" s="416"/>
      <c r="S278" s="391"/>
      <c r="T278" s="388"/>
      <c r="U278" s="294"/>
    </row>
    <row r="279" spans="4:21" hidden="1" x14ac:dyDescent="0.35"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R279" s="416"/>
      <c r="S279" s="416"/>
      <c r="T279" s="417"/>
      <c r="U279" s="294"/>
    </row>
    <row r="280" spans="4:21" hidden="1" x14ac:dyDescent="0.35"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R280" s="416"/>
      <c r="S280" s="416"/>
      <c r="T280" s="417"/>
      <c r="U280" s="294"/>
    </row>
    <row r="281" spans="4:21" ht="17.5" hidden="1" x14ac:dyDescent="0.5">
      <c r="D281" s="67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R281" s="416"/>
      <c r="S281" s="416"/>
      <c r="T281" s="417"/>
      <c r="U281" s="294"/>
    </row>
    <row r="282" spans="4:21" hidden="1" x14ac:dyDescent="0.35"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R282" s="416"/>
      <c r="S282" s="416"/>
      <c r="T282" s="417"/>
      <c r="U282" s="294"/>
    </row>
    <row r="283" spans="4:21" ht="17.5" hidden="1" x14ac:dyDescent="0.5">
      <c r="D283" s="6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R283" s="416"/>
      <c r="S283" s="416"/>
      <c r="T283" s="417"/>
      <c r="U283" s="294"/>
    </row>
    <row r="284" spans="4:21" hidden="1" x14ac:dyDescent="0.35"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R284" s="416"/>
      <c r="S284" s="416"/>
      <c r="T284" s="417"/>
      <c r="U284" s="294"/>
    </row>
    <row r="285" spans="4:21" hidden="1" x14ac:dyDescent="0.35"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R285" s="416"/>
      <c r="S285" s="416"/>
      <c r="T285" s="417"/>
      <c r="U285" s="294"/>
    </row>
    <row r="286" spans="4:21" hidden="1" x14ac:dyDescent="0.35">
      <c r="D286" s="38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59"/>
      <c r="R286" s="457"/>
      <c r="S286" s="416"/>
      <c r="T286" s="417"/>
      <c r="U286" s="294"/>
    </row>
    <row r="287" spans="4:21" hidden="1" x14ac:dyDescent="0.35"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R287" s="416"/>
      <c r="S287" s="416"/>
      <c r="T287" s="417"/>
      <c r="U287" s="294"/>
    </row>
    <row r="288" spans="4:21" ht="17.5" hidden="1" x14ac:dyDescent="0.5">
      <c r="D288" s="67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R288" s="416"/>
      <c r="S288" s="416"/>
      <c r="T288" s="417"/>
      <c r="U288" s="294"/>
    </row>
    <row r="289" spans="4:21" hidden="1" x14ac:dyDescent="0.35"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R289" s="416"/>
      <c r="S289" s="416"/>
      <c r="T289" s="417"/>
      <c r="U289" s="294"/>
    </row>
    <row r="290" spans="4:21" hidden="1" x14ac:dyDescent="0.35"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R290" s="416"/>
      <c r="S290" s="416"/>
      <c r="T290" s="417"/>
      <c r="U290" s="294"/>
    </row>
    <row r="291" spans="4:21" hidden="1" x14ac:dyDescent="0.35">
      <c r="D291" s="38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59"/>
      <c r="R291" s="457"/>
      <c r="S291" s="416"/>
      <c r="T291" s="417"/>
      <c r="U291" s="294"/>
    </row>
    <row r="292" spans="4:21" hidden="1" x14ac:dyDescent="0.35"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R292" s="416"/>
      <c r="S292" s="416"/>
      <c r="T292" s="417"/>
      <c r="U292" s="294"/>
    </row>
    <row r="293" spans="4:21" ht="17.5" hidden="1" x14ac:dyDescent="0.5">
      <c r="D293" s="67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R293" s="416"/>
      <c r="S293" s="416"/>
      <c r="T293" s="417"/>
      <c r="U293" s="294"/>
    </row>
    <row r="294" spans="4:21" hidden="1" x14ac:dyDescent="0.35"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R294" s="416"/>
      <c r="S294" s="416"/>
      <c r="T294" s="417"/>
      <c r="U294" s="294"/>
    </row>
    <row r="295" spans="4:21" hidden="1" x14ac:dyDescent="0.35"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R295" s="416"/>
      <c r="S295" s="416"/>
      <c r="T295" s="417"/>
      <c r="U295" s="294"/>
    </row>
    <row r="296" spans="4:21" hidden="1" x14ac:dyDescent="0.35">
      <c r="D296" s="38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59"/>
      <c r="R296" s="457"/>
      <c r="S296" s="416"/>
      <c r="T296" s="417"/>
      <c r="U296" s="294"/>
    </row>
    <row r="297" spans="4:21" hidden="1" x14ac:dyDescent="0.35">
      <c r="R297" s="391"/>
      <c r="S297" s="416"/>
      <c r="T297" s="417"/>
    </row>
    <row r="298" spans="4:21" hidden="1" x14ac:dyDescent="0.35">
      <c r="R298" s="391"/>
      <c r="S298" s="416"/>
      <c r="T298" s="417"/>
    </row>
    <row r="299" spans="4:21" hidden="1" x14ac:dyDescent="0.35">
      <c r="R299" s="391"/>
      <c r="S299" s="416"/>
      <c r="T299" s="417"/>
    </row>
    <row r="300" spans="4:21" hidden="1" x14ac:dyDescent="0.35">
      <c r="R300" s="391"/>
      <c r="S300" s="416"/>
      <c r="T300" s="417"/>
    </row>
    <row r="301" spans="4:21" hidden="1" x14ac:dyDescent="0.35">
      <c r="R301" s="391"/>
      <c r="S301" s="416"/>
      <c r="T301" s="417"/>
    </row>
    <row r="302" spans="4:21" hidden="1" x14ac:dyDescent="0.35">
      <c r="R302" s="391"/>
      <c r="S302" s="416"/>
      <c r="T302" s="417"/>
    </row>
    <row r="303" spans="4:21" hidden="1" x14ac:dyDescent="0.35">
      <c r="R303" s="391"/>
      <c r="S303" s="416"/>
      <c r="T303" s="417"/>
    </row>
    <row r="304" spans="4:21" hidden="1" x14ac:dyDescent="0.35">
      <c r="R304" s="391"/>
      <c r="S304" s="416"/>
      <c r="T304" s="417"/>
    </row>
    <row r="305" spans="1:21" hidden="1" x14ac:dyDescent="0.35">
      <c r="R305" s="391"/>
      <c r="S305" s="416"/>
      <c r="T305" s="417"/>
    </row>
    <row r="306" spans="1:21" hidden="1" x14ac:dyDescent="0.35">
      <c r="R306" s="391"/>
      <c r="S306" s="416"/>
      <c r="T306" s="417"/>
    </row>
    <row r="307" spans="1:21" ht="16.5" hidden="1" thickBot="1" x14ac:dyDescent="0.4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R307" s="416"/>
      <c r="S307" s="416"/>
      <c r="T307" s="417"/>
      <c r="U307" s="294"/>
    </row>
    <row r="308" spans="1:21" ht="16.5" hidden="1" thickTop="1" x14ac:dyDescent="0.35">
      <c r="A308" s="72"/>
      <c r="B308" s="72"/>
      <c r="C308" s="72"/>
      <c r="D308" s="72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2"/>
      <c r="R308" s="458"/>
      <c r="S308" s="416"/>
      <c r="T308" s="417"/>
      <c r="U308" s="294"/>
    </row>
    <row r="309" spans="1:21" hidden="1" x14ac:dyDescent="0.35">
      <c r="A309" s="38"/>
      <c r="B309" s="38"/>
      <c r="C309" s="38"/>
      <c r="D309" s="74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R309" s="416"/>
      <c r="S309" s="416"/>
      <c r="T309" s="417"/>
      <c r="U309" s="294"/>
    </row>
    <row r="310" spans="1:21" hidden="1" x14ac:dyDescent="0.35">
      <c r="A310" s="38"/>
      <c r="B310" s="38"/>
      <c r="C310" s="38"/>
      <c r="D310" s="75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41"/>
      <c r="R310" s="418"/>
      <c r="S310" s="416"/>
      <c r="T310" s="417"/>
      <c r="U310" s="294"/>
    </row>
    <row r="311" spans="1:21" hidden="1" x14ac:dyDescent="0.35">
      <c r="A311" s="38"/>
      <c r="B311" s="38"/>
      <c r="C311" s="38"/>
      <c r="D311" s="75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6"/>
      <c r="R311" s="420"/>
      <c r="S311" s="416"/>
      <c r="T311" s="417"/>
      <c r="U311" s="295"/>
    </row>
    <row r="312" spans="1:21" hidden="1" x14ac:dyDescent="0.35">
      <c r="A312" s="38"/>
      <c r="B312" s="38"/>
      <c r="C312" s="38"/>
      <c r="D312" s="75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R312" s="416"/>
      <c r="S312" s="416"/>
      <c r="T312" s="417"/>
      <c r="U312" s="294"/>
    </row>
    <row r="313" spans="1:21" hidden="1" x14ac:dyDescent="0.35">
      <c r="A313" s="38"/>
      <c r="B313" s="38"/>
      <c r="C313" s="38"/>
      <c r="D313" s="75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R313" s="416"/>
      <c r="S313" s="416"/>
      <c r="T313" s="417"/>
      <c r="U313" s="294"/>
    </row>
    <row r="314" spans="1:21" hidden="1" x14ac:dyDescent="0.35">
      <c r="A314" s="38"/>
      <c r="B314" s="38"/>
      <c r="C314" s="38"/>
      <c r="D314" s="75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R314" s="416"/>
      <c r="S314" s="416"/>
      <c r="T314" s="417"/>
      <c r="U314" s="294"/>
    </row>
    <row r="315" spans="1:21" hidden="1" x14ac:dyDescent="0.35">
      <c r="A315" s="38"/>
      <c r="B315" s="38"/>
      <c r="C315" s="38"/>
      <c r="D315" s="75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R315" s="416"/>
      <c r="S315" s="416"/>
      <c r="T315" s="417"/>
      <c r="U315" s="294"/>
    </row>
    <row r="316" spans="1:21" hidden="1" x14ac:dyDescent="0.35">
      <c r="A316" s="38"/>
      <c r="B316" s="38"/>
      <c r="C316" s="38"/>
      <c r="D316" s="75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R316" s="416"/>
      <c r="S316" s="416"/>
      <c r="T316" s="417"/>
      <c r="U316" s="294"/>
    </row>
    <row r="317" spans="1:21" hidden="1" x14ac:dyDescent="0.35">
      <c r="A317" s="38"/>
      <c r="B317" s="38"/>
      <c r="C317" s="38"/>
      <c r="D317" s="75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R317" s="416"/>
      <c r="S317" s="416"/>
      <c r="T317" s="417"/>
      <c r="U317" s="294"/>
    </row>
    <row r="318" spans="1:21" hidden="1" x14ac:dyDescent="0.35">
      <c r="A318" s="38"/>
      <c r="B318" s="38"/>
      <c r="C318" s="38"/>
      <c r="D318" s="75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R318" s="416"/>
      <c r="S318" s="416"/>
      <c r="T318" s="417"/>
      <c r="U318" s="294"/>
    </row>
    <row r="319" spans="1:21" hidden="1" x14ac:dyDescent="0.35">
      <c r="A319" s="38"/>
      <c r="B319" s="38"/>
      <c r="C319" s="38"/>
      <c r="D319" s="75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R319" s="416"/>
      <c r="S319" s="416"/>
      <c r="T319" s="417"/>
      <c r="U319" s="294"/>
    </row>
    <row r="320" spans="1:21" hidden="1" x14ac:dyDescent="0.35">
      <c r="A320" s="38"/>
      <c r="B320" s="38"/>
      <c r="C320" s="38"/>
      <c r="D320" s="75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R320" s="416"/>
      <c r="S320" s="416"/>
      <c r="T320" s="417"/>
      <c r="U320" s="294"/>
    </row>
    <row r="321" spans="1:21" hidden="1" x14ac:dyDescent="0.35">
      <c r="A321" s="38"/>
      <c r="B321" s="38"/>
      <c r="C321" s="38"/>
      <c r="D321" s="75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R321" s="416"/>
      <c r="S321" s="416"/>
      <c r="T321" s="417"/>
      <c r="U321" s="294"/>
    </row>
    <row r="322" spans="1:21" hidden="1" x14ac:dyDescent="0.35">
      <c r="A322" s="38"/>
      <c r="B322" s="38"/>
      <c r="C322" s="38"/>
      <c r="D322" s="75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R322" s="416"/>
      <c r="S322" s="416"/>
      <c r="T322" s="417"/>
      <c r="U322" s="294"/>
    </row>
    <row r="323" spans="1:21" hidden="1" x14ac:dyDescent="0.35">
      <c r="A323" s="38"/>
      <c r="B323" s="38"/>
      <c r="C323" s="38"/>
      <c r="D323" s="75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R323" s="416"/>
      <c r="S323" s="416"/>
      <c r="T323" s="417"/>
      <c r="U323" s="294"/>
    </row>
    <row r="324" spans="1:21" hidden="1" x14ac:dyDescent="0.35">
      <c r="A324" s="38"/>
      <c r="B324" s="38"/>
      <c r="C324" s="38"/>
      <c r="D324" s="75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R324" s="416"/>
      <c r="S324" s="416"/>
      <c r="T324" s="417"/>
      <c r="U324" s="294"/>
    </row>
    <row r="325" spans="1:21" hidden="1" x14ac:dyDescent="0.35">
      <c r="A325" s="38"/>
      <c r="B325" s="38"/>
      <c r="C325" s="38"/>
      <c r="D325" s="75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R325" s="416"/>
      <c r="S325" s="416"/>
      <c r="T325" s="417"/>
      <c r="U325" s="294"/>
    </row>
    <row r="326" spans="1:21" hidden="1" x14ac:dyDescent="0.35">
      <c r="A326" s="38"/>
      <c r="B326" s="38"/>
      <c r="C326" s="38"/>
      <c r="D326" s="75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R326" s="416"/>
      <c r="S326" s="416"/>
      <c r="T326" s="417"/>
      <c r="U326" s="294"/>
    </row>
    <row r="327" spans="1:21" hidden="1" x14ac:dyDescent="0.35">
      <c r="D327" s="75"/>
      <c r="R327" s="416"/>
      <c r="S327" s="416"/>
      <c r="T327" s="417"/>
      <c r="U327" s="294"/>
    </row>
    <row r="328" spans="1:21" hidden="1" x14ac:dyDescent="0.35">
      <c r="D328" s="75"/>
      <c r="R328" s="416"/>
      <c r="S328" s="416"/>
      <c r="T328" s="417"/>
      <c r="U328" s="294"/>
    </row>
    <row r="329" spans="1:21" hidden="1" x14ac:dyDescent="0.35">
      <c r="D329" s="75"/>
      <c r="R329" s="416"/>
      <c r="S329" s="416"/>
      <c r="T329" s="417"/>
      <c r="U329" s="294"/>
    </row>
    <row r="330" spans="1:21" hidden="1" x14ac:dyDescent="0.35">
      <c r="D330" s="75"/>
      <c r="R330" s="416"/>
      <c r="S330" s="416"/>
      <c r="T330" s="417"/>
      <c r="U330" s="294"/>
    </row>
    <row r="331" spans="1:21" hidden="1" x14ac:dyDescent="0.35">
      <c r="D331" s="75"/>
      <c r="R331" s="416"/>
      <c r="S331" s="391"/>
      <c r="T331" s="388"/>
      <c r="U331" s="294"/>
    </row>
    <row r="332" spans="1:21" hidden="1" x14ac:dyDescent="0.35">
      <c r="D332" s="75"/>
      <c r="R332" s="416"/>
      <c r="S332" s="391"/>
      <c r="T332" s="388"/>
      <c r="U332" s="294"/>
    </row>
    <row r="333" spans="1:21" hidden="1" x14ac:dyDescent="0.35">
      <c r="D333" s="75"/>
      <c r="R333" s="416"/>
      <c r="S333" s="391"/>
      <c r="T333" s="388"/>
      <c r="U333" s="294"/>
    </row>
    <row r="334" spans="1:21" hidden="1" x14ac:dyDescent="0.35">
      <c r="D334" s="75"/>
      <c r="R334" s="416"/>
      <c r="S334" s="391"/>
      <c r="T334" s="388"/>
      <c r="U334" s="294"/>
    </row>
    <row r="335" spans="1:21" hidden="1" x14ac:dyDescent="0.35">
      <c r="D335" s="75"/>
      <c r="R335" s="416"/>
      <c r="S335" s="391"/>
      <c r="T335" s="388"/>
      <c r="U335" s="294"/>
    </row>
    <row r="336" spans="1:21" hidden="1" x14ac:dyDescent="0.35">
      <c r="D336" s="75"/>
      <c r="R336" s="416"/>
      <c r="S336" s="391"/>
      <c r="T336" s="388"/>
      <c r="U336" s="294"/>
    </row>
    <row r="337" spans="1:21" hidden="1" x14ac:dyDescent="0.35">
      <c r="D337" s="75"/>
      <c r="R337" s="416"/>
      <c r="S337" s="391"/>
      <c r="T337" s="388"/>
      <c r="U337" s="294"/>
    </row>
    <row r="338" spans="1:21" hidden="1" x14ac:dyDescent="0.35">
      <c r="D338" s="75"/>
      <c r="R338" s="416"/>
      <c r="S338" s="391"/>
      <c r="T338" s="388"/>
      <c r="U338" s="294"/>
    </row>
    <row r="339" spans="1:21" hidden="1" x14ac:dyDescent="0.35">
      <c r="D339" s="75"/>
      <c r="R339" s="416"/>
      <c r="S339" s="391"/>
      <c r="T339" s="388"/>
      <c r="U339" s="294"/>
    </row>
    <row r="340" spans="1:21" hidden="1" x14ac:dyDescent="0.35">
      <c r="D340" s="75"/>
      <c r="R340" s="416"/>
      <c r="S340" s="391"/>
      <c r="T340" s="388"/>
      <c r="U340" s="294"/>
    </row>
    <row r="341" spans="1:21" hidden="1" x14ac:dyDescent="0.35">
      <c r="D341" s="75"/>
      <c r="R341" s="416"/>
      <c r="S341" s="416"/>
      <c r="T341" s="417"/>
      <c r="U341" s="294"/>
    </row>
    <row r="342" spans="1:21" hidden="1" x14ac:dyDescent="0.35">
      <c r="D342" s="75"/>
      <c r="R342" s="416"/>
      <c r="S342" s="416"/>
      <c r="T342" s="417"/>
      <c r="U342" s="294"/>
    </row>
    <row r="343" spans="1:21" hidden="1" x14ac:dyDescent="0.35">
      <c r="D343" s="75"/>
      <c r="R343" s="416"/>
      <c r="S343" s="416"/>
      <c r="T343" s="417"/>
      <c r="U343" s="294"/>
    </row>
    <row r="344" spans="1:21" hidden="1" x14ac:dyDescent="0.35">
      <c r="D344" s="75"/>
      <c r="R344" s="416"/>
      <c r="S344" s="418"/>
      <c r="T344" s="419"/>
      <c r="U344" s="294"/>
    </row>
    <row r="345" spans="1:21" hidden="1" x14ac:dyDescent="0.35">
      <c r="D345" s="75"/>
      <c r="R345" s="416"/>
      <c r="S345" s="420"/>
      <c r="T345" s="421"/>
      <c r="U345" s="294"/>
    </row>
    <row r="346" spans="1:21" hidden="1" x14ac:dyDescent="0.35"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459"/>
      <c r="S346" s="416"/>
      <c r="T346" s="417"/>
    </row>
    <row r="347" spans="1:21" hidden="1" x14ac:dyDescent="0.35">
      <c r="Q347" s="78"/>
      <c r="R347" s="422"/>
      <c r="S347" s="416"/>
      <c r="T347" s="417"/>
      <c r="U347" s="296"/>
    </row>
    <row r="348" spans="1:21" hidden="1" x14ac:dyDescent="0.35">
      <c r="R348" s="391"/>
      <c r="S348" s="416"/>
      <c r="T348" s="417"/>
    </row>
    <row r="349" spans="1:21" hidden="1" x14ac:dyDescent="0.35">
      <c r="R349" s="391"/>
      <c r="S349" s="416"/>
      <c r="T349" s="417"/>
    </row>
    <row r="350" spans="1:21" ht="16.5" hidden="1" thickBot="1" x14ac:dyDescent="0.4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R350" s="416"/>
      <c r="S350" s="416"/>
      <c r="T350" s="417"/>
      <c r="U350" s="294"/>
    </row>
    <row r="351" spans="1:21" ht="16.5" hidden="1" thickTop="1" x14ac:dyDescent="0.35">
      <c r="A351" s="72"/>
      <c r="B351" s="72"/>
      <c r="C351" s="72"/>
      <c r="D351" s="72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2"/>
      <c r="R351" s="458"/>
      <c r="S351" s="416"/>
      <c r="T351" s="417"/>
      <c r="U351" s="294"/>
    </row>
    <row r="352" spans="1:21" hidden="1" x14ac:dyDescent="0.35">
      <c r="R352" s="391"/>
      <c r="S352" s="416"/>
      <c r="T352" s="417"/>
    </row>
    <row r="353" spans="5:20" hidden="1" x14ac:dyDescent="0.35"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R353" s="391"/>
      <c r="S353" s="416"/>
      <c r="T353" s="417"/>
    </row>
    <row r="354" spans="5:20" hidden="1" x14ac:dyDescent="0.35">
      <c r="R354" s="391"/>
      <c r="S354" s="416"/>
      <c r="T354" s="417"/>
    </row>
    <row r="355" spans="5:20" hidden="1" x14ac:dyDescent="0.35">
      <c r="R355" s="391"/>
      <c r="S355" s="416"/>
      <c r="T355" s="417"/>
    </row>
    <row r="356" spans="5:20" hidden="1" x14ac:dyDescent="0.35">
      <c r="R356" s="391"/>
      <c r="S356" s="416"/>
      <c r="T356" s="417"/>
    </row>
    <row r="357" spans="5:20" hidden="1" x14ac:dyDescent="0.35">
      <c r="R357" s="391"/>
      <c r="S357" s="416"/>
      <c r="T357" s="417"/>
    </row>
    <row r="358" spans="5:20" hidden="1" x14ac:dyDescent="0.35">
      <c r="R358" s="391"/>
      <c r="S358" s="416"/>
      <c r="T358" s="417"/>
    </row>
    <row r="359" spans="5:20" hidden="1" x14ac:dyDescent="0.35"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R359" s="391"/>
      <c r="S359" s="416"/>
      <c r="T359" s="417"/>
    </row>
    <row r="360" spans="5:20" x14ac:dyDescent="0.35">
      <c r="Q360" s="391"/>
      <c r="R360" s="391"/>
      <c r="S360" s="416"/>
      <c r="T360" s="417"/>
    </row>
    <row r="361" spans="5:20" x14ac:dyDescent="0.35">
      <c r="Q361" s="391"/>
      <c r="R361" s="391"/>
      <c r="S361" s="416"/>
      <c r="T361" s="417"/>
    </row>
    <row r="362" spans="5:20" x14ac:dyDescent="0.35">
      <c r="Q362" s="391"/>
      <c r="R362" s="391"/>
      <c r="S362" s="416"/>
      <c r="T362" s="417"/>
    </row>
    <row r="363" spans="5:20" x14ac:dyDescent="0.35">
      <c r="Q363" s="391"/>
      <c r="R363" s="391"/>
      <c r="S363" s="416"/>
      <c r="T363" s="417"/>
    </row>
    <row r="364" spans="5:20" x14ac:dyDescent="0.35">
      <c r="Q364" s="391"/>
      <c r="R364" s="391"/>
      <c r="S364" s="416"/>
      <c r="T364" s="417"/>
    </row>
    <row r="365" spans="5:20" x14ac:dyDescent="0.35">
      <c r="Q365" s="391"/>
      <c r="R365" s="391"/>
      <c r="S365" s="416"/>
      <c r="T365" s="417"/>
    </row>
    <row r="366" spans="5:20" x14ac:dyDescent="0.35">
      <c r="Q366" s="391"/>
      <c r="R366" s="391"/>
      <c r="S366" s="416"/>
      <c r="T366" s="417"/>
    </row>
    <row r="367" spans="5:20" x14ac:dyDescent="0.35">
      <c r="Q367" s="391"/>
      <c r="R367" s="391"/>
      <c r="S367" s="416"/>
      <c r="T367" s="417"/>
    </row>
    <row r="368" spans="5:20" x14ac:dyDescent="0.35">
      <c r="Q368" s="391"/>
      <c r="R368" s="391"/>
      <c r="S368" s="416"/>
      <c r="T368" s="417"/>
    </row>
    <row r="369" spans="17:20" x14ac:dyDescent="0.35">
      <c r="Q369" s="391"/>
      <c r="R369" s="391"/>
      <c r="S369" s="416"/>
      <c r="T369" s="417"/>
    </row>
    <row r="370" spans="17:20" x14ac:dyDescent="0.35">
      <c r="Q370" s="391"/>
      <c r="R370" s="391"/>
      <c r="S370" s="416"/>
      <c r="T370" s="417"/>
    </row>
    <row r="371" spans="17:20" x14ac:dyDescent="0.35">
      <c r="Q371" s="391"/>
      <c r="R371" s="391"/>
      <c r="S371" s="416"/>
      <c r="T371" s="417"/>
    </row>
    <row r="372" spans="17:20" x14ac:dyDescent="0.35">
      <c r="Q372" s="391"/>
      <c r="R372" s="391"/>
      <c r="S372" s="416"/>
      <c r="T372" s="417"/>
    </row>
    <row r="373" spans="17:20" x14ac:dyDescent="0.35">
      <c r="Q373" s="391"/>
      <c r="R373" s="391"/>
      <c r="S373" s="416"/>
      <c r="T373" s="417"/>
    </row>
    <row r="374" spans="17:20" x14ac:dyDescent="0.35">
      <c r="Q374" s="391"/>
      <c r="R374" s="391"/>
      <c r="S374" s="416"/>
      <c r="T374" s="417"/>
    </row>
    <row r="375" spans="17:20" x14ac:dyDescent="0.35">
      <c r="Q375" s="391"/>
      <c r="R375" s="391"/>
      <c r="S375" s="416"/>
      <c r="T375" s="417"/>
    </row>
    <row r="376" spans="17:20" x14ac:dyDescent="0.35">
      <c r="Q376" s="391"/>
      <c r="R376" s="391"/>
      <c r="S376" s="416"/>
      <c r="T376" s="417"/>
    </row>
    <row r="377" spans="17:20" x14ac:dyDescent="0.35">
      <c r="Q377" s="391"/>
      <c r="R377" s="391"/>
      <c r="S377" s="416"/>
      <c r="T377" s="417"/>
    </row>
    <row r="378" spans="17:20" x14ac:dyDescent="0.35">
      <c r="Q378" s="391"/>
      <c r="R378" s="391"/>
      <c r="S378" s="416"/>
      <c r="T378" s="417"/>
    </row>
    <row r="379" spans="17:20" x14ac:dyDescent="0.35">
      <c r="Q379" s="391"/>
      <c r="R379" s="391"/>
      <c r="S379" s="416"/>
      <c r="T379" s="417"/>
    </row>
    <row r="380" spans="17:20" x14ac:dyDescent="0.35">
      <c r="Q380" s="391"/>
      <c r="R380" s="391"/>
      <c r="S380" s="391"/>
      <c r="T380" s="388"/>
    </row>
    <row r="381" spans="17:20" x14ac:dyDescent="0.35">
      <c r="Q381" s="391"/>
      <c r="R381" s="391"/>
      <c r="S381" s="422"/>
      <c r="T381" s="423"/>
    </row>
    <row r="382" spans="17:20" x14ac:dyDescent="0.35">
      <c r="Q382" s="391"/>
      <c r="R382" s="391"/>
      <c r="S382" s="391"/>
      <c r="T382" s="388"/>
    </row>
    <row r="383" spans="17:20" x14ac:dyDescent="0.35">
      <c r="Q383" s="391"/>
      <c r="R383" s="391"/>
      <c r="S383" s="391"/>
      <c r="T383" s="388"/>
    </row>
    <row r="384" spans="17:20" x14ac:dyDescent="0.35">
      <c r="Q384" s="391"/>
      <c r="R384" s="391"/>
      <c r="S384" s="416"/>
      <c r="T384" s="417"/>
    </row>
    <row r="385" spans="17:20" x14ac:dyDescent="0.35">
      <c r="Q385" s="391"/>
      <c r="R385" s="391"/>
      <c r="S385" s="416"/>
      <c r="T385" s="417"/>
    </row>
  </sheetData>
  <sheetProtection formatColumns="0" selectLockedCells="1"/>
  <phoneticPr fontId="0" type="noConversion"/>
  <conditionalFormatting sqref="E139:P154">
    <cfRule type="expression" dxfId="89" priority="393">
      <formula>E181&gt;0</formula>
    </cfRule>
    <cfRule type="expression" dxfId="88" priority="394">
      <formula>E160&gt;0</formula>
    </cfRule>
  </conditionalFormatting>
  <conditionalFormatting sqref="E156:Q156">
    <cfRule type="expression" dxfId="87" priority="3">
      <formula>ABS(E156)&lt;1</formula>
    </cfRule>
  </conditionalFormatting>
  <conditionalFormatting sqref="E177:Q178">
    <cfRule type="expression" dxfId="86" priority="2">
      <formula>ABS(E177)&lt;1</formula>
    </cfRule>
  </conditionalFormatting>
  <conditionalFormatting sqref="E198:Q198">
    <cfRule type="expression" dxfId="85" priority="4">
      <formula>ABS(E198)&lt;1</formula>
    </cfRule>
  </conditionalFormatting>
  <conditionalFormatting sqref="E242:Q242">
    <cfRule type="cellIs" dxfId="84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00000000-0002-0000-0300-000000000000}"/>
  </dataValidations>
  <printOptions horizontalCentered="1" verticalCentered="1"/>
  <pageMargins left="0.25" right="0.25" top="0.75" bottom="0.75" header="0.3" footer="0.3"/>
  <pageSetup scale="43" fitToHeight="2" orientation="landscape" r:id="rId1"/>
  <headerFooter>
    <oddHeader>&amp;R&amp;D</oddHeader>
    <oddFooter>Page &amp;P of &amp;N</oddFooter>
  </headerFooter>
  <rowBreaks count="1" manualBreakCount="1">
    <brk id="71" min="1" max="1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0"/>
  </sheetPr>
  <dimension ref="A1:V417"/>
  <sheetViews>
    <sheetView tabSelected="1" view="pageBreakPreview" topLeftCell="A77" zoomScale="60" zoomScaleNormal="67" workbookViewId="0">
      <selection activeCell="A11" sqref="A11"/>
    </sheetView>
  </sheetViews>
  <sheetFormatPr defaultColWidth="10.81640625" defaultRowHeight="16" outlineLevelRow="1" outlineLevelCol="1" x14ac:dyDescent="0.35"/>
  <cols>
    <col min="1" max="1" width="15.54296875" style="34" bestFit="1" customWidth="1"/>
    <col min="2" max="2" width="10" style="34" customWidth="1"/>
    <col min="3" max="3" width="2.81640625" style="34" customWidth="1"/>
    <col min="4" max="4" width="37.81640625" style="34" customWidth="1"/>
    <col min="5" max="5" width="14" style="34" customWidth="1"/>
    <col min="6" max="6" width="12.81640625" style="34" customWidth="1"/>
    <col min="7" max="8" width="15.81640625" style="34" customWidth="1"/>
    <col min="9" max="9" width="13.81640625" style="34" customWidth="1"/>
    <col min="10" max="10" width="13.1796875" style="34" customWidth="1"/>
    <col min="11" max="11" width="13.54296875" style="34" bestFit="1" customWidth="1"/>
    <col min="12" max="12" width="16.54296875" style="34" bestFit="1" customWidth="1"/>
    <col min="13" max="16" width="13.54296875" style="34" bestFit="1" customWidth="1"/>
    <col min="17" max="17" width="15.81640625" style="34" bestFit="1" customWidth="1"/>
    <col min="18" max="18" width="15.1796875" style="34" bestFit="1" customWidth="1"/>
    <col min="19" max="19" width="14.81640625" style="34" hidden="1" customWidth="1" outlineLevel="1"/>
    <col min="20" max="20" width="12.54296875" style="330" hidden="1" customWidth="1" outlineLevel="1"/>
    <col min="21" max="21" width="9.81640625" style="54" bestFit="1" customWidth="1" collapsed="1"/>
    <col min="22" max="22" width="47.1796875" style="34" bestFit="1" customWidth="1"/>
    <col min="23" max="16384" width="10.81640625" style="34"/>
  </cols>
  <sheetData>
    <row r="1" spans="1:22" s="51" customFormat="1" ht="29" x14ac:dyDescent="0.25">
      <c r="B1" s="280">
        <v>4060</v>
      </c>
      <c r="C1" s="280"/>
      <c r="J1" s="52" t="str">
        <f>+'NI LLC-Consolidated'!J1</f>
        <v>Operating Budget</v>
      </c>
      <c r="Q1" s="389">
        <f>'NI LLC-Consolidated'!Q1</f>
        <v>46023</v>
      </c>
      <c r="R1" s="389"/>
      <c r="S1" s="389"/>
      <c r="T1" s="390"/>
      <c r="U1" s="291"/>
    </row>
    <row r="2" spans="1:22" ht="18" x14ac:dyDescent="0.35">
      <c r="J2" s="120" t="str">
        <f>+'NI LLC-Consolidated'!J2</f>
        <v>Neshaminy Interplex LLC</v>
      </c>
      <c r="Q2" s="391"/>
      <c r="R2" s="391"/>
      <c r="S2" s="391"/>
      <c r="T2" s="388"/>
    </row>
    <row r="3" spans="1:22" ht="18" x14ac:dyDescent="0.35">
      <c r="Q3" s="468">
        <f>Q1</f>
        <v>46023</v>
      </c>
      <c r="R3" s="469"/>
      <c r="S3" s="392" t="s">
        <v>504</v>
      </c>
      <c r="T3" s="393"/>
    </row>
    <row r="4" spans="1:22" s="39" customFormat="1" ht="18" x14ac:dyDescent="0.35">
      <c r="B4" s="281">
        <v>107890</v>
      </c>
      <c r="C4" s="281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29" t="s">
        <v>12</v>
      </c>
      <c r="R4" s="429" t="s">
        <v>442</v>
      </c>
      <c r="S4" s="394" t="s">
        <v>12</v>
      </c>
      <c r="T4" s="395" t="s">
        <v>503</v>
      </c>
      <c r="U4" s="292" t="s">
        <v>449</v>
      </c>
      <c r="V4" s="297" t="s">
        <v>370</v>
      </c>
    </row>
    <row r="5" spans="1:22" x14ac:dyDescent="0.35">
      <c r="Q5" s="430"/>
      <c r="R5" s="430"/>
      <c r="S5" s="396"/>
      <c r="T5" s="397"/>
      <c r="U5" s="294"/>
      <c r="V5" s="38"/>
    </row>
    <row r="6" spans="1:22" s="56" customFormat="1" x14ac:dyDescent="0.35">
      <c r="B6" s="57"/>
      <c r="D6" s="276" t="s">
        <v>13</v>
      </c>
      <c r="E6" s="277">
        <f>'Renew &amp; Vac'!AJ31</f>
        <v>0.65339999999999998</v>
      </c>
      <c r="F6" s="277">
        <f>'Renew &amp; Vac'!AK31</f>
        <v>0.65339999999999998</v>
      </c>
      <c r="G6" s="277">
        <f>'Renew &amp; Vac'!AL31</f>
        <v>0.65339999999999998</v>
      </c>
      <c r="H6" s="277">
        <f>'Renew &amp; Vac'!AM31</f>
        <v>0.65339999999999998</v>
      </c>
      <c r="I6" s="277">
        <f>'Renew &amp; Vac'!AN31</f>
        <v>0.65339999999999998</v>
      </c>
      <c r="J6" s="277">
        <f>'Renew &amp; Vac'!AO31</f>
        <v>0.65339999999999998</v>
      </c>
      <c r="K6" s="277">
        <f>'Renew &amp; Vac'!AP31</f>
        <v>0.61299999999999999</v>
      </c>
      <c r="L6" s="277">
        <f>'Renew &amp; Vac'!AQ31</f>
        <v>0.61299999999999999</v>
      </c>
      <c r="M6" s="277">
        <f>'Renew &amp; Vac'!AR31</f>
        <v>0.61299999999999999</v>
      </c>
      <c r="N6" s="277">
        <f>'Renew &amp; Vac'!AS31</f>
        <v>0.61299999999999999</v>
      </c>
      <c r="O6" s="277">
        <f>'Renew &amp; Vac'!AT31</f>
        <v>0.59730000000000005</v>
      </c>
      <c r="P6" s="277">
        <f>'Renew &amp; Vac'!AU31</f>
        <v>0.57440000000000002</v>
      </c>
      <c r="Q6" s="431"/>
      <c r="R6" s="431"/>
      <c r="S6" s="398"/>
      <c r="T6" s="399"/>
      <c r="U6" s="298"/>
      <c r="V6" s="299"/>
    </row>
    <row r="7" spans="1:22" s="56" customFormat="1" x14ac:dyDescent="0.35">
      <c r="B7" s="57"/>
      <c r="D7" s="276" t="s">
        <v>447</v>
      </c>
      <c r="E7" s="278">
        <f>$B$4*E6</f>
        <v>70495.326000000001</v>
      </c>
      <c r="F7" s="278">
        <f t="shared" ref="F7:P7" si="0">$B$4*F6</f>
        <v>70495.326000000001</v>
      </c>
      <c r="G7" s="278">
        <f t="shared" si="0"/>
        <v>70495.326000000001</v>
      </c>
      <c r="H7" s="278">
        <f t="shared" si="0"/>
        <v>70495.326000000001</v>
      </c>
      <c r="I7" s="278">
        <f t="shared" si="0"/>
        <v>70495.326000000001</v>
      </c>
      <c r="J7" s="278">
        <f t="shared" si="0"/>
        <v>70495.326000000001</v>
      </c>
      <c r="K7" s="278">
        <f t="shared" si="0"/>
        <v>66136.569999999992</v>
      </c>
      <c r="L7" s="278">
        <f t="shared" si="0"/>
        <v>66136.569999999992</v>
      </c>
      <c r="M7" s="278">
        <f t="shared" si="0"/>
        <v>66136.569999999992</v>
      </c>
      <c r="N7" s="278">
        <f t="shared" si="0"/>
        <v>66136.569999999992</v>
      </c>
      <c r="O7" s="278">
        <f t="shared" si="0"/>
        <v>64442.697000000007</v>
      </c>
      <c r="P7" s="278">
        <f t="shared" si="0"/>
        <v>61972.016000000003</v>
      </c>
      <c r="Q7" s="431"/>
      <c r="R7" s="431"/>
      <c r="S7" s="398"/>
      <c r="T7" s="399"/>
      <c r="U7" s="298"/>
      <c r="V7" s="299"/>
    </row>
    <row r="8" spans="1:22" ht="18" x14ac:dyDescent="0.35">
      <c r="B8" s="35" t="s">
        <v>14</v>
      </c>
      <c r="Q8" s="430"/>
      <c r="R8" s="430"/>
      <c r="S8" s="396"/>
      <c r="T8" s="397"/>
      <c r="U8" s="294"/>
      <c r="V8" s="38"/>
    </row>
    <row r="9" spans="1:22" x14ac:dyDescent="0.35">
      <c r="A9" s="110"/>
      <c r="Q9" s="430"/>
      <c r="R9" s="430"/>
      <c r="S9" s="396"/>
      <c r="T9" s="397"/>
      <c r="U9" s="294"/>
      <c r="V9" s="38"/>
    </row>
    <row r="10" spans="1:22" x14ac:dyDescent="0.35">
      <c r="A10" s="110" t="s">
        <v>136</v>
      </c>
      <c r="C10" s="34" t="s">
        <v>163</v>
      </c>
      <c r="E10" s="34">
        <f>SUMIFS('In Place Revenue'!$G:$G,'In Place Revenue'!$A:$A,"4060",'In Place Revenue'!$H:$H,1)</f>
        <v>54229.9</v>
      </c>
      <c r="F10" s="34">
        <f>SUMIFS('In Place Revenue'!$G:$G,'In Place Revenue'!$A:$A,"4060",'In Place Revenue'!$H:$H,2)</f>
        <v>54337.61</v>
      </c>
      <c r="G10" s="34">
        <f>SUMIFS('In Place Revenue'!$G:$G,'In Place Revenue'!$A:$A,"4060",'In Place Revenue'!$H:$H,3)</f>
        <v>54337.61</v>
      </c>
      <c r="H10" s="34">
        <f>SUMIFS('In Place Revenue'!$G:$G,'In Place Revenue'!$A:$A,"4060",'In Place Revenue'!$H:$H,4)</f>
        <v>52492.35</v>
      </c>
      <c r="I10" s="34">
        <f>SUMIFS('In Place Revenue'!$G:$G,'In Place Revenue'!$A:$A,"4060",'In Place Revenue'!$H:$H,5)</f>
        <v>53299.93</v>
      </c>
      <c r="J10" s="34">
        <f>SUMIFS('In Place Revenue'!$G:$G,'In Place Revenue'!$A:$A,"4060",'In Place Revenue'!$H:$H,6)</f>
        <v>53299.93</v>
      </c>
      <c r="K10" s="34">
        <f>SUMIFS('In Place Revenue'!$G:$G,'In Place Revenue'!$A:$A,"4060",'In Place Revenue'!$H:$H,7)</f>
        <v>39646.43</v>
      </c>
      <c r="L10" s="34">
        <f>SUMIFS('In Place Revenue'!$G:$G,'In Place Revenue'!$A:$A,"4060",'In Place Revenue'!$H:$H,8)</f>
        <v>37862.18</v>
      </c>
      <c r="M10" s="34">
        <f>SUMIFS('In Place Revenue'!$G:$G,'In Place Revenue'!$A:$A,"4060",'In Place Revenue'!$H:$H,9)</f>
        <v>37862.18</v>
      </c>
      <c r="N10" s="34">
        <f>SUMIFS('In Place Revenue'!$G:$G,'In Place Revenue'!$A:$A,"4060",'In Place Revenue'!$H:$H,10)</f>
        <v>37862.18</v>
      </c>
      <c r="O10" s="34">
        <f>SUMIFS('In Place Revenue'!$G:$G,'In Place Revenue'!$A:$A,"4060",'In Place Revenue'!$H:$H,11)</f>
        <v>37924.89</v>
      </c>
      <c r="P10" s="34">
        <f>SUMIFS('In Place Revenue'!$G:$G,'In Place Revenue'!$A:$A,"4060",'In Place Revenue'!$H:$H,12)</f>
        <v>37924.89</v>
      </c>
      <c r="Q10" s="430">
        <f>SUM(E10:P10)</f>
        <v>551080.07999999996</v>
      </c>
      <c r="R10" s="432">
        <f>Q10/$B$4</f>
        <v>5.1077957178607836</v>
      </c>
      <c r="S10" s="396">
        <v>1653515.04</v>
      </c>
      <c r="T10" s="460">
        <f>IFERROR(Q10/S10-1,"-")</f>
        <v>-0.66672206380414911</v>
      </c>
      <c r="U10" s="300"/>
      <c r="V10" s="38"/>
    </row>
    <row r="11" spans="1:22" x14ac:dyDescent="0.35">
      <c r="A11" s="110" t="s">
        <v>136</v>
      </c>
      <c r="C11" s="34" t="s">
        <v>164</v>
      </c>
      <c r="E11" s="34">
        <f>'Renew &amp; Vac'!AJ32</f>
        <v>47531.333333333336</v>
      </c>
      <c r="F11" s="34">
        <f>'Renew &amp; Vac'!AK32</f>
        <v>47531.333333333336</v>
      </c>
      <c r="G11" s="34">
        <f>'Renew &amp; Vac'!AL32</f>
        <v>47531.333333333336</v>
      </c>
      <c r="H11" s="34">
        <f>'Renew &amp; Vac'!AM32</f>
        <v>49531.5</v>
      </c>
      <c r="I11" s="34">
        <f>'Renew &amp; Vac'!AN32</f>
        <v>49531.5</v>
      </c>
      <c r="J11" s="34">
        <f>'Renew &amp; Vac'!AO32</f>
        <v>49531.5</v>
      </c>
      <c r="K11" s="34">
        <f>'Renew &amp; Vac'!AP32</f>
        <v>57621.75</v>
      </c>
      <c r="L11" s="34">
        <f>'Renew &amp; Vac'!AQ32</f>
        <v>59360.25</v>
      </c>
      <c r="M11" s="34">
        <f>'Renew &amp; Vac'!AR32</f>
        <v>59360.25</v>
      </c>
      <c r="N11" s="34">
        <f>'Renew &amp; Vac'!AS32</f>
        <v>59360.25</v>
      </c>
      <c r="O11" s="34">
        <f>'Renew &amp; Vac'!AT32</f>
        <v>56573.25</v>
      </c>
      <c r="P11" s="34">
        <f>'Renew &amp; Vac'!AU32</f>
        <v>52963.875</v>
      </c>
      <c r="Q11" s="430">
        <f>SUM(E11:P11)</f>
        <v>636428.125</v>
      </c>
      <c r="R11" s="432">
        <f t="shared" ref="R11:R71" si="1">Q11/$B$4</f>
        <v>5.8988611085364724</v>
      </c>
      <c r="S11" s="396"/>
      <c r="T11" s="460" t="str">
        <f>IFERROR(Q11/S11-1,"-")</f>
        <v>-</v>
      </c>
      <c r="U11" s="300"/>
      <c r="V11" s="38"/>
    </row>
    <row r="12" spans="1:22" hidden="1" x14ac:dyDescent="0.35">
      <c r="A12" s="110" t="s">
        <v>101</v>
      </c>
      <c r="C12" s="34" t="s">
        <v>400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30">
        <f>SUM(E12:P12)</f>
        <v>0</v>
      </c>
      <c r="R12" s="432">
        <f t="shared" si="1"/>
        <v>0</v>
      </c>
      <c r="S12" s="396"/>
      <c r="T12" s="399" t="e">
        <f>R12/S12-1</f>
        <v>#DIV/0!</v>
      </c>
      <c r="U12" s="300"/>
      <c r="V12" s="38"/>
    </row>
    <row r="13" spans="1:22" x14ac:dyDescent="0.35">
      <c r="A13" s="110" t="s">
        <v>137</v>
      </c>
      <c r="C13" s="34" t="s">
        <v>17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30">
        <f>SUM(E13:P13)</f>
        <v>0</v>
      </c>
      <c r="R13" s="432">
        <f t="shared" si="1"/>
        <v>0</v>
      </c>
      <c r="S13" s="396">
        <v>467</v>
      </c>
      <c r="T13" s="460">
        <f>IFERROR(Q13/S13-1,"-")</f>
        <v>-1</v>
      </c>
      <c r="U13" s="300"/>
      <c r="V13" s="38"/>
    </row>
    <row r="14" spans="1:22" x14ac:dyDescent="0.35">
      <c r="A14" s="110" t="s">
        <v>138</v>
      </c>
      <c r="C14" s="34" t="s">
        <v>18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30">
        <f>SUM(E14:P14)</f>
        <v>0</v>
      </c>
      <c r="R14" s="432">
        <f t="shared" si="1"/>
        <v>0</v>
      </c>
      <c r="S14" s="396">
        <v>0</v>
      </c>
      <c r="T14" s="460" t="str">
        <f>IFERROR(Q14/S14-1,"-")</f>
        <v>-</v>
      </c>
      <c r="U14" s="300"/>
      <c r="V14" s="38"/>
    </row>
    <row r="15" spans="1:22" x14ac:dyDescent="0.35">
      <c r="A15" s="110"/>
      <c r="C15" s="34" t="s">
        <v>19</v>
      </c>
      <c r="D15" s="44"/>
      <c r="E15" s="59">
        <f t="shared" ref="E15:Q15" si="2">SUM(E10:E14)</f>
        <v>101761.23333333334</v>
      </c>
      <c r="F15" s="59">
        <f t="shared" si="2"/>
        <v>101868.94333333333</v>
      </c>
      <c r="G15" s="59">
        <f t="shared" si="2"/>
        <v>101868.94333333333</v>
      </c>
      <c r="H15" s="59">
        <f t="shared" si="2"/>
        <v>102023.85</v>
      </c>
      <c r="I15" s="59">
        <f t="shared" si="2"/>
        <v>102831.43</v>
      </c>
      <c r="J15" s="59">
        <f t="shared" si="2"/>
        <v>102831.43</v>
      </c>
      <c r="K15" s="59">
        <f t="shared" si="2"/>
        <v>97268.18</v>
      </c>
      <c r="L15" s="59">
        <f t="shared" si="2"/>
        <v>97222.43</v>
      </c>
      <c r="M15" s="59">
        <f t="shared" si="2"/>
        <v>97222.43</v>
      </c>
      <c r="N15" s="59">
        <f t="shared" si="2"/>
        <v>97222.43</v>
      </c>
      <c r="O15" s="59">
        <f t="shared" si="2"/>
        <v>94498.14</v>
      </c>
      <c r="P15" s="59">
        <f t="shared" si="2"/>
        <v>90888.764999999999</v>
      </c>
      <c r="Q15" s="433">
        <f t="shared" si="2"/>
        <v>1187508.2050000001</v>
      </c>
      <c r="R15" s="434">
        <f t="shared" si="1"/>
        <v>11.006656826397258</v>
      </c>
      <c r="S15" s="400">
        <f>SUM(S10:S14)</f>
        <v>1653982.04</v>
      </c>
      <c r="T15" s="461">
        <f>IFERROR(Q15/S15-1,"-")</f>
        <v>-0.28203077404637356</v>
      </c>
      <c r="U15" s="300"/>
      <c r="V15" s="38"/>
    </row>
    <row r="16" spans="1:22" ht="18" x14ac:dyDescent="0.35">
      <c r="A16" s="110"/>
      <c r="Q16" s="435"/>
      <c r="R16" s="436"/>
      <c r="S16" s="402"/>
      <c r="T16" s="403"/>
      <c r="U16" s="301"/>
      <c r="V16" s="38"/>
    </row>
    <row r="17" spans="1:22" ht="18" x14ac:dyDescent="0.35">
      <c r="A17" s="110"/>
      <c r="B17" s="35" t="s">
        <v>20</v>
      </c>
      <c r="Q17" s="430"/>
      <c r="R17" s="432"/>
      <c r="S17" s="396"/>
      <c r="T17" s="399"/>
      <c r="U17" s="300"/>
      <c r="V17" s="38"/>
    </row>
    <row r="18" spans="1:22" x14ac:dyDescent="0.35">
      <c r="A18" s="110" t="s">
        <v>102</v>
      </c>
      <c r="C18" s="34" t="s">
        <v>21</v>
      </c>
      <c r="E18" s="34">
        <f>E6*E29</f>
        <v>19858.132799999999</v>
      </c>
      <c r="F18" s="34">
        <f t="shared" ref="F18:P18" si="3">F6*F29</f>
        <v>18738.2052</v>
      </c>
      <c r="G18" s="34">
        <f t="shared" si="3"/>
        <v>18762.381000000001</v>
      </c>
      <c r="H18" s="34">
        <f t="shared" si="3"/>
        <v>18778.062600000001</v>
      </c>
      <c r="I18" s="34">
        <f t="shared" si="3"/>
        <v>19935.234</v>
      </c>
      <c r="J18" s="34">
        <f t="shared" si="3"/>
        <v>21802.6512</v>
      </c>
      <c r="K18" s="34">
        <f t="shared" si="3"/>
        <v>22186.309000000001</v>
      </c>
      <c r="L18" s="34">
        <f t="shared" si="3"/>
        <v>21530.399000000001</v>
      </c>
      <c r="M18" s="34">
        <f t="shared" si="3"/>
        <v>19922.5</v>
      </c>
      <c r="N18" s="34">
        <f t="shared" si="3"/>
        <v>19300.305</v>
      </c>
      <c r="O18" s="34">
        <f t="shared" si="3"/>
        <v>16684.3809</v>
      </c>
      <c r="P18" s="34">
        <f t="shared" si="3"/>
        <v>18138.403200000001</v>
      </c>
      <c r="Q18" s="430">
        <f>SUM(E18:P18)</f>
        <v>235636.9639</v>
      </c>
      <c r="R18" s="432">
        <f t="shared" ref="R18" si="4">Q18/$B$4</f>
        <v>2.1840482333858562</v>
      </c>
      <c r="S18" s="396">
        <v>227260.63</v>
      </c>
      <c r="T18" s="460">
        <f>IFERROR(Q18/S18-1,"-")</f>
        <v>3.685783102863005E-2</v>
      </c>
      <c r="U18" s="300" t="s">
        <v>371</v>
      </c>
      <c r="V18" s="317" t="str">
        <f>Q18/Q29*100&amp;"% Set to occupancy"</f>
        <v>62.8006854488372% Set to occupancy</v>
      </c>
    </row>
    <row r="19" spans="1:22" x14ac:dyDescent="0.35">
      <c r="A19" s="110" t="s">
        <v>103</v>
      </c>
      <c r="C19" s="34" t="s">
        <v>22</v>
      </c>
      <c r="E19" s="34">
        <f>+'Tenant Recoveries'!G21</f>
        <v>2000</v>
      </c>
      <c r="F19" s="34">
        <f>+E19</f>
        <v>2000</v>
      </c>
      <c r="G19" s="34">
        <f t="shared" ref="G19:P20" si="5">+F19</f>
        <v>2000</v>
      </c>
      <c r="H19" s="34">
        <f t="shared" si="5"/>
        <v>2000</v>
      </c>
      <c r="I19" s="34">
        <f t="shared" si="5"/>
        <v>2000</v>
      </c>
      <c r="J19" s="34">
        <f t="shared" si="5"/>
        <v>2000</v>
      </c>
      <c r="K19" s="34">
        <f t="shared" si="5"/>
        <v>2000</v>
      </c>
      <c r="L19" s="34">
        <f t="shared" si="5"/>
        <v>2000</v>
      </c>
      <c r="M19" s="34">
        <f t="shared" si="5"/>
        <v>2000</v>
      </c>
      <c r="N19" s="34">
        <f t="shared" si="5"/>
        <v>2000</v>
      </c>
      <c r="O19" s="34">
        <f t="shared" si="5"/>
        <v>2000</v>
      </c>
      <c r="P19" s="34">
        <f t="shared" si="5"/>
        <v>2000</v>
      </c>
      <c r="Q19" s="430">
        <f>SUM(E19:P19)</f>
        <v>24000</v>
      </c>
      <c r="R19" s="432">
        <f t="shared" si="1"/>
        <v>0.222448790434702</v>
      </c>
      <c r="S19" s="396">
        <v>62160</v>
      </c>
      <c r="T19" s="460">
        <f>IFERROR(Q19/S19-1,"-")</f>
        <v>-0.61389961389961389</v>
      </c>
      <c r="U19" s="300"/>
      <c r="V19" s="316">
        <f>Q19/(Q71-Q63-Q58-Q29)</f>
        <v>4.6449376220003016E-2</v>
      </c>
    </row>
    <row r="20" spans="1:22" x14ac:dyDescent="0.35">
      <c r="A20" s="110" t="s">
        <v>104</v>
      </c>
      <c r="C20" s="34" t="s">
        <v>23</v>
      </c>
      <c r="E20" s="34">
        <f>+'Tenant Recoveries'!G22</f>
        <v>0</v>
      </c>
      <c r="F20" s="34">
        <f>+E20</f>
        <v>0</v>
      </c>
      <c r="G20" s="34">
        <f t="shared" si="5"/>
        <v>0</v>
      </c>
      <c r="H20" s="34">
        <f t="shared" si="5"/>
        <v>0</v>
      </c>
      <c r="I20" s="34">
        <f t="shared" si="5"/>
        <v>0</v>
      </c>
      <c r="J20" s="34">
        <f t="shared" si="5"/>
        <v>0</v>
      </c>
      <c r="K20" s="34">
        <f t="shared" si="5"/>
        <v>0</v>
      </c>
      <c r="L20" s="34">
        <f t="shared" si="5"/>
        <v>0</v>
      </c>
      <c r="M20" s="34">
        <f t="shared" si="5"/>
        <v>0</v>
      </c>
      <c r="N20" s="34">
        <f t="shared" si="5"/>
        <v>0</v>
      </c>
      <c r="O20" s="34">
        <f t="shared" si="5"/>
        <v>0</v>
      </c>
      <c r="P20" s="34">
        <f t="shared" si="5"/>
        <v>0</v>
      </c>
      <c r="Q20" s="430">
        <f>SUM(E20:P20)</f>
        <v>0</v>
      </c>
      <c r="R20" s="432">
        <f t="shared" si="1"/>
        <v>0</v>
      </c>
      <c r="S20" s="396">
        <v>0</v>
      </c>
      <c r="T20" s="460" t="str">
        <f>IFERROR(Q20/S20-1,"-")</f>
        <v>-</v>
      </c>
      <c r="U20" s="300"/>
      <c r="V20" s="316">
        <f>Q20/Q58</f>
        <v>0</v>
      </c>
    </row>
    <row r="21" spans="1:22" x14ac:dyDescent="0.35">
      <c r="A21" s="110" t="s">
        <v>139</v>
      </c>
      <c r="C21" s="34" t="s">
        <v>24</v>
      </c>
      <c r="Q21" s="430">
        <f>SUM(E21:P21)</f>
        <v>0</v>
      </c>
      <c r="R21" s="432">
        <f t="shared" si="1"/>
        <v>0</v>
      </c>
      <c r="S21" s="396">
        <v>0</v>
      </c>
      <c r="T21" s="464" t="str">
        <f>IFERROR(Q21/S21-1,"-")</f>
        <v>-</v>
      </c>
      <c r="U21" s="300"/>
      <c r="V21" s="38"/>
    </row>
    <row r="22" spans="1:22" x14ac:dyDescent="0.35">
      <c r="A22" s="110"/>
      <c r="C22" s="34" t="s">
        <v>25</v>
      </c>
      <c r="D22" s="44"/>
      <c r="E22" s="59">
        <f t="shared" ref="E22:Q22" si="6">SUM(E18:E21)</f>
        <v>21858.132799999999</v>
      </c>
      <c r="F22" s="59">
        <f t="shared" si="6"/>
        <v>20738.2052</v>
      </c>
      <c r="G22" s="59">
        <f t="shared" si="6"/>
        <v>20762.381000000001</v>
      </c>
      <c r="H22" s="59">
        <f t="shared" si="6"/>
        <v>20778.062600000001</v>
      </c>
      <c r="I22" s="59">
        <f t="shared" si="6"/>
        <v>21935.234</v>
      </c>
      <c r="J22" s="59">
        <f t="shared" si="6"/>
        <v>23802.6512</v>
      </c>
      <c r="K22" s="59">
        <f t="shared" si="6"/>
        <v>24186.309000000001</v>
      </c>
      <c r="L22" s="59">
        <f t="shared" si="6"/>
        <v>23530.399000000001</v>
      </c>
      <c r="M22" s="59">
        <f t="shared" si="6"/>
        <v>21922.5</v>
      </c>
      <c r="N22" s="59">
        <f t="shared" si="6"/>
        <v>21300.305</v>
      </c>
      <c r="O22" s="59">
        <f t="shared" si="6"/>
        <v>18684.3809</v>
      </c>
      <c r="P22" s="59">
        <f t="shared" si="6"/>
        <v>20138.403200000001</v>
      </c>
      <c r="Q22" s="433">
        <f t="shared" si="6"/>
        <v>259636.9639</v>
      </c>
      <c r="R22" s="434">
        <f t="shared" si="1"/>
        <v>2.4064970238205579</v>
      </c>
      <c r="S22" s="400">
        <f>SUM(S18:S21)</f>
        <v>289420.63</v>
      </c>
      <c r="T22" s="461">
        <f>IFERROR(Q22/S22-1,"-")</f>
        <v>-0.10290788911626658</v>
      </c>
      <c r="U22" s="300"/>
      <c r="V22" s="38"/>
    </row>
    <row r="23" spans="1:22" ht="16.5" thickBot="1" x14ac:dyDescent="0.4">
      <c r="A23" s="110"/>
      <c r="Q23" s="430"/>
      <c r="R23" s="432">
        <f t="shared" si="1"/>
        <v>0</v>
      </c>
      <c r="S23" s="396"/>
      <c r="T23" s="399"/>
      <c r="U23" s="300"/>
      <c r="V23" s="38"/>
    </row>
    <row r="24" spans="1:22" s="37" customFormat="1" ht="18" thickBot="1" x14ac:dyDescent="0.4">
      <c r="A24" s="285"/>
      <c r="B24" s="286" t="s">
        <v>26</v>
      </c>
      <c r="C24" s="287"/>
      <c r="D24" s="287"/>
      <c r="E24" s="287">
        <f t="shared" ref="E24:Q24" si="7">+E15+E22</f>
        <v>123619.36613333333</v>
      </c>
      <c r="F24" s="287">
        <f t="shared" si="7"/>
        <v>122607.14853333333</v>
      </c>
      <c r="G24" s="287">
        <f t="shared" si="7"/>
        <v>122631.32433333332</v>
      </c>
      <c r="H24" s="287">
        <f t="shared" si="7"/>
        <v>122801.91260000001</v>
      </c>
      <c r="I24" s="287">
        <f t="shared" si="7"/>
        <v>124766.66399999999</v>
      </c>
      <c r="J24" s="287">
        <f t="shared" si="7"/>
        <v>126634.08119999999</v>
      </c>
      <c r="K24" s="287">
        <f t="shared" si="7"/>
        <v>121454.489</v>
      </c>
      <c r="L24" s="287">
        <f t="shared" si="7"/>
        <v>120752.829</v>
      </c>
      <c r="M24" s="287">
        <f t="shared" si="7"/>
        <v>119144.93</v>
      </c>
      <c r="N24" s="287">
        <f t="shared" si="7"/>
        <v>118522.73499999999</v>
      </c>
      <c r="O24" s="287">
        <f t="shared" si="7"/>
        <v>113182.5209</v>
      </c>
      <c r="P24" s="287">
        <f t="shared" si="7"/>
        <v>111027.1682</v>
      </c>
      <c r="Q24" s="426">
        <f t="shared" si="7"/>
        <v>1447145.1689000002</v>
      </c>
      <c r="R24" s="428">
        <f t="shared" si="1"/>
        <v>13.413153850217816</v>
      </c>
      <c r="S24" s="427">
        <f>+S15+S22</f>
        <v>1943402.67</v>
      </c>
      <c r="T24" s="405">
        <f>IFERROR(Q24/S24-1,"-")</f>
        <v>-0.25535495487407134</v>
      </c>
      <c r="U24" s="302"/>
      <c r="V24" s="303"/>
    </row>
    <row r="25" spans="1:22" ht="18" x14ac:dyDescent="0.35">
      <c r="A25" s="110"/>
      <c r="Q25" s="435"/>
      <c r="R25" s="436"/>
      <c r="S25" s="402"/>
      <c r="T25" s="403"/>
      <c r="U25" s="301"/>
      <c r="V25" s="38"/>
    </row>
    <row r="26" spans="1:22" ht="18" x14ac:dyDescent="0.35">
      <c r="A26" s="110"/>
      <c r="B26" s="35" t="s">
        <v>27</v>
      </c>
      <c r="Q26" s="430"/>
      <c r="R26" s="432"/>
      <c r="S26" s="396"/>
      <c r="T26" s="399"/>
      <c r="U26" s="300"/>
      <c r="V26" s="38"/>
    </row>
    <row r="27" spans="1:22" x14ac:dyDescent="0.35">
      <c r="A27" s="110" t="s">
        <v>105</v>
      </c>
      <c r="C27" s="34" t="s">
        <v>28</v>
      </c>
      <c r="E27" s="34">
        <f>'Allocated Expenses'!F7</f>
        <v>2207.2986316482725</v>
      </c>
      <c r="F27" s="34">
        <f>'Allocated Expenses'!G7</f>
        <v>2207.2986316482725</v>
      </c>
      <c r="G27" s="34">
        <f>'Allocated Expenses'!H7</f>
        <v>2207.2986316482725</v>
      </c>
      <c r="H27" s="34">
        <f>'Allocated Expenses'!I7</f>
        <v>2207.2986316482725</v>
      </c>
      <c r="I27" s="34">
        <f>'Allocated Expenses'!J7</f>
        <v>2207.2986316482725</v>
      </c>
      <c r="J27" s="34">
        <f>'Allocated Expenses'!K7</f>
        <v>2207.2986316482725</v>
      </c>
      <c r="K27" s="34">
        <f>'Allocated Expenses'!L7</f>
        <v>2207.2986316482725</v>
      </c>
      <c r="L27" s="34">
        <f>'Allocated Expenses'!M7</f>
        <v>2207.2986316482725</v>
      </c>
      <c r="M27" s="34">
        <f>'Allocated Expenses'!N7</f>
        <v>2207.2986316482725</v>
      </c>
      <c r="N27" s="34">
        <f>'Allocated Expenses'!O7</f>
        <v>2207.2986316482725</v>
      </c>
      <c r="O27" s="34">
        <f>'Allocated Expenses'!P7</f>
        <v>2207.2986316482725</v>
      </c>
      <c r="P27" s="34">
        <f>'Allocated Expenses'!Q7</f>
        <v>2207.2986316482725</v>
      </c>
      <c r="Q27" s="430">
        <f>SUM(E27:P27)</f>
        <v>26487.583579779264</v>
      </c>
      <c r="R27" s="432">
        <f t="shared" si="1"/>
        <v>0.24550545536916549</v>
      </c>
      <c r="S27" s="396">
        <v>18600</v>
      </c>
      <c r="T27" s="460">
        <f>IFERROR(Q27/S27-1,"-")</f>
        <v>0.42406363332146579</v>
      </c>
      <c r="U27" s="300"/>
      <c r="V27" s="38"/>
    </row>
    <row r="28" spans="1:22" x14ac:dyDescent="0.35">
      <c r="A28" s="110"/>
      <c r="Q28" s="430"/>
      <c r="R28" s="432"/>
      <c r="S28" s="396"/>
      <c r="T28" s="399"/>
      <c r="U28" s="300"/>
      <c r="V28" s="38"/>
    </row>
    <row r="29" spans="1:22" x14ac:dyDescent="0.35">
      <c r="A29" s="110" t="s">
        <v>106</v>
      </c>
      <c r="C29" s="34" t="s">
        <v>21</v>
      </c>
      <c r="E29" s="40">
        <v>30392</v>
      </c>
      <c r="F29" s="40">
        <v>28678</v>
      </c>
      <c r="G29" s="40">
        <v>28715</v>
      </c>
      <c r="H29" s="40">
        <v>28739</v>
      </c>
      <c r="I29" s="40">
        <v>30510</v>
      </c>
      <c r="J29" s="40">
        <v>33368</v>
      </c>
      <c r="K29" s="40">
        <v>36193</v>
      </c>
      <c r="L29" s="40">
        <v>35123</v>
      </c>
      <c r="M29" s="40">
        <v>32500</v>
      </c>
      <c r="N29" s="40">
        <v>31485</v>
      </c>
      <c r="O29" s="40">
        <v>27933</v>
      </c>
      <c r="P29" s="40">
        <v>31578</v>
      </c>
      <c r="Q29" s="430">
        <f>SUM(E29:P29)</f>
        <v>375214</v>
      </c>
      <c r="R29" s="432">
        <f t="shared" si="1"/>
        <v>3.4777458522569282</v>
      </c>
      <c r="S29" s="396">
        <v>328077.74</v>
      </c>
      <c r="T29" s="460">
        <f>IFERROR(Q29/S29-1,"-")</f>
        <v>0.14367405725240623</v>
      </c>
      <c r="U29" s="300" t="s">
        <v>371</v>
      </c>
      <c r="V29" s="38" t="s">
        <v>535</v>
      </c>
    </row>
    <row r="30" spans="1:22" x14ac:dyDescent="0.35">
      <c r="A30" s="110"/>
      <c r="Q30" s="430"/>
      <c r="R30" s="432"/>
      <c r="S30" s="396"/>
      <c r="T30" s="399"/>
      <c r="U30" s="300"/>
      <c r="V30" s="38"/>
    </row>
    <row r="31" spans="1:22" x14ac:dyDescent="0.35">
      <c r="A31" s="110" t="s">
        <v>107</v>
      </c>
      <c r="C31" s="34" t="s">
        <v>29</v>
      </c>
      <c r="E31" s="34">
        <f>'Water Sewer'!D16</f>
        <v>1408.01</v>
      </c>
      <c r="F31" s="34">
        <f>'Water Sewer'!E16</f>
        <v>1529.55</v>
      </c>
      <c r="G31" s="34">
        <f>'Water Sewer'!F16</f>
        <v>1479.0800000000002</v>
      </c>
      <c r="H31" s="34">
        <f>'Water Sewer'!G16</f>
        <v>1526.4599999999998</v>
      </c>
      <c r="I31" s="34">
        <f>'Water Sewer'!H16</f>
        <v>3337.2</v>
      </c>
      <c r="J31" s="34">
        <f>'Water Sewer'!I16</f>
        <v>5896.75</v>
      </c>
      <c r="K31" s="34">
        <f>'Water Sewer'!J16</f>
        <v>6328.32</v>
      </c>
      <c r="L31" s="34">
        <f>'Water Sewer'!K16</f>
        <v>9496.6</v>
      </c>
      <c r="M31" s="34">
        <f>'Water Sewer'!L16</f>
        <v>4136.4800000000005</v>
      </c>
      <c r="N31" s="34">
        <f>'Water Sewer'!M16</f>
        <v>4229.18</v>
      </c>
      <c r="O31" s="34">
        <f>'Water Sewer'!N16</f>
        <v>1762.3300000000002</v>
      </c>
      <c r="P31" s="34">
        <f>'Water Sewer'!O16</f>
        <v>1532.6399999999999</v>
      </c>
      <c r="Q31" s="430">
        <f>SUM(E31:P31)</f>
        <v>42662.600000000006</v>
      </c>
      <c r="R31" s="432">
        <f t="shared" si="1"/>
        <v>0.39542682361664666</v>
      </c>
      <c r="S31" s="396">
        <v>33314.35</v>
      </c>
      <c r="T31" s="460">
        <f>IFERROR(Q31/S31-1,"-")</f>
        <v>0.28060730586068794</v>
      </c>
      <c r="U31" s="300" t="s">
        <v>459</v>
      </c>
      <c r="V31" s="38" t="s">
        <v>450</v>
      </c>
    </row>
    <row r="32" spans="1:22" x14ac:dyDescent="0.35">
      <c r="A32" s="110"/>
      <c r="Q32" s="430"/>
      <c r="R32" s="432"/>
      <c r="S32" s="396"/>
      <c r="T32" s="399"/>
      <c r="U32" s="300"/>
      <c r="V32" s="38"/>
    </row>
    <row r="33" spans="1:22" x14ac:dyDescent="0.35">
      <c r="A33" s="110"/>
      <c r="D33" s="88" t="s">
        <v>30</v>
      </c>
      <c r="E33" s="77">
        <f>'Building Maint'!C18</f>
        <v>1139</v>
      </c>
      <c r="F33" s="77">
        <f>'Building Maint'!D18</f>
        <v>4189</v>
      </c>
      <c r="G33" s="77">
        <f>'Building Maint'!E18</f>
        <v>7015</v>
      </c>
      <c r="H33" s="77">
        <f>'Building Maint'!F18</f>
        <v>8951</v>
      </c>
      <c r="I33" s="77">
        <f>'Building Maint'!G18</f>
        <v>4189</v>
      </c>
      <c r="J33" s="77">
        <f>'Building Maint'!H18</f>
        <v>7015</v>
      </c>
      <c r="K33" s="77">
        <f>'Building Maint'!I18</f>
        <v>1139</v>
      </c>
      <c r="L33" s="77">
        <f>'Building Maint'!J18</f>
        <v>4189</v>
      </c>
      <c r="M33" s="77">
        <f>'Building Maint'!K18</f>
        <v>7015</v>
      </c>
      <c r="N33" s="77">
        <f>'Building Maint'!L18</f>
        <v>8951</v>
      </c>
      <c r="O33" s="77">
        <f>'Building Maint'!M18</f>
        <v>4189</v>
      </c>
      <c r="P33" s="77">
        <f>'Building Maint'!N18</f>
        <v>310</v>
      </c>
      <c r="Q33" s="437">
        <f>SUM(E33:P33)</f>
        <v>58291</v>
      </c>
      <c r="R33" s="438">
        <f t="shared" si="1"/>
        <v>0.540281768467884</v>
      </c>
      <c r="S33" s="396"/>
      <c r="T33" s="399"/>
      <c r="U33" s="300" t="s">
        <v>371</v>
      </c>
      <c r="V33" s="38" t="s">
        <v>450</v>
      </c>
    </row>
    <row r="34" spans="1:22" x14ac:dyDescent="0.35">
      <c r="A34" s="110"/>
      <c r="D34" s="89" t="s">
        <v>31</v>
      </c>
      <c r="E34" s="34">
        <f>'Building Maint'!C7</f>
        <v>4205</v>
      </c>
      <c r="F34" s="34">
        <f>'Building Maint'!D7</f>
        <v>2700</v>
      </c>
      <c r="G34" s="34">
        <f>'Building Maint'!E7</f>
        <v>2900</v>
      </c>
      <c r="H34" s="34">
        <f>'Building Maint'!F7</f>
        <v>3325</v>
      </c>
      <c r="I34" s="34">
        <f>'Building Maint'!G7</f>
        <v>5590</v>
      </c>
      <c r="J34" s="34">
        <f>'Building Maint'!H7</f>
        <v>3225</v>
      </c>
      <c r="K34" s="34">
        <f>'Building Maint'!I7</f>
        <v>6160</v>
      </c>
      <c r="L34" s="34">
        <f>'Building Maint'!J7</f>
        <v>2700</v>
      </c>
      <c r="M34" s="34">
        <f>'Building Maint'!K7</f>
        <v>2900</v>
      </c>
      <c r="N34" s="34">
        <f>'Building Maint'!L7</f>
        <v>3325</v>
      </c>
      <c r="O34" s="34">
        <f>'Building Maint'!M7</f>
        <v>3175</v>
      </c>
      <c r="P34" s="34">
        <f>'Building Maint'!N7</f>
        <v>2700</v>
      </c>
      <c r="Q34" s="439">
        <f>SUM(E34:P34)</f>
        <v>42905</v>
      </c>
      <c r="R34" s="440">
        <f t="shared" si="1"/>
        <v>0.3976735564000371</v>
      </c>
      <c r="S34" s="396"/>
      <c r="T34" s="399"/>
      <c r="U34" s="300" t="s">
        <v>371</v>
      </c>
      <c r="V34" s="38" t="s">
        <v>450</v>
      </c>
    </row>
    <row r="35" spans="1:22" x14ac:dyDescent="0.35">
      <c r="A35" s="110"/>
      <c r="D35" s="90" t="s">
        <v>32</v>
      </c>
      <c r="E35" s="42"/>
      <c r="F35" s="42"/>
      <c r="G35" s="42">
        <f>1.03*5000</f>
        <v>5150</v>
      </c>
      <c r="H35" s="42"/>
      <c r="I35" s="42"/>
      <c r="J35" s="42">
        <f>1.03*5000</f>
        <v>5150</v>
      </c>
      <c r="K35" s="42"/>
      <c r="L35" s="42"/>
      <c r="M35" s="42">
        <f>1.03*5000</f>
        <v>5150</v>
      </c>
      <c r="N35" s="42"/>
      <c r="O35" s="42"/>
      <c r="P35" s="42"/>
      <c r="Q35" s="441">
        <f>SUM(E35:P35)</f>
        <v>15450</v>
      </c>
      <c r="R35" s="442">
        <f t="shared" si="1"/>
        <v>0.14320140884233942</v>
      </c>
      <c r="S35" s="396"/>
      <c r="T35" s="399"/>
      <c r="U35" s="300" t="s">
        <v>371</v>
      </c>
      <c r="V35" s="38" t="s">
        <v>457</v>
      </c>
    </row>
    <row r="36" spans="1:22" x14ac:dyDescent="0.35">
      <c r="A36" s="110" t="s">
        <v>108</v>
      </c>
      <c r="C36" s="34" t="s">
        <v>33</v>
      </c>
      <c r="E36" s="43">
        <f t="shared" ref="E36:Q36" si="8">SUM(E33:E35)</f>
        <v>5344</v>
      </c>
      <c r="F36" s="43">
        <f t="shared" si="8"/>
        <v>6889</v>
      </c>
      <c r="G36" s="43">
        <f t="shared" si="8"/>
        <v>15065</v>
      </c>
      <c r="H36" s="43">
        <f t="shared" si="8"/>
        <v>12276</v>
      </c>
      <c r="I36" s="43">
        <f t="shared" si="8"/>
        <v>9779</v>
      </c>
      <c r="J36" s="43">
        <f t="shared" si="8"/>
        <v>15390</v>
      </c>
      <c r="K36" s="43">
        <f t="shared" si="8"/>
        <v>7299</v>
      </c>
      <c r="L36" s="43">
        <f t="shared" si="8"/>
        <v>6889</v>
      </c>
      <c r="M36" s="43">
        <f t="shared" si="8"/>
        <v>15065</v>
      </c>
      <c r="N36" s="43">
        <f>SUM(N33:N35)</f>
        <v>12276</v>
      </c>
      <c r="O36" s="43">
        <f t="shared" si="8"/>
        <v>7364</v>
      </c>
      <c r="P36" s="43">
        <f t="shared" si="8"/>
        <v>3010</v>
      </c>
      <c r="Q36" s="443">
        <f t="shared" si="8"/>
        <v>116646</v>
      </c>
      <c r="R36" s="444">
        <f t="shared" si="1"/>
        <v>1.0811567337102606</v>
      </c>
      <c r="S36" s="400">
        <v>143720.90000000002</v>
      </c>
      <c r="T36" s="461">
        <f>IFERROR(Q36/S36-1,"-")</f>
        <v>-0.18838526616518558</v>
      </c>
      <c r="U36" s="300"/>
      <c r="V36" s="38"/>
    </row>
    <row r="37" spans="1:22" x14ac:dyDescent="0.35">
      <c r="A37" s="110"/>
      <c r="Q37" s="430"/>
      <c r="R37" s="432"/>
      <c r="S37" s="396"/>
      <c r="T37" s="399"/>
      <c r="U37" s="300"/>
      <c r="V37" s="38"/>
    </row>
    <row r="38" spans="1:22" hidden="1" x14ac:dyDescent="0.35">
      <c r="A38" s="110" t="s">
        <v>303</v>
      </c>
      <c r="B38" s="34" t="s">
        <v>34</v>
      </c>
      <c r="C38" s="34" t="s">
        <v>35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30">
        <f>SUM(E38:P38)</f>
        <v>0</v>
      </c>
      <c r="R38" s="432">
        <f t="shared" si="1"/>
        <v>0</v>
      </c>
      <c r="S38" s="396"/>
      <c r="T38" s="399"/>
      <c r="U38" s="300"/>
      <c r="V38" s="38"/>
    </row>
    <row r="39" spans="1:22" hidden="1" x14ac:dyDescent="0.35">
      <c r="A39" s="110"/>
      <c r="Q39" s="430"/>
      <c r="R39" s="432"/>
      <c r="S39" s="396"/>
      <c r="T39" s="399"/>
      <c r="U39" s="300"/>
      <c r="V39" s="38"/>
    </row>
    <row r="40" spans="1:22" x14ac:dyDescent="0.35">
      <c r="A40" s="110"/>
      <c r="D40" s="88" t="s">
        <v>36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437">
        <f>SUM(E40:P40)</f>
        <v>0</v>
      </c>
      <c r="R40" s="438">
        <f t="shared" si="1"/>
        <v>0</v>
      </c>
      <c r="S40" s="396"/>
      <c r="T40" s="399"/>
      <c r="U40" s="300"/>
      <c r="V40" s="38"/>
    </row>
    <row r="41" spans="1:22" x14ac:dyDescent="0.35">
      <c r="A41" s="110"/>
      <c r="D41" s="89" t="s">
        <v>37</v>
      </c>
      <c r="E41" s="34">
        <f>'Parking Lot Maint'!C7</f>
        <v>1225.7</v>
      </c>
      <c r="F41" s="34">
        <f>'Parking Lot Maint'!D7</f>
        <v>1225.7</v>
      </c>
      <c r="G41" s="34">
        <f>'Parking Lot Maint'!E7</f>
        <v>2152.6999999999998</v>
      </c>
      <c r="H41" s="34">
        <f>'Parking Lot Maint'!F7</f>
        <v>1225.7</v>
      </c>
      <c r="I41" s="34">
        <f>'Parking Lot Maint'!G7</f>
        <v>1225.7</v>
      </c>
      <c r="J41" s="34">
        <f>'Parking Lot Maint'!H7</f>
        <v>2152.6999999999998</v>
      </c>
      <c r="K41" s="34">
        <f>'Parking Lot Maint'!I7</f>
        <v>1225.7</v>
      </c>
      <c r="L41" s="34">
        <f>'Parking Lot Maint'!J7</f>
        <v>1225.7</v>
      </c>
      <c r="M41" s="34">
        <f>'Parking Lot Maint'!K7</f>
        <v>2152.6999999999998</v>
      </c>
      <c r="N41" s="34">
        <f>'Parking Lot Maint'!L7</f>
        <v>1225.7</v>
      </c>
      <c r="O41" s="34">
        <f>'Parking Lot Maint'!M7</f>
        <v>1225.7</v>
      </c>
      <c r="P41" s="34">
        <f>'Parking Lot Maint'!N7</f>
        <v>2152.6999999999998</v>
      </c>
      <c r="Q41" s="439">
        <f>SUM(E41:P41)</f>
        <v>18416.400000000005</v>
      </c>
      <c r="R41" s="440">
        <f t="shared" si="1"/>
        <v>0.17069607934006864</v>
      </c>
      <c r="S41" s="396"/>
      <c r="T41" s="399"/>
      <c r="U41" s="300" t="s">
        <v>371</v>
      </c>
      <c r="V41" s="38" t="s">
        <v>450</v>
      </c>
    </row>
    <row r="42" spans="1:22" x14ac:dyDescent="0.35">
      <c r="A42" s="110"/>
      <c r="D42" s="90" t="s">
        <v>38</v>
      </c>
      <c r="E42" s="42"/>
      <c r="F42" s="42"/>
      <c r="G42" s="42"/>
      <c r="H42" s="42"/>
      <c r="I42" s="42"/>
      <c r="J42" s="42"/>
      <c r="K42" s="42">
        <f>1.03*12000</f>
        <v>12360</v>
      </c>
      <c r="L42" s="42"/>
      <c r="M42" s="42">
        <f>1.03*12000</f>
        <v>12360</v>
      </c>
      <c r="N42" s="42"/>
      <c r="O42" s="42"/>
      <c r="P42" s="42"/>
      <c r="Q42" s="441">
        <f>SUM(E42:P42)</f>
        <v>24720</v>
      </c>
      <c r="R42" s="442">
        <f t="shared" si="1"/>
        <v>0.22912225414774307</v>
      </c>
      <c r="S42" s="396"/>
      <c r="T42" s="399"/>
      <c r="U42" s="300" t="s">
        <v>371</v>
      </c>
      <c r="V42" s="38" t="s">
        <v>460</v>
      </c>
    </row>
    <row r="43" spans="1:22" x14ac:dyDescent="0.35">
      <c r="A43" s="110" t="s">
        <v>140</v>
      </c>
      <c r="C43" s="34" t="s">
        <v>39</v>
      </c>
      <c r="E43" s="43">
        <f t="shared" ref="E43:Q43" si="9">SUM(E40:E42)</f>
        <v>1225.7</v>
      </c>
      <c r="F43" s="43">
        <f t="shared" si="9"/>
        <v>1225.7</v>
      </c>
      <c r="G43" s="43">
        <f t="shared" si="9"/>
        <v>2152.6999999999998</v>
      </c>
      <c r="H43" s="43">
        <f t="shared" si="9"/>
        <v>1225.7</v>
      </c>
      <c r="I43" s="43">
        <f t="shared" si="9"/>
        <v>1225.7</v>
      </c>
      <c r="J43" s="43">
        <f t="shared" si="9"/>
        <v>2152.6999999999998</v>
      </c>
      <c r="K43" s="43">
        <f>SUM(K40:K42)</f>
        <v>13585.7</v>
      </c>
      <c r="L43" s="43">
        <f t="shared" si="9"/>
        <v>1225.7</v>
      </c>
      <c r="M43" s="43">
        <f>SUM(M40:M42)</f>
        <v>14512.7</v>
      </c>
      <c r="N43" s="43">
        <f t="shared" si="9"/>
        <v>1225.7</v>
      </c>
      <c r="O43" s="43">
        <f t="shared" si="9"/>
        <v>1225.7</v>
      </c>
      <c r="P43" s="43">
        <f t="shared" si="9"/>
        <v>2152.6999999999998</v>
      </c>
      <c r="Q43" s="443">
        <f t="shared" si="9"/>
        <v>43136.400000000009</v>
      </c>
      <c r="R43" s="444">
        <f t="shared" si="1"/>
        <v>0.39981833348781176</v>
      </c>
      <c r="S43" s="400">
        <v>32362.59</v>
      </c>
      <c r="T43" s="461">
        <f>IFERROR(Q43/S43-1,"-")</f>
        <v>0.33290938704226103</v>
      </c>
      <c r="U43" s="300"/>
      <c r="V43" s="38"/>
    </row>
    <row r="44" spans="1:22" x14ac:dyDescent="0.35">
      <c r="A44" s="110"/>
      <c r="Q44" s="430"/>
      <c r="R44" s="432"/>
      <c r="S44" s="396"/>
      <c r="T44" s="399"/>
      <c r="U44" s="300"/>
      <c r="V44" s="38"/>
    </row>
    <row r="45" spans="1:22" x14ac:dyDescent="0.35">
      <c r="A45" s="110" t="s">
        <v>110</v>
      </c>
      <c r="C45" s="34" t="s">
        <v>40</v>
      </c>
      <c r="E45" s="40">
        <f>1.03*6750</f>
        <v>6952.5</v>
      </c>
      <c r="F45" s="40">
        <f>1.03*6750</f>
        <v>6952.5</v>
      </c>
      <c r="G45" s="40">
        <f>1.03*6750</f>
        <v>6952.5</v>
      </c>
      <c r="H45" s="40"/>
      <c r="I45" s="40"/>
      <c r="J45" s="40"/>
      <c r="K45" s="40"/>
      <c r="L45" s="40"/>
      <c r="M45" s="40"/>
      <c r="N45" s="40"/>
      <c r="O45" s="40">
        <f>1.03*1000</f>
        <v>1030</v>
      </c>
      <c r="P45" s="40">
        <f>1.03*6750</f>
        <v>6952.5</v>
      </c>
      <c r="Q45" s="430">
        <f>SUM(E45:P45)</f>
        <v>28840</v>
      </c>
      <c r="R45" s="432">
        <f t="shared" si="1"/>
        <v>0.26730929650570023</v>
      </c>
      <c r="S45" s="396">
        <v>20763.120000000003</v>
      </c>
      <c r="T45" s="460">
        <f>IFERROR(Q45/S45-1,"-")</f>
        <v>0.38900126763222476</v>
      </c>
      <c r="U45" s="300" t="s">
        <v>371</v>
      </c>
      <c r="V45" s="38" t="s">
        <v>450</v>
      </c>
    </row>
    <row r="46" spans="1:22" x14ac:dyDescent="0.35">
      <c r="A46" s="110"/>
      <c r="Q46" s="430">
        <f>SUM(E46:P46)</f>
        <v>0</v>
      </c>
      <c r="R46" s="432"/>
      <c r="S46" s="396"/>
      <c r="T46" s="399"/>
      <c r="U46" s="300"/>
      <c r="V46" s="38"/>
    </row>
    <row r="47" spans="1:22" x14ac:dyDescent="0.35">
      <c r="A47" s="110"/>
      <c r="D47" s="88" t="s">
        <v>41</v>
      </c>
      <c r="E47" s="77">
        <f>'Allocated Expenses'!F18</f>
        <v>0</v>
      </c>
      <c r="F47" s="77">
        <f>'Allocated Expenses'!G18</f>
        <v>0</v>
      </c>
      <c r="G47" s="77">
        <f>'Allocated Expenses'!H18</f>
        <v>2100.216839822222</v>
      </c>
      <c r="H47" s="77">
        <f>'Allocated Expenses'!I18</f>
        <v>2100.216839822222</v>
      </c>
      <c r="I47" s="77">
        <f>'Allocated Expenses'!J18</f>
        <v>2100.216839822222</v>
      </c>
      <c r="J47" s="77">
        <f>'Allocated Expenses'!K18</f>
        <v>2100.216839822222</v>
      </c>
      <c r="K47" s="77">
        <f>'Allocated Expenses'!L18</f>
        <v>2100.216839822222</v>
      </c>
      <c r="L47" s="77">
        <f>'Allocated Expenses'!M18</f>
        <v>2100.216839822222</v>
      </c>
      <c r="M47" s="77">
        <f>'Allocated Expenses'!N18</f>
        <v>2100.216839822222</v>
      </c>
      <c r="N47" s="77">
        <f>'Allocated Expenses'!O18</f>
        <v>2100.216839822222</v>
      </c>
      <c r="O47" s="77">
        <f>'Allocated Expenses'!P18</f>
        <v>2100.216839822222</v>
      </c>
      <c r="P47" s="77">
        <f>'Allocated Expenses'!Q18</f>
        <v>0</v>
      </c>
      <c r="Q47" s="437">
        <f>SUM(E47:P47)</f>
        <v>18901.951558399996</v>
      </c>
      <c r="R47" s="438">
        <f t="shared" si="1"/>
        <v>0.17519651087589208</v>
      </c>
      <c r="S47" s="396"/>
      <c r="T47" s="399"/>
      <c r="U47" s="300" t="s">
        <v>371</v>
      </c>
      <c r="V47" s="38" t="s">
        <v>450</v>
      </c>
    </row>
    <row r="48" spans="1:22" x14ac:dyDescent="0.35">
      <c r="A48" s="110"/>
      <c r="D48" s="89" t="s">
        <v>42</v>
      </c>
      <c r="E48" s="34">
        <f>Landscaping!C7</f>
        <v>0</v>
      </c>
      <c r="F48" s="34">
        <f>Landscaping!D7</f>
        <v>0</v>
      </c>
      <c r="G48" s="34">
        <f>Landscaping!E7</f>
        <v>824</v>
      </c>
      <c r="H48" s="34">
        <f>Landscaping!F7</f>
        <v>824</v>
      </c>
      <c r="I48" s="34">
        <f>Landscaping!G7</f>
        <v>2369</v>
      </c>
      <c r="J48" s="34">
        <f>Landscaping!H7</f>
        <v>824</v>
      </c>
      <c r="K48" s="34">
        <f>Landscaping!I7</f>
        <v>824</v>
      </c>
      <c r="L48" s="34">
        <f>Landscaping!J7</f>
        <v>824</v>
      </c>
      <c r="M48" s="34">
        <f>Landscaping!K7</f>
        <v>824</v>
      </c>
      <c r="N48" s="34">
        <f>Landscaping!L7</f>
        <v>2369</v>
      </c>
      <c r="O48" s="34">
        <f>Landscaping!M7</f>
        <v>257.5</v>
      </c>
      <c r="P48" s="34">
        <f>Landscaping!N7</f>
        <v>0</v>
      </c>
      <c r="Q48" s="439">
        <f>SUM(E48:P48)</f>
        <v>9939.5</v>
      </c>
      <c r="R48" s="440">
        <f t="shared" si="1"/>
        <v>9.2126239688571698E-2</v>
      </c>
      <c r="S48" s="396"/>
      <c r="T48" s="399"/>
      <c r="U48" s="300" t="s">
        <v>371</v>
      </c>
      <c r="V48" s="38" t="s">
        <v>450</v>
      </c>
    </row>
    <row r="49" spans="1:22" x14ac:dyDescent="0.35">
      <c r="A49" s="110"/>
      <c r="D49" s="90" t="s">
        <v>43</v>
      </c>
      <c r="E49" s="43">
        <f>'Allocated Expenses'!F29</f>
        <v>1131.4490182013431</v>
      </c>
      <c r="F49" s="43">
        <f>'Allocated Expenses'!G29</f>
        <v>1131.4490182013431</v>
      </c>
      <c r="G49" s="43">
        <f>'Allocated Expenses'!H29</f>
        <v>1131.4490182013431</v>
      </c>
      <c r="H49" s="43">
        <f>'Allocated Expenses'!I29</f>
        <v>1131.4490182013431</v>
      </c>
      <c r="I49" s="43">
        <f>'Allocated Expenses'!J29</f>
        <v>1131.4490182013431</v>
      </c>
      <c r="J49" s="43">
        <f>'Allocated Expenses'!K29</f>
        <v>1131.4490182013431</v>
      </c>
      <c r="K49" s="43">
        <f>'Allocated Expenses'!L29</f>
        <v>1131.4490182013431</v>
      </c>
      <c r="L49" s="43">
        <f>'Allocated Expenses'!M29</f>
        <v>1131.4490182013431</v>
      </c>
      <c r="M49" s="43">
        <f>'Allocated Expenses'!N29</f>
        <v>1131.4490182013431</v>
      </c>
      <c r="N49" s="43">
        <f>'Allocated Expenses'!O29</f>
        <v>1131.4490182013431</v>
      </c>
      <c r="O49" s="43">
        <f>'Allocated Expenses'!P29</f>
        <v>1131.4490182013431</v>
      </c>
      <c r="P49" s="43">
        <f>'Allocated Expenses'!Q29</f>
        <v>1131.4490182013431</v>
      </c>
      <c r="Q49" s="441">
        <f>SUM(E49:P49)</f>
        <v>13577.388218416118</v>
      </c>
      <c r="R49" s="442">
        <f t="shared" si="1"/>
        <v>0.12584473276870997</v>
      </c>
      <c r="S49" s="396"/>
      <c r="T49" s="399"/>
      <c r="U49" s="300" t="s">
        <v>371</v>
      </c>
      <c r="V49" s="38" t="s">
        <v>589</v>
      </c>
    </row>
    <row r="50" spans="1:22" x14ac:dyDescent="0.35">
      <c r="A50" s="110" t="s">
        <v>111</v>
      </c>
      <c r="C50" s="34" t="s">
        <v>44</v>
      </c>
      <c r="E50" s="43">
        <f>SUM(E47:E49)</f>
        <v>1131.4490182013431</v>
      </c>
      <c r="F50" s="43">
        <f>SUM(F47:F49)</f>
        <v>1131.4490182013431</v>
      </c>
      <c r="G50" s="43">
        <f>SUM(G47:G49)</f>
        <v>4055.6658580235653</v>
      </c>
      <c r="H50" s="43">
        <f t="shared" ref="H50:K50" si="10">SUM(H47:H49)</f>
        <v>4055.6658580235653</v>
      </c>
      <c r="I50" s="43">
        <f t="shared" si="10"/>
        <v>5600.6658580235653</v>
      </c>
      <c r="J50" s="43">
        <f t="shared" si="10"/>
        <v>4055.6658580235653</v>
      </c>
      <c r="K50" s="43">
        <f t="shared" si="10"/>
        <v>4055.6658580235653</v>
      </c>
      <c r="L50" s="43">
        <f t="shared" ref="L50:Q50" si="11">SUM(L47:L49)</f>
        <v>4055.6658580235653</v>
      </c>
      <c r="M50" s="43">
        <f t="shared" si="11"/>
        <v>4055.6658580235653</v>
      </c>
      <c r="N50" s="43">
        <f t="shared" si="11"/>
        <v>5600.6658580235653</v>
      </c>
      <c r="O50" s="43">
        <f t="shared" si="11"/>
        <v>3489.1658580235653</v>
      </c>
      <c r="P50" s="43">
        <f t="shared" si="11"/>
        <v>1131.4490182013431</v>
      </c>
      <c r="Q50" s="443">
        <f t="shared" si="11"/>
        <v>42418.839776816116</v>
      </c>
      <c r="R50" s="444">
        <f t="shared" si="1"/>
        <v>0.39316748333317375</v>
      </c>
      <c r="S50" s="400">
        <v>28880.03</v>
      </c>
      <c r="T50" s="461">
        <f>IFERROR(Q50/S50-1,"-")</f>
        <v>0.46879486540755377</v>
      </c>
      <c r="U50" s="300"/>
      <c r="V50" s="38"/>
    </row>
    <row r="51" spans="1:22" x14ac:dyDescent="0.35">
      <c r="A51" s="110"/>
      <c r="Q51" s="430"/>
      <c r="R51" s="432"/>
      <c r="S51" s="396"/>
      <c r="T51" s="399"/>
      <c r="U51" s="300"/>
      <c r="V51" s="38"/>
    </row>
    <row r="52" spans="1:22" x14ac:dyDescent="0.35">
      <c r="A52" s="110" t="s">
        <v>112</v>
      </c>
      <c r="C52" s="34" t="s">
        <v>45</v>
      </c>
      <c r="E52" s="34">
        <f>'Allocated Expenses'!F40</f>
        <v>570.24</v>
      </c>
      <c r="F52" s="34">
        <f>'Allocated Expenses'!G40</f>
        <v>570.24</v>
      </c>
      <c r="G52" s="34">
        <f>'Allocated Expenses'!H40</f>
        <v>570.24</v>
      </c>
      <c r="H52" s="34">
        <f>'Allocated Expenses'!I40</f>
        <v>570.24</v>
      </c>
      <c r="I52" s="34">
        <f>'Allocated Expenses'!J40</f>
        <v>570.24</v>
      </c>
      <c r="J52" s="34">
        <f>'Allocated Expenses'!K40</f>
        <v>570.24</v>
      </c>
      <c r="K52" s="34">
        <f>'Allocated Expenses'!L40</f>
        <v>570.24</v>
      </c>
      <c r="L52" s="34">
        <f>'Allocated Expenses'!M40</f>
        <v>570.24</v>
      </c>
      <c r="M52" s="34">
        <f>'Allocated Expenses'!N40</f>
        <v>570.24</v>
      </c>
      <c r="N52" s="34">
        <f>'Allocated Expenses'!O40</f>
        <v>570.24</v>
      </c>
      <c r="O52" s="34">
        <f>'Allocated Expenses'!P40</f>
        <v>570.24</v>
      </c>
      <c r="P52" s="34">
        <f>'Allocated Expenses'!Q40</f>
        <v>570.24</v>
      </c>
      <c r="Q52" s="430">
        <f>SUM(E52:P52)</f>
        <v>6842.8799999999983</v>
      </c>
      <c r="R52" s="432">
        <f t="shared" si="1"/>
        <v>6.3424599128742223E-2</v>
      </c>
      <c r="S52" s="396">
        <v>7679.87</v>
      </c>
      <c r="T52" s="460">
        <f>IFERROR(Q52/S52-1,"-")</f>
        <v>-0.10898491771345109</v>
      </c>
      <c r="U52" s="300" t="s">
        <v>371</v>
      </c>
      <c r="V52" s="38" t="s">
        <v>450</v>
      </c>
    </row>
    <row r="53" spans="1:22" x14ac:dyDescent="0.35">
      <c r="A53" s="110"/>
      <c r="Q53" s="430"/>
      <c r="R53" s="432"/>
      <c r="S53" s="396"/>
      <c r="T53" s="399"/>
      <c r="U53" s="300"/>
      <c r="V53" s="38"/>
    </row>
    <row r="54" spans="1:22" x14ac:dyDescent="0.35">
      <c r="A54" s="110" t="s">
        <v>113</v>
      </c>
      <c r="B54" s="34" t="s">
        <v>46</v>
      </c>
      <c r="C54" s="34" t="s">
        <v>47</v>
      </c>
      <c r="E54" s="34">
        <f t="shared" ref="E54:P54" si="12">ROUND(E$24*0.04,0)</f>
        <v>4945</v>
      </c>
      <c r="F54" s="34">
        <f t="shared" si="12"/>
        <v>4904</v>
      </c>
      <c r="G54" s="34">
        <f t="shared" si="12"/>
        <v>4905</v>
      </c>
      <c r="H54" s="34">
        <f t="shared" si="12"/>
        <v>4912</v>
      </c>
      <c r="I54" s="34">
        <f t="shared" si="12"/>
        <v>4991</v>
      </c>
      <c r="J54" s="34">
        <f t="shared" si="12"/>
        <v>5065</v>
      </c>
      <c r="K54" s="34">
        <f t="shared" si="12"/>
        <v>4858</v>
      </c>
      <c r="L54" s="34">
        <f t="shared" si="12"/>
        <v>4830</v>
      </c>
      <c r="M54" s="34">
        <f t="shared" si="12"/>
        <v>4766</v>
      </c>
      <c r="N54" s="34">
        <f t="shared" si="12"/>
        <v>4741</v>
      </c>
      <c r="O54" s="34">
        <f t="shared" si="12"/>
        <v>4527</v>
      </c>
      <c r="P54" s="34">
        <f t="shared" si="12"/>
        <v>4441</v>
      </c>
      <c r="Q54" s="430">
        <f>SUM(E54:P54)</f>
        <v>57885</v>
      </c>
      <c r="R54" s="432">
        <f t="shared" si="1"/>
        <v>0.53651867642969686</v>
      </c>
      <c r="S54" s="396">
        <v>80205.56</v>
      </c>
      <c r="T54" s="460">
        <f>IFERROR(Q54/S54-1,"-")</f>
        <v>-0.27829192888872045</v>
      </c>
      <c r="U54" s="300"/>
      <c r="V54" s="38"/>
    </row>
    <row r="55" spans="1:22" x14ac:dyDescent="0.35">
      <c r="A55" s="110"/>
      <c r="Q55" s="430"/>
      <c r="R55" s="432"/>
      <c r="S55" s="396"/>
      <c r="T55" s="399"/>
      <c r="U55" s="300"/>
      <c r="V55" s="38"/>
    </row>
    <row r="56" spans="1:22" x14ac:dyDescent="0.35">
      <c r="A56" s="110" t="s">
        <v>114</v>
      </c>
      <c r="C56" s="34" t="s">
        <v>48</v>
      </c>
      <c r="E56" s="34">
        <f>Trash!C7</f>
        <v>1648</v>
      </c>
      <c r="F56" s="34">
        <f>Trash!D7</f>
        <v>1648</v>
      </c>
      <c r="G56" s="34">
        <f>Trash!E7</f>
        <v>1648</v>
      </c>
      <c r="H56" s="34">
        <f>Trash!F7</f>
        <v>1648</v>
      </c>
      <c r="I56" s="34">
        <f>Trash!G7</f>
        <v>1648</v>
      </c>
      <c r="J56" s="34">
        <f>Trash!H7</f>
        <v>2248</v>
      </c>
      <c r="K56" s="34">
        <f>Trash!I7</f>
        <v>1648</v>
      </c>
      <c r="L56" s="34">
        <f>Trash!J7</f>
        <v>1648</v>
      </c>
      <c r="M56" s="34">
        <f>Trash!K7</f>
        <v>1648</v>
      </c>
      <c r="N56" s="34">
        <f>Trash!L7</f>
        <v>2248</v>
      </c>
      <c r="O56" s="34">
        <f>Trash!M7</f>
        <v>1648</v>
      </c>
      <c r="P56" s="34">
        <f>Trash!N7</f>
        <v>2248</v>
      </c>
      <c r="Q56" s="430">
        <f>SUM(E56:P56)</f>
        <v>21576</v>
      </c>
      <c r="R56" s="432">
        <f t="shared" si="1"/>
        <v>0.19998146260079711</v>
      </c>
      <c r="S56" s="396">
        <v>26196.059999999998</v>
      </c>
      <c r="T56" s="460">
        <f>IFERROR(Q56/S56-1,"-")</f>
        <v>-0.17636468995719201</v>
      </c>
      <c r="U56" s="300" t="s">
        <v>371</v>
      </c>
      <c r="V56" s="38" t="s">
        <v>531</v>
      </c>
    </row>
    <row r="57" spans="1:22" x14ac:dyDescent="0.35">
      <c r="A57" s="110"/>
      <c r="Q57" s="430"/>
      <c r="R57" s="432"/>
      <c r="S57" s="396"/>
      <c r="T57" s="399"/>
      <c r="U57" s="300"/>
      <c r="V57" s="38"/>
    </row>
    <row r="58" spans="1:22" x14ac:dyDescent="0.35">
      <c r="A58" s="110" t="s">
        <v>115</v>
      </c>
      <c r="C58" s="34" t="s">
        <v>23</v>
      </c>
      <c r="E58" s="34">
        <f>+'INS RET'!E60</f>
        <v>9151.1392376250005</v>
      </c>
      <c r="F58" s="34">
        <f>+'INS RET'!F60</f>
        <v>9151.1392376250005</v>
      </c>
      <c r="G58" s="34">
        <f>+'INS RET'!G60</f>
        <v>9151.1392376250005</v>
      </c>
      <c r="H58" s="34">
        <f>+'INS RET'!H60</f>
        <v>9151.1392376250005</v>
      </c>
      <c r="I58" s="34">
        <f>+'INS RET'!I60</f>
        <v>9151.1392376250005</v>
      </c>
      <c r="J58" s="34">
        <f>+'INS RET'!J60</f>
        <v>9151.1392376250005</v>
      </c>
      <c r="K58" s="34">
        <f>+'INS RET'!K60</f>
        <v>9151.1392376250005</v>
      </c>
      <c r="L58" s="34">
        <f>+'INS RET'!L60</f>
        <v>9151.1392376250005</v>
      </c>
      <c r="M58" s="34">
        <f>+'INS RET'!M60</f>
        <v>9151.1392376250005</v>
      </c>
      <c r="N58" s="34">
        <f>+'INS RET'!N60</f>
        <v>9151.1392376250005</v>
      </c>
      <c r="O58" s="34">
        <f>+'INS RET'!O60</f>
        <v>9151.1392376250005</v>
      </c>
      <c r="P58" s="34">
        <f>+'INS RET'!P60</f>
        <v>9151.1392376250005</v>
      </c>
      <c r="Q58" s="430">
        <f>SUM(E58:P58)</f>
        <v>109813.67085150001</v>
      </c>
      <c r="R58" s="432">
        <f t="shared" si="1"/>
        <v>1.0178299272546112</v>
      </c>
      <c r="S58" s="396">
        <v>210877.78</v>
      </c>
      <c r="T58" s="460">
        <f>IFERROR(Q58/S58-1,"-")</f>
        <v>-0.47925442475968782</v>
      </c>
      <c r="U58" s="300"/>
      <c r="V58" s="38" t="s">
        <v>532</v>
      </c>
    </row>
    <row r="59" spans="1:22" x14ac:dyDescent="0.35">
      <c r="A59" s="110"/>
      <c r="Q59" s="430"/>
      <c r="R59" s="432"/>
      <c r="S59" s="396"/>
      <c r="T59" s="399"/>
      <c r="U59" s="300"/>
      <c r="V59" s="38"/>
    </row>
    <row r="60" spans="1:22" x14ac:dyDescent="0.35">
      <c r="A60" s="110"/>
      <c r="D60" s="88" t="s">
        <v>49</v>
      </c>
      <c r="E60" s="77">
        <f>+'INS RET'!E13+'INS RET'!E14</f>
        <v>2935</v>
      </c>
      <c r="F60" s="77">
        <f>+'INS RET'!F13+'INS RET'!F14</f>
        <v>2935</v>
      </c>
      <c r="G60" s="77">
        <f>+'INS RET'!G13+'INS RET'!G14</f>
        <v>2935</v>
      </c>
      <c r="H60" s="77">
        <f>+'INS RET'!H13+'INS RET'!H14</f>
        <v>2935</v>
      </c>
      <c r="I60" s="77">
        <f>+'INS RET'!I13+'INS RET'!I14</f>
        <v>2935</v>
      </c>
      <c r="J60" s="77">
        <f>+'INS RET'!J13+'INS RET'!J14</f>
        <v>2935</v>
      </c>
      <c r="K60" s="77">
        <f>+'INS RET'!K13+'INS RET'!K14</f>
        <v>2935</v>
      </c>
      <c r="L60" s="77">
        <f>+'INS RET'!L13+'INS RET'!L14</f>
        <v>2935</v>
      </c>
      <c r="M60" s="77">
        <f>+'INS RET'!M13+'INS RET'!M14</f>
        <v>2935</v>
      </c>
      <c r="N60" s="77">
        <f>+'INS RET'!N13+'INS RET'!N14</f>
        <v>2935</v>
      </c>
      <c r="O60" s="77">
        <f>+'INS RET'!O13+'INS RET'!O14</f>
        <v>2993.7</v>
      </c>
      <c r="P60" s="77">
        <f>+'INS RET'!P13+'INS RET'!P14</f>
        <v>2993.7</v>
      </c>
      <c r="Q60" s="437">
        <f>SUM(E60:P60)</f>
        <v>35337.4</v>
      </c>
      <c r="R60" s="438">
        <f t="shared" si="1"/>
        <v>0.32753174529613499</v>
      </c>
      <c r="S60" s="396"/>
      <c r="T60" s="399"/>
      <c r="U60" s="300"/>
      <c r="V60" s="38"/>
    </row>
    <row r="61" spans="1:22" x14ac:dyDescent="0.35">
      <c r="A61" s="110"/>
      <c r="D61" s="89" t="s">
        <v>50</v>
      </c>
      <c r="E61" s="34">
        <f>+'INS RET'!E16</f>
        <v>2140</v>
      </c>
      <c r="F61" s="34">
        <f>+'INS RET'!F16</f>
        <v>2140</v>
      </c>
      <c r="G61" s="34">
        <f>+'INS RET'!G16</f>
        <v>2140</v>
      </c>
      <c r="H61" s="34">
        <f>+'INS RET'!H16</f>
        <v>2140</v>
      </c>
      <c r="I61" s="34">
        <f>+'INS RET'!I16</f>
        <v>2140</v>
      </c>
      <c r="J61" s="34">
        <f>+'INS RET'!J16</f>
        <v>2140</v>
      </c>
      <c r="K61" s="34">
        <f>+'INS RET'!K16</f>
        <v>2140</v>
      </c>
      <c r="L61" s="34">
        <f>+'INS RET'!L16</f>
        <v>2140</v>
      </c>
      <c r="M61" s="34">
        <f>+'INS RET'!M16</f>
        <v>2140</v>
      </c>
      <c r="N61" s="34">
        <f>+'INS RET'!N16</f>
        <v>2140</v>
      </c>
      <c r="O61" s="34">
        <f>+'INS RET'!O16</f>
        <v>2182.8000000000002</v>
      </c>
      <c r="P61" s="34">
        <f>+'INS RET'!P16</f>
        <v>2182.8000000000002</v>
      </c>
      <c r="Q61" s="439">
        <f>SUM(E61:P61)</f>
        <v>25765.599999999999</v>
      </c>
      <c r="R61" s="440">
        <f t="shared" si="1"/>
        <v>0.2388136064510149</v>
      </c>
      <c r="S61" s="396"/>
      <c r="T61" s="399"/>
      <c r="U61" s="300"/>
      <c r="V61" s="38"/>
    </row>
    <row r="62" spans="1:22" x14ac:dyDescent="0.35">
      <c r="A62" s="110"/>
      <c r="D62" s="90" t="s">
        <v>51</v>
      </c>
      <c r="E62" s="43">
        <f>+'INS RET'!E17</f>
        <v>0</v>
      </c>
      <c r="F62" s="43">
        <f>+'INS RET'!F17</f>
        <v>0</v>
      </c>
      <c r="G62" s="43">
        <f>+'INS RET'!G17</f>
        <v>0</v>
      </c>
      <c r="H62" s="43">
        <f>+'INS RET'!H17</f>
        <v>0</v>
      </c>
      <c r="I62" s="43">
        <f>+'INS RET'!I17</f>
        <v>0</v>
      </c>
      <c r="J62" s="43">
        <f>+'INS RET'!J17</f>
        <v>0</v>
      </c>
      <c r="K62" s="43">
        <f>+'INS RET'!K17</f>
        <v>0</v>
      </c>
      <c r="L62" s="43">
        <f>+'INS RET'!L17</f>
        <v>0</v>
      </c>
      <c r="M62" s="43">
        <f>+'INS RET'!M17</f>
        <v>0</v>
      </c>
      <c r="N62" s="43">
        <f>+'INS RET'!N17</f>
        <v>0</v>
      </c>
      <c r="O62" s="43">
        <f>+'INS RET'!O17</f>
        <v>0</v>
      </c>
      <c r="P62" s="43">
        <f>+'INS RET'!P17</f>
        <v>0</v>
      </c>
      <c r="Q62" s="441">
        <f>SUM(E62:P62)</f>
        <v>0</v>
      </c>
      <c r="R62" s="442">
        <f t="shared" si="1"/>
        <v>0</v>
      </c>
      <c r="S62" s="396"/>
      <c r="T62" s="399"/>
      <c r="U62" s="300"/>
      <c r="V62" s="38"/>
    </row>
    <row r="63" spans="1:22" x14ac:dyDescent="0.35">
      <c r="A63" s="110" t="s">
        <v>116</v>
      </c>
      <c r="C63" s="34" t="s">
        <v>24</v>
      </c>
      <c r="E63" s="43">
        <f t="shared" ref="E63:Q63" si="13">SUM(E60:E62)</f>
        <v>5075</v>
      </c>
      <c r="F63" s="43">
        <f t="shared" si="13"/>
        <v>5075</v>
      </c>
      <c r="G63" s="43">
        <f t="shared" si="13"/>
        <v>5075</v>
      </c>
      <c r="H63" s="43">
        <f t="shared" si="13"/>
        <v>5075</v>
      </c>
      <c r="I63" s="43">
        <f t="shared" si="13"/>
        <v>5075</v>
      </c>
      <c r="J63" s="43">
        <f t="shared" si="13"/>
        <v>5075</v>
      </c>
      <c r="K63" s="43">
        <f t="shared" si="13"/>
        <v>5075</v>
      </c>
      <c r="L63" s="43">
        <f t="shared" si="13"/>
        <v>5075</v>
      </c>
      <c r="M63" s="43">
        <f t="shared" si="13"/>
        <v>5075</v>
      </c>
      <c r="N63" s="43">
        <f t="shared" si="13"/>
        <v>5075</v>
      </c>
      <c r="O63" s="43">
        <f t="shared" si="13"/>
        <v>5176.5</v>
      </c>
      <c r="P63" s="43">
        <f t="shared" si="13"/>
        <v>5176.5</v>
      </c>
      <c r="Q63" s="443">
        <f t="shared" si="13"/>
        <v>61103</v>
      </c>
      <c r="R63" s="444">
        <f t="shared" si="1"/>
        <v>0.56634535174714984</v>
      </c>
      <c r="S63" s="400">
        <v>61626</v>
      </c>
      <c r="T63" s="461">
        <f>IFERROR(Q63/S63-1,"-")</f>
        <v>-8.4866777009703354E-3</v>
      </c>
      <c r="U63" s="300"/>
      <c r="V63" s="38"/>
    </row>
    <row r="64" spans="1:22" x14ac:dyDescent="0.35">
      <c r="A64" s="110"/>
      <c r="Q64" s="430"/>
      <c r="R64" s="432"/>
      <c r="S64" s="396"/>
      <c r="T64" s="399"/>
      <c r="U64" s="300"/>
      <c r="V64" s="38"/>
    </row>
    <row r="65" spans="1:22" x14ac:dyDescent="0.35">
      <c r="A65" s="110"/>
      <c r="D65" s="88" t="s">
        <v>52</v>
      </c>
      <c r="E65" s="77">
        <f>'Allocated Expenses'!F51+'Allocated Expenses'!F62</f>
        <v>10908.934902835868</v>
      </c>
      <c r="F65" s="77">
        <f>'Allocated Expenses'!G51+'Allocated Expenses'!G62</f>
        <v>10908.934902835868</v>
      </c>
      <c r="G65" s="77">
        <f>'Allocated Expenses'!H51+'Allocated Expenses'!H62</f>
        <v>10908.934902835868</v>
      </c>
      <c r="H65" s="77">
        <f>'Allocated Expenses'!I51+'Allocated Expenses'!I62</f>
        <v>10908.934902835868</v>
      </c>
      <c r="I65" s="77">
        <f>'Allocated Expenses'!J51+'Allocated Expenses'!J62</f>
        <v>10908.934902835868</v>
      </c>
      <c r="J65" s="77">
        <f>'Allocated Expenses'!K51+'Allocated Expenses'!K62</f>
        <v>10908.934902835868</v>
      </c>
      <c r="K65" s="77">
        <f>'Allocated Expenses'!L51+'Allocated Expenses'!L62</f>
        <v>10306.441495979867</v>
      </c>
      <c r="L65" s="77">
        <f>'Allocated Expenses'!M51+'Allocated Expenses'!M62</f>
        <v>10306.441495979867</v>
      </c>
      <c r="M65" s="77">
        <f>'Allocated Expenses'!N51+'Allocated Expenses'!N62</f>
        <v>10306.441495979867</v>
      </c>
      <c r="N65" s="77">
        <f>'Allocated Expenses'!O51+'Allocated Expenses'!O62</f>
        <v>10306.441495979867</v>
      </c>
      <c r="O65" s="77">
        <f>'Allocated Expenses'!P51+'Allocated Expenses'!P62</f>
        <v>10072.304206681869</v>
      </c>
      <c r="P65" s="77">
        <f>'Allocated Expenses'!Q51+'Allocated Expenses'!Q62</f>
        <v>9730.7918547758691</v>
      </c>
      <c r="Q65" s="445">
        <f>SUM(E65:P65)</f>
        <v>126482.47146239244</v>
      </c>
      <c r="R65" s="438">
        <f t="shared" si="1"/>
        <v>1.1723280328333714</v>
      </c>
      <c r="S65" s="396"/>
      <c r="T65" s="399"/>
      <c r="U65" s="300" t="s">
        <v>371</v>
      </c>
      <c r="V65" s="38" t="s">
        <v>592</v>
      </c>
    </row>
    <row r="66" spans="1:22" x14ac:dyDescent="0.35">
      <c r="A66" s="110"/>
      <c r="D66" s="90" t="s">
        <v>53</v>
      </c>
      <c r="E66" s="43">
        <f>'Allocated Expenses'!F75</f>
        <v>288.87385664999999</v>
      </c>
      <c r="F66" s="43">
        <f>'Allocated Expenses'!G75</f>
        <v>288.87385664999999</v>
      </c>
      <c r="G66" s="43">
        <f>'Allocated Expenses'!H75</f>
        <v>288.87385664999999</v>
      </c>
      <c r="H66" s="43">
        <f>'Allocated Expenses'!I75</f>
        <v>288.87385664999999</v>
      </c>
      <c r="I66" s="43">
        <f>'Allocated Expenses'!J75</f>
        <v>288.87385664999999</v>
      </c>
      <c r="J66" s="43">
        <f>'Allocated Expenses'!K75</f>
        <v>288.87385664999999</v>
      </c>
      <c r="K66" s="43">
        <f>'Allocated Expenses'!L75</f>
        <v>322.54524675000005</v>
      </c>
      <c r="L66" s="43">
        <f>'Allocated Expenses'!M75</f>
        <v>322.54524675000005</v>
      </c>
      <c r="M66" s="43">
        <f>'Allocated Expenses'!N75</f>
        <v>322.54524675000005</v>
      </c>
      <c r="N66" s="43">
        <f>'Allocated Expenses'!O75</f>
        <v>322.54524675000005</v>
      </c>
      <c r="O66" s="43">
        <f>'Allocated Expenses'!P75</f>
        <v>335.63041567499994</v>
      </c>
      <c r="P66" s="43">
        <f>'Allocated Expenses'!Q75</f>
        <v>354.71642639999999</v>
      </c>
      <c r="Q66" s="443">
        <f>SUM(E66:P66)</f>
        <v>3713.7709689749995</v>
      </c>
      <c r="R66" s="442">
        <f t="shared" si="1"/>
        <v>3.4421827499999995E-2</v>
      </c>
      <c r="S66" s="396"/>
      <c r="T66" s="399"/>
      <c r="U66" s="300" t="s">
        <v>371</v>
      </c>
      <c r="V66" s="38" t="s">
        <v>593</v>
      </c>
    </row>
    <row r="67" spans="1:22" x14ac:dyDescent="0.35">
      <c r="A67" s="110" t="s">
        <v>117</v>
      </c>
      <c r="B67" s="34" t="s">
        <v>46</v>
      </c>
      <c r="C67" s="34" t="s">
        <v>52</v>
      </c>
      <c r="E67" s="43">
        <f t="shared" ref="E67:P67" si="14">SUM(E65:E66)</f>
        <v>11197.808759485868</v>
      </c>
      <c r="F67" s="43">
        <f t="shared" si="14"/>
        <v>11197.808759485868</v>
      </c>
      <c r="G67" s="43">
        <f t="shared" si="14"/>
        <v>11197.808759485868</v>
      </c>
      <c r="H67" s="43">
        <f t="shared" si="14"/>
        <v>11197.808759485868</v>
      </c>
      <c r="I67" s="43">
        <f t="shared" si="14"/>
        <v>11197.808759485868</v>
      </c>
      <c r="J67" s="43">
        <f t="shared" si="14"/>
        <v>11197.808759485868</v>
      </c>
      <c r="K67" s="43">
        <f t="shared" si="14"/>
        <v>10628.986742729867</v>
      </c>
      <c r="L67" s="43">
        <f t="shared" si="14"/>
        <v>10628.986742729867</v>
      </c>
      <c r="M67" s="43">
        <f t="shared" si="14"/>
        <v>10628.986742729867</v>
      </c>
      <c r="N67" s="43">
        <f t="shared" si="14"/>
        <v>10628.986742729867</v>
      </c>
      <c r="O67" s="43">
        <f t="shared" si="14"/>
        <v>10407.934622356868</v>
      </c>
      <c r="P67" s="43">
        <f t="shared" si="14"/>
        <v>10085.508281175869</v>
      </c>
      <c r="Q67" s="443">
        <f>SUM(Q65:Q66)</f>
        <v>130196.24243136744</v>
      </c>
      <c r="R67" s="444">
        <f t="shared" si="1"/>
        <v>1.2067498603333715</v>
      </c>
      <c r="S67" s="400">
        <v>152553.69</v>
      </c>
      <c r="T67" s="461">
        <f>IFERROR(Q67/S67-1,"-")</f>
        <v>-0.14655461672957604</v>
      </c>
      <c r="U67" s="300"/>
      <c r="V67" s="38"/>
    </row>
    <row r="68" spans="1:22" x14ac:dyDescent="0.35">
      <c r="A68" s="110"/>
      <c r="Q68" s="430"/>
      <c r="R68" s="432"/>
      <c r="S68" s="396"/>
      <c r="T68" s="399"/>
      <c r="U68" s="300"/>
      <c r="V68" s="38"/>
    </row>
    <row r="69" spans="1:22" x14ac:dyDescent="0.35">
      <c r="A69" s="110"/>
      <c r="B69" s="34" t="s">
        <v>34</v>
      </c>
      <c r="C69" s="34" t="s">
        <v>54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30">
        <f>SUM(E69:P69)</f>
        <v>0</v>
      </c>
      <c r="R69" s="432">
        <f t="shared" si="1"/>
        <v>0</v>
      </c>
      <c r="S69" s="396">
        <v>335</v>
      </c>
      <c r="T69" s="460">
        <f>IFERROR(Q69/S69-1,"-")</f>
        <v>-1</v>
      </c>
      <c r="U69" s="300"/>
      <c r="V69" s="38"/>
    </row>
    <row r="70" spans="1:22" x14ac:dyDescent="0.35">
      <c r="A70" s="110"/>
      <c r="Q70" s="430"/>
      <c r="R70" s="432"/>
      <c r="S70" s="396"/>
      <c r="T70" s="399"/>
      <c r="U70" s="300"/>
      <c r="V70" s="38"/>
    </row>
    <row r="71" spans="1:22" ht="18" x14ac:dyDescent="0.35">
      <c r="A71" s="110"/>
      <c r="C71" s="91" t="s">
        <v>55</v>
      </c>
      <c r="D71" s="92"/>
      <c r="E71" s="92">
        <f t="shared" ref="E71:Q71" si="15">+E27+E29+E31+E36+E38+E43+E45+E50+E52+E54+E56+E58+E63+E67+E69</f>
        <v>81248.145646960475</v>
      </c>
      <c r="F71" s="92">
        <f t="shared" si="15"/>
        <v>81159.685646960483</v>
      </c>
      <c r="G71" s="92">
        <f t="shared" si="15"/>
        <v>93174.432486782694</v>
      </c>
      <c r="H71" s="92">
        <f t="shared" si="15"/>
        <v>82584.312486782699</v>
      </c>
      <c r="I71" s="92">
        <f t="shared" si="15"/>
        <v>85293.05248678269</v>
      </c>
      <c r="J71" s="92">
        <f t="shared" si="15"/>
        <v>96377.602486782707</v>
      </c>
      <c r="K71" s="92">
        <f t="shared" si="15"/>
        <v>101600.35047002672</v>
      </c>
      <c r="L71" s="92">
        <f t="shared" si="15"/>
        <v>90900.630470026692</v>
      </c>
      <c r="M71" s="92">
        <f t="shared" si="15"/>
        <v>104316.51047002673</v>
      </c>
      <c r="N71" s="92">
        <f t="shared" si="15"/>
        <v>89438.210470026708</v>
      </c>
      <c r="O71" s="92">
        <f t="shared" si="15"/>
        <v>76492.3083496537</v>
      </c>
      <c r="P71" s="92">
        <f t="shared" si="15"/>
        <v>80236.975168650475</v>
      </c>
      <c r="Q71" s="446">
        <f t="shared" si="15"/>
        <v>1062822.2166394629</v>
      </c>
      <c r="R71" s="447">
        <f t="shared" si="1"/>
        <v>9.8509798557740549</v>
      </c>
      <c r="S71" s="406">
        <f>+S27+S29+S31+S36+S38+S43+S45+S50+S52+S54+S56+S58+S63+S67+S69</f>
        <v>1145192.69</v>
      </c>
      <c r="T71" s="465">
        <f>IFERROR(Q71/S71-1,"-")</f>
        <v>-7.1927173548878565E-2</v>
      </c>
      <c r="U71" s="304"/>
      <c r="V71" s="38">
        <f>Q71-Q58-Q29</f>
        <v>577794.54578796285</v>
      </c>
    </row>
    <row r="72" spans="1:22" ht="18" x14ac:dyDescent="0.35">
      <c r="A72" s="110"/>
      <c r="Q72" s="435"/>
      <c r="R72" s="436"/>
      <c r="S72" s="402"/>
      <c r="T72" s="403"/>
      <c r="U72" s="301"/>
      <c r="V72" s="38"/>
    </row>
    <row r="73" spans="1:22" ht="18" x14ac:dyDescent="0.35">
      <c r="A73" s="110"/>
      <c r="B73" s="35" t="s">
        <v>56</v>
      </c>
      <c r="Q73" s="430"/>
      <c r="R73" s="432"/>
      <c r="S73" s="396"/>
      <c r="T73" s="399"/>
      <c r="U73" s="300"/>
      <c r="V73" s="38"/>
    </row>
    <row r="74" spans="1:22" x14ac:dyDescent="0.35">
      <c r="A74" s="110"/>
      <c r="Q74" s="430"/>
      <c r="R74" s="432"/>
      <c r="S74" s="396"/>
      <c r="T74" s="399"/>
      <c r="U74" s="300"/>
      <c r="V74" s="38"/>
    </row>
    <row r="75" spans="1:22" x14ac:dyDescent="0.35">
      <c r="A75" s="110" t="s">
        <v>141</v>
      </c>
      <c r="C75" s="34" t="s">
        <v>57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30">
        <f>SUM(E75:P75)</f>
        <v>0</v>
      </c>
      <c r="R75" s="432">
        <f t="shared" ref="R75:R132" si="16">Q75/$B$4</f>
        <v>0</v>
      </c>
      <c r="S75" s="396"/>
      <c r="T75" s="460" t="str">
        <f>IFERROR(Q75/S75-1,"-")</f>
        <v>-</v>
      </c>
      <c r="U75" s="300"/>
      <c r="V75" s="38"/>
    </row>
    <row r="76" spans="1:22" x14ac:dyDescent="0.35">
      <c r="A76" s="110"/>
      <c r="Q76" s="430"/>
      <c r="R76" s="432"/>
      <c r="S76" s="396"/>
      <c r="T76" s="399"/>
      <c r="U76" s="300"/>
      <c r="V76" s="38"/>
    </row>
    <row r="77" spans="1:22" x14ac:dyDescent="0.35">
      <c r="A77" s="110" t="s">
        <v>118</v>
      </c>
      <c r="D77" s="34" t="s">
        <v>58</v>
      </c>
      <c r="E77" s="34">
        <f>'Allocated Expenses'!F86</f>
        <v>2734.6443900515537</v>
      </c>
      <c r="F77" s="34">
        <f>'Allocated Expenses'!G86</f>
        <v>2734.6443900515537</v>
      </c>
      <c r="G77" s="34">
        <f>'Allocated Expenses'!H86</f>
        <v>2734.6443900515537</v>
      </c>
      <c r="H77" s="34">
        <f>'Allocated Expenses'!I86</f>
        <v>2734.6443900515537</v>
      </c>
      <c r="I77" s="34">
        <f>'Allocated Expenses'!J86</f>
        <v>2734.6443900515537</v>
      </c>
      <c r="J77" s="34">
        <f>'Allocated Expenses'!K86</f>
        <v>2734.6443900515537</v>
      </c>
      <c r="K77" s="34">
        <f>'Allocated Expenses'!L86</f>
        <v>2734.6443900515537</v>
      </c>
      <c r="L77" s="34">
        <f>'Allocated Expenses'!M86</f>
        <v>2734.6443900515537</v>
      </c>
      <c r="M77" s="34">
        <f>'Allocated Expenses'!N86</f>
        <v>2734.6443900515537</v>
      </c>
      <c r="N77" s="34">
        <f>'Allocated Expenses'!O86</f>
        <v>2734.6443900515537</v>
      </c>
      <c r="O77" s="34">
        <f>'Allocated Expenses'!P86</f>
        <v>2734.6443900515537</v>
      </c>
      <c r="P77" s="34">
        <f>'Allocated Expenses'!Q86</f>
        <v>2734.6443900515537</v>
      </c>
      <c r="Q77" s="430">
        <f>SUM(E77:P77)</f>
        <v>32815.732680618654</v>
      </c>
      <c r="R77" s="432">
        <f t="shared" si="16"/>
        <v>0.30415916841800589</v>
      </c>
      <c r="S77" s="396"/>
      <c r="T77" s="399"/>
      <c r="U77" s="300"/>
      <c r="V77" s="38"/>
    </row>
    <row r="78" spans="1:22" x14ac:dyDescent="0.35">
      <c r="A78" s="110" t="s">
        <v>119</v>
      </c>
      <c r="D78" s="34" t="s">
        <v>59</v>
      </c>
      <c r="E78" s="43">
        <f>'Allocated Expenses'!F97</f>
        <v>1728.5101393101193</v>
      </c>
      <c r="F78" s="43">
        <f>'Allocated Expenses'!G97</f>
        <v>0</v>
      </c>
      <c r="G78" s="43">
        <f>'Allocated Expenses'!H97</f>
        <v>0</v>
      </c>
      <c r="H78" s="43">
        <f>'Allocated Expenses'!I97</f>
        <v>1728.5101393101193</v>
      </c>
      <c r="I78" s="43">
        <f>'Allocated Expenses'!J97</f>
        <v>0</v>
      </c>
      <c r="J78" s="43">
        <f>'Allocated Expenses'!K97</f>
        <v>0</v>
      </c>
      <c r="K78" s="43">
        <f>'Allocated Expenses'!L97</f>
        <v>1728.5101393101193</v>
      </c>
      <c r="L78" s="43">
        <f>'Allocated Expenses'!M97</f>
        <v>0</v>
      </c>
      <c r="M78" s="43">
        <f>'Allocated Expenses'!N97</f>
        <v>0</v>
      </c>
      <c r="N78" s="43">
        <f>'Allocated Expenses'!O97</f>
        <v>1728.5101393101193</v>
      </c>
      <c r="O78" s="43">
        <f>'Allocated Expenses'!P97</f>
        <v>0</v>
      </c>
      <c r="P78" s="43">
        <f>'Allocated Expenses'!Q97</f>
        <v>0</v>
      </c>
      <c r="Q78" s="443">
        <f>SUM(E78:P78)</f>
        <v>6914.040557240477</v>
      </c>
      <c r="R78" s="444">
        <f t="shared" si="16"/>
        <v>6.4084164957275716E-2</v>
      </c>
      <c r="S78" s="396"/>
      <c r="T78" s="399"/>
      <c r="U78" s="300"/>
      <c r="V78" s="38"/>
    </row>
    <row r="79" spans="1:22" x14ac:dyDescent="0.35">
      <c r="A79" s="110"/>
      <c r="C79" s="34" t="s">
        <v>60</v>
      </c>
      <c r="E79" s="43">
        <f t="shared" ref="E79:Q79" si="17">SUM(E77:E78)</f>
        <v>4463.1545293616728</v>
      </c>
      <c r="F79" s="43">
        <f t="shared" si="17"/>
        <v>2734.6443900515537</v>
      </c>
      <c r="G79" s="43">
        <f t="shared" si="17"/>
        <v>2734.6443900515537</v>
      </c>
      <c r="H79" s="43">
        <f t="shared" si="17"/>
        <v>4463.1545293616728</v>
      </c>
      <c r="I79" s="43">
        <f t="shared" si="17"/>
        <v>2734.6443900515537</v>
      </c>
      <c r="J79" s="43">
        <f t="shared" si="17"/>
        <v>2734.6443900515537</v>
      </c>
      <c r="K79" s="43">
        <f t="shared" si="17"/>
        <v>4463.1545293616728</v>
      </c>
      <c r="L79" s="43">
        <f t="shared" si="17"/>
        <v>2734.6443900515537</v>
      </c>
      <c r="M79" s="43">
        <f t="shared" si="17"/>
        <v>2734.6443900515537</v>
      </c>
      <c r="N79" s="43">
        <f t="shared" si="17"/>
        <v>4463.1545293616728</v>
      </c>
      <c r="O79" s="43">
        <f t="shared" si="17"/>
        <v>2734.6443900515537</v>
      </c>
      <c r="P79" s="43">
        <f t="shared" si="17"/>
        <v>2734.6443900515537</v>
      </c>
      <c r="Q79" s="443">
        <f t="shared" si="17"/>
        <v>39729.773237859132</v>
      </c>
      <c r="R79" s="444">
        <f t="shared" si="16"/>
        <v>0.36824333337528159</v>
      </c>
      <c r="S79" s="400">
        <v>34389.64</v>
      </c>
      <c r="T79" s="461">
        <f>IFERROR(Q79/S79-1,"-")</f>
        <v>0.15528319685402736</v>
      </c>
      <c r="U79" s="300"/>
      <c r="V79" s="38"/>
    </row>
    <row r="80" spans="1:22" x14ac:dyDescent="0.35">
      <c r="A80" s="110"/>
      <c r="Q80" s="430"/>
      <c r="R80" s="432"/>
      <c r="S80" s="396"/>
      <c r="T80" s="399"/>
      <c r="U80" s="300"/>
      <c r="V80" s="38"/>
    </row>
    <row r="81" spans="1:22" x14ac:dyDescent="0.35">
      <c r="A81" s="110" t="s">
        <v>142</v>
      </c>
      <c r="D81" s="34" t="s">
        <v>61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30">
        <f>SUM(E81:P81)</f>
        <v>0</v>
      </c>
      <c r="R81" s="432">
        <f t="shared" si="16"/>
        <v>0</v>
      </c>
      <c r="S81" s="396"/>
      <c r="T81" s="399"/>
      <c r="U81" s="300"/>
      <c r="V81" s="38"/>
    </row>
    <row r="82" spans="1:22" x14ac:dyDescent="0.35">
      <c r="A82" s="110" t="s">
        <v>143</v>
      </c>
      <c r="D82" s="34" t="s">
        <v>21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30">
        <f>SUM(E82:P82)</f>
        <v>0</v>
      </c>
      <c r="R82" s="432">
        <f t="shared" si="16"/>
        <v>0</v>
      </c>
      <c r="S82" s="396"/>
      <c r="T82" s="399"/>
      <c r="U82" s="300"/>
      <c r="V82" s="38"/>
    </row>
    <row r="83" spans="1:22" x14ac:dyDescent="0.35">
      <c r="A83" s="110" t="s">
        <v>144</v>
      </c>
      <c r="D83" s="34" t="s">
        <v>29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43">
        <f>SUM(E83:P83)</f>
        <v>0</v>
      </c>
      <c r="R83" s="444">
        <f t="shared" si="16"/>
        <v>0</v>
      </c>
      <c r="S83" s="396"/>
      <c r="T83" s="399"/>
      <c r="U83" s="300"/>
      <c r="V83" s="38"/>
    </row>
    <row r="84" spans="1:22" x14ac:dyDescent="0.35">
      <c r="A84" s="110"/>
      <c r="C84" s="34" t="s">
        <v>62</v>
      </c>
      <c r="E84" s="43">
        <f t="shared" ref="E84:Q84" si="18">SUM(E81:E83)</f>
        <v>0</v>
      </c>
      <c r="F84" s="43">
        <f t="shared" si="18"/>
        <v>0</v>
      </c>
      <c r="G84" s="43">
        <f t="shared" si="18"/>
        <v>0</v>
      </c>
      <c r="H84" s="43">
        <f t="shared" si="18"/>
        <v>0</v>
      </c>
      <c r="I84" s="43">
        <f t="shared" si="18"/>
        <v>0</v>
      </c>
      <c r="J84" s="43">
        <f t="shared" si="18"/>
        <v>0</v>
      </c>
      <c r="K84" s="43">
        <f t="shared" si="18"/>
        <v>0</v>
      </c>
      <c r="L84" s="43">
        <f t="shared" si="18"/>
        <v>0</v>
      </c>
      <c r="M84" s="43">
        <f t="shared" si="18"/>
        <v>0</v>
      </c>
      <c r="N84" s="43">
        <f t="shared" si="18"/>
        <v>0</v>
      </c>
      <c r="O84" s="43">
        <f t="shared" si="18"/>
        <v>0</v>
      </c>
      <c r="P84" s="43">
        <f t="shared" si="18"/>
        <v>0</v>
      </c>
      <c r="Q84" s="443">
        <f t="shared" si="18"/>
        <v>0</v>
      </c>
      <c r="R84" s="444">
        <f t="shared" si="16"/>
        <v>0</v>
      </c>
      <c r="S84" s="400">
        <v>384.75</v>
      </c>
      <c r="T84" s="461">
        <f>IFERROR(Q84/S84-1,"-")</f>
        <v>-1</v>
      </c>
      <c r="U84" s="300"/>
      <c r="V84" s="38"/>
    </row>
    <row r="85" spans="1:22" x14ac:dyDescent="0.35">
      <c r="A85" s="110"/>
      <c r="Q85" s="430"/>
      <c r="R85" s="432"/>
      <c r="S85" s="396"/>
      <c r="T85" s="399"/>
      <c r="U85" s="300"/>
      <c r="V85" s="38"/>
    </row>
    <row r="86" spans="1:22" x14ac:dyDescent="0.35">
      <c r="A86" s="110"/>
      <c r="D86" s="88" t="s">
        <v>31</v>
      </c>
      <c r="E86" s="117">
        <f>1.03*1075</f>
        <v>1107.25</v>
      </c>
      <c r="F86" s="117">
        <f t="shared" ref="F86:P86" si="19">1.03*1075</f>
        <v>1107.25</v>
      </c>
      <c r="G86" s="117">
        <f t="shared" si="19"/>
        <v>1107.25</v>
      </c>
      <c r="H86" s="117">
        <f t="shared" si="19"/>
        <v>1107.25</v>
      </c>
      <c r="I86" s="117">
        <f t="shared" si="19"/>
        <v>1107.25</v>
      </c>
      <c r="J86" s="117">
        <f t="shared" si="19"/>
        <v>1107.25</v>
      </c>
      <c r="K86" s="117">
        <f t="shared" si="19"/>
        <v>1107.25</v>
      </c>
      <c r="L86" s="117">
        <f t="shared" si="19"/>
        <v>1107.25</v>
      </c>
      <c r="M86" s="117">
        <f t="shared" si="19"/>
        <v>1107.25</v>
      </c>
      <c r="N86" s="117">
        <f t="shared" si="19"/>
        <v>1107.25</v>
      </c>
      <c r="O86" s="117">
        <f t="shared" si="19"/>
        <v>1107.25</v>
      </c>
      <c r="P86" s="117">
        <f t="shared" si="19"/>
        <v>1107.25</v>
      </c>
      <c r="Q86" s="445">
        <f>SUM(E86:P86)</f>
        <v>13287</v>
      </c>
      <c r="R86" s="438">
        <f t="shared" si="16"/>
        <v>0.12315321160441189</v>
      </c>
      <c r="S86" s="396"/>
      <c r="T86" s="399"/>
      <c r="U86" s="300" t="s">
        <v>371</v>
      </c>
      <c r="V86" s="38" t="s">
        <v>461</v>
      </c>
    </row>
    <row r="87" spans="1:22" x14ac:dyDescent="0.35">
      <c r="A87" s="110"/>
      <c r="D87" s="90" t="s">
        <v>32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3">
        <f>SUM(E87:P87)</f>
        <v>0</v>
      </c>
      <c r="R87" s="442">
        <f t="shared" si="16"/>
        <v>0</v>
      </c>
      <c r="S87" s="396"/>
      <c r="T87" s="399"/>
      <c r="U87" s="300"/>
      <c r="V87" s="38"/>
    </row>
    <row r="88" spans="1:22" x14ac:dyDescent="0.35">
      <c r="A88" s="110" t="s">
        <v>120</v>
      </c>
      <c r="C88" s="34" t="s">
        <v>33</v>
      </c>
      <c r="E88" s="43">
        <f t="shared" ref="E88:Q88" si="20">SUM(E86:E87)</f>
        <v>1107.25</v>
      </c>
      <c r="F88" s="43">
        <f t="shared" si="20"/>
        <v>1107.25</v>
      </c>
      <c r="G88" s="43">
        <f t="shared" si="20"/>
        <v>1107.25</v>
      </c>
      <c r="H88" s="43">
        <f t="shared" si="20"/>
        <v>1107.25</v>
      </c>
      <c r="I88" s="43">
        <f t="shared" si="20"/>
        <v>1107.25</v>
      </c>
      <c r="J88" s="43">
        <f t="shared" si="20"/>
        <v>1107.25</v>
      </c>
      <c r="K88" s="43">
        <f t="shared" si="20"/>
        <v>1107.25</v>
      </c>
      <c r="L88" s="43">
        <f t="shared" si="20"/>
        <v>1107.25</v>
      </c>
      <c r="M88" s="43">
        <f t="shared" si="20"/>
        <v>1107.25</v>
      </c>
      <c r="N88" s="43">
        <f t="shared" si="20"/>
        <v>1107.25</v>
      </c>
      <c r="O88" s="43">
        <f t="shared" si="20"/>
        <v>1107.25</v>
      </c>
      <c r="P88" s="43">
        <f t="shared" si="20"/>
        <v>1107.25</v>
      </c>
      <c r="Q88" s="443">
        <f t="shared" si="20"/>
        <v>13287</v>
      </c>
      <c r="R88" s="444">
        <f t="shared" si="16"/>
        <v>0.12315321160441189</v>
      </c>
      <c r="S88" s="400">
        <v>8795.91</v>
      </c>
      <c r="T88" s="461">
        <f>IFERROR(Q88/S88-1,"-")</f>
        <v>0.51058844394724368</v>
      </c>
      <c r="U88" s="300"/>
      <c r="V88" s="38"/>
    </row>
    <row r="89" spans="1:22" x14ac:dyDescent="0.35">
      <c r="A89" s="110"/>
      <c r="Q89" s="430"/>
      <c r="R89" s="432"/>
      <c r="S89" s="396"/>
      <c r="T89" s="399"/>
      <c r="U89" s="300"/>
      <c r="V89" s="38"/>
    </row>
    <row r="90" spans="1:22" s="95" customFormat="1" hidden="1" x14ac:dyDescent="0.35">
      <c r="A90" s="111" t="s">
        <v>145</v>
      </c>
      <c r="B90" s="95" t="s">
        <v>34</v>
      </c>
      <c r="C90" s="95" t="s">
        <v>63</v>
      </c>
      <c r="Q90" s="448">
        <f>SUM(E90:P90)</f>
        <v>0</v>
      </c>
      <c r="R90" s="449">
        <f t="shared" si="16"/>
        <v>0</v>
      </c>
      <c r="S90" s="396"/>
      <c r="T90" s="399" t="e">
        <f>R90/S90-1</f>
        <v>#DIV/0!</v>
      </c>
      <c r="U90" s="300"/>
      <c r="V90" s="305"/>
    </row>
    <row r="91" spans="1:22" hidden="1" x14ac:dyDescent="0.35">
      <c r="A91" s="110"/>
      <c r="Q91" s="430"/>
      <c r="R91" s="432"/>
      <c r="S91" s="396"/>
      <c r="T91" s="399" t="e">
        <f>R91/S91-1</f>
        <v>#DIV/0!</v>
      </c>
      <c r="U91" s="300"/>
      <c r="V91" s="38"/>
    </row>
    <row r="92" spans="1:22" x14ac:dyDescent="0.35">
      <c r="A92" s="110" t="s">
        <v>121</v>
      </c>
      <c r="C92" s="34" t="s">
        <v>64</v>
      </c>
      <c r="E92" s="34">
        <f>'Allocated Expenses'!F108+'Allocated Expenses'!F119</f>
        <v>1049.0569006959213</v>
      </c>
      <c r="F92" s="34">
        <f>'Allocated Expenses'!G108+'Allocated Expenses'!G119</f>
        <v>1049.0569006959213</v>
      </c>
      <c r="G92" s="34">
        <f>'Allocated Expenses'!H108+'Allocated Expenses'!H119</f>
        <v>1049.0569006959213</v>
      </c>
      <c r="H92" s="34">
        <f>'Allocated Expenses'!I108+'Allocated Expenses'!I119</f>
        <v>1049.0569006959213</v>
      </c>
      <c r="I92" s="34">
        <f>'Allocated Expenses'!J108+'Allocated Expenses'!J119</f>
        <v>1049.0569006959213</v>
      </c>
      <c r="J92" s="34">
        <f>'Allocated Expenses'!K108+'Allocated Expenses'!K119</f>
        <v>1049.0569006959213</v>
      </c>
      <c r="K92" s="34">
        <f>'Allocated Expenses'!L108+'Allocated Expenses'!L119</f>
        <v>1049.0569006959213</v>
      </c>
      <c r="L92" s="34">
        <f>'Allocated Expenses'!M108+'Allocated Expenses'!M119</f>
        <v>1049.0569006959213</v>
      </c>
      <c r="M92" s="34">
        <f>'Allocated Expenses'!N108+'Allocated Expenses'!N119</f>
        <v>1049.0569006959213</v>
      </c>
      <c r="N92" s="34">
        <f>'Allocated Expenses'!O108+'Allocated Expenses'!O119</f>
        <v>1049.0569006959213</v>
      </c>
      <c r="O92" s="34">
        <f>'Allocated Expenses'!P108+'Allocated Expenses'!P119</f>
        <v>1049.0569006959213</v>
      </c>
      <c r="P92" s="34">
        <f>'Allocated Expenses'!Q108+'Allocated Expenses'!Q119</f>
        <v>1049.0569006959213</v>
      </c>
      <c r="Q92" s="430">
        <f>SUM(E92:P92)</f>
        <v>12588.682808351055</v>
      </c>
      <c r="R92" s="432">
        <f t="shared" si="16"/>
        <v>0.1166807193284925</v>
      </c>
      <c r="S92" s="396">
        <v>12829.2</v>
      </c>
      <c r="T92" s="460">
        <f>IFERROR(Q92/S92-1,"-")</f>
        <v>-1.874763754941422E-2</v>
      </c>
      <c r="U92" s="300"/>
      <c r="V92" s="38"/>
    </row>
    <row r="93" spans="1:22" x14ac:dyDescent="0.35">
      <c r="A93" s="110"/>
      <c r="Q93" s="430"/>
      <c r="R93" s="432"/>
      <c r="S93" s="396"/>
      <c r="T93" s="399"/>
      <c r="U93" s="300"/>
      <c r="V93" s="38"/>
    </row>
    <row r="94" spans="1:22" x14ac:dyDescent="0.35">
      <c r="A94" s="110" t="s">
        <v>122</v>
      </c>
      <c r="C94" s="34" t="s">
        <v>65</v>
      </c>
      <c r="E94" s="34">
        <f>'Allocated Expenses'!F130</f>
        <v>0</v>
      </c>
      <c r="F94" s="34">
        <f>'Allocated Expenses'!G130</f>
        <v>0</v>
      </c>
      <c r="G94" s="34">
        <f>'Allocated Expenses'!H130</f>
        <v>0</v>
      </c>
      <c r="H94" s="34">
        <f>'Allocated Expenses'!I130</f>
        <v>3419.4117396547813</v>
      </c>
      <c r="I94" s="34">
        <f>'Allocated Expenses'!J130</f>
        <v>0</v>
      </c>
      <c r="J94" s="34">
        <f>'Allocated Expenses'!K130</f>
        <v>0</v>
      </c>
      <c r="K94" s="34">
        <f>'Allocated Expenses'!L130</f>
        <v>0</v>
      </c>
      <c r="L94" s="34">
        <f>'Allocated Expenses'!M130</f>
        <v>0</v>
      </c>
      <c r="M94" s="34">
        <f>'Allocated Expenses'!N130</f>
        <v>0</v>
      </c>
      <c r="N94" s="34">
        <f>'Allocated Expenses'!O130</f>
        <v>0</v>
      </c>
      <c r="O94" s="34">
        <f>'Allocated Expenses'!P130</f>
        <v>0</v>
      </c>
      <c r="P94" s="34">
        <f>'Allocated Expenses'!Q130</f>
        <v>0</v>
      </c>
      <c r="Q94" s="430">
        <f>SUM(E94:P94)</f>
        <v>3419.4117396547813</v>
      </c>
      <c r="R94" s="432">
        <f t="shared" si="16"/>
        <v>3.169350022851776E-2</v>
      </c>
      <c r="S94" s="396">
        <v>0</v>
      </c>
      <c r="T94" s="460" t="str">
        <f>IFERROR(Q94/S94-1,"-")</f>
        <v>-</v>
      </c>
      <c r="U94" s="300"/>
      <c r="V94" s="38"/>
    </row>
    <row r="95" spans="1:22" x14ac:dyDescent="0.35">
      <c r="A95" s="110"/>
      <c r="Q95" s="430"/>
      <c r="R95" s="432"/>
      <c r="S95" s="396"/>
      <c r="T95" s="399"/>
      <c r="U95" s="300"/>
      <c r="V95" s="38"/>
    </row>
    <row r="96" spans="1:22" x14ac:dyDescent="0.35">
      <c r="A96" s="110" t="s">
        <v>123</v>
      </c>
      <c r="C96" s="34" t="s">
        <v>66</v>
      </c>
      <c r="E96" s="34">
        <f>'Allocated Expenses'!F142</f>
        <v>958.74464006309006</v>
      </c>
      <c r="F96" s="34">
        <f>'Allocated Expenses'!G142</f>
        <v>958.74464006309006</v>
      </c>
      <c r="G96" s="34">
        <f>'Allocated Expenses'!H142</f>
        <v>958.74464006309006</v>
      </c>
      <c r="H96" s="34">
        <f>'Allocated Expenses'!I142</f>
        <v>958.74464006309006</v>
      </c>
      <c r="I96" s="34">
        <f>'Allocated Expenses'!J142</f>
        <v>958.74464006309006</v>
      </c>
      <c r="J96" s="34">
        <f>'Allocated Expenses'!K142</f>
        <v>958.74464006309006</v>
      </c>
      <c r="K96" s="34">
        <f>'Allocated Expenses'!L142</f>
        <v>958.74464006309006</v>
      </c>
      <c r="L96" s="34">
        <f>'Allocated Expenses'!M142</f>
        <v>958.74464006309006</v>
      </c>
      <c r="M96" s="34">
        <f>'Allocated Expenses'!N142</f>
        <v>958.74464006309006</v>
      </c>
      <c r="N96" s="34">
        <f>'Allocated Expenses'!O142</f>
        <v>958.74464006309006</v>
      </c>
      <c r="O96" s="34">
        <f>'Allocated Expenses'!P142</f>
        <v>958.74464006309006</v>
      </c>
      <c r="P96" s="34">
        <f>'Allocated Expenses'!Q142</f>
        <v>958.74464006309006</v>
      </c>
      <c r="Q96" s="430">
        <f>SUM(E96:P96)</f>
        <v>11504.935680757082</v>
      </c>
      <c r="R96" s="432">
        <f t="shared" si="16"/>
        <v>0.10663579275889408</v>
      </c>
      <c r="S96" s="396">
        <v>9995.2200000000012</v>
      </c>
      <c r="T96" s="460">
        <f>IFERROR(Q96/S96-1,"-")</f>
        <v>0.15104376699633226</v>
      </c>
      <c r="U96" s="300"/>
      <c r="V96" s="38"/>
    </row>
    <row r="97" spans="1:22" x14ac:dyDescent="0.35">
      <c r="A97" s="110"/>
      <c r="Q97" s="430"/>
      <c r="R97" s="432"/>
      <c r="S97" s="396"/>
      <c r="T97" s="399"/>
      <c r="U97" s="300"/>
      <c r="V97" s="38"/>
    </row>
    <row r="98" spans="1:22" x14ac:dyDescent="0.35">
      <c r="A98" s="110" t="s">
        <v>130</v>
      </c>
      <c r="D98" s="34" t="s">
        <v>67</v>
      </c>
      <c r="E98" s="34">
        <f>'Allocated Expenses'!F153</f>
        <v>43.352600581402662</v>
      </c>
      <c r="F98" s="34">
        <f>'Allocated Expenses'!G153</f>
        <v>43.352600581402662</v>
      </c>
      <c r="G98" s="34">
        <f>'Allocated Expenses'!H153</f>
        <v>43.352600581402662</v>
      </c>
      <c r="H98" s="34">
        <f>'Allocated Expenses'!I153</f>
        <v>43.352600581402662</v>
      </c>
      <c r="I98" s="34">
        <f>'Allocated Expenses'!J153</f>
        <v>43.352600581402662</v>
      </c>
      <c r="J98" s="34">
        <f>'Allocated Expenses'!K153</f>
        <v>43.352600581402662</v>
      </c>
      <c r="K98" s="34">
        <f>'Allocated Expenses'!L153</f>
        <v>43.352600581402662</v>
      </c>
      <c r="L98" s="34">
        <f>'Allocated Expenses'!M153</f>
        <v>43.352600581402662</v>
      </c>
      <c r="M98" s="34">
        <f>'Allocated Expenses'!N153</f>
        <v>43.352600581402662</v>
      </c>
      <c r="N98" s="34">
        <f>'Allocated Expenses'!O153</f>
        <v>43.352600581402662</v>
      </c>
      <c r="O98" s="34">
        <f>'Allocated Expenses'!P153</f>
        <v>43.352600581402662</v>
      </c>
      <c r="P98" s="34">
        <f>'Allocated Expenses'!Q153</f>
        <v>43.352600581402662</v>
      </c>
      <c r="Q98" s="430">
        <f>SUM(E98:P98)</f>
        <v>520.23120697683191</v>
      </c>
      <c r="R98" s="432">
        <f t="shared" si="16"/>
        <v>4.8218667807658905E-3</v>
      </c>
      <c r="S98" s="396"/>
      <c r="T98" s="399"/>
      <c r="U98" s="300"/>
      <c r="V98" s="38"/>
    </row>
    <row r="99" spans="1:22" x14ac:dyDescent="0.35">
      <c r="A99" s="110" t="s">
        <v>146</v>
      </c>
      <c r="D99" s="34" t="s">
        <v>68</v>
      </c>
      <c r="E99" s="34">
        <f>'Allocated Expenses'!F164</f>
        <v>0</v>
      </c>
      <c r="F99" s="34">
        <f>'Allocated Expenses'!G164</f>
        <v>0</v>
      </c>
      <c r="G99" s="34">
        <f>'Allocated Expenses'!H164</f>
        <v>0</v>
      </c>
      <c r="H99" s="34">
        <f>'Allocated Expenses'!I164</f>
        <v>0</v>
      </c>
      <c r="I99" s="34">
        <f>'Allocated Expenses'!J164</f>
        <v>0</v>
      </c>
      <c r="J99" s="34">
        <f>'Allocated Expenses'!K164</f>
        <v>0</v>
      </c>
      <c r="K99" s="34">
        <f>'Allocated Expenses'!L164</f>
        <v>0</v>
      </c>
      <c r="L99" s="34">
        <f>'Allocated Expenses'!M164</f>
        <v>0</v>
      </c>
      <c r="M99" s="34">
        <f>'Allocated Expenses'!N164</f>
        <v>0</v>
      </c>
      <c r="N99" s="34">
        <f>'Allocated Expenses'!O164</f>
        <v>0</v>
      </c>
      <c r="O99" s="34">
        <f>'Allocated Expenses'!P164</f>
        <v>0</v>
      </c>
      <c r="P99" s="34">
        <f>'Allocated Expenses'!Q164</f>
        <v>0</v>
      </c>
      <c r="Q99" s="430">
        <f>SUM(E99:P99)</f>
        <v>0</v>
      </c>
      <c r="R99" s="432">
        <f t="shared" si="16"/>
        <v>0</v>
      </c>
      <c r="S99" s="396"/>
      <c r="T99" s="399"/>
      <c r="U99" s="300"/>
      <c r="V99" s="38"/>
    </row>
    <row r="100" spans="1:22" x14ac:dyDescent="0.35">
      <c r="A100" s="110" t="s">
        <v>147</v>
      </c>
      <c r="D100" s="34" t="s">
        <v>69</v>
      </c>
      <c r="E100" s="34">
        <f>'Allocated Expenses'!F175</f>
        <v>0</v>
      </c>
      <c r="F100" s="34">
        <f>'Allocated Expenses'!G175</f>
        <v>0</v>
      </c>
      <c r="G100" s="34">
        <f>'Allocated Expenses'!H175</f>
        <v>0</v>
      </c>
      <c r="H100" s="34">
        <f>'Allocated Expenses'!I175</f>
        <v>0</v>
      </c>
      <c r="I100" s="34">
        <f>'Allocated Expenses'!J175</f>
        <v>0</v>
      </c>
      <c r="J100" s="34">
        <f>'Allocated Expenses'!K175</f>
        <v>0</v>
      </c>
      <c r="K100" s="34">
        <f>'Allocated Expenses'!L175</f>
        <v>0</v>
      </c>
      <c r="L100" s="34">
        <f>'Allocated Expenses'!M175</f>
        <v>0</v>
      </c>
      <c r="M100" s="34">
        <f>'Allocated Expenses'!N175</f>
        <v>0</v>
      </c>
      <c r="N100" s="34">
        <f>'Allocated Expenses'!O175</f>
        <v>0</v>
      </c>
      <c r="O100" s="34">
        <f>'Allocated Expenses'!P175</f>
        <v>0</v>
      </c>
      <c r="P100" s="34">
        <f>'Allocated Expenses'!Q175</f>
        <v>0</v>
      </c>
      <c r="Q100" s="430">
        <f>SUM(E100:P100)</f>
        <v>0</v>
      </c>
      <c r="R100" s="432">
        <f t="shared" si="16"/>
        <v>0</v>
      </c>
      <c r="S100" s="396"/>
      <c r="T100" s="399"/>
      <c r="U100" s="300"/>
      <c r="V100" s="38"/>
    </row>
    <row r="101" spans="1:22" x14ac:dyDescent="0.35">
      <c r="A101" s="110" t="s">
        <v>131</v>
      </c>
      <c r="D101" s="34" t="s">
        <v>70</v>
      </c>
      <c r="E101" s="34">
        <f>'Allocated Expenses'!F186</f>
        <v>41.954129594905801</v>
      </c>
      <c r="F101" s="34">
        <f>'Allocated Expenses'!G186</f>
        <v>41.954129594905801</v>
      </c>
      <c r="G101" s="34">
        <f>'Allocated Expenses'!H186</f>
        <v>41.954129594905801</v>
      </c>
      <c r="H101" s="34">
        <f>'Allocated Expenses'!I186</f>
        <v>41.954129594905801</v>
      </c>
      <c r="I101" s="34">
        <f>'Allocated Expenses'!J186</f>
        <v>41.954129594905801</v>
      </c>
      <c r="J101" s="34">
        <f>'Allocated Expenses'!K186</f>
        <v>41.954129594905801</v>
      </c>
      <c r="K101" s="34">
        <f>'Allocated Expenses'!L186</f>
        <v>41.954129594905801</v>
      </c>
      <c r="L101" s="34">
        <f>'Allocated Expenses'!M186</f>
        <v>41.954129594905801</v>
      </c>
      <c r="M101" s="34">
        <f>'Allocated Expenses'!N186</f>
        <v>41.954129594905801</v>
      </c>
      <c r="N101" s="34">
        <f>'Allocated Expenses'!O186</f>
        <v>41.954129594905801</v>
      </c>
      <c r="O101" s="34">
        <f>'Allocated Expenses'!P186</f>
        <v>41.954129594905801</v>
      </c>
      <c r="P101" s="34">
        <f>'Allocated Expenses'!Q186</f>
        <v>41.954129594905801</v>
      </c>
      <c r="Q101" s="430">
        <f>SUM(E101:P101)</f>
        <v>503.44955513886958</v>
      </c>
      <c r="R101" s="432">
        <f t="shared" si="16"/>
        <v>4.6663226910637649E-3</v>
      </c>
      <c r="S101" s="396"/>
      <c r="T101" s="399"/>
      <c r="U101" s="300"/>
      <c r="V101" s="38"/>
    </row>
    <row r="102" spans="1:22" x14ac:dyDescent="0.35">
      <c r="A102" s="110" t="s">
        <v>124</v>
      </c>
      <c r="D102" s="34" t="s">
        <v>71</v>
      </c>
      <c r="E102" s="43">
        <f>'Allocated Expenses'!F197</f>
        <v>1470</v>
      </c>
      <c r="F102" s="43">
        <f>'Allocated Expenses'!G197</f>
        <v>1470</v>
      </c>
      <c r="G102" s="43">
        <f>'Allocated Expenses'!H197</f>
        <v>1470</v>
      </c>
      <c r="H102" s="43">
        <f>'Allocated Expenses'!I197</f>
        <v>1470</v>
      </c>
      <c r="I102" s="43">
        <f>'Allocated Expenses'!J197</f>
        <v>1470</v>
      </c>
      <c r="J102" s="43">
        <f>'Allocated Expenses'!K197</f>
        <v>1470</v>
      </c>
      <c r="K102" s="43">
        <f>'Allocated Expenses'!L197</f>
        <v>1470</v>
      </c>
      <c r="L102" s="43">
        <f>'Allocated Expenses'!M197</f>
        <v>1470</v>
      </c>
      <c r="M102" s="43">
        <f>'Allocated Expenses'!N197</f>
        <v>1470</v>
      </c>
      <c r="N102" s="43">
        <f>'Allocated Expenses'!O197</f>
        <v>1470</v>
      </c>
      <c r="O102" s="43">
        <f>'Allocated Expenses'!P197</f>
        <v>1470</v>
      </c>
      <c r="P102" s="43">
        <f>'Allocated Expenses'!Q197</f>
        <v>1470</v>
      </c>
      <c r="Q102" s="443">
        <f>SUM(E102:P102)</f>
        <v>17640</v>
      </c>
      <c r="R102" s="444">
        <f t="shared" si="16"/>
        <v>0.16349986096950597</v>
      </c>
      <c r="S102" s="396"/>
      <c r="T102" s="399"/>
      <c r="U102" s="300"/>
      <c r="V102" s="38"/>
    </row>
    <row r="103" spans="1:22" x14ac:dyDescent="0.35">
      <c r="A103" s="110"/>
      <c r="C103" s="34" t="s">
        <v>72</v>
      </c>
      <c r="E103" s="43">
        <f t="shared" ref="E103:Q103" si="21">SUM(E98:E102)</f>
        <v>1555.3067301763085</v>
      </c>
      <c r="F103" s="43">
        <f t="shared" si="21"/>
        <v>1555.3067301763085</v>
      </c>
      <c r="G103" s="43">
        <f t="shared" si="21"/>
        <v>1555.3067301763085</v>
      </c>
      <c r="H103" s="43">
        <f t="shared" si="21"/>
        <v>1555.3067301763085</v>
      </c>
      <c r="I103" s="43">
        <f t="shared" si="21"/>
        <v>1555.3067301763085</v>
      </c>
      <c r="J103" s="43">
        <f t="shared" si="21"/>
        <v>1555.3067301763085</v>
      </c>
      <c r="K103" s="43">
        <f t="shared" si="21"/>
        <v>1555.3067301763085</v>
      </c>
      <c r="L103" s="43">
        <f t="shared" si="21"/>
        <v>1555.3067301763085</v>
      </c>
      <c r="M103" s="43">
        <f t="shared" si="21"/>
        <v>1555.3067301763085</v>
      </c>
      <c r="N103" s="43">
        <f t="shared" si="21"/>
        <v>1555.3067301763085</v>
      </c>
      <c r="O103" s="43">
        <f t="shared" si="21"/>
        <v>1555.3067301763085</v>
      </c>
      <c r="P103" s="43">
        <f t="shared" si="21"/>
        <v>1555.3067301763085</v>
      </c>
      <c r="Q103" s="443">
        <f t="shared" si="21"/>
        <v>18663.680762115702</v>
      </c>
      <c r="R103" s="444">
        <f t="shared" si="16"/>
        <v>0.17298805044133564</v>
      </c>
      <c r="S103" s="400">
        <v>18168</v>
      </c>
      <c r="T103" s="461">
        <f>IFERROR(Q103/S103-1,"-")</f>
        <v>2.7283177130983161E-2</v>
      </c>
      <c r="U103" s="300"/>
      <c r="V103" s="38"/>
    </row>
    <row r="104" spans="1:22" x14ac:dyDescent="0.35">
      <c r="A104" s="110"/>
      <c r="Q104" s="430"/>
      <c r="R104" s="432"/>
      <c r="S104" s="396"/>
      <c r="T104" s="399"/>
      <c r="U104" s="300"/>
      <c r="V104" s="38"/>
    </row>
    <row r="105" spans="1:22" ht="18" x14ac:dyDescent="0.35">
      <c r="A105" s="110"/>
      <c r="C105" s="60" t="s">
        <v>73</v>
      </c>
      <c r="D105" s="92"/>
      <c r="E105" s="92">
        <f t="shared" ref="E105:P105" si="22">+E75+E79+E84+E88+E90+E92+E94+E96+E103</f>
        <v>9133.5128002969923</v>
      </c>
      <c r="F105" s="92">
        <f t="shared" si="22"/>
        <v>7405.0026609868728</v>
      </c>
      <c r="G105" s="92">
        <f t="shared" si="22"/>
        <v>7405.0026609868728</v>
      </c>
      <c r="H105" s="92">
        <f t="shared" si="22"/>
        <v>12552.924539951775</v>
      </c>
      <c r="I105" s="92">
        <f t="shared" si="22"/>
        <v>7405.0026609868728</v>
      </c>
      <c r="J105" s="92">
        <f t="shared" si="22"/>
        <v>7405.0026609868728</v>
      </c>
      <c r="K105" s="92">
        <f t="shared" si="22"/>
        <v>9133.5128002969923</v>
      </c>
      <c r="L105" s="92">
        <f t="shared" si="22"/>
        <v>7405.0026609868728</v>
      </c>
      <c r="M105" s="92">
        <f t="shared" si="22"/>
        <v>7405.0026609868728</v>
      </c>
      <c r="N105" s="92">
        <f t="shared" si="22"/>
        <v>9133.5128002969923</v>
      </c>
      <c r="O105" s="92">
        <f t="shared" si="22"/>
        <v>7405.0026609868728</v>
      </c>
      <c r="P105" s="92">
        <f t="shared" si="22"/>
        <v>7405.0026609868728</v>
      </c>
      <c r="Q105" s="446">
        <f>+Q75+Q79+Q84+Q88+Q90+Q92+Q94+Q96+Q103</f>
        <v>99193.484228737769</v>
      </c>
      <c r="R105" s="447">
        <f t="shared" si="16"/>
        <v>0.9193946077369336</v>
      </c>
      <c r="S105" s="406">
        <f t="shared" ref="S105" si="23">+S75+S79+S84+S88+S90+S92+S94+S96+S103</f>
        <v>84562.72</v>
      </c>
      <c r="T105" s="465">
        <f>IFERROR(Q105/S105-1,"-")</f>
        <v>0.17301671739908286</v>
      </c>
      <c r="U105" s="304"/>
      <c r="V105" s="38"/>
    </row>
    <row r="106" spans="1:22" ht="18.5" thickBot="1" x14ac:dyDescent="0.4">
      <c r="A106" s="110"/>
      <c r="Q106" s="435"/>
      <c r="R106" s="436"/>
      <c r="S106" s="402"/>
      <c r="T106" s="403"/>
      <c r="U106" s="301"/>
      <c r="V106" s="38"/>
    </row>
    <row r="107" spans="1:22" s="36" customFormat="1" ht="18" thickBot="1" x14ac:dyDescent="0.4">
      <c r="A107" s="285"/>
      <c r="B107" s="286" t="s">
        <v>74</v>
      </c>
      <c r="C107" s="287"/>
      <c r="D107" s="287"/>
      <c r="E107" s="287">
        <f t="shared" ref="E107:Q107" si="24">+E71+E105</f>
        <v>90381.658447257461</v>
      </c>
      <c r="F107" s="287">
        <f t="shared" si="24"/>
        <v>88564.688307947363</v>
      </c>
      <c r="G107" s="287">
        <f t="shared" si="24"/>
        <v>100579.43514776957</v>
      </c>
      <c r="H107" s="287">
        <f t="shared" si="24"/>
        <v>95137.237026734481</v>
      </c>
      <c r="I107" s="287">
        <f t="shared" si="24"/>
        <v>92698.05514776957</v>
      </c>
      <c r="J107" s="287">
        <f t="shared" si="24"/>
        <v>103782.60514776959</v>
      </c>
      <c r="K107" s="287">
        <f t="shared" si="24"/>
        <v>110733.86327032371</v>
      </c>
      <c r="L107" s="287">
        <f t="shared" si="24"/>
        <v>98305.633131013572</v>
      </c>
      <c r="M107" s="287">
        <f t="shared" si="24"/>
        <v>111721.51313101361</v>
      </c>
      <c r="N107" s="287">
        <f t="shared" si="24"/>
        <v>98571.723270323695</v>
      </c>
      <c r="O107" s="287">
        <f t="shared" si="24"/>
        <v>83897.31101064058</v>
      </c>
      <c r="P107" s="287">
        <f t="shared" si="24"/>
        <v>87641.977829637355</v>
      </c>
      <c r="Q107" s="426">
        <f t="shared" si="24"/>
        <v>1162015.7008682005</v>
      </c>
      <c r="R107" s="428">
        <f t="shared" si="16"/>
        <v>10.770374463510988</v>
      </c>
      <c r="S107" s="427">
        <f>+S71+S105</f>
        <v>1229755.4099999999</v>
      </c>
      <c r="T107" s="405">
        <f>IFERROR(Q107/S107-1,"-")</f>
        <v>-5.5083887886128058E-2</v>
      </c>
      <c r="U107" s="302"/>
      <c r="V107" s="74"/>
    </row>
    <row r="108" spans="1:22" ht="18.5" thickBot="1" x14ac:dyDescent="0.4">
      <c r="A108" s="110"/>
      <c r="Q108" s="435"/>
      <c r="R108" s="436"/>
      <c r="S108" s="402"/>
      <c r="T108" s="403"/>
      <c r="U108" s="301"/>
      <c r="V108" s="38"/>
    </row>
    <row r="109" spans="1:22" s="36" customFormat="1" ht="18" thickBot="1" x14ac:dyDescent="0.4">
      <c r="A109" s="285"/>
      <c r="B109" s="286" t="s">
        <v>75</v>
      </c>
      <c r="C109" s="287"/>
      <c r="D109" s="287"/>
      <c r="E109" s="287">
        <f t="shared" ref="E109:Q109" si="25">+E24-E107</f>
        <v>33237.707686075868</v>
      </c>
      <c r="F109" s="287">
        <f t="shared" si="25"/>
        <v>34042.460225385963</v>
      </c>
      <c r="G109" s="287">
        <f t="shared" si="25"/>
        <v>22051.889185563748</v>
      </c>
      <c r="H109" s="287">
        <f t="shared" si="25"/>
        <v>27664.675573265529</v>
      </c>
      <c r="I109" s="287">
        <f t="shared" si="25"/>
        <v>32068.60885223042</v>
      </c>
      <c r="J109" s="287">
        <f t="shared" si="25"/>
        <v>22851.476052230399</v>
      </c>
      <c r="K109" s="287">
        <f t="shared" si="25"/>
        <v>10720.625729676292</v>
      </c>
      <c r="L109" s="287">
        <f t="shared" si="25"/>
        <v>22447.195868986426</v>
      </c>
      <c r="M109" s="287">
        <f t="shared" si="25"/>
        <v>7423.4168689863873</v>
      </c>
      <c r="N109" s="287">
        <f t="shared" si="25"/>
        <v>19951.011729676291</v>
      </c>
      <c r="O109" s="287">
        <f t="shared" si="25"/>
        <v>29285.209889359423</v>
      </c>
      <c r="P109" s="287">
        <f t="shared" si="25"/>
        <v>23385.190370362645</v>
      </c>
      <c r="Q109" s="426">
        <f t="shared" si="25"/>
        <v>285129.46803179965</v>
      </c>
      <c r="R109" s="428">
        <f t="shared" si="16"/>
        <v>2.6427793867068279</v>
      </c>
      <c r="S109" s="427">
        <f>+S24-S107</f>
        <v>713647.26</v>
      </c>
      <c r="T109" s="405">
        <f>IFERROR(Q109/S109-1,"-")</f>
        <v>-0.60046162297071015</v>
      </c>
      <c r="U109" s="302"/>
      <c r="V109" s="74"/>
    </row>
    <row r="110" spans="1:22" ht="18" x14ac:dyDescent="0.35">
      <c r="A110" s="110"/>
      <c r="Q110" s="435"/>
      <c r="R110" s="436"/>
      <c r="S110" s="402"/>
      <c r="T110" s="403"/>
      <c r="U110" s="301"/>
      <c r="V110" s="38"/>
    </row>
    <row r="111" spans="1:22" x14ac:dyDescent="0.35">
      <c r="A111" s="110" t="s">
        <v>125</v>
      </c>
      <c r="D111" s="34" t="s">
        <v>76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30">
        <f>SUM(E111:P111)</f>
        <v>0</v>
      </c>
      <c r="R111" s="432">
        <f t="shared" si="16"/>
        <v>0</v>
      </c>
      <c r="S111" s="396"/>
      <c r="T111" s="399"/>
      <c r="U111" s="300"/>
      <c r="V111" s="38"/>
    </row>
    <row r="112" spans="1:22" x14ac:dyDescent="0.35">
      <c r="A112" s="110" t="s">
        <v>126</v>
      </c>
      <c r="D112" s="34" t="s">
        <v>77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30">
        <f>SUM(E112:P112)</f>
        <v>0</v>
      </c>
      <c r="R112" s="432">
        <f t="shared" si="16"/>
        <v>0</v>
      </c>
      <c r="S112" s="396"/>
      <c r="T112" s="399"/>
      <c r="U112" s="300"/>
      <c r="V112" s="38"/>
    </row>
    <row r="113" spans="1:22" x14ac:dyDescent="0.35">
      <c r="A113" s="110" t="s">
        <v>127</v>
      </c>
      <c r="D113" s="34" t="s">
        <v>78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30">
        <f>SUM(E113:P113)</f>
        <v>0</v>
      </c>
      <c r="R113" s="432">
        <f t="shared" si="16"/>
        <v>0</v>
      </c>
      <c r="S113" s="396"/>
      <c r="T113" s="399"/>
      <c r="U113" s="300"/>
      <c r="V113" s="38"/>
    </row>
    <row r="114" spans="1:22" x14ac:dyDescent="0.35">
      <c r="A114" s="110" t="s">
        <v>133</v>
      </c>
      <c r="D114" s="34" t="s">
        <v>79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43">
        <f>SUM(E114:P114)</f>
        <v>0</v>
      </c>
      <c r="R114" s="444">
        <f t="shared" si="16"/>
        <v>0</v>
      </c>
      <c r="S114" s="396"/>
      <c r="T114" s="399"/>
      <c r="U114" s="300"/>
      <c r="V114" s="38"/>
    </row>
    <row r="115" spans="1:22" x14ac:dyDescent="0.35">
      <c r="A115" s="110"/>
      <c r="C115" s="34" t="s">
        <v>79</v>
      </c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43">
        <f>SUM(Q111:Q114)</f>
        <v>0</v>
      </c>
      <c r="R115" s="444">
        <f t="shared" si="16"/>
        <v>0</v>
      </c>
      <c r="S115" s="400"/>
      <c r="T115" s="461" t="str">
        <f>IFERROR(Q115/S115-1,"-")</f>
        <v>-</v>
      </c>
      <c r="U115" s="300"/>
      <c r="V115" s="38"/>
    </row>
    <row r="116" spans="1:22" x14ac:dyDescent="0.35">
      <c r="A116" s="110"/>
      <c r="Q116" s="430"/>
      <c r="R116" s="432"/>
      <c r="S116" s="396"/>
      <c r="T116" s="399"/>
      <c r="U116" s="300"/>
      <c r="V116" s="38"/>
    </row>
    <row r="117" spans="1:22" x14ac:dyDescent="0.35">
      <c r="A117" s="110" t="s">
        <v>128</v>
      </c>
      <c r="C117" s="34" t="s">
        <v>80</v>
      </c>
      <c r="E117" s="34">
        <f>'Renew &amp; Vac'!AJ33</f>
        <v>0</v>
      </c>
      <c r="F117" s="34">
        <f>'Renew &amp; Vac'!AK33</f>
        <v>0</v>
      </c>
      <c r="G117" s="34">
        <f>'Renew &amp; Vac'!AL33</f>
        <v>0</v>
      </c>
      <c r="H117" s="34">
        <f>'Renew &amp; Vac'!AM33</f>
        <v>0</v>
      </c>
      <c r="I117" s="34">
        <f>'Renew &amp; Vac'!AN33</f>
        <v>0</v>
      </c>
      <c r="J117" s="34">
        <f>'Renew &amp; Vac'!AO33</f>
        <v>0</v>
      </c>
      <c r="K117" s="34">
        <f>'Renew &amp; Vac'!AP33</f>
        <v>0</v>
      </c>
      <c r="L117" s="34">
        <f>'Renew &amp; Vac'!AQ33</f>
        <v>3294</v>
      </c>
      <c r="M117" s="34">
        <f>'Renew &amp; Vac'!AR33</f>
        <v>0</v>
      </c>
      <c r="N117" s="34">
        <f>'Renew &amp; Vac'!AS33</f>
        <v>0</v>
      </c>
      <c r="O117" s="34">
        <f>'Renew &amp; Vac'!AT33</f>
        <v>0</v>
      </c>
      <c r="P117" s="34">
        <f>'Renew &amp; Vac'!AU33</f>
        <v>0</v>
      </c>
      <c r="Q117" s="430">
        <f>SUM(E117:P117)</f>
        <v>3294</v>
      </c>
      <c r="R117" s="432">
        <f t="shared" si="16"/>
        <v>3.0531096487162852E-2</v>
      </c>
      <c r="S117" s="396">
        <v>29837.529999999795</v>
      </c>
      <c r="T117" s="460">
        <f>IFERROR(Q117/S117-1,"-")</f>
        <v>-0.88960212189145604</v>
      </c>
      <c r="U117" s="300"/>
      <c r="V117" s="38"/>
    </row>
    <row r="118" spans="1:22" ht="18" x14ac:dyDescent="0.35">
      <c r="A118" s="11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450"/>
      <c r="R118" s="451"/>
      <c r="S118" s="407"/>
      <c r="T118" s="408"/>
      <c r="U118" s="304"/>
      <c r="V118" s="38"/>
    </row>
    <row r="119" spans="1:22" ht="18" x14ac:dyDescent="0.35">
      <c r="A119" s="110"/>
      <c r="D119" s="34" t="s">
        <v>81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35">
        <f>SUM(E119:P119)</f>
        <v>0</v>
      </c>
      <c r="R119" s="436">
        <f t="shared" si="16"/>
        <v>0</v>
      </c>
      <c r="S119" s="402"/>
      <c r="T119" s="403"/>
      <c r="U119" s="301"/>
      <c r="V119" s="38"/>
    </row>
    <row r="120" spans="1:22" x14ac:dyDescent="0.35">
      <c r="A120" s="110"/>
      <c r="B120" s="36"/>
      <c r="D120" s="34" t="s">
        <v>82</v>
      </c>
      <c r="E120" s="43">
        <f>'Renew &amp; Vac'!AJ34</f>
        <v>50687.250000000007</v>
      </c>
      <c r="F120" s="43">
        <f>'Renew &amp; Vac'!AK34</f>
        <v>0</v>
      </c>
      <c r="G120" s="43">
        <f>'Renew &amp; Vac'!AL34</f>
        <v>0</v>
      </c>
      <c r="H120" s="43">
        <f>'Renew &amp; Vac'!AM34</f>
        <v>2160.1799999999998</v>
      </c>
      <c r="I120" s="43">
        <f>'Renew &amp; Vac'!AN34</f>
        <v>0</v>
      </c>
      <c r="J120" s="43">
        <f>'Renew &amp; Vac'!AO34</f>
        <v>0</v>
      </c>
      <c r="K120" s="43">
        <f>'Renew &amp; Vac'!AP34</f>
        <v>5266.3499999999995</v>
      </c>
      <c r="L120" s="43">
        <f>'Renew &amp; Vac'!AQ34</f>
        <v>0</v>
      </c>
      <c r="M120" s="43">
        <f>'Renew &amp; Vac'!AR34</f>
        <v>0</v>
      </c>
      <c r="N120" s="43">
        <f>'Renew &amp; Vac'!AS34</f>
        <v>0</v>
      </c>
      <c r="O120" s="43">
        <f>'Renew &amp; Vac'!AT34</f>
        <v>0</v>
      </c>
      <c r="P120" s="43">
        <f>'Renew &amp; Vac'!AU34</f>
        <v>0</v>
      </c>
      <c r="Q120" s="443">
        <f>SUM(E120:P120)</f>
        <v>58113.780000000006</v>
      </c>
      <c r="R120" s="444">
        <f t="shared" si="16"/>
        <v>0.53863916952451574</v>
      </c>
      <c r="S120" s="409"/>
      <c r="T120" s="404"/>
      <c r="U120" s="300"/>
      <c r="V120" s="38"/>
    </row>
    <row r="121" spans="1:22" x14ac:dyDescent="0.35">
      <c r="A121" s="110" t="s">
        <v>129</v>
      </c>
      <c r="C121" s="34" t="s">
        <v>82</v>
      </c>
      <c r="D121" s="61"/>
      <c r="E121" s="34">
        <f>SUM(E119:E120)</f>
        <v>50687.250000000007</v>
      </c>
      <c r="F121" s="34">
        <f t="shared" ref="F121:Q121" si="26">SUM(F119:F120)</f>
        <v>0</v>
      </c>
      <c r="G121" s="34">
        <f t="shared" si="26"/>
        <v>0</v>
      </c>
      <c r="H121" s="34">
        <f t="shared" si="26"/>
        <v>2160.1799999999998</v>
      </c>
      <c r="I121" s="34">
        <f t="shared" si="26"/>
        <v>0</v>
      </c>
      <c r="J121" s="34">
        <f t="shared" si="26"/>
        <v>0</v>
      </c>
      <c r="K121" s="34">
        <f t="shared" si="26"/>
        <v>5266.3499999999995</v>
      </c>
      <c r="L121" s="34">
        <f t="shared" si="26"/>
        <v>0</v>
      </c>
      <c r="M121" s="34">
        <f t="shared" si="26"/>
        <v>0</v>
      </c>
      <c r="N121" s="34">
        <f t="shared" si="26"/>
        <v>0</v>
      </c>
      <c r="O121" s="34">
        <f t="shared" si="26"/>
        <v>0</v>
      </c>
      <c r="P121" s="34">
        <f t="shared" si="26"/>
        <v>0</v>
      </c>
      <c r="Q121" s="430">
        <f t="shared" si="26"/>
        <v>58113.780000000006</v>
      </c>
      <c r="R121" s="432">
        <f t="shared" si="16"/>
        <v>0.53863916952451574</v>
      </c>
      <c r="S121" s="396">
        <v>17115.900000000023</v>
      </c>
      <c r="T121" s="460">
        <f>IFERROR(Q121/S121-1,"-")</f>
        <v>2.3953096243843399</v>
      </c>
      <c r="U121" s="300"/>
      <c r="V121" s="38" t="s">
        <v>502</v>
      </c>
    </row>
    <row r="122" spans="1:22" s="36" customFormat="1" ht="18.5" thickBot="1" x14ac:dyDescent="0.4">
      <c r="A122" s="112"/>
      <c r="Q122" s="452"/>
      <c r="R122" s="453"/>
      <c r="S122" s="410"/>
      <c r="T122" s="411"/>
      <c r="U122" s="306"/>
      <c r="V122" s="74"/>
    </row>
    <row r="123" spans="1:22" s="36" customFormat="1" ht="18" thickBot="1" x14ac:dyDescent="0.4">
      <c r="A123" s="285"/>
      <c r="B123" s="286" t="s">
        <v>83</v>
      </c>
      <c r="C123" s="287"/>
      <c r="D123" s="287"/>
      <c r="E123" s="287">
        <f t="shared" ref="E123:Q123" si="27">+E109-E115-E117-E121</f>
        <v>-17449.542313924139</v>
      </c>
      <c r="F123" s="287">
        <f t="shared" si="27"/>
        <v>34042.460225385963</v>
      </c>
      <c r="G123" s="287">
        <f t="shared" si="27"/>
        <v>22051.889185563748</v>
      </c>
      <c r="H123" s="287">
        <f t="shared" si="27"/>
        <v>25504.495573265529</v>
      </c>
      <c r="I123" s="287">
        <f t="shared" si="27"/>
        <v>32068.60885223042</v>
      </c>
      <c r="J123" s="287">
        <f t="shared" si="27"/>
        <v>22851.476052230399</v>
      </c>
      <c r="K123" s="287">
        <f t="shared" si="27"/>
        <v>5454.2757296762929</v>
      </c>
      <c r="L123" s="287">
        <f t="shared" si="27"/>
        <v>19153.195868986426</v>
      </c>
      <c r="M123" s="287">
        <f t="shared" si="27"/>
        <v>7423.4168689863873</v>
      </c>
      <c r="N123" s="287">
        <f t="shared" si="27"/>
        <v>19951.011729676291</v>
      </c>
      <c r="O123" s="287">
        <f t="shared" si="27"/>
        <v>29285.209889359423</v>
      </c>
      <c r="P123" s="287">
        <f t="shared" si="27"/>
        <v>23385.190370362645</v>
      </c>
      <c r="Q123" s="426">
        <f t="shared" si="27"/>
        <v>223721.68803179965</v>
      </c>
      <c r="R123" s="428">
        <f t="shared" si="16"/>
        <v>2.0736091206951492</v>
      </c>
      <c r="S123" s="427">
        <f>+S109-S115-S117-S121</f>
        <v>666693.83000000019</v>
      </c>
      <c r="T123" s="405">
        <f>IFERROR(Q123/S123-1,"-")</f>
        <v>-0.6644311407054726</v>
      </c>
      <c r="U123" s="302"/>
      <c r="V123" s="74"/>
    </row>
    <row r="124" spans="1:22" ht="18" x14ac:dyDescent="0.35">
      <c r="A124" s="110"/>
      <c r="Q124" s="430"/>
      <c r="R124" s="432"/>
      <c r="S124" s="402"/>
      <c r="T124" s="403"/>
      <c r="U124" s="300"/>
      <c r="V124" s="38"/>
    </row>
    <row r="125" spans="1:22" x14ac:dyDescent="0.35">
      <c r="A125" s="110"/>
      <c r="B125" s="34" t="s">
        <v>84</v>
      </c>
      <c r="Q125" s="430"/>
      <c r="R125" s="432"/>
      <c r="S125" s="396"/>
      <c r="T125" s="399"/>
      <c r="U125" s="300"/>
      <c r="V125" s="38"/>
    </row>
    <row r="126" spans="1:22" x14ac:dyDescent="0.35">
      <c r="A126" s="110" t="s">
        <v>132</v>
      </c>
      <c r="C126" s="34" t="s">
        <v>85</v>
      </c>
      <c r="E126" s="34">
        <f>+'Allocated Expenses'!F209</f>
        <v>25269.691856587342</v>
      </c>
      <c r="F126" s="34">
        <f>+'Allocated Expenses'!G209</f>
        <v>25269.691856587342</v>
      </c>
      <c r="G126" s="34">
        <f>+'Allocated Expenses'!H209</f>
        <v>25269.691856587342</v>
      </c>
      <c r="H126" s="34">
        <f>+'Allocated Expenses'!I209</f>
        <v>25269.691856587342</v>
      </c>
      <c r="I126" s="34">
        <f>+'Allocated Expenses'!J209</f>
        <v>25269.691856587342</v>
      </c>
      <c r="J126" s="34">
        <f>+'Allocated Expenses'!K209</f>
        <v>25269.691856587342</v>
      </c>
      <c r="K126" s="34">
        <f>+'Allocated Expenses'!L209</f>
        <v>25269.691856587342</v>
      </c>
      <c r="L126" s="34">
        <f>+'Allocated Expenses'!M209</f>
        <v>25269.691856587342</v>
      </c>
      <c r="M126" s="34">
        <f>+'Allocated Expenses'!N209</f>
        <v>25269.691856587342</v>
      </c>
      <c r="N126" s="34">
        <f>+'Allocated Expenses'!O209</f>
        <v>25269.691856587342</v>
      </c>
      <c r="O126" s="34">
        <f>+'Allocated Expenses'!P209</f>
        <v>25269.691856587342</v>
      </c>
      <c r="P126" s="34">
        <f>+'Allocated Expenses'!Q209</f>
        <v>25269.691856587342</v>
      </c>
      <c r="Q126" s="430">
        <f>SUM(E126:P126)</f>
        <v>303236.30227904808</v>
      </c>
      <c r="R126" s="432">
        <f t="shared" si="16"/>
        <v>2.8106061940777467</v>
      </c>
      <c r="S126" s="396">
        <v>302738.49</v>
      </c>
      <c r="T126" s="460">
        <f>IFERROR(Q126/S126-1,"-")</f>
        <v>1.6443640154513162E-3</v>
      </c>
      <c r="U126" s="300"/>
      <c r="V126" s="38"/>
    </row>
    <row r="127" spans="1:22" x14ac:dyDescent="0.35">
      <c r="A127" s="110" t="s">
        <v>149</v>
      </c>
      <c r="C127" s="34" t="s">
        <v>86</v>
      </c>
      <c r="E127" s="34">
        <f>+'Allocated Expenses'!E225</f>
        <v>0</v>
      </c>
      <c r="F127" s="34">
        <f>+'Allocated Expenses'!F225</f>
        <v>0</v>
      </c>
      <c r="G127" s="34">
        <f>+'Allocated Expenses'!G225</f>
        <v>0</v>
      </c>
      <c r="H127" s="34">
        <f>+'Allocated Expenses'!H225</f>
        <v>0</v>
      </c>
      <c r="I127" s="34">
        <f>+'Allocated Expenses'!I225</f>
        <v>0</v>
      </c>
      <c r="J127" s="34">
        <f>+'Allocated Expenses'!J225</f>
        <v>0</v>
      </c>
      <c r="K127" s="34">
        <f>+'Allocated Expenses'!K225</f>
        <v>0</v>
      </c>
      <c r="L127" s="34">
        <f>+'Allocated Expenses'!L225</f>
        <v>0</v>
      </c>
      <c r="M127" s="34">
        <f>+'Allocated Expenses'!M225</f>
        <v>0</v>
      </c>
      <c r="N127" s="34">
        <f>+'Allocated Expenses'!N225</f>
        <v>0</v>
      </c>
      <c r="O127" s="34">
        <f>+'Allocated Expenses'!O225</f>
        <v>0</v>
      </c>
      <c r="P127" s="34">
        <f>+'Allocated Expenses'!P225</f>
        <v>0</v>
      </c>
      <c r="Q127" s="430">
        <f>SUM(E127:P127)</f>
        <v>0</v>
      </c>
      <c r="R127" s="432">
        <f t="shared" si="16"/>
        <v>0</v>
      </c>
      <c r="S127" s="396">
        <v>32196.810000000056</v>
      </c>
      <c r="T127" s="460">
        <f>IFERROR(Q127/S127-1,"-")</f>
        <v>-1</v>
      </c>
      <c r="U127" s="300"/>
      <c r="V127" s="38"/>
    </row>
    <row r="128" spans="1:22" x14ac:dyDescent="0.35">
      <c r="A128" s="110" t="s">
        <v>150</v>
      </c>
      <c r="C128" s="34" t="s">
        <v>87</v>
      </c>
      <c r="Q128" s="430">
        <f>SUM(E128:P128)</f>
        <v>0</v>
      </c>
      <c r="R128" s="432">
        <f t="shared" si="16"/>
        <v>0</v>
      </c>
      <c r="S128" s="396"/>
      <c r="T128" s="460" t="str">
        <f>IFERROR(Q128/S128-1,"-")</f>
        <v>-</v>
      </c>
      <c r="U128" s="300"/>
      <c r="V128" s="38"/>
    </row>
    <row r="129" spans="1:22" x14ac:dyDescent="0.35">
      <c r="A129" s="110"/>
      <c r="C129" s="34" t="s">
        <v>88</v>
      </c>
      <c r="E129" s="59">
        <f t="shared" ref="E129:Q129" si="28">SUM(E126:E128)</f>
        <v>25269.691856587342</v>
      </c>
      <c r="F129" s="59">
        <f t="shared" si="28"/>
        <v>25269.691856587342</v>
      </c>
      <c r="G129" s="59">
        <f t="shared" si="28"/>
        <v>25269.691856587342</v>
      </c>
      <c r="H129" s="59">
        <f t="shared" si="28"/>
        <v>25269.691856587342</v>
      </c>
      <c r="I129" s="59">
        <f t="shared" si="28"/>
        <v>25269.691856587342</v>
      </c>
      <c r="J129" s="59">
        <f t="shared" si="28"/>
        <v>25269.691856587342</v>
      </c>
      <c r="K129" s="59">
        <f t="shared" si="28"/>
        <v>25269.691856587342</v>
      </c>
      <c r="L129" s="59">
        <f t="shared" si="28"/>
        <v>25269.691856587342</v>
      </c>
      <c r="M129" s="59">
        <f t="shared" si="28"/>
        <v>25269.691856587342</v>
      </c>
      <c r="N129" s="59">
        <f t="shared" si="28"/>
        <v>25269.691856587342</v>
      </c>
      <c r="O129" s="59">
        <f t="shared" si="28"/>
        <v>25269.691856587342</v>
      </c>
      <c r="P129" s="59">
        <f t="shared" si="28"/>
        <v>25269.691856587342</v>
      </c>
      <c r="Q129" s="433">
        <f t="shared" si="28"/>
        <v>303236.30227904808</v>
      </c>
      <c r="R129" s="434">
        <f t="shared" si="16"/>
        <v>2.8106061940777467</v>
      </c>
      <c r="S129" s="400">
        <f t="shared" ref="S129" si="29">SUM(S126:S128)</f>
        <v>334935.30000000005</v>
      </c>
      <c r="T129" s="401">
        <f>Q129/S129-1</f>
        <v>-9.4642152442432792E-2</v>
      </c>
      <c r="U129" s="300"/>
      <c r="V129" s="38"/>
    </row>
    <row r="130" spans="1:22" ht="18" x14ac:dyDescent="0.35">
      <c r="A130" s="110"/>
      <c r="Q130" s="430"/>
      <c r="R130" s="432"/>
      <c r="S130" s="402"/>
      <c r="T130" s="403"/>
      <c r="U130" s="300"/>
      <c r="V130" s="38"/>
    </row>
    <row r="131" spans="1:22" ht="18.5" thickBot="1" x14ac:dyDescent="0.4">
      <c r="A131" s="112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54"/>
      <c r="R131" s="455"/>
      <c r="S131" s="402"/>
      <c r="T131" s="403"/>
      <c r="U131" s="301"/>
      <c r="V131" s="38"/>
    </row>
    <row r="132" spans="1:22" s="36" customFormat="1" ht="18" thickBot="1" x14ac:dyDescent="0.4">
      <c r="A132" s="285"/>
      <c r="B132" s="286" t="s">
        <v>89</v>
      </c>
      <c r="C132" s="287"/>
      <c r="D132" s="287"/>
      <c r="E132" s="287">
        <f t="shared" ref="E132:Q132" si="30">+E123-E129</f>
        <v>-42719.234170511481</v>
      </c>
      <c r="F132" s="287">
        <f t="shared" si="30"/>
        <v>8772.7683687986209</v>
      </c>
      <c r="G132" s="287">
        <f t="shared" si="30"/>
        <v>-3217.8026710235936</v>
      </c>
      <c r="H132" s="287">
        <f t="shared" si="30"/>
        <v>234.8037166781869</v>
      </c>
      <c r="I132" s="287">
        <f t="shared" si="30"/>
        <v>6798.9169956430778</v>
      </c>
      <c r="J132" s="287">
        <f t="shared" si="30"/>
        <v>-2418.2158043569434</v>
      </c>
      <c r="K132" s="287">
        <f t="shared" si="30"/>
        <v>-19815.416126911048</v>
      </c>
      <c r="L132" s="287">
        <f t="shared" si="30"/>
        <v>-6116.4959876009161</v>
      </c>
      <c r="M132" s="287">
        <f t="shared" si="30"/>
        <v>-17846.274987600955</v>
      </c>
      <c r="N132" s="287">
        <f t="shared" si="30"/>
        <v>-5318.680126911051</v>
      </c>
      <c r="O132" s="287">
        <f t="shared" si="30"/>
        <v>4015.5180327720809</v>
      </c>
      <c r="P132" s="287">
        <f t="shared" si="30"/>
        <v>-1884.5014862246971</v>
      </c>
      <c r="Q132" s="426">
        <f t="shared" si="30"/>
        <v>-79514.614247248421</v>
      </c>
      <c r="R132" s="428">
        <f t="shared" si="16"/>
        <v>-0.73699707338259723</v>
      </c>
      <c r="S132" s="427">
        <f t="shared" ref="S132" si="31">+S123-S129</f>
        <v>331758.53000000014</v>
      </c>
      <c r="T132" s="405">
        <f>IFERROR(Q132/S132-1,"-")</f>
        <v>-1.2396761712419222</v>
      </c>
      <c r="U132" s="302"/>
      <c r="V132" s="74"/>
    </row>
    <row r="133" spans="1:22" ht="18" x14ac:dyDescent="0.35">
      <c r="A133" s="113"/>
      <c r="B133" s="36"/>
      <c r="C133" s="63"/>
      <c r="Q133" s="391"/>
      <c r="R133" s="391"/>
      <c r="S133" s="412"/>
      <c r="T133" s="413"/>
    </row>
    <row r="134" spans="1:22" s="36" customFormat="1" ht="17.5" x14ac:dyDescent="0.3">
      <c r="A134" s="113"/>
      <c r="C134" s="63"/>
      <c r="D134" s="64"/>
      <c r="Q134" s="415"/>
      <c r="R134" s="415"/>
      <c r="S134" s="412"/>
      <c r="T134" s="413"/>
      <c r="U134" s="293"/>
    </row>
    <row r="135" spans="1:22" ht="18" x14ac:dyDescent="0.35">
      <c r="A135" s="110"/>
      <c r="Q135" s="391"/>
      <c r="R135" s="391"/>
      <c r="S135" s="412"/>
      <c r="T135" s="413"/>
    </row>
    <row r="136" spans="1:22" x14ac:dyDescent="0.35">
      <c r="A136" s="114"/>
      <c r="Q136" s="391"/>
      <c r="R136" s="391"/>
      <c r="S136" s="391"/>
      <c r="T136" s="388"/>
    </row>
    <row r="137" spans="1:22" x14ac:dyDescent="0.35">
      <c r="A137" s="114"/>
      <c r="Q137" s="391"/>
      <c r="R137" s="391"/>
      <c r="S137" s="414"/>
      <c r="T137" s="388"/>
    </row>
    <row r="138" spans="1:22" ht="17.5" x14ac:dyDescent="0.35">
      <c r="B138" s="37" t="str">
        <f>"Rental Summary by Month "&amp;C2</f>
        <v xml:space="preserve">Rental Summary by Month </v>
      </c>
      <c r="E138" s="517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T138" s="34"/>
      <c r="U138" s="34"/>
    </row>
    <row r="139" spans="1:22" x14ac:dyDescent="0.35">
      <c r="B139" s="43" t="s">
        <v>619</v>
      </c>
      <c r="C139" s="43"/>
      <c r="D139" s="43" t="s">
        <v>424</v>
      </c>
      <c r="E139" s="519">
        <f>E169</f>
        <v>46023</v>
      </c>
      <c r="F139" s="519">
        <f t="shared" ref="F139:P139" si="32">F169</f>
        <v>46054</v>
      </c>
      <c r="G139" s="519">
        <f t="shared" si="32"/>
        <v>46082</v>
      </c>
      <c r="H139" s="519">
        <f t="shared" si="32"/>
        <v>46113</v>
      </c>
      <c r="I139" s="519">
        <f t="shared" si="32"/>
        <v>46143</v>
      </c>
      <c r="J139" s="519">
        <f t="shared" si="32"/>
        <v>46174</v>
      </c>
      <c r="K139" s="519">
        <f t="shared" si="32"/>
        <v>46204</v>
      </c>
      <c r="L139" s="519">
        <f t="shared" si="32"/>
        <v>46235</v>
      </c>
      <c r="M139" s="519">
        <f t="shared" si="32"/>
        <v>46266</v>
      </c>
      <c r="N139" s="519">
        <f t="shared" si="32"/>
        <v>46296</v>
      </c>
      <c r="O139" s="519">
        <f t="shared" si="32"/>
        <v>46327</v>
      </c>
      <c r="P139" s="519">
        <f t="shared" si="32"/>
        <v>46357</v>
      </c>
      <c r="Q139" s="481" t="s">
        <v>12</v>
      </c>
      <c r="T139" s="34"/>
      <c r="U139" s="34"/>
    </row>
    <row r="140" spans="1:22" x14ac:dyDescent="0.35">
      <c r="B140" s="127" t="str">
        <f t="shared" ref="B140:B164" si="33">B170</f>
        <v>4060-100</v>
      </c>
      <c r="D140" s="34" t="str">
        <f>IF(D170="None",D199,D170)</f>
        <v>Audiology Distribution, LLC</v>
      </c>
      <c r="E140" s="34">
        <f>SUMIF($B$170:$B$194,$B140,E$170:E$194)+SUMIF($B$200:$B$224,$B140,E$200:E$224)</f>
        <v>1846.17</v>
      </c>
      <c r="F140" s="34">
        <f t="shared" ref="F140:P155" si="34">SUMIF($B$170:$B$194,$B140,F$170:F$194)+SUMIF($B$200:$B$224,$B140,F$200:F$224)</f>
        <v>1846.17</v>
      </c>
      <c r="G140" s="34">
        <f t="shared" si="34"/>
        <v>1846.17</v>
      </c>
      <c r="H140" s="34">
        <f t="shared" si="34"/>
        <v>1894.75</v>
      </c>
      <c r="I140" s="34">
        <f t="shared" si="34"/>
        <v>1894.75</v>
      </c>
      <c r="J140" s="34">
        <f t="shared" si="34"/>
        <v>1894.75</v>
      </c>
      <c r="K140" s="34">
        <f t="shared" si="34"/>
        <v>1894.75</v>
      </c>
      <c r="L140" s="34">
        <f t="shared" si="34"/>
        <v>1894.75</v>
      </c>
      <c r="M140" s="34">
        <f t="shared" si="34"/>
        <v>1894.75</v>
      </c>
      <c r="N140" s="34">
        <f t="shared" si="34"/>
        <v>1894.75</v>
      </c>
      <c r="O140" s="34">
        <f t="shared" si="34"/>
        <v>1894.75</v>
      </c>
      <c r="P140" s="34">
        <f t="shared" si="34"/>
        <v>1894.75</v>
      </c>
      <c r="Q140" s="36">
        <f>SUM(E140:P140)</f>
        <v>22591.260000000002</v>
      </c>
      <c r="T140" s="34"/>
      <c r="U140" s="34"/>
    </row>
    <row r="141" spans="1:22" x14ac:dyDescent="0.35">
      <c r="B141" s="127" t="str">
        <f t="shared" si="33"/>
        <v>4060-101</v>
      </c>
      <c r="D141" s="34" t="str">
        <f t="shared" ref="D141:D164" si="35">IF(D171="None",D200,D171)</f>
        <v>VACANT</v>
      </c>
      <c r="E141" s="34">
        <f t="shared" ref="E141:P164" si="36">SUMIF($B$170:$B$194,$B141,E$170:E$194)+SUMIF($B$200:$B$224,$B141,E$200:E$224)</f>
        <v>0</v>
      </c>
      <c r="F141" s="34">
        <f t="shared" si="34"/>
        <v>0</v>
      </c>
      <c r="G141" s="34">
        <f t="shared" si="34"/>
        <v>0</v>
      </c>
      <c r="H141" s="34">
        <f t="shared" si="34"/>
        <v>0</v>
      </c>
      <c r="I141" s="34">
        <f t="shared" si="34"/>
        <v>0</v>
      </c>
      <c r="J141" s="34">
        <f t="shared" si="34"/>
        <v>0</v>
      </c>
      <c r="K141" s="34">
        <f t="shared" si="34"/>
        <v>0</v>
      </c>
      <c r="L141" s="34">
        <f t="shared" si="34"/>
        <v>0</v>
      </c>
      <c r="M141" s="34">
        <f t="shared" si="34"/>
        <v>0</v>
      </c>
      <c r="N141" s="34">
        <f t="shared" si="34"/>
        <v>0</v>
      </c>
      <c r="O141" s="34">
        <f t="shared" si="34"/>
        <v>0</v>
      </c>
      <c r="P141" s="34">
        <f t="shared" si="34"/>
        <v>0</v>
      </c>
      <c r="Q141" s="36">
        <f t="shared" ref="Q141:Q164" si="37">SUM(E141:P141)</f>
        <v>0</v>
      </c>
    </row>
    <row r="142" spans="1:22" x14ac:dyDescent="0.35">
      <c r="B142" s="127" t="str">
        <f t="shared" si="33"/>
        <v>4060-105</v>
      </c>
      <c r="D142" s="34" t="str">
        <f t="shared" si="35"/>
        <v>NE Phila PA Caregiving LLC</v>
      </c>
      <c r="E142" s="34">
        <f t="shared" si="36"/>
        <v>2596.67</v>
      </c>
      <c r="F142" s="34">
        <f t="shared" si="34"/>
        <v>2596.67</v>
      </c>
      <c r="G142" s="34">
        <f t="shared" si="34"/>
        <v>2596.67</v>
      </c>
      <c r="H142" s="34">
        <f t="shared" si="34"/>
        <v>2596.67</v>
      </c>
      <c r="I142" s="34">
        <f t="shared" si="34"/>
        <v>2596.67</v>
      </c>
      <c r="J142" s="34">
        <f t="shared" si="34"/>
        <v>2596.67</v>
      </c>
      <c r="K142" s="34">
        <f t="shared" si="34"/>
        <v>2596.67</v>
      </c>
      <c r="L142" s="34">
        <f t="shared" si="34"/>
        <v>2596.67</v>
      </c>
      <c r="M142" s="34">
        <f t="shared" si="34"/>
        <v>2596.67</v>
      </c>
      <c r="N142" s="34">
        <f t="shared" si="34"/>
        <v>2596.67</v>
      </c>
      <c r="O142" s="34">
        <f t="shared" si="34"/>
        <v>2596.67</v>
      </c>
      <c r="P142" s="34">
        <f t="shared" si="34"/>
        <v>2596.67</v>
      </c>
      <c r="Q142" s="36">
        <f t="shared" si="37"/>
        <v>31160.039999999994</v>
      </c>
    </row>
    <row r="143" spans="1:22" x14ac:dyDescent="0.35">
      <c r="B143" s="127" t="str">
        <f t="shared" si="33"/>
        <v>4060-110</v>
      </c>
      <c r="D143" s="34" t="str">
        <f t="shared" si="35"/>
        <v>VACANT</v>
      </c>
      <c r="E143" s="34">
        <f t="shared" si="36"/>
        <v>0</v>
      </c>
      <c r="F143" s="34">
        <f t="shared" si="34"/>
        <v>0</v>
      </c>
      <c r="G143" s="34">
        <f t="shared" si="34"/>
        <v>0</v>
      </c>
      <c r="H143" s="34">
        <f t="shared" si="34"/>
        <v>0</v>
      </c>
      <c r="I143" s="34">
        <f t="shared" si="34"/>
        <v>0</v>
      </c>
      <c r="J143" s="34">
        <f t="shared" si="34"/>
        <v>0</v>
      </c>
      <c r="K143" s="34">
        <f t="shared" si="34"/>
        <v>0</v>
      </c>
      <c r="L143" s="34">
        <f t="shared" si="34"/>
        <v>0</v>
      </c>
      <c r="M143" s="34">
        <f t="shared" si="34"/>
        <v>0</v>
      </c>
      <c r="N143" s="34">
        <f t="shared" si="34"/>
        <v>0</v>
      </c>
      <c r="O143" s="34">
        <f t="shared" si="34"/>
        <v>0</v>
      </c>
      <c r="P143" s="34">
        <f t="shared" si="34"/>
        <v>0</v>
      </c>
      <c r="Q143" s="36">
        <f t="shared" si="37"/>
        <v>0</v>
      </c>
    </row>
    <row r="144" spans="1:22" x14ac:dyDescent="0.35">
      <c r="B144" s="127" t="str">
        <f t="shared" si="33"/>
        <v>4060-111</v>
      </c>
      <c r="D144" s="34" t="str">
        <f t="shared" si="35"/>
        <v>CBIZ Operations, Inc.</v>
      </c>
      <c r="E144" s="34">
        <f t="shared" si="36"/>
        <v>4147</v>
      </c>
      <c r="F144" s="34">
        <f t="shared" si="34"/>
        <v>4147</v>
      </c>
      <c r="G144" s="34">
        <f t="shared" si="34"/>
        <v>4147</v>
      </c>
      <c r="H144" s="34">
        <f t="shared" si="34"/>
        <v>4253.33</v>
      </c>
      <c r="I144" s="34">
        <f t="shared" si="34"/>
        <v>4253.33</v>
      </c>
      <c r="J144" s="34">
        <f t="shared" si="34"/>
        <v>4253.33</v>
      </c>
      <c r="K144" s="34">
        <f t="shared" si="34"/>
        <v>4253.33</v>
      </c>
      <c r="L144" s="34">
        <f t="shared" si="34"/>
        <v>4253.33</v>
      </c>
      <c r="M144" s="34">
        <f t="shared" si="34"/>
        <v>4253.33</v>
      </c>
      <c r="N144" s="34">
        <f t="shared" si="34"/>
        <v>4253.33</v>
      </c>
      <c r="O144" s="34">
        <f t="shared" si="34"/>
        <v>4253.33</v>
      </c>
      <c r="P144" s="34">
        <f t="shared" si="34"/>
        <v>4253.33</v>
      </c>
      <c r="Q144" s="36">
        <f t="shared" si="37"/>
        <v>50720.970000000016</v>
      </c>
    </row>
    <row r="145" spans="2:17" x14ac:dyDescent="0.35">
      <c r="B145" s="127" t="str">
        <f t="shared" si="33"/>
        <v>4060-113</v>
      </c>
      <c r="D145" s="34" t="str">
        <f t="shared" si="35"/>
        <v>MVC MSO, LLC</v>
      </c>
      <c r="E145" s="34">
        <f t="shared" si="36"/>
        <v>6538.5</v>
      </c>
      <c r="F145" s="34">
        <f t="shared" si="34"/>
        <v>6538.5</v>
      </c>
      <c r="G145" s="34">
        <f t="shared" si="34"/>
        <v>6538.5</v>
      </c>
      <c r="H145" s="34">
        <f t="shared" si="34"/>
        <v>6538.5</v>
      </c>
      <c r="I145" s="34">
        <f t="shared" si="34"/>
        <v>6538.5</v>
      </c>
      <c r="J145" s="34">
        <f t="shared" si="34"/>
        <v>6538.5</v>
      </c>
      <c r="K145" s="34">
        <f t="shared" si="34"/>
        <v>0</v>
      </c>
      <c r="L145" s="34">
        <f t="shared" si="34"/>
        <v>0</v>
      </c>
      <c r="M145" s="34">
        <f t="shared" si="34"/>
        <v>0</v>
      </c>
      <c r="N145" s="34">
        <f t="shared" si="34"/>
        <v>0</v>
      </c>
      <c r="O145" s="34">
        <f t="shared" si="34"/>
        <v>0</v>
      </c>
      <c r="P145" s="34">
        <f t="shared" si="34"/>
        <v>0</v>
      </c>
      <c r="Q145" s="36">
        <f t="shared" si="37"/>
        <v>39231</v>
      </c>
    </row>
    <row r="146" spans="2:17" x14ac:dyDescent="0.35">
      <c r="B146" s="127" t="str">
        <f t="shared" si="33"/>
        <v>4060-204</v>
      </c>
      <c r="D146" s="34" t="str">
        <f t="shared" si="35"/>
        <v>Kahak PA, Inc.</v>
      </c>
      <c r="E146" s="34">
        <f t="shared" si="36"/>
        <v>1539.18</v>
      </c>
      <c r="F146" s="34">
        <f t="shared" si="34"/>
        <v>1539.18</v>
      </c>
      <c r="G146" s="34">
        <f t="shared" si="34"/>
        <v>1539.18</v>
      </c>
      <c r="H146" s="34">
        <f t="shared" si="34"/>
        <v>1539.18</v>
      </c>
      <c r="I146" s="34">
        <f t="shared" si="34"/>
        <v>1539.18</v>
      </c>
      <c r="J146" s="34">
        <f t="shared" si="34"/>
        <v>1539.18</v>
      </c>
      <c r="K146" s="34">
        <f t="shared" si="34"/>
        <v>1539.18</v>
      </c>
      <c r="L146" s="34">
        <f t="shared" si="34"/>
        <v>1539.18</v>
      </c>
      <c r="M146" s="34">
        <f t="shared" si="34"/>
        <v>1539.18</v>
      </c>
      <c r="N146" s="34">
        <f t="shared" si="34"/>
        <v>1539.18</v>
      </c>
      <c r="O146" s="34">
        <f t="shared" si="34"/>
        <v>1539.18</v>
      </c>
      <c r="P146" s="34">
        <f t="shared" si="34"/>
        <v>1539.18</v>
      </c>
      <c r="Q146" s="36">
        <f t="shared" si="37"/>
        <v>18470.16</v>
      </c>
    </row>
    <row r="147" spans="2:17" x14ac:dyDescent="0.35">
      <c r="B147" s="127" t="str">
        <f t="shared" si="33"/>
        <v>4060-205</v>
      </c>
      <c r="D147" s="34" t="str">
        <f t="shared" si="35"/>
        <v>Presidential Bank, FSB</v>
      </c>
      <c r="E147" s="34">
        <f t="shared" si="36"/>
        <v>2000.17</v>
      </c>
      <c r="F147" s="34">
        <f t="shared" si="34"/>
        <v>2000.17</v>
      </c>
      <c r="G147" s="34">
        <f t="shared" si="34"/>
        <v>2000.17</v>
      </c>
      <c r="H147" s="34">
        <f t="shared" si="34"/>
        <v>2000.1666666666667</v>
      </c>
      <c r="I147" s="34">
        <f t="shared" si="34"/>
        <v>2000.1666666666667</v>
      </c>
      <c r="J147" s="34">
        <f t="shared" si="34"/>
        <v>2000.1666666666667</v>
      </c>
      <c r="K147" s="34">
        <f t="shared" si="34"/>
        <v>2000.1666666666667</v>
      </c>
      <c r="L147" s="34">
        <f t="shared" si="34"/>
        <v>2000.1666666666667</v>
      </c>
      <c r="M147" s="34">
        <f t="shared" si="34"/>
        <v>2000.1666666666667</v>
      </c>
      <c r="N147" s="34">
        <f t="shared" si="34"/>
        <v>2000.1666666666667</v>
      </c>
      <c r="O147" s="34">
        <f t="shared" si="34"/>
        <v>2000.1666666666667</v>
      </c>
      <c r="P147" s="34">
        <f t="shared" si="34"/>
        <v>2000.1666666666667</v>
      </c>
      <c r="Q147" s="36">
        <f t="shared" si="37"/>
        <v>24002.010000000002</v>
      </c>
    </row>
    <row r="148" spans="2:17" x14ac:dyDescent="0.35">
      <c r="B148" s="127" t="str">
        <f t="shared" si="33"/>
        <v>4060-206</v>
      </c>
      <c r="D148" s="34" t="str">
        <f t="shared" si="35"/>
        <v>Law Offices of Sandra W Morris</v>
      </c>
      <c r="E148" s="34">
        <f t="shared" si="36"/>
        <v>3317.08</v>
      </c>
      <c r="F148" s="34">
        <f t="shared" si="34"/>
        <v>3317.08</v>
      </c>
      <c r="G148" s="34">
        <f t="shared" si="34"/>
        <v>3317.08</v>
      </c>
      <c r="H148" s="34">
        <f t="shared" si="34"/>
        <v>3317.08</v>
      </c>
      <c r="I148" s="34">
        <f t="shared" si="34"/>
        <v>3317.08</v>
      </c>
      <c r="J148" s="34">
        <f t="shared" si="34"/>
        <v>3317.08</v>
      </c>
      <c r="K148" s="34">
        <f t="shared" si="34"/>
        <v>3317.08</v>
      </c>
      <c r="L148" s="34">
        <f t="shared" si="34"/>
        <v>3317.08</v>
      </c>
      <c r="M148" s="34">
        <f t="shared" si="34"/>
        <v>3317.08</v>
      </c>
      <c r="N148" s="34">
        <f t="shared" si="34"/>
        <v>3317.08</v>
      </c>
      <c r="O148" s="34">
        <f t="shared" si="34"/>
        <v>3317.08</v>
      </c>
      <c r="P148" s="34">
        <f t="shared" si="34"/>
        <v>3317.08</v>
      </c>
      <c r="Q148" s="36">
        <f t="shared" si="37"/>
        <v>39804.960000000014</v>
      </c>
    </row>
    <row r="149" spans="2:17" x14ac:dyDescent="0.35">
      <c r="B149" s="127" t="str">
        <f t="shared" si="33"/>
        <v>4060-207</v>
      </c>
      <c r="D149" s="34" t="str">
        <f t="shared" si="35"/>
        <v>Legal Trucking LLC</v>
      </c>
      <c r="E149" s="34">
        <f t="shared" si="36"/>
        <v>1784.25</v>
      </c>
      <c r="F149" s="34">
        <f t="shared" si="34"/>
        <v>1784.25</v>
      </c>
      <c r="G149" s="34">
        <f t="shared" si="34"/>
        <v>1784.25</v>
      </c>
      <c r="H149" s="34">
        <f t="shared" si="34"/>
        <v>1784.25</v>
      </c>
      <c r="I149" s="34">
        <f t="shared" si="34"/>
        <v>1784.25</v>
      </c>
      <c r="J149" s="34">
        <f t="shared" si="34"/>
        <v>1784.25</v>
      </c>
      <c r="K149" s="34">
        <f t="shared" si="34"/>
        <v>1784.25</v>
      </c>
      <c r="L149" s="34">
        <f t="shared" si="34"/>
        <v>1738.5</v>
      </c>
      <c r="M149" s="34">
        <f t="shared" si="34"/>
        <v>1738.5</v>
      </c>
      <c r="N149" s="34">
        <f t="shared" si="34"/>
        <v>1738.5</v>
      </c>
      <c r="O149" s="34">
        <f t="shared" si="34"/>
        <v>1738.5</v>
      </c>
      <c r="P149" s="34">
        <f t="shared" si="34"/>
        <v>1738.5</v>
      </c>
      <c r="Q149" s="36">
        <f t="shared" si="37"/>
        <v>21182.25</v>
      </c>
    </row>
    <row r="150" spans="2:17" x14ac:dyDescent="0.35">
      <c r="B150" s="127" t="str">
        <f t="shared" si="33"/>
        <v>4060-208</v>
      </c>
      <c r="D150" s="34" t="str">
        <f t="shared" si="35"/>
        <v>VACANT</v>
      </c>
      <c r="E150" s="34">
        <f t="shared" si="36"/>
        <v>1417</v>
      </c>
      <c r="F150" s="34">
        <f t="shared" si="34"/>
        <v>1417</v>
      </c>
      <c r="G150" s="34">
        <f t="shared" si="34"/>
        <v>1417</v>
      </c>
      <c r="H150" s="34">
        <f t="shared" si="34"/>
        <v>1417</v>
      </c>
      <c r="I150" s="34">
        <f t="shared" si="34"/>
        <v>1417</v>
      </c>
      <c r="J150" s="34">
        <f t="shared" si="34"/>
        <v>1417</v>
      </c>
      <c r="K150" s="34">
        <f t="shared" si="34"/>
        <v>1417</v>
      </c>
      <c r="L150" s="34">
        <f t="shared" si="34"/>
        <v>1417</v>
      </c>
      <c r="M150" s="34">
        <f t="shared" si="34"/>
        <v>1417</v>
      </c>
      <c r="N150" s="34">
        <f t="shared" si="34"/>
        <v>1417</v>
      </c>
      <c r="O150" s="34">
        <f t="shared" si="34"/>
        <v>0</v>
      </c>
      <c r="P150" s="34">
        <f t="shared" si="34"/>
        <v>0</v>
      </c>
      <c r="Q150" s="36">
        <f t="shared" si="37"/>
        <v>14170</v>
      </c>
    </row>
    <row r="151" spans="2:17" x14ac:dyDescent="0.35">
      <c r="B151" s="127" t="str">
        <f t="shared" si="33"/>
        <v>4060-210</v>
      </c>
      <c r="D151" s="34" t="str">
        <f t="shared" si="35"/>
        <v>Zev Express, Inc.</v>
      </c>
      <c r="E151" s="34">
        <f t="shared" si="36"/>
        <v>3464.5</v>
      </c>
      <c r="F151" s="34">
        <f t="shared" si="34"/>
        <v>3464.5</v>
      </c>
      <c r="G151" s="34">
        <f t="shared" si="34"/>
        <v>3464.5</v>
      </c>
      <c r="H151" s="34">
        <f t="shared" si="34"/>
        <v>3464.5</v>
      </c>
      <c r="I151" s="34">
        <f t="shared" si="34"/>
        <v>3464.5</v>
      </c>
      <c r="J151" s="34">
        <f t="shared" si="34"/>
        <v>3464.5</v>
      </c>
      <c r="K151" s="34">
        <f t="shared" si="34"/>
        <v>3464.5</v>
      </c>
      <c r="L151" s="34">
        <f t="shared" si="34"/>
        <v>3464.5</v>
      </c>
      <c r="M151" s="34">
        <f t="shared" si="34"/>
        <v>3464.5</v>
      </c>
      <c r="N151" s="34">
        <f t="shared" si="34"/>
        <v>3464.5</v>
      </c>
      <c r="O151" s="34">
        <f t="shared" si="34"/>
        <v>3464.5</v>
      </c>
      <c r="P151" s="34">
        <f t="shared" si="34"/>
        <v>3464.5</v>
      </c>
      <c r="Q151" s="36">
        <f t="shared" si="37"/>
        <v>41574</v>
      </c>
    </row>
    <row r="152" spans="2:17" x14ac:dyDescent="0.35">
      <c r="B152" s="127" t="str">
        <f t="shared" si="33"/>
        <v>4060-211</v>
      </c>
      <c r="D152" s="34" t="str">
        <f t="shared" si="35"/>
        <v>Affinity Care of Pennsylvania</v>
      </c>
      <c r="E152" s="34">
        <f t="shared" si="36"/>
        <v>2571.04</v>
      </c>
      <c r="F152" s="34">
        <f t="shared" si="34"/>
        <v>2571.04</v>
      </c>
      <c r="G152" s="34">
        <f t="shared" si="34"/>
        <v>2571.04</v>
      </c>
      <c r="H152" s="34">
        <f t="shared" si="34"/>
        <v>2571.04</v>
      </c>
      <c r="I152" s="34">
        <f t="shared" si="34"/>
        <v>2571.04</v>
      </c>
      <c r="J152" s="34">
        <f t="shared" si="34"/>
        <v>2571.04</v>
      </c>
      <c r="K152" s="34">
        <f t="shared" si="34"/>
        <v>2571.04</v>
      </c>
      <c r="L152" s="34">
        <f t="shared" si="34"/>
        <v>2571.04</v>
      </c>
      <c r="M152" s="34">
        <f t="shared" si="34"/>
        <v>2571.04</v>
      </c>
      <c r="N152" s="34">
        <f t="shared" si="34"/>
        <v>2571.04</v>
      </c>
      <c r="O152" s="34">
        <f t="shared" si="34"/>
        <v>2633.75</v>
      </c>
      <c r="P152" s="34">
        <f t="shared" si="34"/>
        <v>2633.75</v>
      </c>
      <c r="Q152" s="36">
        <f t="shared" si="37"/>
        <v>30977.900000000005</v>
      </c>
    </row>
    <row r="153" spans="2:17" x14ac:dyDescent="0.35">
      <c r="B153" s="127" t="str">
        <f t="shared" si="33"/>
        <v>4060-212</v>
      </c>
      <c r="D153" s="34" t="str">
        <f t="shared" si="35"/>
        <v>Helping Hand Nurse, LLC</v>
      </c>
      <c r="E153" s="34">
        <f t="shared" si="36"/>
        <v>3985.21</v>
      </c>
      <c r="F153" s="34">
        <f t="shared" si="34"/>
        <v>4092.92</v>
      </c>
      <c r="G153" s="34">
        <f t="shared" si="34"/>
        <v>4092.92</v>
      </c>
      <c r="H153" s="34">
        <f t="shared" si="34"/>
        <v>4092.92</v>
      </c>
      <c r="I153" s="34">
        <f t="shared" si="34"/>
        <v>4092.92</v>
      </c>
      <c r="J153" s="34">
        <f t="shared" si="34"/>
        <v>4092.92</v>
      </c>
      <c r="K153" s="34">
        <f t="shared" si="34"/>
        <v>4092.92</v>
      </c>
      <c r="L153" s="34">
        <f t="shared" si="34"/>
        <v>4092.92</v>
      </c>
      <c r="M153" s="34">
        <f t="shared" si="34"/>
        <v>4092.92</v>
      </c>
      <c r="N153" s="34">
        <f t="shared" si="34"/>
        <v>4092.92</v>
      </c>
      <c r="O153" s="34">
        <f t="shared" si="34"/>
        <v>4092.92</v>
      </c>
      <c r="P153" s="34">
        <f t="shared" si="34"/>
        <v>4092.92</v>
      </c>
      <c r="Q153" s="36">
        <f t="shared" si="37"/>
        <v>49007.329999999987</v>
      </c>
    </row>
    <row r="154" spans="2:17" x14ac:dyDescent="0.35">
      <c r="B154" s="127" t="str">
        <f t="shared" si="33"/>
        <v>4060-213</v>
      </c>
      <c r="D154" s="34" t="str">
        <f t="shared" si="35"/>
        <v>VACANT</v>
      </c>
      <c r="E154" s="34">
        <f t="shared" si="36"/>
        <v>0</v>
      </c>
      <c r="F154" s="34">
        <f t="shared" si="34"/>
        <v>0</v>
      </c>
      <c r="G154" s="34">
        <f t="shared" si="34"/>
        <v>0</v>
      </c>
      <c r="H154" s="34">
        <f t="shared" si="34"/>
        <v>0</v>
      </c>
      <c r="I154" s="34">
        <f t="shared" si="34"/>
        <v>0</v>
      </c>
      <c r="J154" s="34">
        <f t="shared" si="34"/>
        <v>0</v>
      </c>
      <c r="K154" s="34">
        <f t="shared" si="34"/>
        <v>0</v>
      </c>
      <c r="L154" s="34">
        <f t="shared" si="34"/>
        <v>0</v>
      </c>
      <c r="M154" s="34">
        <f t="shared" si="34"/>
        <v>0</v>
      </c>
      <c r="N154" s="34">
        <f t="shared" si="34"/>
        <v>0</v>
      </c>
      <c r="O154" s="34">
        <f t="shared" si="34"/>
        <v>0</v>
      </c>
      <c r="P154" s="34">
        <f t="shared" si="34"/>
        <v>0</v>
      </c>
      <c r="Q154" s="36">
        <f t="shared" si="37"/>
        <v>0</v>
      </c>
    </row>
    <row r="155" spans="2:17" x14ac:dyDescent="0.35">
      <c r="B155" s="127" t="str">
        <f t="shared" si="33"/>
        <v>4060-215</v>
      </c>
      <c r="D155" s="34" t="str">
        <f t="shared" si="35"/>
        <v>Regional Cardiology</v>
      </c>
      <c r="E155" s="34">
        <f t="shared" si="36"/>
        <v>3351.3333333333335</v>
      </c>
      <c r="F155" s="34">
        <f t="shared" si="34"/>
        <v>3351.3333333333335</v>
      </c>
      <c r="G155" s="34">
        <f t="shared" si="34"/>
        <v>3351.3333333333335</v>
      </c>
      <c r="H155" s="34">
        <f t="shared" si="34"/>
        <v>3351.3333333333335</v>
      </c>
      <c r="I155" s="34">
        <f t="shared" si="34"/>
        <v>3351.3333333333335</v>
      </c>
      <c r="J155" s="34">
        <f t="shared" si="34"/>
        <v>3351.3333333333335</v>
      </c>
      <c r="K155" s="34">
        <f t="shared" si="34"/>
        <v>3351.3333333333335</v>
      </c>
      <c r="L155" s="34">
        <f t="shared" si="34"/>
        <v>3351.3333333333335</v>
      </c>
      <c r="M155" s="34">
        <f t="shared" si="34"/>
        <v>3351.3333333333335</v>
      </c>
      <c r="N155" s="34">
        <f t="shared" si="34"/>
        <v>3351.3333333333335</v>
      </c>
      <c r="O155" s="34">
        <f t="shared" si="34"/>
        <v>3351.3333333333335</v>
      </c>
      <c r="P155" s="34">
        <f t="shared" si="34"/>
        <v>3351.3333333333335</v>
      </c>
      <c r="Q155" s="36">
        <f t="shared" si="37"/>
        <v>40216</v>
      </c>
    </row>
    <row r="156" spans="2:17" x14ac:dyDescent="0.35">
      <c r="B156" s="127" t="str">
        <f t="shared" si="33"/>
        <v>4060-217</v>
      </c>
      <c r="D156" s="34" t="str">
        <f t="shared" si="35"/>
        <v>Conference Center</v>
      </c>
      <c r="E156" s="34">
        <f t="shared" si="36"/>
        <v>0</v>
      </c>
      <c r="F156" s="34">
        <f t="shared" si="36"/>
        <v>0</v>
      </c>
      <c r="G156" s="34">
        <f t="shared" si="36"/>
        <v>0</v>
      </c>
      <c r="H156" s="34">
        <f t="shared" si="36"/>
        <v>0</v>
      </c>
      <c r="I156" s="34">
        <f t="shared" si="36"/>
        <v>0</v>
      </c>
      <c r="J156" s="34">
        <f t="shared" si="36"/>
        <v>0</v>
      </c>
      <c r="K156" s="34">
        <f t="shared" si="36"/>
        <v>0</v>
      </c>
      <c r="L156" s="34">
        <f t="shared" si="36"/>
        <v>0</v>
      </c>
      <c r="M156" s="34">
        <f t="shared" si="36"/>
        <v>0</v>
      </c>
      <c r="N156" s="34">
        <f t="shared" si="36"/>
        <v>0</v>
      </c>
      <c r="O156" s="34">
        <f t="shared" si="36"/>
        <v>0</v>
      </c>
      <c r="P156" s="34">
        <f t="shared" si="36"/>
        <v>0</v>
      </c>
      <c r="Q156" s="36">
        <f t="shared" si="37"/>
        <v>0</v>
      </c>
    </row>
    <row r="157" spans="2:17" x14ac:dyDescent="0.35">
      <c r="B157" s="127" t="str">
        <f t="shared" si="33"/>
        <v>4060-300</v>
      </c>
      <c r="D157" s="34" t="str">
        <f t="shared" si="35"/>
        <v>J.J. White, Inc.</v>
      </c>
      <c r="E157" s="34">
        <f t="shared" si="36"/>
        <v>13653.5</v>
      </c>
      <c r="F157" s="34">
        <f t="shared" si="36"/>
        <v>13653.5</v>
      </c>
      <c r="G157" s="34">
        <f t="shared" si="36"/>
        <v>13653.5</v>
      </c>
      <c r="H157" s="34">
        <f t="shared" si="36"/>
        <v>13653.5</v>
      </c>
      <c r="I157" s="34">
        <f t="shared" si="36"/>
        <v>13653.5</v>
      </c>
      <c r="J157" s="34">
        <f t="shared" si="36"/>
        <v>13653.5</v>
      </c>
      <c r="K157" s="34">
        <f t="shared" si="36"/>
        <v>14628.75</v>
      </c>
      <c r="L157" s="34">
        <f t="shared" si="36"/>
        <v>14628.75</v>
      </c>
      <c r="M157" s="34">
        <f t="shared" si="36"/>
        <v>14628.75</v>
      </c>
      <c r="N157" s="34">
        <f t="shared" si="36"/>
        <v>14628.75</v>
      </c>
      <c r="O157" s="34">
        <f t="shared" si="36"/>
        <v>14628.75</v>
      </c>
      <c r="P157" s="34">
        <f t="shared" si="36"/>
        <v>14628.75</v>
      </c>
      <c r="Q157" s="36">
        <f t="shared" si="37"/>
        <v>169693.5</v>
      </c>
    </row>
    <row r="158" spans="2:17" x14ac:dyDescent="0.35">
      <c r="B158" s="127" t="str">
        <f t="shared" si="33"/>
        <v>4060-301</v>
      </c>
      <c r="D158" s="34" t="str">
        <f t="shared" si="35"/>
        <v>VACANT</v>
      </c>
      <c r="E158" s="34">
        <f t="shared" si="36"/>
        <v>1370</v>
      </c>
      <c r="F158" s="34">
        <f t="shared" si="36"/>
        <v>1370</v>
      </c>
      <c r="G158" s="34">
        <f t="shared" si="36"/>
        <v>1370</v>
      </c>
      <c r="H158" s="34">
        <f t="shared" si="36"/>
        <v>1370</v>
      </c>
      <c r="I158" s="34">
        <f t="shared" si="36"/>
        <v>1370</v>
      </c>
      <c r="J158" s="34">
        <f t="shared" si="36"/>
        <v>1370</v>
      </c>
      <c r="K158" s="34">
        <f t="shared" si="36"/>
        <v>1370</v>
      </c>
      <c r="L158" s="34">
        <f t="shared" si="36"/>
        <v>1370</v>
      </c>
      <c r="M158" s="34">
        <f t="shared" si="36"/>
        <v>1370</v>
      </c>
      <c r="N158" s="34">
        <f t="shared" si="36"/>
        <v>1370</v>
      </c>
      <c r="O158" s="34">
        <f t="shared" si="36"/>
        <v>0</v>
      </c>
      <c r="P158" s="34">
        <f t="shared" si="36"/>
        <v>0</v>
      </c>
      <c r="Q158" s="36">
        <f t="shared" si="37"/>
        <v>13700</v>
      </c>
    </row>
    <row r="159" spans="2:17" x14ac:dyDescent="0.35">
      <c r="B159" s="127" t="str">
        <f t="shared" si="33"/>
        <v>4060-310</v>
      </c>
      <c r="D159" s="34" t="str">
        <f t="shared" si="35"/>
        <v>VACANT</v>
      </c>
      <c r="E159" s="34">
        <f t="shared" si="36"/>
        <v>0</v>
      </c>
      <c r="F159" s="34">
        <f t="shared" si="36"/>
        <v>0</v>
      </c>
      <c r="G159" s="34">
        <f t="shared" si="36"/>
        <v>0</v>
      </c>
      <c r="H159" s="34">
        <f t="shared" si="36"/>
        <v>0</v>
      </c>
      <c r="I159" s="34">
        <f t="shared" si="36"/>
        <v>0</v>
      </c>
      <c r="J159" s="34">
        <f t="shared" si="36"/>
        <v>0</v>
      </c>
      <c r="K159" s="34">
        <f t="shared" si="36"/>
        <v>0</v>
      </c>
      <c r="L159" s="34">
        <f t="shared" si="36"/>
        <v>0</v>
      </c>
      <c r="M159" s="34">
        <f t="shared" si="36"/>
        <v>0</v>
      </c>
      <c r="N159" s="34">
        <f t="shared" si="36"/>
        <v>0</v>
      </c>
      <c r="O159" s="34">
        <f t="shared" si="36"/>
        <v>0</v>
      </c>
      <c r="P159" s="34">
        <f t="shared" si="36"/>
        <v>0</v>
      </c>
      <c r="Q159" s="36">
        <f t="shared" si="37"/>
        <v>0</v>
      </c>
    </row>
    <row r="160" spans="2:17" x14ac:dyDescent="0.35">
      <c r="B160" s="127" t="str">
        <f t="shared" si="33"/>
        <v>4060-400</v>
      </c>
      <c r="D160" s="34" t="str">
        <f t="shared" si="35"/>
        <v>VACANT</v>
      </c>
      <c r="E160" s="34">
        <f t="shared" si="36"/>
        <v>0</v>
      </c>
      <c r="F160" s="34">
        <f t="shared" si="36"/>
        <v>0</v>
      </c>
      <c r="G160" s="34">
        <f t="shared" si="36"/>
        <v>0</v>
      </c>
      <c r="H160" s="34">
        <f t="shared" si="36"/>
        <v>0</v>
      </c>
      <c r="I160" s="34">
        <f t="shared" si="36"/>
        <v>0</v>
      </c>
      <c r="J160" s="34">
        <f t="shared" si="36"/>
        <v>0</v>
      </c>
      <c r="K160" s="34">
        <f t="shared" si="36"/>
        <v>0</v>
      </c>
      <c r="L160" s="34">
        <f t="shared" si="36"/>
        <v>0</v>
      </c>
      <c r="M160" s="34">
        <f t="shared" si="36"/>
        <v>0</v>
      </c>
      <c r="N160" s="34">
        <f t="shared" si="36"/>
        <v>0</v>
      </c>
      <c r="O160" s="34">
        <f t="shared" si="36"/>
        <v>0</v>
      </c>
      <c r="P160" s="34">
        <f t="shared" si="36"/>
        <v>0</v>
      </c>
      <c r="Q160" s="36">
        <f t="shared" si="37"/>
        <v>0</v>
      </c>
    </row>
    <row r="161" spans="2:21" x14ac:dyDescent="0.35">
      <c r="B161" s="127" t="str">
        <f t="shared" si="33"/>
        <v>4060-401</v>
      </c>
      <c r="D161" s="34" t="str">
        <f t="shared" si="35"/>
        <v>Senior Care Center Of America</v>
      </c>
      <c r="E161" s="34">
        <f t="shared" si="36"/>
        <v>13325.13</v>
      </c>
      <c r="F161" s="34">
        <f t="shared" si="36"/>
        <v>13325.13</v>
      </c>
      <c r="G161" s="34">
        <f t="shared" si="36"/>
        <v>13325.13</v>
      </c>
      <c r="H161" s="34">
        <f t="shared" si="36"/>
        <v>13325.13</v>
      </c>
      <c r="I161" s="34">
        <f t="shared" si="36"/>
        <v>14132.71</v>
      </c>
      <c r="J161" s="34">
        <f t="shared" si="36"/>
        <v>14132.71</v>
      </c>
      <c r="K161" s="34">
        <f t="shared" si="36"/>
        <v>14132.71</v>
      </c>
      <c r="L161" s="34">
        <f t="shared" si="36"/>
        <v>14132.71</v>
      </c>
      <c r="M161" s="34">
        <f t="shared" si="36"/>
        <v>14132.71</v>
      </c>
      <c r="N161" s="34">
        <f t="shared" si="36"/>
        <v>14132.71</v>
      </c>
      <c r="O161" s="34">
        <f t="shared" si="36"/>
        <v>14132.71</v>
      </c>
      <c r="P161" s="34">
        <f t="shared" si="36"/>
        <v>14132.71</v>
      </c>
      <c r="Q161" s="36">
        <f t="shared" si="37"/>
        <v>166362.19999999995</v>
      </c>
    </row>
    <row r="162" spans="2:21" x14ac:dyDescent="0.35">
      <c r="B162" s="127" t="str">
        <f t="shared" si="33"/>
        <v>4060-402</v>
      </c>
      <c r="D162" s="34" t="str">
        <f t="shared" si="35"/>
        <v>VACANT</v>
      </c>
      <c r="E162" s="34">
        <f t="shared" si="36"/>
        <v>3609.375</v>
      </c>
      <c r="F162" s="34">
        <f t="shared" si="36"/>
        <v>3609.375</v>
      </c>
      <c r="G162" s="34">
        <f t="shared" si="36"/>
        <v>3609.375</v>
      </c>
      <c r="H162" s="34">
        <f t="shared" si="36"/>
        <v>3609.375</v>
      </c>
      <c r="I162" s="34">
        <f t="shared" si="36"/>
        <v>3609.375</v>
      </c>
      <c r="J162" s="34">
        <f t="shared" si="36"/>
        <v>3609.375</v>
      </c>
      <c r="K162" s="34">
        <f t="shared" si="36"/>
        <v>3609.375</v>
      </c>
      <c r="L162" s="34">
        <f t="shared" si="36"/>
        <v>3609.375</v>
      </c>
      <c r="M162" s="34">
        <f t="shared" si="36"/>
        <v>3609.375</v>
      </c>
      <c r="N162" s="34">
        <f t="shared" si="36"/>
        <v>3609.375</v>
      </c>
      <c r="O162" s="34">
        <f t="shared" si="36"/>
        <v>3609.375</v>
      </c>
      <c r="P162" s="34">
        <f t="shared" si="36"/>
        <v>0</v>
      </c>
      <c r="Q162" s="36">
        <f t="shared" si="37"/>
        <v>39703.125</v>
      </c>
    </row>
    <row r="163" spans="2:21" x14ac:dyDescent="0.35">
      <c r="B163" s="127" t="str">
        <f t="shared" si="33"/>
        <v>4060-403</v>
      </c>
      <c r="D163" s="34" t="str">
        <f t="shared" si="35"/>
        <v>VACANT</v>
      </c>
      <c r="E163" s="34">
        <f t="shared" si="36"/>
        <v>5458.5</v>
      </c>
      <c r="F163" s="34">
        <f t="shared" si="36"/>
        <v>5458.5</v>
      </c>
      <c r="G163" s="34">
        <f t="shared" si="36"/>
        <v>5458.5</v>
      </c>
      <c r="H163" s="34">
        <f t="shared" si="36"/>
        <v>5458.5</v>
      </c>
      <c r="I163" s="34">
        <f t="shared" si="36"/>
        <v>5458.5</v>
      </c>
      <c r="J163" s="34">
        <f t="shared" si="36"/>
        <v>5458.5</v>
      </c>
      <c r="K163" s="34">
        <f t="shared" si="36"/>
        <v>5458.5</v>
      </c>
      <c r="L163" s="34">
        <f t="shared" si="36"/>
        <v>5458.5</v>
      </c>
      <c r="M163" s="34">
        <f t="shared" si="36"/>
        <v>5458.5</v>
      </c>
      <c r="N163" s="34">
        <f t="shared" si="36"/>
        <v>5458.5</v>
      </c>
      <c r="O163" s="34">
        <f t="shared" si="36"/>
        <v>5458.5</v>
      </c>
      <c r="P163" s="34">
        <f t="shared" si="36"/>
        <v>5458.5</v>
      </c>
      <c r="Q163" s="36">
        <f t="shared" si="37"/>
        <v>65502</v>
      </c>
    </row>
    <row r="164" spans="2:21" x14ac:dyDescent="0.35">
      <c r="B164" s="520" t="str">
        <f t="shared" si="33"/>
        <v>4060-500</v>
      </c>
      <c r="C164" s="43"/>
      <c r="D164" s="43" t="str">
        <f t="shared" si="35"/>
        <v>VACANT</v>
      </c>
      <c r="E164" s="43">
        <f t="shared" si="36"/>
        <v>25786.625</v>
      </c>
      <c r="F164" s="43">
        <f t="shared" si="36"/>
        <v>25786.625</v>
      </c>
      <c r="G164" s="43">
        <f t="shared" si="36"/>
        <v>25786.625</v>
      </c>
      <c r="H164" s="43">
        <f t="shared" si="36"/>
        <v>25786.625</v>
      </c>
      <c r="I164" s="43">
        <f t="shared" si="36"/>
        <v>25786.625</v>
      </c>
      <c r="J164" s="43">
        <f t="shared" si="36"/>
        <v>25786.625</v>
      </c>
      <c r="K164" s="43">
        <f t="shared" si="36"/>
        <v>25786.625</v>
      </c>
      <c r="L164" s="43">
        <f t="shared" si="36"/>
        <v>25786.625</v>
      </c>
      <c r="M164" s="43">
        <f t="shared" si="36"/>
        <v>25786.625</v>
      </c>
      <c r="N164" s="43">
        <f t="shared" si="36"/>
        <v>25786.625</v>
      </c>
      <c r="O164" s="43">
        <f t="shared" si="36"/>
        <v>25786.625</v>
      </c>
      <c r="P164" s="43">
        <f t="shared" si="36"/>
        <v>25786.625</v>
      </c>
      <c r="Q164" s="87">
        <f t="shared" si="37"/>
        <v>309439.5</v>
      </c>
    </row>
    <row r="165" spans="2:21" x14ac:dyDescent="0.35">
      <c r="B165" s="10"/>
      <c r="D165" s="44"/>
      <c r="E165" s="36">
        <f t="shared" ref="E165:Q165" si="38">SUM(E140:E164)</f>
        <v>101761.23333333334</v>
      </c>
      <c r="F165" s="36">
        <f t="shared" si="38"/>
        <v>101868.94333333334</v>
      </c>
      <c r="G165" s="36">
        <f>SUM(G140:G164)</f>
        <v>101868.94333333334</v>
      </c>
      <c r="H165" s="36">
        <f t="shared" si="38"/>
        <v>102023.85</v>
      </c>
      <c r="I165" s="36">
        <f t="shared" si="38"/>
        <v>102831.43</v>
      </c>
      <c r="J165" s="36">
        <f t="shared" si="38"/>
        <v>102831.43</v>
      </c>
      <c r="K165" s="36">
        <f t="shared" si="38"/>
        <v>97268.18</v>
      </c>
      <c r="L165" s="36">
        <f t="shared" si="38"/>
        <v>97222.43</v>
      </c>
      <c r="M165" s="36">
        <f t="shared" si="38"/>
        <v>97222.43</v>
      </c>
      <c r="N165" s="36">
        <f t="shared" si="38"/>
        <v>97222.43</v>
      </c>
      <c r="O165" s="36">
        <f t="shared" si="38"/>
        <v>94498.139999999985</v>
      </c>
      <c r="P165" s="36">
        <f t="shared" si="38"/>
        <v>90888.764999999985</v>
      </c>
      <c r="Q165" s="36">
        <f t="shared" si="38"/>
        <v>1187508.2050000001</v>
      </c>
    </row>
    <row r="166" spans="2:21" x14ac:dyDescent="0.35">
      <c r="B166" s="10"/>
      <c r="E166" s="95">
        <f>(E10+E11)-E165</f>
        <v>0</v>
      </c>
      <c r="F166" s="95">
        <f t="shared" ref="F166:Q166" si="39">(F10+F11)-F165</f>
        <v>0</v>
      </c>
      <c r="G166" s="95">
        <f t="shared" si="39"/>
        <v>0</v>
      </c>
      <c r="H166" s="95">
        <f t="shared" si="39"/>
        <v>0</v>
      </c>
      <c r="I166" s="95">
        <f t="shared" si="39"/>
        <v>0</v>
      </c>
      <c r="J166" s="95">
        <f t="shared" si="39"/>
        <v>0</v>
      </c>
      <c r="K166" s="95">
        <f t="shared" si="39"/>
        <v>0</v>
      </c>
      <c r="L166" s="95">
        <f t="shared" si="39"/>
        <v>0</v>
      </c>
      <c r="M166" s="95">
        <f t="shared" si="39"/>
        <v>0</v>
      </c>
      <c r="N166" s="95">
        <f t="shared" si="39"/>
        <v>0</v>
      </c>
      <c r="O166" s="95">
        <f t="shared" si="39"/>
        <v>0</v>
      </c>
      <c r="P166" s="95">
        <f t="shared" si="39"/>
        <v>0</v>
      </c>
      <c r="Q166" s="95">
        <f t="shared" si="39"/>
        <v>0</v>
      </c>
    </row>
    <row r="168" spans="2:21" ht="17.5" x14ac:dyDescent="0.35">
      <c r="B168" s="521" t="s">
        <v>163</v>
      </c>
      <c r="E168" s="522"/>
      <c r="F168" s="522"/>
      <c r="G168" s="522"/>
      <c r="H168" s="522"/>
      <c r="I168" s="522"/>
      <c r="J168" s="522"/>
      <c r="K168" s="522"/>
      <c r="L168" s="522"/>
      <c r="M168" s="522"/>
      <c r="N168" s="522"/>
      <c r="O168" s="522"/>
      <c r="P168" s="522"/>
      <c r="S168" s="54"/>
      <c r="T168" s="34"/>
      <c r="U168" s="34"/>
    </row>
    <row r="169" spans="2:21" hidden="1" outlineLevel="1" x14ac:dyDescent="0.35">
      <c r="B169" s="43" t="s">
        <v>619</v>
      </c>
      <c r="C169" s="43"/>
      <c r="D169" s="43" t="s">
        <v>424</v>
      </c>
      <c r="E169" s="519">
        <v>46023</v>
      </c>
      <c r="F169" s="519">
        <v>46054</v>
      </c>
      <c r="G169" s="519">
        <v>46082</v>
      </c>
      <c r="H169" s="519">
        <v>46113</v>
      </c>
      <c r="I169" s="519">
        <v>46143</v>
      </c>
      <c r="J169" s="519">
        <v>46174</v>
      </c>
      <c r="K169" s="519">
        <v>46204</v>
      </c>
      <c r="L169" s="519">
        <v>46235</v>
      </c>
      <c r="M169" s="519">
        <v>46266</v>
      </c>
      <c r="N169" s="519">
        <v>46296</v>
      </c>
      <c r="O169" s="519">
        <v>46327</v>
      </c>
      <c r="P169" s="519">
        <v>46357</v>
      </c>
      <c r="Q169" s="481" t="s">
        <v>12</v>
      </c>
      <c r="R169" s="54"/>
      <c r="S169" s="54"/>
      <c r="T169" s="34"/>
      <c r="U169" s="34"/>
    </row>
    <row r="170" spans="2:21" hidden="1" outlineLevel="1" x14ac:dyDescent="0.35">
      <c r="B170" s="523" t="s">
        <v>277</v>
      </c>
      <c r="C170" s="115"/>
      <c r="D170" s="77" t="str">
        <f>IFERROR(VLOOKUP(B170,'In Place Revenue'!$B$2:$H$630,2,FALSE),VLOOKUP(B170,$B$200:$D$224,3,FALSE))</f>
        <v>Audiology Distribution, LLC</v>
      </c>
      <c r="E170" s="77">
        <f>SUMIFS('In Place Revenue'!$G$2:$G$764,'In Place Revenue'!$B$2:$B$764,$B170,'In Place Revenue'!$D$2:$D$764,E$169)</f>
        <v>1846.17</v>
      </c>
      <c r="F170" s="77">
        <f>SUMIFS('In Place Revenue'!$G$2:$G$764,'In Place Revenue'!$B$2:$B$764,$B170,'In Place Revenue'!$D$2:$D$764,F$169)</f>
        <v>1846.17</v>
      </c>
      <c r="G170" s="77">
        <f>SUMIFS('In Place Revenue'!$G$2:$G$764,'In Place Revenue'!$B$2:$B$764,$B170,'In Place Revenue'!$D$2:$D$764,G$169)</f>
        <v>1846.17</v>
      </c>
      <c r="H170" s="77">
        <f>SUMIFS('In Place Revenue'!$G$2:$G$764,'In Place Revenue'!$B$2:$B$764,$B170,'In Place Revenue'!$D$2:$D$764,H$169)</f>
        <v>1894.75</v>
      </c>
      <c r="I170" s="77">
        <f>SUMIFS('In Place Revenue'!$G$2:$G$764,'In Place Revenue'!$B$2:$B$764,$B170,'In Place Revenue'!$D$2:$D$764,I$169)</f>
        <v>1894.75</v>
      </c>
      <c r="J170" s="77">
        <f>SUMIFS('In Place Revenue'!$G$2:$G$764,'In Place Revenue'!$B$2:$B$764,$B170,'In Place Revenue'!$D$2:$D$764,J$169)</f>
        <v>1894.75</v>
      </c>
      <c r="K170" s="77">
        <f>SUMIFS('In Place Revenue'!$G$2:$G$764,'In Place Revenue'!$B$2:$B$764,$B170,'In Place Revenue'!$D$2:$D$764,K$169)</f>
        <v>1894.75</v>
      </c>
      <c r="L170" s="77">
        <f>SUMIFS('In Place Revenue'!$G$2:$G$764,'In Place Revenue'!$B$2:$B$764,$B170,'In Place Revenue'!$D$2:$D$764,L$169)</f>
        <v>1894.75</v>
      </c>
      <c r="M170" s="77">
        <f>SUMIFS('In Place Revenue'!$G$2:$G$764,'In Place Revenue'!$B$2:$B$764,$B170,'In Place Revenue'!$D$2:$D$764,M$169)</f>
        <v>1894.75</v>
      </c>
      <c r="N170" s="77">
        <f>SUMIFS('In Place Revenue'!$G$2:$G$764,'In Place Revenue'!$B$2:$B$764,$B170,'In Place Revenue'!$D$2:$D$764,N$169)</f>
        <v>1894.75</v>
      </c>
      <c r="O170" s="77">
        <f>SUMIFS('In Place Revenue'!$G$2:$G$764,'In Place Revenue'!$B$2:$B$764,$B170,'In Place Revenue'!$D$2:$D$764,O$169)</f>
        <v>1894.75</v>
      </c>
      <c r="P170" s="77">
        <f>SUMIFS('In Place Revenue'!$G$2:$G$764,'In Place Revenue'!$B$2:$B$764,$B170,'In Place Revenue'!$D$2:$D$764,P$169)</f>
        <v>1894.75</v>
      </c>
      <c r="Q170" s="36">
        <f>SUM(E170:P170)</f>
        <v>22591.260000000002</v>
      </c>
    </row>
    <row r="171" spans="2:21" hidden="1" outlineLevel="1" x14ac:dyDescent="0.35">
      <c r="B171" s="523" t="s">
        <v>626</v>
      </c>
      <c r="C171" s="115"/>
      <c r="D171" s="34" t="str">
        <f>IFERROR(VLOOKUP(B171,'In Place Revenue'!$B$2:$H$630,2,FALSE),VLOOKUP(B171,$B$200:$D$224,3,FALSE))</f>
        <v>VACANT</v>
      </c>
      <c r="E171" s="34">
        <f>SUMIFS('In Place Revenue'!$G$2:$G$764,'In Place Revenue'!$B$2:$B$764,$B171,'In Place Revenue'!$D$2:$D$764,E$169)</f>
        <v>0</v>
      </c>
      <c r="F171" s="34">
        <f>SUMIFS('In Place Revenue'!$G$2:$G$764,'In Place Revenue'!$B$2:$B$764,$B171,'In Place Revenue'!$D$2:$D$764,F$169)</f>
        <v>0</v>
      </c>
      <c r="G171" s="34">
        <f>SUMIFS('In Place Revenue'!$G$2:$G$764,'In Place Revenue'!$B$2:$B$764,$B171,'In Place Revenue'!$D$2:$D$764,G$169)</f>
        <v>0</v>
      </c>
      <c r="H171" s="34">
        <f>SUMIFS('In Place Revenue'!$G$2:$G$764,'In Place Revenue'!$B$2:$B$764,$B171,'In Place Revenue'!$D$2:$D$764,H$169)</f>
        <v>0</v>
      </c>
      <c r="I171" s="34">
        <f>SUMIFS('In Place Revenue'!$G$2:$G$764,'In Place Revenue'!$B$2:$B$764,$B171,'In Place Revenue'!$D$2:$D$764,I$169)</f>
        <v>0</v>
      </c>
      <c r="J171" s="34">
        <f>SUMIFS('In Place Revenue'!$G$2:$G$764,'In Place Revenue'!$B$2:$B$764,$B171,'In Place Revenue'!$D$2:$D$764,J$169)</f>
        <v>0</v>
      </c>
      <c r="K171" s="34">
        <f>SUMIFS('In Place Revenue'!$G$2:$G$764,'In Place Revenue'!$B$2:$B$764,$B171,'In Place Revenue'!$D$2:$D$764,K$169)</f>
        <v>0</v>
      </c>
      <c r="L171" s="34">
        <f>SUMIFS('In Place Revenue'!$G$2:$G$764,'In Place Revenue'!$B$2:$B$764,$B171,'In Place Revenue'!$D$2:$D$764,L$169)</f>
        <v>0</v>
      </c>
      <c r="M171" s="34">
        <f>SUMIFS('In Place Revenue'!$G$2:$G$764,'In Place Revenue'!$B$2:$B$764,$B171,'In Place Revenue'!$D$2:$D$764,M$169)</f>
        <v>0</v>
      </c>
      <c r="N171" s="34">
        <f>SUMIFS('In Place Revenue'!$G$2:$G$764,'In Place Revenue'!$B$2:$B$764,$B171,'In Place Revenue'!$D$2:$D$764,N$169)</f>
        <v>0</v>
      </c>
      <c r="O171" s="34">
        <f>SUMIFS('In Place Revenue'!$G$2:$G$764,'In Place Revenue'!$B$2:$B$764,$B171,'In Place Revenue'!$D$2:$D$764,O$169)</f>
        <v>0</v>
      </c>
      <c r="P171" s="34">
        <f>SUMIFS('In Place Revenue'!$G$2:$G$764,'In Place Revenue'!$B$2:$B$764,$B171,'In Place Revenue'!$D$2:$D$764,P$169)</f>
        <v>0</v>
      </c>
      <c r="Q171" s="36">
        <f t="shared" ref="Q171:Q194" si="40">SUM(E171:P171)</f>
        <v>0</v>
      </c>
    </row>
    <row r="172" spans="2:21" hidden="1" outlineLevel="1" x14ac:dyDescent="0.35">
      <c r="B172" s="523" t="s">
        <v>386</v>
      </c>
      <c r="C172" s="115"/>
      <c r="D172" s="34" t="str">
        <f>IFERROR(VLOOKUP(B172,'In Place Revenue'!$B$2:$H$630,2,FALSE),VLOOKUP(B172,$B$200:$D$224,3,FALSE))</f>
        <v>NE Phila PA Caregiving LLC</v>
      </c>
      <c r="E172" s="34">
        <f>SUMIFS('In Place Revenue'!$G$2:$G$764,'In Place Revenue'!$B$2:$B$764,$B172,'In Place Revenue'!$D$2:$D$764,E$169)</f>
        <v>2596.67</v>
      </c>
      <c r="F172" s="34">
        <f>SUMIFS('In Place Revenue'!$G$2:$G$764,'In Place Revenue'!$B$2:$B$764,$B172,'In Place Revenue'!$D$2:$D$764,F$169)</f>
        <v>2596.67</v>
      </c>
      <c r="G172" s="34">
        <f>SUMIFS('In Place Revenue'!$G$2:$G$764,'In Place Revenue'!$B$2:$B$764,$B172,'In Place Revenue'!$D$2:$D$764,G$169)</f>
        <v>2596.67</v>
      </c>
      <c r="H172" s="34">
        <f>SUMIFS('In Place Revenue'!$G$2:$G$764,'In Place Revenue'!$B$2:$B$764,$B172,'In Place Revenue'!$D$2:$D$764,H$169)</f>
        <v>2596.67</v>
      </c>
      <c r="I172" s="34">
        <f>SUMIFS('In Place Revenue'!$G$2:$G$764,'In Place Revenue'!$B$2:$B$764,$B172,'In Place Revenue'!$D$2:$D$764,I$169)</f>
        <v>2596.67</v>
      </c>
      <c r="J172" s="34">
        <f>SUMIFS('In Place Revenue'!$G$2:$G$764,'In Place Revenue'!$B$2:$B$764,$B172,'In Place Revenue'!$D$2:$D$764,J$169)</f>
        <v>2596.67</v>
      </c>
      <c r="K172" s="34">
        <f>SUMIFS('In Place Revenue'!$G$2:$G$764,'In Place Revenue'!$B$2:$B$764,$B172,'In Place Revenue'!$D$2:$D$764,K$169)</f>
        <v>2596.67</v>
      </c>
      <c r="L172" s="34">
        <f>SUMIFS('In Place Revenue'!$G$2:$G$764,'In Place Revenue'!$B$2:$B$764,$B172,'In Place Revenue'!$D$2:$D$764,L$169)</f>
        <v>2596.67</v>
      </c>
      <c r="M172" s="34">
        <f>SUMIFS('In Place Revenue'!$G$2:$G$764,'In Place Revenue'!$B$2:$B$764,$B172,'In Place Revenue'!$D$2:$D$764,M$169)</f>
        <v>2596.67</v>
      </c>
      <c r="N172" s="34">
        <f>SUMIFS('In Place Revenue'!$G$2:$G$764,'In Place Revenue'!$B$2:$B$764,$B172,'In Place Revenue'!$D$2:$D$764,N$169)</f>
        <v>2596.67</v>
      </c>
      <c r="O172" s="34">
        <f>SUMIFS('In Place Revenue'!$G$2:$G$764,'In Place Revenue'!$B$2:$B$764,$B172,'In Place Revenue'!$D$2:$D$764,O$169)</f>
        <v>2596.67</v>
      </c>
      <c r="P172" s="34">
        <f>SUMIFS('In Place Revenue'!$G$2:$G$764,'In Place Revenue'!$B$2:$B$764,$B172,'In Place Revenue'!$D$2:$D$764,P$169)</f>
        <v>2596.67</v>
      </c>
      <c r="Q172" s="36">
        <f t="shared" si="40"/>
        <v>31160.039999999994</v>
      </c>
    </row>
    <row r="173" spans="2:21" hidden="1" outlineLevel="1" x14ac:dyDescent="0.35">
      <c r="B173" s="523" t="s">
        <v>627</v>
      </c>
      <c r="C173" s="115"/>
      <c r="D173" s="34" t="str">
        <f>IFERROR(VLOOKUP(B173,'In Place Revenue'!$B$2:$H$630,2,FALSE),VLOOKUP(B173,$B$200:$D$224,3,FALSE))</f>
        <v>VACANT</v>
      </c>
      <c r="E173" s="34">
        <f>SUMIFS('In Place Revenue'!$G$2:$G$764,'In Place Revenue'!$B$2:$B$764,$B173,'In Place Revenue'!$D$2:$D$764,E$169)</f>
        <v>0</v>
      </c>
      <c r="F173" s="34">
        <f>SUMIFS('In Place Revenue'!$G$2:$G$764,'In Place Revenue'!$B$2:$B$764,$B173,'In Place Revenue'!$D$2:$D$764,F$169)</f>
        <v>0</v>
      </c>
      <c r="G173" s="34">
        <f>SUMIFS('In Place Revenue'!$G$2:$G$764,'In Place Revenue'!$B$2:$B$764,$B173,'In Place Revenue'!$D$2:$D$764,G$169)</f>
        <v>0</v>
      </c>
      <c r="H173" s="34">
        <f>SUMIFS('In Place Revenue'!$G$2:$G$764,'In Place Revenue'!$B$2:$B$764,$B173,'In Place Revenue'!$D$2:$D$764,H$169)</f>
        <v>0</v>
      </c>
      <c r="I173" s="34">
        <f>SUMIFS('In Place Revenue'!$G$2:$G$764,'In Place Revenue'!$B$2:$B$764,$B173,'In Place Revenue'!$D$2:$D$764,I$169)</f>
        <v>0</v>
      </c>
      <c r="J173" s="34">
        <f>SUMIFS('In Place Revenue'!$G$2:$G$764,'In Place Revenue'!$B$2:$B$764,$B173,'In Place Revenue'!$D$2:$D$764,J$169)</f>
        <v>0</v>
      </c>
      <c r="K173" s="34">
        <f>SUMIFS('In Place Revenue'!$G$2:$G$764,'In Place Revenue'!$B$2:$B$764,$B173,'In Place Revenue'!$D$2:$D$764,K$169)</f>
        <v>0</v>
      </c>
      <c r="L173" s="34">
        <f>SUMIFS('In Place Revenue'!$G$2:$G$764,'In Place Revenue'!$B$2:$B$764,$B173,'In Place Revenue'!$D$2:$D$764,L$169)</f>
        <v>0</v>
      </c>
      <c r="M173" s="34">
        <f>SUMIFS('In Place Revenue'!$G$2:$G$764,'In Place Revenue'!$B$2:$B$764,$B173,'In Place Revenue'!$D$2:$D$764,M$169)</f>
        <v>0</v>
      </c>
      <c r="N173" s="34">
        <f>SUMIFS('In Place Revenue'!$G$2:$G$764,'In Place Revenue'!$B$2:$B$764,$B173,'In Place Revenue'!$D$2:$D$764,N$169)</f>
        <v>0</v>
      </c>
      <c r="O173" s="34">
        <f>SUMIFS('In Place Revenue'!$G$2:$G$764,'In Place Revenue'!$B$2:$B$764,$B173,'In Place Revenue'!$D$2:$D$764,O$169)</f>
        <v>0</v>
      </c>
      <c r="P173" s="34">
        <f>SUMIFS('In Place Revenue'!$G$2:$G$764,'In Place Revenue'!$B$2:$B$764,$B173,'In Place Revenue'!$D$2:$D$764,P$169)</f>
        <v>0</v>
      </c>
      <c r="Q173" s="36">
        <f t="shared" si="40"/>
        <v>0</v>
      </c>
    </row>
    <row r="174" spans="2:21" hidden="1" outlineLevel="1" x14ac:dyDescent="0.35">
      <c r="B174" s="523" t="s">
        <v>388</v>
      </c>
      <c r="C174" s="115"/>
      <c r="D174" s="34" t="str">
        <f>IFERROR(VLOOKUP(B174,'In Place Revenue'!$B$2:$H$630,2,FALSE),VLOOKUP(B174,$B$200:$D$224,3,FALSE))</f>
        <v>CBIZ Operations, Inc.</v>
      </c>
      <c r="E174" s="34">
        <f>SUMIFS('In Place Revenue'!$G$2:$G$764,'In Place Revenue'!$B$2:$B$764,$B174,'In Place Revenue'!$D$2:$D$764,E$169)</f>
        <v>4147</v>
      </c>
      <c r="F174" s="34">
        <f>SUMIFS('In Place Revenue'!$G$2:$G$764,'In Place Revenue'!$B$2:$B$764,$B174,'In Place Revenue'!$D$2:$D$764,F$169)</f>
        <v>4147</v>
      </c>
      <c r="G174" s="34">
        <f>SUMIFS('In Place Revenue'!$G$2:$G$764,'In Place Revenue'!$B$2:$B$764,$B174,'In Place Revenue'!$D$2:$D$764,G$169)</f>
        <v>4147</v>
      </c>
      <c r="H174" s="34">
        <f>SUMIFS('In Place Revenue'!$G$2:$G$764,'In Place Revenue'!$B$2:$B$764,$B174,'In Place Revenue'!$D$2:$D$764,H$169)</f>
        <v>4253.33</v>
      </c>
      <c r="I174" s="34">
        <f>SUMIFS('In Place Revenue'!$G$2:$G$764,'In Place Revenue'!$B$2:$B$764,$B174,'In Place Revenue'!$D$2:$D$764,I$169)</f>
        <v>4253.33</v>
      </c>
      <c r="J174" s="34">
        <f>SUMIFS('In Place Revenue'!$G$2:$G$764,'In Place Revenue'!$B$2:$B$764,$B174,'In Place Revenue'!$D$2:$D$764,J$169)</f>
        <v>4253.33</v>
      </c>
      <c r="K174" s="34">
        <f>SUMIFS('In Place Revenue'!$G$2:$G$764,'In Place Revenue'!$B$2:$B$764,$B174,'In Place Revenue'!$D$2:$D$764,K$169)</f>
        <v>4253.33</v>
      </c>
      <c r="L174" s="34">
        <f>SUMIFS('In Place Revenue'!$G$2:$G$764,'In Place Revenue'!$B$2:$B$764,$B174,'In Place Revenue'!$D$2:$D$764,L$169)</f>
        <v>4253.33</v>
      </c>
      <c r="M174" s="34">
        <f>SUMIFS('In Place Revenue'!$G$2:$G$764,'In Place Revenue'!$B$2:$B$764,$B174,'In Place Revenue'!$D$2:$D$764,M$169)</f>
        <v>4253.33</v>
      </c>
      <c r="N174" s="34">
        <f>SUMIFS('In Place Revenue'!$G$2:$G$764,'In Place Revenue'!$B$2:$B$764,$B174,'In Place Revenue'!$D$2:$D$764,N$169)</f>
        <v>4253.33</v>
      </c>
      <c r="O174" s="34">
        <f>SUMIFS('In Place Revenue'!$G$2:$G$764,'In Place Revenue'!$B$2:$B$764,$B174,'In Place Revenue'!$D$2:$D$764,O$169)</f>
        <v>4253.33</v>
      </c>
      <c r="P174" s="34">
        <f>SUMIFS('In Place Revenue'!$G$2:$G$764,'In Place Revenue'!$B$2:$B$764,$B174,'In Place Revenue'!$D$2:$D$764,P$169)</f>
        <v>4253.33</v>
      </c>
      <c r="Q174" s="36">
        <f t="shared" si="40"/>
        <v>50720.970000000016</v>
      </c>
    </row>
    <row r="175" spans="2:21" hidden="1" outlineLevel="1" x14ac:dyDescent="0.35">
      <c r="B175" s="523" t="s">
        <v>628</v>
      </c>
      <c r="C175" s="115"/>
      <c r="D175" s="34" t="str">
        <f>IFERROR(VLOOKUP(B175,'In Place Revenue'!$B$2:$H$630,2,FALSE),VLOOKUP(B175,$B$200:$D$224,3,FALSE))</f>
        <v>MVC MSO, LLC</v>
      </c>
      <c r="E175" s="34">
        <f>SUMIFS('In Place Revenue'!$G$2:$G$764,'In Place Revenue'!$B$2:$B$764,$B175,'In Place Revenue'!$D$2:$D$764,E$169)</f>
        <v>0</v>
      </c>
      <c r="F175" s="34">
        <f>SUMIFS('In Place Revenue'!$G$2:$G$764,'In Place Revenue'!$B$2:$B$764,$B175,'In Place Revenue'!$D$2:$D$764,F$169)</f>
        <v>0</v>
      </c>
      <c r="G175" s="34">
        <f>SUMIFS('In Place Revenue'!$G$2:$G$764,'In Place Revenue'!$B$2:$B$764,$B175,'In Place Revenue'!$D$2:$D$764,G$169)</f>
        <v>0</v>
      </c>
      <c r="H175" s="34">
        <f>SUMIFS('In Place Revenue'!$G$2:$G$764,'In Place Revenue'!$B$2:$B$764,$B175,'In Place Revenue'!$D$2:$D$764,H$169)</f>
        <v>0</v>
      </c>
      <c r="I175" s="34">
        <f>SUMIFS('In Place Revenue'!$G$2:$G$764,'In Place Revenue'!$B$2:$B$764,$B175,'In Place Revenue'!$D$2:$D$764,I$169)</f>
        <v>0</v>
      </c>
      <c r="J175" s="34">
        <f>SUMIFS('In Place Revenue'!$G$2:$G$764,'In Place Revenue'!$B$2:$B$764,$B175,'In Place Revenue'!$D$2:$D$764,J$169)</f>
        <v>0</v>
      </c>
      <c r="K175" s="34">
        <f>SUMIFS('In Place Revenue'!$G$2:$G$764,'In Place Revenue'!$B$2:$B$764,$B175,'In Place Revenue'!$D$2:$D$764,K$169)</f>
        <v>0</v>
      </c>
      <c r="L175" s="34">
        <f>SUMIFS('In Place Revenue'!$G$2:$G$764,'In Place Revenue'!$B$2:$B$764,$B175,'In Place Revenue'!$D$2:$D$764,L$169)</f>
        <v>0</v>
      </c>
      <c r="M175" s="34">
        <f>SUMIFS('In Place Revenue'!$G$2:$G$764,'In Place Revenue'!$B$2:$B$764,$B175,'In Place Revenue'!$D$2:$D$764,M$169)</f>
        <v>0</v>
      </c>
      <c r="N175" s="34">
        <f>SUMIFS('In Place Revenue'!$G$2:$G$764,'In Place Revenue'!$B$2:$B$764,$B175,'In Place Revenue'!$D$2:$D$764,N$169)</f>
        <v>0</v>
      </c>
      <c r="O175" s="34">
        <f>SUMIFS('In Place Revenue'!$G$2:$G$764,'In Place Revenue'!$B$2:$B$764,$B175,'In Place Revenue'!$D$2:$D$764,O$169)</f>
        <v>0</v>
      </c>
      <c r="P175" s="34">
        <f>SUMIFS('In Place Revenue'!$G$2:$G$764,'In Place Revenue'!$B$2:$B$764,$B175,'In Place Revenue'!$D$2:$D$764,P$169)</f>
        <v>0</v>
      </c>
      <c r="Q175" s="36">
        <f t="shared" ref="Q175:Q183" si="41">SUM(E175:P175)</f>
        <v>0</v>
      </c>
    </row>
    <row r="176" spans="2:21" hidden="1" outlineLevel="1" x14ac:dyDescent="0.35">
      <c r="B176" s="523" t="s">
        <v>250</v>
      </c>
      <c r="C176" s="115"/>
      <c r="D176" s="34" t="str">
        <f>IFERROR(VLOOKUP(B176,'In Place Revenue'!$B$2:$H$630,2,FALSE),VLOOKUP(B176,$B$200:$D$224,3,FALSE))</f>
        <v>Kahak PA, Inc.</v>
      </c>
      <c r="E176" s="34">
        <f>SUMIFS('In Place Revenue'!$G$2:$G$764,'In Place Revenue'!$B$2:$B$764,$B176,'In Place Revenue'!$D$2:$D$764,E$169)</f>
        <v>1539.18</v>
      </c>
      <c r="F176" s="34">
        <f>SUMIFS('In Place Revenue'!$G$2:$G$764,'In Place Revenue'!$B$2:$B$764,$B176,'In Place Revenue'!$D$2:$D$764,F$169)</f>
        <v>1539.18</v>
      </c>
      <c r="G176" s="34">
        <f>SUMIFS('In Place Revenue'!$G$2:$G$764,'In Place Revenue'!$B$2:$B$764,$B176,'In Place Revenue'!$D$2:$D$764,G$169)</f>
        <v>1539.18</v>
      </c>
      <c r="H176" s="34">
        <f>SUMIFS('In Place Revenue'!$G$2:$G$764,'In Place Revenue'!$B$2:$B$764,$B176,'In Place Revenue'!$D$2:$D$764,H$169)</f>
        <v>1539.18</v>
      </c>
      <c r="I176" s="34">
        <f>SUMIFS('In Place Revenue'!$G$2:$G$764,'In Place Revenue'!$B$2:$B$764,$B176,'In Place Revenue'!$D$2:$D$764,I$169)</f>
        <v>1539.18</v>
      </c>
      <c r="J176" s="34">
        <f>SUMIFS('In Place Revenue'!$G$2:$G$764,'In Place Revenue'!$B$2:$B$764,$B176,'In Place Revenue'!$D$2:$D$764,J$169)</f>
        <v>1539.18</v>
      </c>
      <c r="K176" s="34">
        <f>SUMIFS('In Place Revenue'!$G$2:$G$764,'In Place Revenue'!$B$2:$B$764,$B176,'In Place Revenue'!$D$2:$D$764,K$169)</f>
        <v>1539.18</v>
      </c>
      <c r="L176" s="34">
        <f>SUMIFS('In Place Revenue'!$G$2:$G$764,'In Place Revenue'!$B$2:$B$764,$B176,'In Place Revenue'!$D$2:$D$764,L$169)</f>
        <v>1539.18</v>
      </c>
      <c r="M176" s="34">
        <f>SUMIFS('In Place Revenue'!$G$2:$G$764,'In Place Revenue'!$B$2:$B$764,$B176,'In Place Revenue'!$D$2:$D$764,M$169)</f>
        <v>1539.18</v>
      </c>
      <c r="N176" s="34">
        <f>SUMIFS('In Place Revenue'!$G$2:$G$764,'In Place Revenue'!$B$2:$B$764,$B176,'In Place Revenue'!$D$2:$D$764,N$169)</f>
        <v>1539.18</v>
      </c>
      <c r="O176" s="34">
        <f>SUMIFS('In Place Revenue'!$G$2:$G$764,'In Place Revenue'!$B$2:$B$764,$B176,'In Place Revenue'!$D$2:$D$764,O$169)</f>
        <v>1539.18</v>
      </c>
      <c r="P176" s="34">
        <f>SUMIFS('In Place Revenue'!$G$2:$G$764,'In Place Revenue'!$B$2:$B$764,$B176,'In Place Revenue'!$D$2:$D$764,P$169)</f>
        <v>1539.18</v>
      </c>
      <c r="Q176" s="36">
        <f t="shared" si="41"/>
        <v>18470.16</v>
      </c>
    </row>
    <row r="177" spans="2:17" hidden="1" outlineLevel="1" x14ac:dyDescent="0.35">
      <c r="B177" s="523" t="s">
        <v>176</v>
      </c>
      <c r="C177" s="115"/>
      <c r="D177" s="34" t="str">
        <f>IFERROR(VLOOKUP(B177,'In Place Revenue'!$B$2:$H$630,2,FALSE),VLOOKUP(B177,$B$200:$D$224,3,FALSE))</f>
        <v>Presidential Bank, FSB</v>
      </c>
      <c r="E177" s="34">
        <f>SUMIFS('In Place Revenue'!$G$2:$G$764,'In Place Revenue'!$B$2:$B$764,$B177,'In Place Revenue'!$D$2:$D$764,E$169)</f>
        <v>2000.17</v>
      </c>
      <c r="F177" s="34">
        <f>SUMIFS('In Place Revenue'!$G$2:$G$764,'In Place Revenue'!$B$2:$B$764,$B177,'In Place Revenue'!$D$2:$D$764,F$169)</f>
        <v>2000.17</v>
      </c>
      <c r="G177" s="34">
        <f>SUMIFS('In Place Revenue'!$G$2:$G$764,'In Place Revenue'!$B$2:$B$764,$B177,'In Place Revenue'!$D$2:$D$764,G$169)</f>
        <v>2000.17</v>
      </c>
      <c r="H177" s="34">
        <f>SUMIFS('In Place Revenue'!$G$2:$G$764,'In Place Revenue'!$B$2:$B$764,$B177,'In Place Revenue'!$D$2:$D$764,H$169)</f>
        <v>0</v>
      </c>
      <c r="I177" s="34">
        <f>SUMIFS('In Place Revenue'!$G$2:$G$764,'In Place Revenue'!$B$2:$B$764,$B177,'In Place Revenue'!$D$2:$D$764,I$169)</f>
        <v>0</v>
      </c>
      <c r="J177" s="34">
        <f>SUMIFS('In Place Revenue'!$G$2:$G$764,'In Place Revenue'!$B$2:$B$764,$B177,'In Place Revenue'!$D$2:$D$764,J$169)</f>
        <v>0</v>
      </c>
      <c r="K177" s="34">
        <f>SUMIFS('In Place Revenue'!$G$2:$G$764,'In Place Revenue'!$B$2:$B$764,$B177,'In Place Revenue'!$D$2:$D$764,K$169)</f>
        <v>0</v>
      </c>
      <c r="L177" s="34">
        <f>SUMIFS('In Place Revenue'!$G$2:$G$764,'In Place Revenue'!$B$2:$B$764,$B177,'In Place Revenue'!$D$2:$D$764,L$169)</f>
        <v>0</v>
      </c>
      <c r="M177" s="34">
        <f>SUMIFS('In Place Revenue'!$G$2:$G$764,'In Place Revenue'!$B$2:$B$764,$B177,'In Place Revenue'!$D$2:$D$764,M$169)</f>
        <v>0</v>
      </c>
      <c r="N177" s="34">
        <f>SUMIFS('In Place Revenue'!$G$2:$G$764,'In Place Revenue'!$B$2:$B$764,$B177,'In Place Revenue'!$D$2:$D$764,N$169)</f>
        <v>0</v>
      </c>
      <c r="O177" s="34">
        <f>SUMIFS('In Place Revenue'!$G$2:$G$764,'In Place Revenue'!$B$2:$B$764,$B177,'In Place Revenue'!$D$2:$D$764,O$169)</f>
        <v>0</v>
      </c>
      <c r="P177" s="34">
        <f>SUMIFS('In Place Revenue'!$G$2:$G$764,'In Place Revenue'!$B$2:$B$764,$B177,'In Place Revenue'!$D$2:$D$764,P$169)</f>
        <v>0</v>
      </c>
      <c r="Q177" s="36">
        <f t="shared" si="41"/>
        <v>6000.51</v>
      </c>
    </row>
    <row r="178" spans="2:17" hidden="1" outlineLevel="1" x14ac:dyDescent="0.35">
      <c r="B178" s="523" t="s">
        <v>278</v>
      </c>
      <c r="C178" s="115"/>
      <c r="D178" s="34" t="str">
        <f>IFERROR(VLOOKUP(B178,'In Place Revenue'!$B$2:$H$630,2,FALSE),VLOOKUP(B178,$B$200:$D$224,3,FALSE))</f>
        <v>Law Offices of Sandra W Morris</v>
      </c>
      <c r="E178" s="34">
        <f>SUMIFS('In Place Revenue'!$G$2:$G$764,'In Place Revenue'!$B$2:$B$764,$B178,'In Place Revenue'!$D$2:$D$764,E$169)</f>
        <v>3317.08</v>
      </c>
      <c r="F178" s="34">
        <f>SUMIFS('In Place Revenue'!$G$2:$G$764,'In Place Revenue'!$B$2:$B$764,$B178,'In Place Revenue'!$D$2:$D$764,F$169)</f>
        <v>3317.08</v>
      </c>
      <c r="G178" s="34">
        <f>SUMIFS('In Place Revenue'!$G$2:$G$764,'In Place Revenue'!$B$2:$B$764,$B178,'In Place Revenue'!$D$2:$D$764,G$169)</f>
        <v>3317.08</v>
      </c>
      <c r="H178" s="34">
        <f>SUMIFS('In Place Revenue'!$G$2:$G$764,'In Place Revenue'!$B$2:$B$764,$B178,'In Place Revenue'!$D$2:$D$764,H$169)</f>
        <v>3317.08</v>
      </c>
      <c r="I178" s="34">
        <f>SUMIFS('In Place Revenue'!$G$2:$G$764,'In Place Revenue'!$B$2:$B$764,$B178,'In Place Revenue'!$D$2:$D$764,I$169)</f>
        <v>3317.08</v>
      </c>
      <c r="J178" s="34">
        <f>SUMIFS('In Place Revenue'!$G$2:$G$764,'In Place Revenue'!$B$2:$B$764,$B178,'In Place Revenue'!$D$2:$D$764,J$169)</f>
        <v>3317.08</v>
      </c>
      <c r="K178" s="34">
        <f>SUMIFS('In Place Revenue'!$G$2:$G$764,'In Place Revenue'!$B$2:$B$764,$B178,'In Place Revenue'!$D$2:$D$764,K$169)</f>
        <v>3317.08</v>
      </c>
      <c r="L178" s="34">
        <f>SUMIFS('In Place Revenue'!$G$2:$G$764,'In Place Revenue'!$B$2:$B$764,$B178,'In Place Revenue'!$D$2:$D$764,L$169)</f>
        <v>3317.08</v>
      </c>
      <c r="M178" s="34">
        <f>SUMIFS('In Place Revenue'!$G$2:$G$764,'In Place Revenue'!$B$2:$B$764,$B178,'In Place Revenue'!$D$2:$D$764,M$169)</f>
        <v>3317.08</v>
      </c>
      <c r="N178" s="34">
        <f>SUMIFS('In Place Revenue'!$G$2:$G$764,'In Place Revenue'!$B$2:$B$764,$B178,'In Place Revenue'!$D$2:$D$764,N$169)</f>
        <v>3317.08</v>
      </c>
      <c r="O178" s="34">
        <f>SUMIFS('In Place Revenue'!$G$2:$G$764,'In Place Revenue'!$B$2:$B$764,$B178,'In Place Revenue'!$D$2:$D$764,O$169)</f>
        <v>3317.08</v>
      </c>
      <c r="P178" s="34">
        <f>SUMIFS('In Place Revenue'!$G$2:$G$764,'In Place Revenue'!$B$2:$B$764,$B178,'In Place Revenue'!$D$2:$D$764,P$169)</f>
        <v>3317.08</v>
      </c>
      <c r="Q178" s="36">
        <f t="shared" si="41"/>
        <v>39804.960000000014</v>
      </c>
    </row>
    <row r="179" spans="2:17" hidden="1" outlineLevel="1" x14ac:dyDescent="0.35">
      <c r="B179" s="523" t="s">
        <v>178</v>
      </c>
      <c r="C179" s="115"/>
      <c r="D179" s="34" t="str">
        <f>IFERROR(VLOOKUP(B179,'In Place Revenue'!$B$2:$H$630,2,FALSE),VLOOKUP(B179,$B$200:$D$224,3,FALSE))</f>
        <v>Legal Trucking LLC</v>
      </c>
      <c r="E179" s="34">
        <f>SUMIFS('In Place Revenue'!$G$2:$G$764,'In Place Revenue'!$B$2:$B$764,$B179,'In Place Revenue'!$D$2:$D$764,E$169)</f>
        <v>1784.25</v>
      </c>
      <c r="F179" s="34">
        <f>SUMIFS('In Place Revenue'!$G$2:$G$764,'In Place Revenue'!$B$2:$B$764,$B179,'In Place Revenue'!$D$2:$D$764,F$169)</f>
        <v>1784.25</v>
      </c>
      <c r="G179" s="34">
        <f>SUMIFS('In Place Revenue'!$G$2:$G$764,'In Place Revenue'!$B$2:$B$764,$B179,'In Place Revenue'!$D$2:$D$764,G$169)</f>
        <v>1784.25</v>
      </c>
      <c r="H179" s="34">
        <f>SUMIFS('In Place Revenue'!$G$2:$G$764,'In Place Revenue'!$B$2:$B$764,$B179,'In Place Revenue'!$D$2:$D$764,H$169)</f>
        <v>1784.25</v>
      </c>
      <c r="I179" s="34">
        <f>SUMIFS('In Place Revenue'!$G$2:$G$764,'In Place Revenue'!$B$2:$B$764,$B179,'In Place Revenue'!$D$2:$D$764,I$169)</f>
        <v>1784.25</v>
      </c>
      <c r="J179" s="34">
        <f>SUMIFS('In Place Revenue'!$G$2:$G$764,'In Place Revenue'!$B$2:$B$764,$B179,'In Place Revenue'!$D$2:$D$764,J$169)</f>
        <v>1784.25</v>
      </c>
      <c r="K179" s="34">
        <f>SUMIFS('In Place Revenue'!$G$2:$G$764,'In Place Revenue'!$B$2:$B$764,$B179,'In Place Revenue'!$D$2:$D$764,K$169)</f>
        <v>1784.25</v>
      </c>
      <c r="L179" s="34">
        <f>SUMIFS('In Place Revenue'!$G$2:$G$764,'In Place Revenue'!$B$2:$B$764,$B179,'In Place Revenue'!$D$2:$D$764,L$169)</f>
        <v>0</v>
      </c>
      <c r="M179" s="34">
        <f>SUMIFS('In Place Revenue'!$G$2:$G$764,'In Place Revenue'!$B$2:$B$764,$B179,'In Place Revenue'!$D$2:$D$764,M$169)</f>
        <v>0</v>
      </c>
      <c r="N179" s="34">
        <f>SUMIFS('In Place Revenue'!$G$2:$G$764,'In Place Revenue'!$B$2:$B$764,$B179,'In Place Revenue'!$D$2:$D$764,N$169)</f>
        <v>0</v>
      </c>
      <c r="O179" s="34">
        <f>SUMIFS('In Place Revenue'!$G$2:$G$764,'In Place Revenue'!$B$2:$B$764,$B179,'In Place Revenue'!$D$2:$D$764,O$169)</f>
        <v>0</v>
      </c>
      <c r="P179" s="34">
        <f>SUMIFS('In Place Revenue'!$G$2:$G$764,'In Place Revenue'!$B$2:$B$764,$B179,'In Place Revenue'!$D$2:$D$764,P$169)</f>
        <v>0</v>
      </c>
      <c r="Q179" s="36">
        <f t="shared" si="41"/>
        <v>12489.75</v>
      </c>
    </row>
    <row r="180" spans="2:17" hidden="1" outlineLevel="1" x14ac:dyDescent="0.35">
      <c r="B180" s="523" t="s">
        <v>629</v>
      </c>
      <c r="C180" s="115"/>
      <c r="D180" s="34" t="str">
        <f>IFERROR(VLOOKUP(B180,'In Place Revenue'!$B$2:$H$630,2,FALSE),VLOOKUP(B180,$B$200:$D$224,3,FALSE))</f>
        <v>VACANT</v>
      </c>
      <c r="E180" s="34">
        <f>SUMIFS('In Place Revenue'!$G$2:$G$764,'In Place Revenue'!$B$2:$B$764,$B180,'In Place Revenue'!$D$2:$D$764,E$169)</f>
        <v>0</v>
      </c>
      <c r="F180" s="34">
        <f>SUMIFS('In Place Revenue'!$G$2:$G$764,'In Place Revenue'!$B$2:$B$764,$B180,'In Place Revenue'!$D$2:$D$764,F$169)</f>
        <v>0</v>
      </c>
      <c r="G180" s="34">
        <f>SUMIFS('In Place Revenue'!$G$2:$G$764,'In Place Revenue'!$B$2:$B$764,$B180,'In Place Revenue'!$D$2:$D$764,G$169)</f>
        <v>0</v>
      </c>
      <c r="H180" s="34">
        <f>SUMIFS('In Place Revenue'!$G$2:$G$764,'In Place Revenue'!$B$2:$B$764,$B180,'In Place Revenue'!$D$2:$D$764,H$169)</f>
        <v>0</v>
      </c>
      <c r="I180" s="34">
        <f>SUMIFS('In Place Revenue'!$G$2:$G$764,'In Place Revenue'!$B$2:$B$764,$B180,'In Place Revenue'!$D$2:$D$764,I$169)</f>
        <v>0</v>
      </c>
      <c r="J180" s="34">
        <f>SUMIFS('In Place Revenue'!$G$2:$G$764,'In Place Revenue'!$B$2:$B$764,$B180,'In Place Revenue'!$D$2:$D$764,J$169)</f>
        <v>0</v>
      </c>
      <c r="K180" s="34">
        <f>SUMIFS('In Place Revenue'!$G$2:$G$764,'In Place Revenue'!$B$2:$B$764,$B180,'In Place Revenue'!$D$2:$D$764,K$169)</f>
        <v>0</v>
      </c>
      <c r="L180" s="34">
        <f>SUMIFS('In Place Revenue'!$G$2:$G$764,'In Place Revenue'!$B$2:$B$764,$B180,'In Place Revenue'!$D$2:$D$764,L$169)</f>
        <v>0</v>
      </c>
      <c r="M180" s="34">
        <f>SUMIFS('In Place Revenue'!$G$2:$G$764,'In Place Revenue'!$B$2:$B$764,$B180,'In Place Revenue'!$D$2:$D$764,M$169)</f>
        <v>0</v>
      </c>
      <c r="N180" s="34">
        <f>SUMIFS('In Place Revenue'!$G$2:$G$764,'In Place Revenue'!$B$2:$B$764,$B180,'In Place Revenue'!$D$2:$D$764,N$169)</f>
        <v>0</v>
      </c>
      <c r="O180" s="34">
        <f>SUMIFS('In Place Revenue'!$G$2:$G$764,'In Place Revenue'!$B$2:$B$764,$B180,'In Place Revenue'!$D$2:$D$764,O$169)</f>
        <v>0</v>
      </c>
      <c r="P180" s="34">
        <f>SUMIFS('In Place Revenue'!$G$2:$G$764,'In Place Revenue'!$B$2:$B$764,$B180,'In Place Revenue'!$D$2:$D$764,P$169)</f>
        <v>0</v>
      </c>
      <c r="Q180" s="36">
        <f t="shared" si="41"/>
        <v>0</v>
      </c>
    </row>
    <row r="181" spans="2:17" hidden="1" outlineLevel="1" x14ac:dyDescent="0.35">
      <c r="B181" s="523" t="s">
        <v>244</v>
      </c>
      <c r="C181" s="115"/>
      <c r="D181" s="34" t="str">
        <f>IFERROR(VLOOKUP(B181,'In Place Revenue'!$B$2:$H$630,2,FALSE),VLOOKUP(B181,$B$200:$D$224,3,FALSE))</f>
        <v>Zev Express, Inc.</v>
      </c>
      <c r="E181" s="34">
        <f>SUMIFS('In Place Revenue'!$G$2:$G$764,'In Place Revenue'!$B$2:$B$764,$B181,'In Place Revenue'!$D$2:$D$764,E$169)</f>
        <v>3464.5</v>
      </c>
      <c r="F181" s="34">
        <f>SUMIFS('In Place Revenue'!$G$2:$G$764,'In Place Revenue'!$B$2:$B$764,$B181,'In Place Revenue'!$D$2:$D$764,F$169)</f>
        <v>3464.5</v>
      </c>
      <c r="G181" s="34">
        <f>SUMIFS('In Place Revenue'!$G$2:$G$764,'In Place Revenue'!$B$2:$B$764,$B181,'In Place Revenue'!$D$2:$D$764,G$169)</f>
        <v>3464.5</v>
      </c>
      <c r="H181" s="34">
        <f>SUMIFS('In Place Revenue'!$G$2:$G$764,'In Place Revenue'!$B$2:$B$764,$B181,'In Place Revenue'!$D$2:$D$764,H$169)</f>
        <v>3464.5</v>
      </c>
      <c r="I181" s="34">
        <f>SUMIFS('In Place Revenue'!$G$2:$G$764,'In Place Revenue'!$B$2:$B$764,$B181,'In Place Revenue'!$D$2:$D$764,I$169)</f>
        <v>3464.5</v>
      </c>
      <c r="J181" s="34">
        <f>SUMIFS('In Place Revenue'!$G$2:$G$764,'In Place Revenue'!$B$2:$B$764,$B181,'In Place Revenue'!$D$2:$D$764,J$169)</f>
        <v>3464.5</v>
      </c>
      <c r="K181" s="34">
        <f>SUMIFS('In Place Revenue'!$G$2:$G$764,'In Place Revenue'!$B$2:$B$764,$B181,'In Place Revenue'!$D$2:$D$764,K$169)</f>
        <v>3464.5</v>
      </c>
      <c r="L181" s="34">
        <f>SUMIFS('In Place Revenue'!$G$2:$G$764,'In Place Revenue'!$B$2:$B$764,$B181,'In Place Revenue'!$D$2:$D$764,L$169)</f>
        <v>3464.5</v>
      </c>
      <c r="M181" s="34">
        <f>SUMIFS('In Place Revenue'!$G$2:$G$764,'In Place Revenue'!$B$2:$B$764,$B181,'In Place Revenue'!$D$2:$D$764,M$169)</f>
        <v>3464.5</v>
      </c>
      <c r="N181" s="34">
        <f>SUMIFS('In Place Revenue'!$G$2:$G$764,'In Place Revenue'!$B$2:$B$764,$B181,'In Place Revenue'!$D$2:$D$764,N$169)</f>
        <v>3464.5</v>
      </c>
      <c r="O181" s="34">
        <f>SUMIFS('In Place Revenue'!$G$2:$G$764,'In Place Revenue'!$B$2:$B$764,$B181,'In Place Revenue'!$D$2:$D$764,O$169)</f>
        <v>3464.5</v>
      </c>
      <c r="P181" s="34">
        <f>SUMIFS('In Place Revenue'!$G$2:$G$764,'In Place Revenue'!$B$2:$B$764,$B181,'In Place Revenue'!$D$2:$D$764,P$169)</f>
        <v>3464.5</v>
      </c>
      <c r="Q181" s="36">
        <f t="shared" si="41"/>
        <v>41574</v>
      </c>
    </row>
    <row r="182" spans="2:17" hidden="1" outlineLevel="1" x14ac:dyDescent="0.35">
      <c r="B182" s="523" t="s">
        <v>249</v>
      </c>
      <c r="C182" s="115"/>
      <c r="D182" s="34" t="str">
        <f>IFERROR(VLOOKUP(B182,'In Place Revenue'!$B$2:$H$630,2,FALSE),VLOOKUP(B182,$B$200:$D$224,3,FALSE))</f>
        <v>Affinity Care of Pennsylvania</v>
      </c>
      <c r="E182" s="34">
        <f>SUMIFS('In Place Revenue'!$G$2:$G$764,'In Place Revenue'!$B$2:$B$764,$B182,'In Place Revenue'!$D$2:$D$764,E$169)</f>
        <v>2571.04</v>
      </c>
      <c r="F182" s="34">
        <f>SUMIFS('In Place Revenue'!$G$2:$G$764,'In Place Revenue'!$B$2:$B$764,$B182,'In Place Revenue'!$D$2:$D$764,F$169)</f>
        <v>2571.04</v>
      </c>
      <c r="G182" s="34">
        <f>SUMIFS('In Place Revenue'!$G$2:$G$764,'In Place Revenue'!$B$2:$B$764,$B182,'In Place Revenue'!$D$2:$D$764,G$169)</f>
        <v>2571.04</v>
      </c>
      <c r="H182" s="34">
        <f>SUMIFS('In Place Revenue'!$G$2:$G$764,'In Place Revenue'!$B$2:$B$764,$B182,'In Place Revenue'!$D$2:$D$764,H$169)</f>
        <v>2571.04</v>
      </c>
      <c r="I182" s="34">
        <f>SUMIFS('In Place Revenue'!$G$2:$G$764,'In Place Revenue'!$B$2:$B$764,$B182,'In Place Revenue'!$D$2:$D$764,I$169)</f>
        <v>2571.04</v>
      </c>
      <c r="J182" s="34">
        <f>SUMIFS('In Place Revenue'!$G$2:$G$764,'In Place Revenue'!$B$2:$B$764,$B182,'In Place Revenue'!$D$2:$D$764,J$169)</f>
        <v>2571.04</v>
      </c>
      <c r="K182" s="34">
        <f>SUMIFS('In Place Revenue'!$G$2:$G$764,'In Place Revenue'!$B$2:$B$764,$B182,'In Place Revenue'!$D$2:$D$764,K$169)</f>
        <v>2571.04</v>
      </c>
      <c r="L182" s="34">
        <f>SUMIFS('In Place Revenue'!$G$2:$G$764,'In Place Revenue'!$B$2:$B$764,$B182,'In Place Revenue'!$D$2:$D$764,L$169)</f>
        <v>2571.04</v>
      </c>
      <c r="M182" s="34">
        <f>SUMIFS('In Place Revenue'!$G$2:$G$764,'In Place Revenue'!$B$2:$B$764,$B182,'In Place Revenue'!$D$2:$D$764,M$169)</f>
        <v>2571.04</v>
      </c>
      <c r="N182" s="34">
        <f>SUMIFS('In Place Revenue'!$G$2:$G$764,'In Place Revenue'!$B$2:$B$764,$B182,'In Place Revenue'!$D$2:$D$764,N$169)</f>
        <v>2571.04</v>
      </c>
      <c r="O182" s="34">
        <f>SUMIFS('In Place Revenue'!$G$2:$G$764,'In Place Revenue'!$B$2:$B$764,$B182,'In Place Revenue'!$D$2:$D$764,O$169)</f>
        <v>2633.75</v>
      </c>
      <c r="P182" s="34">
        <f>SUMIFS('In Place Revenue'!$G$2:$G$764,'In Place Revenue'!$B$2:$B$764,$B182,'In Place Revenue'!$D$2:$D$764,P$169)</f>
        <v>2633.75</v>
      </c>
      <c r="Q182" s="36">
        <f t="shared" si="41"/>
        <v>30977.900000000005</v>
      </c>
    </row>
    <row r="183" spans="2:17" hidden="1" outlineLevel="1" x14ac:dyDescent="0.35">
      <c r="B183" s="523" t="s">
        <v>179</v>
      </c>
      <c r="C183" s="115"/>
      <c r="D183" s="34" t="str">
        <f>IFERROR(VLOOKUP(B183,'In Place Revenue'!$B$2:$H$630,2,FALSE),VLOOKUP(B183,$B$200:$D$224,3,FALSE))</f>
        <v>Helping Hand Nurse, LLC</v>
      </c>
      <c r="E183" s="34">
        <f>SUMIFS('In Place Revenue'!$G$2:$G$764,'In Place Revenue'!$B$2:$B$764,$B183,'In Place Revenue'!$D$2:$D$764,E$169)</f>
        <v>3985.21</v>
      </c>
      <c r="F183" s="34">
        <f>SUMIFS('In Place Revenue'!$G$2:$G$764,'In Place Revenue'!$B$2:$B$764,$B183,'In Place Revenue'!$D$2:$D$764,F$169)</f>
        <v>4092.92</v>
      </c>
      <c r="G183" s="34">
        <f>SUMIFS('In Place Revenue'!$G$2:$G$764,'In Place Revenue'!$B$2:$B$764,$B183,'In Place Revenue'!$D$2:$D$764,G$169)</f>
        <v>4092.92</v>
      </c>
      <c r="H183" s="34">
        <f>SUMIFS('In Place Revenue'!$G$2:$G$764,'In Place Revenue'!$B$2:$B$764,$B183,'In Place Revenue'!$D$2:$D$764,H$169)</f>
        <v>4092.92</v>
      </c>
      <c r="I183" s="34">
        <f>SUMIFS('In Place Revenue'!$G$2:$G$764,'In Place Revenue'!$B$2:$B$764,$B183,'In Place Revenue'!$D$2:$D$764,I$169)</f>
        <v>4092.92</v>
      </c>
      <c r="J183" s="34">
        <f>SUMIFS('In Place Revenue'!$G$2:$G$764,'In Place Revenue'!$B$2:$B$764,$B183,'In Place Revenue'!$D$2:$D$764,J$169)</f>
        <v>4092.92</v>
      </c>
      <c r="K183" s="34">
        <f>SUMIFS('In Place Revenue'!$G$2:$G$764,'In Place Revenue'!$B$2:$B$764,$B183,'In Place Revenue'!$D$2:$D$764,K$169)</f>
        <v>4092.92</v>
      </c>
      <c r="L183" s="34">
        <f>SUMIFS('In Place Revenue'!$G$2:$G$764,'In Place Revenue'!$B$2:$B$764,$B183,'In Place Revenue'!$D$2:$D$764,L$169)</f>
        <v>4092.92</v>
      </c>
      <c r="M183" s="34">
        <f>SUMIFS('In Place Revenue'!$G$2:$G$764,'In Place Revenue'!$B$2:$B$764,$B183,'In Place Revenue'!$D$2:$D$764,M$169)</f>
        <v>4092.92</v>
      </c>
      <c r="N183" s="34">
        <f>SUMIFS('In Place Revenue'!$G$2:$G$764,'In Place Revenue'!$B$2:$B$764,$B183,'In Place Revenue'!$D$2:$D$764,N$169)</f>
        <v>4092.92</v>
      </c>
      <c r="O183" s="34">
        <f>SUMIFS('In Place Revenue'!$G$2:$G$764,'In Place Revenue'!$B$2:$B$764,$B183,'In Place Revenue'!$D$2:$D$764,O$169)</f>
        <v>4092.92</v>
      </c>
      <c r="P183" s="34">
        <f>SUMIFS('In Place Revenue'!$G$2:$G$764,'In Place Revenue'!$B$2:$B$764,$B183,'In Place Revenue'!$D$2:$D$764,P$169)</f>
        <v>4092.92</v>
      </c>
      <c r="Q183" s="36">
        <f t="shared" si="41"/>
        <v>49007.329999999987</v>
      </c>
    </row>
    <row r="184" spans="2:17" hidden="1" outlineLevel="1" x14ac:dyDescent="0.35">
      <c r="B184" s="523" t="s">
        <v>630</v>
      </c>
      <c r="C184" s="115"/>
      <c r="D184" s="34" t="str">
        <f>IFERROR(VLOOKUP(B184,'In Place Revenue'!$B$2:$H$630,2,FALSE),VLOOKUP(B184,$B$200:$D$224,3,FALSE))</f>
        <v>VACANT</v>
      </c>
      <c r="E184" s="34">
        <f>SUMIFS('In Place Revenue'!$G$2:$G$764,'In Place Revenue'!$B$2:$B$764,$B184,'In Place Revenue'!$D$2:$D$764,E$169)</f>
        <v>0</v>
      </c>
      <c r="F184" s="34">
        <f>SUMIFS('In Place Revenue'!$G$2:$G$764,'In Place Revenue'!$B$2:$B$764,$B184,'In Place Revenue'!$D$2:$D$764,F$169)</f>
        <v>0</v>
      </c>
      <c r="G184" s="34">
        <f>SUMIFS('In Place Revenue'!$G$2:$G$764,'In Place Revenue'!$B$2:$B$764,$B184,'In Place Revenue'!$D$2:$D$764,G$169)</f>
        <v>0</v>
      </c>
      <c r="H184" s="34">
        <f>SUMIFS('In Place Revenue'!$G$2:$G$764,'In Place Revenue'!$B$2:$B$764,$B184,'In Place Revenue'!$D$2:$D$764,H$169)</f>
        <v>0</v>
      </c>
      <c r="I184" s="34">
        <f>SUMIFS('In Place Revenue'!$G$2:$G$764,'In Place Revenue'!$B$2:$B$764,$B184,'In Place Revenue'!$D$2:$D$764,I$169)</f>
        <v>0</v>
      </c>
      <c r="J184" s="34">
        <f>SUMIFS('In Place Revenue'!$G$2:$G$764,'In Place Revenue'!$B$2:$B$764,$B184,'In Place Revenue'!$D$2:$D$764,J$169)</f>
        <v>0</v>
      </c>
      <c r="K184" s="34">
        <f>SUMIFS('In Place Revenue'!$G$2:$G$764,'In Place Revenue'!$B$2:$B$764,$B184,'In Place Revenue'!$D$2:$D$764,K$169)</f>
        <v>0</v>
      </c>
      <c r="L184" s="34">
        <f>SUMIFS('In Place Revenue'!$G$2:$G$764,'In Place Revenue'!$B$2:$B$764,$B184,'In Place Revenue'!$D$2:$D$764,L$169)</f>
        <v>0</v>
      </c>
      <c r="M184" s="34">
        <f>SUMIFS('In Place Revenue'!$G$2:$G$764,'In Place Revenue'!$B$2:$B$764,$B184,'In Place Revenue'!$D$2:$D$764,M$169)</f>
        <v>0</v>
      </c>
      <c r="N184" s="34">
        <f>SUMIFS('In Place Revenue'!$G$2:$G$764,'In Place Revenue'!$B$2:$B$764,$B184,'In Place Revenue'!$D$2:$D$764,N$169)</f>
        <v>0</v>
      </c>
      <c r="O184" s="34">
        <f>SUMIFS('In Place Revenue'!$G$2:$G$764,'In Place Revenue'!$B$2:$B$764,$B184,'In Place Revenue'!$D$2:$D$764,O$169)</f>
        <v>0</v>
      </c>
      <c r="P184" s="34">
        <f>SUMIFS('In Place Revenue'!$G$2:$G$764,'In Place Revenue'!$B$2:$B$764,$B184,'In Place Revenue'!$D$2:$D$764,P$169)</f>
        <v>0</v>
      </c>
      <c r="Q184" s="36">
        <f t="shared" si="40"/>
        <v>0</v>
      </c>
    </row>
    <row r="185" spans="2:17" hidden="1" outlineLevel="1" x14ac:dyDescent="0.35">
      <c r="B185" s="523" t="s">
        <v>180</v>
      </c>
      <c r="C185" s="115"/>
      <c r="D185" s="34" t="str">
        <f>IFERROR(VLOOKUP(B185,'In Place Revenue'!$B$2:$H$630,2,FALSE),VLOOKUP(B185,$B$200:$D$224,3,FALSE))</f>
        <v>Regional Cardiology</v>
      </c>
      <c r="E185" s="34">
        <f>SUMIFS('In Place Revenue'!$G$2:$G$764,'In Place Revenue'!$B$2:$B$764,$B185,'In Place Revenue'!$D$2:$D$764,E$169)</f>
        <v>0</v>
      </c>
      <c r="F185" s="34">
        <f>SUMIFS('In Place Revenue'!$G$2:$G$764,'In Place Revenue'!$B$2:$B$764,$B185,'In Place Revenue'!$D$2:$D$764,F$169)</f>
        <v>0</v>
      </c>
      <c r="G185" s="34">
        <f>SUMIFS('In Place Revenue'!$G$2:$G$764,'In Place Revenue'!$B$2:$B$764,$B185,'In Place Revenue'!$D$2:$D$764,G$169)</f>
        <v>0</v>
      </c>
      <c r="H185" s="34">
        <f>SUMIFS('In Place Revenue'!$G$2:$G$764,'In Place Revenue'!$B$2:$B$764,$B185,'In Place Revenue'!$D$2:$D$764,H$169)</f>
        <v>0</v>
      </c>
      <c r="I185" s="34">
        <f>SUMIFS('In Place Revenue'!$G$2:$G$764,'In Place Revenue'!$B$2:$B$764,$B185,'In Place Revenue'!$D$2:$D$764,I$169)</f>
        <v>0</v>
      </c>
      <c r="J185" s="34">
        <f>SUMIFS('In Place Revenue'!$G$2:$G$764,'In Place Revenue'!$B$2:$B$764,$B185,'In Place Revenue'!$D$2:$D$764,J$169)</f>
        <v>0</v>
      </c>
      <c r="K185" s="34">
        <f>SUMIFS('In Place Revenue'!$G$2:$G$764,'In Place Revenue'!$B$2:$B$764,$B185,'In Place Revenue'!$D$2:$D$764,K$169)</f>
        <v>0</v>
      </c>
      <c r="L185" s="34">
        <f>SUMIFS('In Place Revenue'!$G$2:$G$764,'In Place Revenue'!$B$2:$B$764,$B185,'In Place Revenue'!$D$2:$D$764,L$169)</f>
        <v>0</v>
      </c>
      <c r="M185" s="34">
        <f>SUMIFS('In Place Revenue'!$G$2:$G$764,'In Place Revenue'!$B$2:$B$764,$B185,'In Place Revenue'!$D$2:$D$764,M$169)</f>
        <v>0</v>
      </c>
      <c r="N185" s="34">
        <f>SUMIFS('In Place Revenue'!$G$2:$G$764,'In Place Revenue'!$B$2:$B$764,$B185,'In Place Revenue'!$D$2:$D$764,N$169)</f>
        <v>0</v>
      </c>
      <c r="O185" s="34">
        <f>SUMIFS('In Place Revenue'!$G$2:$G$764,'In Place Revenue'!$B$2:$B$764,$B185,'In Place Revenue'!$D$2:$D$764,O$169)</f>
        <v>0</v>
      </c>
      <c r="P185" s="34">
        <f>SUMIFS('In Place Revenue'!$G$2:$G$764,'In Place Revenue'!$B$2:$B$764,$B185,'In Place Revenue'!$D$2:$D$764,P$169)</f>
        <v>0</v>
      </c>
      <c r="Q185" s="36">
        <f t="shared" si="40"/>
        <v>0</v>
      </c>
    </row>
    <row r="186" spans="2:17" hidden="1" outlineLevel="1" x14ac:dyDescent="0.35">
      <c r="B186" s="523" t="s">
        <v>631</v>
      </c>
      <c r="C186" s="115"/>
      <c r="D186" s="34" t="str">
        <f>IFERROR(VLOOKUP(B186,'In Place Revenue'!$B$2:$H$630,2,FALSE),VLOOKUP(B186,$B$200:$D$224,3,FALSE))</f>
        <v>Conference Center</v>
      </c>
      <c r="E186" s="34">
        <f>SUMIFS('In Place Revenue'!$G$2:$G$764,'In Place Revenue'!$B$2:$B$764,$B186,'In Place Revenue'!$D$2:$D$764,E$169)</f>
        <v>0</v>
      </c>
      <c r="F186" s="34">
        <f>SUMIFS('In Place Revenue'!$G$2:$G$764,'In Place Revenue'!$B$2:$B$764,$B186,'In Place Revenue'!$D$2:$D$764,F$169)</f>
        <v>0</v>
      </c>
      <c r="G186" s="34">
        <f>SUMIFS('In Place Revenue'!$G$2:$G$764,'In Place Revenue'!$B$2:$B$764,$B186,'In Place Revenue'!$D$2:$D$764,G$169)</f>
        <v>0</v>
      </c>
      <c r="H186" s="34">
        <f>SUMIFS('In Place Revenue'!$G$2:$G$764,'In Place Revenue'!$B$2:$B$764,$B186,'In Place Revenue'!$D$2:$D$764,H$169)</f>
        <v>0</v>
      </c>
      <c r="I186" s="34">
        <f>SUMIFS('In Place Revenue'!$G$2:$G$764,'In Place Revenue'!$B$2:$B$764,$B186,'In Place Revenue'!$D$2:$D$764,I$169)</f>
        <v>0</v>
      </c>
      <c r="J186" s="34">
        <f>SUMIFS('In Place Revenue'!$G$2:$G$764,'In Place Revenue'!$B$2:$B$764,$B186,'In Place Revenue'!$D$2:$D$764,J$169)</f>
        <v>0</v>
      </c>
      <c r="K186" s="34">
        <f>SUMIFS('In Place Revenue'!$G$2:$G$764,'In Place Revenue'!$B$2:$B$764,$B186,'In Place Revenue'!$D$2:$D$764,K$169)</f>
        <v>0</v>
      </c>
      <c r="L186" s="34">
        <f>SUMIFS('In Place Revenue'!$G$2:$G$764,'In Place Revenue'!$B$2:$B$764,$B186,'In Place Revenue'!$D$2:$D$764,L$169)</f>
        <v>0</v>
      </c>
      <c r="M186" s="34">
        <f>SUMIFS('In Place Revenue'!$G$2:$G$764,'In Place Revenue'!$B$2:$B$764,$B186,'In Place Revenue'!$D$2:$D$764,M$169)</f>
        <v>0</v>
      </c>
      <c r="N186" s="34">
        <f>SUMIFS('In Place Revenue'!$G$2:$G$764,'In Place Revenue'!$B$2:$B$764,$B186,'In Place Revenue'!$D$2:$D$764,N$169)</f>
        <v>0</v>
      </c>
      <c r="O186" s="34">
        <f>SUMIFS('In Place Revenue'!$G$2:$G$764,'In Place Revenue'!$B$2:$B$764,$B186,'In Place Revenue'!$D$2:$D$764,O$169)</f>
        <v>0</v>
      </c>
      <c r="P186" s="34">
        <f>SUMIFS('In Place Revenue'!$G$2:$G$764,'In Place Revenue'!$B$2:$B$764,$B186,'In Place Revenue'!$D$2:$D$764,P$169)</f>
        <v>0</v>
      </c>
      <c r="Q186" s="36">
        <f t="shared" si="40"/>
        <v>0</v>
      </c>
    </row>
    <row r="187" spans="2:17" hidden="1" outlineLevel="1" x14ac:dyDescent="0.35">
      <c r="B187" s="523" t="s">
        <v>181</v>
      </c>
      <c r="C187" s="115"/>
      <c r="D187" s="34" t="str">
        <f>IFERROR(VLOOKUP(B187,'In Place Revenue'!$B$2:$H$630,2,FALSE),VLOOKUP(B187,$B$200:$D$224,3,FALSE))</f>
        <v>J.J. White, Inc.</v>
      </c>
      <c r="E187" s="34">
        <f>SUMIFS('In Place Revenue'!$G$2:$G$764,'In Place Revenue'!$B$2:$B$764,$B187,'In Place Revenue'!$D$2:$D$764,E$169)</f>
        <v>13653.5</v>
      </c>
      <c r="F187" s="34">
        <f>SUMIFS('In Place Revenue'!$G$2:$G$764,'In Place Revenue'!$B$2:$B$764,$B187,'In Place Revenue'!$D$2:$D$764,F$169)</f>
        <v>13653.5</v>
      </c>
      <c r="G187" s="34">
        <f>SUMIFS('In Place Revenue'!$G$2:$G$764,'In Place Revenue'!$B$2:$B$764,$B187,'In Place Revenue'!$D$2:$D$764,G$169)</f>
        <v>13653.5</v>
      </c>
      <c r="H187" s="34">
        <f>SUMIFS('In Place Revenue'!$G$2:$G$764,'In Place Revenue'!$B$2:$B$764,$B187,'In Place Revenue'!$D$2:$D$764,H$169)</f>
        <v>13653.5</v>
      </c>
      <c r="I187" s="34">
        <f>SUMIFS('In Place Revenue'!$G$2:$G$764,'In Place Revenue'!$B$2:$B$764,$B187,'In Place Revenue'!$D$2:$D$764,I$169)</f>
        <v>13653.5</v>
      </c>
      <c r="J187" s="34">
        <f>SUMIFS('In Place Revenue'!$G$2:$G$764,'In Place Revenue'!$B$2:$B$764,$B187,'In Place Revenue'!$D$2:$D$764,J$169)</f>
        <v>13653.5</v>
      </c>
      <c r="K187" s="34">
        <f>SUMIFS('In Place Revenue'!$G$2:$G$764,'In Place Revenue'!$B$2:$B$764,$B187,'In Place Revenue'!$D$2:$D$764,K$169)</f>
        <v>0</v>
      </c>
      <c r="L187" s="34">
        <f>SUMIFS('In Place Revenue'!$G$2:$G$764,'In Place Revenue'!$B$2:$B$764,$B187,'In Place Revenue'!$D$2:$D$764,L$169)</f>
        <v>0</v>
      </c>
      <c r="M187" s="34">
        <f>SUMIFS('In Place Revenue'!$G$2:$G$764,'In Place Revenue'!$B$2:$B$764,$B187,'In Place Revenue'!$D$2:$D$764,M$169)</f>
        <v>0</v>
      </c>
      <c r="N187" s="34">
        <f>SUMIFS('In Place Revenue'!$G$2:$G$764,'In Place Revenue'!$B$2:$B$764,$B187,'In Place Revenue'!$D$2:$D$764,N$169)</f>
        <v>0</v>
      </c>
      <c r="O187" s="34">
        <f>SUMIFS('In Place Revenue'!$G$2:$G$764,'In Place Revenue'!$B$2:$B$764,$B187,'In Place Revenue'!$D$2:$D$764,O$169)</f>
        <v>0</v>
      </c>
      <c r="P187" s="34">
        <f>SUMIFS('In Place Revenue'!$G$2:$G$764,'In Place Revenue'!$B$2:$B$764,$B187,'In Place Revenue'!$D$2:$D$764,P$169)</f>
        <v>0</v>
      </c>
      <c r="Q187" s="36">
        <f t="shared" si="40"/>
        <v>81921</v>
      </c>
    </row>
    <row r="188" spans="2:17" hidden="1" outlineLevel="1" x14ac:dyDescent="0.35">
      <c r="B188" s="523" t="s">
        <v>625</v>
      </c>
      <c r="C188" s="115"/>
      <c r="D188" s="34" t="str">
        <f>IFERROR(VLOOKUP(B188,'In Place Revenue'!$B$2:$H$630,2,FALSE),VLOOKUP(B188,$B$200:$D$224,3,FALSE))</f>
        <v>VACANT</v>
      </c>
      <c r="E188" s="34">
        <f>SUMIFS('In Place Revenue'!$G$2:$G$764,'In Place Revenue'!$B$2:$B$764,$B188,'In Place Revenue'!$D$2:$D$764,E$169)</f>
        <v>0</v>
      </c>
      <c r="F188" s="34">
        <f>SUMIFS('In Place Revenue'!$G$2:$G$764,'In Place Revenue'!$B$2:$B$764,$B188,'In Place Revenue'!$D$2:$D$764,F$169)</f>
        <v>0</v>
      </c>
      <c r="G188" s="34">
        <f>SUMIFS('In Place Revenue'!$G$2:$G$764,'In Place Revenue'!$B$2:$B$764,$B188,'In Place Revenue'!$D$2:$D$764,G$169)</f>
        <v>0</v>
      </c>
      <c r="H188" s="34">
        <f>SUMIFS('In Place Revenue'!$G$2:$G$764,'In Place Revenue'!$B$2:$B$764,$B188,'In Place Revenue'!$D$2:$D$764,H$169)</f>
        <v>0</v>
      </c>
      <c r="I188" s="34">
        <f>SUMIFS('In Place Revenue'!$G$2:$G$764,'In Place Revenue'!$B$2:$B$764,$B188,'In Place Revenue'!$D$2:$D$764,I$169)</f>
        <v>0</v>
      </c>
      <c r="J188" s="34">
        <f>SUMIFS('In Place Revenue'!$G$2:$G$764,'In Place Revenue'!$B$2:$B$764,$B188,'In Place Revenue'!$D$2:$D$764,J$169)</f>
        <v>0</v>
      </c>
      <c r="K188" s="34">
        <f>SUMIFS('In Place Revenue'!$G$2:$G$764,'In Place Revenue'!$B$2:$B$764,$B188,'In Place Revenue'!$D$2:$D$764,K$169)</f>
        <v>0</v>
      </c>
      <c r="L188" s="34">
        <f>SUMIFS('In Place Revenue'!$G$2:$G$764,'In Place Revenue'!$B$2:$B$764,$B188,'In Place Revenue'!$D$2:$D$764,L$169)</f>
        <v>0</v>
      </c>
      <c r="M188" s="34">
        <f>SUMIFS('In Place Revenue'!$G$2:$G$764,'In Place Revenue'!$B$2:$B$764,$B188,'In Place Revenue'!$D$2:$D$764,M$169)</f>
        <v>0</v>
      </c>
      <c r="N188" s="34">
        <f>SUMIFS('In Place Revenue'!$G$2:$G$764,'In Place Revenue'!$B$2:$B$764,$B188,'In Place Revenue'!$D$2:$D$764,N$169)</f>
        <v>0</v>
      </c>
      <c r="O188" s="34">
        <f>SUMIFS('In Place Revenue'!$G$2:$G$764,'In Place Revenue'!$B$2:$B$764,$B188,'In Place Revenue'!$D$2:$D$764,O$169)</f>
        <v>0</v>
      </c>
      <c r="P188" s="34">
        <f>SUMIFS('In Place Revenue'!$G$2:$G$764,'In Place Revenue'!$B$2:$B$764,$B188,'In Place Revenue'!$D$2:$D$764,P$169)</f>
        <v>0</v>
      </c>
      <c r="Q188" s="36">
        <f t="shared" si="40"/>
        <v>0</v>
      </c>
    </row>
    <row r="189" spans="2:17" hidden="1" outlineLevel="1" x14ac:dyDescent="0.35">
      <c r="B189" s="523" t="s">
        <v>632</v>
      </c>
      <c r="C189" s="115"/>
      <c r="D189" s="34" t="str">
        <f>IFERROR(VLOOKUP(B189,'In Place Revenue'!$B$2:$H$630,2,FALSE),VLOOKUP(B189,$B$200:$D$224,3,FALSE))</f>
        <v>VACANT</v>
      </c>
      <c r="E189" s="34">
        <f>SUMIFS('In Place Revenue'!$G$2:$G$764,'In Place Revenue'!$B$2:$B$764,$B189,'In Place Revenue'!$D$2:$D$764,E$169)</f>
        <v>0</v>
      </c>
      <c r="F189" s="34">
        <f>SUMIFS('In Place Revenue'!$G$2:$G$764,'In Place Revenue'!$B$2:$B$764,$B189,'In Place Revenue'!$D$2:$D$764,F$169)</f>
        <v>0</v>
      </c>
      <c r="G189" s="34">
        <f>SUMIFS('In Place Revenue'!$G$2:$G$764,'In Place Revenue'!$B$2:$B$764,$B189,'In Place Revenue'!$D$2:$D$764,G$169)</f>
        <v>0</v>
      </c>
      <c r="H189" s="34">
        <f>SUMIFS('In Place Revenue'!$G$2:$G$764,'In Place Revenue'!$B$2:$B$764,$B189,'In Place Revenue'!$D$2:$D$764,H$169)</f>
        <v>0</v>
      </c>
      <c r="I189" s="34">
        <f>SUMIFS('In Place Revenue'!$G$2:$G$764,'In Place Revenue'!$B$2:$B$764,$B189,'In Place Revenue'!$D$2:$D$764,I$169)</f>
        <v>0</v>
      </c>
      <c r="J189" s="34">
        <f>SUMIFS('In Place Revenue'!$G$2:$G$764,'In Place Revenue'!$B$2:$B$764,$B189,'In Place Revenue'!$D$2:$D$764,J$169)</f>
        <v>0</v>
      </c>
      <c r="K189" s="34">
        <f>SUMIFS('In Place Revenue'!$G$2:$G$764,'In Place Revenue'!$B$2:$B$764,$B189,'In Place Revenue'!$D$2:$D$764,K$169)</f>
        <v>0</v>
      </c>
      <c r="L189" s="34">
        <f>SUMIFS('In Place Revenue'!$G$2:$G$764,'In Place Revenue'!$B$2:$B$764,$B189,'In Place Revenue'!$D$2:$D$764,L$169)</f>
        <v>0</v>
      </c>
      <c r="M189" s="34">
        <f>SUMIFS('In Place Revenue'!$G$2:$G$764,'In Place Revenue'!$B$2:$B$764,$B189,'In Place Revenue'!$D$2:$D$764,M$169)</f>
        <v>0</v>
      </c>
      <c r="N189" s="34">
        <f>SUMIFS('In Place Revenue'!$G$2:$G$764,'In Place Revenue'!$B$2:$B$764,$B189,'In Place Revenue'!$D$2:$D$764,N$169)</f>
        <v>0</v>
      </c>
      <c r="O189" s="34">
        <f>SUMIFS('In Place Revenue'!$G$2:$G$764,'In Place Revenue'!$B$2:$B$764,$B189,'In Place Revenue'!$D$2:$D$764,O$169)</f>
        <v>0</v>
      </c>
      <c r="P189" s="34">
        <f>SUMIFS('In Place Revenue'!$G$2:$G$764,'In Place Revenue'!$B$2:$B$764,$B189,'In Place Revenue'!$D$2:$D$764,P$169)</f>
        <v>0</v>
      </c>
      <c r="Q189" s="36">
        <f t="shared" si="40"/>
        <v>0</v>
      </c>
    </row>
    <row r="190" spans="2:17" hidden="1" outlineLevel="1" x14ac:dyDescent="0.35">
      <c r="B190" s="523" t="s">
        <v>633</v>
      </c>
      <c r="C190" s="115"/>
      <c r="D190" s="34" t="str">
        <f>IFERROR(VLOOKUP(B190,'In Place Revenue'!$B$2:$H$630,2,FALSE),VLOOKUP(B190,$B$200:$D$224,3,FALSE))</f>
        <v>VACANT</v>
      </c>
      <c r="E190" s="34">
        <f>SUMIFS('In Place Revenue'!$G$2:$G$764,'In Place Revenue'!$B$2:$B$764,$B190,'In Place Revenue'!$D$2:$D$764,E$169)</f>
        <v>0</v>
      </c>
      <c r="F190" s="34">
        <f>SUMIFS('In Place Revenue'!$G$2:$G$764,'In Place Revenue'!$B$2:$B$764,$B190,'In Place Revenue'!$D$2:$D$764,F$169)</f>
        <v>0</v>
      </c>
      <c r="G190" s="34">
        <f>SUMIFS('In Place Revenue'!$G$2:$G$764,'In Place Revenue'!$B$2:$B$764,$B190,'In Place Revenue'!$D$2:$D$764,G$169)</f>
        <v>0</v>
      </c>
      <c r="H190" s="34">
        <f>SUMIFS('In Place Revenue'!$G$2:$G$764,'In Place Revenue'!$B$2:$B$764,$B190,'In Place Revenue'!$D$2:$D$764,H$169)</f>
        <v>0</v>
      </c>
      <c r="I190" s="34">
        <f>SUMIFS('In Place Revenue'!$G$2:$G$764,'In Place Revenue'!$B$2:$B$764,$B190,'In Place Revenue'!$D$2:$D$764,I$169)</f>
        <v>0</v>
      </c>
      <c r="J190" s="34">
        <f>SUMIFS('In Place Revenue'!$G$2:$G$764,'In Place Revenue'!$B$2:$B$764,$B190,'In Place Revenue'!$D$2:$D$764,J$169)</f>
        <v>0</v>
      </c>
      <c r="K190" s="34">
        <f>SUMIFS('In Place Revenue'!$G$2:$G$764,'In Place Revenue'!$B$2:$B$764,$B190,'In Place Revenue'!$D$2:$D$764,K$169)</f>
        <v>0</v>
      </c>
      <c r="L190" s="34">
        <f>SUMIFS('In Place Revenue'!$G$2:$G$764,'In Place Revenue'!$B$2:$B$764,$B190,'In Place Revenue'!$D$2:$D$764,L$169)</f>
        <v>0</v>
      </c>
      <c r="M190" s="34">
        <f>SUMIFS('In Place Revenue'!$G$2:$G$764,'In Place Revenue'!$B$2:$B$764,$B190,'In Place Revenue'!$D$2:$D$764,M$169)</f>
        <v>0</v>
      </c>
      <c r="N190" s="34">
        <f>SUMIFS('In Place Revenue'!$G$2:$G$764,'In Place Revenue'!$B$2:$B$764,$B190,'In Place Revenue'!$D$2:$D$764,N$169)</f>
        <v>0</v>
      </c>
      <c r="O190" s="34">
        <f>SUMIFS('In Place Revenue'!$G$2:$G$764,'In Place Revenue'!$B$2:$B$764,$B190,'In Place Revenue'!$D$2:$D$764,O$169)</f>
        <v>0</v>
      </c>
      <c r="P190" s="34">
        <f>SUMIFS('In Place Revenue'!$G$2:$G$764,'In Place Revenue'!$B$2:$B$764,$B190,'In Place Revenue'!$D$2:$D$764,P$169)</f>
        <v>0</v>
      </c>
      <c r="Q190" s="36">
        <f t="shared" si="40"/>
        <v>0</v>
      </c>
    </row>
    <row r="191" spans="2:17" hidden="1" outlineLevel="1" x14ac:dyDescent="0.35">
      <c r="B191" s="523" t="s">
        <v>182</v>
      </c>
      <c r="C191" s="115"/>
      <c r="D191" s="34" t="str">
        <f>IFERROR(VLOOKUP(B191,'In Place Revenue'!$B$2:$H$630,2,FALSE),VLOOKUP(B191,$B$200:$D$224,3,FALSE))</f>
        <v>Senior Care Center Of America</v>
      </c>
      <c r="E191" s="34">
        <f>SUMIFS('In Place Revenue'!$G$2:$G$764,'In Place Revenue'!$B$2:$B$764,$B191,'In Place Revenue'!$D$2:$D$764,E$169)</f>
        <v>13325.13</v>
      </c>
      <c r="F191" s="34">
        <f>SUMIFS('In Place Revenue'!$G$2:$G$764,'In Place Revenue'!$B$2:$B$764,$B191,'In Place Revenue'!$D$2:$D$764,F$169)</f>
        <v>13325.13</v>
      </c>
      <c r="G191" s="34">
        <f>SUMIFS('In Place Revenue'!$G$2:$G$764,'In Place Revenue'!$B$2:$B$764,$B191,'In Place Revenue'!$D$2:$D$764,G$169)</f>
        <v>13325.13</v>
      </c>
      <c r="H191" s="34">
        <f>SUMIFS('In Place Revenue'!$G$2:$G$764,'In Place Revenue'!$B$2:$B$764,$B191,'In Place Revenue'!$D$2:$D$764,H$169)</f>
        <v>13325.13</v>
      </c>
      <c r="I191" s="34">
        <f>SUMIFS('In Place Revenue'!$G$2:$G$764,'In Place Revenue'!$B$2:$B$764,$B191,'In Place Revenue'!$D$2:$D$764,I$169)</f>
        <v>14132.71</v>
      </c>
      <c r="J191" s="34">
        <f>SUMIFS('In Place Revenue'!$G$2:$G$764,'In Place Revenue'!$B$2:$B$764,$B191,'In Place Revenue'!$D$2:$D$764,J$169)</f>
        <v>14132.71</v>
      </c>
      <c r="K191" s="34">
        <f>SUMIFS('In Place Revenue'!$G$2:$G$764,'In Place Revenue'!$B$2:$B$764,$B191,'In Place Revenue'!$D$2:$D$764,K$169)</f>
        <v>14132.71</v>
      </c>
      <c r="L191" s="34">
        <f>SUMIFS('In Place Revenue'!$G$2:$G$764,'In Place Revenue'!$B$2:$B$764,$B191,'In Place Revenue'!$D$2:$D$764,L$169)</f>
        <v>14132.71</v>
      </c>
      <c r="M191" s="34">
        <f>SUMIFS('In Place Revenue'!$G$2:$G$764,'In Place Revenue'!$B$2:$B$764,$B191,'In Place Revenue'!$D$2:$D$764,M$169)</f>
        <v>14132.71</v>
      </c>
      <c r="N191" s="34">
        <f>SUMIFS('In Place Revenue'!$G$2:$G$764,'In Place Revenue'!$B$2:$B$764,$B191,'In Place Revenue'!$D$2:$D$764,N$169)</f>
        <v>14132.71</v>
      </c>
      <c r="O191" s="34">
        <f>SUMIFS('In Place Revenue'!$G$2:$G$764,'In Place Revenue'!$B$2:$B$764,$B191,'In Place Revenue'!$D$2:$D$764,O$169)</f>
        <v>14132.71</v>
      </c>
      <c r="P191" s="34">
        <f>SUMIFS('In Place Revenue'!$G$2:$G$764,'In Place Revenue'!$B$2:$B$764,$B191,'In Place Revenue'!$D$2:$D$764,P$169)</f>
        <v>14132.71</v>
      </c>
      <c r="Q191" s="36">
        <f t="shared" si="40"/>
        <v>166362.19999999995</v>
      </c>
    </row>
    <row r="192" spans="2:17" hidden="1" outlineLevel="1" x14ac:dyDescent="0.35">
      <c r="B192" s="523" t="s">
        <v>184</v>
      </c>
      <c r="C192" s="115"/>
      <c r="D192" s="34" t="str">
        <f>IFERROR(VLOOKUP(B192,'In Place Revenue'!$B$2:$H$630,2,FALSE),VLOOKUP(B192,$B$200:$D$224,3,FALSE))</f>
        <v>VACANT</v>
      </c>
      <c r="E192" s="34">
        <f>SUMIFS('In Place Revenue'!$G$2:$G$764,'In Place Revenue'!$B$2:$B$764,$B192,'In Place Revenue'!$D$2:$D$764,E$169)</f>
        <v>0</v>
      </c>
      <c r="F192" s="34">
        <f>SUMIFS('In Place Revenue'!$G$2:$G$764,'In Place Revenue'!$B$2:$B$764,$B192,'In Place Revenue'!$D$2:$D$764,F$169)</f>
        <v>0</v>
      </c>
      <c r="G192" s="34">
        <f>SUMIFS('In Place Revenue'!$G$2:$G$764,'In Place Revenue'!$B$2:$B$764,$B192,'In Place Revenue'!$D$2:$D$764,G$169)</f>
        <v>0</v>
      </c>
      <c r="H192" s="34">
        <f>SUMIFS('In Place Revenue'!$G$2:$G$764,'In Place Revenue'!$B$2:$B$764,$B192,'In Place Revenue'!$D$2:$D$764,H$169)</f>
        <v>0</v>
      </c>
      <c r="I192" s="34">
        <f>SUMIFS('In Place Revenue'!$G$2:$G$764,'In Place Revenue'!$B$2:$B$764,$B192,'In Place Revenue'!$D$2:$D$764,I$169)</f>
        <v>0</v>
      </c>
      <c r="J192" s="34">
        <f>SUMIFS('In Place Revenue'!$G$2:$G$764,'In Place Revenue'!$B$2:$B$764,$B192,'In Place Revenue'!$D$2:$D$764,J$169)</f>
        <v>0</v>
      </c>
      <c r="K192" s="34">
        <f>SUMIFS('In Place Revenue'!$G$2:$G$764,'In Place Revenue'!$B$2:$B$764,$B192,'In Place Revenue'!$D$2:$D$764,K$169)</f>
        <v>0</v>
      </c>
      <c r="L192" s="34">
        <f>SUMIFS('In Place Revenue'!$G$2:$G$764,'In Place Revenue'!$B$2:$B$764,$B192,'In Place Revenue'!$D$2:$D$764,L$169)</f>
        <v>0</v>
      </c>
      <c r="M192" s="34">
        <f>SUMIFS('In Place Revenue'!$G$2:$G$764,'In Place Revenue'!$B$2:$B$764,$B192,'In Place Revenue'!$D$2:$D$764,M$169)</f>
        <v>0</v>
      </c>
      <c r="N192" s="34">
        <f>SUMIFS('In Place Revenue'!$G$2:$G$764,'In Place Revenue'!$B$2:$B$764,$B192,'In Place Revenue'!$D$2:$D$764,N$169)</f>
        <v>0</v>
      </c>
      <c r="O192" s="34">
        <f>SUMIFS('In Place Revenue'!$G$2:$G$764,'In Place Revenue'!$B$2:$B$764,$B192,'In Place Revenue'!$D$2:$D$764,O$169)</f>
        <v>0</v>
      </c>
      <c r="P192" s="34">
        <f>SUMIFS('In Place Revenue'!$G$2:$G$764,'In Place Revenue'!$B$2:$B$764,$B192,'In Place Revenue'!$D$2:$D$764,P$169)</f>
        <v>0</v>
      </c>
      <c r="Q192" s="36">
        <f t="shared" si="40"/>
        <v>0</v>
      </c>
    </row>
    <row r="193" spans="2:21" hidden="1" outlineLevel="1" x14ac:dyDescent="0.35">
      <c r="B193" s="523" t="s">
        <v>634</v>
      </c>
      <c r="C193" s="115"/>
      <c r="D193" s="34" t="str">
        <f>IFERROR(VLOOKUP(B193,'In Place Revenue'!$B$2:$H$630,2,FALSE),VLOOKUP(B193,$B$200:$D$224,3,FALSE))</f>
        <v>VACANT</v>
      </c>
      <c r="E193" s="34">
        <f>SUMIFS('In Place Revenue'!$G$2:$G$764,'In Place Revenue'!$B$2:$B$764,$B193,'In Place Revenue'!$D$2:$D$764,E$169)</f>
        <v>0</v>
      </c>
      <c r="F193" s="34">
        <f>SUMIFS('In Place Revenue'!$G$2:$G$764,'In Place Revenue'!$B$2:$B$764,$B193,'In Place Revenue'!$D$2:$D$764,F$169)</f>
        <v>0</v>
      </c>
      <c r="G193" s="34">
        <f>SUMIFS('In Place Revenue'!$G$2:$G$764,'In Place Revenue'!$B$2:$B$764,$B193,'In Place Revenue'!$D$2:$D$764,G$169)</f>
        <v>0</v>
      </c>
      <c r="H193" s="34">
        <f>SUMIFS('In Place Revenue'!$G$2:$G$764,'In Place Revenue'!$B$2:$B$764,$B193,'In Place Revenue'!$D$2:$D$764,H$169)</f>
        <v>0</v>
      </c>
      <c r="I193" s="34">
        <f>SUMIFS('In Place Revenue'!$G$2:$G$764,'In Place Revenue'!$B$2:$B$764,$B193,'In Place Revenue'!$D$2:$D$764,I$169)</f>
        <v>0</v>
      </c>
      <c r="J193" s="34">
        <f>SUMIFS('In Place Revenue'!$G$2:$G$764,'In Place Revenue'!$B$2:$B$764,$B193,'In Place Revenue'!$D$2:$D$764,J$169)</f>
        <v>0</v>
      </c>
      <c r="K193" s="34">
        <f>SUMIFS('In Place Revenue'!$G$2:$G$764,'In Place Revenue'!$B$2:$B$764,$B193,'In Place Revenue'!$D$2:$D$764,K$169)</f>
        <v>0</v>
      </c>
      <c r="L193" s="34">
        <f>SUMIFS('In Place Revenue'!$G$2:$G$764,'In Place Revenue'!$B$2:$B$764,$B193,'In Place Revenue'!$D$2:$D$764,L$169)</f>
        <v>0</v>
      </c>
      <c r="M193" s="34">
        <f>SUMIFS('In Place Revenue'!$G$2:$G$764,'In Place Revenue'!$B$2:$B$764,$B193,'In Place Revenue'!$D$2:$D$764,M$169)</f>
        <v>0</v>
      </c>
      <c r="N193" s="34">
        <f>SUMIFS('In Place Revenue'!$G$2:$G$764,'In Place Revenue'!$B$2:$B$764,$B193,'In Place Revenue'!$D$2:$D$764,N$169)</f>
        <v>0</v>
      </c>
      <c r="O193" s="34">
        <f>SUMIFS('In Place Revenue'!$G$2:$G$764,'In Place Revenue'!$B$2:$B$764,$B193,'In Place Revenue'!$D$2:$D$764,O$169)</f>
        <v>0</v>
      </c>
      <c r="P193" s="34">
        <f>SUMIFS('In Place Revenue'!$G$2:$G$764,'In Place Revenue'!$B$2:$B$764,$B193,'In Place Revenue'!$D$2:$D$764,P$169)</f>
        <v>0</v>
      </c>
      <c r="Q193" s="36">
        <f t="shared" si="40"/>
        <v>0</v>
      </c>
    </row>
    <row r="194" spans="2:21" hidden="1" outlineLevel="1" x14ac:dyDescent="0.35">
      <c r="B194" s="524" t="s">
        <v>635</v>
      </c>
      <c r="C194" s="116"/>
      <c r="D194" s="43" t="str">
        <f>IFERROR(VLOOKUP(B194,'In Place Revenue'!$B$2:$H$630,2,FALSE),VLOOKUP(B194,$B$200:$D$224,3,FALSE))</f>
        <v>VACANT</v>
      </c>
      <c r="E194" s="43">
        <f>SUMIFS('In Place Revenue'!$G$2:$G$764,'In Place Revenue'!$B$2:$B$764,$B194,'In Place Revenue'!$D$2:$D$764,E$169)</f>
        <v>0</v>
      </c>
      <c r="F194" s="43">
        <f>SUMIFS('In Place Revenue'!$G$2:$G$764,'In Place Revenue'!$B$2:$B$764,$B194,'In Place Revenue'!$D$2:$D$764,F$169)</f>
        <v>0</v>
      </c>
      <c r="G194" s="43">
        <f>SUMIFS('In Place Revenue'!$G$2:$G$764,'In Place Revenue'!$B$2:$B$764,$B194,'In Place Revenue'!$D$2:$D$764,G$169)</f>
        <v>0</v>
      </c>
      <c r="H194" s="43">
        <f>SUMIFS('In Place Revenue'!$G$2:$G$764,'In Place Revenue'!$B$2:$B$764,$B194,'In Place Revenue'!$D$2:$D$764,H$169)</f>
        <v>0</v>
      </c>
      <c r="I194" s="43">
        <f>SUMIFS('In Place Revenue'!$G$2:$G$764,'In Place Revenue'!$B$2:$B$764,$B194,'In Place Revenue'!$D$2:$D$764,I$169)</f>
        <v>0</v>
      </c>
      <c r="J194" s="43">
        <f>SUMIFS('In Place Revenue'!$G$2:$G$764,'In Place Revenue'!$B$2:$B$764,$B194,'In Place Revenue'!$D$2:$D$764,J$169)</f>
        <v>0</v>
      </c>
      <c r="K194" s="43">
        <f>SUMIFS('In Place Revenue'!$G$2:$G$764,'In Place Revenue'!$B$2:$B$764,$B194,'In Place Revenue'!$D$2:$D$764,K$169)</f>
        <v>0</v>
      </c>
      <c r="L194" s="43">
        <f>SUMIFS('In Place Revenue'!$G$2:$G$764,'In Place Revenue'!$B$2:$B$764,$B194,'In Place Revenue'!$D$2:$D$764,L$169)</f>
        <v>0</v>
      </c>
      <c r="M194" s="43">
        <f>SUMIFS('In Place Revenue'!$G$2:$G$764,'In Place Revenue'!$B$2:$B$764,$B194,'In Place Revenue'!$D$2:$D$764,M$169)</f>
        <v>0</v>
      </c>
      <c r="N194" s="43">
        <f>SUMIFS('In Place Revenue'!$G$2:$G$764,'In Place Revenue'!$B$2:$B$764,$B194,'In Place Revenue'!$D$2:$D$764,N$169)</f>
        <v>0</v>
      </c>
      <c r="O194" s="43">
        <f>SUMIFS('In Place Revenue'!$G$2:$G$764,'In Place Revenue'!$B$2:$B$764,$B194,'In Place Revenue'!$D$2:$D$764,O$169)</f>
        <v>0</v>
      </c>
      <c r="P194" s="43">
        <f>SUMIFS('In Place Revenue'!$G$2:$G$764,'In Place Revenue'!$B$2:$B$764,$B194,'In Place Revenue'!$D$2:$D$764,P$169)</f>
        <v>0</v>
      </c>
      <c r="Q194" s="87">
        <f t="shared" si="40"/>
        <v>0</v>
      </c>
    </row>
    <row r="195" spans="2:21" hidden="1" outlineLevel="1" x14ac:dyDescent="0.35">
      <c r="B195" s="10"/>
      <c r="D195" s="44" t="s">
        <v>12</v>
      </c>
      <c r="E195" s="36">
        <f t="shared" ref="E195:Q195" si="42">SUM(E170:E194)</f>
        <v>54229.9</v>
      </c>
      <c r="F195" s="36">
        <f t="shared" si="42"/>
        <v>54337.61</v>
      </c>
      <c r="G195" s="36">
        <f t="shared" si="42"/>
        <v>54337.61</v>
      </c>
      <c r="H195" s="36">
        <f t="shared" si="42"/>
        <v>52492.35</v>
      </c>
      <c r="I195" s="36">
        <f t="shared" si="42"/>
        <v>53299.93</v>
      </c>
      <c r="J195" s="36">
        <f t="shared" si="42"/>
        <v>53299.93</v>
      </c>
      <c r="K195" s="36">
        <f t="shared" si="42"/>
        <v>39646.43</v>
      </c>
      <c r="L195" s="36">
        <f t="shared" si="42"/>
        <v>37862.18</v>
      </c>
      <c r="M195" s="36">
        <f t="shared" si="42"/>
        <v>37862.18</v>
      </c>
      <c r="N195" s="36">
        <f t="shared" si="42"/>
        <v>37862.18</v>
      </c>
      <c r="O195" s="36">
        <f t="shared" si="42"/>
        <v>37924.89</v>
      </c>
      <c r="P195" s="36">
        <f t="shared" si="42"/>
        <v>37924.89</v>
      </c>
      <c r="Q195" s="36">
        <f t="shared" si="42"/>
        <v>551080.07999999996</v>
      </c>
    </row>
    <row r="196" spans="2:21" hidden="1" outlineLevel="1" x14ac:dyDescent="0.35">
      <c r="B196" s="10"/>
      <c r="E196" s="95">
        <f t="shared" ref="E196:Q196" si="43">E10-E195</f>
        <v>0</v>
      </c>
      <c r="F196" s="95">
        <f t="shared" si="43"/>
        <v>0</v>
      </c>
      <c r="G196" s="95">
        <f t="shared" si="43"/>
        <v>0</v>
      </c>
      <c r="H196" s="95">
        <f t="shared" si="43"/>
        <v>0</v>
      </c>
      <c r="I196" s="95">
        <f t="shared" si="43"/>
        <v>0</v>
      </c>
      <c r="J196" s="95">
        <f t="shared" si="43"/>
        <v>0</v>
      </c>
      <c r="K196" s="95">
        <f t="shared" si="43"/>
        <v>0</v>
      </c>
      <c r="L196" s="95">
        <f t="shared" si="43"/>
        <v>0</v>
      </c>
      <c r="M196" s="95">
        <f t="shared" si="43"/>
        <v>0</v>
      </c>
      <c r="N196" s="95">
        <f t="shared" si="43"/>
        <v>0</v>
      </c>
      <c r="O196" s="95">
        <f t="shared" si="43"/>
        <v>0</v>
      </c>
      <c r="P196" s="95">
        <f t="shared" si="43"/>
        <v>0</v>
      </c>
      <c r="Q196" s="95">
        <f t="shared" si="43"/>
        <v>0</v>
      </c>
    </row>
    <row r="197" spans="2:21" collapsed="1" x14ac:dyDescent="0.35">
      <c r="B197" s="10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</row>
    <row r="198" spans="2:21" ht="17.5" x14ac:dyDescent="0.35">
      <c r="B198" s="37" t="s">
        <v>164</v>
      </c>
      <c r="E198" s="517"/>
      <c r="F198" s="518"/>
      <c r="G198" s="518"/>
      <c r="H198" s="518"/>
      <c r="I198" s="518"/>
      <c r="J198" s="518"/>
      <c r="K198" s="518"/>
      <c r="L198" s="518"/>
      <c r="M198" s="518"/>
      <c r="N198" s="518"/>
      <c r="O198" s="518"/>
      <c r="P198" s="518"/>
      <c r="T198" s="34"/>
      <c r="U198" s="34"/>
    </row>
    <row r="199" spans="2:21" outlineLevel="1" x14ac:dyDescent="0.35">
      <c r="B199" s="43" t="s">
        <v>619</v>
      </c>
      <c r="C199" s="43"/>
      <c r="D199" s="43" t="s">
        <v>424</v>
      </c>
      <c r="E199" s="519">
        <f t="shared" ref="E199:P199" si="44">E169</f>
        <v>46023</v>
      </c>
      <c r="F199" s="519">
        <f t="shared" si="44"/>
        <v>46054</v>
      </c>
      <c r="G199" s="519">
        <f t="shared" si="44"/>
        <v>46082</v>
      </c>
      <c r="H199" s="519">
        <f t="shared" si="44"/>
        <v>46113</v>
      </c>
      <c r="I199" s="519">
        <f t="shared" si="44"/>
        <v>46143</v>
      </c>
      <c r="J199" s="519">
        <f t="shared" si="44"/>
        <v>46174</v>
      </c>
      <c r="K199" s="519">
        <f t="shared" si="44"/>
        <v>46204</v>
      </c>
      <c r="L199" s="519">
        <f t="shared" si="44"/>
        <v>46235</v>
      </c>
      <c r="M199" s="519">
        <f t="shared" si="44"/>
        <v>46266</v>
      </c>
      <c r="N199" s="519">
        <f t="shared" si="44"/>
        <v>46296</v>
      </c>
      <c r="O199" s="519">
        <f t="shared" si="44"/>
        <v>46327</v>
      </c>
      <c r="P199" s="519">
        <f t="shared" si="44"/>
        <v>46357</v>
      </c>
      <c r="Q199" s="481" t="s">
        <v>12</v>
      </c>
      <c r="T199" s="34"/>
      <c r="U199" s="34"/>
    </row>
    <row r="200" spans="2:21" outlineLevel="1" x14ac:dyDescent="0.35">
      <c r="B200" s="525" t="str">
        <f>B170</f>
        <v>4060-100</v>
      </c>
      <c r="D200" s="77" t="str">
        <f>IFERROR(VLOOKUP(B200,'Renew &amp; Vac'!$A$31:$B$45,2,FALSE),IFERROR(VLOOKUP(B200,'Renew &amp; Vac'!$L$31:$M$45,2,FALSE),VLOOKUP(B200,$B$170:$D$194,3,FALSE)))</f>
        <v>Audiology Distribution, LLC</v>
      </c>
      <c r="E200" s="34">
        <f>SUMIFS('Renew &amp; Vac'!$S$31:$S$45,'Renew &amp; Vac'!$L$31:$L$45,$B200,'Renew &amp; Vac'!$O$31:$O$45,"&lt;="&amp;E$199,'Renew &amp; Vac'!$P$31:$P$45,"&gt;="&amp;E$199)+SUMIFS('Renew &amp; Vac'!$H$31:$H$45,'Renew &amp; Vac'!$A$31:$A$45,$B200,'Renew &amp; Vac'!$D$31:$D$45,"&lt;="&amp;E$199,'Renew &amp; Vac'!$E$31:$E$45,"&gt;="&amp;E$199)</f>
        <v>0</v>
      </c>
      <c r="F200" s="34">
        <f>SUMIFS('Renew &amp; Vac'!$S$31:$S$45,'Renew &amp; Vac'!$L$31:$L$45,$B200,'Renew &amp; Vac'!$O$31:$O$45,"&lt;="&amp;F$199,'Renew &amp; Vac'!$P$31:$P$45,"&gt;="&amp;F$199)+SUMIFS('Renew &amp; Vac'!$H$31:$H$45,'Renew &amp; Vac'!$A$31:$A$45,$B200,'Renew &amp; Vac'!$D$31:$D$45,"&lt;="&amp;F$199,'Renew &amp; Vac'!$E$31:$E$45,"&gt;="&amp;F$199)</f>
        <v>0</v>
      </c>
      <c r="G200" s="34">
        <f>SUMIFS('Renew &amp; Vac'!$S$31:$S$45,'Renew &amp; Vac'!$L$31:$L$45,$B200,'Renew &amp; Vac'!$O$31:$O$45,"&lt;="&amp;G$199,'Renew &amp; Vac'!$P$31:$P$45,"&gt;="&amp;G$199)+SUMIFS('Renew &amp; Vac'!$H$31:$H$45,'Renew &amp; Vac'!$A$31:$A$45,$B200,'Renew &amp; Vac'!$D$31:$D$45,"&lt;="&amp;G$199,'Renew &amp; Vac'!$E$31:$E$45,"&gt;="&amp;G$199)</f>
        <v>0</v>
      </c>
      <c r="H200" s="34">
        <f>SUMIFS('Renew &amp; Vac'!$S$31:$S$45,'Renew &amp; Vac'!$L$31:$L$45,$B200,'Renew &amp; Vac'!$O$31:$O$45,"&lt;="&amp;H$199,'Renew &amp; Vac'!$P$31:$P$45,"&gt;="&amp;H$199)+SUMIFS('Renew &amp; Vac'!$H$31:$H$45,'Renew &amp; Vac'!$A$31:$A$45,$B200,'Renew &amp; Vac'!$D$31:$D$45,"&lt;="&amp;H$199,'Renew &amp; Vac'!$E$31:$E$45,"&gt;="&amp;H$199)</f>
        <v>0</v>
      </c>
      <c r="I200" s="34">
        <f>SUMIFS('Renew &amp; Vac'!$S$31:$S$45,'Renew &amp; Vac'!$L$31:$L$45,$B200,'Renew &amp; Vac'!$O$31:$O$45,"&lt;="&amp;I$199,'Renew &amp; Vac'!$P$31:$P$45,"&gt;="&amp;I$199)+SUMIFS('Renew &amp; Vac'!$H$31:$H$45,'Renew &amp; Vac'!$A$31:$A$45,$B200,'Renew &amp; Vac'!$D$31:$D$45,"&lt;="&amp;I$199,'Renew &amp; Vac'!$E$31:$E$45,"&gt;="&amp;I$199)</f>
        <v>0</v>
      </c>
      <c r="J200" s="34">
        <f>SUMIFS('Renew &amp; Vac'!$S$31:$S$45,'Renew &amp; Vac'!$L$31:$L$45,$B200,'Renew &amp; Vac'!$O$31:$O$45,"&lt;="&amp;J$199,'Renew &amp; Vac'!$P$31:$P$45,"&gt;="&amp;J$199)+SUMIFS('Renew &amp; Vac'!$H$31:$H$45,'Renew &amp; Vac'!$A$31:$A$45,$B200,'Renew &amp; Vac'!$D$31:$D$45,"&lt;="&amp;J$199,'Renew &amp; Vac'!$E$31:$E$45,"&gt;="&amp;J$199)</f>
        <v>0</v>
      </c>
      <c r="K200" s="34">
        <f>SUMIFS('Renew &amp; Vac'!$S$31:$S$45,'Renew &amp; Vac'!$L$31:$L$45,$B200,'Renew &amp; Vac'!$O$31:$O$45,"&lt;="&amp;K$199,'Renew &amp; Vac'!$P$31:$P$45,"&gt;="&amp;K$199)+SUMIFS('Renew &amp; Vac'!$H$31:$H$45,'Renew &amp; Vac'!$A$31:$A$45,$B200,'Renew &amp; Vac'!$D$31:$D$45,"&lt;="&amp;K$199,'Renew &amp; Vac'!$E$31:$E$45,"&gt;="&amp;K$199)</f>
        <v>0</v>
      </c>
      <c r="L200" s="34">
        <f>SUMIFS('Renew &amp; Vac'!$S$31:$S$45,'Renew &amp; Vac'!$L$31:$L$45,$B200,'Renew &amp; Vac'!$O$31:$O$45,"&lt;="&amp;L$199,'Renew &amp; Vac'!$P$31:$P$45,"&gt;="&amp;L$199)+SUMIFS('Renew &amp; Vac'!$H$31:$H$45,'Renew &amp; Vac'!$A$31:$A$45,$B200,'Renew &amp; Vac'!$D$31:$D$45,"&lt;="&amp;L$199,'Renew &amp; Vac'!$E$31:$E$45,"&gt;="&amp;L$199)</f>
        <v>0</v>
      </c>
      <c r="M200" s="34">
        <f>SUMIFS('Renew &amp; Vac'!$S$31:$S$45,'Renew &amp; Vac'!$L$31:$L$45,$B200,'Renew &amp; Vac'!$O$31:$O$45,"&lt;="&amp;M$199,'Renew &amp; Vac'!$P$31:$P$45,"&gt;="&amp;M$199)+SUMIFS('Renew &amp; Vac'!$H$31:$H$45,'Renew &amp; Vac'!$A$31:$A$45,$B200,'Renew &amp; Vac'!$D$31:$D$45,"&lt;="&amp;M$199,'Renew &amp; Vac'!$E$31:$E$45,"&gt;="&amp;M$199)</f>
        <v>0</v>
      </c>
      <c r="N200" s="34">
        <f>SUMIFS('Renew &amp; Vac'!$S$31:$S$45,'Renew &amp; Vac'!$L$31:$L$45,$B200,'Renew &amp; Vac'!$O$31:$O$45,"&lt;="&amp;N$199,'Renew &amp; Vac'!$P$31:$P$45,"&gt;="&amp;N$199)+SUMIFS('Renew &amp; Vac'!$H$31:$H$45,'Renew &amp; Vac'!$A$31:$A$45,$B200,'Renew &amp; Vac'!$D$31:$D$45,"&lt;="&amp;N$199,'Renew &amp; Vac'!$E$31:$E$45,"&gt;="&amp;N$199)</f>
        <v>0</v>
      </c>
      <c r="O200" s="34">
        <f>SUMIFS('Renew &amp; Vac'!$S$31:$S$45,'Renew &amp; Vac'!$L$31:$L$45,$B200,'Renew &amp; Vac'!$O$31:$O$45,"&lt;="&amp;O$199,'Renew &amp; Vac'!$P$31:$P$45,"&gt;="&amp;O$199)+SUMIFS('Renew &amp; Vac'!$H$31:$H$45,'Renew &amp; Vac'!$A$31:$A$45,$B200,'Renew &amp; Vac'!$D$31:$D$45,"&lt;="&amp;O$199,'Renew &amp; Vac'!$E$31:$E$45,"&gt;="&amp;O$199)</f>
        <v>0</v>
      </c>
      <c r="P200" s="34">
        <f>SUMIFS('Renew &amp; Vac'!$S$31:$S$45,'Renew &amp; Vac'!$L$31:$L$45,$B200,'Renew &amp; Vac'!$O$31:$O$45,"&lt;="&amp;P$199,'Renew &amp; Vac'!$P$31:$P$45,"&gt;="&amp;P$199)+SUMIFS('Renew &amp; Vac'!$H$31:$H$45,'Renew &amp; Vac'!$A$31:$A$45,$B200,'Renew &amp; Vac'!$D$31:$D$45,"&lt;="&amp;P$199,'Renew &amp; Vac'!$E$31:$E$45,"&gt;="&amp;P$199)</f>
        <v>0</v>
      </c>
      <c r="Q200" s="36">
        <f>SUM(E200:P200)</f>
        <v>0</v>
      </c>
      <c r="T200" s="34"/>
      <c r="U200" s="34"/>
    </row>
    <row r="201" spans="2:21" outlineLevel="1" x14ac:dyDescent="0.35">
      <c r="B201" s="127" t="str">
        <f t="shared" ref="B201:B224" si="45">B171</f>
        <v>4060-101</v>
      </c>
      <c r="D201" s="34" t="str">
        <f>IFERROR(VLOOKUP(B201,'Renew &amp; Vac'!$A$31:$B$45,2,FALSE),IFERROR(VLOOKUP(B201,'Renew &amp; Vac'!$L$31:$M$45,2,FALSE),VLOOKUP(B201,$B$170:$D$194,3,FALSE)))</f>
        <v>VACANT</v>
      </c>
      <c r="E201" s="34">
        <f>SUMIFS('Renew &amp; Vac'!$S$31:$S$45,'Renew &amp; Vac'!$L$31:$L$45,$B201,'Renew &amp; Vac'!$O$31:$O$45,"&lt;="&amp;E$199,'Renew &amp; Vac'!$P$31:$P$45,"&gt;="&amp;E$199)+SUMIFS('Renew &amp; Vac'!$H$31:$H$45,'Renew &amp; Vac'!$A$31:$A$45,$B201,'Renew &amp; Vac'!$D$31:$D$45,"&lt;="&amp;E$199,'Renew &amp; Vac'!$E$31:$E$45,"&gt;="&amp;E$199)</f>
        <v>0</v>
      </c>
      <c r="F201" s="34">
        <f>SUMIFS('Renew &amp; Vac'!$S$31:$S$45,'Renew &amp; Vac'!$L$31:$L$45,$B201,'Renew &amp; Vac'!$O$31:$O$45,"&lt;="&amp;F$199,'Renew &amp; Vac'!$P$31:$P$45,"&gt;="&amp;F$199)+SUMIFS('Renew &amp; Vac'!$H$31:$H$45,'Renew &amp; Vac'!$A$31:$A$45,$B201,'Renew &amp; Vac'!$D$31:$D$45,"&lt;="&amp;F$199,'Renew &amp; Vac'!$E$31:$E$45,"&gt;="&amp;F$199)</f>
        <v>0</v>
      </c>
      <c r="G201" s="34">
        <f>SUMIFS('Renew &amp; Vac'!$S$31:$S$45,'Renew &amp; Vac'!$L$31:$L$45,$B201,'Renew &amp; Vac'!$O$31:$O$45,"&lt;="&amp;G$199,'Renew &amp; Vac'!$P$31:$P$45,"&gt;="&amp;G$199)+SUMIFS('Renew &amp; Vac'!$H$31:$H$45,'Renew &amp; Vac'!$A$31:$A$45,$B201,'Renew &amp; Vac'!$D$31:$D$45,"&lt;="&amp;G$199,'Renew &amp; Vac'!$E$31:$E$45,"&gt;="&amp;G$199)</f>
        <v>0</v>
      </c>
      <c r="H201" s="34">
        <f>SUMIFS('Renew &amp; Vac'!$S$31:$S$45,'Renew &amp; Vac'!$L$31:$L$45,$B201,'Renew &amp; Vac'!$O$31:$O$45,"&lt;="&amp;H$199,'Renew &amp; Vac'!$P$31:$P$45,"&gt;="&amp;H$199)+SUMIFS('Renew &amp; Vac'!$H$31:$H$45,'Renew &amp; Vac'!$A$31:$A$45,$B201,'Renew &amp; Vac'!$D$31:$D$45,"&lt;="&amp;H$199,'Renew &amp; Vac'!$E$31:$E$45,"&gt;="&amp;H$199)</f>
        <v>0</v>
      </c>
      <c r="I201" s="34">
        <f>SUMIFS('Renew &amp; Vac'!$S$31:$S$45,'Renew &amp; Vac'!$L$31:$L$45,$B201,'Renew &amp; Vac'!$O$31:$O$45,"&lt;="&amp;I$199,'Renew &amp; Vac'!$P$31:$P$45,"&gt;="&amp;I$199)+SUMIFS('Renew &amp; Vac'!$H$31:$H$45,'Renew &amp; Vac'!$A$31:$A$45,$B201,'Renew &amp; Vac'!$D$31:$D$45,"&lt;="&amp;I$199,'Renew &amp; Vac'!$E$31:$E$45,"&gt;="&amp;I$199)</f>
        <v>0</v>
      </c>
      <c r="J201" s="34">
        <f>SUMIFS('Renew &amp; Vac'!$S$31:$S$45,'Renew &amp; Vac'!$L$31:$L$45,$B201,'Renew &amp; Vac'!$O$31:$O$45,"&lt;="&amp;J$199,'Renew &amp; Vac'!$P$31:$P$45,"&gt;="&amp;J$199)+SUMIFS('Renew &amp; Vac'!$H$31:$H$45,'Renew &amp; Vac'!$A$31:$A$45,$B201,'Renew &amp; Vac'!$D$31:$D$45,"&lt;="&amp;J$199,'Renew &amp; Vac'!$E$31:$E$45,"&gt;="&amp;J$199)</f>
        <v>0</v>
      </c>
      <c r="K201" s="34">
        <f>SUMIFS('Renew &amp; Vac'!$S$31:$S$45,'Renew &amp; Vac'!$L$31:$L$45,$B201,'Renew &amp; Vac'!$O$31:$O$45,"&lt;="&amp;K$199,'Renew &amp; Vac'!$P$31:$P$45,"&gt;="&amp;K$199)+SUMIFS('Renew &amp; Vac'!$H$31:$H$45,'Renew &amp; Vac'!$A$31:$A$45,$B201,'Renew &amp; Vac'!$D$31:$D$45,"&lt;="&amp;K$199,'Renew &amp; Vac'!$E$31:$E$45,"&gt;="&amp;K$199)</f>
        <v>0</v>
      </c>
      <c r="L201" s="34">
        <f>SUMIFS('Renew &amp; Vac'!$S$31:$S$45,'Renew &amp; Vac'!$L$31:$L$45,$B201,'Renew &amp; Vac'!$O$31:$O$45,"&lt;="&amp;L$199,'Renew &amp; Vac'!$P$31:$P$45,"&gt;="&amp;L$199)+SUMIFS('Renew &amp; Vac'!$H$31:$H$45,'Renew &amp; Vac'!$A$31:$A$45,$B201,'Renew &amp; Vac'!$D$31:$D$45,"&lt;="&amp;L$199,'Renew &amp; Vac'!$E$31:$E$45,"&gt;="&amp;L$199)</f>
        <v>0</v>
      </c>
      <c r="M201" s="34">
        <f>SUMIFS('Renew &amp; Vac'!$S$31:$S$45,'Renew &amp; Vac'!$L$31:$L$45,$B201,'Renew &amp; Vac'!$O$31:$O$45,"&lt;="&amp;M$199,'Renew &amp; Vac'!$P$31:$P$45,"&gt;="&amp;M$199)+SUMIFS('Renew &amp; Vac'!$H$31:$H$45,'Renew &amp; Vac'!$A$31:$A$45,$B201,'Renew &amp; Vac'!$D$31:$D$45,"&lt;="&amp;M$199,'Renew &amp; Vac'!$E$31:$E$45,"&gt;="&amp;M$199)</f>
        <v>0</v>
      </c>
      <c r="N201" s="34">
        <f>SUMIFS('Renew &amp; Vac'!$S$31:$S$45,'Renew &amp; Vac'!$L$31:$L$45,$B201,'Renew &amp; Vac'!$O$31:$O$45,"&lt;="&amp;N$199,'Renew &amp; Vac'!$P$31:$P$45,"&gt;="&amp;N$199)+SUMIFS('Renew &amp; Vac'!$H$31:$H$45,'Renew &amp; Vac'!$A$31:$A$45,$B201,'Renew &amp; Vac'!$D$31:$D$45,"&lt;="&amp;N$199,'Renew &amp; Vac'!$E$31:$E$45,"&gt;="&amp;N$199)</f>
        <v>0</v>
      </c>
      <c r="O201" s="34">
        <f>SUMIFS('Renew &amp; Vac'!$S$31:$S$45,'Renew &amp; Vac'!$L$31:$L$45,$B201,'Renew &amp; Vac'!$O$31:$O$45,"&lt;="&amp;O$199,'Renew &amp; Vac'!$P$31:$P$45,"&gt;="&amp;O$199)+SUMIFS('Renew &amp; Vac'!$H$31:$H$45,'Renew &amp; Vac'!$A$31:$A$45,$B201,'Renew &amp; Vac'!$D$31:$D$45,"&lt;="&amp;O$199,'Renew &amp; Vac'!$E$31:$E$45,"&gt;="&amp;O$199)</f>
        <v>0</v>
      </c>
      <c r="P201" s="34">
        <f>SUMIFS('Renew &amp; Vac'!$S$31:$S$45,'Renew &amp; Vac'!$L$31:$L$45,$B201,'Renew &amp; Vac'!$O$31:$O$45,"&lt;="&amp;P$199,'Renew &amp; Vac'!$P$31:$P$45,"&gt;="&amp;P$199)+SUMIFS('Renew &amp; Vac'!$H$31:$H$45,'Renew &amp; Vac'!$A$31:$A$45,$B201,'Renew &amp; Vac'!$D$31:$D$45,"&lt;="&amp;P$199,'Renew &amp; Vac'!$E$31:$E$45,"&gt;="&amp;P$199)</f>
        <v>0</v>
      </c>
      <c r="Q201" s="36">
        <f t="shared" ref="Q201:Q224" si="46">SUM(E201:P201)</f>
        <v>0</v>
      </c>
    </row>
    <row r="202" spans="2:21" outlineLevel="1" x14ac:dyDescent="0.35">
      <c r="B202" s="127" t="str">
        <f t="shared" si="45"/>
        <v>4060-105</v>
      </c>
      <c r="D202" s="34" t="str">
        <f>IFERROR(VLOOKUP(B202,'Renew &amp; Vac'!$A$31:$B$45,2,FALSE),IFERROR(VLOOKUP(B202,'Renew &amp; Vac'!$L$31:$M$45,2,FALSE),VLOOKUP(B202,$B$170:$D$194,3,FALSE)))</f>
        <v>NE Phila PA Caregiving LLC</v>
      </c>
      <c r="E202" s="34">
        <f>SUMIFS('Renew &amp; Vac'!$S$31:$S$45,'Renew &amp; Vac'!$L$31:$L$45,$B202,'Renew &amp; Vac'!$O$31:$O$45,"&lt;="&amp;E$199,'Renew &amp; Vac'!$P$31:$P$45,"&gt;="&amp;E$199)+SUMIFS('Renew &amp; Vac'!$H$31:$H$45,'Renew &amp; Vac'!$A$31:$A$45,$B202,'Renew &amp; Vac'!$D$31:$D$45,"&lt;="&amp;E$199,'Renew &amp; Vac'!$E$31:$E$45,"&gt;="&amp;E$199)</f>
        <v>0</v>
      </c>
      <c r="F202" s="34">
        <f>SUMIFS('Renew &amp; Vac'!$S$31:$S$45,'Renew &amp; Vac'!$L$31:$L$45,$B202,'Renew &amp; Vac'!$O$31:$O$45,"&lt;="&amp;F$199,'Renew &amp; Vac'!$P$31:$P$45,"&gt;="&amp;F$199)+SUMIFS('Renew &amp; Vac'!$H$31:$H$45,'Renew &amp; Vac'!$A$31:$A$45,$B202,'Renew &amp; Vac'!$D$31:$D$45,"&lt;="&amp;F$199,'Renew &amp; Vac'!$E$31:$E$45,"&gt;="&amp;F$199)</f>
        <v>0</v>
      </c>
      <c r="G202" s="34">
        <f>SUMIFS('Renew &amp; Vac'!$S$31:$S$45,'Renew &amp; Vac'!$L$31:$L$45,$B202,'Renew &amp; Vac'!$O$31:$O$45,"&lt;="&amp;G$199,'Renew &amp; Vac'!$P$31:$P$45,"&gt;="&amp;G$199)+SUMIFS('Renew &amp; Vac'!$H$31:$H$45,'Renew &amp; Vac'!$A$31:$A$45,$B202,'Renew &amp; Vac'!$D$31:$D$45,"&lt;="&amp;G$199,'Renew &amp; Vac'!$E$31:$E$45,"&gt;="&amp;G$199)</f>
        <v>0</v>
      </c>
      <c r="H202" s="34">
        <f>SUMIFS('Renew &amp; Vac'!$S$31:$S$45,'Renew &amp; Vac'!$L$31:$L$45,$B202,'Renew &amp; Vac'!$O$31:$O$45,"&lt;="&amp;H$199,'Renew &amp; Vac'!$P$31:$P$45,"&gt;="&amp;H$199)+SUMIFS('Renew &amp; Vac'!$H$31:$H$45,'Renew &amp; Vac'!$A$31:$A$45,$B202,'Renew &amp; Vac'!$D$31:$D$45,"&lt;="&amp;H$199,'Renew &amp; Vac'!$E$31:$E$45,"&gt;="&amp;H$199)</f>
        <v>0</v>
      </c>
      <c r="I202" s="34">
        <f>SUMIFS('Renew &amp; Vac'!$S$31:$S$45,'Renew &amp; Vac'!$L$31:$L$45,$B202,'Renew &amp; Vac'!$O$31:$O$45,"&lt;="&amp;I$199,'Renew &amp; Vac'!$P$31:$P$45,"&gt;="&amp;I$199)+SUMIFS('Renew &amp; Vac'!$H$31:$H$45,'Renew &amp; Vac'!$A$31:$A$45,$B202,'Renew &amp; Vac'!$D$31:$D$45,"&lt;="&amp;I$199,'Renew &amp; Vac'!$E$31:$E$45,"&gt;="&amp;I$199)</f>
        <v>0</v>
      </c>
      <c r="J202" s="34">
        <f>SUMIFS('Renew &amp; Vac'!$S$31:$S$45,'Renew &amp; Vac'!$L$31:$L$45,$B202,'Renew &amp; Vac'!$O$31:$O$45,"&lt;="&amp;J$199,'Renew &amp; Vac'!$P$31:$P$45,"&gt;="&amp;J$199)+SUMIFS('Renew &amp; Vac'!$H$31:$H$45,'Renew &amp; Vac'!$A$31:$A$45,$B202,'Renew &amp; Vac'!$D$31:$D$45,"&lt;="&amp;J$199,'Renew &amp; Vac'!$E$31:$E$45,"&gt;="&amp;J$199)</f>
        <v>0</v>
      </c>
      <c r="K202" s="34">
        <f>SUMIFS('Renew &amp; Vac'!$S$31:$S$45,'Renew &amp; Vac'!$L$31:$L$45,$B202,'Renew &amp; Vac'!$O$31:$O$45,"&lt;="&amp;K$199,'Renew &amp; Vac'!$P$31:$P$45,"&gt;="&amp;K$199)+SUMIFS('Renew &amp; Vac'!$H$31:$H$45,'Renew &amp; Vac'!$A$31:$A$45,$B202,'Renew &amp; Vac'!$D$31:$D$45,"&lt;="&amp;K$199,'Renew &amp; Vac'!$E$31:$E$45,"&gt;="&amp;K$199)</f>
        <v>0</v>
      </c>
      <c r="L202" s="34">
        <f>SUMIFS('Renew &amp; Vac'!$S$31:$S$45,'Renew &amp; Vac'!$L$31:$L$45,$B202,'Renew &amp; Vac'!$O$31:$O$45,"&lt;="&amp;L$199,'Renew &amp; Vac'!$P$31:$P$45,"&gt;="&amp;L$199)+SUMIFS('Renew &amp; Vac'!$H$31:$H$45,'Renew &amp; Vac'!$A$31:$A$45,$B202,'Renew &amp; Vac'!$D$31:$D$45,"&lt;="&amp;L$199,'Renew &amp; Vac'!$E$31:$E$45,"&gt;="&amp;L$199)</f>
        <v>0</v>
      </c>
      <c r="M202" s="34">
        <f>SUMIFS('Renew &amp; Vac'!$S$31:$S$45,'Renew &amp; Vac'!$L$31:$L$45,$B202,'Renew &amp; Vac'!$O$31:$O$45,"&lt;="&amp;M$199,'Renew &amp; Vac'!$P$31:$P$45,"&gt;="&amp;M$199)+SUMIFS('Renew &amp; Vac'!$H$31:$H$45,'Renew &amp; Vac'!$A$31:$A$45,$B202,'Renew &amp; Vac'!$D$31:$D$45,"&lt;="&amp;M$199,'Renew &amp; Vac'!$E$31:$E$45,"&gt;="&amp;M$199)</f>
        <v>0</v>
      </c>
      <c r="N202" s="34">
        <f>SUMIFS('Renew &amp; Vac'!$S$31:$S$45,'Renew &amp; Vac'!$L$31:$L$45,$B202,'Renew &amp; Vac'!$O$31:$O$45,"&lt;="&amp;N$199,'Renew &amp; Vac'!$P$31:$P$45,"&gt;="&amp;N$199)+SUMIFS('Renew &amp; Vac'!$H$31:$H$45,'Renew &amp; Vac'!$A$31:$A$45,$B202,'Renew &amp; Vac'!$D$31:$D$45,"&lt;="&amp;N$199,'Renew &amp; Vac'!$E$31:$E$45,"&gt;="&amp;N$199)</f>
        <v>0</v>
      </c>
      <c r="O202" s="34">
        <f>SUMIFS('Renew &amp; Vac'!$S$31:$S$45,'Renew &amp; Vac'!$L$31:$L$45,$B202,'Renew &amp; Vac'!$O$31:$O$45,"&lt;="&amp;O$199,'Renew &amp; Vac'!$P$31:$P$45,"&gt;="&amp;O$199)+SUMIFS('Renew &amp; Vac'!$H$31:$H$45,'Renew &amp; Vac'!$A$31:$A$45,$B202,'Renew &amp; Vac'!$D$31:$D$45,"&lt;="&amp;O$199,'Renew &amp; Vac'!$E$31:$E$45,"&gt;="&amp;O$199)</f>
        <v>0</v>
      </c>
      <c r="P202" s="34">
        <f>SUMIFS('Renew &amp; Vac'!$S$31:$S$45,'Renew &amp; Vac'!$L$31:$L$45,$B202,'Renew &amp; Vac'!$O$31:$O$45,"&lt;="&amp;P$199,'Renew &amp; Vac'!$P$31:$P$45,"&gt;="&amp;P$199)+SUMIFS('Renew &amp; Vac'!$H$31:$H$45,'Renew &amp; Vac'!$A$31:$A$45,$B202,'Renew &amp; Vac'!$D$31:$D$45,"&lt;="&amp;P$199,'Renew &amp; Vac'!$E$31:$E$45,"&gt;="&amp;P$199)</f>
        <v>0</v>
      </c>
      <c r="Q202" s="36">
        <f t="shared" si="46"/>
        <v>0</v>
      </c>
    </row>
    <row r="203" spans="2:21" outlineLevel="1" x14ac:dyDescent="0.35">
      <c r="B203" s="127" t="str">
        <f t="shared" si="45"/>
        <v>4060-110</v>
      </c>
      <c r="D203" s="34" t="str">
        <f>IFERROR(VLOOKUP(B203,'Renew &amp; Vac'!$A$31:$B$45,2,FALSE),IFERROR(VLOOKUP(B203,'Renew &amp; Vac'!$L$31:$M$45,2,FALSE),VLOOKUP(B203,$B$170:$D$194,3,FALSE)))</f>
        <v>VACANT</v>
      </c>
      <c r="E203" s="34">
        <f>SUMIFS('Renew &amp; Vac'!$S$31:$S$45,'Renew &amp; Vac'!$L$31:$L$45,$B203,'Renew &amp; Vac'!$O$31:$O$45,"&lt;="&amp;E$199,'Renew &amp; Vac'!$P$31:$P$45,"&gt;="&amp;E$199)+SUMIFS('Renew &amp; Vac'!$H$31:$H$45,'Renew &amp; Vac'!$A$31:$A$45,$B203,'Renew &amp; Vac'!$D$31:$D$45,"&lt;="&amp;E$199,'Renew &amp; Vac'!$E$31:$E$45,"&gt;="&amp;E$199)</f>
        <v>0</v>
      </c>
      <c r="F203" s="34">
        <f>SUMIFS('Renew &amp; Vac'!$S$31:$S$45,'Renew &amp; Vac'!$L$31:$L$45,$B203,'Renew &amp; Vac'!$O$31:$O$45,"&lt;="&amp;F$199,'Renew &amp; Vac'!$P$31:$P$45,"&gt;="&amp;F$199)+SUMIFS('Renew &amp; Vac'!$H$31:$H$45,'Renew &amp; Vac'!$A$31:$A$45,$B203,'Renew &amp; Vac'!$D$31:$D$45,"&lt;="&amp;F$199,'Renew &amp; Vac'!$E$31:$E$45,"&gt;="&amp;F$199)</f>
        <v>0</v>
      </c>
      <c r="G203" s="34">
        <f>SUMIFS('Renew &amp; Vac'!$S$31:$S$45,'Renew &amp; Vac'!$L$31:$L$45,$B203,'Renew &amp; Vac'!$O$31:$O$45,"&lt;="&amp;G$199,'Renew &amp; Vac'!$P$31:$P$45,"&gt;="&amp;G$199)+SUMIFS('Renew &amp; Vac'!$H$31:$H$45,'Renew &amp; Vac'!$A$31:$A$45,$B203,'Renew &amp; Vac'!$D$31:$D$45,"&lt;="&amp;G$199,'Renew &amp; Vac'!$E$31:$E$45,"&gt;="&amp;G$199)</f>
        <v>0</v>
      </c>
      <c r="H203" s="34">
        <f>SUMIFS('Renew &amp; Vac'!$S$31:$S$45,'Renew &amp; Vac'!$L$31:$L$45,$B203,'Renew &amp; Vac'!$O$31:$O$45,"&lt;="&amp;H$199,'Renew &amp; Vac'!$P$31:$P$45,"&gt;="&amp;H$199)+SUMIFS('Renew &amp; Vac'!$H$31:$H$45,'Renew &amp; Vac'!$A$31:$A$45,$B203,'Renew &amp; Vac'!$D$31:$D$45,"&lt;="&amp;H$199,'Renew &amp; Vac'!$E$31:$E$45,"&gt;="&amp;H$199)</f>
        <v>0</v>
      </c>
      <c r="I203" s="34">
        <f>SUMIFS('Renew &amp; Vac'!$S$31:$S$45,'Renew &amp; Vac'!$L$31:$L$45,$B203,'Renew &amp; Vac'!$O$31:$O$45,"&lt;="&amp;I$199,'Renew &amp; Vac'!$P$31:$P$45,"&gt;="&amp;I$199)+SUMIFS('Renew &amp; Vac'!$H$31:$H$45,'Renew &amp; Vac'!$A$31:$A$45,$B203,'Renew &amp; Vac'!$D$31:$D$45,"&lt;="&amp;I$199,'Renew &amp; Vac'!$E$31:$E$45,"&gt;="&amp;I$199)</f>
        <v>0</v>
      </c>
      <c r="J203" s="34">
        <f>SUMIFS('Renew &amp; Vac'!$S$31:$S$45,'Renew &amp; Vac'!$L$31:$L$45,$B203,'Renew &amp; Vac'!$O$31:$O$45,"&lt;="&amp;J$199,'Renew &amp; Vac'!$P$31:$P$45,"&gt;="&amp;J$199)+SUMIFS('Renew &amp; Vac'!$H$31:$H$45,'Renew &amp; Vac'!$A$31:$A$45,$B203,'Renew &amp; Vac'!$D$31:$D$45,"&lt;="&amp;J$199,'Renew &amp; Vac'!$E$31:$E$45,"&gt;="&amp;J$199)</f>
        <v>0</v>
      </c>
      <c r="K203" s="34">
        <f>SUMIFS('Renew &amp; Vac'!$S$31:$S$45,'Renew &amp; Vac'!$L$31:$L$45,$B203,'Renew &amp; Vac'!$O$31:$O$45,"&lt;="&amp;K$199,'Renew &amp; Vac'!$P$31:$P$45,"&gt;="&amp;K$199)+SUMIFS('Renew &amp; Vac'!$H$31:$H$45,'Renew &amp; Vac'!$A$31:$A$45,$B203,'Renew &amp; Vac'!$D$31:$D$45,"&lt;="&amp;K$199,'Renew &amp; Vac'!$E$31:$E$45,"&gt;="&amp;K$199)</f>
        <v>0</v>
      </c>
      <c r="L203" s="34">
        <f>SUMIFS('Renew &amp; Vac'!$S$31:$S$45,'Renew &amp; Vac'!$L$31:$L$45,$B203,'Renew &amp; Vac'!$O$31:$O$45,"&lt;="&amp;L$199,'Renew &amp; Vac'!$P$31:$P$45,"&gt;="&amp;L$199)+SUMIFS('Renew &amp; Vac'!$H$31:$H$45,'Renew &amp; Vac'!$A$31:$A$45,$B203,'Renew &amp; Vac'!$D$31:$D$45,"&lt;="&amp;L$199,'Renew &amp; Vac'!$E$31:$E$45,"&gt;="&amp;L$199)</f>
        <v>0</v>
      </c>
      <c r="M203" s="34">
        <f>SUMIFS('Renew &amp; Vac'!$S$31:$S$45,'Renew &amp; Vac'!$L$31:$L$45,$B203,'Renew &amp; Vac'!$O$31:$O$45,"&lt;="&amp;M$199,'Renew &amp; Vac'!$P$31:$P$45,"&gt;="&amp;M$199)+SUMIFS('Renew &amp; Vac'!$H$31:$H$45,'Renew &amp; Vac'!$A$31:$A$45,$B203,'Renew &amp; Vac'!$D$31:$D$45,"&lt;="&amp;M$199,'Renew &amp; Vac'!$E$31:$E$45,"&gt;="&amp;M$199)</f>
        <v>0</v>
      </c>
      <c r="N203" s="34">
        <f>SUMIFS('Renew &amp; Vac'!$S$31:$S$45,'Renew &amp; Vac'!$L$31:$L$45,$B203,'Renew &amp; Vac'!$O$31:$O$45,"&lt;="&amp;N$199,'Renew &amp; Vac'!$P$31:$P$45,"&gt;="&amp;N$199)+SUMIFS('Renew &amp; Vac'!$H$31:$H$45,'Renew &amp; Vac'!$A$31:$A$45,$B203,'Renew &amp; Vac'!$D$31:$D$45,"&lt;="&amp;N$199,'Renew &amp; Vac'!$E$31:$E$45,"&gt;="&amp;N$199)</f>
        <v>0</v>
      </c>
      <c r="O203" s="34">
        <f>SUMIFS('Renew &amp; Vac'!$S$31:$S$45,'Renew &amp; Vac'!$L$31:$L$45,$B203,'Renew &amp; Vac'!$O$31:$O$45,"&lt;="&amp;O$199,'Renew &amp; Vac'!$P$31:$P$45,"&gt;="&amp;O$199)+SUMIFS('Renew &amp; Vac'!$H$31:$H$45,'Renew &amp; Vac'!$A$31:$A$45,$B203,'Renew &amp; Vac'!$D$31:$D$45,"&lt;="&amp;O$199,'Renew &amp; Vac'!$E$31:$E$45,"&gt;="&amp;O$199)</f>
        <v>0</v>
      </c>
      <c r="P203" s="34">
        <f>SUMIFS('Renew &amp; Vac'!$S$31:$S$45,'Renew &amp; Vac'!$L$31:$L$45,$B203,'Renew &amp; Vac'!$O$31:$O$45,"&lt;="&amp;P$199,'Renew &amp; Vac'!$P$31:$P$45,"&gt;="&amp;P$199)+SUMIFS('Renew &amp; Vac'!$H$31:$H$45,'Renew &amp; Vac'!$A$31:$A$45,$B203,'Renew &amp; Vac'!$D$31:$D$45,"&lt;="&amp;P$199,'Renew &amp; Vac'!$E$31:$E$45,"&gt;="&amp;P$199)</f>
        <v>0</v>
      </c>
      <c r="Q203" s="36">
        <f t="shared" si="46"/>
        <v>0</v>
      </c>
    </row>
    <row r="204" spans="2:21" outlineLevel="1" x14ac:dyDescent="0.35">
      <c r="B204" s="127" t="str">
        <f t="shared" si="45"/>
        <v>4060-111</v>
      </c>
      <c r="D204" s="34" t="str">
        <f>IFERROR(VLOOKUP(B204,'Renew &amp; Vac'!$A$31:$B$45,2,FALSE),IFERROR(VLOOKUP(B204,'Renew &amp; Vac'!$L$31:$M$45,2,FALSE),VLOOKUP(B204,$B$170:$D$194,3,FALSE)))</f>
        <v>CBIZ Operations, Inc.</v>
      </c>
      <c r="E204" s="34">
        <f>SUMIFS('Renew &amp; Vac'!$S$31:$S$45,'Renew &amp; Vac'!$L$31:$L$45,$B204,'Renew &amp; Vac'!$O$31:$O$45,"&lt;="&amp;E$199,'Renew &amp; Vac'!$P$31:$P$45,"&gt;="&amp;E$199)+SUMIFS('Renew &amp; Vac'!$H$31:$H$45,'Renew &amp; Vac'!$A$31:$A$45,$B204,'Renew &amp; Vac'!$D$31:$D$45,"&lt;="&amp;E$199,'Renew &amp; Vac'!$E$31:$E$45,"&gt;="&amp;E$199)</f>
        <v>0</v>
      </c>
      <c r="F204" s="34">
        <f>SUMIFS('Renew &amp; Vac'!$S$31:$S$45,'Renew &amp; Vac'!$L$31:$L$45,$B204,'Renew &amp; Vac'!$O$31:$O$45,"&lt;="&amp;F$199,'Renew &amp; Vac'!$P$31:$P$45,"&gt;="&amp;F$199)+SUMIFS('Renew &amp; Vac'!$H$31:$H$45,'Renew &amp; Vac'!$A$31:$A$45,$B204,'Renew &amp; Vac'!$D$31:$D$45,"&lt;="&amp;F$199,'Renew &amp; Vac'!$E$31:$E$45,"&gt;="&amp;F$199)</f>
        <v>0</v>
      </c>
      <c r="G204" s="34">
        <f>SUMIFS('Renew &amp; Vac'!$S$31:$S$45,'Renew &amp; Vac'!$L$31:$L$45,$B204,'Renew &amp; Vac'!$O$31:$O$45,"&lt;="&amp;G$199,'Renew &amp; Vac'!$P$31:$P$45,"&gt;="&amp;G$199)+SUMIFS('Renew &amp; Vac'!$H$31:$H$45,'Renew &amp; Vac'!$A$31:$A$45,$B204,'Renew &amp; Vac'!$D$31:$D$45,"&lt;="&amp;G$199,'Renew &amp; Vac'!$E$31:$E$45,"&gt;="&amp;G$199)</f>
        <v>0</v>
      </c>
      <c r="H204" s="34">
        <f>SUMIFS('Renew &amp; Vac'!$S$31:$S$45,'Renew &amp; Vac'!$L$31:$L$45,$B204,'Renew &amp; Vac'!$O$31:$O$45,"&lt;="&amp;H$199,'Renew &amp; Vac'!$P$31:$P$45,"&gt;="&amp;H$199)+SUMIFS('Renew &amp; Vac'!$H$31:$H$45,'Renew &amp; Vac'!$A$31:$A$45,$B204,'Renew &amp; Vac'!$D$31:$D$45,"&lt;="&amp;H$199,'Renew &amp; Vac'!$E$31:$E$45,"&gt;="&amp;H$199)</f>
        <v>0</v>
      </c>
      <c r="I204" s="34">
        <f>SUMIFS('Renew &amp; Vac'!$S$31:$S$45,'Renew &amp; Vac'!$L$31:$L$45,$B204,'Renew &amp; Vac'!$O$31:$O$45,"&lt;="&amp;I$199,'Renew &amp; Vac'!$P$31:$P$45,"&gt;="&amp;I$199)+SUMIFS('Renew &amp; Vac'!$H$31:$H$45,'Renew &amp; Vac'!$A$31:$A$45,$B204,'Renew &amp; Vac'!$D$31:$D$45,"&lt;="&amp;I$199,'Renew &amp; Vac'!$E$31:$E$45,"&gt;="&amp;I$199)</f>
        <v>0</v>
      </c>
      <c r="J204" s="34">
        <f>SUMIFS('Renew &amp; Vac'!$S$31:$S$45,'Renew &amp; Vac'!$L$31:$L$45,$B204,'Renew &amp; Vac'!$O$31:$O$45,"&lt;="&amp;J$199,'Renew &amp; Vac'!$P$31:$P$45,"&gt;="&amp;J$199)+SUMIFS('Renew &amp; Vac'!$H$31:$H$45,'Renew &amp; Vac'!$A$31:$A$45,$B204,'Renew &amp; Vac'!$D$31:$D$45,"&lt;="&amp;J$199,'Renew &amp; Vac'!$E$31:$E$45,"&gt;="&amp;J$199)</f>
        <v>0</v>
      </c>
      <c r="K204" s="34">
        <f>SUMIFS('Renew &amp; Vac'!$S$31:$S$45,'Renew &amp; Vac'!$L$31:$L$45,$B204,'Renew &amp; Vac'!$O$31:$O$45,"&lt;="&amp;K$199,'Renew &amp; Vac'!$P$31:$P$45,"&gt;="&amp;K$199)+SUMIFS('Renew &amp; Vac'!$H$31:$H$45,'Renew &amp; Vac'!$A$31:$A$45,$B204,'Renew &amp; Vac'!$D$31:$D$45,"&lt;="&amp;K$199,'Renew &amp; Vac'!$E$31:$E$45,"&gt;="&amp;K$199)</f>
        <v>0</v>
      </c>
      <c r="L204" s="34">
        <f>SUMIFS('Renew &amp; Vac'!$S$31:$S$45,'Renew &amp; Vac'!$L$31:$L$45,$B204,'Renew &amp; Vac'!$O$31:$O$45,"&lt;="&amp;L$199,'Renew &amp; Vac'!$P$31:$P$45,"&gt;="&amp;L$199)+SUMIFS('Renew &amp; Vac'!$H$31:$H$45,'Renew &amp; Vac'!$A$31:$A$45,$B204,'Renew &amp; Vac'!$D$31:$D$45,"&lt;="&amp;L$199,'Renew &amp; Vac'!$E$31:$E$45,"&gt;="&amp;L$199)</f>
        <v>0</v>
      </c>
      <c r="M204" s="34">
        <f>SUMIFS('Renew &amp; Vac'!$S$31:$S$45,'Renew &amp; Vac'!$L$31:$L$45,$B204,'Renew &amp; Vac'!$O$31:$O$45,"&lt;="&amp;M$199,'Renew &amp; Vac'!$P$31:$P$45,"&gt;="&amp;M$199)+SUMIFS('Renew &amp; Vac'!$H$31:$H$45,'Renew &amp; Vac'!$A$31:$A$45,$B204,'Renew &amp; Vac'!$D$31:$D$45,"&lt;="&amp;M$199,'Renew &amp; Vac'!$E$31:$E$45,"&gt;="&amp;M$199)</f>
        <v>0</v>
      </c>
      <c r="N204" s="34">
        <f>SUMIFS('Renew &amp; Vac'!$S$31:$S$45,'Renew &amp; Vac'!$L$31:$L$45,$B204,'Renew &amp; Vac'!$O$31:$O$45,"&lt;="&amp;N$199,'Renew &amp; Vac'!$P$31:$P$45,"&gt;="&amp;N$199)+SUMIFS('Renew &amp; Vac'!$H$31:$H$45,'Renew &amp; Vac'!$A$31:$A$45,$B204,'Renew &amp; Vac'!$D$31:$D$45,"&lt;="&amp;N$199,'Renew &amp; Vac'!$E$31:$E$45,"&gt;="&amp;N$199)</f>
        <v>0</v>
      </c>
      <c r="O204" s="34">
        <f>SUMIFS('Renew &amp; Vac'!$S$31:$S$45,'Renew &amp; Vac'!$L$31:$L$45,$B204,'Renew &amp; Vac'!$O$31:$O$45,"&lt;="&amp;O$199,'Renew &amp; Vac'!$P$31:$P$45,"&gt;="&amp;O$199)+SUMIFS('Renew &amp; Vac'!$H$31:$H$45,'Renew &amp; Vac'!$A$31:$A$45,$B204,'Renew &amp; Vac'!$D$31:$D$45,"&lt;="&amp;O$199,'Renew &amp; Vac'!$E$31:$E$45,"&gt;="&amp;O$199)</f>
        <v>0</v>
      </c>
      <c r="P204" s="34">
        <f>SUMIFS('Renew &amp; Vac'!$S$31:$S$45,'Renew &amp; Vac'!$L$31:$L$45,$B204,'Renew &amp; Vac'!$O$31:$O$45,"&lt;="&amp;P$199,'Renew &amp; Vac'!$P$31:$P$45,"&gt;="&amp;P$199)+SUMIFS('Renew &amp; Vac'!$H$31:$H$45,'Renew &amp; Vac'!$A$31:$A$45,$B204,'Renew &amp; Vac'!$D$31:$D$45,"&lt;="&amp;P$199,'Renew &amp; Vac'!$E$31:$E$45,"&gt;="&amp;P$199)</f>
        <v>0</v>
      </c>
      <c r="Q204" s="36">
        <f t="shared" si="46"/>
        <v>0</v>
      </c>
    </row>
    <row r="205" spans="2:21" outlineLevel="1" x14ac:dyDescent="0.35">
      <c r="B205" s="127" t="str">
        <f t="shared" si="45"/>
        <v>4060-113</v>
      </c>
      <c r="D205" s="34" t="str">
        <f>IFERROR(VLOOKUP(B205,'Renew &amp; Vac'!$A$31:$B$45,2,FALSE),IFERROR(VLOOKUP(B205,'Renew &amp; Vac'!$L$31:$M$45,2,FALSE),VLOOKUP(B205,$B$170:$D$194,3,FALSE)))</f>
        <v>MVC MSO, LLC</v>
      </c>
      <c r="E205" s="34">
        <f>SUMIFS('Renew &amp; Vac'!$S$31:$S$45,'Renew &amp; Vac'!$L$31:$L$45,$B205,'Renew &amp; Vac'!$O$31:$O$45,"&lt;="&amp;E$199,'Renew &amp; Vac'!$P$31:$P$45,"&gt;="&amp;E$199)+SUMIFS('Renew &amp; Vac'!$H$31:$H$45,'Renew &amp; Vac'!$A$31:$A$45,$B205,'Renew &amp; Vac'!$D$31:$D$45,"&lt;="&amp;E$199,'Renew &amp; Vac'!$E$31:$E$45,"&gt;="&amp;E$199)</f>
        <v>6538.5</v>
      </c>
      <c r="F205" s="34">
        <f>SUMIFS('Renew &amp; Vac'!$S$31:$S$45,'Renew &amp; Vac'!$L$31:$L$45,$B205,'Renew &amp; Vac'!$O$31:$O$45,"&lt;="&amp;F$199,'Renew &amp; Vac'!$P$31:$P$45,"&gt;="&amp;F$199)+SUMIFS('Renew &amp; Vac'!$H$31:$H$45,'Renew &amp; Vac'!$A$31:$A$45,$B205,'Renew &amp; Vac'!$D$31:$D$45,"&lt;="&amp;F$199,'Renew &amp; Vac'!$E$31:$E$45,"&gt;="&amp;F$199)</f>
        <v>6538.5</v>
      </c>
      <c r="G205" s="34">
        <f>SUMIFS('Renew &amp; Vac'!$S$31:$S$45,'Renew &amp; Vac'!$L$31:$L$45,$B205,'Renew &amp; Vac'!$O$31:$O$45,"&lt;="&amp;G$199,'Renew &amp; Vac'!$P$31:$P$45,"&gt;="&amp;G$199)+SUMIFS('Renew &amp; Vac'!$H$31:$H$45,'Renew &amp; Vac'!$A$31:$A$45,$B205,'Renew &amp; Vac'!$D$31:$D$45,"&lt;="&amp;G$199,'Renew &amp; Vac'!$E$31:$E$45,"&gt;="&amp;G$199)</f>
        <v>6538.5</v>
      </c>
      <c r="H205" s="34">
        <f>SUMIFS('Renew &amp; Vac'!$S$31:$S$45,'Renew &amp; Vac'!$L$31:$L$45,$B205,'Renew &amp; Vac'!$O$31:$O$45,"&lt;="&amp;H$199,'Renew &amp; Vac'!$P$31:$P$45,"&gt;="&amp;H$199)+SUMIFS('Renew &amp; Vac'!$H$31:$H$45,'Renew &amp; Vac'!$A$31:$A$45,$B205,'Renew &amp; Vac'!$D$31:$D$45,"&lt;="&amp;H$199,'Renew &amp; Vac'!$E$31:$E$45,"&gt;="&amp;H$199)</f>
        <v>6538.5</v>
      </c>
      <c r="I205" s="34">
        <f>SUMIFS('Renew &amp; Vac'!$S$31:$S$45,'Renew &amp; Vac'!$L$31:$L$45,$B205,'Renew &amp; Vac'!$O$31:$O$45,"&lt;="&amp;I$199,'Renew &amp; Vac'!$P$31:$P$45,"&gt;="&amp;I$199)+SUMIFS('Renew &amp; Vac'!$H$31:$H$45,'Renew &amp; Vac'!$A$31:$A$45,$B205,'Renew &amp; Vac'!$D$31:$D$45,"&lt;="&amp;I$199,'Renew &amp; Vac'!$E$31:$E$45,"&gt;="&amp;I$199)</f>
        <v>6538.5</v>
      </c>
      <c r="J205" s="34">
        <f>SUMIFS('Renew &amp; Vac'!$S$31:$S$45,'Renew &amp; Vac'!$L$31:$L$45,$B205,'Renew &amp; Vac'!$O$31:$O$45,"&lt;="&amp;J$199,'Renew &amp; Vac'!$P$31:$P$45,"&gt;="&amp;J$199)+SUMIFS('Renew &amp; Vac'!$H$31:$H$45,'Renew &amp; Vac'!$A$31:$A$45,$B205,'Renew &amp; Vac'!$D$31:$D$45,"&lt;="&amp;J$199,'Renew &amp; Vac'!$E$31:$E$45,"&gt;="&amp;J$199)</f>
        <v>6538.5</v>
      </c>
      <c r="K205" s="34">
        <f>SUMIFS('Renew &amp; Vac'!$S$31:$S$45,'Renew &amp; Vac'!$L$31:$L$45,$B205,'Renew &amp; Vac'!$O$31:$O$45,"&lt;="&amp;K$199,'Renew &amp; Vac'!$P$31:$P$45,"&gt;="&amp;K$199)+SUMIFS('Renew &amp; Vac'!$H$31:$H$45,'Renew &amp; Vac'!$A$31:$A$45,$B205,'Renew &amp; Vac'!$D$31:$D$45,"&lt;="&amp;K$199,'Renew &amp; Vac'!$E$31:$E$45,"&gt;="&amp;K$199)</f>
        <v>0</v>
      </c>
      <c r="L205" s="34">
        <f>SUMIFS('Renew &amp; Vac'!$S$31:$S$45,'Renew &amp; Vac'!$L$31:$L$45,$B205,'Renew &amp; Vac'!$O$31:$O$45,"&lt;="&amp;L$199,'Renew &amp; Vac'!$P$31:$P$45,"&gt;="&amp;L$199)+SUMIFS('Renew &amp; Vac'!$H$31:$H$45,'Renew &amp; Vac'!$A$31:$A$45,$B205,'Renew &amp; Vac'!$D$31:$D$45,"&lt;="&amp;L$199,'Renew &amp; Vac'!$E$31:$E$45,"&gt;="&amp;L$199)</f>
        <v>0</v>
      </c>
      <c r="M205" s="34">
        <f>SUMIFS('Renew &amp; Vac'!$S$31:$S$45,'Renew &amp; Vac'!$L$31:$L$45,$B205,'Renew &amp; Vac'!$O$31:$O$45,"&lt;="&amp;M$199,'Renew &amp; Vac'!$P$31:$P$45,"&gt;="&amp;M$199)+SUMIFS('Renew &amp; Vac'!$H$31:$H$45,'Renew &amp; Vac'!$A$31:$A$45,$B205,'Renew &amp; Vac'!$D$31:$D$45,"&lt;="&amp;M$199,'Renew &amp; Vac'!$E$31:$E$45,"&gt;="&amp;M$199)</f>
        <v>0</v>
      </c>
      <c r="N205" s="34">
        <f>SUMIFS('Renew &amp; Vac'!$S$31:$S$45,'Renew &amp; Vac'!$L$31:$L$45,$B205,'Renew &amp; Vac'!$O$31:$O$45,"&lt;="&amp;N$199,'Renew &amp; Vac'!$P$31:$P$45,"&gt;="&amp;N$199)+SUMIFS('Renew &amp; Vac'!$H$31:$H$45,'Renew &amp; Vac'!$A$31:$A$45,$B205,'Renew &amp; Vac'!$D$31:$D$45,"&lt;="&amp;N$199,'Renew &amp; Vac'!$E$31:$E$45,"&gt;="&amp;N$199)</f>
        <v>0</v>
      </c>
      <c r="O205" s="34">
        <f>SUMIFS('Renew &amp; Vac'!$S$31:$S$45,'Renew &amp; Vac'!$L$31:$L$45,$B205,'Renew &amp; Vac'!$O$31:$O$45,"&lt;="&amp;O$199,'Renew &amp; Vac'!$P$31:$P$45,"&gt;="&amp;O$199)+SUMIFS('Renew &amp; Vac'!$H$31:$H$45,'Renew &amp; Vac'!$A$31:$A$45,$B205,'Renew &amp; Vac'!$D$31:$D$45,"&lt;="&amp;O$199,'Renew &amp; Vac'!$E$31:$E$45,"&gt;="&amp;O$199)</f>
        <v>0</v>
      </c>
      <c r="P205" s="34">
        <f>SUMIFS('Renew &amp; Vac'!$S$31:$S$45,'Renew &amp; Vac'!$L$31:$L$45,$B205,'Renew &amp; Vac'!$O$31:$O$45,"&lt;="&amp;P$199,'Renew &amp; Vac'!$P$31:$P$45,"&gt;="&amp;P$199)+SUMIFS('Renew &amp; Vac'!$H$31:$H$45,'Renew &amp; Vac'!$A$31:$A$45,$B205,'Renew &amp; Vac'!$D$31:$D$45,"&lt;="&amp;P$199,'Renew &amp; Vac'!$E$31:$E$45,"&gt;="&amp;P$199)</f>
        <v>0</v>
      </c>
      <c r="Q205" s="36">
        <f t="shared" si="46"/>
        <v>39231</v>
      </c>
    </row>
    <row r="206" spans="2:21" outlineLevel="1" x14ac:dyDescent="0.35">
      <c r="B206" s="127" t="str">
        <f t="shared" si="45"/>
        <v>4060-204</v>
      </c>
      <c r="D206" s="34" t="str">
        <f>IFERROR(VLOOKUP(B206,'Renew &amp; Vac'!$A$31:$B$45,2,FALSE),IFERROR(VLOOKUP(B206,'Renew &amp; Vac'!$L$31:$M$45,2,FALSE),VLOOKUP(B206,$B$170:$D$194,3,FALSE)))</f>
        <v>Kahak PA, Inc.</v>
      </c>
      <c r="E206" s="34">
        <f>SUMIFS('Renew &amp; Vac'!$S$31:$S$45,'Renew &amp; Vac'!$L$31:$L$45,$B206,'Renew &amp; Vac'!$O$31:$O$45,"&lt;="&amp;E$199,'Renew &amp; Vac'!$P$31:$P$45,"&gt;="&amp;E$199)+SUMIFS('Renew &amp; Vac'!$H$31:$H$45,'Renew &amp; Vac'!$A$31:$A$45,$B206,'Renew &amp; Vac'!$D$31:$D$45,"&lt;="&amp;E$199,'Renew &amp; Vac'!$E$31:$E$45,"&gt;="&amp;E$199)</f>
        <v>0</v>
      </c>
      <c r="F206" s="34">
        <f>SUMIFS('Renew &amp; Vac'!$S$31:$S$45,'Renew &amp; Vac'!$L$31:$L$45,$B206,'Renew &amp; Vac'!$O$31:$O$45,"&lt;="&amp;F$199,'Renew &amp; Vac'!$P$31:$P$45,"&gt;="&amp;F$199)+SUMIFS('Renew &amp; Vac'!$H$31:$H$45,'Renew &amp; Vac'!$A$31:$A$45,$B206,'Renew &amp; Vac'!$D$31:$D$45,"&lt;="&amp;F$199,'Renew &amp; Vac'!$E$31:$E$45,"&gt;="&amp;F$199)</f>
        <v>0</v>
      </c>
      <c r="G206" s="34">
        <f>SUMIFS('Renew &amp; Vac'!$S$31:$S$45,'Renew &amp; Vac'!$L$31:$L$45,$B206,'Renew &amp; Vac'!$O$31:$O$45,"&lt;="&amp;G$199,'Renew &amp; Vac'!$P$31:$P$45,"&gt;="&amp;G$199)+SUMIFS('Renew &amp; Vac'!$H$31:$H$45,'Renew &amp; Vac'!$A$31:$A$45,$B206,'Renew &amp; Vac'!$D$31:$D$45,"&lt;="&amp;G$199,'Renew &amp; Vac'!$E$31:$E$45,"&gt;="&amp;G$199)</f>
        <v>0</v>
      </c>
      <c r="H206" s="34">
        <f>SUMIFS('Renew &amp; Vac'!$S$31:$S$45,'Renew &amp; Vac'!$L$31:$L$45,$B206,'Renew &amp; Vac'!$O$31:$O$45,"&lt;="&amp;H$199,'Renew &amp; Vac'!$P$31:$P$45,"&gt;="&amp;H$199)+SUMIFS('Renew &amp; Vac'!$H$31:$H$45,'Renew &amp; Vac'!$A$31:$A$45,$B206,'Renew &amp; Vac'!$D$31:$D$45,"&lt;="&amp;H$199,'Renew &amp; Vac'!$E$31:$E$45,"&gt;="&amp;H$199)</f>
        <v>0</v>
      </c>
      <c r="I206" s="34">
        <f>SUMIFS('Renew &amp; Vac'!$S$31:$S$45,'Renew &amp; Vac'!$L$31:$L$45,$B206,'Renew &amp; Vac'!$O$31:$O$45,"&lt;="&amp;I$199,'Renew &amp; Vac'!$P$31:$P$45,"&gt;="&amp;I$199)+SUMIFS('Renew &amp; Vac'!$H$31:$H$45,'Renew &amp; Vac'!$A$31:$A$45,$B206,'Renew &amp; Vac'!$D$31:$D$45,"&lt;="&amp;I$199,'Renew &amp; Vac'!$E$31:$E$45,"&gt;="&amp;I$199)</f>
        <v>0</v>
      </c>
      <c r="J206" s="34">
        <f>SUMIFS('Renew &amp; Vac'!$S$31:$S$45,'Renew &amp; Vac'!$L$31:$L$45,$B206,'Renew &amp; Vac'!$O$31:$O$45,"&lt;="&amp;J$199,'Renew &amp; Vac'!$P$31:$P$45,"&gt;="&amp;J$199)+SUMIFS('Renew &amp; Vac'!$H$31:$H$45,'Renew &amp; Vac'!$A$31:$A$45,$B206,'Renew &amp; Vac'!$D$31:$D$45,"&lt;="&amp;J$199,'Renew &amp; Vac'!$E$31:$E$45,"&gt;="&amp;J$199)</f>
        <v>0</v>
      </c>
      <c r="K206" s="34">
        <f>SUMIFS('Renew &amp; Vac'!$S$31:$S$45,'Renew &amp; Vac'!$L$31:$L$45,$B206,'Renew &amp; Vac'!$O$31:$O$45,"&lt;="&amp;K$199,'Renew &amp; Vac'!$P$31:$P$45,"&gt;="&amp;K$199)+SUMIFS('Renew &amp; Vac'!$H$31:$H$45,'Renew &amp; Vac'!$A$31:$A$45,$B206,'Renew &amp; Vac'!$D$31:$D$45,"&lt;="&amp;K$199,'Renew &amp; Vac'!$E$31:$E$45,"&gt;="&amp;K$199)</f>
        <v>0</v>
      </c>
      <c r="L206" s="34">
        <f>SUMIFS('Renew &amp; Vac'!$S$31:$S$45,'Renew &amp; Vac'!$L$31:$L$45,$B206,'Renew &amp; Vac'!$O$31:$O$45,"&lt;="&amp;L$199,'Renew &amp; Vac'!$P$31:$P$45,"&gt;="&amp;L$199)+SUMIFS('Renew &amp; Vac'!$H$31:$H$45,'Renew &amp; Vac'!$A$31:$A$45,$B206,'Renew &amp; Vac'!$D$31:$D$45,"&lt;="&amp;L$199,'Renew &amp; Vac'!$E$31:$E$45,"&gt;="&amp;L$199)</f>
        <v>0</v>
      </c>
      <c r="M206" s="34">
        <f>SUMIFS('Renew &amp; Vac'!$S$31:$S$45,'Renew &amp; Vac'!$L$31:$L$45,$B206,'Renew &amp; Vac'!$O$31:$O$45,"&lt;="&amp;M$199,'Renew &amp; Vac'!$P$31:$P$45,"&gt;="&amp;M$199)+SUMIFS('Renew &amp; Vac'!$H$31:$H$45,'Renew &amp; Vac'!$A$31:$A$45,$B206,'Renew &amp; Vac'!$D$31:$D$45,"&lt;="&amp;M$199,'Renew &amp; Vac'!$E$31:$E$45,"&gt;="&amp;M$199)</f>
        <v>0</v>
      </c>
      <c r="N206" s="34">
        <f>SUMIFS('Renew &amp; Vac'!$S$31:$S$45,'Renew &amp; Vac'!$L$31:$L$45,$B206,'Renew &amp; Vac'!$O$31:$O$45,"&lt;="&amp;N$199,'Renew &amp; Vac'!$P$31:$P$45,"&gt;="&amp;N$199)+SUMIFS('Renew &amp; Vac'!$H$31:$H$45,'Renew &amp; Vac'!$A$31:$A$45,$B206,'Renew &amp; Vac'!$D$31:$D$45,"&lt;="&amp;N$199,'Renew &amp; Vac'!$E$31:$E$45,"&gt;="&amp;N$199)</f>
        <v>0</v>
      </c>
      <c r="O206" s="34">
        <f>SUMIFS('Renew &amp; Vac'!$S$31:$S$45,'Renew &amp; Vac'!$L$31:$L$45,$B206,'Renew &amp; Vac'!$O$31:$O$45,"&lt;="&amp;O$199,'Renew &amp; Vac'!$P$31:$P$45,"&gt;="&amp;O$199)+SUMIFS('Renew &amp; Vac'!$H$31:$H$45,'Renew &amp; Vac'!$A$31:$A$45,$B206,'Renew &amp; Vac'!$D$31:$D$45,"&lt;="&amp;O$199,'Renew &amp; Vac'!$E$31:$E$45,"&gt;="&amp;O$199)</f>
        <v>0</v>
      </c>
      <c r="P206" s="34">
        <f>SUMIFS('Renew &amp; Vac'!$S$31:$S$45,'Renew &amp; Vac'!$L$31:$L$45,$B206,'Renew &amp; Vac'!$O$31:$O$45,"&lt;="&amp;P$199,'Renew &amp; Vac'!$P$31:$P$45,"&gt;="&amp;P$199)+SUMIFS('Renew &amp; Vac'!$H$31:$H$45,'Renew &amp; Vac'!$A$31:$A$45,$B206,'Renew &amp; Vac'!$D$31:$D$45,"&lt;="&amp;P$199,'Renew &amp; Vac'!$E$31:$E$45,"&gt;="&amp;P$199)</f>
        <v>0</v>
      </c>
      <c r="Q206" s="36">
        <f t="shared" si="46"/>
        <v>0</v>
      </c>
    </row>
    <row r="207" spans="2:21" outlineLevel="1" x14ac:dyDescent="0.35">
      <c r="B207" s="127" t="str">
        <f t="shared" si="45"/>
        <v>4060-205</v>
      </c>
      <c r="D207" s="34" t="str">
        <f>IFERROR(VLOOKUP(B207,'Renew &amp; Vac'!$A$31:$B$45,2,FALSE),IFERROR(VLOOKUP(B207,'Renew &amp; Vac'!$L$31:$M$45,2,FALSE),VLOOKUP(B207,$B$170:$D$194,3,FALSE)))</f>
        <v>Presidential Bank</v>
      </c>
      <c r="E207" s="34">
        <f>SUMIFS('Renew &amp; Vac'!$S$31:$S$45,'Renew &amp; Vac'!$L$31:$L$45,$B207,'Renew &amp; Vac'!$O$31:$O$45,"&lt;="&amp;E$199,'Renew &amp; Vac'!$P$31:$P$45,"&gt;="&amp;E$199)+SUMIFS('Renew &amp; Vac'!$H$31:$H$45,'Renew &amp; Vac'!$A$31:$A$45,$B207,'Renew &amp; Vac'!$D$31:$D$45,"&lt;="&amp;E$199,'Renew &amp; Vac'!$E$31:$E$45,"&gt;="&amp;E$199)</f>
        <v>0</v>
      </c>
      <c r="F207" s="34">
        <f>SUMIFS('Renew &amp; Vac'!$S$31:$S$45,'Renew &amp; Vac'!$L$31:$L$45,$B207,'Renew &amp; Vac'!$O$31:$O$45,"&lt;="&amp;F$199,'Renew &amp; Vac'!$P$31:$P$45,"&gt;="&amp;F$199)+SUMIFS('Renew &amp; Vac'!$H$31:$H$45,'Renew &amp; Vac'!$A$31:$A$45,$B207,'Renew &amp; Vac'!$D$31:$D$45,"&lt;="&amp;F$199,'Renew &amp; Vac'!$E$31:$E$45,"&gt;="&amp;F$199)</f>
        <v>0</v>
      </c>
      <c r="G207" s="34">
        <f>SUMIFS('Renew &amp; Vac'!$S$31:$S$45,'Renew &amp; Vac'!$L$31:$L$45,$B207,'Renew &amp; Vac'!$O$31:$O$45,"&lt;="&amp;G$199,'Renew &amp; Vac'!$P$31:$P$45,"&gt;="&amp;G$199)+SUMIFS('Renew &amp; Vac'!$H$31:$H$45,'Renew &amp; Vac'!$A$31:$A$45,$B207,'Renew &amp; Vac'!$D$31:$D$45,"&lt;="&amp;G$199,'Renew &amp; Vac'!$E$31:$E$45,"&gt;="&amp;G$199)</f>
        <v>0</v>
      </c>
      <c r="H207" s="34">
        <f>SUMIFS('Renew &amp; Vac'!$S$31:$S$45,'Renew &amp; Vac'!$L$31:$L$45,$B207,'Renew &amp; Vac'!$O$31:$O$45,"&lt;="&amp;H$199,'Renew &amp; Vac'!$P$31:$P$45,"&gt;="&amp;H$199)+SUMIFS('Renew &amp; Vac'!$H$31:$H$45,'Renew &amp; Vac'!$A$31:$A$45,$B207,'Renew &amp; Vac'!$D$31:$D$45,"&lt;="&amp;H$199,'Renew &amp; Vac'!$E$31:$E$45,"&gt;="&amp;H$199)</f>
        <v>2000.1666666666667</v>
      </c>
      <c r="I207" s="34">
        <f>SUMIFS('Renew &amp; Vac'!$S$31:$S$45,'Renew &amp; Vac'!$L$31:$L$45,$B207,'Renew &amp; Vac'!$O$31:$O$45,"&lt;="&amp;I$199,'Renew &amp; Vac'!$P$31:$P$45,"&gt;="&amp;I$199)+SUMIFS('Renew &amp; Vac'!$H$31:$H$45,'Renew &amp; Vac'!$A$31:$A$45,$B207,'Renew &amp; Vac'!$D$31:$D$45,"&lt;="&amp;I$199,'Renew &amp; Vac'!$E$31:$E$45,"&gt;="&amp;I$199)</f>
        <v>2000.1666666666667</v>
      </c>
      <c r="J207" s="34">
        <f>SUMIFS('Renew &amp; Vac'!$S$31:$S$45,'Renew &amp; Vac'!$L$31:$L$45,$B207,'Renew &amp; Vac'!$O$31:$O$45,"&lt;="&amp;J$199,'Renew &amp; Vac'!$P$31:$P$45,"&gt;="&amp;J$199)+SUMIFS('Renew &amp; Vac'!$H$31:$H$45,'Renew &amp; Vac'!$A$31:$A$45,$B207,'Renew &amp; Vac'!$D$31:$D$45,"&lt;="&amp;J$199,'Renew &amp; Vac'!$E$31:$E$45,"&gt;="&amp;J$199)</f>
        <v>2000.1666666666667</v>
      </c>
      <c r="K207" s="34">
        <f>SUMIFS('Renew &amp; Vac'!$S$31:$S$45,'Renew &amp; Vac'!$L$31:$L$45,$B207,'Renew &amp; Vac'!$O$31:$O$45,"&lt;="&amp;K$199,'Renew &amp; Vac'!$P$31:$P$45,"&gt;="&amp;K$199)+SUMIFS('Renew &amp; Vac'!$H$31:$H$45,'Renew &amp; Vac'!$A$31:$A$45,$B207,'Renew &amp; Vac'!$D$31:$D$45,"&lt;="&amp;K$199,'Renew &amp; Vac'!$E$31:$E$45,"&gt;="&amp;K$199)</f>
        <v>2000.1666666666667</v>
      </c>
      <c r="L207" s="34">
        <f>SUMIFS('Renew &amp; Vac'!$S$31:$S$45,'Renew &amp; Vac'!$L$31:$L$45,$B207,'Renew &amp; Vac'!$O$31:$O$45,"&lt;="&amp;L$199,'Renew &amp; Vac'!$P$31:$P$45,"&gt;="&amp;L$199)+SUMIFS('Renew &amp; Vac'!$H$31:$H$45,'Renew &amp; Vac'!$A$31:$A$45,$B207,'Renew &amp; Vac'!$D$31:$D$45,"&lt;="&amp;L$199,'Renew &amp; Vac'!$E$31:$E$45,"&gt;="&amp;L$199)</f>
        <v>2000.1666666666667</v>
      </c>
      <c r="M207" s="34">
        <f>SUMIFS('Renew &amp; Vac'!$S$31:$S$45,'Renew &amp; Vac'!$L$31:$L$45,$B207,'Renew &amp; Vac'!$O$31:$O$45,"&lt;="&amp;M$199,'Renew &amp; Vac'!$P$31:$P$45,"&gt;="&amp;M$199)+SUMIFS('Renew &amp; Vac'!$H$31:$H$45,'Renew &amp; Vac'!$A$31:$A$45,$B207,'Renew &amp; Vac'!$D$31:$D$45,"&lt;="&amp;M$199,'Renew &amp; Vac'!$E$31:$E$45,"&gt;="&amp;M$199)</f>
        <v>2000.1666666666667</v>
      </c>
      <c r="N207" s="34">
        <f>SUMIFS('Renew &amp; Vac'!$S$31:$S$45,'Renew &amp; Vac'!$L$31:$L$45,$B207,'Renew &amp; Vac'!$O$31:$O$45,"&lt;="&amp;N$199,'Renew &amp; Vac'!$P$31:$P$45,"&gt;="&amp;N$199)+SUMIFS('Renew &amp; Vac'!$H$31:$H$45,'Renew &amp; Vac'!$A$31:$A$45,$B207,'Renew &amp; Vac'!$D$31:$D$45,"&lt;="&amp;N$199,'Renew &amp; Vac'!$E$31:$E$45,"&gt;="&amp;N$199)</f>
        <v>2000.1666666666667</v>
      </c>
      <c r="O207" s="34">
        <f>SUMIFS('Renew &amp; Vac'!$S$31:$S$45,'Renew &amp; Vac'!$L$31:$L$45,$B207,'Renew &amp; Vac'!$O$31:$O$45,"&lt;="&amp;O$199,'Renew &amp; Vac'!$P$31:$P$45,"&gt;="&amp;O$199)+SUMIFS('Renew &amp; Vac'!$H$31:$H$45,'Renew &amp; Vac'!$A$31:$A$45,$B207,'Renew &amp; Vac'!$D$31:$D$45,"&lt;="&amp;O$199,'Renew &amp; Vac'!$E$31:$E$45,"&gt;="&amp;O$199)</f>
        <v>2000.1666666666667</v>
      </c>
      <c r="P207" s="34">
        <f>SUMIFS('Renew &amp; Vac'!$S$31:$S$45,'Renew &amp; Vac'!$L$31:$L$45,$B207,'Renew &amp; Vac'!$O$31:$O$45,"&lt;="&amp;P$199,'Renew &amp; Vac'!$P$31:$P$45,"&gt;="&amp;P$199)+SUMIFS('Renew &amp; Vac'!$H$31:$H$45,'Renew &amp; Vac'!$A$31:$A$45,$B207,'Renew &amp; Vac'!$D$31:$D$45,"&lt;="&amp;P$199,'Renew &amp; Vac'!$E$31:$E$45,"&gt;="&amp;P$199)</f>
        <v>2000.1666666666667</v>
      </c>
      <c r="Q207" s="36">
        <f t="shared" si="46"/>
        <v>18001.5</v>
      </c>
    </row>
    <row r="208" spans="2:21" outlineLevel="1" x14ac:dyDescent="0.35">
      <c r="B208" s="127" t="str">
        <f t="shared" si="45"/>
        <v>4060-206</v>
      </c>
      <c r="D208" s="34" t="str">
        <f>IFERROR(VLOOKUP(B208,'Renew &amp; Vac'!$A$31:$B$45,2,FALSE),IFERROR(VLOOKUP(B208,'Renew &amp; Vac'!$L$31:$M$45,2,FALSE),VLOOKUP(B208,$B$170:$D$194,3,FALSE)))</f>
        <v>Law Offices of Sandra W Morris</v>
      </c>
      <c r="E208" s="34">
        <f>SUMIFS('Renew &amp; Vac'!$S$31:$S$45,'Renew &amp; Vac'!$L$31:$L$45,$B208,'Renew &amp; Vac'!$O$31:$O$45,"&lt;="&amp;E$199,'Renew &amp; Vac'!$P$31:$P$45,"&gt;="&amp;E$199)+SUMIFS('Renew &amp; Vac'!$H$31:$H$45,'Renew &amp; Vac'!$A$31:$A$45,$B208,'Renew &amp; Vac'!$D$31:$D$45,"&lt;="&amp;E$199,'Renew &amp; Vac'!$E$31:$E$45,"&gt;="&amp;E$199)</f>
        <v>0</v>
      </c>
      <c r="F208" s="34">
        <f>SUMIFS('Renew &amp; Vac'!$S$31:$S$45,'Renew &amp; Vac'!$L$31:$L$45,$B208,'Renew &amp; Vac'!$O$31:$O$45,"&lt;="&amp;F$199,'Renew &amp; Vac'!$P$31:$P$45,"&gt;="&amp;F$199)+SUMIFS('Renew &amp; Vac'!$H$31:$H$45,'Renew &amp; Vac'!$A$31:$A$45,$B208,'Renew &amp; Vac'!$D$31:$D$45,"&lt;="&amp;F$199,'Renew &amp; Vac'!$E$31:$E$45,"&gt;="&amp;F$199)</f>
        <v>0</v>
      </c>
      <c r="G208" s="34">
        <f>SUMIFS('Renew &amp; Vac'!$S$31:$S$45,'Renew &amp; Vac'!$L$31:$L$45,$B208,'Renew &amp; Vac'!$O$31:$O$45,"&lt;="&amp;G$199,'Renew &amp; Vac'!$P$31:$P$45,"&gt;="&amp;G$199)+SUMIFS('Renew &amp; Vac'!$H$31:$H$45,'Renew &amp; Vac'!$A$31:$A$45,$B208,'Renew &amp; Vac'!$D$31:$D$45,"&lt;="&amp;G$199,'Renew &amp; Vac'!$E$31:$E$45,"&gt;="&amp;G$199)</f>
        <v>0</v>
      </c>
      <c r="H208" s="34">
        <f>SUMIFS('Renew &amp; Vac'!$S$31:$S$45,'Renew &amp; Vac'!$L$31:$L$45,$B208,'Renew &amp; Vac'!$O$31:$O$45,"&lt;="&amp;H$199,'Renew &amp; Vac'!$P$31:$P$45,"&gt;="&amp;H$199)+SUMIFS('Renew &amp; Vac'!$H$31:$H$45,'Renew &amp; Vac'!$A$31:$A$45,$B208,'Renew &amp; Vac'!$D$31:$D$45,"&lt;="&amp;H$199,'Renew &amp; Vac'!$E$31:$E$45,"&gt;="&amp;H$199)</f>
        <v>0</v>
      </c>
      <c r="I208" s="34">
        <f>SUMIFS('Renew &amp; Vac'!$S$31:$S$45,'Renew &amp; Vac'!$L$31:$L$45,$B208,'Renew &amp; Vac'!$O$31:$O$45,"&lt;="&amp;I$199,'Renew &amp; Vac'!$P$31:$P$45,"&gt;="&amp;I$199)+SUMIFS('Renew &amp; Vac'!$H$31:$H$45,'Renew &amp; Vac'!$A$31:$A$45,$B208,'Renew &amp; Vac'!$D$31:$D$45,"&lt;="&amp;I$199,'Renew &amp; Vac'!$E$31:$E$45,"&gt;="&amp;I$199)</f>
        <v>0</v>
      </c>
      <c r="J208" s="34">
        <f>SUMIFS('Renew &amp; Vac'!$S$31:$S$45,'Renew &amp; Vac'!$L$31:$L$45,$B208,'Renew &amp; Vac'!$O$31:$O$45,"&lt;="&amp;J$199,'Renew &amp; Vac'!$P$31:$P$45,"&gt;="&amp;J$199)+SUMIFS('Renew &amp; Vac'!$H$31:$H$45,'Renew &amp; Vac'!$A$31:$A$45,$B208,'Renew &amp; Vac'!$D$31:$D$45,"&lt;="&amp;J$199,'Renew &amp; Vac'!$E$31:$E$45,"&gt;="&amp;J$199)</f>
        <v>0</v>
      </c>
      <c r="K208" s="34">
        <f>SUMIFS('Renew &amp; Vac'!$S$31:$S$45,'Renew &amp; Vac'!$L$31:$L$45,$B208,'Renew &amp; Vac'!$O$31:$O$45,"&lt;="&amp;K$199,'Renew &amp; Vac'!$P$31:$P$45,"&gt;="&amp;K$199)+SUMIFS('Renew &amp; Vac'!$H$31:$H$45,'Renew &amp; Vac'!$A$31:$A$45,$B208,'Renew &amp; Vac'!$D$31:$D$45,"&lt;="&amp;K$199,'Renew &amp; Vac'!$E$31:$E$45,"&gt;="&amp;K$199)</f>
        <v>0</v>
      </c>
      <c r="L208" s="34">
        <f>SUMIFS('Renew &amp; Vac'!$S$31:$S$45,'Renew &amp; Vac'!$L$31:$L$45,$B208,'Renew &amp; Vac'!$O$31:$O$45,"&lt;="&amp;L$199,'Renew &amp; Vac'!$P$31:$P$45,"&gt;="&amp;L$199)+SUMIFS('Renew &amp; Vac'!$H$31:$H$45,'Renew &amp; Vac'!$A$31:$A$45,$B208,'Renew &amp; Vac'!$D$31:$D$45,"&lt;="&amp;L$199,'Renew &amp; Vac'!$E$31:$E$45,"&gt;="&amp;L$199)</f>
        <v>0</v>
      </c>
      <c r="M208" s="34">
        <f>SUMIFS('Renew &amp; Vac'!$S$31:$S$45,'Renew &amp; Vac'!$L$31:$L$45,$B208,'Renew &amp; Vac'!$O$31:$O$45,"&lt;="&amp;M$199,'Renew &amp; Vac'!$P$31:$P$45,"&gt;="&amp;M$199)+SUMIFS('Renew &amp; Vac'!$H$31:$H$45,'Renew &amp; Vac'!$A$31:$A$45,$B208,'Renew &amp; Vac'!$D$31:$D$45,"&lt;="&amp;M$199,'Renew &amp; Vac'!$E$31:$E$45,"&gt;="&amp;M$199)</f>
        <v>0</v>
      </c>
      <c r="N208" s="34">
        <f>SUMIFS('Renew &amp; Vac'!$S$31:$S$45,'Renew &amp; Vac'!$L$31:$L$45,$B208,'Renew &amp; Vac'!$O$31:$O$45,"&lt;="&amp;N$199,'Renew &amp; Vac'!$P$31:$P$45,"&gt;="&amp;N$199)+SUMIFS('Renew &amp; Vac'!$H$31:$H$45,'Renew &amp; Vac'!$A$31:$A$45,$B208,'Renew &amp; Vac'!$D$31:$D$45,"&lt;="&amp;N$199,'Renew &amp; Vac'!$E$31:$E$45,"&gt;="&amp;N$199)</f>
        <v>0</v>
      </c>
      <c r="O208" s="34">
        <f>SUMIFS('Renew &amp; Vac'!$S$31:$S$45,'Renew &amp; Vac'!$L$31:$L$45,$B208,'Renew &amp; Vac'!$O$31:$O$45,"&lt;="&amp;O$199,'Renew &amp; Vac'!$P$31:$P$45,"&gt;="&amp;O$199)+SUMIFS('Renew &amp; Vac'!$H$31:$H$45,'Renew &amp; Vac'!$A$31:$A$45,$B208,'Renew &amp; Vac'!$D$31:$D$45,"&lt;="&amp;O$199,'Renew &amp; Vac'!$E$31:$E$45,"&gt;="&amp;O$199)</f>
        <v>0</v>
      </c>
      <c r="P208" s="34">
        <f>SUMIFS('Renew &amp; Vac'!$S$31:$S$45,'Renew &amp; Vac'!$L$31:$L$45,$B208,'Renew &amp; Vac'!$O$31:$O$45,"&lt;="&amp;P$199,'Renew &amp; Vac'!$P$31:$P$45,"&gt;="&amp;P$199)+SUMIFS('Renew &amp; Vac'!$H$31:$H$45,'Renew &amp; Vac'!$A$31:$A$45,$B208,'Renew &amp; Vac'!$D$31:$D$45,"&lt;="&amp;P$199,'Renew &amp; Vac'!$E$31:$E$45,"&gt;="&amp;P$199)</f>
        <v>0</v>
      </c>
      <c r="Q208" s="36">
        <f t="shared" si="46"/>
        <v>0</v>
      </c>
    </row>
    <row r="209" spans="2:17" outlineLevel="1" x14ac:dyDescent="0.35">
      <c r="B209" s="127" t="str">
        <f t="shared" si="45"/>
        <v>4060-207</v>
      </c>
      <c r="D209" s="34" t="str">
        <f>IFERROR(VLOOKUP(B209,'Renew &amp; Vac'!$A$31:$B$45,2,FALSE),IFERROR(VLOOKUP(B209,'Renew &amp; Vac'!$L$31:$M$45,2,FALSE),VLOOKUP(B209,$B$170:$D$194,3,FALSE)))</f>
        <v>Legal Trucking</v>
      </c>
      <c r="E209" s="34">
        <f>SUMIFS('Renew &amp; Vac'!$S$31:$S$45,'Renew &amp; Vac'!$L$31:$L$45,$B209,'Renew &amp; Vac'!$O$31:$O$45,"&lt;="&amp;E$199,'Renew &amp; Vac'!$P$31:$P$45,"&gt;="&amp;E$199)+SUMIFS('Renew &amp; Vac'!$H$31:$H$45,'Renew &amp; Vac'!$A$31:$A$45,$B209,'Renew &amp; Vac'!$D$31:$D$45,"&lt;="&amp;E$199,'Renew &amp; Vac'!$E$31:$E$45,"&gt;="&amp;E$199)</f>
        <v>0</v>
      </c>
      <c r="F209" s="34">
        <f>SUMIFS('Renew &amp; Vac'!$S$31:$S$45,'Renew &amp; Vac'!$L$31:$L$45,$B209,'Renew &amp; Vac'!$O$31:$O$45,"&lt;="&amp;F$199,'Renew &amp; Vac'!$P$31:$P$45,"&gt;="&amp;F$199)+SUMIFS('Renew &amp; Vac'!$H$31:$H$45,'Renew &amp; Vac'!$A$31:$A$45,$B209,'Renew &amp; Vac'!$D$31:$D$45,"&lt;="&amp;F$199,'Renew &amp; Vac'!$E$31:$E$45,"&gt;="&amp;F$199)</f>
        <v>0</v>
      </c>
      <c r="G209" s="34">
        <f>SUMIFS('Renew &amp; Vac'!$S$31:$S$45,'Renew &amp; Vac'!$L$31:$L$45,$B209,'Renew &amp; Vac'!$O$31:$O$45,"&lt;="&amp;G$199,'Renew &amp; Vac'!$P$31:$P$45,"&gt;="&amp;G$199)+SUMIFS('Renew &amp; Vac'!$H$31:$H$45,'Renew &amp; Vac'!$A$31:$A$45,$B209,'Renew &amp; Vac'!$D$31:$D$45,"&lt;="&amp;G$199,'Renew &amp; Vac'!$E$31:$E$45,"&gt;="&amp;G$199)</f>
        <v>0</v>
      </c>
      <c r="H209" s="34">
        <f>SUMIFS('Renew &amp; Vac'!$S$31:$S$45,'Renew &amp; Vac'!$L$31:$L$45,$B209,'Renew &amp; Vac'!$O$31:$O$45,"&lt;="&amp;H$199,'Renew &amp; Vac'!$P$31:$P$45,"&gt;="&amp;H$199)+SUMIFS('Renew &amp; Vac'!$H$31:$H$45,'Renew &amp; Vac'!$A$31:$A$45,$B209,'Renew &amp; Vac'!$D$31:$D$45,"&lt;="&amp;H$199,'Renew &amp; Vac'!$E$31:$E$45,"&gt;="&amp;H$199)</f>
        <v>0</v>
      </c>
      <c r="I209" s="34">
        <f>SUMIFS('Renew &amp; Vac'!$S$31:$S$45,'Renew &amp; Vac'!$L$31:$L$45,$B209,'Renew &amp; Vac'!$O$31:$O$45,"&lt;="&amp;I$199,'Renew &amp; Vac'!$P$31:$P$45,"&gt;="&amp;I$199)+SUMIFS('Renew &amp; Vac'!$H$31:$H$45,'Renew &amp; Vac'!$A$31:$A$45,$B209,'Renew &amp; Vac'!$D$31:$D$45,"&lt;="&amp;I$199,'Renew &amp; Vac'!$E$31:$E$45,"&gt;="&amp;I$199)</f>
        <v>0</v>
      </c>
      <c r="J209" s="34">
        <f>SUMIFS('Renew &amp; Vac'!$S$31:$S$45,'Renew &amp; Vac'!$L$31:$L$45,$B209,'Renew &amp; Vac'!$O$31:$O$45,"&lt;="&amp;J$199,'Renew &amp; Vac'!$P$31:$P$45,"&gt;="&amp;J$199)+SUMIFS('Renew &amp; Vac'!$H$31:$H$45,'Renew &amp; Vac'!$A$31:$A$45,$B209,'Renew &amp; Vac'!$D$31:$D$45,"&lt;="&amp;J$199,'Renew &amp; Vac'!$E$31:$E$45,"&gt;="&amp;J$199)</f>
        <v>0</v>
      </c>
      <c r="K209" s="34">
        <f>SUMIFS('Renew &amp; Vac'!$S$31:$S$45,'Renew &amp; Vac'!$L$31:$L$45,$B209,'Renew &amp; Vac'!$O$31:$O$45,"&lt;="&amp;K$199,'Renew &amp; Vac'!$P$31:$P$45,"&gt;="&amp;K$199)+SUMIFS('Renew &amp; Vac'!$H$31:$H$45,'Renew &amp; Vac'!$A$31:$A$45,$B209,'Renew &amp; Vac'!$D$31:$D$45,"&lt;="&amp;K$199,'Renew &amp; Vac'!$E$31:$E$45,"&gt;="&amp;K$199)</f>
        <v>0</v>
      </c>
      <c r="L209" s="34">
        <f>SUMIFS('Renew &amp; Vac'!$S$31:$S$45,'Renew &amp; Vac'!$L$31:$L$45,$B209,'Renew &amp; Vac'!$O$31:$O$45,"&lt;="&amp;L$199,'Renew &amp; Vac'!$P$31:$P$45,"&gt;="&amp;L$199)+SUMIFS('Renew &amp; Vac'!$H$31:$H$45,'Renew &amp; Vac'!$A$31:$A$45,$B209,'Renew &amp; Vac'!$D$31:$D$45,"&lt;="&amp;L$199,'Renew &amp; Vac'!$E$31:$E$45,"&gt;="&amp;L$199)</f>
        <v>1738.5</v>
      </c>
      <c r="M209" s="34">
        <f>SUMIFS('Renew &amp; Vac'!$S$31:$S$45,'Renew &amp; Vac'!$L$31:$L$45,$B209,'Renew &amp; Vac'!$O$31:$O$45,"&lt;="&amp;M$199,'Renew &amp; Vac'!$P$31:$P$45,"&gt;="&amp;M$199)+SUMIFS('Renew &amp; Vac'!$H$31:$H$45,'Renew &amp; Vac'!$A$31:$A$45,$B209,'Renew &amp; Vac'!$D$31:$D$45,"&lt;="&amp;M$199,'Renew &amp; Vac'!$E$31:$E$45,"&gt;="&amp;M$199)</f>
        <v>1738.5</v>
      </c>
      <c r="N209" s="34">
        <f>SUMIFS('Renew &amp; Vac'!$S$31:$S$45,'Renew &amp; Vac'!$L$31:$L$45,$B209,'Renew &amp; Vac'!$O$31:$O$45,"&lt;="&amp;N$199,'Renew &amp; Vac'!$P$31:$P$45,"&gt;="&amp;N$199)+SUMIFS('Renew &amp; Vac'!$H$31:$H$45,'Renew &amp; Vac'!$A$31:$A$45,$B209,'Renew &amp; Vac'!$D$31:$D$45,"&lt;="&amp;N$199,'Renew &amp; Vac'!$E$31:$E$45,"&gt;="&amp;N$199)</f>
        <v>1738.5</v>
      </c>
      <c r="O209" s="34">
        <f>SUMIFS('Renew &amp; Vac'!$S$31:$S$45,'Renew &amp; Vac'!$L$31:$L$45,$B209,'Renew &amp; Vac'!$O$31:$O$45,"&lt;="&amp;O$199,'Renew &amp; Vac'!$P$31:$P$45,"&gt;="&amp;O$199)+SUMIFS('Renew &amp; Vac'!$H$31:$H$45,'Renew &amp; Vac'!$A$31:$A$45,$B209,'Renew &amp; Vac'!$D$31:$D$45,"&lt;="&amp;O$199,'Renew &amp; Vac'!$E$31:$E$45,"&gt;="&amp;O$199)</f>
        <v>1738.5</v>
      </c>
      <c r="P209" s="34">
        <f>SUMIFS('Renew &amp; Vac'!$S$31:$S$45,'Renew &amp; Vac'!$L$31:$L$45,$B209,'Renew &amp; Vac'!$O$31:$O$45,"&lt;="&amp;P$199,'Renew &amp; Vac'!$P$31:$P$45,"&gt;="&amp;P$199)+SUMIFS('Renew &amp; Vac'!$H$31:$H$45,'Renew &amp; Vac'!$A$31:$A$45,$B209,'Renew &amp; Vac'!$D$31:$D$45,"&lt;="&amp;P$199,'Renew &amp; Vac'!$E$31:$E$45,"&gt;="&amp;P$199)</f>
        <v>1738.5</v>
      </c>
      <c r="Q209" s="36">
        <f t="shared" si="46"/>
        <v>8692.5</v>
      </c>
    </row>
    <row r="210" spans="2:17" outlineLevel="1" x14ac:dyDescent="0.35">
      <c r="B210" s="127" t="str">
        <f t="shared" si="45"/>
        <v>4060-208</v>
      </c>
      <c r="D210" s="34" t="str">
        <f>IFERROR(VLOOKUP(B210,'Renew &amp; Vac'!$A$31:$B$45,2,FALSE),IFERROR(VLOOKUP(B210,'Renew &amp; Vac'!$L$31:$M$45,2,FALSE),VLOOKUP(B210,$B$170:$D$194,3,FALSE)))</f>
        <v>VACANT</v>
      </c>
      <c r="E210" s="34">
        <f>SUMIFS('Renew &amp; Vac'!$S$31:$S$45,'Renew &amp; Vac'!$L$31:$L$45,$B210,'Renew &amp; Vac'!$O$31:$O$45,"&lt;="&amp;E$199,'Renew &amp; Vac'!$P$31:$P$45,"&gt;="&amp;E$199)+SUMIFS('Renew &amp; Vac'!$H$31:$H$45,'Renew &amp; Vac'!$A$31:$A$45,$B210,'Renew &amp; Vac'!$D$31:$D$45,"&lt;="&amp;E$199,'Renew &amp; Vac'!$E$31:$E$45,"&gt;="&amp;E$199)</f>
        <v>1417</v>
      </c>
      <c r="F210" s="34">
        <f>SUMIFS('Renew &amp; Vac'!$S$31:$S$45,'Renew &amp; Vac'!$L$31:$L$45,$B210,'Renew &amp; Vac'!$O$31:$O$45,"&lt;="&amp;F$199,'Renew &amp; Vac'!$P$31:$P$45,"&gt;="&amp;F$199)+SUMIFS('Renew &amp; Vac'!$H$31:$H$45,'Renew &amp; Vac'!$A$31:$A$45,$B210,'Renew &amp; Vac'!$D$31:$D$45,"&lt;="&amp;F$199,'Renew &amp; Vac'!$E$31:$E$45,"&gt;="&amp;F$199)</f>
        <v>1417</v>
      </c>
      <c r="G210" s="34">
        <f>SUMIFS('Renew &amp; Vac'!$S$31:$S$45,'Renew &amp; Vac'!$L$31:$L$45,$B210,'Renew &amp; Vac'!$O$31:$O$45,"&lt;="&amp;G$199,'Renew &amp; Vac'!$P$31:$P$45,"&gt;="&amp;G$199)+SUMIFS('Renew &amp; Vac'!$H$31:$H$45,'Renew &amp; Vac'!$A$31:$A$45,$B210,'Renew &amp; Vac'!$D$31:$D$45,"&lt;="&amp;G$199,'Renew &amp; Vac'!$E$31:$E$45,"&gt;="&amp;G$199)</f>
        <v>1417</v>
      </c>
      <c r="H210" s="34">
        <f>SUMIFS('Renew &amp; Vac'!$S$31:$S$45,'Renew &amp; Vac'!$L$31:$L$45,$B210,'Renew &amp; Vac'!$O$31:$O$45,"&lt;="&amp;H$199,'Renew &amp; Vac'!$P$31:$P$45,"&gt;="&amp;H$199)+SUMIFS('Renew &amp; Vac'!$H$31:$H$45,'Renew &amp; Vac'!$A$31:$A$45,$B210,'Renew &amp; Vac'!$D$31:$D$45,"&lt;="&amp;H$199,'Renew &amp; Vac'!$E$31:$E$45,"&gt;="&amp;H$199)</f>
        <v>1417</v>
      </c>
      <c r="I210" s="34">
        <f>SUMIFS('Renew &amp; Vac'!$S$31:$S$45,'Renew &amp; Vac'!$L$31:$L$45,$B210,'Renew &amp; Vac'!$O$31:$O$45,"&lt;="&amp;I$199,'Renew &amp; Vac'!$P$31:$P$45,"&gt;="&amp;I$199)+SUMIFS('Renew &amp; Vac'!$H$31:$H$45,'Renew &amp; Vac'!$A$31:$A$45,$B210,'Renew &amp; Vac'!$D$31:$D$45,"&lt;="&amp;I$199,'Renew &amp; Vac'!$E$31:$E$45,"&gt;="&amp;I$199)</f>
        <v>1417</v>
      </c>
      <c r="J210" s="34">
        <f>SUMIFS('Renew &amp; Vac'!$S$31:$S$45,'Renew &amp; Vac'!$L$31:$L$45,$B210,'Renew &amp; Vac'!$O$31:$O$45,"&lt;="&amp;J$199,'Renew &amp; Vac'!$P$31:$P$45,"&gt;="&amp;J$199)+SUMIFS('Renew &amp; Vac'!$H$31:$H$45,'Renew &amp; Vac'!$A$31:$A$45,$B210,'Renew &amp; Vac'!$D$31:$D$45,"&lt;="&amp;J$199,'Renew &amp; Vac'!$E$31:$E$45,"&gt;="&amp;J$199)</f>
        <v>1417</v>
      </c>
      <c r="K210" s="34">
        <f>SUMIFS('Renew &amp; Vac'!$S$31:$S$45,'Renew &amp; Vac'!$L$31:$L$45,$B210,'Renew &amp; Vac'!$O$31:$O$45,"&lt;="&amp;K$199,'Renew &amp; Vac'!$P$31:$P$45,"&gt;="&amp;K$199)+SUMIFS('Renew &amp; Vac'!$H$31:$H$45,'Renew &amp; Vac'!$A$31:$A$45,$B210,'Renew &amp; Vac'!$D$31:$D$45,"&lt;="&amp;K$199,'Renew &amp; Vac'!$E$31:$E$45,"&gt;="&amp;K$199)</f>
        <v>1417</v>
      </c>
      <c r="L210" s="34">
        <f>SUMIFS('Renew &amp; Vac'!$S$31:$S$45,'Renew &amp; Vac'!$L$31:$L$45,$B210,'Renew &amp; Vac'!$O$31:$O$45,"&lt;="&amp;L$199,'Renew &amp; Vac'!$P$31:$P$45,"&gt;="&amp;L$199)+SUMIFS('Renew &amp; Vac'!$H$31:$H$45,'Renew &amp; Vac'!$A$31:$A$45,$B210,'Renew &amp; Vac'!$D$31:$D$45,"&lt;="&amp;L$199,'Renew &amp; Vac'!$E$31:$E$45,"&gt;="&amp;L$199)</f>
        <v>1417</v>
      </c>
      <c r="M210" s="34">
        <f>SUMIFS('Renew &amp; Vac'!$S$31:$S$45,'Renew &amp; Vac'!$L$31:$L$45,$B210,'Renew &amp; Vac'!$O$31:$O$45,"&lt;="&amp;M$199,'Renew &amp; Vac'!$P$31:$P$45,"&gt;="&amp;M$199)+SUMIFS('Renew &amp; Vac'!$H$31:$H$45,'Renew &amp; Vac'!$A$31:$A$45,$B210,'Renew &amp; Vac'!$D$31:$D$45,"&lt;="&amp;M$199,'Renew &amp; Vac'!$E$31:$E$45,"&gt;="&amp;M$199)</f>
        <v>1417</v>
      </c>
      <c r="N210" s="34">
        <f>SUMIFS('Renew &amp; Vac'!$S$31:$S$45,'Renew &amp; Vac'!$L$31:$L$45,$B210,'Renew &amp; Vac'!$O$31:$O$45,"&lt;="&amp;N$199,'Renew &amp; Vac'!$P$31:$P$45,"&gt;="&amp;N$199)+SUMIFS('Renew &amp; Vac'!$H$31:$H$45,'Renew &amp; Vac'!$A$31:$A$45,$B210,'Renew &amp; Vac'!$D$31:$D$45,"&lt;="&amp;N$199,'Renew &amp; Vac'!$E$31:$E$45,"&gt;="&amp;N$199)</f>
        <v>1417</v>
      </c>
      <c r="O210" s="34">
        <f>SUMIFS('Renew &amp; Vac'!$S$31:$S$45,'Renew &amp; Vac'!$L$31:$L$45,$B210,'Renew &amp; Vac'!$O$31:$O$45,"&lt;="&amp;O$199,'Renew &amp; Vac'!$P$31:$P$45,"&gt;="&amp;O$199)+SUMIFS('Renew &amp; Vac'!$H$31:$H$45,'Renew &amp; Vac'!$A$31:$A$45,$B210,'Renew &amp; Vac'!$D$31:$D$45,"&lt;="&amp;O$199,'Renew &amp; Vac'!$E$31:$E$45,"&gt;="&amp;O$199)</f>
        <v>0</v>
      </c>
      <c r="P210" s="34">
        <f>SUMIFS('Renew &amp; Vac'!$S$31:$S$45,'Renew &amp; Vac'!$L$31:$L$45,$B210,'Renew &amp; Vac'!$O$31:$O$45,"&lt;="&amp;P$199,'Renew &amp; Vac'!$P$31:$P$45,"&gt;="&amp;P$199)+SUMIFS('Renew &amp; Vac'!$H$31:$H$45,'Renew &amp; Vac'!$A$31:$A$45,$B210,'Renew &amp; Vac'!$D$31:$D$45,"&lt;="&amp;P$199,'Renew &amp; Vac'!$E$31:$E$45,"&gt;="&amp;P$199)</f>
        <v>0</v>
      </c>
      <c r="Q210" s="36">
        <f t="shared" si="46"/>
        <v>14170</v>
      </c>
    </row>
    <row r="211" spans="2:17" outlineLevel="1" x14ac:dyDescent="0.35">
      <c r="B211" s="127" t="str">
        <f t="shared" si="45"/>
        <v>4060-210</v>
      </c>
      <c r="D211" s="34" t="str">
        <f>IFERROR(VLOOKUP(B211,'Renew &amp; Vac'!$A$31:$B$45,2,FALSE),IFERROR(VLOOKUP(B211,'Renew &amp; Vac'!$L$31:$M$45,2,FALSE),VLOOKUP(B211,$B$170:$D$194,3,FALSE)))</f>
        <v>Zev Express, Inc.</v>
      </c>
      <c r="E211" s="34">
        <f>SUMIFS('Renew &amp; Vac'!$S$31:$S$45,'Renew &amp; Vac'!$L$31:$L$45,$B211,'Renew &amp; Vac'!$O$31:$O$45,"&lt;="&amp;E$199,'Renew &amp; Vac'!$P$31:$P$45,"&gt;="&amp;E$199)+SUMIFS('Renew &amp; Vac'!$H$31:$H$45,'Renew &amp; Vac'!$A$31:$A$45,$B211,'Renew &amp; Vac'!$D$31:$D$45,"&lt;="&amp;E$199,'Renew &amp; Vac'!$E$31:$E$45,"&gt;="&amp;E$199)</f>
        <v>0</v>
      </c>
      <c r="F211" s="34">
        <f>SUMIFS('Renew &amp; Vac'!$S$31:$S$45,'Renew &amp; Vac'!$L$31:$L$45,$B211,'Renew &amp; Vac'!$O$31:$O$45,"&lt;="&amp;F$199,'Renew &amp; Vac'!$P$31:$P$45,"&gt;="&amp;F$199)+SUMIFS('Renew &amp; Vac'!$H$31:$H$45,'Renew &amp; Vac'!$A$31:$A$45,$B211,'Renew &amp; Vac'!$D$31:$D$45,"&lt;="&amp;F$199,'Renew &amp; Vac'!$E$31:$E$45,"&gt;="&amp;F$199)</f>
        <v>0</v>
      </c>
      <c r="G211" s="34">
        <f>SUMIFS('Renew &amp; Vac'!$S$31:$S$45,'Renew &amp; Vac'!$L$31:$L$45,$B211,'Renew &amp; Vac'!$O$31:$O$45,"&lt;="&amp;G$199,'Renew &amp; Vac'!$P$31:$P$45,"&gt;="&amp;G$199)+SUMIFS('Renew &amp; Vac'!$H$31:$H$45,'Renew &amp; Vac'!$A$31:$A$45,$B211,'Renew &amp; Vac'!$D$31:$D$45,"&lt;="&amp;G$199,'Renew &amp; Vac'!$E$31:$E$45,"&gt;="&amp;G$199)</f>
        <v>0</v>
      </c>
      <c r="H211" s="34">
        <f>SUMIFS('Renew &amp; Vac'!$S$31:$S$45,'Renew &amp; Vac'!$L$31:$L$45,$B211,'Renew &amp; Vac'!$O$31:$O$45,"&lt;="&amp;H$199,'Renew &amp; Vac'!$P$31:$P$45,"&gt;="&amp;H$199)+SUMIFS('Renew &amp; Vac'!$H$31:$H$45,'Renew &amp; Vac'!$A$31:$A$45,$B211,'Renew &amp; Vac'!$D$31:$D$45,"&lt;="&amp;H$199,'Renew &amp; Vac'!$E$31:$E$45,"&gt;="&amp;H$199)</f>
        <v>0</v>
      </c>
      <c r="I211" s="34">
        <f>SUMIFS('Renew &amp; Vac'!$S$31:$S$45,'Renew &amp; Vac'!$L$31:$L$45,$B211,'Renew &amp; Vac'!$O$31:$O$45,"&lt;="&amp;I$199,'Renew &amp; Vac'!$P$31:$P$45,"&gt;="&amp;I$199)+SUMIFS('Renew &amp; Vac'!$H$31:$H$45,'Renew &amp; Vac'!$A$31:$A$45,$B211,'Renew &amp; Vac'!$D$31:$D$45,"&lt;="&amp;I$199,'Renew &amp; Vac'!$E$31:$E$45,"&gt;="&amp;I$199)</f>
        <v>0</v>
      </c>
      <c r="J211" s="34">
        <f>SUMIFS('Renew &amp; Vac'!$S$31:$S$45,'Renew &amp; Vac'!$L$31:$L$45,$B211,'Renew &amp; Vac'!$O$31:$O$45,"&lt;="&amp;J$199,'Renew &amp; Vac'!$P$31:$P$45,"&gt;="&amp;J$199)+SUMIFS('Renew &amp; Vac'!$H$31:$H$45,'Renew &amp; Vac'!$A$31:$A$45,$B211,'Renew &amp; Vac'!$D$31:$D$45,"&lt;="&amp;J$199,'Renew &amp; Vac'!$E$31:$E$45,"&gt;="&amp;J$199)</f>
        <v>0</v>
      </c>
      <c r="K211" s="34">
        <f>SUMIFS('Renew &amp; Vac'!$S$31:$S$45,'Renew &amp; Vac'!$L$31:$L$45,$B211,'Renew &amp; Vac'!$O$31:$O$45,"&lt;="&amp;K$199,'Renew &amp; Vac'!$P$31:$P$45,"&gt;="&amp;K$199)+SUMIFS('Renew &amp; Vac'!$H$31:$H$45,'Renew &amp; Vac'!$A$31:$A$45,$B211,'Renew &amp; Vac'!$D$31:$D$45,"&lt;="&amp;K$199,'Renew &amp; Vac'!$E$31:$E$45,"&gt;="&amp;K$199)</f>
        <v>0</v>
      </c>
      <c r="L211" s="34">
        <f>SUMIFS('Renew &amp; Vac'!$S$31:$S$45,'Renew &amp; Vac'!$L$31:$L$45,$B211,'Renew &amp; Vac'!$O$31:$O$45,"&lt;="&amp;L$199,'Renew &amp; Vac'!$P$31:$P$45,"&gt;="&amp;L$199)+SUMIFS('Renew &amp; Vac'!$H$31:$H$45,'Renew &amp; Vac'!$A$31:$A$45,$B211,'Renew &amp; Vac'!$D$31:$D$45,"&lt;="&amp;L$199,'Renew &amp; Vac'!$E$31:$E$45,"&gt;="&amp;L$199)</f>
        <v>0</v>
      </c>
      <c r="M211" s="34">
        <f>SUMIFS('Renew &amp; Vac'!$S$31:$S$45,'Renew &amp; Vac'!$L$31:$L$45,$B211,'Renew &amp; Vac'!$O$31:$O$45,"&lt;="&amp;M$199,'Renew &amp; Vac'!$P$31:$P$45,"&gt;="&amp;M$199)+SUMIFS('Renew &amp; Vac'!$H$31:$H$45,'Renew &amp; Vac'!$A$31:$A$45,$B211,'Renew &amp; Vac'!$D$31:$D$45,"&lt;="&amp;M$199,'Renew &amp; Vac'!$E$31:$E$45,"&gt;="&amp;M$199)</f>
        <v>0</v>
      </c>
      <c r="N211" s="34">
        <f>SUMIFS('Renew &amp; Vac'!$S$31:$S$45,'Renew &amp; Vac'!$L$31:$L$45,$B211,'Renew &amp; Vac'!$O$31:$O$45,"&lt;="&amp;N$199,'Renew &amp; Vac'!$P$31:$P$45,"&gt;="&amp;N$199)+SUMIFS('Renew &amp; Vac'!$H$31:$H$45,'Renew &amp; Vac'!$A$31:$A$45,$B211,'Renew &amp; Vac'!$D$31:$D$45,"&lt;="&amp;N$199,'Renew &amp; Vac'!$E$31:$E$45,"&gt;="&amp;N$199)</f>
        <v>0</v>
      </c>
      <c r="O211" s="34">
        <f>SUMIFS('Renew &amp; Vac'!$S$31:$S$45,'Renew &amp; Vac'!$L$31:$L$45,$B211,'Renew &amp; Vac'!$O$31:$O$45,"&lt;="&amp;O$199,'Renew &amp; Vac'!$P$31:$P$45,"&gt;="&amp;O$199)+SUMIFS('Renew &amp; Vac'!$H$31:$H$45,'Renew &amp; Vac'!$A$31:$A$45,$B211,'Renew &amp; Vac'!$D$31:$D$45,"&lt;="&amp;O$199,'Renew &amp; Vac'!$E$31:$E$45,"&gt;="&amp;O$199)</f>
        <v>0</v>
      </c>
      <c r="P211" s="34">
        <f>SUMIFS('Renew &amp; Vac'!$S$31:$S$45,'Renew &amp; Vac'!$L$31:$L$45,$B211,'Renew &amp; Vac'!$O$31:$O$45,"&lt;="&amp;P$199,'Renew &amp; Vac'!$P$31:$P$45,"&gt;="&amp;P$199)+SUMIFS('Renew &amp; Vac'!$H$31:$H$45,'Renew &amp; Vac'!$A$31:$A$45,$B211,'Renew &amp; Vac'!$D$31:$D$45,"&lt;="&amp;P$199,'Renew &amp; Vac'!$E$31:$E$45,"&gt;="&amp;P$199)</f>
        <v>0</v>
      </c>
      <c r="Q211" s="36">
        <f t="shared" si="46"/>
        <v>0</v>
      </c>
    </row>
    <row r="212" spans="2:17" outlineLevel="1" x14ac:dyDescent="0.35">
      <c r="B212" s="127" t="str">
        <f t="shared" si="45"/>
        <v>4060-211</v>
      </c>
      <c r="D212" s="34" t="str">
        <f>IFERROR(VLOOKUP(B212,'Renew &amp; Vac'!$A$31:$B$45,2,FALSE),IFERROR(VLOOKUP(B212,'Renew &amp; Vac'!$L$31:$M$45,2,FALSE),VLOOKUP(B212,$B$170:$D$194,3,FALSE)))</f>
        <v>Affinity Care of Pennsylvania</v>
      </c>
      <c r="E212" s="34">
        <f>SUMIFS('Renew &amp; Vac'!$S$31:$S$45,'Renew &amp; Vac'!$L$31:$L$45,$B212,'Renew &amp; Vac'!$O$31:$O$45,"&lt;="&amp;E$199,'Renew &amp; Vac'!$P$31:$P$45,"&gt;="&amp;E$199)+SUMIFS('Renew &amp; Vac'!$H$31:$H$45,'Renew &amp; Vac'!$A$31:$A$45,$B212,'Renew &amp; Vac'!$D$31:$D$45,"&lt;="&amp;E$199,'Renew &amp; Vac'!$E$31:$E$45,"&gt;="&amp;E$199)</f>
        <v>0</v>
      </c>
      <c r="F212" s="34">
        <f>SUMIFS('Renew &amp; Vac'!$S$31:$S$45,'Renew &amp; Vac'!$L$31:$L$45,$B212,'Renew &amp; Vac'!$O$31:$O$45,"&lt;="&amp;F$199,'Renew &amp; Vac'!$P$31:$P$45,"&gt;="&amp;F$199)+SUMIFS('Renew &amp; Vac'!$H$31:$H$45,'Renew &amp; Vac'!$A$31:$A$45,$B212,'Renew &amp; Vac'!$D$31:$D$45,"&lt;="&amp;F$199,'Renew &amp; Vac'!$E$31:$E$45,"&gt;="&amp;F$199)</f>
        <v>0</v>
      </c>
      <c r="G212" s="34">
        <f>SUMIFS('Renew &amp; Vac'!$S$31:$S$45,'Renew &amp; Vac'!$L$31:$L$45,$B212,'Renew &amp; Vac'!$O$31:$O$45,"&lt;="&amp;G$199,'Renew &amp; Vac'!$P$31:$P$45,"&gt;="&amp;G$199)+SUMIFS('Renew &amp; Vac'!$H$31:$H$45,'Renew &amp; Vac'!$A$31:$A$45,$B212,'Renew &amp; Vac'!$D$31:$D$45,"&lt;="&amp;G$199,'Renew &amp; Vac'!$E$31:$E$45,"&gt;="&amp;G$199)</f>
        <v>0</v>
      </c>
      <c r="H212" s="34">
        <f>SUMIFS('Renew &amp; Vac'!$S$31:$S$45,'Renew &amp; Vac'!$L$31:$L$45,$B212,'Renew &amp; Vac'!$O$31:$O$45,"&lt;="&amp;H$199,'Renew &amp; Vac'!$P$31:$P$45,"&gt;="&amp;H$199)+SUMIFS('Renew &amp; Vac'!$H$31:$H$45,'Renew &amp; Vac'!$A$31:$A$45,$B212,'Renew &amp; Vac'!$D$31:$D$45,"&lt;="&amp;H$199,'Renew &amp; Vac'!$E$31:$E$45,"&gt;="&amp;H$199)</f>
        <v>0</v>
      </c>
      <c r="I212" s="34">
        <f>SUMIFS('Renew &amp; Vac'!$S$31:$S$45,'Renew &amp; Vac'!$L$31:$L$45,$B212,'Renew &amp; Vac'!$O$31:$O$45,"&lt;="&amp;I$199,'Renew &amp; Vac'!$P$31:$P$45,"&gt;="&amp;I$199)+SUMIFS('Renew &amp; Vac'!$H$31:$H$45,'Renew &amp; Vac'!$A$31:$A$45,$B212,'Renew &amp; Vac'!$D$31:$D$45,"&lt;="&amp;I$199,'Renew &amp; Vac'!$E$31:$E$45,"&gt;="&amp;I$199)</f>
        <v>0</v>
      </c>
      <c r="J212" s="34">
        <f>SUMIFS('Renew &amp; Vac'!$S$31:$S$45,'Renew &amp; Vac'!$L$31:$L$45,$B212,'Renew &amp; Vac'!$O$31:$O$45,"&lt;="&amp;J$199,'Renew &amp; Vac'!$P$31:$P$45,"&gt;="&amp;J$199)+SUMIFS('Renew &amp; Vac'!$H$31:$H$45,'Renew &amp; Vac'!$A$31:$A$45,$B212,'Renew &amp; Vac'!$D$31:$D$45,"&lt;="&amp;J$199,'Renew &amp; Vac'!$E$31:$E$45,"&gt;="&amp;J$199)</f>
        <v>0</v>
      </c>
      <c r="K212" s="34">
        <f>SUMIFS('Renew &amp; Vac'!$S$31:$S$45,'Renew &amp; Vac'!$L$31:$L$45,$B212,'Renew &amp; Vac'!$O$31:$O$45,"&lt;="&amp;K$199,'Renew &amp; Vac'!$P$31:$P$45,"&gt;="&amp;K$199)+SUMIFS('Renew &amp; Vac'!$H$31:$H$45,'Renew &amp; Vac'!$A$31:$A$45,$B212,'Renew &amp; Vac'!$D$31:$D$45,"&lt;="&amp;K$199,'Renew &amp; Vac'!$E$31:$E$45,"&gt;="&amp;K$199)</f>
        <v>0</v>
      </c>
      <c r="L212" s="34">
        <f>SUMIFS('Renew &amp; Vac'!$S$31:$S$45,'Renew &amp; Vac'!$L$31:$L$45,$B212,'Renew &amp; Vac'!$O$31:$O$45,"&lt;="&amp;L$199,'Renew &amp; Vac'!$P$31:$P$45,"&gt;="&amp;L$199)+SUMIFS('Renew &amp; Vac'!$H$31:$H$45,'Renew &amp; Vac'!$A$31:$A$45,$B212,'Renew &amp; Vac'!$D$31:$D$45,"&lt;="&amp;L$199,'Renew &amp; Vac'!$E$31:$E$45,"&gt;="&amp;L$199)</f>
        <v>0</v>
      </c>
      <c r="M212" s="34">
        <f>SUMIFS('Renew &amp; Vac'!$S$31:$S$45,'Renew &amp; Vac'!$L$31:$L$45,$B212,'Renew &amp; Vac'!$O$31:$O$45,"&lt;="&amp;M$199,'Renew &amp; Vac'!$P$31:$P$45,"&gt;="&amp;M$199)+SUMIFS('Renew &amp; Vac'!$H$31:$H$45,'Renew &amp; Vac'!$A$31:$A$45,$B212,'Renew &amp; Vac'!$D$31:$D$45,"&lt;="&amp;M$199,'Renew &amp; Vac'!$E$31:$E$45,"&gt;="&amp;M$199)</f>
        <v>0</v>
      </c>
      <c r="N212" s="34">
        <f>SUMIFS('Renew &amp; Vac'!$S$31:$S$45,'Renew &amp; Vac'!$L$31:$L$45,$B212,'Renew &amp; Vac'!$O$31:$O$45,"&lt;="&amp;N$199,'Renew &amp; Vac'!$P$31:$P$45,"&gt;="&amp;N$199)+SUMIFS('Renew &amp; Vac'!$H$31:$H$45,'Renew &amp; Vac'!$A$31:$A$45,$B212,'Renew &amp; Vac'!$D$31:$D$45,"&lt;="&amp;N$199,'Renew &amp; Vac'!$E$31:$E$45,"&gt;="&amp;N$199)</f>
        <v>0</v>
      </c>
      <c r="O212" s="34">
        <f>SUMIFS('Renew &amp; Vac'!$S$31:$S$45,'Renew &amp; Vac'!$L$31:$L$45,$B212,'Renew &amp; Vac'!$O$31:$O$45,"&lt;="&amp;O$199,'Renew &amp; Vac'!$P$31:$P$45,"&gt;="&amp;O$199)+SUMIFS('Renew &amp; Vac'!$H$31:$H$45,'Renew &amp; Vac'!$A$31:$A$45,$B212,'Renew &amp; Vac'!$D$31:$D$45,"&lt;="&amp;O$199,'Renew &amp; Vac'!$E$31:$E$45,"&gt;="&amp;O$199)</f>
        <v>0</v>
      </c>
      <c r="P212" s="34">
        <f>SUMIFS('Renew &amp; Vac'!$S$31:$S$45,'Renew &amp; Vac'!$L$31:$L$45,$B212,'Renew &amp; Vac'!$O$31:$O$45,"&lt;="&amp;P$199,'Renew &amp; Vac'!$P$31:$P$45,"&gt;="&amp;P$199)+SUMIFS('Renew &amp; Vac'!$H$31:$H$45,'Renew &amp; Vac'!$A$31:$A$45,$B212,'Renew &amp; Vac'!$D$31:$D$45,"&lt;="&amp;P$199,'Renew &amp; Vac'!$E$31:$E$45,"&gt;="&amp;P$199)</f>
        <v>0</v>
      </c>
      <c r="Q212" s="36">
        <f t="shared" si="46"/>
        <v>0</v>
      </c>
    </row>
    <row r="213" spans="2:17" outlineLevel="1" x14ac:dyDescent="0.35">
      <c r="B213" s="127" t="str">
        <f t="shared" si="45"/>
        <v>4060-212</v>
      </c>
      <c r="D213" s="34" t="str">
        <f>IFERROR(VLOOKUP(B213,'Renew &amp; Vac'!$A$31:$B$45,2,FALSE),IFERROR(VLOOKUP(B213,'Renew &amp; Vac'!$L$31:$M$45,2,FALSE),VLOOKUP(B213,$B$170:$D$194,3,FALSE)))</f>
        <v>Helping Hand Nurse, LLC</v>
      </c>
      <c r="E213" s="34">
        <f>SUMIFS('Renew &amp; Vac'!$S$31:$S$45,'Renew &amp; Vac'!$L$31:$L$45,$B213,'Renew &amp; Vac'!$O$31:$O$45,"&lt;="&amp;E$199,'Renew &amp; Vac'!$P$31:$P$45,"&gt;="&amp;E$199)+SUMIFS('Renew &amp; Vac'!$H$31:$H$45,'Renew &amp; Vac'!$A$31:$A$45,$B213,'Renew &amp; Vac'!$D$31:$D$45,"&lt;="&amp;E$199,'Renew &amp; Vac'!$E$31:$E$45,"&gt;="&amp;E$199)</f>
        <v>0</v>
      </c>
      <c r="F213" s="34">
        <f>SUMIFS('Renew &amp; Vac'!$S$31:$S$45,'Renew &amp; Vac'!$L$31:$L$45,$B213,'Renew &amp; Vac'!$O$31:$O$45,"&lt;="&amp;F$199,'Renew &amp; Vac'!$P$31:$P$45,"&gt;="&amp;F$199)+SUMIFS('Renew &amp; Vac'!$H$31:$H$45,'Renew &amp; Vac'!$A$31:$A$45,$B213,'Renew &amp; Vac'!$D$31:$D$45,"&lt;="&amp;F$199,'Renew &amp; Vac'!$E$31:$E$45,"&gt;="&amp;F$199)</f>
        <v>0</v>
      </c>
      <c r="G213" s="34">
        <f>SUMIFS('Renew &amp; Vac'!$S$31:$S$45,'Renew &amp; Vac'!$L$31:$L$45,$B213,'Renew &amp; Vac'!$O$31:$O$45,"&lt;="&amp;G$199,'Renew &amp; Vac'!$P$31:$P$45,"&gt;="&amp;G$199)+SUMIFS('Renew &amp; Vac'!$H$31:$H$45,'Renew &amp; Vac'!$A$31:$A$45,$B213,'Renew &amp; Vac'!$D$31:$D$45,"&lt;="&amp;G$199,'Renew &amp; Vac'!$E$31:$E$45,"&gt;="&amp;G$199)</f>
        <v>0</v>
      </c>
      <c r="H213" s="34">
        <f>SUMIFS('Renew &amp; Vac'!$S$31:$S$45,'Renew &amp; Vac'!$L$31:$L$45,$B213,'Renew &amp; Vac'!$O$31:$O$45,"&lt;="&amp;H$199,'Renew &amp; Vac'!$P$31:$P$45,"&gt;="&amp;H$199)+SUMIFS('Renew &amp; Vac'!$H$31:$H$45,'Renew &amp; Vac'!$A$31:$A$45,$B213,'Renew &amp; Vac'!$D$31:$D$45,"&lt;="&amp;H$199,'Renew &amp; Vac'!$E$31:$E$45,"&gt;="&amp;H$199)</f>
        <v>0</v>
      </c>
      <c r="I213" s="34">
        <f>SUMIFS('Renew &amp; Vac'!$S$31:$S$45,'Renew &amp; Vac'!$L$31:$L$45,$B213,'Renew &amp; Vac'!$O$31:$O$45,"&lt;="&amp;I$199,'Renew &amp; Vac'!$P$31:$P$45,"&gt;="&amp;I$199)+SUMIFS('Renew &amp; Vac'!$H$31:$H$45,'Renew &amp; Vac'!$A$31:$A$45,$B213,'Renew &amp; Vac'!$D$31:$D$45,"&lt;="&amp;I$199,'Renew &amp; Vac'!$E$31:$E$45,"&gt;="&amp;I$199)</f>
        <v>0</v>
      </c>
      <c r="J213" s="34">
        <f>SUMIFS('Renew &amp; Vac'!$S$31:$S$45,'Renew &amp; Vac'!$L$31:$L$45,$B213,'Renew &amp; Vac'!$O$31:$O$45,"&lt;="&amp;J$199,'Renew &amp; Vac'!$P$31:$P$45,"&gt;="&amp;J$199)+SUMIFS('Renew &amp; Vac'!$H$31:$H$45,'Renew &amp; Vac'!$A$31:$A$45,$B213,'Renew &amp; Vac'!$D$31:$D$45,"&lt;="&amp;J$199,'Renew &amp; Vac'!$E$31:$E$45,"&gt;="&amp;J$199)</f>
        <v>0</v>
      </c>
      <c r="K213" s="34">
        <f>SUMIFS('Renew &amp; Vac'!$S$31:$S$45,'Renew &amp; Vac'!$L$31:$L$45,$B213,'Renew &amp; Vac'!$O$31:$O$45,"&lt;="&amp;K$199,'Renew &amp; Vac'!$P$31:$P$45,"&gt;="&amp;K$199)+SUMIFS('Renew &amp; Vac'!$H$31:$H$45,'Renew &amp; Vac'!$A$31:$A$45,$B213,'Renew &amp; Vac'!$D$31:$D$45,"&lt;="&amp;K$199,'Renew &amp; Vac'!$E$31:$E$45,"&gt;="&amp;K$199)</f>
        <v>0</v>
      </c>
      <c r="L213" s="34">
        <f>SUMIFS('Renew &amp; Vac'!$S$31:$S$45,'Renew &amp; Vac'!$L$31:$L$45,$B213,'Renew &amp; Vac'!$O$31:$O$45,"&lt;="&amp;L$199,'Renew &amp; Vac'!$P$31:$P$45,"&gt;="&amp;L$199)+SUMIFS('Renew &amp; Vac'!$H$31:$H$45,'Renew &amp; Vac'!$A$31:$A$45,$B213,'Renew &amp; Vac'!$D$31:$D$45,"&lt;="&amp;L$199,'Renew &amp; Vac'!$E$31:$E$45,"&gt;="&amp;L$199)</f>
        <v>0</v>
      </c>
      <c r="M213" s="34">
        <f>SUMIFS('Renew &amp; Vac'!$S$31:$S$45,'Renew &amp; Vac'!$L$31:$L$45,$B213,'Renew &amp; Vac'!$O$31:$O$45,"&lt;="&amp;M$199,'Renew &amp; Vac'!$P$31:$P$45,"&gt;="&amp;M$199)+SUMIFS('Renew &amp; Vac'!$H$31:$H$45,'Renew &amp; Vac'!$A$31:$A$45,$B213,'Renew &amp; Vac'!$D$31:$D$45,"&lt;="&amp;M$199,'Renew &amp; Vac'!$E$31:$E$45,"&gt;="&amp;M$199)</f>
        <v>0</v>
      </c>
      <c r="N213" s="34">
        <f>SUMIFS('Renew &amp; Vac'!$S$31:$S$45,'Renew &amp; Vac'!$L$31:$L$45,$B213,'Renew &amp; Vac'!$O$31:$O$45,"&lt;="&amp;N$199,'Renew &amp; Vac'!$P$31:$P$45,"&gt;="&amp;N$199)+SUMIFS('Renew &amp; Vac'!$H$31:$H$45,'Renew &amp; Vac'!$A$31:$A$45,$B213,'Renew &amp; Vac'!$D$31:$D$45,"&lt;="&amp;N$199,'Renew &amp; Vac'!$E$31:$E$45,"&gt;="&amp;N$199)</f>
        <v>0</v>
      </c>
      <c r="O213" s="34">
        <f>SUMIFS('Renew &amp; Vac'!$S$31:$S$45,'Renew &amp; Vac'!$L$31:$L$45,$B213,'Renew &amp; Vac'!$O$31:$O$45,"&lt;="&amp;O$199,'Renew &amp; Vac'!$P$31:$P$45,"&gt;="&amp;O$199)+SUMIFS('Renew &amp; Vac'!$H$31:$H$45,'Renew &amp; Vac'!$A$31:$A$45,$B213,'Renew &amp; Vac'!$D$31:$D$45,"&lt;="&amp;O$199,'Renew &amp; Vac'!$E$31:$E$45,"&gt;="&amp;O$199)</f>
        <v>0</v>
      </c>
      <c r="P213" s="34">
        <f>SUMIFS('Renew &amp; Vac'!$S$31:$S$45,'Renew &amp; Vac'!$L$31:$L$45,$B213,'Renew &amp; Vac'!$O$31:$O$45,"&lt;="&amp;P$199,'Renew &amp; Vac'!$P$31:$P$45,"&gt;="&amp;P$199)+SUMIFS('Renew &amp; Vac'!$H$31:$H$45,'Renew &amp; Vac'!$A$31:$A$45,$B213,'Renew &amp; Vac'!$D$31:$D$45,"&lt;="&amp;P$199,'Renew &amp; Vac'!$E$31:$E$45,"&gt;="&amp;P$199)</f>
        <v>0</v>
      </c>
      <c r="Q213" s="36">
        <f t="shared" si="46"/>
        <v>0</v>
      </c>
    </row>
    <row r="214" spans="2:17" outlineLevel="1" x14ac:dyDescent="0.35">
      <c r="B214" s="127" t="str">
        <f t="shared" si="45"/>
        <v>4060-213</v>
      </c>
      <c r="D214" s="34" t="str">
        <f>IFERROR(VLOOKUP(B214,'Renew &amp; Vac'!$A$31:$B$45,2,FALSE),IFERROR(VLOOKUP(B214,'Renew &amp; Vac'!$L$31:$M$45,2,FALSE),VLOOKUP(B214,$B$170:$D$194,3,FALSE)))</f>
        <v>VACANT</v>
      </c>
      <c r="E214" s="34">
        <f>SUMIFS('Renew &amp; Vac'!$S$31:$S$45,'Renew &amp; Vac'!$L$31:$L$45,$B214,'Renew &amp; Vac'!$O$31:$O$45,"&lt;="&amp;E$199,'Renew &amp; Vac'!$P$31:$P$45,"&gt;="&amp;E$199)+SUMIFS('Renew &amp; Vac'!$H$31:$H$45,'Renew &amp; Vac'!$A$31:$A$45,$B214,'Renew &amp; Vac'!$D$31:$D$45,"&lt;="&amp;E$199,'Renew &amp; Vac'!$E$31:$E$45,"&gt;="&amp;E$199)</f>
        <v>0</v>
      </c>
      <c r="F214" s="34">
        <f>SUMIFS('Renew &amp; Vac'!$S$31:$S$45,'Renew &amp; Vac'!$L$31:$L$45,$B214,'Renew &amp; Vac'!$O$31:$O$45,"&lt;="&amp;F$199,'Renew &amp; Vac'!$P$31:$P$45,"&gt;="&amp;F$199)+SUMIFS('Renew &amp; Vac'!$H$31:$H$45,'Renew &amp; Vac'!$A$31:$A$45,$B214,'Renew &amp; Vac'!$D$31:$D$45,"&lt;="&amp;F$199,'Renew &amp; Vac'!$E$31:$E$45,"&gt;="&amp;F$199)</f>
        <v>0</v>
      </c>
      <c r="G214" s="34">
        <f>SUMIFS('Renew &amp; Vac'!$S$31:$S$45,'Renew &amp; Vac'!$L$31:$L$45,$B214,'Renew &amp; Vac'!$O$31:$O$45,"&lt;="&amp;G$199,'Renew &amp; Vac'!$P$31:$P$45,"&gt;="&amp;G$199)+SUMIFS('Renew &amp; Vac'!$H$31:$H$45,'Renew &amp; Vac'!$A$31:$A$45,$B214,'Renew &amp; Vac'!$D$31:$D$45,"&lt;="&amp;G$199,'Renew &amp; Vac'!$E$31:$E$45,"&gt;="&amp;G$199)</f>
        <v>0</v>
      </c>
      <c r="H214" s="34">
        <f>SUMIFS('Renew &amp; Vac'!$S$31:$S$45,'Renew &amp; Vac'!$L$31:$L$45,$B214,'Renew &amp; Vac'!$O$31:$O$45,"&lt;="&amp;H$199,'Renew &amp; Vac'!$P$31:$P$45,"&gt;="&amp;H$199)+SUMIFS('Renew &amp; Vac'!$H$31:$H$45,'Renew &amp; Vac'!$A$31:$A$45,$B214,'Renew &amp; Vac'!$D$31:$D$45,"&lt;="&amp;H$199,'Renew &amp; Vac'!$E$31:$E$45,"&gt;="&amp;H$199)</f>
        <v>0</v>
      </c>
      <c r="I214" s="34">
        <f>SUMIFS('Renew &amp; Vac'!$S$31:$S$45,'Renew &amp; Vac'!$L$31:$L$45,$B214,'Renew &amp; Vac'!$O$31:$O$45,"&lt;="&amp;I$199,'Renew &amp; Vac'!$P$31:$P$45,"&gt;="&amp;I$199)+SUMIFS('Renew &amp; Vac'!$H$31:$H$45,'Renew &amp; Vac'!$A$31:$A$45,$B214,'Renew &amp; Vac'!$D$31:$D$45,"&lt;="&amp;I$199,'Renew &amp; Vac'!$E$31:$E$45,"&gt;="&amp;I$199)</f>
        <v>0</v>
      </c>
      <c r="J214" s="34">
        <f>SUMIFS('Renew &amp; Vac'!$S$31:$S$45,'Renew &amp; Vac'!$L$31:$L$45,$B214,'Renew &amp; Vac'!$O$31:$O$45,"&lt;="&amp;J$199,'Renew &amp; Vac'!$P$31:$P$45,"&gt;="&amp;J$199)+SUMIFS('Renew &amp; Vac'!$H$31:$H$45,'Renew &amp; Vac'!$A$31:$A$45,$B214,'Renew &amp; Vac'!$D$31:$D$45,"&lt;="&amp;J$199,'Renew &amp; Vac'!$E$31:$E$45,"&gt;="&amp;J$199)</f>
        <v>0</v>
      </c>
      <c r="K214" s="34">
        <f>SUMIFS('Renew &amp; Vac'!$S$31:$S$45,'Renew &amp; Vac'!$L$31:$L$45,$B214,'Renew &amp; Vac'!$O$31:$O$45,"&lt;="&amp;K$199,'Renew &amp; Vac'!$P$31:$P$45,"&gt;="&amp;K$199)+SUMIFS('Renew &amp; Vac'!$H$31:$H$45,'Renew &amp; Vac'!$A$31:$A$45,$B214,'Renew &amp; Vac'!$D$31:$D$45,"&lt;="&amp;K$199,'Renew &amp; Vac'!$E$31:$E$45,"&gt;="&amp;K$199)</f>
        <v>0</v>
      </c>
      <c r="L214" s="34">
        <f>SUMIFS('Renew &amp; Vac'!$S$31:$S$45,'Renew &amp; Vac'!$L$31:$L$45,$B214,'Renew &amp; Vac'!$O$31:$O$45,"&lt;="&amp;L$199,'Renew &amp; Vac'!$P$31:$P$45,"&gt;="&amp;L$199)+SUMIFS('Renew &amp; Vac'!$H$31:$H$45,'Renew &amp; Vac'!$A$31:$A$45,$B214,'Renew &amp; Vac'!$D$31:$D$45,"&lt;="&amp;L$199,'Renew &amp; Vac'!$E$31:$E$45,"&gt;="&amp;L$199)</f>
        <v>0</v>
      </c>
      <c r="M214" s="34">
        <f>SUMIFS('Renew &amp; Vac'!$S$31:$S$45,'Renew &amp; Vac'!$L$31:$L$45,$B214,'Renew &amp; Vac'!$O$31:$O$45,"&lt;="&amp;M$199,'Renew &amp; Vac'!$P$31:$P$45,"&gt;="&amp;M$199)+SUMIFS('Renew &amp; Vac'!$H$31:$H$45,'Renew &amp; Vac'!$A$31:$A$45,$B214,'Renew &amp; Vac'!$D$31:$D$45,"&lt;="&amp;M$199,'Renew &amp; Vac'!$E$31:$E$45,"&gt;="&amp;M$199)</f>
        <v>0</v>
      </c>
      <c r="N214" s="34">
        <f>SUMIFS('Renew &amp; Vac'!$S$31:$S$45,'Renew &amp; Vac'!$L$31:$L$45,$B214,'Renew &amp; Vac'!$O$31:$O$45,"&lt;="&amp;N$199,'Renew &amp; Vac'!$P$31:$P$45,"&gt;="&amp;N$199)+SUMIFS('Renew &amp; Vac'!$H$31:$H$45,'Renew &amp; Vac'!$A$31:$A$45,$B214,'Renew &amp; Vac'!$D$31:$D$45,"&lt;="&amp;N$199,'Renew &amp; Vac'!$E$31:$E$45,"&gt;="&amp;N$199)</f>
        <v>0</v>
      </c>
      <c r="O214" s="34">
        <f>SUMIFS('Renew &amp; Vac'!$S$31:$S$45,'Renew &amp; Vac'!$L$31:$L$45,$B214,'Renew &amp; Vac'!$O$31:$O$45,"&lt;="&amp;O$199,'Renew &amp; Vac'!$P$31:$P$45,"&gt;="&amp;O$199)+SUMIFS('Renew &amp; Vac'!$H$31:$H$45,'Renew &amp; Vac'!$A$31:$A$45,$B214,'Renew &amp; Vac'!$D$31:$D$45,"&lt;="&amp;O$199,'Renew &amp; Vac'!$E$31:$E$45,"&gt;="&amp;O$199)</f>
        <v>0</v>
      </c>
      <c r="P214" s="34">
        <f>SUMIFS('Renew &amp; Vac'!$S$31:$S$45,'Renew &amp; Vac'!$L$31:$L$45,$B214,'Renew &amp; Vac'!$O$31:$O$45,"&lt;="&amp;P$199,'Renew &amp; Vac'!$P$31:$P$45,"&gt;="&amp;P$199)+SUMIFS('Renew &amp; Vac'!$H$31:$H$45,'Renew &amp; Vac'!$A$31:$A$45,$B214,'Renew &amp; Vac'!$D$31:$D$45,"&lt;="&amp;P$199,'Renew &amp; Vac'!$E$31:$E$45,"&gt;="&amp;P$199)</f>
        <v>0</v>
      </c>
      <c r="Q214" s="36">
        <f t="shared" si="46"/>
        <v>0</v>
      </c>
    </row>
    <row r="215" spans="2:17" outlineLevel="1" x14ac:dyDescent="0.35">
      <c r="B215" s="127" t="str">
        <f t="shared" si="45"/>
        <v>4060-215</v>
      </c>
      <c r="D215" s="34" t="str">
        <f>IFERROR(VLOOKUP(B215,'Renew &amp; Vac'!$A$31:$B$45,2,FALSE),IFERROR(VLOOKUP(B215,'Renew &amp; Vac'!$L$31:$M$45,2,FALSE),VLOOKUP(B215,$B$170:$D$194,3,FALSE)))</f>
        <v>Regional Cardiology</v>
      </c>
      <c r="E215" s="34">
        <f>SUMIFS('Renew &amp; Vac'!$S$31:$S$45,'Renew &amp; Vac'!$L$31:$L$45,$B215,'Renew &amp; Vac'!$O$31:$O$45,"&lt;="&amp;E$199,'Renew &amp; Vac'!$P$31:$P$45,"&gt;="&amp;E$199)+SUMIFS('Renew &amp; Vac'!$H$31:$H$45,'Renew &amp; Vac'!$A$31:$A$45,$B215,'Renew &amp; Vac'!$D$31:$D$45,"&lt;="&amp;E$199,'Renew &amp; Vac'!$E$31:$E$45,"&gt;="&amp;E$199)</f>
        <v>3351.3333333333335</v>
      </c>
      <c r="F215" s="34">
        <f>SUMIFS('Renew &amp; Vac'!$S$31:$S$45,'Renew &amp; Vac'!$L$31:$L$45,$B215,'Renew &amp; Vac'!$O$31:$O$45,"&lt;="&amp;F$199,'Renew &amp; Vac'!$P$31:$P$45,"&gt;="&amp;F$199)+SUMIFS('Renew &amp; Vac'!$H$31:$H$45,'Renew &amp; Vac'!$A$31:$A$45,$B215,'Renew &amp; Vac'!$D$31:$D$45,"&lt;="&amp;F$199,'Renew &amp; Vac'!$E$31:$E$45,"&gt;="&amp;F$199)</f>
        <v>3351.3333333333335</v>
      </c>
      <c r="G215" s="34">
        <f>SUMIFS('Renew &amp; Vac'!$S$31:$S$45,'Renew &amp; Vac'!$L$31:$L$45,$B215,'Renew &amp; Vac'!$O$31:$O$45,"&lt;="&amp;G$199,'Renew &amp; Vac'!$P$31:$P$45,"&gt;="&amp;G$199)+SUMIFS('Renew &amp; Vac'!$H$31:$H$45,'Renew &amp; Vac'!$A$31:$A$45,$B215,'Renew &amp; Vac'!$D$31:$D$45,"&lt;="&amp;G$199,'Renew &amp; Vac'!$E$31:$E$45,"&gt;="&amp;G$199)</f>
        <v>3351.3333333333335</v>
      </c>
      <c r="H215" s="34">
        <f>SUMIFS('Renew &amp; Vac'!$S$31:$S$45,'Renew &amp; Vac'!$L$31:$L$45,$B215,'Renew &amp; Vac'!$O$31:$O$45,"&lt;="&amp;H$199,'Renew &amp; Vac'!$P$31:$P$45,"&gt;="&amp;H$199)+SUMIFS('Renew &amp; Vac'!$H$31:$H$45,'Renew &amp; Vac'!$A$31:$A$45,$B215,'Renew &amp; Vac'!$D$31:$D$45,"&lt;="&amp;H$199,'Renew &amp; Vac'!$E$31:$E$45,"&gt;="&amp;H$199)</f>
        <v>3351.3333333333335</v>
      </c>
      <c r="I215" s="34">
        <f>SUMIFS('Renew &amp; Vac'!$S$31:$S$45,'Renew &amp; Vac'!$L$31:$L$45,$B215,'Renew &amp; Vac'!$O$31:$O$45,"&lt;="&amp;I$199,'Renew &amp; Vac'!$P$31:$P$45,"&gt;="&amp;I$199)+SUMIFS('Renew &amp; Vac'!$H$31:$H$45,'Renew &amp; Vac'!$A$31:$A$45,$B215,'Renew &amp; Vac'!$D$31:$D$45,"&lt;="&amp;I$199,'Renew &amp; Vac'!$E$31:$E$45,"&gt;="&amp;I$199)</f>
        <v>3351.3333333333335</v>
      </c>
      <c r="J215" s="34">
        <f>SUMIFS('Renew &amp; Vac'!$S$31:$S$45,'Renew &amp; Vac'!$L$31:$L$45,$B215,'Renew &amp; Vac'!$O$31:$O$45,"&lt;="&amp;J$199,'Renew &amp; Vac'!$P$31:$P$45,"&gt;="&amp;J$199)+SUMIFS('Renew &amp; Vac'!$H$31:$H$45,'Renew &amp; Vac'!$A$31:$A$45,$B215,'Renew &amp; Vac'!$D$31:$D$45,"&lt;="&amp;J$199,'Renew &amp; Vac'!$E$31:$E$45,"&gt;="&amp;J$199)</f>
        <v>3351.3333333333335</v>
      </c>
      <c r="K215" s="34">
        <f>SUMIFS('Renew &amp; Vac'!$S$31:$S$45,'Renew &amp; Vac'!$L$31:$L$45,$B215,'Renew &amp; Vac'!$O$31:$O$45,"&lt;="&amp;K$199,'Renew &amp; Vac'!$P$31:$P$45,"&gt;="&amp;K$199)+SUMIFS('Renew &amp; Vac'!$H$31:$H$45,'Renew &amp; Vac'!$A$31:$A$45,$B215,'Renew &amp; Vac'!$D$31:$D$45,"&lt;="&amp;K$199,'Renew &amp; Vac'!$E$31:$E$45,"&gt;="&amp;K$199)</f>
        <v>3351.3333333333335</v>
      </c>
      <c r="L215" s="34">
        <f>SUMIFS('Renew &amp; Vac'!$S$31:$S$45,'Renew &amp; Vac'!$L$31:$L$45,$B215,'Renew &amp; Vac'!$O$31:$O$45,"&lt;="&amp;L$199,'Renew &amp; Vac'!$P$31:$P$45,"&gt;="&amp;L$199)+SUMIFS('Renew &amp; Vac'!$H$31:$H$45,'Renew &amp; Vac'!$A$31:$A$45,$B215,'Renew &amp; Vac'!$D$31:$D$45,"&lt;="&amp;L$199,'Renew &amp; Vac'!$E$31:$E$45,"&gt;="&amp;L$199)</f>
        <v>3351.3333333333335</v>
      </c>
      <c r="M215" s="34">
        <f>SUMIFS('Renew &amp; Vac'!$S$31:$S$45,'Renew &amp; Vac'!$L$31:$L$45,$B215,'Renew &amp; Vac'!$O$31:$O$45,"&lt;="&amp;M$199,'Renew &amp; Vac'!$P$31:$P$45,"&gt;="&amp;M$199)+SUMIFS('Renew &amp; Vac'!$H$31:$H$45,'Renew &amp; Vac'!$A$31:$A$45,$B215,'Renew &amp; Vac'!$D$31:$D$45,"&lt;="&amp;M$199,'Renew &amp; Vac'!$E$31:$E$45,"&gt;="&amp;M$199)</f>
        <v>3351.3333333333335</v>
      </c>
      <c r="N215" s="34">
        <f>SUMIFS('Renew &amp; Vac'!$S$31:$S$45,'Renew &amp; Vac'!$L$31:$L$45,$B215,'Renew &amp; Vac'!$O$31:$O$45,"&lt;="&amp;N$199,'Renew &amp; Vac'!$P$31:$P$45,"&gt;="&amp;N$199)+SUMIFS('Renew &amp; Vac'!$H$31:$H$45,'Renew &amp; Vac'!$A$31:$A$45,$B215,'Renew &amp; Vac'!$D$31:$D$45,"&lt;="&amp;N$199,'Renew &amp; Vac'!$E$31:$E$45,"&gt;="&amp;N$199)</f>
        <v>3351.3333333333335</v>
      </c>
      <c r="O215" s="34">
        <f>SUMIFS('Renew &amp; Vac'!$S$31:$S$45,'Renew &amp; Vac'!$L$31:$L$45,$B215,'Renew &amp; Vac'!$O$31:$O$45,"&lt;="&amp;O$199,'Renew &amp; Vac'!$P$31:$P$45,"&gt;="&amp;O$199)+SUMIFS('Renew &amp; Vac'!$H$31:$H$45,'Renew &amp; Vac'!$A$31:$A$45,$B215,'Renew &amp; Vac'!$D$31:$D$45,"&lt;="&amp;O$199,'Renew &amp; Vac'!$E$31:$E$45,"&gt;="&amp;O$199)</f>
        <v>3351.3333333333335</v>
      </c>
      <c r="P215" s="34">
        <f>SUMIFS('Renew &amp; Vac'!$S$31:$S$45,'Renew &amp; Vac'!$L$31:$L$45,$B215,'Renew &amp; Vac'!$O$31:$O$45,"&lt;="&amp;P$199,'Renew &amp; Vac'!$P$31:$P$45,"&gt;="&amp;P$199)+SUMIFS('Renew &amp; Vac'!$H$31:$H$45,'Renew &amp; Vac'!$A$31:$A$45,$B215,'Renew &amp; Vac'!$D$31:$D$45,"&lt;="&amp;P$199,'Renew &amp; Vac'!$E$31:$E$45,"&gt;="&amp;P$199)</f>
        <v>3351.3333333333335</v>
      </c>
      <c r="Q215" s="36">
        <f t="shared" si="46"/>
        <v>40216</v>
      </c>
    </row>
    <row r="216" spans="2:17" outlineLevel="1" x14ac:dyDescent="0.35">
      <c r="B216" s="127" t="str">
        <f t="shared" si="45"/>
        <v>4060-217</v>
      </c>
      <c r="D216" s="34" t="str">
        <f>IFERROR(VLOOKUP(B216,'Renew &amp; Vac'!$A$31:$B$45,2,FALSE),IFERROR(VLOOKUP(B216,'Renew &amp; Vac'!$L$31:$M$45,2,FALSE),VLOOKUP(B216,$B$170:$D$194,3,FALSE)))</f>
        <v>Conference Center</v>
      </c>
      <c r="E216" s="34">
        <f>SUMIFS('Renew &amp; Vac'!$S$31:$S$45,'Renew &amp; Vac'!$L$31:$L$45,$B216,'Renew &amp; Vac'!$O$31:$O$45,"&lt;="&amp;E$199,'Renew &amp; Vac'!$P$31:$P$45,"&gt;="&amp;E$199)+SUMIFS('Renew &amp; Vac'!$H$31:$H$45,'Renew &amp; Vac'!$A$31:$A$45,$B216,'Renew &amp; Vac'!$D$31:$D$45,"&lt;="&amp;E$199,'Renew &amp; Vac'!$E$31:$E$45,"&gt;="&amp;E$199)</f>
        <v>0</v>
      </c>
      <c r="F216" s="34">
        <f>SUMIFS('Renew &amp; Vac'!$S$31:$S$45,'Renew &amp; Vac'!$L$31:$L$45,$B216,'Renew &amp; Vac'!$O$31:$O$45,"&lt;="&amp;F$199,'Renew &amp; Vac'!$P$31:$P$45,"&gt;="&amp;F$199)+SUMIFS('Renew &amp; Vac'!$H$31:$H$45,'Renew &amp; Vac'!$A$31:$A$45,$B216,'Renew &amp; Vac'!$D$31:$D$45,"&lt;="&amp;F$199,'Renew &amp; Vac'!$E$31:$E$45,"&gt;="&amp;F$199)</f>
        <v>0</v>
      </c>
      <c r="G216" s="34">
        <f>SUMIFS('Renew &amp; Vac'!$S$31:$S$45,'Renew &amp; Vac'!$L$31:$L$45,$B216,'Renew &amp; Vac'!$O$31:$O$45,"&lt;="&amp;G$199,'Renew &amp; Vac'!$P$31:$P$45,"&gt;="&amp;G$199)+SUMIFS('Renew &amp; Vac'!$H$31:$H$45,'Renew &amp; Vac'!$A$31:$A$45,$B216,'Renew &amp; Vac'!$D$31:$D$45,"&lt;="&amp;G$199,'Renew &amp; Vac'!$E$31:$E$45,"&gt;="&amp;G$199)</f>
        <v>0</v>
      </c>
      <c r="H216" s="34">
        <f>SUMIFS('Renew &amp; Vac'!$S$31:$S$45,'Renew &amp; Vac'!$L$31:$L$45,$B216,'Renew &amp; Vac'!$O$31:$O$45,"&lt;="&amp;H$199,'Renew &amp; Vac'!$P$31:$P$45,"&gt;="&amp;H$199)+SUMIFS('Renew &amp; Vac'!$H$31:$H$45,'Renew &amp; Vac'!$A$31:$A$45,$B216,'Renew &amp; Vac'!$D$31:$D$45,"&lt;="&amp;H$199,'Renew &amp; Vac'!$E$31:$E$45,"&gt;="&amp;H$199)</f>
        <v>0</v>
      </c>
      <c r="I216" s="34">
        <f>SUMIFS('Renew &amp; Vac'!$S$31:$S$45,'Renew &amp; Vac'!$L$31:$L$45,$B216,'Renew &amp; Vac'!$O$31:$O$45,"&lt;="&amp;I$199,'Renew &amp; Vac'!$P$31:$P$45,"&gt;="&amp;I$199)+SUMIFS('Renew &amp; Vac'!$H$31:$H$45,'Renew &amp; Vac'!$A$31:$A$45,$B216,'Renew &amp; Vac'!$D$31:$D$45,"&lt;="&amp;I$199,'Renew &amp; Vac'!$E$31:$E$45,"&gt;="&amp;I$199)</f>
        <v>0</v>
      </c>
      <c r="J216" s="34">
        <f>SUMIFS('Renew &amp; Vac'!$S$31:$S$45,'Renew &amp; Vac'!$L$31:$L$45,$B216,'Renew &amp; Vac'!$O$31:$O$45,"&lt;="&amp;J$199,'Renew &amp; Vac'!$P$31:$P$45,"&gt;="&amp;J$199)+SUMIFS('Renew &amp; Vac'!$H$31:$H$45,'Renew &amp; Vac'!$A$31:$A$45,$B216,'Renew &amp; Vac'!$D$31:$D$45,"&lt;="&amp;J$199,'Renew &amp; Vac'!$E$31:$E$45,"&gt;="&amp;J$199)</f>
        <v>0</v>
      </c>
      <c r="K216" s="34">
        <f>SUMIFS('Renew &amp; Vac'!$S$31:$S$45,'Renew &amp; Vac'!$L$31:$L$45,$B216,'Renew &amp; Vac'!$O$31:$O$45,"&lt;="&amp;K$199,'Renew &amp; Vac'!$P$31:$P$45,"&gt;="&amp;K$199)+SUMIFS('Renew &amp; Vac'!$H$31:$H$45,'Renew &amp; Vac'!$A$31:$A$45,$B216,'Renew &amp; Vac'!$D$31:$D$45,"&lt;="&amp;K$199,'Renew &amp; Vac'!$E$31:$E$45,"&gt;="&amp;K$199)</f>
        <v>0</v>
      </c>
      <c r="L216" s="34">
        <f>SUMIFS('Renew &amp; Vac'!$S$31:$S$45,'Renew &amp; Vac'!$L$31:$L$45,$B216,'Renew &amp; Vac'!$O$31:$O$45,"&lt;="&amp;L$199,'Renew &amp; Vac'!$P$31:$P$45,"&gt;="&amp;L$199)+SUMIFS('Renew &amp; Vac'!$H$31:$H$45,'Renew &amp; Vac'!$A$31:$A$45,$B216,'Renew &amp; Vac'!$D$31:$D$45,"&lt;="&amp;L$199,'Renew &amp; Vac'!$E$31:$E$45,"&gt;="&amp;L$199)</f>
        <v>0</v>
      </c>
      <c r="M216" s="34">
        <f>SUMIFS('Renew &amp; Vac'!$S$31:$S$45,'Renew &amp; Vac'!$L$31:$L$45,$B216,'Renew &amp; Vac'!$O$31:$O$45,"&lt;="&amp;M$199,'Renew &amp; Vac'!$P$31:$P$45,"&gt;="&amp;M$199)+SUMIFS('Renew &amp; Vac'!$H$31:$H$45,'Renew &amp; Vac'!$A$31:$A$45,$B216,'Renew &amp; Vac'!$D$31:$D$45,"&lt;="&amp;M$199,'Renew &amp; Vac'!$E$31:$E$45,"&gt;="&amp;M$199)</f>
        <v>0</v>
      </c>
      <c r="N216" s="34">
        <f>SUMIFS('Renew &amp; Vac'!$S$31:$S$45,'Renew &amp; Vac'!$L$31:$L$45,$B216,'Renew &amp; Vac'!$O$31:$O$45,"&lt;="&amp;N$199,'Renew &amp; Vac'!$P$31:$P$45,"&gt;="&amp;N$199)+SUMIFS('Renew &amp; Vac'!$H$31:$H$45,'Renew &amp; Vac'!$A$31:$A$45,$B216,'Renew &amp; Vac'!$D$31:$D$45,"&lt;="&amp;N$199,'Renew &amp; Vac'!$E$31:$E$45,"&gt;="&amp;N$199)</f>
        <v>0</v>
      </c>
      <c r="O216" s="34">
        <f>SUMIFS('Renew &amp; Vac'!$S$31:$S$45,'Renew &amp; Vac'!$L$31:$L$45,$B216,'Renew &amp; Vac'!$O$31:$O$45,"&lt;="&amp;O$199,'Renew &amp; Vac'!$P$31:$P$45,"&gt;="&amp;O$199)+SUMIFS('Renew &amp; Vac'!$H$31:$H$45,'Renew &amp; Vac'!$A$31:$A$45,$B216,'Renew &amp; Vac'!$D$31:$D$45,"&lt;="&amp;O$199,'Renew &amp; Vac'!$E$31:$E$45,"&gt;="&amp;O$199)</f>
        <v>0</v>
      </c>
      <c r="P216" s="34">
        <f>SUMIFS('Renew &amp; Vac'!$S$31:$S$45,'Renew &amp; Vac'!$L$31:$L$45,$B216,'Renew &amp; Vac'!$O$31:$O$45,"&lt;="&amp;P$199,'Renew &amp; Vac'!$P$31:$P$45,"&gt;="&amp;P$199)+SUMIFS('Renew &amp; Vac'!$H$31:$H$45,'Renew &amp; Vac'!$A$31:$A$45,$B216,'Renew &amp; Vac'!$D$31:$D$45,"&lt;="&amp;P$199,'Renew &amp; Vac'!$E$31:$E$45,"&gt;="&amp;P$199)</f>
        <v>0</v>
      </c>
      <c r="Q216" s="36">
        <f t="shared" si="46"/>
        <v>0</v>
      </c>
    </row>
    <row r="217" spans="2:17" outlineLevel="1" x14ac:dyDescent="0.35">
      <c r="B217" s="127" t="str">
        <f t="shared" si="45"/>
        <v>4060-300</v>
      </c>
      <c r="D217" s="34" t="str">
        <f>IFERROR(VLOOKUP(B217,'Renew &amp; Vac'!$A$31:$B$45,2,FALSE),IFERROR(VLOOKUP(B217,'Renew &amp; Vac'!$L$31:$M$45,2,FALSE),VLOOKUP(B217,$B$170:$D$194,3,FALSE)))</f>
        <v>JJ White</v>
      </c>
      <c r="E217" s="34">
        <f>SUMIFS('Renew &amp; Vac'!$S$31:$S$45,'Renew &amp; Vac'!$L$31:$L$45,$B217,'Renew &amp; Vac'!$O$31:$O$45,"&lt;="&amp;E$199,'Renew &amp; Vac'!$P$31:$P$45,"&gt;="&amp;E$199)+SUMIFS('Renew &amp; Vac'!$H$31:$H$45,'Renew &amp; Vac'!$A$31:$A$45,$B217,'Renew &amp; Vac'!$D$31:$D$45,"&lt;="&amp;E$199,'Renew &amp; Vac'!$E$31:$E$45,"&gt;="&amp;E$199)</f>
        <v>0</v>
      </c>
      <c r="F217" s="34">
        <f>SUMIFS('Renew &amp; Vac'!$S$31:$S$45,'Renew &amp; Vac'!$L$31:$L$45,$B217,'Renew &amp; Vac'!$O$31:$O$45,"&lt;="&amp;F$199,'Renew &amp; Vac'!$P$31:$P$45,"&gt;="&amp;F$199)+SUMIFS('Renew &amp; Vac'!$H$31:$H$45,'Renew &amp; Vac'!$A$31:$A$45,$B217,'Renew &amp; Vac'!$D$31:$D$45,"&lt;="&amp;F$199,'Renew &amp; Vac'!$E$31:$E$45,"&gt;="&amp;F$199)</f>
        <v>0</v>
      </c>
      <c r="G217" s="34">
        <f>SUMIFS('Renew &amp; Vac'!$S$31:$S$45,'Renew &amp; Vac'!$L$31:$L$45,$B217,'Renew &amp; Vac'!$O$31:$O$45,"&lt;="&amp;G$199,'Renew &amp; Vac'!$P$31:$P$45,"&gt;="&amp;G$199)+SUMIFS('Renew &amp; Vac'!$H$31:$H$45,'Renew &amp; Vac'!$A$31:$A$45,$B217,'Renew &amp; Vac'!$D$31:$D$45,"&lt;="&amp;G$199,'Renew &amp; Vac'!$E$31:$E$45,"&gt;="&amp;G$199)</f>
        <v>0</v>
      </c>
      <c r="H217" s="34">
        <f>SUMIFS('Renew &amp; Vac'!$S$31:$S$45,'Renew &amp; Vac'!$L$31:$L$45,$B217,'Renew &amp; Vac'!$O$31:$O$45,"&lt;="&amp;H$199,'Renew &amp; Vac'!$P$31:$P$45,"&gt;="&amp;H$199)+SUMIFS('Renew &amp; Vac'!$H$31:$H$45,'Renew &amp; Vac'!$A$31:$A$45,$B217,'Renew &amp; Vac'!$D$31:$D$45,"&lt;="&amp;H$199,'Renew &amp; Vac'!$E$31:$E$45,"&gt;="&amp;H$199)</f>
        <v>0</v>
      </c>
      <c r="I217" s="34">
        <f>SUMIFS('Renew &amp; Vac'!$S$31:$S$45,'Renew &amp; Vac'!$L$31:$L$45,$B217,'Renew &amp; Vac'!$O$31:$O$45,"&lt;="&amp;I$199,'Renew &amp; Vac'!$P$31:$P$45,"&gt;="&amp;I$199)+SUMIFS('Renew &amp; Vac'!$H$31:$H$45,'Renew &amp; Vac'!$A$31:$A$45,$B217,'Renew &amp; Vac'!$D$31:$D$45,"&lt;="&amp;I$199,'Renew &amp; Vac'!$E$31:$E$45,"&gt;="&amp;I$199)</f>
        <v>0</v>
      </c>
      <c r="J217" s="34">
        <f>SUMIFS('Renew &amp; Vac'!$S$31:$S$45,'Renew &amp; Vac'!$L$31:$L$45,$B217,'Renew &amp; Vac'!$O$31:$O$45,"&lt;="&amp;J$199,'Renew &amp; Vac'!$P$31:$P$45,"&gt;="&amp;J$199)+SUMIFS('Renew &amp; Vac'!$H$31:$H$45,'Renew &amp; Vac'!$A$31:$A$45,$B217,'Renew &amp; Vac'!$D$31:$D$45,"&lt;="&amp;J$199,'Renew &amp; Vac'!$E$31:$E$45,"&gt;="&amp;J$199)</f>
        <v>0</v>
      </c>
      <c r="K217" s="34">
        <f>SUMIFS('Renew &amp; Vac'!$S$31:$S$45,'Renew &amp; Vac'!$L$31:$L$45,$B217,'Renew &amp; Vac'!$O$31:$O$45,"&lt;="&amp;K$199,'Renew &amp; Vac'!$P$31:$P$45,"&gt;="&amp;K$199)+SUMIFS('Renew &amp; Vac'!$H$31:$H$45,'Renew &amp; Vac'!$A$31:$A$45,$B217,'Renew &amp; Vac'!$D$31:$D$45,"&lt;="&amp;K$199,'Renew &amp; Vac'!$E$31:$E$45,"&gt;="&amp;K$199)</f>
        <v>14628.75</v>
      </c>
      <c r="L217" s="34">
        <f>SUMIFS('Renew &amp; Vac'!$S$31:$S$45,'Renew &amp; Vac'!$L$31:$L$45,$B217,'Renew &amp; Vac'!$O$31:$O$45,"&lt;="&amp;L$199,'Renew &amp; Vac'!$P$31:$P$45,"&gt;="&amp;L$199)+SUMIFS('Renew &amp; Vac'!$H$31:$H$45,'Renew &amp; Vac'!$A$31:$A$45,$B217,'Renew &amp; Vac'!$D$31:$D$45,"&lt;="&amp;L$199,'Renew &amp; Vac'!$E$31:$E$45,"&gt;="&amp;L$199)</f>
        <v>14628.75</v>
      </c>
      <c r="M217" s="34">
        <f>SUMIFS('Renew &amp; Vac'!$S$31:$S$45,'Renew &amp; Vac'!$L$31:$L$45,$B217,'Renew &amp; Vac'!$O$31:$O$45,"&lt;="&amp;M$199,'Renew &amp; Vac'!$P$31:$P$45,"&gt;="&amp;M$199)+SUMIFS('Renew &amp; Vac'!$H$31:$H$45,'Renew &amp; Vac'!$A$31:$A$45,$B217,'Renew &amp; Vac'!$D$31:$D$45,"&lt;="&amp;M$199,'Renew &amp; Vac'!$E$31:$E$45,"&gt;="&amp;M$199)</f>
        <v>14628.75</v>
      </c>
      <c r="N217" s="34">
        <f>SUMIFS('Renew &amp; Vac'!$S$31:$S$45,'Renew &amp; Vac'!$L$31:$L$45,$B217,'Renew &amp; Vac'!$O$31:$O$45,"&lt;="&amp;N$199,'Renew &amp; Vac'!$P$31:$P$45,"&gt;="&amp;N$199)+SUMIFS('Renew &amp; Vac'!$H$31:$H$45,'Renew &amp; Vac'!$A$31:$A$45,$B217,'Renew &amp; Vac'!$D$31:$D$45,"&lt;="&amp;N$199,'Renew &amp; Vac'!$E$31:$E$45,"&gt;="&amp;N$199)</f>
        <v>14628.75</v>
      </c>
      <c r="O217" s="34">
        <f>SUMIFS('Renew &amp; Vac'!$S$31:$S$45,'Renew &amp; Vac'!$L$31:$L$45,$B217,'Renew &amp; Vac'!$O$31:$O$45,"&lt;="&amp;O$199,'Renew &amp; Vac'!$P$31:$P$45,"&gt;="&amp;O$199)+SUMIFS('Renew &amp; Vac'!$H$31:$H$45,'Renew &amp; Vac'!$A$31:$A$45,$B217,'Renew &amp; Vac'!$D$31:$D$45,"&lt;="&amp;O$199,'Renew &amp; Vac'!$E$31:$E$45,"&gt;="&amp;O$199)</f>
        <v>14628.75</v>
      </c>
      <c r="P217" s="34">
        <f>SUMIFS('Renew &amp; Vac'!$S$31:$S$45,'Renew &amp; Vac'!$L$31:$L$45,$B217,'Renew &amp; Vac'!$O$31:$O$45,"&lt;="&amp;P$199,'Renew &amp; Vac'!$P$31:$P$45,"&gt;="&amp;P$199)+SUMIFS('Renew &amp; Vac'!$H$31:$H$45,'Renew &amp; Vac'!$A$31:$A$45,$B217,'Renew &amp; Vac'!$D$31:$D$45,"&lt;="&amp;P$199,'Renew &amp; Vac'!$E$31:$E$45,"&gt;="&amp;P$199)</f>
        <v>14628.75</v>
      </c>
      <c r="Q217" s="36">
        <f t="shared" si="46"/>
        <v>87772.5</v>
      </c>
    </row>
    <row r="218" spans="2:17" outlineLevel="1" x14ac:dyDescent="0.35">
      <c r="B218" s="127" t="str">
        <f t="shared" si="45"/>
        <v>4060-301</v>
      </c>
      <c r="D218" s="34" t="str">
        <f>IFERROR(VLOOKUP(B218,'Renew &amp; Vac'!$A$31:$B$45,2,FALSE),IFERROR(VLOOKUP(B218,'Renew &amp; Vac'!$L$31:$M$45,2,FALSE),VLOOKUP(B218,$B$170:$D$194,3,FALSE)))</f>
        <v>VACANT</v>
      </c>
      <c r="E218" s="34">
        <f>SUMIFS('Renew &amp; Vac'!$S$31:$S$45,'Renew &amp; Vac'!$L$31:$L$45,$B218,'Renew &amp; Vac'!$O$31:$O$45,"&lt;="&amp;E$199,'Renew &amp; Vac'!$P$31:$P$45,"&gt;="&amp;E$199)+SUMIFS('Renew &amp; Vac'!$H$31:$H$45,'Renew &amp; Vac'!$A$31:$A$45,$B218,'Renew &amp; Vac'!$D$31:$D$45,"&lt;="&amp;E$199,'Renew &amp; Vac'!$E$31:$E$45,"&gt;="&amp;E$199)</f>
        <v>1370</v>
      </c>
      <c r="F218" s="34">
        <f>SUMIFS('Renew &amp; Vac'!$S$31:$S$45,'Renew &amp; Vac'!$L$31:$L$45,$B218,'Renew &amp; Vac'!$O$31:$O$45,"&lt;="&amp;F$199,'Renew &amp; Vac'!$P$31:$P$45,"&gt;="&amp;F$199)+SUMIFS('Renew &amp; Vac'!$H$31:$H$45,'Renew &amp; Vac'!$A$31:$A$45,$B218,'Renew &amp; Vac'!$D$31:$D$45,"&lt;="&amp;F$199,'Renew &amp; Vac'!$E$31:$E$45,"&gt;="&amp;F$199)</f>
        <v>1370</v>
      </c>
      <c r="G218" s="34">
        <f>SUMIFS('Renew &amp; Vac'!$S$31:$S$45,'Renew &amp; Vac'!$L$31:$L$45,$B218,'Renew &amp; Vac'!$O$31:$O$45,"&lt;="&amp;G$199,'Renew &amp; Vac'!$P$31:$P$45,"&gt;="&amp;G$199)+SUMIFS('Renew &amp; Vac'!$H$31:$H$45,'Renew &amp; Vac'!$A$31:$A$45,$B218,'Renew &amp; Vac'!$D$31:$D$45,"&lt;="&amp;G$199,'Renew &amp; Vac'!$E$31:$E$45,"&gt;="&amp;G$199)</f>
        <v>1370</v>
      </c>
      <c r="H218" s="34">
        <f>SUMIFS('Renew &amp; Vac'!$S$31:$S$45,'Renew &amp; Vac'!$L$31:$L$45,$B218,'Renew &amp; Vac'!$O$31:$O$45,"&lt;="&amp;H$199,'Renew &amp; Vac'!$P$31:$P$45,"&gt;="&amp;H$199)+SUMIFS('Renew &amp; Vac'!$H$31:$H$45,'Renew &amp; Vac'!$A$31:$A$45,$B218,'Renew &amp; Vac'!$D$31:$D$45,"&lt;="&amp;H$199,'Renew &amp; Vac'!$E$31:$E$45,"&gt;="&amp;H$199)</f>
        <v>1370</v>
      </c>
      <c r="I218" s="34">
        <f>SUMIFS('Renew &amp; Vac'!$S$31:$S$45,'Renew &amp; Vac'!$L$31:$L$45,$B218,'Renew &amp; Vac'!$O$31:$O$45,"&lt;="&amp;I$199,'Renew &amp; Vac'!$P$31:$P$45,"&gt;="&amp;I$199)+SUMIFS('Renew &amp; Vac'!$H$31:$H$45,'Renew &amp; Vac'!$A$31:$A$45,$B218,'Renew &amp; Vac'!$D$31:$D$45,"&lt;="&amp;I$199,'Renew &amp; Vac'!$E$31:$E$45,"&gt;="&amp;I$199)</f>
        <v>1370</v>
      </c>
      <c r="J218" s="34">
        <f>SUMIFS('Renew &amp; Vac'!$S$31:$S$45,'Renew &amp; Vac'!$L$31:$L$45,$B218,'Renew &amp; Vac'!$O$31:$O$45,"&lt;="&amp;J$199,'Renew &amp; Vac'!$P$31:$P$45,"&gt;="&amp;J$199)+SUMIFS('Renew &amp; Vac'!$H$31:$H$45,'Renew &amp; Vac'!$A$31:$A$45,$B218,'Renew &amp; Vac'!$D$31:$D$45,"&lt;="&amp;J$199,'Renew &amp; Vac'!$E$31:$E$45,"&gt;="&amp;J$199)</f>
        <v>1370</v>
      </c>
      <c r="K218" s="34">
        <f>SUMIFS('Renew &amp; Vac'!$S$31:$S$45,'Renew &amp; Vac'!$L$31:$L$45,$B218,'Renew &amp; Vac'!$O$31:$O$45,"&lt;="&amp;K$199,'Renew &amp; Vac'!$P$31:$P$45,"&gt;="&amp;K$199)+SUMIFS('Renew &amp; Vac'!$H$31:$H$45,'Renew &amp; Vac'!$A$31:$A$45,$B218,'Renew &amp; Vac'!$D$31:$D$45,"&lt;="&amp;K$199,'Renew &amp; Vac'!$E$31:$E$45,"&gt;="&amp;K$199)</f>
        <v>1370</v>
      </c>
      <c r="L218" s="34">
        <f>SUMIFS('Renew &amp; Vac'!$S$31:$S$45,'Renew &amp; Vac'!$L$31:$L$45,$B218,'Renew &amp; Vac'!$O$31:$O$45,"&lt;="&amp;L$199,'Renew &amp; Vac'!$P$31:$P$45,"&gt;="&amp;L$199)+SUMIFS('Renew &amp; Vac'!$H$31:$H$45,'Renew &amp; Vac'!$A$31:$A$45,$B218,'Renew &amp; Vac'!$D$31:$D$45,"&lt;="&amp;L$199,'Renew &amp; Vac'!$E$31:$E$45,"&gt;="&amp;L$199)</f>
        <v>1370</v>
      </c>
      <c r="M218" s="34">
        <f>SUMIFS('Renew &amp; Vac'!$S$31:$S$45,'Renew &amp; Vac'!$L$31:$L$45,$B218,'Renew &amp; Vac'!$O$31:$O$45,"&lt;="&amp;M$199,'Renew &amp; Vac'!$P$31:$P$45,"&gt;="&amp;M$199)+SUMIFS('Renew &amp; Vac'!$H$31:$H$45,'Renew &amp; Vac'!$A$31:$A$45,$B218,'Renew &amp; Vac'!$D$31:$D$45,"&lt;="&amp;M$199,'Renew &amp; Vac'!$E$31:$E$45,"&gt;="&amp;M$199)</f>
        <v>1370</v>
      </c>
      <c r="N218" s="34">
        <f>SUMIFS('Renew &amp; Vac'!$S$31:$S$45,'Renew &amp; Vac'!$L$31:$L$45,$B218,'Renew &amp; Vac'!$O$31:$O$45,"&lt;="&amp;N$199,'Renew &amp; Vac'!$P$31:$P$45,"&gt;="&amp;N$199)+SUMIFS('Renew &amp; Vac'!$H$31:$H$45,'Renew &amp; Vac'!$A$31:$A$45,$B218,'Renew &amp; Vac'!$D$31:$D$45,"&lt;="&amp;N$199,'Renew &amp; Vac'!$E$31:$E$45,"&gt;="&amp;N$199)</f>
        <v>1370</v>
      </c>
      <c r="O218" s="34">
        <f>SUMIFS('Renew &amp; Vac'!$S$31:$S$45,'Renew &amp; Vac'!$L$31:$L$45,$B218,'Renew &amp; Vac'!$O$31:$O$45,"&lt;="&amp;O$199,'Renew &amp; Vac'!$P$31:$P$45,"&gt;="&amp;O$199)+SUMIFS('Renew &amp; Vac'!$H$31:$H$45,'Renew &amp; Vac'!$A$31:$A$45,$B218,'Renew &amp; Vac'!$D$31:$D$45,"&lt;="&amp;O$199,'Renew &amp; Vac'!$E$31:$E$45,"&gt;="&amp;O$199)</f>
        <v>0</v>
      </c>
      <c r="P218" s="34">
        <f>SUMIFS('Renew &amp; Vac'!$S$31:$S$45,'Renew &amp; Vac'!$L$31:$L$45,$B218,'Renew &amp; Vac'!$O$31:$O$45,"&lt;="&amp;P$199,'Renew &amp; Vac'!$P$31:$P$45,"&gt;="&amp;P$199)+SUMIFS('Renew &amp; Vac'!$H$31:$H$45,'Renew &amp; Vac'!$A$31:$A$45,$B218,'Renew &amp; Vac'!$D$31:$D$45,"&lt;="&amp;P$199,'Renew &amp; Vac'!$E$31:$E$45,"&gt;="&amp;P$199)</f>
        <v>0</v>
      </c>
      <c r="Q218" s="36">
        <f t="shared" si="46"/>
        <v>13700</v>
      </c>
    </row>
    <row r="219" spans="2:17" outlineLevel="1" x14ac:dyDescent="0.35">
      <c r="B219" s="127" t="str">
        <f t="shared" si="45"/>
        <v>4060-310</v>
      </c>
      <c r="D219" s="34" t="str">
        <f>IFERROR(VLOOKUP(B219,'Renew &amp; Vac'!$A$31:$B$45,2,FALSE),IFERROR(VLOOKUP(B219,'Renew &amp; Vac'!$L$31:$M$45,2,FALSE),VLOOKUP(B219,$B$170:$D$194,3,FALSE)))</f>
        <v>VACANT</v>
      </c>
      <c r="E219" s="34">
        <f>SUMIFS('Renew &amp; Vac'!$S$31:$S$45,'Renew &amp; Vac'!$L$31:$L$45,$B219,'Renew &amp; Vac'!$O$31:$O$45,"&lt;="&amp;E$199,'Renew &amp; Vac'!$P$31:$P$45,"&gt;="&amp;E$199)+SUMIFS('Renew &amp; Vac'!$H$31:$H$45,'Renew &amp; Vac'!$A$31:$A$45,$B219,'Renew &amp; Vac'!$D$31:$D$45,"&lt;="&amp;E$199,'Renew &amp; Vac'!$E$31:$E$45,"&gt;="&amp;E$199)</f>
        <v>0</v>
      </c>
      <c r="F219" s="34">
        <f>SUMIFS('Renew &amp; Vac'!$S$31:$S$45,'Renew &amp; Vac'!$L$31:$L$45,$B219,'Renew &amp; Vac'!$O$31:$O$45,"&lt;="&amp;F$199,'Renew &amp; Vac'!$P$31:$P$45,"&gt;="&amp;F$199)+SUMIFS('Renew &amp; Vac'!$H$31:$H$45,'Renew &amp; Vac'!$A$31:$A$45,$B219,'Renew &amp; Vac'!$D$31:$D$45,"&lt;="&amp;F$199,'Renew &amp; Vac'!$E$31:$E$45,"&gt;="&amp;F$199)</f>
        <v>0</v>
      </c>
      <c r="G219" s="34">
        <f>SUMIFS('Renew &amp; Vac'!$S$31:$S$45,'Renew &amp; Vac'!$L$31:$L$45,$B219,'Renew &amp; Vac'!$O$31:$O$45,"&lt;="&amp;G$199,'Renew &amp; Vac'!$P$31:$P$45,"&gt;="&amp;G$199)+SUMIFS('Renew &amp; Vac'!$H$31:$H$45,'Renew &amp; Vac'!$A$31:$A$45,$B219,'Renew &amp; Vac'!$D$31:$D$45,"&lt;="&amp;G$199,'Renew &amp; Vac'!$E$31:$E$45,"&gt;="&amp;G$199)</f>
        <v>0</v>
      </c>
      <c r="H219" s="34">
        <f>SUMIFS('Renew &amp; Vac'!$S$31:$S$45,'Renew &amp; Vac'!$L$31:$L$45,$B219,'Renew &amp; Vac'!$O$31:$O$45,"&lt;="&amp;H$199,'Renew &amp; Vac'!$P$31:$P$45,"&gt;="&amp;H$199)+SUMIFS('Renew &amp; Vac'!$H$31:$H$45,'Renew &amp; Vac'!$A$31:$A$45,$B219,'Renew &amp; Vac'!$D$31:$D$45,"&lt;="&amp;H$199,'Renew &amp; Vac'!$E$31:$E$45,"&gt;="&amp;H$199)</f>
        <v>0</v>
      </c>
      <c r="I219" s="34">
        <f>SUMIFS('Renew &amp; Vac'!$S$31:$S$45,'Renew &amp; Vac'!$L$31:$L$45,$B219,'Renew &amp; Vac'!$O$31:$O$45,"&lt;="&amp;I$199,'Renew &amp; Vac'!$P$31:$P$45,"&gt;="&amp;I$199)+SUMIFS('Renew &amp; Vac'!$H$31:$H$45,'Renew &amp; Vac'!$A$31:$A$45,$B219,'Renew &amp; Vac'!$D$31:$D$45,"&lt;="&amp;I$199,'Renew &amp; Vac'!$E$31:$E$45,"&gt;="&amp;I$199)</f>
        <v>0</v>
      </c>
      <c r="J219" s="34">
        <f>SUMIFS('Renew &amp; Vac'!$S$31:$S$45,'Renew &amp; Vac'!$L$31:$L$45,$B219,'Renew &amp; Vac'!$O$31:$O$45,"&lt;="&amp;J$199,'Renew &amp; Vac'!$P$31:$P$45,"&gt;="&amp;J$199)+SUMIFS('Renew &amp; Vac'!$H$31:$H$45,'Renew &amp; Vac'!$A$31:$A$45,$B219,'Renew &amp; Vac'!$D$31:$D$45,"&lt;="&amp;J$199,'Renew &amp; Vac'!$E$31:$E$45,"&gt;="&amp;J$199)</f>
        <v>0</v>
      </c>
      <c r="K219" s="34">
        <f>SUMIFS('Renew &amp; Vac'!$S$31:$S$45,'Renew &amp; Vac'!$L$31:$L$45,$B219,'Renew &amp; Vac'!$O$31:$O$45,"&lt;="&amp;K$199,'Renew &amp; Vac'!$P$31:$P$45,"&gt;="&amp;K$199)+SUMIFS('Renew &amp; Vac'!$H$31:$H$45,'Renew &amp; Vac'!$A$31:$A$45,$B219,'Renew &amp; Vac'!$D$31:$D$45,"&lt;="&amp;K$199,'Renew &amp; Vac'!$E$31:$E$45,"&gt;="&amp;K$199)</f>
        <v>0</v>
      </c>
      <c r="L219" s="34">
        <f>SUMIFS('Renew &amp; Vac'!$S$31:$S$45,'Renew &amp; Vac'!$L$31:$L$45,$B219,'Renew &amp; Vac'!$O$31:$O$45,"&lt;="&amp;L$199,'Renew &amp; Vac'!$P$31:$P$45,"&gt;="&amp;L$199)+SUMIFS('Renew &amp; Vac'!$H$31:$H$45,'Renew &amp; Vac'!$A$31:$A$45,$B219,'Renew &amp; Vac'!$D$31:$D$45,"&lt;="&amp;L$199,'Renew &amp; Vac'!$E$31:$E$45,"&gt;="&amp;L$199)</f>
        <v>0</v>
      </c>
      <c r="M219" s="34">
        <f>SUMIFS('Renew &amp; Vac'!$S$31:$S$45,'Renew &amp; Vac'!$L$31:$L$45,$B219,'Renew &amp; Vac'!$O$31:$O$45,"&lt;="&amp;M$199,'Renew &amp; Vac'!$P$31:$P$45,"&gt;="&amp;M$199)+SUMIFS('Renew &amp; Vac'!$H$31:$H$45,'Renew &amp; Vac'!$A$31:$A$45,$B219,'Renew &amp; Vac'!$D$31:$D$45,"&lt;="&amp;M$199,'Renew &amp; Vac'!$E$31:$E$45,"&gt;="&amp;M$199)</f>
        <v>0</v>
      </c>
      <c r="N219" s="34">
        <f>SUMIFS('Renew &amp; Vac'!$S$31:$S$45,'Renew &amp; Vac'!$L$31:$L$45,$B219,'Renew &amp; Vac'!$O$31:$O$45,"&lt;="&amp;N$199,'Renew &amp; Vac'!$P$31:$P$45,"&gt;="&amp;N$199)+SUMIFS('Renew &amp; Vac'!$H$31:$H$45,'Renew &amp; Vac'!$A$31:$A$45,$B219,'Renew &amp; Vac'!$D$31:$D$45,"&lt;="&amp;N$199,'Renew &amp; Vac'!$E$31:$E$45,"&gt;="&amp;N$199)</f>
        <v>0</v>
      </c>
      <c r="O219" s="34">
        <f>SUMIFS('Renew &amp; Vac'!$S$31:$S$45,'Renew &amp; Vac'!$L$31:$L$45,$B219,'Renew &amp; Vac'!$O$31:$O$45,"&lt;="&amp;O$199,'Renew &amp; Vac'!$P$31:$P$45,"&gt;="&amp;O$199)+SUMIFS('Renew &amp; Vac'!$H$31:$H$45,'Renew &amp; Vac'!$A$31:$A$45,$B219,'Renew &amp; Vac'!$D$31:$D$45,"&lt;="&amp;O$199,'Renew &amp; Vac'!$E$31:$E$45,"&gt;="&amp;O$199)</f>
        <v>0</v>
      </c>
      <c r="P219" s="34">
        <f>SUMIFS('Renew &amp; Vac'!$S$31:$S$45,'Renew &amp; Vac'!$L$31:$L$45,$B219,'Renew &amp; Vac'!$O$31:$O$45,"&lt;="&amp;P$199,'Renew &amp; Vac'!$P$31:$P$45,"&gt;="&amp;P$199)+SUMIFS('Renew &amp; Vac'!$H$31:$H$45,'Renew &amp; Vac'!$A$31:$A$45,$B219,'Renew &amp; Vac'!$D$31:$D$45,"&lt;="&amp;P$199,'Renew &amp; Vac'!$E$31:$E$45,"&gt;="&amp;P$199)</f>
        <v>0</v>
      </c>
      <c r="Q219" s="36">
        <f t="shared" si="46"/>
        <v>0</v>
      </c>
    </row>
    <row r="220" spans="2:17" outlineLevel="1" x14ac:dyDescent="0.35">
      <c r="B220" s="127" t="str">
        <f t="shared" si="45"/>
        <v>4060-400</v>
      </c>
      <c r="D220" s="34" t="str">
        <f>IFERROR(VLOOKUP(B220,'Renew &amp; Vac'!$A$31:$B$45,2,FALSE),IFERROR(VLOOKUP(B220,'Renew &amp; Vac'!$L$31:$M$45,2,FALSE),VLOOKUP(B220,$B$170:$D$194,3,FALSE)))</f>
        <v>VACANT</v>
      </c>
      <c r="E220" s="34">
        <f>SUMIFS('Renew &amp; Vac'!$S$31:$S$45,'Renew &amp; Vac'!$L$31:$L$45,$B220,'Renew &amp; Vac'!$O$31:$O$45,"&lt;="&amp;E$199,'Renew &amp; Vac'!$P$31:$P$45,"&gt;="&amp;E$199)+SUMIFS('Renew &amp; Vac'!$H$31:$H$45,'Renew &amp; Vac'!$A$31:$A$45,$B220,'Renew &amp; Vac'!$D$31:$D$45,"&lt;="&amp;E$199,'Renew &amp; Vac'!$E$31:$E$45,"&gt;="&amp;E$199)</f>
        <v>0</v>
      </c>
      <c r="F220" s="34">
        <f>SUMIFS('Renew &amp; Vac'!$S$31:$S$45,'Renew &amp; Vac'!$L$31:$L$45,$B220,'Renew &amp; Vac'!$O$31:$O$45,"&lt;="&amp;F$199,'Renew &amp; Vac'!$P$31:$P$45,"&gt;="&amp;F$199)+SUMIFS('Renew &amp; Vac'!$H$31:$H$45,'Renew &amp; Vac'!$A$31:$A$45,$B220,'Renew &amp; Vac'!$D$31:$D$45,"&lt;="&amp;F$199,'Renew &amp; Vac'!$E$31:$E$45,"&gt;="&amp;F$199)</f>
        <v>0</v>
      </c>
      <c r="G220" s="34">
        <f>SUMIFS('Renew &amp; Vac'!$S$31:$S$45,'Renew &amp; Vac'!$L$31:$L$45,$B220,'Renew &amp; Vac'!$O$31:$O$45,"&lt;="&amp;G$199,'Renew &amp; Vac'!$P$31:$P$45,"&gt;="&amp;G$199)+SUMIFS('Renew &amp; Vac'!$H$31:$H$45,'Renew &amp; Vac'!$A$31:$A$45,$B220,'Renew &amp; Vac'!$D$31:$D$45,"&lt;="&amp;G$199,'Renew &amp; Vac'!$E$31:$E$45,"&gt;="&amp;G$199)</f>
        <v>0</v>
      </c>
      <c r="H220" s="34">
        <f>SUMIFS('Renew &amp; Vac'!$S$31:$S$45,'Renew &amp; Vac'!$L$31:$L$45,$B220,'Renew &amp; Vac'!$O$31:$O$45,"&lt;="&amp;H$199,'Renew &amp; Vac'!$P$31:$P$45,"&gt;="&amp;H$199)+SUMIFS('Renew &amp; Vac'!$H$31:$H$45,'Renew &amp; Vac'!$A$31:$A$45,$B220,'Renew &amp; Vac'!$D$31:$D$45,"&lt;="&amp;H$199,'Renew &amp; Vac'!$E$31:$E$45,"&gt;="&amp;H$199)</f>
        <v>0</v>
      </c>
      <c r="I220" s="34">
        <f>SUMIFS('Renew &amp; Vac'!$S$31:$S$45,'Renew &amp; Vac'!$L$31:$L$45,$B220,'Renew &amp; Vac'!$O$31:$O$45,"&lt;="&amp;I$199,'Renew &amp; Vac'!$P$31:$P$45,"&gt;="&amp;I$199)+SUMIFS('Renew &amp; Vac'!$H$31:$H$45,'Renew &amp; Vac'!$A$31:$A$45,$B220,'Renew &amp; Vac'!$D$31:$D$45,"&lt;="&amp;I$199,'Renew &amp; Vac'!$E$31:$E$45,"&gt;="&amp;I$199)</f>
        <v>0</v>
      </c>
      <c r="J220" s="34">
        <f>SUMIFS('Renew &amp; Vac'!$S$31:$S$45,'Renew &amp; Vac'!$L$31:$L$45,$B220,'Renew &amp; Vac'!$O$31:$O$45,"&lt;="&amp;J$199,'Renew &amp; Vac'!$P$31:$P$45,"&gt;="&amp;J$199)+SUMIFS('Renew &amp; Vac'!$H$31:$H$45,'Renew &amp; Vac'!$A$31:$A$45,$B220,'Renew &amp; Vac'!$D$31:$D$45,"&lt;="&amp;J$199,'Renew &amp; Vac'!$E$31:$E$45,"&gt;="&amp;J$199)</f>
        <v>0</v>
      </c>
      <c r="K220" s="34">
        <f>SUMIFS('Renew &amp; Vac'!$S$31:$S$45,'Renew &amp; Vac'!$L$31:$L$45,$B220,'Renew &amp; Vac'!$O$31:$O$45,"&lt;="&amp;K$199,'Renew &amp; Vac'!$P$31:$P$45,"&gt;="&amp;K$199)+SUMIFS('Renew &amp; Vac'!$H$31:$H$45,'Renew &amp; Vac'!$A$31:$A$45,$B220,'Renew &amp; Vac'!$D$31:$D$45,"&lt;="&amp;K$199,'Renew &amp; Vac'!$E$31:$E$45,"&gt;="&amp;K$199)</f>
        <v>0</v>
      </c>
      <c r="L220" s="34">
        <f>SUMIFS('Renew &amp; Vac'!$S$31:$S$45,'Renew &amp; Vac'!$L$31:$L$45,$B220,'Renew &amp; Vac'!$O$31:$O$45,"&lt;="&amp;L$199,'Renew &amp; Vac'!$P$31:$P$45,"&gt;="&amp;L$199)+SUMIFS('Renew &amp; Vac'!$H$31:$H$45,'Renew &amp; Vac'!$A$31:$A$45,$B220,'Renew &amp; Vac'!$D$31:$D$45,"&lt;="&amp;L$199,'Renew &amp; Vac'!$E$31:$E$45,"&gt;="&amp;L$199)</f>
        <v>0</v>
      </c>
      <c r="M220" s="34">
        <f>SUMIFS('Renew &amp; Vac'!$S$31:$S$45,'Renew &amp; Vac'!$L$31:$L$45,$B220,'Renew &amp; Vac'!$O$31:$O$45,"&lt;="&amp;M$199,'Renew &amp; Vac'!$P$31:$P$45,"&gt;="&amp;M$199)+SUMIFS('Renew &amp; Vac'!$H$31:$H$45,'Renew &amp; Vac'!$A$31:$A$45,$B220,'Renew &amp; Vac'!$D$31:$D$45,"&lt;="&amp;M$199,'Renew &amp; Vac'!$E$31:$E$45,"&gt;="&amp;M$199)</f>
        <v>0</v>
      </c>
      <c r="N220" s="34">
        <f>SUMIFS('Renew &amp; Vac'!$S$31:$S$45,'Renew &amp; Vac'!$L$31:$L$45,$B220,'Renew &amp; Vac'!$O$31:$O$45,"&lt;="&amp;N$199,'Renew &amp; Vac'!$P$31:$P$45,"&gt;="&amp;N$199)+SUMIFS('Renew &amp; Vac'!$H$31:$H$45,'Renew &amp; Vac'!$A$31:$A$45,$B220,'Renew &amp; Vac'!$D$31:$D$45,"&lt;="&amp;N$199,'Renew &amp; Vac'!$E$31:$E$45,"&gt;="&amp;N$199)</f>
        <v>0</v>
      </c>
      <c r="O220" s="34">
        <f>SUMIFS('Renew &amp; Vac'!$S$31:$S$45,'Renew &amp; Vac'!$L$31:$L$45,$B220,'Renew &amp; Vac'!$O$31:$O$45,"&lt;="&amp;O$199,'Renew &amp; Vac'!$P$31:$P$45,"&gt;="&amp;O$199)+SUMIFS('Renew &amp; Vac'!$H$31:$H$45,'Renew &amp; Vac'!$A$31:$A$45,$B220,'Renew &amp; Vac'!$D$31:$D$45,"&lt;="&amp;O$199,'Renew &amp; Vac'!$E$31:$E$45,"&gt;="&amp;O$199)</f>
        <v>0</v>
      </c>
      <c r="P220" s="34">
        <f>SUMIFS('Renew &amp; Vac'!$S$31:$S$45,'Renew &amp; Vac'!$L$31:$L$45,$B220,'Renew &amp; Vac'!$O$31:$O$45,"&lt;="&amp;P$199,'Renew &amp; Vac'!$P$31:$P$45,"&gt;="&amp;P$199)+SUMIFS('Renew &amp; Vac'!$H$31:$H$45,'Renew &amp; Vac'!$A$31:$A$45,$B220,'Renew &amp; Vac'!$D$31:$D$45,"&lt;="&amp;P$199,'Renew &amp; Vac'!$E$31:$E$45,"&gt;="&amp;P$199)</f>
        <v>0</v>
      </c>
      <c r="Q220" s="36">
        <f t="shared" si="46"/>
        <v>0</v>
      </c>
    </row>
    <row r="221" spans="2:17" outlineLevel="1" x14ac:dyDescent="0.35">
      <c r="B221" s="127" t="str">
        <f t="shared" si="45"/>
        <v>4060-401</v>
      </c>
      <c r="D221" s="34" t="str">
        <f>IFERROR(VLOOKUP(B221,'Renew &amp; Vac'!$A$31:$B$45,2,FALSE),IFERROR(VLOOKUP(B221,'Renew &amp; Vac'!$L$31:$M$45,2,FALSE),VLOOKUP(B221,$B$170:$D$194,3,FALSE)))</f>
        <v>Senior Care Center Of America</v>
      </c>
      <c r="E221" s="34">
        <f>SUMIFS('Renew &amp; Vac'!$S$31:$S$45,'Renew &amp; Vac'!$L$31:$L$45,$B221,'Renew &amp; Vac'!$O$31:$O$45,"&lt;="&amp;E$199,'Renew &amp; Vac'!$P$31:$P$45,"&gt;="&amp;E$199)+SUMIFS('Renew &amp; Vac'!$H$31:$H$45,'Renew &amp; Vac'!$A$31:$A$45,$B221,'Renew &amp; Vac'!$D$31:$D$45,"&lt;="&amp;E$199,'Renew &amp; Vac'!$E$31:$E$45,"&gt;="&amp;E$199)</f>
        <v>0</v>
      </c>
      <c r="F221" s="34">
        <f>SUMIFS('Renew &amp; Vac'!$S$31:$S$45,'Renew &amp; Vac'!$L$31:$L$45,$B221,'Renew &amp; Vac'!$O$31:$O$45,"&lt;="&amp;F$199,'Renew &amp; Vac'!$P$31:$P$45,"&gt;="&amp;F$199)+SUMIFS('Renew &amp; Vac'!$H$31:$H$45,'Renew &amp; Vac'!$A$31:$A$45,$B221,'Renew &amp; Vac'!$D$31:$D$45,"&lt;="&amp;F$199,'Renew &amp; Vac'!$E$31:$E$45,"&gt;="&amp;F$199)</f>
        <v>0</v>
      </c>
      <c r="G221" s="34">
        <f>SUMIFS('Renew &amp; Vac'!$S$31:$S$45,'Renew &amp; Vac'!$L$31:$L$45,$B221,'Renew &amp; Vac'!$O$31:$O$45,"&lt;="&amp;G$199,'Renew &amp; Vac'!$P$31:$P$45,"&gt;="&amp;G$199)+SUMIFS('Renew &amp; Vac'!$H$31:$H$45,'Renew &amp; Vac'!$A$31:$A$45,$B221,'Renew &amp; Vac'!$D$31:$D$45,"&lt;="&amp;G$199,'Renew &amp; Vac'!$E$31:$E$45,"&gt;="&amp;G$199)</f>
        <v>0</v>
      </c>
      <c r="H221" s="34">
        <f>SUMIFS('Renew &amp; Vac'!$S$31:$S$45,'Renew &amp; Vac'!$L$31:$L$45,$B221,'Renew &amp; Vac'!$O$31:$O$45,"&lt;="&amp;H$199,'Renew &amp; Vac'!$P$31:$P$45,"&gt;="&amp;H$199)+SUMIFS('Renew &amp; Vac'!$H$31:$H$45,'Renew &amp; Vac'!$A$31:$A$45,$B221,'Renew &amp; Vac'!$D$31:$D$45,"&lt;="&amp;H$199,'Renew &amp; Vac'!$E$31:$E$45,"&gt;="&amp;H$199)</f>
        <v>0</v>
      </c>
      <c r="I221" s="34">
        <f>SUMIFS('Renew &amp; Vac'!$S$31:$S$45,'Renew &amp; Vac'!$L$31:$L$45,$B221,'Renew &amp; Vac'!$O$31:$O$45,"&lt;="&amp;I$199,'Renew &amp; Vac'!$P$31:$P$45,"&gt;="&amp;I$199)+SUMIFS('Renew &amp; Vac'!$H$31:$H$45,'Renew &amp; Vac'!$A$31:$A$45,$B221,'Renew &amp; Vac'!$D$31:$D$45,"&lt;="&amp;I$199,'Renew &amp; Vac'!$E$31:$E$45,"&gt;="&amp;I$199)</f>
        <v>0</v>
      </c>
      <c r="J221" s="34">
        <f>SUMIFS('Renew &amp; Vac'!$S$31:$S$45,'Renew &amp; Vac'!$L$31:$L$45,$B221,'Renew &amp; Vac'!$O$31:$O$45,"&lt;="&amp;J$199,'Renew &amp; Vac'!$P$31:$P$45,"&gt;="&amp;J$199)+SUMIFS('Renew &amp; Vac'!$H$31:$H$45,'Renew &amp; Vac'!$A$31:$A$45,$B221,'Renew &amp; Vac'!$D$31:$D$45,"&lt;="&amp;J$199,'Renew &amp; Vac'!$E$31:$E$45,"&gt;="&amp;J$199)</f>
        <v>0</v>
      </c>
      <c r="K221" s="34">
        <f>SUMIFS('Renew &amp; Vac'!$S$31:$S$45,'Renew &amp; Vac'!$L$31:$L$45,$B221,'Renew &amp; Vac'!$O$31:$O$45,"&lt;="&amp;K$199,'Renew &amp; Vac'!$P$31:$P$45,"&gt;="&amp;K$199)+SUMIFS('Renew &amp; Vac'!$H$31:$H$45,'Renew &amp; Vac'!$A$31:$A$45,$B221,'Renew &amp; Vac'!$D$31:$D$45,"&lt;="&amp;K$199,'Renew &amp; Vac'!$E$31:$E$45,"&gt;="&amp;K$199)</f>
        <v>0</v>
      </c>
      <c r="L221" s="34">
        <f>SUMIFS('Renew &amp; Vac'!$S$31:$S$45,'Renew &amp; Vac'!$L$31:$L$45,$B221,'Renew &amp; Vac'!$O$31:$O$45,"&lt;="&amp;L$199,'Renew &amp; Vac'!$P$31:$P$45,"&gt;="&amp;L$199)+SUMIFS('Renew &amp; Vac'!$H$31:$H$45,'Renew &amp; Vac'!$A$31:$A$45,$B221,'Renew &amp; Vac'!$D$31:$D$45,"&lt;="&amp;L$199,'Renew &amp; Vac'!$E$31:$E$45,"&gt;="&amp;L$199)</f>
        <v>0</v>
      </c>
      <c r="M221" s="34">
        <f>SUMIFS('Renew &amp; Vac'!$S$31:$S$45,'Renew &amp; Vac'!$L$31:$L$45,$B221,'Renew &amp; Vac'!$O$31:$O$45,"&lt;="&amp;M$199,'Renew &amp; Vac'!$P$31:$P$45,"&gt;="&amp;M$199)+SUMIFS('Renew &amp; Vac'!$H$31:$H$45,'Renew &amp; Vac'!$A$31:$A$45,$B221,'Renew &amp; Vac'!$D$31:$D$45,"&lt;="&amp;M$199,'Renew &amp; Vac'!$E$31:$E$45,"&gt;="&amp;M$199)</f>
        <v>0</v>
      </c>
      <c r="N221" s="34">
        <f>SUMIFS('Renew &amp; Vac'!$S$31:$S$45,'Renew &amp; Vac'!$L$31:$L$45,$B221,'Renew &amp; Vac'!$O$31:$O$45,"&lt;="&amp;N$199,'Renew &amp; Vac'!$P$31:$P$45,"&gt;="&amp;N$199)+SUMIFS('Renew &amp; Vac'!$H$31:$H$45,'Renew &amp; Vac'!$A$31:$A$45,$B221,'Renew &amp; Vac'!$D$31:$D$45,"&lt;="&amp;N$199,'Renew &amp; Vac'!$E$31:$E$45,"&gt;="&amp;N$199)</f>
        <v>0</v>
      </c>
      <c r="O221" s="34">
        <f>SUMIFS('Renew &amp; Vac'!$S$31:$S$45,'Renew &amp; Vac'!$L$31:$L$45,$B221,'Renew &amp; Vac'!$O$31:$O$45,"&lt;="&amp;O$199,'Renew &amp; Vac'!$P$31:$P$45,"&gt;="&amp;O$199)+SUMIFS('Renew &amp; Vac'!$H$31:$H$45,'Renew &amp; Vac'!$A$31:$A$45,$B221,'Renew &amp; Vac'!$D$31:$D$45,"&lt;="&amp;O$199,'Renew &amp; Vac'!$E$31:$E$45,"&gt;="&amp;O$199)</f>
        <v>0</v>
      </c>
      <c r="P221" s="34">
        <f>SUMIFS('Renew &amp; Vac'!$S$31:$S$45,'Renew &amp; Vac'!$L$31:$L$45,$B221,'Renew &amp; Vac'!$O$31:$O$45,"&lt;="&amp;P$199,'Renew &amp; Vac'!$P$31:$P$45,"&gt;="&amp;P$199)+SUMIFS('Renew &amp; Vac'!$H$31:$H$45,'Renew &amp; Vac'!$A$31:$A$45,$B221,'Renew &amp; Vac'!$D$31:$D$45,"&lt;="&amp;P$199,'Renew &amp; Vac'!$E$31:$E$45,"&gt;="&amp;P$199)</f>
        <v>0</v>
      </c>
      <c r="Q221" s="36">
        <f t="shared" si="46"/>
        <v>0</v>
      </c>
    </row>
    <row r="222" spans="2:17" outlineLevel="1" x14ac:dyDescent="0.35">
      <c r="B222" s="127" t="str">
        <f t="shared" si="45"/>
        <v>4060-402</v>
      </c>
      <c r="D222" s="34" t="str">
        <f>IFERROR(VLOOKUP(B222,'Renew &amp; Vac'!$A$31:$B$45,2,FALSE),IFERROR(VLOOKUP(B222,'Renew &amp; Vac'!$L$31:$M$45,2,FALSE),VLOOKUP(B222,$B$170:$D$194,3,FALSE)))</f>
        <v>VACANT</v>
      </c>
      <c r="E222" s="34">
        <f>SUMIFS('Renew &amp; Vac'!$S$31:$S$45,'Renew &amp; Vac'!$L$31:$L$45,$B222,'Renew &amp; Vac'!$O$31:$O$45,"&lt;="&amp;E$199,'Renew &amp; Vac'!$P$31:$P$45,"&gt;="&amp;E$199)+SUMIFS('Renew &amp; Vac'!$H$31:$H$45,'Renew &amp; Vac'!$A$31:$A$45,$B222,'Renew &amp; Vac'!$D$31:$D$45,"&lt;="&amp;E$199,'Renew &amp; Vac'!$E$31:$E$45,"&gt;="&amp;E$199)</f>
        <v>3609.375</v>
      </c>
      <c r="F222" s="34">
        <f>SUMIFS('Renew &amp; Vac'!$S$31:$S$45,'Renew &amp; Vac'!$L$31:$L$45,$B222,'Renew &amp; Vac'!$O$31:$O$45,"&lt;="&amp;F$199,'Renew &amp; Vac'!$P$31:$P$45,"&gt;="&amp;F$199)+SUMIFS('Renew &amp; Vac'!$H$31:$H$45,'Renew &amp; Vac'!$A$31:$A$45,$B222,'Renew &amp; Vac'!$D$31:$D$45,"&lt;="&amp;F$199,'Renew &amp; Vac'!$E$31:$E$45,"&gt;="&amp;F$199)</f>
        <v>3609.375</v>
      </c>
      <c r="G222" s="34">
        <f>SUMIFS('Renew &amp; Vac'!$S$31:$S$45,'Renew &amp; Vac'!$L$31:$L$45,$B222,'Renew &amp; Vac'!$O$31:$O$45,"&lt;="&amp;G$199,'Renew &amp; Vac'!$P$31:$P$45,"&gt;="&amp;G$199)+SUMIFS('Renew &amp; Vac'!$H$31:$H$45,'Renew &amp; Vac'!$A$31:$A$45,$B222,'Renew &amp; Vac'!$D$31:$D$45,"&lt;="&amp;G$199,'Renew &amp; Vac'!$E$31:$E$45,"&gt;="&amp;G$199)</f>
        <v>3609.375</v>
      </c>
      <c r="H222" s="34">
        <f>SUMIFS('Renew &amp; Vac'!$S$31:$S$45,'Renew &amp; Vac'!$L$31:$L$45,$B222,'Renew &amp; Vac'!$O$31:$O$45,"&lt;="&amp;H$199,'Renew &amp; Vac'!$P$31:$P$45,"&gt;="&amp;H$199)+SUMIFS('Renew &amp; Vac'!$H$31:$H$45,'Renew &amp; Vac'!$A$31:$A$45,$B222,'Renew &amp; Vac'!$D$31:$D$45,"&lt;="&amp;H$199,'Renew &amp; Vac'!$E$31:$E$45,"&gt;="&amp;H$199)</f>
        <v>3609.375</v>
      </c>
      <c r="I222" s="34">
        <f>SUMIFS('Renew &amp; Vac'!$S$31:$S$45,'Renew &amp; Vac'!$L$31:$L$45,$B222,'Renew &amp; Vac'!$O$31:$O$45,"&lt;="&amp;I$199,'Renew &amp; Vac'!$P$31:$P$45,"&gt;="&amp;I$199)+SUMIFS('Renew &amp; Vac'!$H$31:$H$45,'Renew &amp; Vac'!$A$31:$A$45,$B222,'Renew &amp; Vac'!$D$31:$D$45,"&lt;="&amp;I$199,'Renew &amp; Vac'!$E$31:$E$45,"&gt;="&amp;I$199)</f>
        <v>3609.375</v>
      </c>
      <c r="J222" s="34">
        <f>SUMIFS('Renew &amp; Vac'!$S$31:$S$45,'Renew &amp; Vac'!$L$31:$L$45,$B222,'Renew &amp; Vac'!$O$31:$O$45,"&lt;="&amp;J$199,'Renew &amp; Vac'!$P$31:$P$45,"&gt;="&amp;J$199)+SUMIFS('Renew &amp; Vac'!$H$31:$H$45,'Renew &amp; Vac'!$A$31:$A$45,$B222,'Renew &amp; Vac'!$D$31:$D$45,"&lt;="&amp;J$199,'Renew &amp; Vac'!$E$31:$E$45,"&gt;="&amp;J$199)</f>
        <v>3609.375</v>
      </c>
      <c r="K222" s="34">
        <f>SUMIFS('Renew &amp; Vac'!$S$31:$S$45,'Renew &amp; Vac'!$L$31:$L$45,$B222,'Renew &amp; Vac'!$O$31:$O$45,"&lt;="&amp;K$199,'Renew &amp; Vac'!$P$31:$P$45,"&gt;="&amp;K$199)+SUMIFS('Renew &amp; Vac'!$H$31:$H$45,'Renew &amp; Vac'!$A$31:$A$45,$B222,'Renew &amp; Vac'!$D$31:$D$45,"&lt;="&amp;K$199,'Renew &amp; Vac'!$E$31:$E$45,"&gt;="&amp;K$199)</f>
        <v>3609.375</v>
      </c>
      <c r="L222" s="34">
        <f>SUMIFS('Renew &amp; Vac'!$S$31:$S$45,'Renew &amp; Vac'!$L$31:$L$45,$B222,'Renew &amp; Vac'!$O$31:$O$45,"&lt;="&amp;L$199,'Renew &amp; Vac'!$P$31:$P$45,"&gt;="&amp;L$199)+SUMIFS('Renew &amp; Vac'!$H$31:$H$45,'Renew &amp; Vac'!$A$31:$A$45,$B222,'Renew &amp; Vac'!$D$31:$D$45,"&lt;="&amp;L$199,'Renew &amp; Vac'!$E$31:$E$45,"&gt;="&amp;L$199)</f>
        <v>3609.375</v>
      </c>
      <c r="M222" s="34">
        <f>SUMIFS('Renew &amp; Vac'!$S$31:$S$45,'Renew &amp; Vac'!$L$31:$L$45,$B222,'Renew &amp; Vac'!$O$31:$O$45,"&lt;="&amp;M$199,'Renew &amp; Vac'!$P$31:$P$45,"&gt;="&amp;M$199)+SUMIFS('Renew &amp; Vac'!$H$31:$H$45,'Renew &amp; Vac'!$A$31:$A$45,$B222,'Renew &amp; Vac'!$D$31:$D$45,"&lt;="&amp;M$199,'Renew &amp; Vac'!$E$31:$E$45,"&gt;="&amp;M$199)</f>
        <v>3609.375</v>
      </c>
      <c r="N222" s="34">
        <f>SUMIFS('Renew &amp; Vac'!$S$31:$S$45,'Renew &amp; Vac'!$L$31:$L$45,$B222,'Renew &amp; Vac'!$O$31:$O$45,"&lt;="&amp;N$199,'Renew &amp; Vac'!$P$31:$P$45,"&gt;="&amp;N$199)+SUMIFS('Renew &amp; Vac'!$H$31:$H$45,'Renew &amp; Vac'!$A$31:$A$45,$B222,'Renew &amp; Vac'!$D$31:$D$45,"&lt;="&amp;N$199,'Renew &amp; Vac'!$E$31:$E$45,"&gt;="&amp;N$199)</f>
        <v>3609.375</v>
      </c>
      <c r="O222" s="34">
        <f>SUMIFS('Renew &amp; Vac'!$S$31:$S$45,'Renew &amp; Vac'!$L$31:$L$45,$B222,'Renew &amp; Vac'!$O$31:$O$45,"&lt;="&amp;O$199,'Renew &amp; Vac'!$P$31:$P$45,"&gt;="&amp;O$199)+SUMIFS('Renew &amp; Vac'!$H$31:$H$45,'Renew &amp; Vac'!$A$31:$A$45,$B222,'Renew &amp; Vac'!$D$31:$D$45,"&lt;="&amp;O$199,'Renew &amp; Vac'!$E$31:$E$45,"&gt;="&amp;O$199)</f>
        <v>3609.375</v>
      </c>
      <c r="P222" s="34">
        <f>SUMIFS('Renew &amp; Vac'!$S$31:$S$45,'Renew &amp; Vac'!$L$31:$L$45,$B222,'Renew &amp; Vac'!$O$31:$O$45,"&lt;="&amp;P$199,'Renew &amp; Vac'!$P$31:$P$45,"&gt;="&amp;P$199)+SUMIFS('Renew &amp; Vac'!$H$31:$H$45,'Renew &amp; Vac'!$A$31:$A$45,$B222,'Renew &amp; Vac'!$D$31:$D$45,"&lt;="&amp;P$199,'Renew &amp; Vac'!$E$31:$E$45,"&gt;="&amp;P$199)</f>
        <v>0</v>
      </c>
      <c r="Q222" s="36">
        <f t="shared" si="46"/>
        <v>39703.125</v>
      </c>
    </row>
    <row r="223" spans="2:17" outlineLevel="1" x14ac:dyDescent="0.35">
      <c r="B223" s="127" t="str">
        <f t="shared" si="45"/>
        <v>4060-403</v>
      </c>
      <c r="D223" s="34" t="str">
        <f>IFERROR(VLOOKUP(B223,'Renew &amp; Vac'!$A$31:$B$45,2,FALSE),IFERROR(VLOOKUP(B223,'Renew &amp; Vac'!$L$31:$M$45,2,FALSE),VLOOKUP(B223,$B$170:$D$194,3,FALSE)))</f>
        <v>VACANT</v>
      </c>
      <c r="E223" s="34">
        <f>SUMIFS('Renew &amp; Vac'!$S$31:$S$45,'Renew &amp; Vac'!$L$31:$L$45,$B223,'Renew &amp; Vac'!$O$31:$O$45,"&lt;="&amp;E$199,'Renew &amp; Vac'!$P$31:$P$45,"&gt;="&amp;E$199)+SUMIFS('Renew &amp; Vac'!$H$31:$H$45,'Renew &amp; Vac'!$A$31:$A$45,$B223,'Renew &amp; Vac'!$D$31:$D$45,"&lt;="&amp;E$199,'Renew &amp; Vac'!$E$31:$E$45,"&gt;="&amp;E$199)</f>
        <v>5458.5</v>
      </c>
      <c r="F223" s="34">
        <f>SUMIFS('Renew &amp; Vac'!$S$31:$S$45,'Renew &amp; Vac'!$L$31:$L$45,$B223,'Renew &amp; Vac'!$O$31:$O$45,"&lt;="&amp;F$199,'Renew &amp; Vac'!$P$31:$P$45,"&gt;="&amp;F$199)+SUMIFS('Renew &amp; Vac'!$H$31:$H$45,'Renew &amp; Vac'!$A$31:$A$45,$B223,'Renew &amp; Vac'!$D$31:$D$45,"&lt;="&amp;F$199,'Renew &amp; Vac'!$E$31:$E$45,"&gt;="&amp;F$199)</f>
        <v>5458.5</v>
      </c>
      <c r="G223" s="34">
        <f>SUMIFS('Renew &amp; Vac'!$S$31:$S$45,'Renew &amp; Vac'!$L$31:$L$45,$B223,'Renew &amp; Vac'!$O$31:$O$45,"&lt;="&amp;G$199,'Renew &amp; Vac'!$P$31:$P$45,"&gt;="&amp;G$199)+SUMIFS('Renew &amp; Vac'!$H$31:$H$45,'Renew &amp; Vac'!$A$31:$A$45,$B223,'Renew &amp; Vac'!$D$31:$D$45,"&lt;="&amp;G$199,'Renew &amp; Vac'!$E$31:$E$45,"&gt;="&amp;G$199)</f>
        <v>5458.5</v>
      </c>
      <c r="H223" s="34">
        <f>SUMIFS('Renew &amp; Vac'!$S$31:$S$45,'Renew &amp; Vac'!$L$31:$L$45,$B223,'Renew &amp; Vac'!$O$31:$O$45,"&lt;="&amp;H$199,'Renew &amp; Vac'!$P$31:$P$45,"&gt;="&amp;H$199)+SUMIFS('Renew &amp; Vac'!$H$31:$H$45,'Renew &amp; Vac'!$A$31:$A$45,$B223,'Renew &amp; Vac'!$D$31:$D$45,"&lt;="&amp;H$199,'Renew &amp; Vac'!$E$31:$E$45,"&gt;="&amp;H$199)</f>
        <v>5458.5</v>
      </c>
      <c r="I223" s="34">
        <f>SUMIFS('Renew &amp; Vac'!$S$31:$S$45,'Renew &amp; Vac'!$L$31:$L$45,$B223,'Renew &amp; Vac'!$O$31:$O$45,"&lt;="&amp;I$199,'Renew &amp; Vac'!$P$31:$P$45,"&gt;="&amp;I$199)+SUMIFS('Renew &amp; Vac'!$H$31:$H$45,'Renew &amp; Vac'!$A$31:$A$45,$B223,'Renew &amp; Vac'!$D$31:$D$45,"&lt;="&amp;I$199,'Renew &amp; Vac'!$E$31:$E$45,"&gt;="&amp;I$199)</f>
        <v>5458.5</v>
      </c>
      <c r="J223" s="34">
        <f>SUMIFS('Renew &amp; Vac'!$S$31:$S$45,'Renew &amp; Vac'!$L$31:$L$45,$B223,'Renew &amp; Vac'!$O$31:$O$45,"&lt;="&amp;J$199,'Renew &amp; Vac'!$P$31:$P$45,"&gt;="&amp;J$199)+SUMIFS('Renew &amp; Vac'!$H$31:$H$45,'Renew &amp; Vac'!$A$31:$A$45,$B223,'Renew &amp; Vac'!$D$31:$D$45,"&lt;="&amp;J$199,'Renew &amp; Vac'!$E$31:$E$45,"&gt;="&amp;J$199)</f>
        <v>5458.5</v>
      </c>
      <c r="K223" s="34">
        <f>SUMIFS('Renew &amp; Vac'!$S$31:$S$45,'Renew &amp; Vac'!$L$31:$L$45,$B223,'Renew &amp; Vac'!$O$31:$O$45,"&lt;="&amp;K$199,'Renew &amp; Vac'!$P$31:$P$45,"&gt;="&amp;K$199)+SUMIFS('Renew &amp; Vac'!$H$31:$H$45,'Renew &amp; Vac'!$A$31:$A$45,$B223,'Renew &amp; Vac'!$D$31:$D$45,"&lt;="&amp;K$199,'Renew &amp; Vac'!$E$31:$E$45,"&gt;="&amp;K$199)</f>
        <v>5458.5</v>
      </c>
      <c r="L223" s="34">
        <f>SUMIFS('Renew &amp; Vac'!$S$31:$S$45,'Renew &amp; Vac'!$L$31:$L$45,$B223,'Renew &amp; Vac'!$O$31:$O$45,"&lt;="&amp;L$199,'Renew &amp; Vac'!$P$31:$P$45,"&gt;="&amp;L$199)+SUMIFS('Renew &amp; Vac'!$H$31:$H$45,'Renew &amp; Vac'!$A$31:$A$45,$B223,'Renew &amp; Vac'!$D$31:$D$45,"&lt;="&amp;L$199,'Renew &amp; Vac'!$E$31:$E$45,"&gt;="&amp;L$199)</f>
        <v>5458.5</v>
      </c>
      <c r="M223" s="34">
        <f>SUMIFS('Renew &amp; Vac'!$S$31:$S$45,'Renew &amp; Vac'!$L$31:$L$45,$B223,'Renew &amp; Vac'!$O$31:$O$45,"&lt;="&amp;M$199,'Renew &amp; Vac'!$P$31:$P$45,"&gt;="&amp;M$199)+SUMIFS('Renew &amp; Vac'!$H$31:$H$45,'Renew &amp; Vac'!$A$31:$A$45,$B223,'Renew &amp; Vac'!$D$31:$D$45,"&lt;="&amp;M$199,'Renew &amp; Vac'!$E$31:$E$45,"&gt;="&amp;M$199)</f>
        <v>5458.5</v>
      </c>
      <c r="N223" s="34">
        <f>SUMIFS('Renew &amp; Vac'!$S$31:$S$45,'Renew &amp; Vac'!$L$31:$L$45,$B223,'Renew &amp; Vac'!$O$31:$O$45,"&lt;="&amp;N$199,'Renew &amp; Vac'!$P$31:$P$45,"&gt;="&amp;N$199)+SUMIFS('Renew &amp; Vac'!$H$31:$H$45,'Renew &amp; Vac'!$A$31:$A$45,$B223,'Renew &amp; Vac'!$D$31:$D$45,"&lt;="&amp;N$199,'Renew &amp; Vac'!$E$31:$E$45,"&gt;="&amp;N$199)</f>
        <v>5458.5</v>
      </c>
      <c r="O223" s="34">
        <f>SUMIFS('Renew &amp; Vac'!$S$31:$S$45,'Renew &amp; Vac'!$L$31:$L$45,$B223,'Renew &amp; Vac'!$O$31:$O$45,"&lt;="&amp;O$199,'Renew &amp; Vac'!$P$31:$P$45,"&gt;="&amp;O$199)+SUMIFS('Renew &amp; Vac'!$H$31:$H$45,'Renew &amp; Vac'!$A$31:$A$45,$B223,'Renew &amp; Vac'!$D$31:$D$45,"&lt;="&amp;O$199,'Renew &amp; Vac'!$E$31:$E$45,"&gt;="&amp;O$199)</f>
        <v>5458.5</v>
      </c>
      <c r="P223" s="34">
        <f>SUMIFS('Renew &amp; Vac'!$S$31:$S$45,'Renew &amp; Vac'!$L$31:$L$45,$B223,'Renew &amp; Vac'!$O$31:$O$45,"&lt;="&amp;P$199,'Renew &amp; Vac'!$P$31:$P$45,"&gt;="&amp;P$199)+SUMIFS('Renew &amp; Vac'!$H$31:$H$45,'Renew &amp; Vac'!$A$31:$A$45,$B223,'Renew &amp; Vac'!$D$31:$D$45,"&lt;="&amp;P$199,'Renew &amp; Vac'!$E$31:$E$45,"&gt;="&amp;P$199)</f>
        <v>5458.5</v>
      </c>
      <c r="Q223" s="36">
        <f t="shared" si="46"/>
        <v>65502</v>
      </c>
    </row>
    <row r="224" spans="2:17" outlineLevel="1" x14ac:dyDescent="0.35">
      <c r="B224" s="520" t="str">
        <f t="shared" si="45"/>
        <v>4060-500</v>
      </c>
      <c r="C224" s="43"/>
      <c r="D224" s="43" t="str">
        <f>IFERROR(VLOOKUP(B224,'Renew &amp; Vac'!$A$31:$B$45,2,FALSE),IFERROR(VLOOKUP(B224,'Renew &amp; Vac'!$L$31:$M$45,2,FALSE),VLOOKUP(B224,$B$170:$D$194,3,FALSE)))</f>
        <v>VACANT</v>
      </c>
      <c r="E224" s="43">
        <f>SUMIFS('Renew &amp; Vac'!$S$31:$S$45,'Renew &amp; Vac'!$L$31:$L$45,$B224,'Renew &amp; Vac'!$O$31:$O$45,"&lt;="&amp;E$199,'Renew &amp; Vac'!$P$31:$P$45,"&gt;="&amp;E$199)+SUMIFS('Renew &amp; Vac'!$H$31:$H$45,'Renew &amp; Vac'!$A$31:$A$45,$B224,'Renew &amp; Vac'!$D$31:$D$45,"&lt;="&amp;E$199,'Renew &amp; Vac'!$E$31:$E$45,"&gt;="&amp;E$199)</f>
        <v>25786.625</v>
      </c>
      <c r="F224" s="43">
        <f>SUMIFS('Renew &amp; Vac'!$S$31:$S$45,'Renew &amp; Vac'!$L$31:$L$45,$B224,'Renew &amp; Vac'!$O$31:$O$45,"&lt;="&amp;F$199,'Renew &amp; Vac'!$P$31:$P$45,"&gt;="&amp;F$199)+SUMIFS('Renew &amp; Vac'!$H$31:$H$45,'Renew &amp; Vac'!$A$31:$A$45,$B224,'Renew &amp; Vac'!$D$31:$D$45,"&lt;="&amp;F$199,'Renew &amp; Vac'!$E$31:$E$45,"&gt;="&amp;F$199)</f>
        <v>25786.625</v>
      </c>
      <c r="G224" s="43">
        <f>SUMIFS('Renew &amp; Vac'!$S$31:$S$45,'Renew &amp; Vac'!$L$31:$L$45,$B224,'Renew &amp; Vac'!$O$31:$O$45,"&lt;="&amp;G$199,'Renew &amp; Vac'!$P$31:$P$45,"&gt;="&amp;G$199)+SUMIFS('Renew &amp; Vac'!$H$31:$H$45,'Renew &amp; Vac'!$A$31:$A$45,$B224,'Renew &amp; Vac'!$D$31:$D$45,"&lt;="&amp;G$199,'Renew &amp; Vac'!$E$31:$E$45,"&gt;="&amp;G$199)</f>
        <v>25786.625</v>
      </c>
      <c r="H224" s="43">
        <f>SUMIFS('Renew &amp; Vac'!$S$31:$S$45,'Renew &amp; Vac'!$L$31:$L$45,$B224,'Renew &amp; Vac'!$O$31:$O$45,"&lt;="&amp;H$199,'Renew &amp; Vac'!$P$31:$P$45,"&gt;="&amp;H$199)+SUMIFS('Renew &amp; Vac'!$H$31:$H$45,'Renew &amp; Vac'!$A$31:$A$45,$B224,'Renew &amp; Vac'!$D$31:$D$45,"&lt;="&amp;H$199,'Renew &amp; Vac'!$E$31:$E$45,"&gt;="&amp;H$199)</f>
        <v>25786.625</v>
      </c>
      <c r="I224" s="43">
        <f>SUMIFS('Renew &amp; Vac'!$S$31:$S$45,'Renew &amp; Vac'!$L$31:$L$45,$B224,'Renew &amp; Vac'!$O$31:$O$45,"&lt;="&amp;I$199,'Renew &amp; Vac'!$P$31:$P$45,"&gt;="&amp;I$199)+SUMIFS('Renew &amp; Vac'!$H$31:$H$45,'Renew &amp; Vac'!$A$31:$A$45,$B224,'Renew &amp; Vac'!$D$31:$D$45,"&lt;="&amp;I$199,'Renew &amp; Vac'!$E$31:$E$45,"&gt;="&amp;I$199)</f>
        <v>25786.625</v>
      </c>
      <c r="J224" s="43">
        <f>SUMIFS('Renew &amp; Vac'!$S$31:$S$45,'Renew &amp; Vac'!$L$31:$L$45,$B224,'Renew &amp; Vac'!$O$31:$O$45,"&lt;="&amp;J$199,'Renew &amp; Vac'!$P$31:$P$45,"&gt;="&amp;J$199)+SUMIFS('Renew &amp; Vac'!$H$31:$H$45,'Renew &amp; Vac'!$A$31:$A$45,$B224,'Renew &amp; Vac'!$D$31:$D$45,"&lt;="&amp;J$199,'Renew &amp; Vac'!$E$31:$E$45,"&gt;="&amp;J$199)</f>
        <v>25786.625</v>
      </c>
      <c r="K224" s="43">
        <f>SUMIFS('Renew &amp; Vac'!$S$31:$S$45,'Renew &amp; Vac'!$L$31:$L$45,$B224,'Renew &amp; Vac'!$O$31:$O$45,"&lt;="&amp;K$199,'Renew &amp; Vac'!$P$31:$P$45,"&gt;="&amp;K$199)+SUMIFS('Renew &amp; Vac'!$H$31:$H$45,'Renew &amp; Vac'!$A$31:$A$45,$B224,'Renew &amp; Vac'!$D$31:$D$45,"&lt;="&amp;K$199,'Renew &amp; Vac'!$E$31:$E$45,"&gt;="&amp;K$199)</f>
        <v>25786.625</v>
      </c>
      <c r="L224" s="43">
        <f>SUMIFS('Renew &amp; Vac'!$S$31:$S$45,'Renew &amp; Vac'!$L$31:$L$45,$B224,'Renew &amp; Vac'!$O$31:$O$45,"&lt;="&amp;L$199,'Renew &amp; Vac'!$P$31:$P$45,"&gt;="&amp;L$199)+SUMIFS('Renew &amp; Vac'!$H$31:$H$45,'Renew &amp; Vac'!$A$31:$A$45,$B224,'Renew &amp; Vac'!$D$31:$D$45,"&lt;="&amp;L$199,'Renew &amp; Vac'!$E$31:$E$45,"&gt;="&amp;L$199)</f>
        <v>25786.625</v>
      </c>
      <c r="M224" s="43">
        <f>SUMIFS('Renew &amp; Vac'!$S$31:$S$45,'Renew &amp; Vac'!$L$31:$L$45,$B224,'Renew &amp; Vac'!$O$31:$O$45,"&lt;="&amp;M$199,'Renew &amp; Vac'!$P$31:$P$45,"&gt;="&amp;M$199)+SUMIFS('Renew &amp; Vac'!$H$31:$H$45,'Renew &amp; Vac'!$A$31:$A$45,$B224,'Renew &amp; Vac'!$D$31:$D$45,"&lt;="&amp;M$199,'Renew &amp; Vac'!$E$31:$E$45,"&gt;="&amp;M$199)</f>
        <v>25786.625</v>
      </c>
      <c r="N224" s="43">
        <f>SUMIFS('Renew &amp; Vac'!$S$31:$S$45,'Renew &amp; Vac'!$L$31:$L$45,$B224,'Renew &amp; Vac'!$O$31:$O$45,"&lt;="&amp;N$199,'Renew &amp; Vac'!$P$31:$P$45,"&gt;="&amp;N$199)+SUMIFS('Renew &amp; Vac'!$H$31:$H$45,'Renew &amp; Vac'!$A$31:$A$45,$B224,'Renew &amp; Vac'!$D$31:$D$45,"&lt;="&amp;N$199,'Renew &amp; Vac'!$E$31:$E$45,"&gt;="&amp;N$199)</f>
        <v>25786.625</v>
      </c>
      <c r="O224" s="43">
        <f>SUMIFS('Renew &amp; Vac'!$S$31:$S$45,'Renew &amp; Vac'!$L$31:$L$45,$B224,'Renew &amp; Vac'!$O$31:$O$45,"&lt;="&amp;O$199,'Renew &amp; Vac'!$P$31:$P$45,"&gt;="&amp;O$199)+SUMIFS('Renew &amp; Vac'!$H$31:$H$45,'Renew &amp; Vac'!$A$31:$A$45,$B224,'Renew &amp; Vac'!$D$31:$D$45,"&lt;="&amp;O$199,'Renew &amp; Vac'!$E$31:$E$45,"&gt;="&amp;O$199)</f>
        <v>25786.625</v>
      </c>
      <c r="P224" s="43">
        <f>SUMIFS('Renew &amp; Vac'!$S$31:$S$45,'Renew &amp; Vac'!$L$31:$L$45,$B224,'Renew &amp; Vac'!$O$31:$O$45,"&lt;="&amp;P$199,'Renew &amp; Vac'!$P$31:$P$45,"&gt;="&amp;P$199)+SUMIFS('Renew &amp; Vac'!$H$31:$H$45,'Renew &amp; Vac'!$A$31:$A$45,$B224,'Renew &amp; Vac'!$D$31:$D$45,"&lt;="&amp;P$199,'Renew &amp; Vac'!$E$31:$E$45,"&gt;="&amp;P$199)</f>
        <v>25786.625</v>
      </c>
      <c r="Q224" s="87">
        <f t="shared" si="46"/>
        <v>309439.5</v>
      </c>
    </row>
    <row r="225" spans="1:20" outlineLevel="1" x14ac:dyDescent="0.35">
      <c r="B225" s="10"/>
      <c r="D225" s="44"/>
      <c r="E225" s="36">
        <f t="shared" ref="E225:Q225" si="47">SUM(E200:E224)</f>
        <v>47531.333333333336</v>
      </c>
      <c r="F225" s="36">
        <f t="shared" si="47"/>
        <v>47531.333333333336</v>
      </c>
      <c r="G225" s="36">
        <f t="shared" si="47"/>
        <v>47531.333333333336</v>
      </c>
      <c r="H225" s="36">
        <f t="shared" si="47"/>
        <v>49531.5</v>
      </c>
      <c r="I225" s="36">
        <f t="shared" si="47"/>
        <v>49531.5</v>
      </c>
      <c r="J225" s="36">
        <f t="shared" si="47"/>
        <v>49531.5</v>
      </c>
      <c r="K225" s="36">
        <f t="shared" si="47"/>
        <v>57621.75</v>
      </c>
      <c r="L225" s="36">
        <f t="shared" si="47"/>
        <v>59360.25</v>
      </c>
      <c r="M225" s="36">
        <f t="shared" si="47"/>
        <v>59360.25</v>
      </c>
      <c r="N225" s="36">
        <f t="shared" si="47"/>
        <v>59360.25</v>
      </c>
      <c r="O225" s="36">
        <f t="shared" si="47"/>
        <v>56573.25</v>
      </c>
      <c r="P225" s="36">
        <f t="shared" si="47"/>
        <v>52963.875</v>
      </c>
      <c r="Q225" s="36">
        <f t="shared" si="47"/>
        <v>636428.125</v>
      </c>
    </row>
    <row r="226" spans="1:20" outlineLevel="1" x14ac:dyDescent="0.35">
      <c r="B226" s="10"/>
      <c r="E226" s="95">
        <f t="shared" ref="E226:Q226" si="48">E11-E225</f>
        <v>0</v>
      </c>
      <c r="F226" s="95">
        <f t="shared" si="48"/>
        <v>0</v>
      </c>
      <c r="G226" s="95">
        <f t="shared" si="48"/>
        <v>0</v>
      </c>
      <c r="H226" s="95">
        <f t="shared" si="48"/>
        <v>0</v>
      </c>
      <c r="I226" s="95">
        <f t="shared" si="48"/>
        <v>0</v>
      </c>
      <c r="J226" s="95">
        <f t="shared" si="48"/>
        <v>0</v>
      </c>
      <c r="K226" s="95">
        <f t="shared" si="48"/>
        <v>0</v>
      </c>
      <c r="L226" s="95">
        <f t="shared" si="48"/>
        <v>0</v>
      </c>
      <c r="M226" s="95">
        <f t="shared" si="48"/>
        <v>0</v>
      </c>
      <c r="N226" s="95">
        <f t="shared" si="48"/>
        <v>0</v>
      </c>
      <c r="O226" s="95">
        <f t="shared" si="48"/>
        <v>0</v>
      </c>
      <c r="P226" s="95">
        <f t="shared" si="48"/>
        <v>0</v>
      </c>
      <c r="Q226" s="95">
        <f t="shared" si="48"/>
        <v>0</v>
      </c>
    </row>
    <row r="227" spans="1:20" ht="17.149999999999999" customHeight="1" x14ac:dyDescent="0.35">
      <c r="B227" s="10"/>
    </row>
    <row r="228" spans="1:20" x14ac:dyDescent="0.35">
      <c r="A228" s="80"/>
      <c r="Q228" s="391"/>
      <c r="R228" s="391"/>
      <c r="S228" s="391"/>
      <c r="T228" s="388"/>
    </row>
    <row r="229" spans="1:20" x14ac:dyDescent="0.35">
      <c r="A229" s="80"/>
      <c r="Q229" s="391"/>
      <c r="R229" s="391"/>
      <c r="S229" s="391"/>
      <c r="T229" s="388"/>
    </row>
    <row r="230" spans="1:20" x14ac:dyDescent="0.35">
      <c r="A230" s="80"/>
      <c r="Q230" s="391"/>
      <c r="R230" s="391"/>
      <c r="S230" s="391"/>
      <c r="T230" s="388"/>
    </row>
    <row r="231" spans="1:20" x14ac:dyDescent="0.35">
      <c r="A231" s="80"/>
      <c r="Q231" s="391"/>
      <c r="R231" s="391"/>
      <c r="S231" s="391"/>
      <c r="T231" s="388"/>
    </row>
    <row r="232" spans="1:20" x14ac:dyDescent="0.35">
      <c r="A232" s="80"/>
      <c r="Q232" s="391"/>
      <c r="R232" s="391"/>
      <c r="S232" s="391"/>
      <c r="T232" s="388"/>
    </row>
    <row r="233" spans="1:20" x14ac:dyDescent="0.35">
      <c r="A233" s="80"/>
      <c r="Q233" s="391"/>
      <c r="R233" s="391"/>
      <c r="S233" s="391"/>
      <c r="T233" s="388"/>
    </row>
    <row r="234" spans="1:20" x14ac:dyDescent="0.35">
      <c r="A234" s="80"/>
      <c r="Q234" s="391"/>
      <c r="R234" s="391"/>
      <c r="S234" s="391"/>
      <c r="T234" s="388"/>
    </row>
    <row r="235" spans="1:20" x14ac:dyDescent="0.35">
      <c r="A235" s="80"/>
      <c r="Q235" s="391"/>
      <c r="R235" s="391"/>
      <c r="S235" s="391"/>
      <c r="T235" s="388"/>
    </row>
    <row r="236" spans="1:20" x14ac:dyDescent="0.35">
      <c r="A236" s="80"/>
      <c r="Q236" s="391"/>
      <c r="R236" s="391"/>
      <c r="S236" s="391"/>
      <c r="T236" s="388"/>
    </row>
    <row r="237" spans="1:20" x14ac:dyDescent="0.35">
      <c r="A237" s="80"/>
      <c r="Q237" s="391"/>
      <c r="R237" s="391"/>
      <c r="S237" s="391"/>
      <c r="T237" s="388"/>
    </row>
    <row r="238" spans="1:20" ht="18" x14ac:dyDescent="0.35">
      <c r="A238" s="80"/>
      <c r="D238" s="35" t="str">
        <f>"Budget Import - "&amp;B1</f>
        <v>Budget Import - 4060</v>
      </c>
      <c r="E238" s="532">
        <v>5</v>
      </c>
      <c r="F238" s="533">
        <f>E238+1</f>
        <v>6</v>
      </c>
      <c r="G238" s="533">
        <f t="shared" ref="G238:P238" si="49">F238+1</f>
        <v>7</v>
      </c>
      <c r="H238" s="533">
        <f t="shared" si="49"/>
        <v>8</v>
      </c>
      <c r="I238" s="533">
        <f t="shared" si="49"/>
        <v>9</v>
      </c>
      <c r="J238" s="533">
        <f t="shared" si="49"/>
        <v>10</v>
      </c>
      <c r="K238" s="533">
        <f t="shared" si="49"/>
        <v>11</v>
      </c>
      <c r="L238" s="533">
        <f t="shared" si="49"/>
        <v>12</v>
      </c>
      <c r="M238" s="533">
        <f t="shared" si="49"/>
        <v>13</v>
      </c>
      <c r="N238" s="533">
        <f t="shared" si="49"/>
        <v>14</v>
      </c>
      <c r="O238" s="533">
        <f t="shared" si="49"/>
        <v>15</v>
      </c>
      <c r="P238" s="533">
        <f t="shared" si="49"/>
        <v>16</v>
      </c>
      <c r="Q238" s="533" t="s">
        <v>664</v>
      </c>
      <c r="R238" s="391"/>
      <c r="S238" s="391"/>
      <c r="T238" s="388"/>
    </row>
    <row r="239" spans="1:20" ht="16.5" thickBot="1" x14ac:dyDescent="0.4">
      <c r="A239" s="80"/>
      <c r="D239" s="34" t="s">
        <v>100</v>
      </c>
      <c r="E239" s="34">
        <v>1</v>
      </c>
      <c r="F239" s="34">
        <v>2</v>
      </c>
      <c r="G239" s="34">
        <v>3</v>
      </c>
      <c r="H239" s="34">
        <v>4</v>
      </c>
      <c r="I239" s="34">
        <v>5</v>
      </c>
      <c r="J239" s="34">
        <v>6</v>
      </c>
      <c r="K239" s="34">
        <v>7</v>
      </c>
      <c r="L239" s="34">
        <v>8</v>
      </c>
      <c r="M239" s="34">
        <v>9</v>
      </c>
      <c r="N239" s="34">
        <v>10</v>
      </c>
      <c r="O239" s="34">
        <v>11</v>
      </c>
      <c r="P239" s="34">
        <v>12</v>
      </c>
      <c r="Q239" s="391" t="s">
        <v>12</v>
      </c>
      <c r="R239" s="391"/>
      <c r="S239" s="391"/>
      <c r="T239" s="388"/>
    </row>
    <row r="240" spans="1:20" x14ac:dyDescent="0.35">
      <c r="A240" s="534" t="str">
        <f>VLOOKUP($D240,$A$10:$D$130,3,FALSE)</f>
        <v>Rental Income - In Place</v>
      </c>
      <c r="D240" s="101" t="s">
        <v>136</v>
      </c>
      <c r="E240" s="102">
        <f>-(VLOOKUP($D240,$A$10:$P$132,E$238,FALSE)+E11)</f>
        <v>-101761.23333333334</v>
      </c>
      <c r="F240" s="102">
        <f t="shared" ref="F240:P240" si="50">-(VLOOKUP($D240,$A$10:$P$132,F$238,FALSE)+F11)</f>
        <v>-101868.94333333333</v>
      </c>
      <c r="G240" s="102">
        <f t="shared" si="50"/>
        <v>-101868.94333333333</v>
      </c>
      <c r="H240" s="102">
        <f t="shared" si="50"/>
        <v>-102023.85</v>
      </c>
      <c r="I240" s="102">
        <f t="shared" si="50"/>
        <v>-102831.43</v>
      </c>
      <c r="J240" s="102">
        <f t="shared" si="50"/>
        <v>-102831.43</v>
      </c>
      <c r="K240" s="102">
        <f t="shared" si="50"/>
        <v>-97268.18</v>
      </c>
      <c r="L240" s="102">
        <f t="shared" si="50"/>
        <v>-97222.43</v>
      </c>
      <c r="M240" s="102">
        <f t="shared" si="50"/>
        <v>-97222.43</v>
      </c>
      <c r="N240" s="102">
        <f t="shared" si="50"/>
        <v>-97222.43</v>
      </c>
      <c r="O240" s="102">
        <f t="shared" si="50"/>
        <v>-94498.14</v>
      </c>
      <c r="P240" s="103">
        <f t="shared" si="50"/>
        <v>-90888.764999999999</v>
      </c>
      <c r="Q240" s="456">
        <f>SUM(E240:P240)</f>
        <v>-1187508.2049999996</v>
      </c>
      <c r="R240" s="456"/>
      <c r="S240" s="391"/>
      <c r="T240" s="388"/>
    </row>
    <row r="241" spans="1:20" x14ac:dyDescent="0.35">
      <c r="A241" s="534" t="str">
        <f t="shared" ref="A241:A263" si="51">VLOOKUP($D241,$A$10:$D$130,3,FALSE)</f>
        <v>Electric</v>
      </c>
      <c r="D241" s="104" t="s">
        <v>102</v>
      </c>
      <c r="E241" s="105">
        <f t="shared" ref="E241:P243" si="52">-VLOOKUP($D241,$A$10:$P$132,E$238,FALSE)</f>
        <v>-19858.132799999999</v>
      </c>
      <c r="F241" s="105">
        <f t="shared" si="52"/>
        <v>-18738.2052</v>
      </c>
      <c r="G241" s="105">
        <f t="shared" si="52"/>
        <v>-18762.381000000001</v>
      </c>
      <c r="H241" s="105">
        <f t="shared" si="52"/>
        <v>-18778.062600000001</v>
      </c>
      <c r="I241" s="105">
        <f t="shared" si="52"/>
        <v>-19935.234</v>
      </c>
      <c r="J241" s="105">
        <f t="shared" si="52"/>
        <v>-21802.6512</v>
      </c>
      <c r="K241" s="105">
        <f t="shared" si="52"/>
        <v>-22186.309000000001</v>
      </c>
      <c r="L241" s="105">
        <f t="shared" si="52"/>
        <v>-21530.399000000001</v>
      </c>
      <c r="M241" s="105">
        <f t="shared" si="52"/>
        <v>-19922.5</v>
      </c>
      <c r="N241" s="105">
        <f t="shared" si="52"/>
        <v>-19300.305</v>
      </c>
      <c r="O241" s="105">
        <f t="shared" si="52"/>
        <v>-16684.3809</v>
      </c>
      <c r="P241" s="106">
        <f t="shared" si="52"/>
        <v>-18138.403200000001</v>
      </c>
      <c r="Q241" s="456">
        <f t="shared" ref="Q241:Q273" si="53">SUM(E241:P241)</f>
        <v>-235636.9639</v>
      </c>
      <c r="R241" s="456"/>
      <c r="S241" s="391"/>
      <c r="T241" s="388"/>
    </row>
    <row r="242" spans="1:20" x14ac:dyDescent="0.35">
      <c r="A242" s="534" t="str">
        <f t="shared" si="51"/>
        <v>Common Area Maintenance</v>
      </c>
      <c r="D242" s="104" t="s">
        <v>103</v>
      </c>
      <c r="E242" s="105">
        <f t="shared" si="52"/>
        <v>-2000</v>
      </c>
      <c r="F242" s="105">
        <f t="shared" si="52"/>
        <v>-2000</v>
      </c>
      <c r="G242" s="105">
        <f t="shared" si="52"/>
        <v>-2000</v>
      </c>
      <c r="H242" s="105">
        <f t="shared" si="52"/>
        <v>-2000</v>
      </c>
      <c r="I242" s="105">
        <f t="shared" si="52"/>
        <v>-2000</v>
      </c>
      <c r="J242" s="105">
        <f t="shared" si="52"/>
        <v>-2000</v>
      </c>
      <c r="K242" s="105">
        <f t="shared" si="52"/>
        <v>-2000</v>
      </c>
      <c r="L242" s="105">
        <f t="shared" si="52"/>
        <v>-2000</v>
      </c>
      <c r="M242" s="105">
        <f t="shared" si="52"/>
        <v>-2000</v>
      </c>
      <c r="N242" s="105">
        <f t="shared" si="52"/>
        <v>-2000</v>
      </c>
      <c r="O242" s="105">
        <f t="shared" si="52"/>
        <v>-2000</v>
      </c>
      <c r="P242" s="106">
        <f t="shared" si="52"/>
        <v>-2000</v>
      </c>
      <c r="Q242" s="456">
        <f t="shared" si="53"/>
        <v>-24000</v>
      </c>
      <c r="R242" s="456"/>
      <c r="S242" s="391"/>
      <c r="T242" s="388"/>
    </row>
    <row r="243" spans="1:20" x14ac:dyDescent="0.35">
      <c r="A243" s="534" t="str">
        <f t="shared" si="51"/>
        <v>Real Estate Taxes</v>
      </c>
      <c r="D243" s="104" t="s">
        <v>104</v>
      </c>
      <c r="E243" s="105">
        <f t="shared" si="52"/>
        <v>0</v>
      </c>
      <c r="F243" s="105">
        <f t="shared" si="52"/>
        <v>0</v>
      </c>
      <c r="G243" s="105">
        <f t="shared" si="52"/>
        <v>0</v>
      </c>
      <c r="H243" s="105">
        <f t="shared" si="52"/>
        <v>0</v>
      </c>
      <c r="I243" s="105">
        <f t="shared" si="52"/>
        <v>0</v>
      </c>
      <c r="J243" s="105">
        <f t="shared" si="52"/>
        <v>0</v>
      </c>
      <c r="K243" s="105">
        <f t="shared" si="52"/>
        <v>0</v>
      </c>
      <c r="L243" s="105">
        <f t="shared" si="52"/>
        <v>0</v>
      </c>
      <c r="M243" s="105">
        <f t="shared" si="52"/>
        <v>0</v>
      </c>
      <c r="N243" s="105">
        <f t="shared" si="52"/>
        <v>0</v>
      </c>
      <c r="O243" s="105">
        <f t="shared" si="52"/>
        <v>0</v>
      </c>
      <c r="P243" s="106">
        <f t="shared" si="52"/>
        <v>0</v>
      </c>
      <c r="Q243" s="456">
        <f t="shared" si="53"/>
        <v>0</v>
      </c>
      <c r="R243" s="456"/>
      <c r="S243" s="391"/>
      <c r="T243" s="388"/>
    </row>
    <row r="244" spans="1:20" x14ac:dyDescent="0.35">
      <c r="A244" s="534" t="str">
        <f t="shared" si="51"/>
        <v>Insurance</v>
      </c>
      <c r="D244" s="104" t="s">
        <v>139</v>
      </c>
      <c r="E244" s="105">
        <f>-VLOOKUP($D244,$A$10:$P$132,E$238,FALSE)</f>
        <v>0</v>
      </c>
      <c r="F244" s="105">
        <f t="shared" ref="F244:P244" si="54">-VLOOKUP($D244,$A$10:$P$132,F$238,FALSE)</f>
        <v>0</v>
      </c>
      <c r="G244" s="105">
        <f t="shared" si="54"/>
        <v>0</v>
      </c>
      <c r="H244" s="105">
        <f t="shared" si="54"/>
        <v>0</v>
      </c>
      <c r="I244" s="105">
        <f t="shared" si="54"/>
        <v>0</v>
      </c>
      <c r="J244" s="105">
        <f t="shared" si="54"/>
        <v>0</v>
      </c>
      <c r="K244" s="105">
        <f t="shared" si="54"/>
        <v>0</v>
      </c>
      <c r="L244" s="105">
        <f t="shared" si="54"/>
        <v>0</v>
      </c>
      <c r="M244" s="105">
        <f t="shared" si="54"/>
        <v>0</v>
      </c>
      <c r="N244" s="105">
        <f t="shared" si="54"/>
        <v>0</v>
      </c>
      <c r="O244" s="105">
        <f t="shared" si="54"/>
        <v>0</v>
      </c>
      <c r="P244" s="106">
        <f t="shared" si="54"/>
        <v>0</v>
      </c>
      <c r="Q244" s="456">
        <f>SUM(E244:P244)</f>
        <v>0</v>
      </c>
      <c r="R244" s="456"/>
      <c r="S244" s="391"/>
      <c r="T244" s="388"/>
    </row>
    <row r="245" spans="1:20" x14ac:dyDescent="0.35">
      <c r="A245" s="534" t="str">
        <f t="shared" si="51"/>
        <v>Maintenance Salaries</v>
      </c>
      <c r="D245" s="104" t="s">
        <v>105</v>
      </c>
      <c r="E245" s="105">
        <f>VLOOKUP($D245,$A$10:$P$132,E$238,FALSE)</f>
        <v>2207.2986316482725</v>
      </c>
      <c r="F245" s="105">
        <f t="shared" ref="F245:P260" si="55">VLOOKUP($D245,$A$10:$P$132,F$238,FALSE)</f>
        <v>2207.2986316482725</v>
      </c>
      <c r="G245" s="105">
        <f t="shared" si="55"/>
        <v>2207.2986316482725</v>
      </c>
      <c r="H245" s="105">
        <f t="shared" si="55"/>
        <v>2207.2986316482725</v>
      </c>
      <c r="I245" s="105">
        <f t="shared" si="55"/>
        <v>2207.2986316482725</v>
      </c>
      <c r="J245" s="105">
        <f t="shared" si="55"/>
        <v>2207.2986316482725</v>
      </c>
      <c r="K245" s="105">
        <f t="shared" si="55"/>
        <v>2207.2986316482725</v>
      </c>
      <c r="L245" s="105">
        <f t="shared" si="55"/>
        <v>2207.2986316482725</v>
      </c>
      <c r="M245" s="105">
        <f t="shared" si="55"/>
        <v>2207.2986316482725</v>
      </c>
      <c r="N245" s="105">
        <f t="shared" si="55"/>
        <v>2207.2986316482725</v>
      </c>
      <c r="O245" s="105">
        <f t="shared" si="55"/>
        <v>2207.2986316482725</v>
      </c>
      <c r="P245" s="106">
        <f t="shared" si="55"/>
        <v>2207.2986316482725</v>
      </c>
      <c r="Q245" s="456">
        <f t="shared" si="53"/>
        <v>26487.583579779264</v>
      </c>
      <c r="R245" s="456"/>
      <c r="S245" s="391"/>
      <c r="T245" s="388"/>
    </row>
    <row r="246" spans="1:20" x14ac:dyDescent="0.35">
      <c r="A246" s="534" t="str">
        <f t="shared" si="51"/>
        <v>Electric</v>
      </c>
      <c r="D246" s="104" t="s">
        <v>106</v>
      </c>
      <c r="E246" s="105">
        <f t="shared" ref="E246:P261" si="56">VLOOKUP($D246,$A$10:$P$132,E$238,FALSE)</f>
        <v>30392</v>
      </c>
      <c r="F246" s="105">
        <f t="shared" si="55"/>
        <v>28678</v>
      </c>
      <c r="G246" s="105">
        <f t="shared" si="55"/>
        <v>28715</v>
      </c>
      <c r="H246" s="105">
        <f t="shared" si="55"/>
        <v>28739</v>
      </c>
      <c r="I246" s="105">
        <f t="shared" si="55"/>
        <v>30510</v>
      </c>
      <c r="J246" s="105">
        <f t="shared" si="55"/>
        <v>33368</v>
      </c>
      <c r="K246" s="105">
        <f t="shared" si="55"/>
        <v>36193</v>
      </c>
      <c r="L246" s="105">
        <f t="shared" si="55"/>
        <v>35123</v>
      </c>
      <c r="M246" s="105">
        <f t="shared" si="55"/>
        <v>32500</v>
      </c>
      <c r="N246" s="105">
        <f t="shared" si="55"/>
        <v>31485</v>
      </c>
      <c r="O246" s="105">
        <f t="shared" si="55"/>
        <v>27933</v>
      </c>
      <c r="P246" s="106">
        <f t="shared" si="55"/>
        <v>31578</v>
      </c>
      <c r="Q246" s="456">
        <f t="shared" si="53"/>
        <v>375214</v>
      </c>
      <c r="R246" s="456"/>
      <c r="S246" s="391"/>
      <c r="T246" s="388"/>
    </row>
    <row r="247" spans="1:20" x14ac:dyDescent="0.35">
      <c r="A247" s="534" t="str">
        <f t="shared" si="51"/>
        <v>Water &amp; Sewer</v>
      </c>
      <c r="D247" s="104" t="s">
        <v>107</v>
      </c>
      <c r="E247" s="105">
        <f t="shared" si="56"/>
        <v>1408.01</v>
      </c>
      <c r="F247" s="105">
        <f t="shared" si="55"/>
        <v>1529.55</v>
      </c>
      <c r="G247" s="105">
        <f t="shared" si="55"/>
        <v>1479.0800000000002</v>
      </c>
      <c r="H247" s="105">
        <f t="shared" si="55"/>
        <v>1526.4599999999998</v>
      </c>
      <c r="I247" s="105">
        <f t="shared" si="55"/>
        <v>3337.2</v>
      </c>
      <c r="J247" s="105">
        <f t="shared" si="55"/>
        <v>5896.75</v>
      </c>
      <c r="K247" s="105">
        <f t="shared" si="55"/>
        <v>6328.32</v>
      </c>
      <c r="L247" s="105">
        <f t="shared" si="55"/>
        <v>9496.6</v>
      </c>
      <c r="M247" s="105">
        <f t="shared" si="55"/>
        <v>4136.4800000000005</v>
      </c>
      <c r="N247" s="105">
        <f t="shared" si="55"/>
        <v>4229.18</v>
      </c>
      <c r="O247" s="105">
        <f t="shared" si="55"/>
        <v>1762.3300000000002</v>
      </c>
      <c r="P247" s="106">
        <f t="shared" si="55"/>
        <v>1532.6399999999999</v>
      </c>
      <c r="Q247" s="456">
        <f t="shared" si="53"/>
        <v>42662.600000000006</v>
      </c>
      <c r="R247" s="456"/>
      <c r="S247" s="391"/>
      <c r="T247" s="388"/>
    </row>
    <row r="248" spans="1:20" x14ac:dyDescent="0.35">
      <c r="A248" s="534" t="str">
        <f t="shared" si="51"/>
        <v>Building Maintenance</v>
      </c>
      <c r="D248" s="104" t="s">
        <v>108</v>
      </c>
      <c r="E248" s="105">
        <f t="shared" si="56"/>
        <v>5344</v>
      </c>
      <c r="F248" s="105">
        <f t="shared" si="55"/>
        <v>6889</v>
      </c>
      <c r="G248" s="105">
        <f t="shared" si="55"/>
        <v>15065</v>
      </c>
      <c r="H248" s="105">
        <f t="shared" si="55"/>
        <v>12276</v>
      </c>
      <c r="I248" s="105">
        <f t="shared" si="55"/>
        <v>9779</v>
      </c>
      <c r="J248" s="105">
        <f t="shared" si="55"/>
        <v>15390</v>
      </c>
      <c r="K248" s="105">
        <f t="shared" si="55"/>
        <v>7299</v>
      </c>
      <c r="L248" s="105">
        <f t="shared" si="55"/>
        <v>6889</v>
      </c>
      <c r="M248" s="105">
        <f t="shared" si="55"/>
        <v>15065</v>
      </c>
      <c r="N248" s="105">
        <f t="shared" si="55"/>
        <v>12276</v>
      </c>
      <c r="O248" s="105">
        <f t="shared" si="55"/>
        <v>7364</v>
      </c>
      <c r="P248" s="106">
        <f t="shared" si="55"/>
        <v>3010</v>
      </c>
      <c r="Q248" s="456">
        <f t="shared" si="53"/>
        <v>116646</v>
      </c>
      <c r="R248" s="456"/>
      <c r="S248" s="391"/>
      <c r="T248" s="388"/>
    </row>
    <row r="249" spans="1:20" x14ac:dyDescent="0.35">
      <c r="A249" s="534" t="str">
        <f t="shared" si="51"/>
        <v>Parking Lot Maintenance</v>
      </c>
      <c r="D249" s="104" t="s">
        <v>140</v>
      </c>
      <c r="E249" s="105">
        <f t="shared" si="56"/>
        <v>1225.7</v>
      </c>
      <c r="F249" s="105">
        <f t="shared" si="55"/>
        <v>1225.7</v>
      </c>
      <c r="G249" s="105">
        <f t="shared" si="55"/>
        <v>2152.6999999999998</v>
      </c>
      <c r="H249" s="105">
        <f t="shared" si="55"/>
        <v>1225.7</v>
      </c>
      <c r="I249" s="105">
        <f t="shared" si="55"/>
        <v>1225.7</v>
      </c>
      <c r="J249" s="105">
        <f t="shared" si="55"/>
        <v>2152.6999999999998</v>
      </c>
      <c r="K249" s="105">
        <f t="shared" si="55"/>
        <v>13585.7</v>
      </c>
      <c r="L249" s="105">
        <f t="shared" si="55"/>
        <v>1225.7</v>
      </c>
      <c r="M249" s="105">
        <f t="shared" si="55"/>
        <v>14512.7</v>
      </c>
      <c r="N249" s="105">
        <f t="shared" si="55"/>
        <v>1225.7</v>
      </c>
      <c r="O249" s="105">
        <f t="shared" si="55"/>
        <v>1225.7</v>
      </c>
      <c r="P249" s="106">
        <f t="shared" si="55"/>
        <v>2152.6999999999998</v>
      </c>
      <c r="Q249" s="456">
        <f t="shared" si="53"/>
        <v>43136.399999999994</v>
      </c>
      <c r="R249" s="456"/>
      <c r="S249" s="391"/>
      <c r="T249" s="388"/>
    </row>
    <row r="250" spans="1:20" x14ac:dyDescent="0.35">
      <c r="A250" s="534" t="str">
        <f t="shared" si="51"/>
        <v>Snow Removal</v>
      </c>
      <c r="D250" s="104" t="s">
        <v>110</v>
      </c>
      <c r="E250" s="105">
        <f t="shared" si="56"/>
        <v>6952.5</v>
      </c>
      <c r="F250" s="105">
        <f t="shared" si="55"/>
        <v>6952.5</v>
      </c>
      <c r="G250" s="105">
        <f t="shared" si="55"/>
        <v>6952.5</v>
      </c>
      <c r="H250" s="105">
        <f t="shared" si="55"/>
        <v>0</v>
      </c>
      <c r="I250" s="105">
        <f t="shared" si="55"/>
        <v>0</v>
      </c>
      <c r="J250" s="105">
        <f t="shared" si="55"/>
        <v>0</v>
      </c>
      <c r="K250" s="105">
        <f t="shared" si="55"/>
        <v>0</v>
      </c>
      <c r="L250" s="105">
        <f t="shared" si="55"/>
        <v>0</v>
      </c>
      <c r="M250" s="105">
        <f t="shared" si="55"/>
        <v>0</v>
      </c>
      <c r="N250" s="105">
        <f t="shared" si="55"/>
        <v>0</v>
      </c>
      <c r="O250" s="105">
        <f t="shared" si="55"/>
        <v>1030</v>
      </c>
      <c r="P250" s="106">
        <f t="shared" si="55"/>
        <v>6952.5</v>
      </c>
      <c r="Q250" s="456">
        <f t="shared" si="53"/>
        <v>28840</v>
      </c>
      <c r="R250" s="456"/>
      <c r="S250" s="391"/>
      <c r="T250" s="388"/>
    </row>
    <row r="251" spans="1:20" x14ac:dyDescent="0.35">
      <c r="A251" s="534" t="str">
        <f t="shared" si="51"/>
        <v>Landscaping</v>
      </c>
      <c r="D251" s="104" t="s">
        <v>111</v>
      </c>
      <c r="E251" s="105">
        <f t="shared" si="56"/>
        <v>1131.4490182013431</v>
      </c>
      <c r="F251" s="105">
        <f t="shared" si="55"/>
        <v>1131.4490182013431</v>
      </c>
      <c r="G251" s="105">
        <f t="shared" si="55"/>
        <v>4055.6658580235653</v>
      </c>
      <c r="H251" s="105">
        <f t="shared" si="55"/>
        <v>4055.6658580235653</v>
      </c>
      <c r="I251" s="105">
        <f t="shared" si="55"/>
        <v>5600.6658580235653</v>
      </c>
      <c r="J251" s="105">
        <f t="shared" si="55"/>
        <v>4055.6658580235653</v>
      </c>
      <c r="K251" s="105">
        <f t="shared" si="55"/>
        <v>4055.6658580235653</v>
      </c>
      <c r="L251" s="105">
        <f t="shared" si="55"/>
        <v>4055.6658580235653</v>
      </c>
      <c r="M251" s="105">
        <f t="shared" si="55"/>
        <v>4055.6658580235653</v>
      </c>
      <c r="N251" s="105">
        <f t="shared" si="55"/>
        <v>5600.6658580235653</v>
      </c>
      <c r="O251" s="105">
        <f t="shared" si="55"/>
        <v>3489.1658580235653</v>
      </c>
      <c r="P251" s="106">
        <f t="shared" si="55"/>
        <v>1131.4490182013431</v>
      </c>
      <c r="Q251" s="456">
        <f t="shared" si="53"/>
        <v>42418.839776816123</v>
      </c>
      <c r="R251" s="456"/>
      <c r="S251" s="391"/>
      <c r="T251" s="388"/>
    </row>
    <row r="252" spans="1:20" x14ac:dyDescent="0.35">
      <c r="A252" s="534" t="str">
        <f t="shared" si="51"/>
        <v>Security</v>
      </c>
      <c r="D252" s="104" t="s">
        <v>112</v>
      </c>
      <c r="E252" s="105">
        <f t="shared" si="56"/>
        <v>570.24</v>
      </c>
      <c r="F252" s="105">
        <f t="shared" si="55"/>
        <v>570.24</v>
      </c>
      <c r="G252" s="105">
        <f t="shared" si="55"/>
        <v>570.24</v>
      </c>
      <c r="H252" s="105">
        <f t="shared" si="55"/>
        <v>570.24</v>
      </c>
      <c r="I252" s="105">
        <f t="shared" si="55"/>
        <v>570.24</v>
      </c>
      <c r="J252" s="105">
        <f t="shared" si="55"/>
        <v>570.24</v>
      </c>
      <c r="K252" s="105">
        <f t="shared" si="55"/>
        <v>570.24</v>
      </c>
      <c r="L252" s="105">
        <f t="shared" si="55"/>
        <v>570.24</v>
      </c>
      <c r="M252" s="105">
        <f t="shared" si="55"/>
        <v>570.24</v>
      </c>
      <c r="N252" s="105">
        <f t="shared" si="55"/>
        <v>570.24</v>
      </c>
      <c r="O252" s="105">
        <f t="shared" si="55"/>
        <v>570.24</v>
      </c>
      <c r="P252" s="106">
        <f t="shared" si="55"/>
        <v>570.24</v>
      </c>
      <c r="Q252" s="456">
        <f t="shared" si="53"/>
        <v>6842.8799999999983</v>
      </c>
      <c r="R252" s="456"/>
      <c r="S252" s="391"/>
      <c r="T252" s="388"/>
    </row>
    <row r="253" spans="1:20" x14ac:dyDescent="0.35">
      <c r="A253" s="534" t="str">
        <f t="shared" si="51"/>
        <v>Management Fee</v>
      </c>
      <c r="D253" s="104" t="s">
        <v>113</v>
      </c>
      <c r="E253" s="105">
        <f t="shared" si="56"/>
        <v>4945</v>
      </c>
      <c r="F253" s="105">
        <f t="shared" si="55"/>
        <v>4904</v>
      </c>
      <c r="G253" s="105">
        <f t="shared" si="55"/>
        <v>4905</v>
      </c>
      <c r="H253" s="105">
        <f t="shared" si="55"/>
        <v>4912</v>
      </c>
      <c r="I253" s="105">
        <f t="shared" si="55"/>
        <v>4991</v>
      </c>
      <c r="J253" s="105">
        <f t="shared" si="55"/>
        <v>5065</v>
      </c>
      <c r="K253" s="105">
        <f t="shared" si="55"/>
        <v>4858</v>
      </c>
      <c r="L253" s="105">
        <f t="shared" si="55"/>
        <v>4830</v>
      </c>
      <c r="M253" s="105">
        <f t="shared" si="55"/>
        <v>4766</v>
      </c>
      <c r="N253" s="105">
        <f t="shared" si="55"/>
        <v>4741</v>
      </c>
      <c r="O253" s="105">
        <f t="shared" si="55"/>
        <v>4527</v>
      </c>
      <c r="P253" s="106">
        <f t="shared" si="55"/>
        <v>4441</v>
      </c>
      <c r="Q253" s="456">
        <f t="shared" si="53"/>
        <v>57885</v>
      </c>
      <c r="R253" s="456"/>
      <c r="S253" s="391"/>
      <c r="T253" s="388"/>
    </row>
    <row r="254" spans="1:20" x14ac:dyDescent="0.35">
      <c r="A254" s="534" t="str">
        <f t="shared" si="51"/>
        <v>Trash Removal</v>
      </c>
      <c r="D254" s="104" t="s">
        <v>114</v>
      </c>
      <c r="E254" s="105">
        <f t="shared" si="56"/>
        <v>1648</v>
      </c>
      <c r="F254" s="105">
        <f t="shared" si="55"/>
        <v>1648</v>
      </c>
      <c r="G254" s="105">
        <f t="shared" si="55"/>
        <v>1648</v>
      </c>
      <c r="H254" s="105">
        <f t="shared" si="55"/>
        <v>1648</v>
      </c>
      <c r="I254" s="105">
        <f t="shared" si="55"/>
        <v>1648</v>
      </c>
      <c r="J254" s="105">
        <f t="shared" si="55"/>
        <v>2248</v>
      </c>
      <c r="K254" s="105">
        <f t="shared" si="55"/>
        <v>1648</v>
      </c>
      <c r="L254" s="105">
        <f t="shared" si="55"/>
        <v>1648</v>
      </c>
      <c r="M254" s="105">
        <f t="shared" si="55"/>
        <v>1648</v>
      </c>
      <c r="N254" s="105">
        <f t="shared" si="55"/>
        <v>2248</v>
      </c>
      <c r="O254" s="105">
        <f t="shared" si="55"/>
        <v>1648</v>
      </c>
      <c r="P254" s="106">
        <f t="shared" si="55"/>
        <v>2248</v>
      </c>
      <c r="Q254" s="456">
        <f t="shared" si="53"/>
        <v>21576</v>
      </c>
      <c r="R254" s="456"/>
      <c r="S254" s="391"/>
      <c r="T254" s="388"/>
    </row>
    <row r="255" spans="1:20" x14ac:dyDescent="0.35">
      <c r="A255" s="534" t="str">
        <f t="shared" si="51"/>
        <v>Real Estate Taxes</v>
      </c>
      <c r="D255" s="104" t="s">
        <v>115</v>
      </c>
      <c r="E255" s="105">
        <f t="shared" si="56"/>
        <v>9151.1392376250005</v>
      </c>
      <c r="F255" s="105">
        <f t="shared" si="55"/>
        <v>9151.1392376250005</v>
      </c>
      <c r="G255" s="105">
        <f t="shared" si="55"/>
        <v>9151.1392376250005</v>
      </c>
      <c r="H255" s="105">
        <f t="shared" si="55"/>
        <v>9151.1392376250005</v>
      </c>
      <c r="I255" s="105">
        <f t="shared" si="55"/>
        <v>9151.1392376250005</v>
      </c>
      <c r="J255" s="105">
        <f t="shared" si="55"/>
        <v>9151.1392376250005</v>
      </c>
      <c r="K255" s="105">
        <f t="shared" si="55"/>
        <v>9151.1392376250005</v>
      </c>
      <c r="L255" s="105">
        <f t="shared" si="55"/>
        <v>9151.1392376250005</v>
      </c>
      <c r="M255" s="105">
        <f t="shared" si="55"/>
        <v>9151.1392376250005</v>
      </c>
      <c r="N255" s="105">
        <f t="shared" si="55"/>
        <v>9151.1392376250005</v>
      </c>
      <c r="O255" s="105">
        <f t="shared" si="55"/>
        <v>9151.1392376250005</v>
      </c>
      <c r="P255" s="106">
        <f t="shared" si="55"/>
        <v>9151.1392376250005</v>
      </c>
      <c r="Q255" s="456">
        <f t="shared" si="53"/>
        <v>109813.67085150001</v>
      </c>
      <c r="R255" s="456"/>
      <c r="S255" s="391"/>
      <c r="T255" s="388"/>
    </row>
    <row r="256" spans="1:20" x14ac:dyDescent="0.35">
      <c r="A256" s="534" t="str">
        <f t="shared" si="51"/>
        <v>Insurance</v>
      </c>
      <c r="D256" s="104" t="s">
        <v>116</v>
      </c>
      <c r="E256" s="105">
        <f t="shared" si="56"/>
        <v>5075</v>
      </c>
      <c r="F256" s="105">
        <f t="shared" si="55"/>
        <v>5075</v>
      </c>
      <c r="G256" s="105">
        <f t="shared" si="55"/>
        <v>5075</v>
      </c>
      <c r="H256" s="105">
        <f t="shared" si="55"/>
        <v>5075</v>
      </c>
      <c r="I256" s="105">
        <f t="shared" si="55"/>
        <v>5075</v>
      </c>
      <c r="J256" s="105">
        <f t="shared" si="55"/>
        <v>5075</v>
      </c>
      <c r="K256" s="105">
        <f t="shared" si="55"/>
        <v>5075</v>
      </c>
      <c r="L256" s="105">
        <f t="shared" si="55"/>
        <v>5075</v>
      </c>
      <c r="M256" s="105">
        <f t="shared" si="55"/>
        <v>5075</v>
      </c>
      <c r="N256" s="105">
        <f t="shared" si="55"/>
        <v>5075</v>
      </c>
      <c r="O256" s="105">
        <f t="shared" si="55"/>
        <v>5176.5</v>
      </c>
      <c r="P256" s="106">
        <f t="shared" si="55"/>
        <v>5176.5</v>
      </c>
      <c r="Q256" s="456">
        <f t="shared" si="53"/>
        <v>61103</v>
      </c>
      <c r="R256" s="456"/>
      <c r="S256" s="391"/>
      <c r="T256" s="388"/>
    </row>
    <row r="257" spans="1:20" x14ac:dyDescent="0.35">
      <c r="A257" s="534" t="str">
        <f t="shared" si="51"/>
        <v>Cleaning &amp; Supplies</v>
      </c>
      <c r="D257" s="104" t="s">
        <v>117</v>
      </c>
      <c r="E257" s="105">
        <f t="shared" si="56"/>
        <v>11197.808759485868</v>
      </c>
      <c r="F257" s="105">
        <f t="shared" si="55"/>
        <v>11197.808759485868</v>
      </c>
      <c r="G257" s="105">
        <f t="shared" si="55"/>
        <v>11197.808759485868</v>
      </c>
      <c r="H257" s="105">
        <f t="shared" si="55"/>
        <v>11197.808759485868</v>
      </c>
      <c r="I257" s="105">
        <f t="shared" si="55"/>
        <v>11197.808759485868</v>
      </c>
      <c r="J257" s="105">
        <f t="shared" si="55"/>
        <v>11197.808759485868</v>
      </c>
      <c r="K257" s="105">
        <f t="shared" si="55"/>
        <v>10628.986742729867</v>
      </c>
      <c r="L257" s="105">
        <f t="shared" si="55"/>
        <v>10628.986742729867</v>
      </c>
      <c r="M257" s="105">
        <f t="shared" si="55"/>
        <v>10628.986742729867</v>
      </c>
      <c r="N257" s="105">
        <f t="shared" si="55"/>
        <v>10628.986742729867</v>
      </c>
      <c r="O257" s="105">
        <f t="shared" si="55"/>
        <v>10407.934622356868</v>
      </c>
      <c r="P257" s="106">
        <f t="shared" si="55"/>
        <v>10085.508281175869</v>
      </c>
      <c r="Q257" s="456">
        <f t="shared" si="53"/>
        <v>130196.24243136743</v>
      </c>
      <c r="R257" s="456"/>
      <c r="S257" s="391"/>
      <c r="T257" s="388"/>
    </row>
    <row r="258" spans="1:20" x14ac:dyDescent="0.35">
      <c r="A258" s="534" t="str">
        <f>VLOOKUP($D258,$A$10:$D$130,4,FALSE)</f>
        <v>Salaries &amp; Wages</v>
      </c>
      <c r="D258" s="104" t="s">
        <v>118</v>
      </c>
      <c r="E258" s="105">
        <f t="shared" si="56"/>
        <v>2734.6443900515537</v>
      </c>
      <c r="F258" s="105">
        <f t="shared" si="55"/>
        <v>2734.6443900515537</v>
      </c>
      <c r="G258" s="105">
        <f t="shared" si="55"/>
        <v>2734.6443900515537</v>
      </c>
      <c r="H258" s="105">
        <f t="shared" si="55"/>
        <v>2734.6443900515537</v>
      </c>
      <c r="I258" s="105">
        <f t="shared" si="55"/>
        <v>2734.6443900515537</v>
      </c>
      <c r="J258" s="105">
        <f t="shared" si="55"/>
        <v>2734.6443900515537</v>
      </c>
      <c r="K258" s="105">
        <f t="shared" si="55"/>
        <v>2734.6443900515537</v>
      </c>
      <c r="L258" s="105">
        <f t="shared" si="55"/>
        <v>2734.6443900515537</v>
      </c>
      <c r="M258" s="105">
        <f t="shared" si="55"/>
        <v>2734.6443900515537</v>
      </c>
      <c r="N258" s="105">
        <f t="shared" si="55"/>
        <v>2734.6443900515537</v>
      </c>
      <c r="O258" s="105">
        <f t="shared" si="55"/>
        <v>2734.6443900515537</v>
      </c>
      <c r="P258" s="106">
        <f t="shared" si="55"/>
        <v>2734.6443900515537</v>
      </c>
      <c r="Q258" s="456">
        <f t="shared" si="53"/>
        <v>32815.732680618654</v>
      </c>
      <c r="R258" s="456"/>
      <c r="S258" s="391"/>
      <c r="T258" s="388"/>
    </row>
    <row r="259" spans="1:20" x14ac:dyDescent="0.35">
      <c r="A259" s="534" t="str">
        <f>VLOOKUP($D259,$A$10:$D$130,4,FALSE)</f>
        <v>Commissions-Internal Broker</v>
      </c>
      <c r="D259" s="104" t="s">
        <v>119</v>
      </c>
      <c r="E259" s="105">
        <f t="shared" si="56"/>
        <v>1728.5101393101193</v>
      </c>
      <c r="F259" s="105">
        <f t="shared" si="55"/>
        <v>0</v>
      </c>
      <c r="G259" s="105">
        <f t="shared" si="55"/>
        <v>0</v>
      </c>
      <c r="H259" s="105">
        <f t="shared" si="55"/>
        <v>1728.5101393101193</v>
      </c>
      <c r="I259" s="105">
        <f t="shared" si="55"/>
        <v>0</v>
      </c>
      <c r="J259" s="105">
        <f t="shared" si="55"/>
        <v>0</v>
      </c>
      <c r="K259" s="105">
        <f t="shared" si="55"/>
        <v>1728.5101393101193</v>
      </c>
      <c r="L259" s="105">
        <f t="shared" si="55"/>
        <v>0</v>
      </c>
      <c r="M259" s="105">
        <f t="shared" si="55"/>
        <v>0</v>
      </c>
      <c r="N259" s="105">
        <f t="shared" si="55"/>
        <v>1728.5101393101193</v>
      </c>
      <c r="O259" s="105">
        <f t="shared" si="55"/>
        <v>0</v>
      </c>
      <c r="P259" s="106">
        <f t="shared" si="55"/>
        <v>0</v>
      </c>
      <c r="Q259" s="456">
        <f t="shared" si="53"/>
        <v>6914.040557240477</v>
      </c>
      <c r="R259" s="456"/>
      <c r="S259" s="391"/>
      <c r="T259" s="388"/>
    </row>
    <row r="260" spans="1:20" x14ac:dyDescent="0.35">
      <c r="A260" s="534" t="str">
        <f>VLOOKUP($D260,$A$10:$D$130,3,FALSE)</f>
        <v>Building Maintenance</v>
      </c>
      <c r="D260" s="104" t="s">
        <v>120</v>
      </c>
      <c r="E260" s="105">
        <f t="shared" si="56"/>
        <v>1107.25</v>
      </c>
      <c r="F260" s="105">
        <f t="shared" si="55"/>
        <v>1107.25</v>
      </c>
      <c r="G260" s="105">
        <f t="shared" si="55"/>
        <v>1107.25</v>
      </c>
      <c r="H260" s="105">
        <f t="shared" si="55"/>
        <v>1107.25</v>
      </c>
      <c r="I260" s="105">
        <f t="shared" si="55"/>
        <v>1107.25</v>
      </c>
      <c r="J260" s="105">
        <f t="shared" si="55"/>
        <v>1107.25</v>
      </c>
      <c r="K260" s="105">
        <f t="shared" si="55"/>
        <v>1107.25</v>
      </c>
      <c r="L260" s="105">
        <f t="shared" si="55"/>
        <v>1107.25</v>
      </c>
      <c r="M260" s="105">
        <f t="shared" si="55"/>
        <v>1107.25</v>
      </c>
      <c r="N260" s="105">
        <f t="shared" si="55"/>
        <v>1107.25</v>
      </c>
      <c r="O260" s="105">
        <f t="shared" si="55"/>
        <v>1107.25</v>
      </c>
      <c r="P260" s="106">
        <f t="shared" si="55"/>
        <v>1107.25</v>
      </c>
      <c r="Q260" s="456">
        <f t="shared" si="53"/>
        <v>13287</v>
      </c>
      <c r="R260" s="456"/>
      <c r="S260" s="391"/>
      <c r="T260" s="388"/>
    </row>
    <row r="261" spans="1:20" x14ac:dyDescent="0.35">
      <c r="A261" s="534" t="str">
        <f>VLOOKUP($D261,$A$10:$D$130,3,FALSE)</f>
        <v>Marketing</v>
      </c>
      <c r="D261" s="104" t="s">
        <v>121</v>
      </c>
      <c r="E261" s="105">
        <f t="shared" si="56"/>
        <v>1049.0569006959213</v>
      </c>
      <c r="F261" s="105">
        <f t="shared" si="56"/>
        <v>1049.0569006959213</v>
      </c>
      <c r="G261" s="105">
        <f t="shared" si="56"/>
        <v>1049.0569006959213</v>
      </c>
      <c r="H261" s="105">
        <f t="shared" si="56"/>
        <v>1049.0569006959213</v>
      </c>
      <c r="I261" s="105">
        <f t="shared" si="56"/>
        <v>1049.0569006959213</v>
      </c>
      <c r="J261" s="105">
        <f t="shared" si="56"/>
        <v>1049.0569006959213</v>
      </c>
      <c r="K261" s="105">
        <f t="shared" si="56"/>
        <v>1049.0569006959213</v>
      </c>
      <c r="L261" s="105">
        <f t="shared" si="56"/>
        <v>1049.0569006959213</v>
      </c>
      <c r="M261" s="105">
        <f t="shared" si="56"/>
        <v>1049.0569006959213</v>
      </c>
      <c r="N261" s="105">
        <f t="shared" si="56"/>
        <v>1049.0569006959213</v>
      </c>
      <c r="O261" s="105">
        <f t="shared" si="56"/>
        <v>1049.0569006959213</v>
      </c>
      <c r="P261" s="106">
        <f t="shared" si="56"/>
        <v>1049.0569006959213</v>
      </c>
      <c r="Q261" s="456">
        <f t="shared" si="53"/>
        <v>12588.682808351055</v>
      </c>
      <c r="R261" s="456"/>
      <c r="S261" s="391"/>
      <c r="T261" s="388"/>
    </row>
    <row r="262" spans="1:20" x14ac:dyDescent="0.35">
      <c r="A262" s="534" t="str">
        <f>VLOOKUP($D262,$A$10:$D$130,3,FALSE)</f>
        <v>Business Taxes</v>
      </c>
      <c r="D262" s="104" t="s">
        <v>122</v>
      </c>
      <c r="E262" s="105">
        <f t="shared" ref="E262:P273" si="57">VLOOKUP($D262,$A$10:$P$132,E$238,FALSE)</f>
        <v>0</v>
      </c>
      <c r="F262" s="105">
        <f t="shared" si="57"/>
        <v>0</v>
      </c>
      <c r="G262" s="105">
        <f t="shared" si="57"/>
        <v>0</v>
      </c>
      <c r="H262" s="105">
        <f t="shared" si="57"/>
        <v>3419.4117396547813</v>
      </c>
      <c r="I262" s="105">
        <f t="shared" si="57"/>
        <v>0</v>
      </c>
      <c r="J262" s="105">
        <f t="shared" si="57"/>
        <v>0</v>
      </c>
      <c r="K262" s="105">
        <f t="shared" si="57"/>
        <v>0</v>
      </c>
      <c r="L262" s="105">
        <f t="shared" si="57"/>
        <v>0</v>
      </c>
      <c r="M262" s="105">
        <f t="shared" si="57"/>
        <v>0</v>
      </c>
      <c r="N262" s="105">
        <f t="shared" si="57"/>
        <v>0</v>
      </c>
      <c r="O262" s="105">
        <f t="shared" si="57"/>
        <v>0</v>
      </c>
      <c r="P262" s="106">
        <f t="shared" si="57"/>
        <v>0</v>
      </c>
      <c r="Q262" s="456">
        <f t="shared" si="53"/>
        <v>3419.4117396547813</v>
      </c>
      <c r="R262" s="456"/>
      <c r="S262" s="391"/>
      <c r="T262" s="388"/>
    </row>
    <row r="263" spans="1:20" x14ac:dyDescent="0.35">
      <c r="A263" s="534" t="str">
        <f t="shared" si="51"/>
        <v>Legal &amp; Accounting</v>
      </c>
      <c r="D263" s="104" t="s">
        <v>123</v>
      </c>
      <c r="E263" s="105">
        <f t="shared" si="57"/>
        <v>958.74464006309006</v>
      </c>
      <c r="F263" s="105">
        <f t="shared" si="57"/>
        <v>958.74464006309006</v>
      </c>
      <c r="G263" s="105">
        <f t="shared" si="57"/>
        <v>958.74464006309006</v>
      </c>
      <c r="H263" s="105">
        <f t="shared" si="57"/>
        <v>958.74464006309006</v>
      </c>
      <c r="I263" s="105">
        <f t="shared" si="57"/>
        <v>958.74464006309006</v>
      </c>
      <c r="J263" s="105">
        <f t="shared" si="57"/>
        <v>958.74464006309006</v>
      </c>
      <c r="K263" s="105">
        <f t="shared" si="57"/>
        <v>958.74464006309006</v>
      </c>
      <c r="L263" s="105">
        <f t="shared" si="57"/>
        <v>958.74464006309006</v>
      </c>
      <c r="M263" s="105">
        <f t="shared" si="57"/>
        <v>958.74464006309006</v>
      </c>
      <c r="N263" s="105">
        <f t="shared" si="57"/>
        <v>958.74464006309006</v>
      </c>
      <c r="O263" s="105">
        <f t="shared" si="57"/>
        <v>958.74464006309006</v>
      </c>
      <c r="P263" s="106">
        <f t="shared" si="57"/>
        <v>958.74464006309006</v>
      </c>
      <c r="Q263" s="456">
        <f t="shared" si="53"/>
        <v>11504.935680757082</v>
      </c>
      <c r="R263" s="456"/>
      <c r="S263" s="391"/>
      <c r="T263" s="388"/>
    </row>
    <row r="264" spans="1:20" x14ac:dyDescent="0.35">
      <c r="A264" s="534" t="str">
        <f>VLOOKUP($D264,$A$10:$D$130,4,FALSE)</f>
        <v>Bank Fees</v>
      </c>
      <c r="D264" s="104" t="s">
        <v>130</v>
      </c>
      <c r="E264" s="105">
        <f t="shared" si="57"/>
        <v>43.352600581402662</v>
      </c>
      <c r="F264" s="105">
        <f t="shared" si="57"/>
        <v>43.352600581402662</v>
      </c>
      <c r="G264" s="105">
        <f t="shared" si="57"/>
        <v>43.352600581402662</v>
      </c>
      <c r="H264" s="105">
        <f t="shared" si="57"/>
        <v>43.352600581402662</v>
      </c>
      <c r="I264" s="105">
        <f t="shared" si="57"/>
        <v>43.352600581402662</v>
      </c>
      <c r="J264" s="105">
        <f t="shared" si="57"/>
        <v>43.352600581402662</v>
      </c>
      <c r="K264" s="105">
        <f t="shared" si="57"/>
        <v>43.352600581402662</v>
      </c>
      <c r="L264" s="105">
        <f t="shared" si="57"/>
        <v>43.352600581402662</v>
      </c>
      <c r="M264" s="105">
        <f t="shared" si="57"/>
        <v>43.352600581402662</v>
      </c>
      <c r="N264" s="105">
        <f t="shared" si="57"/>
        <v>43.352600581402662</v>
      </c>
      <c r="O264" s="105">
        <f t="shared" si="57"/>
        <v>43.352600581402662</v>
      </c>
      <c r="P264" s="106">
        <f t="shared" si="57"/>
        <v>43.352600581402662</v>
      </c>
      <c r="Q264" s="456">
        <f t="shared" si="53"/>
        <v>520.23120697683191</v>
      </c>
      <c r="R264" s="456"/>
      <c r="S264" s="391"/>
      <c r="T264" s="388"/>
    </row>
    <row r="265" spans="1:20" x14ac:dyDescent="0.35">
      <c r="A265" s="534" t="str">
        <f>VLOOKUP($D265,$A$10:$D$130,4,FALSE)</f>
        <v>Other G&amp;A Expense</v>
      </c>
      <c r="D265" s="104" t="s">
        <v>131</v>
      </c>
      <c r="E265" s="105">
        <f t="shared" si="57"/>
        <v>41.954129594905801</v>
      </c>
      <c r="F265" s="105">
        <f t="shared" si="57"/>
        <v>41.954129594905801</v>
      </c>
      <c r="G265" s="105">
        <f t="shared" si="57"/>
        <v>41.954129594905801</v>
      </c>
      <c r="H265" s="105">
        <f t="shared" si="57"/>
        <v>41.954129594905801</v>
      </c>
      <c r="I265" s="105">
        <f t="shared" si="57"/>
        <v>41.954129594905801</v>
      </c>
      <c r="J265" s="105">
        <f t="shared" si="57"/>
        <v>41.954129594905801</v>
      </c>
      <c r="K265" s="105">
        <f t="shared" si="57"/>
        <v>41.954129594905801</v>
      </c>
      <c r="L265" s="105">
        <f t="shared" si="57"/>
        <v>41.954129594905801</v>
      </c>
      <c r="M265" s="105">
        <f t="shared" si="57"/>
        <v>41.954129594905801</v>
      </c>
      <c r="N265" s="105">
        <f t="shared" si="57"/>
        <v>41.954129594905801</v>
      </c>
      <c r="O265" s="105">
        <f t="shared" si="57"/>
        <v>41.954129594905801</v>
      </c>
      <c r="P265" s="106">
        <f t="shared" si="57"/>
        <v>41.954129594905801</v>
      </c>
      <c r="Q265" s="456">
        <f t="shared" si="53"/>
        <v>503.44955513886958</v>
      </c>
      <c r="R265" s="456"/>
      <c r="S265" s="391"/>
      <c r="T265" s="388"/>
    </row>
    <row r="266" spans="1:20" x14ac:dyDescent="0.35">
      <c r="A266" s="534" t="str">
        <f>VLOOKUP($D266,$A$10:$D$130,4,FALSE)</f>
        <v>Other G&amp;A-allocated from LIK</v>
      </c>
      <c r="D266" s="104" t="s">
        <v>124</v>
      </c>
      <c r="E266" s="105">
        <f t="shared" si="57"/>
        <v>1470</v>
      </c>
      <c r="F266" s="105">
        <f t="shared" si="57"/>
        <v>1470</v>
      </c>
      <c r="G266" s="105">
        <f t="shared" si="57"/>
        <v>1470</v>
      </c>
      <c r="H266" s="105">
        <f t="shared" si="57"/>
        <v>1470</v>
      </c>
      <c r="I266" s="105">
        <f t="shared" si="57"/>
        <v>1470</v>
      </c>
      <c r="J266" s="105">
        <f t="shared" si="57"/>
        <v>1470</v>
      </c>
      <c r="K266" s="105">
        <f t="shared" si="57"/>
        <v>1470</v>
      </c>
      <c r="L266" s="105">
        <f t="shared" si="57"/>
        <v>1470</v>
      </c>
      <c r="M266" s="105">
        <f t="shared" si="57"/>
        <v>1470</v>
      </c>
      <c r="N266" s="105">
        <f t="shared" si="57"/>
        <v>1470</v>
      </c>
      <c r="O266" s="105">
        <f t="shared" si="57"/>
        <v>1470</v>
      </c>
      <c r="P266" s="106">
        <f t="shared" si="57"/>
        <v>1470</v>
      </c>
      <c r="Q266" s="456">
        <f t="shared" si="53"/>
        <v>17640</v>
      </c>
      <c r="R266" s="456"/>
      <c r="S266" s="391"/>
      <c r="T266" s="388"/>
    </row>
    <row r="267" spans="1:20" x14ac:dyDescent="0.35">
      <c r="A267" s="534" t="str">
        <f>VLOOKUP($D267,$A$10:$D$130,4,FALSE)</f>
        <v>Land Improvements</v>
      </c>
      <c r="D267" s="104" t="s">
        <v>125</v>
      </c>
      <c r="E267" s="105">
        <f t="shared" si="57"/>
        <v>0</v>
      </c>
      <c r="F267" s="105">
        <f t="shared" si="57"/>
        <v>0</v>
      </c>
      <c r="G267" s="105">
        <f t="shared" si="57"/>
        <v>0</v>
      </c>
      <c r="H267" s="105">
        <f t="shared" si="57"/>
        <v>0</v>
      </c>
      <c r="I267" s="105">
        <f t="shared" si="57"/>
        <v>0</v>
      </c>
      <c r="J267" s="105">
        <f t="shared" si="57"/>
        <v>0</v>
      </c>
      <c r="K267" s="105">
        <f t="shared" si="57"/>
        <v>0</v>
      </c>
      <c r="L267" s="105">
        <f t="shared" si="57"/>
        <v>0</v>
      </c>
      <c r="M267" s="105">
        <f t="shared" si="57"/>
        <v>0</v>
      </c>
      <c r="N267" s="105">
        <f t="shared" si="57"/>
        <v>0</v>
      </c>
      <c r="O267" s="105">
        <f t="shared" si="57"/>
        <v>0</v>
      </c>
      <c r="P267" s="106">
        <f t="shared" si="57"/>
        <v>0</v>
      </c>
      <c r="Q267" s="456">
        <f t="shared" si="53"/>
        <v>0</v>
      </c>
      <c r="R267" s="456"/>
      <c r="S267" s="391"/>
      <c r="T267" s="388"/>
    </row>
    <row r="268" spans="1:20" x14ac:dyDescent="0.35">
      <c r="A268" s="534" t="str">
        <f t="shared" ref="A268:A269" si="58">VLOOKUP($D268,$A$10:$D$130,4,FALSE)</f>
        <v>Buildings</v>
      </c>
      <c r="D268" s="104" t="s">
        <v>126</v>
      </c>
      <c r="E268" s="105">
        <f t="shared" si="57"/>
        <v>0</v>
      </c>
      <c r="F268" s="105">
        <f t="shared" si="57"/>
        <v>0</v>
      </c>
      <c r="G268" s="105">
        <f t="shared" si="57"/>
        <v>0</v>
      </c>
      <c r="H268" s="105">
        <f t="shared" si="57"/>
        <v>0</v>
      </c>
      <c r="I268" s="105">
        <f t="shared" si="57"/>
        <v>0</v>
      </c>
      <c r="J268" s="105">
        <f t="shared" si="57"/>
        <v>0</v>
      </c>
      <c r="K268" s="105">
        <f t="shared" si="57"/>
        <v>0</v>
      </c>
      <c r="L268" s="105">
        <f t="shared" si="57"/>
        <v>0</v>
      </c>
      <c r="M268" s="105">
        <f t="shared" si="57"/>
        <v>0</v>
      </c>
      <c r="N268" s="105">
        <f t="shared" si="57"/>
        <v>0</v>
      </c>
      <c r="O268" s="105">
        <f t="shared" si="57"/>
        <v>0</v>
      </c>
      <c r="P268" s="106">
        <f t="shared" si="57"/>
        <v>0</v>
      </c>
      <c r="Q268" s="456">
        <f t="shared" si="53"/>
        <v>0</v>
      </c>
      <c r="R268" s="456"/>
      <c r="S268" s="391"/>
      <c r="T268" s="388"/>
    </row>
    <row r="269" spans="1:20" x14ac:dyDescent="0.35">
      <c r="A269" s="534" t="str">
        <f t="shared" si="58"/>
        <v>Equipment</v>
      </c>
      <c r="D269" s="104" t="s">
        <v>127</v>
      </c>
      <c r="E269" s="105">
        <f t="shared" si="57"/>
        <v>0</v>
      </c>
      <c r="F269" s="105">
        <f t="shared" si="57"/>
        <v>0</v>
      </c>
      <c r="G269" s="105">
        <f t="shared" si="57"/>
        <v>0</v>
      </c>
      <c r="H269" s="105">
        <f t="shared" si="57"/>
        <v>0</v>
      </c>
      <c r="I269" s="105">
        <f t="shared" si="57"/>
        <v>0</v>
      </c>
      <c r="J269" s="105">
        <f t="shared" si="57"/>
        <v>0</v>
      </c>
      <c r="K269" s="105">
        <f t="shared" si="57"/>
        <v>0</v>
      </c>
      <c r="L269" s="105">
        <f t="shared" si="57"/>
        <v>0</v>
      </c>
      <c r="M269" s="105">
        <f t="shared" si="57"/>
        <v>0</v>
      </c>
      <c r="N269" s="105">
        <f t="shared" si="57"/>
        <v>0</v>
      </c>
      <c r="O269" s="105">
        <f t="shared" si="57"/>
        <v>0</v>
      </c>
      <c r="P269" s="106">
        <f t="shared" si="57"/>
        <v>0</v>
      </c>
      <c r="Q269" s="456">
        <f t="shared" si="53"/>
        <v>0</v>
      </c>
      <c r="R269" s="456"/>
      <c r="S269" s="391"/>
      <c r="T269" s="388"/>
    </row>
    <row r="270" spans="1:20" x14ac:dyDescent="0.35">
      <c r="A270" s="534" t="str">
        <f>VLOOKUP($D270,$A$10:$D$130,3,FALSE)</f>
        <v>Tenant Improvements</v>
      </c>
      <c r="D270" s="104" t="s">
        <v>128</v>
      </c>
      <c r="E270" s="105">
        <f t="shared" si="57"/>
        <v>0</v>
      </c>
      <c r="F270" s="105">
        <f t="shared" si="57"/>
        <v>0</v>
      </c>
      <c r="G270" s="105">
        <f t="shared" si="57"/>
        <v>0</v>
      </c>
      <c r="H270" s="105">
        <f t="shared" si="57"/>
        <v>0</v>
      </c>
      <c r="I270" s="105">
        <f t="shared" si="57"/>
        <v>0</v>
      </c>
      <c r="J270" s="105">
        <f t="shared" si="57"/>
        <v>0</v>
      </c>
      <c r="K270" s="105">
        <f t="shared" si="57"/>
        <v>0</v>
      </c>
      <c r="L270" s="105">
        <f t="shared" si="57"/>
        <v>3294</v>
      </c>
      <c r="M270" s="105">
        <f t="shared" si="57"/>
        <v>0</v>
      </c>
      <c r="N270" s="105">
        <f t="shared" si="57"/>
        <v>0</v>
      </c>
      <c r="O270" s="105">
        <f t="shared" si="57"/>
        <v>0</v>
      </c>
      <c r="P270" s="106">
        <f t="shared" si="57"/>
        <v>0</v>
      </c>
      <c r="Q270" s="456">
        <f t="shared" si="53"/>
        <v>3294</v>
      </c>
      <c r="R270" s="456"/>
      <c r="S270" s="391"/>
      <c r="T270" s="388"/>
    </row>
    <row r="271" spans="1:20" x14ac:dyDescent="0.35">
      <c r="A271" s="534" t="str">
        <f>VLOOKUP($D271,$A$10:$D$130,3,FALSE)</f>
        <v>Outside Leasing Commissions</v>
      </c>
      <c r="D271" s="104" t="s">
        <v>129</v>
      </c>
      <c r="E271" s="105">
        <f t="shared" si="57"/>
        <v>50687.250000000007</v>
      </c>
      <c r="F271" s="105">
        <f t="shared" si="57"/>
        <v>0</v>
      </c>
      <c r="G271" s="105">
        <f t="shared" si="57"/>
        <v>0</v>
      </c>
      <c r="H271" s="105">
        <f t="shared" si="57"/>
        <v>2160.1799999999998</v>
      </c>
      <c r="I271" s="105">
        <f t="shared" si="57"/>
        <v>0</v>
      </c>
      <c r="J271" s="105">
        <f t="shared" si="57"/>
        <v>0</v>
      </c>
      <c r="K271" s="105">
        <f t="shared" si="57"/>
        <v>5266.3499999999995</v>
      </c>
      <c r="L271" s="105">
        <f t="shared" si="57"/>
        <v>0</v>
      </c>
      <c r="M271" s="105">
        <f t="shared" si="57"/>
        <v>0</v>
      </c>
      <c r="N271" s="105">
        <f t="shared" si="57"/>
        <v>0</v>
      </c>
      <c r="O271" s="105">
        <f t="shared" si="57"/>
        <v>0</v>
      </c>
      <c r="P271" s="106">
        <f t="shared" si="57"/>
        <v>0</v>
      </c>
      <c r="Q271" s="456">
        <f t="shared" si="53"/>
        <v>58113.780000000006</v>
      </c>
      <c r="R271" s="456"/>
      <c r="S271" s="391"/>
      <c r="T271" s="388"/>
    </row>
    <row r="272" spans="1:20" x14ac:dyDescent="0.35">
      <c r="A272" s="534" t="str">
        <f>VLOOKUP($D272,$A$10:$D$130,3,FALSE)</f>
        <v>Interest</v>
      </c>
      <c r="D272" s="104" t="s">
        <v>132</v>
      </c>
      <c r="E272" s="105">
        <f t="shared" si="57"/>
        <v>25269.691856587342</v>
      </c>
      <c r="F272" s="105">
        <f t="shared" si="57"/>
        <v>25269.691856587342</v>
      </c>
      <c r="G272" s="105">
        <f t="shared" si="57"/>
        <v>25269.691856587342</v>
      </c>
      <c r="H272" s="105">
        <f t="shared" si="57"/>
        <v>25269.691856587342</v>
      </c>
      <c r="I272" s="105">
        <f t="shared" si="57"/>
        <v>25269.691856587342</v>
      </c>
      <c r="J272" s="105">
        <f t="shared" si="57"/>
        <v>25269.691856587342</v>
      </c>
      <c r="K272" s="105">
        <f t="shared" si="57"/>
        <v>25269.691856587342</v>
      </c>
      <c r="L272" s="105">
        <f t="shared" si="57"/>
        <v>25269.691856587342</v>
      </c>
      <c r="M272" s="105">
        <f t="shared" si="57"/>
        <v>25269.691856587342</v>
      </c>
      <c r="N272" s="105">
        <f t="shared" si="57"/>
        <v>25269.691856587342</v>
      </c>
      <c r="O272" s="105">
        <f t="shared" si="57"/>
        <v>25269.691856587342</v>
      </c>
      <c r="P272" s="106">
        <f t="shared" si="57"/>
        <v>25269.691856587342</v>
      </c>
      <c r="Q272" s="456">
        <f t="shared" si="53"/>
        <v>303236.30227904808</v>
      </c>
      <c r="R272" s="456"/>
      <c r="S272" s="391"/>
      <c r="T272" s="388"/>
    </row>
    <row r="273" spans="1:21" ht="16.5" thickBot="1" x14ac:dyDescent="0.4">
      <c r="A273" s="534" t="str">
        <f>VLOOKUP($D273,$A$10:$D$130,3,FALSE)</f>
        <v>Mortgage Amortization</v>
      </c>
      <c r="D273" s="107" t="s">
        <v>149</v>
      </c>
      <c r="E273" s="108">
        <f t="shared" si="57"/>
        <v>0</v>
      </c>
      <c r="F273" s="108">
        <f t="shared" si="57"/>
        <v>0</v>
      </c>
      <c r="G273" s="108">
        <f t="shared" si="57"/>
        <v>0</v>
      </c>
      <c r="H273" s="108">
        <f t="shared" si="57"/>
        <v>0</v>
      </c>
      <c r="I273" s="108">
        <f t="shared" si="57"/>
        <v>0</v>
      </c>
      <c r="J273" s="108">
        <f t="shared" si="57"/>
        <v>0</v>
      </c>
      <c r="K273" s="108">
        <f t="shared" si="57"/>
        <v>0</v>
      </c>
      <c r="L273" s="108">
        <f t="shared" si="57"/>
        <v>0</v>
      </c>
      <c r="M273" s="108">
        <f t="shared" si="57"/>
        <v>0</v>
      </c>
      <c r="N273" s="108">
        <f t="shared" si="57"/>
        <v>0</v>
      </c>
      <c r="O273" s="108">
        <f t="shared" si="57"/>
        <v>0</v>
      </c>
      <c r="P273" s="109">
        <f t="shared" si="57"/>
        <v>0</v>
      </c>
      <c r="Q273" s="456">
        <f t="shared" si="53"/>
        <v>0</v>
      </c>
      <c r="R273" s="456"/>
      <c r="S273" s="391"/>
      <c r="T273" s="388"/>
    </row>
    <row r="274" spans="1:21" x14ac:dyDescent="0.35">
      <c r="A274" s="534"/>
      <c r="E274" s="34">
        <f t="shared" ref="E274:Q274" si="59">SUM(E240:E273)</f>
        <v>42719.234170511489</v>
      </c>
      <c r="F274" s="34">
        <f t="shared" si="59"/>
        <v>-8772.7683687986282</v>
      </c>
      <c r="G274" s="34">
        <f t="shared" si="59"/>
        <v>3217.8026710235972</v>
      </c>
      <c r="H274" s="34">
        <f t="shared" si="59"/>
        <v>-234.80371667818326</v>
      </c>
      <c r="I274" s="34">
        <f t="shared" si="59"/>
        <v>-6798.9169956430705</v>
      </c>
      <c r="J274" s="34">
        <f t="shared" si="59"/>
        <v>2418.2158043569325</v>
      </c>
      <c r="K274" s="34">
        <f t="shared" si="59"/>
        <v>19815.416126911041</v>
      </c>
      <c r="L274" s="34">
        <f t="shared" si="59"/>
        <v>6116.495987600927</v>
      </c>
      <c r="M274" s="34">
        <f t="shared" si="59"/>
        <v>17846.274987600918</v>
      </c>
      <c r="N274" s="34">
        <f t="shared" si="59"/>
        <v>5318.6801269110401</v>
      </c>
      <c r="O274" s="34">
        <f t="shared" si="59"/>
        <v>-4015.5180327720773</v>
      </c>
      <c r="P274" s="34">
        <f t="shared" si="59"/>
        <v>1884.5014862246935</v>
      </c>
      <c r="Q274" s="391">
        <f t="shared" si="59"/>
        <v>79514.614247249003</v>
      </c>
      <c r="R274" s="391"/>
      <c r="S274" s="391"/>
      <c r="T274" s="388"/>
    </row>
    <row r="275" spans="1:21" x14ac:dyDescent="0.35">
      <c r="E275" s="62">
        <f>E132+E274</f>
        <v>0</v>
      </c>
      <c r="F275" s="62">
        <f t="shared" ref="F275:Q275" si="60">F132+F274</f>
        <v>0</v>
      </c>
      <c r="G275" s="62">
        <f t="shared" si="60"/>
        <v>3.637978807091713E-12</v>
      </c>
      <c r="H275" s="62">
        <f t="shared" si="60"/>
        <v>3.637978807091713E-12</v>
      </c>
      <c r="I275" s="62">
        <f t="shared" si="60"/>
        <v>7.2759576141834259E-12</v>
      </c>
      <c r="J275" s="62">
        <f t="shared" si="60"/>
        <v>-1.0913936421275139E-11</v>
      </c>
      <c r="K275" s="62">
        <f t="shared" si="60"/>
        <v>0</v>
      </c>
      <c r="L275" s="62">
        <f t="shared" si="60"/>
        <v>1.0913936421275139E-11</v>
      </c>
      <c r="M275" s="62">
        <f t="shared" si="60"/>
        <v>-3.637978807091713E-11</v>
      </c>
      <c r="N275" s="62">
        <f t="shared" si="60"/>
        <v>-1.0913936421275139E-11</v>
      </c>
      <c r="O275" s="62">
        <f t="shared" si="60"/>
        <v>3.637978807091713E-12</v>
      </c>
      <c r="P275" s="62">
        <f t="shared" si="60"/>
        <v>-3.637978807091713E-12</v>
      </c>
      <c r="Q275" s="62">
        <f t="shared" si="60"/>
        <v>5.8207660913467407E-10</v>
      </c>
      <c r="R275" s="391"/>
      <c r="S275" s="391"/>
      <c r="T275" s="388"/>
    </row>
    <row r="276" spans="1:21" hidden="1" x14ac:dyDescent="0.35">
      <c r="R276" s="391"/>
      <c r="S276" s="391"/>
      <c r="T276" s="388"/>
    </row>
    <row r="277" spans="1:21" ht="17.5" hidden="1" x14ac:dyDescent="0.5">
      <c r="D277" s="67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91"/>
      <c r="S277" s="391"/>
      <c r="T277" s="388"/>
      <c r="U277" s="294"/>
    </row>
    <row r="278" spans="1:21" hidden="1" x14ac:dyDescent="0.35"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R278" s="416"/>
      <c r="S278" s="391"/>
      <c r="T278" s="388"/>
      <c r="U278" s="294"/>
    </row>
    <row r="279" spans="1:21" ht="17.5" hidden="1" x14ac:dyDescent="0.5">
      <c r="D279" s="6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R279" s="416"/>
      <c r="S279" s="391"/>
      <c r="T279" s="388"/>
      <c r="U279" s="294"/>
    </row>
    <row r="280" spans="1:21" hidden="1" x14ac:dyDescent="0.35"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R280" s="416"/>
      <c r="S280" s="391"/>
      <c r="T280" s="388"/>
      <c r="U280" s="294"/>
    </row>
    <row r="281" spans="1:21" hidden="1" x14ac:dyDescent="0.35">
      <c r="D281" s="38"/>
      <c r="R281" s="416"/>
      <c r="S281" s="391"/>
      <c r="T281" s="388"/>
      <c r="U281" s="294"/>
    </row>
    <row r="282" spans="1:21" hidden="1" x14ac:dyDescent="0.35">
      <c r="D282" s="38"/>
      <c r="R282" s="416"/>
      <c r="S282" s="391"/>
      <c r="T282" s="388"/>
      <c r="U282" s="294"/>
    </row>
    <row r="283" spans="1:21" hidden="1" x14ac:dyDescent="0.35">
      <c r="D283" s="38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59"/>
      <c r="R283" s="457"/>
      <c r="S283" s="391"/>
      <c r="T283" s="388"/>
      <c r="U283" s="294"/>
    </row>
    <row r="284" spans="1:21" ht="17.5" hidden="1" x14ac:dyDescent="0.5">
      <c r="D284" s="67"/>
      <c r="E284" s="38" t="s">
        <v>0</v>
      </c>
      <c r="F284" s="38" t="s">
        <v>1</v>
      </c>
      <c r="G284" s="38" t="s">
        <v>2</v>
      </c>
      <c r="H284" s="38" t="s">
        <v>3</v>
      </c>
      <c r="I284" s="38" t="s">
        <v>4</v>
      </c>
      <c r="J284" s="38" t="s">
        <v>5</v>
      </c>
      <c r="K284" s="38" t="s">
        <v>6</v>
      </c>
      <c r="L284" s="38" t="s">
        <v>7</v>
      </c>
      <c r="M284" s="38" t="s">
        <v>8</v>
      </c>
      <c r="N284" s="38" t="s">
        <v>9</v>
      </c>
      <c r="O284" s="38" t="s">
        <v>10</v>
      </c>
      <c r="P284" s="38" t="s">
        <v>11</v>
      </c>
      <c r="R284" s="416"/>
      <c r="S284" s="391"/>
      <c r="T284" s="388"/>
      <c r="U284" s="294"/>
    </row>
    <row r="285" spans="1:21" hidden="1" x14ac:dyDescent="0.35"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R285" s="416"/>
      <c r="S285" s="391"/>
      <c r="T285" s="388"/>
      <c r="U285" s="294"/>
    </row>
    <row r="286" spans="1:21" hidden="1" x14ac:dyDescent="0.35">
      <c r="D286" s="38" t="s">
        <v>152</v>
      </c>
      <c r="E286" s="34">
        <v>54008</v>
      </c>
      <c r="F286" s="34">
        <v>54008</v>
      </c>
      <c r="G286" s="34">
        <v>54008</v>
      </c>
      <c r="H286" s="34">
        <v>54008</v>
      </c>
      <c r="I286" s="34">
        <v>54008</v>
      </c>
      <c r="J286" s="34">
        <v>54008</v>
      </c>
      <c r="K286" s="34">
        <v>54008</v>
      </c>
      <c r="L286" s="34">
        <v>54008</v>
      </c>
      <c r="M286" s="34">
        <v>54008</v>
      </c>
      <c r="N286" s="34">
        <v>54008</v>
      </c>
      <c r="O286" s="34">
        <v>54008</v>
      </c>
      <c r="P286" s="34">
        <v>54008</v>
      </c>
      <c r="R286" s="416"/>
      <c r="S286" s="391"/>
      <c r="T286" s="388"/>
      <c r="U286" s="294"/>
    </row>
    <row r="287" spans="1:21" hidden="1" x14ac:dyDescent="0.35"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R287" s="416"/>
      <c r="S287" s="391"/>
      <c r="T287" s="388"/>
      <c r="U287" s="294"/>
    </row>
    <row r="288" spans="1:21" hidden="1" x14ac:dyDescent="0.35">
      <c r="D288" s="38" t="s">
        <v>151</v>
      </c>
      <c r="E288" s="69">
        <v>41069</v>
      </c>
      <c r="F288" s="69">
        <v>41069</v>
      </c>
      <c r="G288" s="69">
        <v>41069</v>
      </c>
      <c r="H288" s="69">
        <v>41069</v>
      </c>
      <c r="I288" s="69">
        <v>41069</v>
      </c>
      <c r="J288" s="69">
        <v>41069</v>
      </c>
      <c r="K288" s="69">
        <v>41069</v>
      </c>
      <c r="L288" s="69">
        <v>44709</v>
      </c>
      <c r="M288" s="69">
        <v>47586</v>
      </c>
      <c r="N288" s="69">
        <v>47586</v>
      </c>
      <c r="O288" s="69">
        <v>47586</v>
      </c>
      <c r="P288" s="69">
        <v>47586</v>
      </c>
      <c r="Q288" s="59"/>
      <c r="R288" s="457"/>
      <c r="S288" s="391"/>
      <c r="T288" s="388"/>
      <c r="U288" s="294"/>
    </row>
    <row r="289" spans="4:21" ht="17.5" hidden="1" x14ac:dyDescent="0.5">
      <c r="D289" s="67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R289" s="416"/>
      <c r="S289" s="391"/>
      <c r="T289" s="388"/>
      <c r="U289" s="294"/>
    </row>
    <row r="290" spans="4:21" hidden="1" x14ac:dyDescent="0.35">
      <c r="D290" s="38" t="s">
        <v>153</v>
      </c>
      <c r="E290" s="38">
        <f>E288/E286</f>
        <v>0.76042438157310033</v>
      </c>
      <c r="F290" s="38">
        <f t="shared" ref="F290:P290" si="61">F288/F286</f>
        <v>0.76042438157310033</v>
      </c>
      <c r="G290" s="38">
        <f t="shared" si="61"/>
        <v>0.76042438157310033</v>
      </c>
      <c r="H290" s="38">
        <f t="shared" si="61"/>
        <v>0.76042438157310033</v>
      </c>
      <c r="I290" s="38">
        <f t="shared" si="61"/>
        <v>0.76042438157310033</v>
      </c>
      <c r="J290" s="38">
        <f t="shared" si="61"/>
        <v>0.76042438157310033</v>
      </c>
      <c r="K290" s="38">
        <f t="shared" si="61"/>
        <v>0.76042438157310033</v>
      </c>
      <c r="L290" s="38">
        <f t="shared" si="61"/>
        <v>0.82782180417715889</v>
      </c>
      <c r="M290" s="38">
        <f t="shared" si="61"/>
        <v>0.88109169011998223</v>
      </c>
      <c r="N290" s="38">
        <f t="shared" si="61"/>
        <v>0.88109169011998223</v>
      </c>
      <c r="O290" s="38">
        <f t="shared" si="61"/>
        <v>0.88109169011998223</v>
      </c>
      <c r="P290" s="38">
        <f t="shared" si="61"/>
        <v>0.88109169011998223</v>
      </c>
      <c r="R290" s="416"/>
      <c r="S290" s="391"/>
      <c r="T290" s="388"/>
      <c r="U290" s="294"/>
    </row>
    <row r="291" spans="4:21" hidden="1" x14ac:dyDescent="0.35"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R291" s="416"/>
      <c r="S291" s="391"/>
      <c r="T291" s="388"/>
      <c r="U291" s="294"/>
    </row>
    <row r="292" spans="4:21" hidden="1" x14ac:dyDescent="0.35"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R292" s="416"/>
      <c r="S292" s="391"/>
      <c r="T292" s="388"/>
      <c r="U292" s="294"/>
    </row>
    <row r="293" spans="4:21" hidden="1" x14ac:dyDescent="0.35">
      <c r="D293" s="38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59"/>
      <c r="R293" s="457"/>
      <c r="S293" s="391"/>
      <c r="T293" s="388"/>
      <c r="U293" s="294"/>
    </row>
    <row r="294" spans="4:21" hidden="1" x14ac:dyDescent="0.35"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R294" s="416"/>
      <c r="S294" s="391"/>
      <c r="T294" s="388"/>
      <c r="U294" s="294"/>
    </row>
    <row r="295" spans="4:21" hidden="1" x14ac:dyDescent="0.35"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R295" s="416"/>
      <c r="S295" s="391"/>
      <c r="T295" s="388"/>
      <c r="U295" s="294"/>
    </row>
    <row r="296" spans="4:21" hidden="1" x14ac:dyDescent="0.35"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R296" s="416"/>
      <c r="S296" s="391"/>
      <c r="T296" s="388"/>
      <c r="U296" s="294"/>
    </row>
    <row r="297" spans="4:21" hidden="1" x14ac:dyDescent="0.35"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R297" s="416"/>
      <c r="S297" s="391"/>
      <c r="T297" s="388"/>
      <c r="U297" s="294"/>
    </row>
    <row r="298" spans="4:21" ht="17.5" hidden="1" x14ac:dyDescent="0.5">
      <c r="D298" s="6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R298" s="416"/>
      <c r="S298" s="391"/>
      <c r="T298" s="388"/>
      <c r="U298" s="294"/>
    </row>
    <row r="299" spans="4:21" hidden="1" x14ac:dyDescent="0.35"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R299" s="416"/>
      <c r="S299" s="391"/>
      <c r="T299" s="388"/>
      <c r="U299" s="294"/>
    </row>
    <row r="300" spans="4:21" hidden="1" x14ac:dyDescent="0.35">
      <c r="F300" s="70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R300" s="416"/>
      <c r="S300" s="391"/>
      <c r="T300" s="388"/>
      <c r="U300" s="294"/>
    </row>
    <row r="301" spans="4:21" hidden="1" x14ac:dyDescent="0.35">
      <c r="F301" s="70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R301" s="416"/>
      <c r="S301" s="391"/>
      <c r="T301" s="388"/>
      <c r="U301" s="294"/>
    </row>
    <row r="302" spans="4:21" hidden="1" x14ac:dyDescent="0.35">
      <c r="F302" s="70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R302" s="416"/>
      <c r="S302" s="391"/>
      <c r="T302" s="388"/>
      <c r="U302" s="294"/>
    </row>
    <row r="303" spans="4:21" hidden="1" x14ac:dyDescent="0.35">
      <c r="F303" s="70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R303" s="416"/>
      <c r="S303" s="391"/>
      <c r="T303" s="388"/>
      <c r="U303" s="294"/>
    </row>
    <row r="304" spans="4:21" hidden="1" x14ac:dyDescent="0.35">
      <c r="F304" s="70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R304" s="416"/>
      <c r="S304" s="391"/>
      <c r="T304" s="388"/>
      <c r="U304" s="294"/>
    </row>
    <row r="305" spans="4:21" hidden="1" x14ac:dyDescent="0.35">
      <c r="F305" s="70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R305" s="416"/>
      <c r="S305" s="391"/>
      <c r="T305" s="388"/>
      <c r="U305" s="294"/>
    </row>
    <row r="306" spans="4:21" hidden="1" x14ac:dyDescent="0.35">
      <c r="F306" s="70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R306" s="416"/>
      <c r="S306" s="391"/>
      <c r="T306" s="388"/>
      <c r="U306" s="294"/>
    </row>
    <row r="307" spans="4:21" hidden="1" x14ac:dyDescent="0.35">
      <c r="D307" s="38"/>
      <c r="E307" s="59"/>
      <c r="F307" s="71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R307" s="416"/>
      <c r="S307" s="391"/>
      <c r="T307" s="388"/>
      <c r="U307" s="294"/>
    </row>
    <row r="308" spans="4:21" hidden="1" x14ac:dyDescent="0.35"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R308" s="416"/>
      <c r="S308" s="391"/>
      <c r="T308" s="388"/>
      <c r="U308" s="294"/>
    </row>
    <row r="309" spans="4:21" hidden="1" x14ac:dyDescent="0.35"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R309" s="416"/>
      <c r="S309" s="391"/>
      <c r="T309" s="388"/>
      <c r="U309" s="294"/>
    </row>
    <row r="310" spans="4:21" hidden="1" x14ac:dyDescent="0.35"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R310" s="416"/>
      <c r="S310" s="391"/>
      <c r="T310" s="388"/>
      <c r="U310" s="294"/>
    </row>
    <row r="311" spans="4:21" hidden="1" x14ac:dyDescent="0.35"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R311" s="416"/>
      <c r="S311" s="416"/>
      <c r="T311" s="417"/>
      <c r="U311" s="294"/>
    </row>
    <row r="312" spans="4:21" hidden="1" x14ac:dyDescent="0.35"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R312" s="416"/>
      <c r="S312" s="416"/>
      <c r="T312" s="417"/>
      <c r="U312" s="294"/>
    </row>
    <row r="313" spans="4:21" ht="17.5" hidden="1" x14ac:dyDescent="0.5">
      <c r="D313" s="67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R313" s="416"/>
      <c r="S313" s="416"/>
      <c r="T313" s="417"/>
      <c r="U313" s="294"/>
    </row>
    <row r="314" spans="4:21" hidden="1" x14ac:dyDescent="0.35"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R314" s="416"/>
      <c r="S314" s="416"/>
      <c r="T314" s="417"/>
      <c r="U314" s="294"/>
    </row>
    <row r="315" spans="4:21" ht="17.5" hidden="1" x14ac:dyDescent="0.5">
      <c r="D315" s="6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R315" s="416"/>
      <c r="S315" s="416"/>
      <c r="T315" s="417"/>
      <c r="U315" s="294"/>
    </row>
    <row r="316" spans="4:21" hidden="1" x14ac:dyDescent="0.35"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R316" s="416"/>
      <c r="S316" s="416"/>
      <c r="T316" s="417"/>
      <c r="U316" s="294"/>
    </row>
    <row r="317" spans="4:21" hidden="1" x14ac:dyDescent="0.35"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R317" s="416"/>
      <c r="S317" s="416"/>
      <c r="T317" s="417"/>
      <c r="U317" s="294"/>
    </row>
    <row r="318" spans="4:21" hidden="1" x14ac:dyDescent="0.35"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R318" s="416"/>
      <c r="S318" s="416"/>
      <c r="T318" s="417"/>
      <c r="U318" s="294"/>
    </row>
    <row r="319" spans="4:21" hidden="1" x14ac:dyDescent="0.35">
      <c r="D319" s="38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59"/>
      <c r="R319" s="457"/>
      <c r="S319" s="416"/>
      <c r="T319" s="417"/>
      <c r="U319" s="294"/>
    </row>
    <row r="320" spans="4:21" ht="17.5" hidden="1" x14ac:dyDescent="0.5">
      <c r="D320" s="67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R320" s="416"/>
      <c r="S320" s="416"/>
      <c r="T320" s="417"/>
      <c r="U320" s="294"/>
    </row>
    <row r="321" spans="4:21" hidden="1" x14ac:dyDescent="0.35"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R321" s="416"/>
      <c r="S321" s="416"/>
      <c r="T321" s="417"/>
      <c r="U321" s="294"/>
    </row>
    <row r="322" spans="4:21" hidden="1" x14ac:dyDescent="0.35"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R322" s="416"/>
      <c r="S322" s="416"/>
      <c r="T322" s="417"/>
      <c r="U322" s="294"/>
    </row>
    <row r="323" spans="4:21" hidden="1" x14ac:dyDescent="0.35"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R323" s="416"/>
      <c r="S323" s="416"/>
      <c r="T323" s="417"/>
      <c r="U323" s="294"/>
    </row>
    <row r="324" spans="4:21" hidden="1" x14ac:dyDescent="0.35">
      <c r="D324" s="38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59"/>
      <c r="R324" s="457"/>
      <c r="S324" s="416"/>
      <c r="T324" s="417"/>
      <c r="U324" s="294"/>
    </row>
    <row r="325" spans="4:21" ht="17.5" hidden="1" x14ac:dyDescent="0.5">
      <c r="D325" s="67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R325" s="416"/>
      <c r="S325" s="416"/>
      <c r="T325" s="417"/>
      <c r="U325" s="294"/>
    </row>
    <row r="326" spans="4:21" hidden="1" x14ac:dyDescent="0.35"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R326" s="416"/>
      <c r="S326" s="416"/>
      <c r="T326" s="417"/>
      <c r="U326" s="294"/>
    </row>
    <row r="327" spans="4:21" hidden="1" x14ac:dyDescent="0.35"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R327" s="416"/>
      <c r="S327" s="416"/>
      <c r="T327" s="417"/>
      <c r="U327" s="294"/>
    </row>
    <row r="328" spans="4:21" hidden="1" x14ac:dyDescent="0.35"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R328" s="416"/>
      <c r="S328" s="416"/>
      <c r="T328" s="417"/>
      <c r="U328" s="294"/>
    </row>
    <row r="329" spans="4:21" hidden="1" x14ac:dyDescent="0.35"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59"/>
      <c r="R329" s="457"/>
      <c r="S329" s="416"/>
      <c r="T329" s="417"/>
    </row>
    <row r="330" spans="4:21" hidden="1" x14ac:dyDescent="0.35">
      <c r="R330" s="391"/>
      <c r="S330" s="416"/>
      <c r="T330" s="417"/>
    </row>
    <row r="331" spans="4:21" hidden="1" x14ac:dyDescent="0.35">
      <c r="R331" s="391"/>
      <c r="S331" s="416"/>
      <c r="T331" s="417"/>
    </row>
    <row r="332" spans="4:21" hidden="1" x14ac:dyDescent="0.35">
      <c r="R332" s="391"/>
      <c r="S332" s="416"/>
      <c r="T332" s="417"/>
    </row>
    <row r="333" spans="4:21" hidden="1" x14ac:dyDescent="0.35">
      <c r="R333" s="391"/>
      <c r="S333" s="416"/>
      <c r="T333" s="417"/>
    </row>
    <row r="334" spans="4:21" hidden="1" x14ac:dyDescent="0.35">
      <c r="R334" s="391"/>
      <c r="S334" s="416"/>
      <c r="T334" s="417"/>
    </row>
    <row r="335" spans="4:21" hidden="1" x14ac:dyDescent="0.35">
      <c r="R335" s="391"/>
      <c r="S335" s="416"/>
      <c r="T335" s="417"/>
    </row>
    <row r="336" spans="4:21" hidden="1" x14ac:dyDescent="0.35">
      <c r="R336" s="391"/>
      <c r="S336" s="416"/>
      <c r="T336" s="417"/>
    </row>
    <row r="337" spans="1:21" hidden="1" x14ac:dyDescent="0.35">
      <c r="R337" s="391"/>
      <c r="S337" s="416"/>
      <c r="T337" s="417"/>
    </row>
    <row r="338" spans="1:21" hidden="1" x14ac:dyDescent="0.35">
      <c r="R338" s="391"/>
      <c r="S338" s="416"/>
      <c r="T338" s="417"/>
    </row>
    <row r="339" spans="1:21" hidden="1" x14ac:dyDescent="0.35">
      <c r="A339" s="38"/>
      <c r="B339" s="38"/>
      <c r="C339" s="38"/>
      <c r="D339" s="38"/>
      <c r="R339" s="391"/>
      <c r="S339" s="416"/>
      <c r="T339" s="417"/>
      <c r="U339" s="294"/>
    </row>
    <row r="340" spans="1:21" ht="16.5" hidden="1" thickTop="1" x14ac:dyDescent="0.35">
      <c r="A340" s="72"/>
      <c r="B340" s="72"/>
      <c r="C340" s="72"/>
      <c r="D340" s="72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R340" s="416"/>
      <c r="S340" s="416"/>
      <c r="T340" s="417"/>
      <c r="U340" s="294"/>
    </row>
    <row r="341" spans="1:21" ht="16.5" hidden="1" thickTop="1" x14ac:dyDescent="0.35">
      <c r="A341" s="38"/>
      <c r="B341" s="38"/>
      <c r="C341" s="38"/>
      <c r="D341" s="74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2"/>
      <c r="R341" s="458"/>
      <c r="S341" s="416"/>
      <c r="T341" s="417"/>
      <c r="U341" s="294"/>
    </row>
    <row r="342" spans="1:21" hidden="1" x14ac:dyDescent="0.35">
      <c r="A342" s="38"/>
      <c r="B342" s="38"/>
      <c r="C342" s="38"/>
      <c r="D342" s="75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R342" s="416"/>
      <c r="S342" s="416"/>
      <c r="T342" s="417"/>
      <c r="U342" s="294"/>
    </row>
    <row r="343" spans="1:21" hidden="1" x14ac:dyDescent="0.35">
      <c r="A343" s="38"/>
      <c r="B343" s="38"/>
      <c r="C343" s="38"/>
      <c r="D343" s="75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41"/>
      <c r="R343" s="418"/>
      <c r="S343" s="416"/>
      <c r="T343" s="417"/>
      <c r="U343" s="295"/>
    </row>
    <row r="344" spans="1:21" hidden="1" x14ac:dyDescent="0.35">
      <c r="A344" s="38"/>
      <c r="B344" s="38"/>
      <c r="C344" s="38"/>
      <c r="D344" s="75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6"/>
      <c r="R344" s="420"/>
      <c r="S344" s="416"/>
      <c r="T344" s="417"/>
      <c r="U344" s="294"/>
    </row>
    <row r="345" spans="1:21" hidden="1" x14ac:dyDescent="0.35">
      <c r="A345" s="38"/>
      <c r="B345" s="38"/>
      <c r="C345" s="38"/>
      <c r="D345" s="75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R345" s="416"/>
      <c r="S345" s="416"/>
      <c r="T345" s="417"/>
      <c r="U345" s="294"/>
    </row>
    <row r="346" spans="1:21" hidden="1" x14ac:dyDescent="0.35">
      <c r="A346" s="38"/>
      <c r="B346" s="38"/>
      <c r="C346" s="38"/>
      <c r="D346" s="75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R346" s="416"/>
      <c r="S346" s="416"/>
      <c r="T346" s="417"/>
      <c r="U346" s="294"/>
    </row>
    <row r="347" spans="1:21" hidden="1" x14ac:dyDescent="0.35">
      <c r="A347" s="38"/>
      <c r="B347" s="38"/>
      <c r="C347" s="38"/>
      <c r="D347" s="75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R347" s="416"/>
      <c r="S347" s="416"/>
      <c r="T347" s="417"/>
      <c r="U347" s="294"/>
    </row>
    <row r="348" spans="1:21" hidden="1" x14ac:dyDescent="0.35">
      <c r="A348" s="38"/>
      <c r="B348" s="38"/>
      <c r="C348" s="38"/>
      <c r="D348" s="75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R348" s="416"/>
      <c r="S348" s="416"/>
      <c r="T348" s="417"/>
      <c r="U348" s="294"/>
    </row>
    <row r="349" spans="1:21" hidden="1" x14ac:dyDescent="0.35">
      <c r="A349" s="38"/>
      <c r="B349" s="38"/>
      <c r="C349" s="38"/>
      <c r="D349" s="75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R349" s="416"/>
      <c r="S349" s="416"/>
      <c r="T349" s="417"/>
      <c r="U349" s="294"/>
    </row>
    <row r="350" spans="1:21" hidden="1" x14ac:dyDescent="0.35">
      <c r="A350" s="38"/>
      <c r="B350" s="38"/>
      <c r="C350" s="38"/>
      <c r="D350" s="75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R350" s="416"/>
      <c r="S350" s="416"/>
      <c r="T350" s="417"/>
      <c r="U350" s="294"/>
    </row>
    <row r="351" spans="1:21" hidden="1" x14ac:dyDescent="0.35">
      <c r="A351" s="38"/>
      <c r="B351" s="38"/>
      <c r="C351" s="38"/>
      <c r="D351" s="75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R351" s="416"/>
      <c r="S351" s="416"/>
      <c r="T351" s="417"/>
      <c r="U351" s="294"/>
    </row>
    <row r="352" spans="1:21" hidden="1" x14ac:dyDescent="0.35">
      <c r="A352" s="38"/>
      <c r="B352" s="38"/>
      <c r="C352" s="38"/>
      <c r="D352" s="75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R352" s="416"/>
      <c r="S352" s="416"/>
      <c r="T352" s="417"/>
      <c r="U352" s="294"/>
    </row>
    <row r="353" spans="1:21" hidden="1" x14ac:dyDescent="0.35">
      <c r="A353" s="38"/>
      <c r="B353" s="38"/>
      <c r="C353" s="38"/>
      <c r="D353" s="75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R353" s="416"/>
      <c r="S353" s="416"/>
      <c r="T353" s="417"/>
      <c r="U353" s="294"/>
    </row>
    <row r="354" spans="1:21" hidden="1" x14ac:dyDescent="0.35">
      <c r="A354" s="38"/>
      <c r="B354" s="38"/>
      <c r="C354" s="38"/>
      <c r="D354" s="75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R354" s="416"/>
      <c r="S354" s="416"/>
      <c r="T354" s="417"/>
      <c r="U354" s="294"/>
    </row>
    <row r="355" spans="1:21" hidden="1" x14ac:dyDescent="0.35">
      <c r="A355" s="38"/>
      <c r="B355" s="38"/>
      <c r="C355" s="38"/>
      <c r="D355" s="75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R355" s="416"/>
      <c r="S355" s="416"/>
      <c r="T355" s="417"/>
      <c r="U355" s="294"/>
    </row>
    <row r="356" spans="1:21" hidden="1" x14ac:dyDescent="0.35">
      <c r="A356" s="38"/>
      <c r="B356" s="38"/>
      <c r="C356" s="38"/>
      <c r="D356" s="75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R356" s="416"/>
      <c r="S356" s="416"/>
      <c r="T356" s="417"/>
      <c r="U356" s="294"/>
    </row>
    <row r="357" spans="1:21" hidden="1" x14ac:dyDescent="0.35">
      <c r="A357" s="38"/>
      <c r="B357" s="38"/>
      <c r="C357" s="38"/>
      <c r="D357" s="75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R357" s="416"/>
      <c r="S357" s="416"/>
      <c r="T357" s="417"/>
      <c r="U357" s="294"/>
    </row>
    <row r="358" spans="1:21" hidden="1" x14ac:dyDescent="0.35">
      <c r="A358" s="38"/>
      <c r="B358" s="38"/>
      <c r="C358" s="38"/>
      <c r="D358" s="75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R358" s="416"/>
      <c r="S358" s="416"/>
      <c r="T358" s="417"/>
      <c r="U358" s="294"/>
    </row>
    <row r="359" spans="1:21" hidden="1" x14ac:dyDescent="0.35">
      <c r="D359" s="75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R359" s="416"/>
      <c r="S359" s="416"/>
      <c r="T359" s="417"/>
      <c r="U359" s="294"/>
    </row>
    <row r="360" spans="1:21" hidden="1" x14ac:dyDescent="0.35">
      <c r="D360" s="75"/>
      <c r="R360" s="416"/>
      <c r="S360" s="416"/>
      <c r="T360" s="417"/>
      <c r="U360" s="294"/>
    </row>
    <row r="361" spans="1:21" hidden="1" x14ac:dyDescent="0.35">
      <c r="D361" s="75"/>
      <c r="R361" s="416"/>
      <c r="S361" s="416"/>
      <c r="T361" s="417"/>
      <c r="U361" s="294"/>
    </row>
    <row r="362" spans="1:21" hidden="1" x14ac:dyDescent="0.35">
      <c r="D362" s="75"/>
      <c r="R362" s="416"/>
      <c r="S362" s="416"/>
      <c r="T362" s="417"/>
      <c r="U362" s="294"/>
    </row>
    <row r="363" spans="1:21" hidden="1" x14ac:dyDescent="0.35">
      <c r="D363" s="75"/>
      <c r="R363" s="416"/>
      <c r="S363" s="391"/>
      <c r="T363" s="388"/>
      <c r="U363" s="294"/>
    </row>
    <row r="364" spans="1:21" hidden="1" x14ac:dyDescent="0.35">
      <c r="D364" s="75"/>
      <c r="R364" s="416"/>
      <c r="S364" s="391"/>
      <c r="T364" s="388"/>
      <c r="U364" s="294"/>
    </row>
    <row r="365" spans="1:21" hidden="1" x14ac:dyDescent="0.35">
      <c r="D365" s="75"/>
      <c r="R365" s="416"/>
      <c r="S365" s="391"/>
      <c r="T365" s="388"/>
      <c r="U365" s="294"/>
    </row>
    <row r="366" spans="1:21" hidden="1" x14ac:dyDescent="0.35">
      <c r="D366" s="75"/>
      <c r="R366" s="416"/>
      <c r="S366" s="391"/>
      <c r="T366" s="388"/>
      <c r="U366" s="294"/>
    </row>
    <row r="367" spans="1:21" hidden="1" x14ac:dyDescent="0.35">
      <c r="D367" s="75"/>
      <c r="R367" s="416"/>
      <c r="S367" s="391"/>
      <c r="T367" s="388"/>
      <c r="U367" s="294"/>
    </row>
    <row r="368" spans="1:21" hidden="1" x14ac:dyDescent="0.35">
      <c r="D368" s="75"/>
      <c r="R368" s="416"/>
      <c r="S368" s="391"/>
      <c r="T368" s="388"/>
      <c r="U368" s="294"/>
    </row>
    <row r="369" spans="1:21" hidden="1" x14ac:dyDescent="0.35">
      <c r="D369" s="75"/>
      <c r="R369" s="416"/>
      <c r="S369" s="391"/>
      <c r="T369" s="388"/>
      <c r="U369" s="294"/>
    </row>
    <row r="370" spans="1:21" hidden="1" x14ac:dyDescent="0.35">
      <c r="D370" s="75"/>
      <c r="R370" s="416"/>
      <c r="S370" s="391"/>
      <c r="T370" s="388"/>
      <c r="U370" s="294"/>
    </row>
    <row r="371" spans="1:21" hidden="1" x14ac:dyDescent="0.35">
      <c r="D371" s="75"/>
      <c r="R371" s="416"/>
      <c r="S371" s="391"/>
      <c r="T371" s="388"/>
      <c r="U371" s="294"/>
    </row>
    <row r="372" spans="1:21" hidden="1" x14ac:dyDescent="0.35">
      <c r="D372" s="75"/>
      <c r="R372" s="416"/>
      <c r="S372" s="391"/>
      <c r="T372" s="388"/>
      <c r="U372" s="294"/>
    </row>
    <row r="373" spans="1:21" hidden="1" x14ac:dyDescent="0.35">
      <c r="D373" s="75"/>
      <c r="R373" s="416"/>
      <c r="S373" s="416"/>
      <c r="T373" s="417"/>
      <c r="U373" s="294"/>
    </row>
    <row r="374" spans="1:21" hidden="1" x14ac:dyDescent="0.35">
      <c r="D374" s="75"/>
      <c r="R374" s="416"/>
      <c r="S374" s="416"/>
      <c r="T374" s="417"/>
      <c r="U374" s="294"/>
    </row>
    <row r="375" spans="1:21" hidden="1" x14ac:dyDescent="0.35">
      <c r="D375" s="75"/>
      <c r="R375" s="416"/>
      <c r="S375" s="416"/>
      <c r="T375" s="417"/>
      <c r="U375" s="294"/>
    </row>
    <row r="376" spans="1:21" hidden="1" x14ac:dyDescent="0.35">
      <c r="D376" s="75"/>
      <c r="R376" s="416"/>
      <c r="S376" s="418"/>
      <c r="T376" s="419"/>
      <c r="U376" s="294"/>
    </row>
    <row r="377" spans="1:21" hidden="1" x14ac:dyDescent="0.35">
      <c r="D377" s="75"/>
      <c r="R377" s="416"/>
      <c r="S377" s="420"/>
      <c r="T377" s="421"/>
      <c r="U377" s="294"/>
    </row>
    <row r="378" spans="1:21" hidden="1" x14ac:dyDescent="0.35">
      <c r="R378" s="416"/>
      <c r="S378" s="416"/>
      <c r="T378" s="417"/>
    </row>
    <row r="379" spans="1:21" hidden="1" x14ac:dyDescent="0.35"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459"/>
      <c r="S379" s="416"/>
      <c r="T379" s="417"/>
      <c r="U379" s="296"/>
    </row>
    <row r="380" spans="1:21" hidden="1" x14ac:dyDescent="0.35">
      <c r="Q380" s="78"/>
      <c r="R380" s="422"/>
      <c r="S380" s="416"/>
      <c r="T380" s="417"/>
    </row>
    <row r="381" spans="1:21" hidden="1" x14ac:dyDescent="0.35">
      <c r="R381" s="391"/>
      <c r="S381" s="416"/>
      <c r="T381" s="417"/>
    </row>
    <row r="382" spans="1:21" hidden="1" x14ac:dyDescent="0.35">
      <c r="A382" s="38"/>
      <c r="B382" s="38"/>
      <c r="C382" s="38"/>
      <c r="D382" s="38"/>
      <c r="R382" s="391"/>
      <c r="S382" s="416"/>
      <c r="T382" s="417"/>
      <c r="U382" s="294"/>
    </row>
    <row r="383" spans="1:21" ht="16.5" hidden="1" thickTop="1" x14ac:dyDescent="0.35">
      <c r="A383" s="72"/>
      <c r="B383" s="72"/>
      <c r="C383" s="72"/>
      <c r="D383" s="72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R383" s="416"/>
      <c r="S383" s="416"/>
      <c r="T383" s="417"/>
      <c r="U383" s="294"/>
    </row>
    <row r="384" spans="1:21" ht="16.5" hidden="1" thickTop="1" x14ac:dyDescent="0.35"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2"/>
      <c r="R384" s="458"/>
      <c r="S384" s="416"/>
      <c r="T384" s="417"/>
    </row>
    <row r="385" spans="5:20" hidden="1" x14ac:dyDescent="0.35">
      <c r="R385" s="391"/>
      <c r="S385" s="416"/>
      <c r="T385" s="417"/>
    </row>
    <row r="386" spans="5:20" hidden="1" x14ac:dyDescent="0.35"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R386" s="391"/>
      <c r="S386" s="416"/>
      <c r="T386" s="417"/>
    </row>
    <row r="387" spans="5:20" hidden="1" x14ac:dyDescent="0.35">
      <c r="R387" s="391"/>
      <c r="S387" s="416"/>
      <c r="T387" s="417"/>
    </row>
    <row r="388" spans="5:20" hidden="1" x14ac:dyDescent="0.35">
      <c r="R388" s="391"/>
      <c r="S388" s="416"/>
      <c r="T388" s="417"/>
    </row>
    <row r="389" spans="5:20" hidden="1" x14ac:dyDescent="0.35">
      <c r="R389" s="391"/>
      <c r="S389" s="416"/>
      <c r="T389" s="417"/>
    </row>
    <row r="390" spans="5:20" hidden="1" x14ac:dyDescent="0.35">
      <c r="R390" s="391"/>
      <c r="S390" s="416"/>
      <c r="T390" s="417"/>
    </row>
    <row r="391" spans="5:20" hidden="1" x14ac:dyDescent="0.35">
      <c r="R391" s="391"/>
      <c r="S391" s="416"/>
      <c r="T391" s="417"/>
    </row>
    <row r="392" spans="5:20" x14ac:dyDescent="0.35"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R392" s="391"/>
      <c r="S392" s="416"/>
      <c r="T392" s="417"/>
    </row>
    <row r="393" spans="5:20" x14ac:dyDescent="0.35">
      <c r="Q393" s="391"/>
      <c r="R393" s="391"/>
      <c r="S393" s="416"/>
      <c r="T393" s="417"/>
    </row>
    <row r="394" spans="5:20" x14ac:dyDescent="0.35">
      <c r="Q394" s="391"/>
      <c r="R394" s="391"/>
      <c r="S394" s="416"/>
      <c r="T394" s="417"/>
    </row>
    <row r="395" spans="5:20" x14ac:dyDescent="0.35">
      <c r="Q395" s="391"/>
      <c r="R395" s="391"/>
      <c r="S395" s="416"/>
      <c r="T395" s="417"/>
    </row>
    <row r="396" spans="5:20" x14ac:dyDescent="0.35">
      <c r="Q396" s="391"/>
      <c r="R396" s="391"/>
      <c r="S396" s="416"/>
      <c r="T396" s="417"/>
    </row>
    <row r="397" spans="5:20" x14ac:dyDescent="0.35">
      <c r="Q397" s="391"/>
      <c r="R397" s="391"/>
      <c r="S397" s="416"/>
      <c r="T397" s="417"/>
    </row>
    <row r="398" spans="5:20" x14ac:dyDescent="0.35">
      <c r="Q398" s="391"/>
      <c r="R398" s="391"/>
      <c r="S398" s="416"/>
      <c r="T398" s="417"/>
    </row>
    <row r="399" spans="5:20" x14ac:dyDescent="0.35">
      <c r="Q399" s="391"/>
      <c r="R399" s="391"/>
      <c r="S399" s="416"/>
      <c r="T399" s="417"/>
    </row>
    <row r="400" spans="5:20" x14ac:dyDescent="0.35">
      <c r="Q400" s="391"/>
      <c r="R400" s="391"/>
      <c r="S400" s="416"/>
      <c r="T400" s="417"/>
    </row>
    <row r="401" spans="17:20" x14ac:dyDescent="0.35">
      <c r="Q401" s="391"/>
      <c r="R401" s="391"/>
      <c r="S401" s="416"/>
      <c r="T401" s="417"/>
    </row>
    <row r="402" spans="17:20" x14ac:dyDescent="0.35">
      <c r="Q402" s="391"/>
      <c r="R402" s="391"/>
      <c r="S402" s="416"/>
      <c r="T402" s="417"/>
    </row>
    <row r="403" spans="17:20" x14ac:dyDescent="0.35">
      <c r="Q403" s="391"/>
      <c r="R403" s="391"/>
      <c r="S403" s="416"/>
      <c r="T403" s="417"/>
    </row>
    <row r="404" spans="17:20" x14ac:dyDescent="0.35">
      <c r="Q404" s="391"/>
      <c r="R404" s="391"/>
      <c r="S404" s="416"/>
      <c r="T404" s="417"/>
    </row>
    <row r="405" spans="17:20" x14ac:dyDescent="0.35">
      <c r="Q405" s="391"/>
      <c r="R405" s="391"/>
      <c r="S405" s="416"/>
      <c r="T405" s="417"/>
    </row>
    <row r="406" spans="17:20" x14ac:dyDescent="0.35">
      <c r="Q406" s="391"/>
      <c r="R406" s="391"/>
      <c r="S406" s="416"/>
      <c r="T406" s="417"/>
    </row>
    <row r="407" spans="17:20" x14ac:dyDescent="0.35">
      <c r="Q407" s="391"/>
      <c r="R407" s="391"/>
      <c r="S407" s="416"/>
      <c r="T407" s="417"/>
    </row>
    <row r="408" spans="17:20" x14ac:dyDescent="0.35">
      <c r="Q408" s="391"/>
      <c r="R408" s="391"/>
      <c r="S408" s="416"/>
      <c r="T408" s="417"/>
    </row>
    <row r="409" spans="17:20" x14ac:dyDescent="0.35">
      <c r="Q409" s="391"/>
      <c r="R409" s="391"/>
      <c r="S409" s="416"/>
      <c r="T409" s="417"/>
    </row>
    <row r="410" spans="17:20" x14ac:dyDescent="0.35">
      <c r="Q410" s="391"/>
      <c r="R410" s="391"/>
      <c r="S410" s="416"/>
      <c r="T410" s="417"/>
    </row>
    <row r="411" spans="17:20" x14ac:dyDescent="0.35">
      <c r="Q411" s="391"/>
      <c r="R411" s="391"/>
      <c r="S411" s="416"/>
      <c r="T411" s="417"/>
    </row>
    <row r="412" spans="17:20" x14ac:dyDescent="0.35">
      <c r="Q412" s="391"/>
      <c r="R412" s="391"/>
      <c r="S412" s="391"/>
      <c r="T412" s="388"/>
    </row>
    <row r="413" spans="17:20" x14ac:dyDescent="0.35">
      <c r="Q413" s="391"/>
      <c r="R413" s="391"/>
      <c r="S413" s="422"/>
      <c r="T413" s="423"/>
    </row>
    <row r="414" spans="17:20" x14ac:dyDescent="0.35">
      <c r="Q414" s="391"/>
      <c r="R414" s="391"/>
      <c r="S414" s="391"/>
      <c r="T414" s="388"/>
    </row>
    <row r="415" spans="17:20" x14ac:dyDescent="0.35">
      <c r="Q415" s="391"/>
      <c r="R415" s="391"/>
      <c r="S415" s="391"/>
      <c r="T415" s="388"/>
    </row>
    <row r="416" spans="17:20" x14ac:dyDescent="0.35">
      <c r="Q416" s="391"/>
      <c r="R416" s="391"/>
      <c r="S416" s="416"/>
      <c r="T416" s="417"/>
    </row>
    <row r="417" spans="17:20" x14ac:dyDescent="0.35">
      <c r="Q417" s="391"/>
      <c r="R417" s="391"/>
      <c r="S417" s="416"/>
      <c r="T417" s="417"/>
    </row>
  </sheetData>
  <sheetProtection formatColumns="0" selectLockedCells="1"/>
  <phoneticPr fontId="0" type="noConversion"/>
  <conditionalFormatting sqref="E140:P164">
    <cfRule type="expression" dxfId="83" priority="424">
      <formula>E200&gt;0</formula>
    </cfRule>
    <cfRule type="expression" dxfId="82" priority="425">
      <formula>E170&gt;0</formula>
    </cfRule>
  </conditionalFormatting>
  <conditionalFormatting sqref="E166:Q166">
    <cfRule type="expression" dxfId="81" priority="3">
      <formula>ABS(E166)&lt;1</formula>
    </cfRule>
  </conditionalFormatting>
  <conditionalFormatting sqref="E196:Q197">
    <cfRule type="expression" dxfId="80" priority="2">
      <formula>ABS(E196)&lt;1</formula>
    </cfRule>
  </conditionalFormatting>
  <conditionalFormatting sqref="E226:Q226">
    <cfRule type="expression" dxfId="79" priority="4">
      <formula>ABS(E226)&lt;1</formula>
    </cfRule>
  </conditionalFormatting>
  <conditionalFormatting sqref="E275:Q275">
    <cfRule type="cellIs" dxfId="78" priority="1" operator="between">
      <formula>-1</formula>
      <formula>1</formula>
    </cfRule>
  </conditionalFormatting>
  <dataValidations count="1">
    <dataValidation operator="notEqual" showInputMessage="1" showErrorMessage="1" sqref="E18:P18" xr:uid="{99AFBC69-D577-4928-8FED-19828C371918}"/>
  </dataValidations>
  <printOptions horizontalCentered="1" verticalCentered="1"/>
  <pageMargins left="0.25" right="0.25" top="0.75" bottom="0.75" header="0.3" footer="0.3"/>
  <pageSetup scale="41" fitToHeight="2" orientation="landscape" r:id="rId1"/>
  <headerFooter>
    <oddHeader>&amp;R&amp;D</oddHeader>
    <oddFooter>Page &amp;P of &amp;N</oddFooter>
  </headerFooter>
  <rowBreaks count="1" manualBreakCount="1">
    <brk id="72" min="1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0"/>
  </sheetPr>
  <dimension ref="A1:V392"/>
  <sheetViews>
    <sheetView tabSelected="1" view="pageBreakPreview" zoomScale="60" zoomScaleNormal="100" workbookViewId="0">
      <selection activeCell="A11" sqref="A11"/>
    </sheetView>
  </sheetViews>
  <sheetFormatPr defaultColWidth="10.81640625" defaultRowHeight="16" outlineLevelRow="1" outlineLevelCol="1" x14ac:dyDescent="0.35"/>
  <cols>
    <col min="1" max="1" width="15.54296875" style="34" bestFit="1" customWidth="1"/>
    <col min="2" max="2" width="9.1796875" style="34" customWidth="1"/>
    <col min="3" max="3" width="2.81640625" style="34" customWidth="1"/>
    <col min="4" max="4" width="37.81640625" style="34" customWidth="1"/>
    <col min="5" max="5" width="14" style="34" customWidth="1"/>
    <col min="6" max="6" width="12.81640625" style="34" customWidth="1"/>
    <col min="7" max="8" width="15.81640625" style="34" customWidth="1"/>
    <col min="9" max="9" width="13.81640625" style="34" customWidth="1"/>
    <col min="10" max="10" width="13.1796875" style="34" customWidth="1"/>
    <col min="11" max="16" width="12.81640625" style="34" customWidth="1"/>
    <col min="17" max="17" width="15.1796875" style="34" bestFit="1" customWidth="1"/>
    <col min="18" max="18" width="13.81640625" style="34" customWidth="1"/>
    <col min="19" max="19" width="15.1796875" style="34" customWidth="1" outlineLevel="1"/>
    <col min="20" max="20" width="11.1796875" style="330" customWidth="1" outlineLevel="1"/>
    <col min="21" max="21" width="9.81640625" style="54" bestFit="1" customWidth="1"/>
    <col min="22" max="22" width="47.1796875" style="34" bestFit="1" customWidth="1"/>
    <col min="23" max="16384" width="10.81640625" style="34"/>
  </cols>
  <sheetData>
    <row r="1" spans="1:22" s="51" customFormat="1" ht="29" x14ac:dyDescent="0.25">
      <c r="B1" s="280">
        <v>4070</v>
      </c>
      <c r="C1" s="280"/>
      <c r="J1" s="52" t="str">
        <f>+'4060'!J1</f>
        <v>Operating Budget</v>
      </c>
      <c r="Q1" s="389">
        <f>'NI LLC-Consolidated'!Q1</f>
        <v>46023</v>
      </c>
      <c r="R1" s="389"/>
      <c r="S1" s="389"/>
      <c r="T1" s="390"/>
      <c r="U1" s="291"/>
    </row>
    <row r="2" spans="1:22" ht="18" x14ac:dyDescent="0.35">
      <c r="J2" s="120" t="str">
        <f>+'4060'!J2</f>
        <v>Neshaminy Interplex LLC</v>
      </c>
      <c r="Q2" s="391"/>
      <c r="R2" s="391"/>
      <c r="S2" s="391"/>
      <c r="T2" s="388"/>
    </row>
    <row r="3" spans="1:22" ht="18" x14ac:dyDescent="0.35">
      <c r="Q3" s="468">
        <f>Q1</f>
        <v>46023</v>
      </c>
      <c r="R3" s="469"/>
      <c r="S3" s="392" t="s">
        <v>504</v>
      </c>
      <c r="T3" s="393"/>
    </row>
    <row r="4" spans="1:22" s="39" customFormat="1" ht="18" x14ac:dyDescent="0.35">
      <c r="B4" s="281">
        <v>61508</v>
      </c>
      <c r="C4" s="281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29" t="s">
        <v>12</v>
      </c>
      <c r="R4" s="429" t="s">
        <v>442</v>
      </c>
      <c r="S4" s="394" t="s">
        <v>12</v>
      </c>
      <c r="T4" s="395" t="s">
        <v>503</v>
      </c>
      <c r="U4" s="292" t="s">
        <v>449</v>
      </c>
      <c r="V4" s="297" t="s">
        <v>370</v>
      </c>
    </row>
    <row r="5" spans="1:22" x14ac:dyDescent="0.35">
      <c r="Q5" s="430"/>
      <c r="R5" s="430"/>
      <c r="S5" s="396"/>
      <c r="T5" s="397"/>
      <c r="U5" s="294"/>
      <c r="V5" s="38"/>
    </row>
    <row r="6" spans="1:22" s="56" customFormat="1" x14ac:dyDescent="0.35">
      <c r="B6" s="57"/>
      <c r="D6" s="276" t="s">
        <v>13</v>
      </c>
      <c r="E6" s="277">
        <f>'Renew &amp; Vac'!AJ53</f>
        <v>0.69330000000000003</v>
      </c>
      <c r="F6" s="277">
        <f>'Renew &amp; Vac'!AK53</f>
        <v>0.69330000000000003</v>
      </c>
      <c r="G6" s="277">
        <f>'Renew &amp; Vac'!AL53</f>
        <v>0.69330000000000003</v>
      </c>
      <c r="H6" s="277">
        <f>'Renew &amp; Vac'!AM53</f>
        <v>0.74490000000000001</v>
      </c>
      <c r="I6" s="277">
        <f>'Renew &amp; Vac'!AN53</f>
        <v>0.74490000000000001</v>
      </c>
      <c r="J6" s="277">
        <f>'Renew &amp; Vac'!AO53</f>
        <v>0.74490000000000001</v>
      </c>
      <c r="K6" s="277">
        <f>'Renew &amp; Vac'!AP53</f>
        <v>0.74490000000000001</v>
      </c>
      <c r="L6" s="277">
        <f>'Renew &amp; Vac'!AQ53</f>
        <v>0.74490000000000001</v>
      </c>
      <c r="M6" s="277">
        <f>'Renew &amp; Vac'!AR53</f>
        <v>0.74490000000000001</v>
      </c>
      <c r="N6" s="277">
        <f>'Renew &amp; Vac'!AS53</f>
        <v>0.74490000000000001</v>
      </c>
      <c r="O6" s="277">
        <f>'Renew &amp; Vac'!AT53</f>
        <v>0.74490000000000001</v>
      </c>
      <c r="P6" s="277">
        <f>'Renew &amp; Vac'!AU53</f>
        <v>0.71730000000000005</v>
      </c>
      <c r="Q6" s="431"/>
      <c r="R6" s="431"/>
      <c r="S6" s="398"/>
      <c r="T6" s="399"/>
      <c r="U6" s="298"/>
      <c r="V6" s="299"/>
    </row>
    <row r="7" spans="1:22" s="56" customFormat="1" x14ac:dyDescent="0.35">
      <c r="B7" s="57"/>
      <c r="D7" s="276" t="s">
        <v>447</v>
      </c>
      <c r="E7" s="278">
        <f>$B$4*E6</f>
        <v>42643.496400000004</v>
      </c>
      <c r="F7" s="278">
        <f t="shared" ref="F7:P7" si="0">$B$4*F6</f>
        <v>42643.496400000004</v>
      </c>
      <c r="G7" s="278">
        <f t="shared" si="0"/>
        <v>42643.496400000004</v>
      </c>
      <c r="H7" s="278">
        <f t="shared" si="0"/>
        <v>45817.309200000003</v>
      </c>
      <c r="I7" s="278">
        <f t="shared" si="0"/>
        <v>45817.309200000003</v>
      </c>
      <c r="J7" s="278">
        <f t="shared" si="0"/>
        <v>45817.309200000003</v>
      </c>
      <c r="K7" s="278">
        <f t="shared" si="0"/>
        <v>45817.309200000003</v>
      </c>
      <c r="L7" s="278">
        <f t="shared" si="0"/>
        <v>45817.309200000003</v>
      </c>
      <c r="M7" s="278">
        <f t="shared" si="0"/>
        <v>45817.309200000003</v>
      </c>
      <c r="N7" s="278">
        <f t="shared" si="0"/>
        <v>45817.309200000003</v>
      </c>
      <c r="O7" s="278">
        <f t="shared" si="0"/>
        <v>45817.309200000003</v>
      </c>
      <c r="P7" s="278">
        <f t="shared" si="0"/>
        <v>44119.688400000006</v>
      </c>
      <c r="Q7" s="431"/>
      <c r="R7" s="431"/>
      <c r="S7" s="398"/>
      <c r="T7" s="399"/>
      <c r="U7" s="298"/>
      <c r="V7" s="299"/>
    </row>
    <row r="8" spans="1:22" ht="18" x14ac:dyDescent="0.35">
      <c r="B8" s="35" t="s">
        <v>14</v>
      </c>
      <c r="Q8" s="430"/>
      <c r="R8" s="430"/>
      <c r="S8" s="396"/>
      <c r="T8" s="397"/>
      <c r="U8" s="294"/>
      <c r="V8" s="38"/>
    </row>
    <row r="9" spans="1:22" x14ac:dyDescent="0.35">
      <c r="A9" s="110"/>
      <c r="Q9" s="430"/>
      <c r="R9" s="430"/>
      <c r="S9" s="396"/>
      <c r="T9" s="397"/>
      <c r="U9" s="294"/>
      <c r="V9" s="38"/>
    </row>
    <row r="10" spans="1:22" x14ac:dyDescent="0.35">
      <c r="A10" s="110" t="s">
        <v>136</v>
      </c>
      <c r="C10" s="34" t="s">
        <v>163</v>
      </c>
      <c r="E10" s="34">
        <f>SUMIFS('In Place Revenue'!$G:$G,'In Place Revenue'!$A:$A,"4070",'In Place Revenue'!$H:$H,1)</f>
        <v>62565.05</v>
      </c>
      <c r="F10" s="34">
        <f>SUMIFS('In Place Revenue'!$G:$G,'In Place Revenue'!$A:$A,"4070",'In Place Revenue'!$H:$H,2)</f>
        <v>62565.05</v>
      </c>
      <c r="G10" s="34">
        <f>SUMIFS('In Place Revenue'!$G:$G,'In Place Revenue'!$A:$A,"4070",'In Place Revenue'!$H:$H,3)</f>
        <v>62565.05</v>
      </c>
      <c r="H10" s="34">
        <f>SUMIFS('In Place Revenue'!$G:$G,'In Place Revenue'!$A:$A,"4070",'In Place Revenue'!$H:$H,4)</f>
        <v>62565.05</v>
      </c>
      <c r="I10" s="34">
        <f>SUMIFS('In Place Revenue'!$G:$G,'In Place Revenue'!$A:$A,"4070",'In Place Revenue'!$H:$H,5)</f>
        <v>62565.05</v>
      </c>
      <c r="J10" s="34">
        <f>SUMIFS('In Place Revenue'!$G:$G,'In Place Revenue'!$A:$A,"4070",'In Place Revenue'!$H:$H,6)</f>
        <v>62702.89</v>
      </c>
      <c r="K10" s="34">
        <f>SUMIFS('In Place Revenue'!$G:$G,'In Place Revenue'!$A:$A,"4070",'In Place Revenue'!$H:$H,7)</f>
        <v>62863.76</v>
      </c>
      <c r="L10" s="34">
        <f>SUMIFS('In Place Revenue'!$G:$G,'In Place Revenue'!$A:$A,"4070",'In Place Revenue'!$H:$H,8)</f>
        <v>62937.55</v>
      </c>
      <c r="M10" s="34">
        <f>SUMIFS('In Place Revenue'!$G:$G,'In Place Revenue'!$A:$A,"4070",'In Place Revenue'!$H:$H,9)</f>
        <v>62937.55</v>
      </c>
      <c r="N10" s="34">
        <f>SUMIFS('In Place Revenue'!$G:$G,'In Place Revenue'!$A:$A,"4070",'In Place Revenue'!$H:$H,10)</f>
        <v>62937.55</v>
      </c>
      <c r="O10" s="34">
        <f>SUMIFS('In Place Revenue'!$G:$G,'In Place Revenue'!$A:$A,"4070",'In Place Revenue'!$H:$H,11)</f>
        <v>63486.27</v>
      </c>
      <c r="P10" s="34">
        <f>SUMIFS('In Place Revenue'!$G:$G,'In Place Revenue'!$A:$A,"4070",'In Place Revenue'!$H:$H,12)</f>
        <v>61246.64</v>
      </c>
      <c r="Q10" s="430">
        <f>SUM(E10:P10)</f>
        <v>751937.46000000008</v>
      </c>
      <c r="R10" s="432">
        <f>Q10/$B$4</f>
        <v>12.225035117383106</v>
      </c>
      <c r="S10" s="396">
        <v>813875.07000000007</v>
      </c>
      <c r="T10" s="460">
        <f>IFERROR((Q10+Q11)/S10-1,"-")</f>
        <v>0.10879507383526743</v>
      </c>
      <c r="U10" s="300"/>
      <c r="V10" s="38"/>
    </row>
    <row r="11" spans="1:22" x14ac:dyDescent="0.35">
      <c r="A11" s="110" t="s">
        <v>136</v>
      </c>
      <c r="C11" s="34" t="s">
        <v>164</v>
      </c>
      <c r="E11" s="34">
        <f>'Renew &amp; Vac'!AJ54</f>
        <v>8725.3333333333339</v>
      </c>
      <c r="F11" s="34">
        <f>'Renew &amp; Vac'!AK54</f>
        <v>8725.3333333333339</v>
      </c>
      <c r="G11" s="34">
        <f>'Renew &amp; Vac'!AL54</f>
        <v>8725.3333333333339</v>
      </c>
      <c r="H11" s="34">
        <f>'Renew &amp; Vac'!AM54</f>
        <v>13876.583333333334</v>
      </c>
      <c r="I11" s="34">
        <f>'Renew &amp; Vac'!AN54</f>
        <v>13876.583333333334</v>
      </c>
      <c r="J11" s="34">
        <f>'Renew &amp; Vac'!AO54</f>
        <v>13876.583333333334</v>
      </c>
      <c r="K11" s="34">
        <f>'Renew &amp; Vac'!AP54</f>
        <v>13876.583333333334</v>
      </c>
      <c r="L11" s="34">
        <f>'Renew &amp; Vac'!AQ54</f>
        <v>13876.583333333334</v>
      </c>
      <c r="M11" s="34">
        <f>'Renew &amp; Vac'!AR54</f>
        <v>13876.583333333334</v>
      </c>
      <c r="N11" s="34">
        <f>'Renew &amp; Vac'!AS54</f>
        <v>13876.583333333334</v>
      </c>
      <c r="O11" s="34">
        <f>'Renew &amp; Vac'!AT54</f>
        <v>13876.583333333334</v>
      </c>
      <c r="P11" s="34">
        <f>'Renew &amp; Vac'!AU54</f>
        <v>13294.541666666666</v>
      </c>
      <c r="Q11" s="430">
        <f>SUM(E11:P11)</f>
        <v>150483.20833333331</v>
      </c>
      <c r="R11" s="432">
        <f t="shared" ref="R11:R73" si="1">Q11/$B$4</f>
        <v>2.4465631841928417</v>
      </c>
      <c r="S11" s="396"/>
      <c r="T11" s="460" t="str">
        <f>IFERROR(Q11/S11-1,"-")</f>
        <v>-</v>
      </c>
      <c r="U11" s="300"/>
      <c r="V11" s="38"/>
    </row>
    <row r="12" spans="1:22" hidden="1" x14ac:dyDescent="0.35">
      <c r="A12" s="110" t="s">
        <v>101</v>
      </c>
      <c r="C12" s="34" t="s">
        <v>16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30">
        <f>SUM(E12:P12)</f>
        <v>0</v>
      </c>
      <c r="R12" s="432">
        <f t="shared" si="1"/>
        <v>0</v>
      </c>
      <c r="S12" s="396"/>
      <c r="T12" s="399" t="e">
        <f>R12/S12-1</f>
        <v>#DIV/0!</v>
      </c>
      <c r="U12" s="300"/>
      <c r="V12" s="38"/>
    </row>
    <row r="13" spans="1:22" x14ac:dyDescent="0.35">
      <c r="A13" s="110" t="s">
        <v>137</v>
      </c>
      <c r="C13" s="34" t="s">
        <v>17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30">
        <f>SUM(E13:P13)</f>
        <v>0</v>
      </c>
      <c r="R13" s="432">
        <f t="shared" si="1"/>
        <v>0</v>
      </c>
      <c r="S13" s="396"/>
      <c r="T13" s="460" t="str">
        <f>IFERROR(Q13/S13-1,"-")</f>
        <v>-</v>
      </c>
      <c r="U13" s="300"/>
      <c r="V13" s="38"/>
    </row>
    <row r="14" spans="1:22" x14ac:dyDescent="0.35">
      <c r="A14" s="110" t="s">
        <v>138</v>
      </c>
      <c r="C14" s="34" t="s">
        <v>18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30">
        <f>SUM(E14:P14)</f>
        <v>0</v>
      </c>
      <c r="R14" s="432">
        <f t="shared" si="1"/>
        <v>0</v>
      </c>
      <c r="S14" s="396"/>
      <c r="T14" s="460" t="str">
        <f>IFERROR(Q14/S14-1,"-")</f>
        <v>-</v>
      </c>
      <c r="U14" s="300"/>
      <c r="V14" s="38"/>
    </row>
    <row r="15" spans="1:22" x14ac:dyDescent="0.35">
      <c r="A15" s="110"/>
      <c r="C15" s="34" t="s">
        <v>19</v>
      </c>
      <c r="D15" s="44"/>
      <c r="E15" s="59">
        <f t="shared" ref="E15:Q15" si="2">SUM(E10:E14)</f>
        <v>71290.383333333331</v>
      </c>
      <c r="F15" s="59">
        <f t="shared" si="2"/>
        <v>71290.383333333331</v>
      </c>
      <c r="G15" s="59">
        <f t="shared" si="2"/>
        <v>71290.383333333331</v>
      </c>
      <c r="H15" s="59">
        <f t="shared" si="2"/>
        <v>76441.633333333331</v>
      </c>
      <c r="I15" s="59">
        <f t="shared" si="2"/>
        <v>76441.633333333331</v>
      </c>
      <c r="J15" s="59">
        <f t="shared" si="2"/>
        <v>76579.473333333328</v>
      </c>
      <c r="K15" s="59">
        <f t="shared" si="2"/>
        <v>76740.343333333338</v>
      </c>
      <c r="L15" s="59">
        <f t="shared" si="2"/>
        <v>76814.133333333331</v>
      </c>
      <c r="M15" s="59">
        <f t="shared" si="2"/>
        <v>76814.133333333331</v>
      </c>
      <c r="N15" s="59">
        <f t="shared" si="2"/>
        <v>76814.133333333331</v>
      </c>
      <c r="O15" s="59">
        <f t="shared" si="2"/>
        <v>77362.853333333333</v>
      </c>
      <c r="P15" s="59">
        <f t="shared" si="2"/>
        <v>74541.181666666671</v>
      </c>
      <c r="Q15" s="433">
        <f t="shared" si="2"/>
        <v>902420.66833333345</v>
      </c>
      <c r="R15" s="434">
        <f t="shared" si="1"/>
        <v>14.671598301575949</v>
      </c>
      <c r="S15" s="400">
        <f>SUM(S10:S14)</f>
        <v>813875.07000000007</v>
      </c>
      <c r="T15" s="461">
        <f>IFERROR(Q15/S15-1,"-")</f>
        <v>0.10879507383526743</v>
      </c>
      <c r="U15" s="300"/>
      <c r="V15" s="38"/>
    </row>
    <row r="16" spans="1:22" ht="18" x14ac:dyDescent="0.35">
      <c r="A16" s="110"/>
      <c r="Q16" s="435"/>
      <c r="R16" s="436"/>
      <c r="S16" s="402"/>
      <c r="T16" s="403"/>
      <c r="U16" s="301"/>
      <c r="V16" s="38"/>
    </row>
    <row r="17" spans="1:22" ht="18" x14ac:dyDescent="0.35">
      <c r="A17" s="110"/>
      <c r="B17" s="35" t="s">
        <v>20</v>
      </c>
      <c r="Q17" s="430"/>
      <c r="R17" s="432"/>
      <c r="S17" s="396"/>
      <c r="T17" s="399"/>
      <c r="U17" s="300"/>
      <c r="V17" s="38"/>
    </row>
    <row r="18" spans="1:22" x14ac:dyDescent="0.35">
      <c r="A18" s="110" t="s">
        <v>102</v>
      </c>
      <c r="C18" s="34" t="s">
        <v>21</v>
      </c>
      <c r="E18" s="34">
        <f>E6*E29</f>
        <v>10798.8408</v>
      </c>
      <c r="F18" s="34">
        <f t="shared" ref="F18:P18" si="3">F6*F29</f>
        <v>9799.7955000000002</v>
      </c>
      <c r="G18" s="34">
        <f t="shared" si="3"/>
        <v>9063.5109000000011</v>
      </c>
      <c r="H18" s="34">
        <f t="shared" si="3"/>
        <v>8579.0133000000005</v>
      </c>
      <c r="I18" s="34">
        <f t="shared" si="3"/>
        <v>8549.9621999999999</v>
      </c>
      <c r="J18" s="34">
        <f t="shared" si="3"/>
        <v>8678.0850000000009</v>
      </c>
      <c r="K18" s="34">
        <f t="shared" si="3"/>
        <v>9654.6489000000001</v>
      </c>
      <c r="L18" s="34">
        <f t="shared" si="3"/>
        <v>8651.2685999999994</v>
      </c>
      <c r="M18" s="34">
        <f t="shared" si="3"/>
        <v>7441.5510000000004</v>
      </c>
      <c r="N18" s="34">
        <f t="shared" si="3"/>
        <v>8679.5748000000003</v>
      </c>
      <c r="O18" s="34">
        <f t="shared" si="3"/>
        <v>7933.9299000000001</v>
      </c>
      <c r="P18" s="34">
        <f t="shared" si="3"/>
        <v>10210.765500000001</v>
      </c>
      <c r="Q18" s="430">
        <f>SUM(E18:P18)</f>
        <v>108040.94640000002</v>
      </c>
      <c r="R18" s="432">
        <f t="shared" ref="R18" si="4">Q18/$B$4</f>
        <v>1.7565348637575602</v>
      </c>
      <c r="S18" s="396">
        <v>96851.9</v>
      </c>
      <c r="T18" s="460">
        <f>IFERROR(Q18/S18-1,"-")</f>
        <v>0.11552738149690422</v>
      </c>
      <c r="U18" s="300" t="s">
        <v>371</v>
      </c>
      <c r="V18" s="316" t="str">
        <f>Q18/Q29*100&amp;"% Set to occupancy"</f>
        <v>72.7391716263162% Set to occupancy</v>
      </c>
    </row>
    <row r="19" spans="1:22" x14ac:dyDescent="0.35">
      <c r="A19" s="110" t="s">
        <v>103</v>
      </c>
      <c r="C19" s="34" t="s">
        <v>22</v>
      </c>
      <c r="E19" s="34">
        <f>+'Tenant Recoveries'!H21</f>
        <v>8500</v>
      </c>
      <c r="F19" s="34">
        <f>+E19</f>
        <v>8500</v>
      </c>
      <c r="G19" s="34">
        <f t="shared" ref="G19:P20" si="5">+F19</f>
        <v>8500</v>
      </c>
      <c r="H19" s="34">
        <f t="shared" si="5"/>
        <v>8500</v>
      </c>
      <c r="I19" s="34">
        <f t="shared" si="5"/>
        <v>8500</v>
      </c>
      <c r="J19" s="34">
        <f t="shared" si="5"/>
        <v>8500</v>
      </c>
      <c r="K19" s="34">
        <f t="shared" si="5"/>
        <v>8500</v>
      </c>
      <c r="L19" s="34">
        <f t="shared" si="5"/>
        <v>8500</v>
      </c>
      <c r="M19" s="34">
        <f t="shared" si="5"/>
        <v>8500</v>
      </c>
      <c r="N19" s="34">
        <f t="shared" si="5"/>
        <v>8500</v>
      </c>
      <c r="O19" s="34">
        <f t="shared" si="5"/>
        <v>8500</v>
      </c>
      <c r="P19" s="34">
        <f t="shared" si="5"/>
        <v>8500</v>
      </c>
      <c r="Q19" s="430">
        <f>SUM(E19:P19)</f>
        <v>102000</v>
      </c>
      <c r="R19" s="432">
        <f t="shared" si="1"/>
        <v>1.6583208688300708</v>
      </c>
      <c r="S19" s="396">
        <v>89300</v>
      </c>
      <c r="T19" s="460">
        <f>IFERROR(Q19/S19-1,"-")</f>
        <v>0.14221724524076151</v>
      </c>
      <c r="U19" s="300"/>
      <c r="V19" s="316">
        <f>Q19/(Q71-Q63-Q58-Q29)</f>
        <v>0.24989326727316469</v>
      </c>
    </row>
    <row r="20" spans="1:22" x14ac:dyDescent="0.35">
      <c r="A20" s="110" t="s">
        <v>104</v>
      </c>
      <c r="C20" s="34" t="s">
        <v>23</v>
      </c>
      <c r="E20" s="34">
        <f>+'Tenant Recoveries'!H22</f>
        <v>400</v>
      </c>
      <c r="F20" s="34">
        <f>+E20</f>
        <v>400</v>
      </c>
      <c r="G20" s="34">
        <f t="shared" si="5"/>
        <v>400</v>
      </c>
      <c r="H20" s="34">
        <f t="shared" si="5"/>
        <v>400</v>
      </c>
      <c r="I20" s="34">
        <f t="shared" si="5"/>
        <v>400</v>
      </c>
      <c r="J20" s="34">
        <f t="shared" si="5"/>
        <v>400</v>
      </c>
      <c r="K20" s="34">
        <f t="shared" si="5"/>
        <v>400</v>
      </c>
      <c r="L20" s="34">
        <f t="shared" si="5"/>
        <v>400</v>
      </c>
      <c r="M20" s="34">
        <f t="shared" si="5"/>
        <v>400</v>
      </c>
      <c r="N20" s="34">
        <f t="shared" si="5"/>
        <v>400</v>
      </c>
      <c r="O20" s="34">
        <f t="shared" si="5"/>
        <v>400</v>
      </c>
      <c r="P20" s="34">
        <f t="shared" si="5"/>
        <v>400</v>
      </c>
      <c r="Q20" s="430">
        <f>SUM(E20:P20)</f>
        <v>4800</v>
      </c>
      <c r="R20" s="432">
        <f t="shared" si="1"/>
        <v>7.8038629121415098E-2</v>
      </c>
      <c r="S20" s="396">
        <v>5334</v>
      </c>
      <c r="T20" s="460">
        <f>IFERROR(Q20/S20-1,"-")</f>
        <v>-0.10011248593925759</v>
      </c>
      <c r="U20" s="300"/>
      <c r="V20" s="316">
        <f>Q20/Q58</f>
        <v>6.3542804836351899E-2</v>
      </c>
    </row>
    <row r="21" spans="1:22" x14ac:dyDescent="0.35">
      <c r="A21" s="110" t="s">
        <v>139</v>
      </c>
      <c r="C21" s="34" t="s">
        <v>24</v>
      </c>
      <c r="Q21" s="430">
        <f>SUM(E21:P21)</f>
        <v>0</v>
      </c>
      <c r="R21" s="432">
        <f t="shared" si="1"/>
        <v>0</v>
      </c>
      <c r="S21" s="396">
        <v>0</v>
      </c>
      <c r="T21" s="464" t="str">
        <f>IFERROR(Q21/S21-1,"-")</f>
        <v>-</v>
      </c>
      <c r="U21" s="300"/>
      <c r="V21" s="38"/>
    </row>
    <row r="22" spans="1:22" x14ac:dyDescent="0.35">
      <c r="A22" s="110"/>
      <c r="C22" s="34" t="s">
        <v>25</v>
      </c>
      <c r="D22" s="44"/>
      <c r="E22" s="59">
        <f t="shared" ref="E22:Q22" si="6">SUM(E18:E21)</f>
        <v>19698.840799999998</v>
      </c>
      <c r="F22" s="59">
        <f t="shared" si="6"/>
        <v>18699.7955</v>
      </c>
      <c r="G22" s="59">
        <f t="shared" si="6"/>
        <v>17963.510900000001</v>
      </c>
      <c r="H22" s="59">
        <f t="shared" si="6"/>
        <v>17479.013299999999</v>
      </c>
      <c r="I22" s="59">
        <f t="shared" si="6"/>
        <v>17449.962200000002</v>
      </c>
      <c r="J22" s="59">
        <f t="shared" si="6"/>
        <v>17578.084999999999</v>
      </c>
      <c r="K22" s="59">
        <f t="shared" si="6"/>
        <v>18554.6489</v>
      </c>
      <c r="L22" s="59">
        <f t="shared" si="6"/>
        <v>17551.268599999999</v>
      </c>
      <c r="M22" s="59">
        <f t="shared" si="6"/>
        <v>16341.550999999999</v>
      </c>
      <c r="N22" s="59">
        <f t="shared" si="6"/>
        <v>17579.574800000002</v>
      </c>
      <c r="O22" s="59">
        <f t="shared" si="6"/>
        <v>16833.929899999999</v>
      </c>
      <c r="P22" s="59">
        <f t="shared" si="6"/>
        <v>19110.765500000001</v>
      </c>
      <c r="Q22" s="433">
        <f t="shared" si="6"/>
        <v>214840.94640000002</v>
      </c>
      <c r="R22" s="434">
        <f t="shared" si="1"/>
        <v>3.4928943617090464</v>
      </c>
      <c r="S22" s="400">
        <f>SUM(S18:S21)</f>
        <v>191485.9</v>
      </c>
      <c r="T22" s="461">
        <f>IFERROR(Q22/S22-1,"-")</f>
        <v>0.12196744721151798</v>
      </c>
      <c r="U22" s="300"/>
      <c r="V22" s="38"/>
    </row>
    <row r="23" spans="1:22" ht="16.5" thickBot="1" x14ac:dyDescent="0.4">
      <c r="A23" s="110"/>
      <c r="Q23" s="430"/>
      <c r="R23" s="432">
        <f t="shared" si="1"/>
        <v>0</v>
      </c>
      <c r="S23" s="396"/>
      <c r="T23" s="399"/>
      <c r="U23" s="300"/>
      <c r="V23" s="38"/>
    </row>
    <row r="24" spans="1:22" s="37" customFormat="1" ht="18" thickBot="1" x14ac:dyDescent="0.4">
      <c r="A24" s="285"/>
      <c r="B24" s="286" t="s">
        <v>26</v>
      </c>
      <c r="C24" s="287"/>
      <c r="D24" s="287"/>
      <c r="E24" s="287">
        <f t="shared" ref="E24:Q24" si="7">+E15+E22</f>
        <v>90989.224133333337</v>
      </c>
      <c r="F24" s="287">
        <f t="shared" si="7"/>
        <v>89990.178833333339</v>
      </c>
      <c r="G24" s="287">
        <f t="shared" si="7"/>
        <v>89253.894233333325</v>
      </c>
      <c r="H24" s="287">
        <f t="shared" si="7"/>
        <v>93920.646633333323</v>
      </c>
      <c r="I24" s="287">
        <f t="shared" si="7"/>
        <v>93891.59553333334</v>
      </c>
      <c r="J24" s="287">
        <f t="shared" si="7"/>
        <v>94157.55833333332</v>
      </c>
      <c r="K24" s="287">
        <f t="shared" si="7"/>
        <v>95294.992233333338</v>
      </c>
      <c r="L24" s="287">
        <f t="shared" si="7"/>
        <v>94365.401933333327</v>
      </c>
      <c r="M24" s="287">
        <f t="shared" si="7"/>
        <v>93155.684333333338</v>
      </c>
      <c r="N24" s="287">
        <f t="shared" si="7"/>
        <v>94393.708133333334</v>
      </c>
      <c r="O24" s="287">
        <f t="shared" si="7"/>
        <v>94196.783233333335</v>
      </c>
      <c r="P24" s="287">
        <f t="shared" si="7"/>
        <v>93651.94716666668</v>
      </c>
      <c r="Q24" s="426">
        <f t="shared" si="7"/>
        <v>1117261.6147333335</v>
      </c>
      <c r="R24" s="428">
        <f t="shared" si="1"/>
        <v>18.164492663284996</v>
      </c>
      <c r="S24" s="427">
        <f>+S15+S22</f>
        <v>1005360.9700000001</v>
      </c>
      <c r="T24" s="405">
        <f>IFERROR(Q24/S24-1,"-")</f>
        <v>0.11130394760931828</v>
      </c>
      <c r="U24" s="302"/>
      <c r="V24" s="303"/>
    </row>
    <row r="25" spans="1:22" ht="18" x14ac:dyDescent="0.35">
      <c r="A25" s="110"/>
      <c r="Q25" s="435"/>
      <c r="R25" s="436"/>
      <c r="S25" s="402"/>
      <c r="T25" s="403"/>
      <c r="U25" s="301"/>
      <c r="V25" s="38"/>
    </row>
    <row r="26" spans="1:22" ht="18" x14ac:dyDescent="0.35">
      <c r="A26" s="110"/>
      <c r="B26" s="35" t="s">
        <v>27</v>
      </c>
      <c r="Q26" s="430"/>
      <c r="R26" s="432"/>
      <c r="S26" s="396"/>
      <c r="T26" s="399"/>
      <c r="U26" s="300"/>
      <c r="V26" s="38"/>
    </row>
    <row r="27" spans="1:22" x14ac:dyDescent="0.35">
      <c r="A27" s="110" t="s">
        <v>105</v>
      </c>
      <c r="C27" s="34" t="s">
        <v>28</v>
      </c>
      <c r="E27" s="34">
        <f>'Allocated Expenses'!F8</f>
        <v>1258.3791290705528</v>
      </c>
      <c r="F27" s="34">
        <f>'Allocated Expenses'!G8</f>
        <v>1258.3791290705528</v>
      </c>
      <c r="G27" s="34">
        <f>'Allocated Expenses'!H8</f>
        <v>1258.3791290705528</v>
      </c>
      <c r="H27" s="34">
        <f>'Allocated Expenses'!I8</f>
        <v>1258.3791290705528</v>
      </c>
      <c r="I27" s="34">
        <f>'Allocated Expenses'!J8</f>
        <v>1258.3791290705528</v>
      </c>
      <c r="J27" s="34">
        <f>'Allocated Expenses'!K8</f>
        <v>1258.3791290705528</v>
      </c>
      <c r="K27" s="34">
        <f>'Allocated Expenses'!L8</f>
        <v>1258.3791290705528</v>
      </c>
      <c r="L27" s="34">
        <f>'Allocated Expenses'!M8</f>
        <v>1258.3791290705528</v>
      </c>
      <c r="M27" s="34">
        <f>'Allocated Expenses'!N8</f>
        <v>1258.3791290705528</v>
      </c>
      <c r="N27" s="34">
        <f>'Allocated Expenses'!O8</f>
        <v>1258.3791290705528</v>
      </c>
      <c r="O27" s="34">
        <f>'Allocated Expenses'!P8</f>
        <v>1258.3791290705528</v>
      </c>
      <c r="P27" s="34">
        <f>'Allocated Expenses'!Q8</f>
        <v>1258.3791290705528</v>
      </c>
      <c r="Q27" s="430">
        <f>SUM(E27:P27)</f>
        <v>15100.549548846631</v>
      </c>
      <c r="R27" s="432">
        <f t="shared" si="1"/>
        <v>0.24550545536916549</v>
      </c>
      <c r="S27" s="396">
        <v>10608</v>
      </c>
      <c r="T27" s="460">
        <f>IFERROR(Q27/S27-1,"-")</f>
        <v>0.42350580211600963</v>
      </c>
      <c r="U27" s="300"/>
      <c r="V27" s="38"/>
    </row>
    <row r="28" spans="1:22" x14ac:dyDescent="0.35">
      <c r="A28" s="110"/>
      <c r="Q28" s="430"/>
      <c r="R28" s="432"/>
      <c r="S28" s="396"/>
      <c r="T28" s="399"/>
      <c r="U28" s="300"/>
      <c r="V28" s="38"/>
    </row>
    <row r="29" spans="1:22" x14ac:dyDescent="0.35">
      <c r="A29" s="110" t="s">
        <v>106</v>
      </c>
      <c r="C29" s="34" t="s">
        <v>21</v>
      </c>
      <c r="E29" s="40">
        <v>15576</v>
      </c>
      <c r="F29" s="40">
        <v>14135</v>
      </c>
      <c r="G29" s="40">
        <v>13073</v>
      </c>
      <c r="H29" s="40">
        <v>11517</v>
      </c>
      <c r="I29" s="40">
        <v>11478</v>
      </c>
      <c r="J29" s="40">
        <v>11650</v>
      </c>
      <c r="K29" s="40">
        <v>12961</v>
      </c>
      <c r="L29" s="40">
        <v>11614</v>
      </c>
      <c r="M29" s="40">
        <v>9990</v>
      </c>
      <c r="N29" s="40">
        <v>11652</v>
      </c>
      <c r="O29" s="40">
        <v>10651</v>
      </c>
      <c r="P29" s="40">
        <v>14235</v>
      </c>
      <c r="Q29" s="430">
        <f>SUM(E29:P29)</f>
        <v>148532</v>
      </c>
      <c r="R29" s="432">
        <f t="shared" si="1"/>
        <v>2.414840345971256</v>
      </c>
      <c r="S29" s="396">
        <v>138337.06</v>
      </c>
      <c r="T29" s="460">
        <f>IFERROR(Q29/S29-1,"-")</f>
        <v>7.3696376083169701E-2</v>
      </c>
      <c r="U29" s="300" t="s">
        <v>371</v>
      </c>
      <c r="V29" s="38" t="s">
        <v>535</v>
      </c>
    </row>
    <row r="30" spans="1:22" x14ac:dyDescent="0.35">
      <c r="A30" s="110"/>
      <c r="Q30" s="430"/>
      <c r="R30" s="432"/>
      <c r="S30" s="396"/>
      <c r="T30" s="399"/>
      <c r="U30" s="300"/>
      <c r="V30" s="38"/>
    </row>
    <row r="31" spans="1:22" x14ac:dyDescent="0.35">
      <c r="A31" s="110" t="s">
        <v>107</v>
      </c>
      <c r="C31" s="34" t="s">
        <v>29</v>
      </c>
      <c r="E31" s="34">
        <f>'Water Sewer'!D22</f>
        <v>1319.43</v>
      </c>
      <c r="F31" s="34">
        <f>'Water Sewer'!E22</f>
        <v>1315.3100000000002</v>
      </c>
      <c r="G31" s="34">
        <f>'Water Sewer'!F22</f>
        <v>1319.43</v>
      </c>
      <c r="H31" s="34">
        <f>'Water Sewer'!G22</f>
        <v>1324.58</v>
      </c>
      <c r="I31" s="34">
        <f>'Water Sewer'!H22</f>
        <v>1855.0300000000002</v>
      </c>
      <c r="J31" s="34">
        <f>'Water Sewer'!I22</f>
        <v>1615.0400000000002</v>
      </c>
      <c r="K31" s="34">
        <f>'Water Sewer'!J22</f>
        <v>1808.68</v>
      </c>
      <c r="L31" s="34">
        <f>'Water Sewer'!K22</f>
        <v>2367.9700000000003</v>
      </c>
      <c r="M31" s="34">
        <f>'Water Sewer'!L22</f>
        <v>1723.19</v>
      </c>
      <c r="N31" s="34">
        <f>'Water Sewer'!M22</f>
        <v>1622.25</v>
      </c>
      <c r="O31" s="34">
        <f>'Water Sewer'!N22</f>
        <v>1569.72</v>
      </c>
      <c r="P31" s="34">
        <f>'Water Sewer'!O22</f>
        <v>1334.8799999999999</v>
      </c>
      <c r="Q31" s="430">
        <f>SUM(E31:P31)</f>
        <v>19175.510000000002</v>
      </c>
      <c r="R31" s="432">
        <f t="shared" si="1"/>
        <v>0.31175635689666387</v>
      </c>
      <c r="S31" s="396">
        <v>18608.14</v>
      </c>
      <c r="T31" s="460">
        <f>IFERROR(Q31/S31-1,"-")</f>
        <v>3.0490419784030109E-2</v>
      </c>
      <c r="U31" s="300" t="s">
        <v>371</v>
      </c>
      <c r="V31" s="38" t="s">
        <v>450</v>
      </c>
    </row>
    <row r="32" spans="1:22" x14ac:dyDescent="0.35">
      <c r="A32" s="110"/>
      <c r="Q32" s="430"/>
      <c r="R32" s="432"/>
      <c r="S32" s="396"/>
      <c r="T32" s="399"/>
      <c r="U32" s="300"/>
      <c r="V32" s="38"/>
    </row>
    <row r="33" spans="1:22" x14ac:dyDescent="0.35">
      <c r="A33" s="110"/>
      <c r="D33" s="88" t="s">
        <v>30</v>
      </c>
      <c r="E33" s="77">
        <f>'Building Maint'!C19</f>
        <v>2612</v>
      </c>
      <c r="F33" s="77">
        <f>'Building Maint'!D19</f>
        <v>1092</v>
      </c>
      <c r="G33" s="77">
        <f>'Building Maint'!E19</f>
        <v>5980</v>
      </c>
      <c r="H33" s="77">
        <f>'Building Maint'!F19</f>
        <v>6099</v>
      </c>
      <c r="I33" s="77">
        <f>'Building Maint'!G19</f>
        <v>1092</v>
      </c>
      <c r="J33" s="77">
        <f>'Building Maint'!H19</f>
        <v>5980</v>
      </c>
      <c r="K33" s="77">
        <f>'Building Maint'!I19</f>
        <v>2612</v>
      </c>
      <c r="L33" s="77">
        <f>'Building Maint'!J19</f>
        <v>1092</v>
      </c>
      <c r="M33" s="77">
        <f>'Building Maint'!K19</f>
        <v>5980</v>
      </c>
      <c r="N33" s="77">
        <f>'Building Maint'!L19</f>
        <v>6099</v>
      </c>
      <c r="O33" s="77">
        <f>'Building Maint'!M19</f>
        <v>1092</v>
      </c>
      <c r="P33" s="77">
        <f>'Building Maint'!N19</f>
        <v>5980</v>
      </c>
      <c r="Q33" s="437">
        <f>SUM(E33:P33)</f>
        <v>45710</v>
      </c>
      <c r="R33" s="438">
        <f t="shared" si="1"/>
        <v>0.74315536190414255</v>
      </c>
      <c r="S33" s="396"/>
      <c r="T33" s="399"/>
      <c r="U33" s="300" t="s">
        <v>371</v>
      </c>
      <c r="V33" s="38" t="s">
        <v>450</v>
      </c>
    </row>
    <row r="34" spans="1:22" x14ac:dyDescent="0.35">
      <c r="A34" s="110"/>
      <c r="D34" s="89" t="s">
        <v>31</v>
      </c>
      <c r="E34" s="34">
        <f>'Building Maint'!C8</f>
        <v>3175</v>
      </c>
      <c r="F34" s="34">
        <f>'Building Maint'!D8</f>
        <v>2350</v>
      </c>
      <c r="G34" s="34">
        <f>'Building Maint'!E8</f>
        <v>2200</v>
      </c>
      <c r="H34" s="34">
        <f>'Building Maint'!F8</f>
        <v>2375</v>
      </c>
      <c r="I34" s="34">
        <f>'Building Maint'!G8</f>
        <v>4295</v>
      </c>
      <c r="J34" s="34">
        <f>'Building Maint'!H8</f>
        <v>2350</v>
      </c>
      <c r="K34" s="34">
        <f>'Building Maint'!I8</f>
        <v>4550</v>
      </c>
      <c r="L34" s="34">
        <f>'Building Maint'!J8</f>
        <v>2350</v>
      </c>
      <c r="M34" s="34">
        <f>'Building Maint'!K8</f>
        <v>2200</v>
      </c>
      <c r="N34" s="34">
        <f>'Building Maint'!L8</f>
        <v>2375</v>
      </c>
      <c r="O34" s="34">
        <f>'Building Maint'!M8</f>
        <v>2825</v>
      </c>
      <c r="P34" s="34">
        <f>'Building Maint'!N8</f>
        <v>2000</v>
      </c>
      <c r="Q34" s="439">
        <f>SUM(E34:P34)</f>
        <v>33045</v>
      </c>
      <c r="R34" s="440">
        <f t="shared" si="1"/>
        <v>0.53724718735774213</v>
      </c>
      <c r="S34" s="396"/>
      <c r="T34" s="399"/>
      <c r="U34" s="300" t="s">
        <v>371</v>
      </c>
      <c r="V34" s="38" t="s">
        <v>450</v>
      </c>
    </row>
    <row r="35" spans="1:22" x14ac:dyDescent="0.35">
      <c r="A35" s="110"/>
      <c r="D35" s="90" t="s">
        <v>32</v>
      </c>
      <c r="E35" s="42"/>
      <c r="F35" s="42"/>
      <c r="G35" s="42"/>
      <c r="H35" s="42"/>
      <c r="I35" s="42">
        <f>1.03*10000</f>
        <v>10300</v>
      </c>
      <c r="J35" s="42"/>
      <c r="K35" s="42">
        <f>1.03*15000</f>
        <v>15450</v>
      </c>
      <c r="L35" s="42">
        <f>1.03*10000</f>
        <v>10300</v>
      </c>
      <c r="M35" s="42"/>
      <c r="N35" s="42"/>
      <c r="O35" s="42"/>
      <c r="P35" s="42"/>
      <c r="Q35" s="441">
        <f>SUM(E35:P35)</f>
        <v>36050</v>
      </c>
      <c r="R35" s="442">
        <f t="shared" si="1"/>
        <v>0.58610262079729469</v>
      </c>
      <c r="S35" s="396"/>
      <c r="T35" s="399"/>
      <c r="U35" s="300" t="s">
        <v>371</v>
      </c>
      <c r="V35" s="38" t="s">
        <v>586</v>
      </c>
    </row>
    <row r="36" spans="1:22" x14ac:dyDescent="0.35">
      <c r="A36" s="110" t="s">
        <v>108</v>
      </c>
      <c r="C36" s="34" t="s">
        <v>33</v>
      </c>
      <c r="E36" s="43">
        <f t="shared" ref="E36:Q36" si="8">SUM(E33:E35)</f>
        <v>5787</v>
      </c>
      <c r="F36" s="43">
        <f t="shared" si="8"/>
        <v>3442</v>
      </c>
      <c r="G36" s="43">
        <f t="shared" si="8"/>
        <v>8180</v>
      </c>
      <c r="H36" s="43">
        <f t="shared" si="8"/>
        <v>8474</v>
      </c>
      <c r="I36" s="43">
        <f t="shared" si="8"/>
        <v>15687</v>
      </c>
      <c r="J36" s="43">
        <f t="shared" si="8"/>
        <v>8330</v>
      </c>
      <c r="K36" s="43">
        <f t="shared" si="8"/>
        <v>22612</v>
      </c>
      <c r="L36" s="43">
        <f t="shared" si="8"/>
        <v>13742</v>
      </c>
      <c r="M36" s="43">
        <f t="shared" si="8"/>
        <v>8180</v>
      </c>
      <c r="N36" s="43">
        <f t="shared" si="8"/>
        <v>8474</v>
      </c>
      <c r="O36" s="43">
        <f t="shared" si="8"/>
        <v>3917</v>
      </c>
      <c r="P36" s="43">
        <f t="shared" si="8"/>
        <v>7980</v>
      </c>
      <c r="Q36" s="443">
        <f t="shared" si="8"/>
        <v>114805</v>
      </c>
      <c r="R36" s="444">
        <f t="shared" si="1"/>
        <v>1.8665051700591793</v>
      </c>
      <c r="S36" s="400">
        <v>102162.73000000001</v>
      </c>
      <c r="T36" s="461">
        <f>IFERROR(Q36/S36-1,"-")</f>
        <v>0.12374639949421851</v>
      </c>
      <c r="U36" s="300"/>
      <c r="V36" s="38"/>
    </row>
    <row r="37" spans="1:22" x14ac:dyDescent="0.35">
      <c r="A37" s="110"/>
      <c r="Q37" s="430"/>
      <c r="R37" s="432"/>
      <c r="S37" s="396"/>
      <c r="T37" s="399"/>
      <c r="U37" s="300"/>
      <c r="V37" s="38"/>
    </row>
    <row r="38" spans="1:22" hidden="1" x14ac:dyDescent="0.35">
      <c r="A38" s="110" t="s">
        <v>303</v>
      </c>
      <c r="B38" s="34" t="s">
        <v>34</v>
      </c>
      <c r="C38" s="34" t="s">
        <v>35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30">
        <f>SUM(E38:P38)</f>
        <v>0</v>
      </c>
      <c r="R38" s="432">
        <f t="shared" si="1"/>
        <v>0</v>
      </c>
      <c r="S38" s="396"/>
      <c r="T38" s="399"/>
      <c r="U38" s="300"/>
      <c r="V38" s="38"/>
    </row>
    <row r="39" spans="1:22" hidden="1" x14ac:dyDescent="0.35">
      <c r="A39" s="110"/>
      <c r="Q39" s="430"/>
      <c r="R39" s="432"/>
      <c r="S39" s="396"/>
      <c r="T39" s="399"/>
      <c r="U39" s="300"/>
      <c r="V39" s="38"/>
    </row>
    <row r="40" spans="1:22" x14ac:dyDescent="0.35">
      <c r="A40" s="110"/>
      <c r="D40" s="88" t="s">
        <v>36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437">
        <f>SUM(E40:P40)</f>
        <v>0</v>
      </c>
      <c r="R40" s="438">
        <f t="shared" si="1"/>
        <v>0</v>
      </c>
      <c r="S40" s="396"/>
      <c r="T40" s="399"/>
      <c r="U40" s="300"/>
      <c r="V40" s="38"/>
    </row>
    <row r="41" spans="1:22" x14ac:dyDescent="0.35">
      <c r="A41" s="110"/>
      <c r="D41" s="89" t="s">
        <v>37</v>
      </c>
      <c r="E41" s="34">
        <f>'Parking Lot Maint'!C8</f>
        <v>1436.85</v>
      </c>
      <c r="F41" s="34">
        <f>'Parking Lot Maint'!D8</f>
        <v>1436.85</v>
      </c>
      <c r="G41" s="34">
        <f>'Parking Lot Maint'!E8</f>
        <v>2363.8500000000004</v>
      </c>
      <c r="H41" s="34">
        <f>'Parking Lot Maint'!F8</f>
        <v>1436.85</v>
      </c>
      <c r="I41" s="34">
        <f>'Parking Lot Maint'!G8</f>
        <v>1436.85</v>
      </c>
      <c r="J41" s="34">
        <f>'Parking Lot Maint'!H8</f>
        <v>2363.8500000000004</v>
      </c>
      <c r="K41" s="34">
        <f>'Parking Lot Maint'!I8</f>
        <v>1436.85</v>
      </c>
      <c r="L41" s="34">
        <f>'Parking Lot Maint'!J8</f>
        <v>1436.85</v>
      </c>
      <c r="M41" s="34">
        <f>'Parking Lot Maint'!K8</f>
        <v>2363.8500000000004</v>
      </c>
      <c r="N41" s="34">
        <f>'Parking Lot Maint'!L8</f>
        <v>1436.85</v>
      </c>
      <c r="O41" s="34">
        <f>'Parking Lot Maint'!M8</f>
        <v>1436.85</v>
      </c>
      <c r="P41" s="34">
        <f>'Parking Lot Maint'!N8</f>
        <v>2363.8500000000004</v>
      </c>
      <c r="Q41" s="439">
        <f>SUM(E41:P41)</f>
        <v>20950.199999999997</v>
      </c>
      <c r="R41" s="440">
        <f t="shared" si="1"/>
        <v>0.34060935162905631</v>
      </c>
      <c r="S41" s="396"/>
      <c r="T41" s="399"/>
      <c r="U41" s="300" t="s">
        <v>371</v>
      </c>
      <c r="V41" s="38" t="s">
        <v>450</v>
      </c>
    </row>
    <row r="42" spans="1:22" x14ac:dyDescent="0.35">
      <c r="A42" s="110"/>
      <c r="D42" s="90" t="s">
        <v>38</v>
      </c>
      <c r="E42" s="42"/>
      <c r="F42" s="42"/>
      <c r="G42" s="42"/>
      <c r="H42" s="42">
        <f>1.03*12000</f>
        <v>12360</v>
      </c>
      <c r="I42" s="42"/>
      <c r="J42" s="42"/>
      <c r="K42" s="42"/>
      <c r="L42" s="42">
        <f>1.03*12000</f>
        <v>12360</v>
      </c>
      <c r="M42" s="42"/>
      <c r="N42" s="42"/>
      <c r="O42" s="42"/>
      <c r="P42" s="42"/>
      <c r="Q42" s="441">
        <f>SUM(E42:P42)</f>
        <v>24720</v>
      </c>
      <c r="R42" s="442">
        <f t="shared" si="1"/>
        <v>0.40189893997528775</v>
      </c>
      <c r="S42" s="396"/>
      <c r="T42" s="399"/>
      <c r="U42" s="300" t="s">
        <v>371</v>
      </c>
      <c r="V42" s="38" t="s">
        <v>460</v>
      </c>
    </row>
    <row r="43" spans="1:22" x14ac:dyDescent="0.35">
      <c r="A43" s="110" t="s">
        <v>140</v>
      </c>
      <c r="C43" s="34" t="s">
        <v>39</v>
      </c>
      <c r="E43" s="43">
        <f t="shared" ref="E43:P43" si="9">SUM(E40:E42)</f>
        <v>1436.85</v>
      </c>
      <c r="F43" s="43">
        <f t="shared" si="9"/>
        <v>1436.85</v>
      </c>
      <c r="G43" s="43">
        <f>SUM(G40:G42)</f>
        <v>2363.8500000000004</v>
      </c>
      <c r="H43" s="43">
        <f t="shared" si="9"/>
        <v>13796.85</v>
      </c>
      <c r="I43" s="43">
        <f t="shared" si="9"/>
        <v>1436.85</v>
      </c>
      <c r="J43" s="43">
        <f t="shared" si="9"/>
        <v>2363.8500000000004</v>
      </c>
      <c r="K43" s="43">
        <f t="shared" si="9"/>
        <v>1436.85</v>
      </c>
      <c r="L43" s="43">
        <f t="shared" si="9"/>
        <v>13796.85</v>
      </c>
      <c r="M43" s="43">
        <f t="shared" si="9"/>
        <v>2363.8500000000004</v>
      </c>
      <c r="N43" s="43">
        <f t="shared" si="9"/>
        <v>1436.85</v>
      </c>
      <c r="O43" s="43">
        <f t="shared" si="9"/>
        <v>1436.85</v>
      </c>
      <c r="P43" s="43">
        <f t="shared" si="9"/>
        <v>2363.8500000000004</v>
      </c>
      <c r="Q43" s="443">
        <f>SUM(Q40:Q42)</f>
        <v>45670.2</v>
      </c>
      <c r="R43" s="444">
        <f t="shared" si="1"/>
        <v>0.74250829160434406</v>
      </c>
      <c r="S43" s="400">
        <v>27448.559999999998</v>
      </c>
      <c r="T43" s="461">
        <f>IFERROR(Q43/S43-1,"-")</f>
        <v>0.6638468466105325</v>
      </c>
      <c r="U43" s="300"/>
      <c r="V43" s="38"/>
    </row>
    <row r="44" spans="1:22" x14ac:dyDescent="0.35">
      <c r="A44" s="110"/>
      <c r="Q44" s="430"/>
      <c r="R44" s="432"/>
      <c r="S44" s="396"/>
      <c r="T44" s="399"/>
      <c r="U44" s="300"/>
      <c r="V44" s="38"/>
    </row>
    <row r="45" spans="1:22" x14ac:dyDescent="0.35">
      <c r="A45" s="110" t="s">
        <v>110</v>
      </c>
      <c r="C45" s="34" t="s">
        <v>40</v>
      </c>
      <c r="E45" s="40">
        <f>1.03*3750</f>
        <v>3862.5</v>
      </c>
      <c r="F45" s="40">
        <f>1.03*3750</f>
        <v>3862.5</v>
      </c>
      <c r="G45" s="40">
        <f>1.03*3750</f>
        <v>3862.5</v>
      </c>
      <c r="H45" s="40"/>
      <c r="I45" s="40"/>
      <c r="J45" s="40"/>
      <c r="K45" s="40"/>
      <c r="L45" s="40"/>
      <c r="M45" s="40"/>
      <c r="N45" s="40"/>
      <c r="O45" s="40">
        <f>1.03*1000</f>
        <v>1030</v>
      </c>
      <c r="P45" s="40">
        <f>1.03*3750</f>
        <v>3862.5</v>
      </c>
      <c r="Q45" s="430">
        <f>SUM(E45:P45)</f>
        <v>16480</v>
      </c>
      <c r="R45" s="432">
        <f t="shared" si="1"/>
        <v>0.26793262665019185</v>
      </c>
      <c r="S45" s="396">
        <v>11979.46</v>
      </c>
      <c r="T45" s="460">
        <f>IFERROR(Q45/S45-1,"-")</f>
        <v>0.37568805271690042</v>
      </c>
      <c r="U45" s="300" t="s">
        <v>371</v>
      </c>
      <c r="V45" s="38" t="s">
        <v>450</v>
      </c>
    </row>
    <row r="46" spans="1:22" x14ac:dyDescent="0.35">
      <c r="A46" s="110"/>
      <c r="Q46" s="430"/>
      <c r="R46" s="432"/>
      <c r="S46" s="396"/>
      <c r="T46" s="399"/>
      <c r="U46" s="300"/>
      <c r="V46" s="38"/>
    </row>
    <row r="47" spans="1:22" x14ac:dyDescent="0.35">
      <c r="A47" s="110"/>
      <c r="D47" s="88" t="s">
        <v>41</v>
      </c>
      <c r="E47" s="77">
        <f>'Allocated Expenses'!F19</f>
        <v>0</v>
      </c>
      <c r="F47" s="77">
        <f>'Allocated Expenses'!G19</f>
        <v>0</v>
      </c>
      <c r="G47" s="77">
        <f>'Allocated Expenses'!H19</f>
        <v>2625.8019438222223</v>
      </c>
      <c r="H47" s="77">
        <f>'Allocated Expenses'!I19</f>
        <v>2625.8019438222223</v>
      </c>
      <c r="I47" s="77">
        <f>'Allocated Expenses'!J19</f>
        <v>2625.8019438222223</v>
      </c>
      <c r="J47" s="77">
        <f>'Allocated Expenses'!K19</f>
        <v>2625.8019438222223</v>
      </c>
      <c r="K47" s="77">
        <f>'Allocated Expenses'!L19</f>
        <v>2625.8019438222223</v>
      </c>
      <c r="L47" s="77">
        <f>'Allocated Expenses'!M19</f>
        <v>2625.8019438222223</v>
      </c>
      <c r="M47" s="77">
        <f>'Allocated Expenses'!N19</f>
        <v>2625.8019438222223</v>
      </c>
      <c r="N47" s="77">
        <f>'Allocated Expenses'!O19</f>
        <v>2625.8019438222223</v>
      </c>
      <c r="O47" s="77">
        <f>'Allocated Expenses'!P19</f>
        <v>2625.8019438222223</v>
      </c>
      <c r="P47" s="77">
        <f>'Allocated Expenses'!Q19</f>
        <v>0</v>
      </c>
      <c r="Q47" s="437">
        <f>SUM(E47:P47)</f>
        <v>23632.2174944</v>
      </c>
      <c r="R47" s="438">
        <f t="shared" si="1"/>
        <v>0.38421372007543736</v>
      </c>
      <c r="S47" s="396"/>
      <c r="T47" s="399"/>
      <c r="U47" s="300" t="s">
        <v>371</v>
      </c>
      <c r="V47" s="38" t="s">
        <v>450</v>
      </c>
    </row>
    <row r="48" spans="1:22" x14ac:dyDescent="0.35">
      <c r="A48" s="110"/>
      <c r="D48" s="89" t="s">
        <v>42</v>
      </c>
      <c r="E48" s="34">
        <f>Landscaping!C8</f>
        <v>0</v>
      </c>
      <c r="F48" s="34">
        <f>Landscaping!D8</f>
        <v>0</v>
      </c>
      <c r="G48" s="34">
        <f>Landscaping!E8</f>
        <v>798.25</v>
      </c>
      <c r="H48" s="34">
        <f>Landscaping!F8</f>
        <v>798.25</v>
      </c>
      <c r="I48" s="34">
        <f>Landscaping!G8</f>
        <v>2343.25</v>
      </c>
      <c r="J48" s="34">
        <f>Landscaping!H8</f>
        <v>798.25</v>
      </c>
      <c r="K48" s="34">
        <f>Landscaping!I8</f>
        <v>798.25</v>
      </c>
      <c r="L48" s="34">
        <f>Landscaping!J8</f>
        <v>798.25</v>
      </c>
      <c r="M48" s="34">
        <f>Landscaping!K8</f>
        <v>2343.25</v>
      </c>
      <c r="N48" s="34">
        <f>Landscaping!L8</f>
        <v>798.25</v>
      </c>
      <c r="O48" s="34">
        <f>Landscaping!M8</f>
        <v>206</v>
      </c>
      <c r="P48" s="34">
        <f>Landscaping!N8</f>
        <v>0</v>
      </c>
      <c r="Q48" s="439">
        <f>SUM(E48:P48)</f>
        <v>9682</v>
      </c>
      <c r="R48" s="440">
        <f t="shared" si="1"/>
        <v>0.1574104181569877</v>
      </c>
      <c r="S48" s="396"/>
      <c r="T48" s="399"/>
      <c r="U48" s="300" t="s">
        <v>371</v>
      </c>
      <c r="V48" s="38" t="s">
        <v>450</v>
      </c>
    </row>
    <row r="49" spans="1:22" x14ac:dyDescent="0.35">
      <c r="A49" s="110"/>
      <c r="D49" s="90" t="s">
        <v>43</v>
      </c>
      <c r="E49" s="43">
        <f>'Allocated Expenses'!F30</f>
        <v>645.03815192815102</v>
      </c>
      <c r="F49" s="43">
        <f>'Allocated Expenses'!G30</f>
        <v>645.03815192815102</v>
      </c>
      <c r="G49" s="43">
        <f>'Allocated Expenses'!H30</f>
        <v>645.03815192815102</v>
      </c>
      <c r="H49" s="43">
        <f>'Allocated Expenses'!I30</f>
        <v>645.03815192815102</v>
      </c>
      <c r="I49" s="43">
        <f>'Allocated Expenses'!J30</f>
        <v>645.03815192815102</v>
      </c>
      <c r="J49" s="43">
        <f>'Allocated Expenses'!K30</f>
        <v>645.03815192815102</v>
      </c>
      <c r="K49" s="43">
        <f>'Allocated Expenses'!L30</f>
        <v>645.03815192815102</v>
      </c>
      <c r="L49" s="43">
        <f>'Allocated Expenses'!M30</f>
        <v>645.03815192815102</v>
      </c>
      <c r="M49" s="43">
        <f>'Allocated Expenses'!N30</f>
        <v>645.03815192815102</v>
      </c>
      <c r="N49" s="43">
        <f>'Allocated Expenses'!O30</f>
        <v>645.03815192815102</v>
      </c>
      <c r="O49" s="43">
        <f>'Allocated Expenses'!P30</f>
        <v>645.03815192815102</v>
      </c>
      <c r="P49" s="43">
        <f>'Allocated Expenses'!Q30</f>
        <v>645.03815192815102</v>
      </c>
      <c r="Q49" s="441">
        <f>SUM(E49:P49)</f>
        <v>7740.4578231378118</v>
      </c>
      <c r="R49" s="442">
        <f t="shared" si="1"/>
        <v>0.12584473276870994</v>
      </c>
      <c r="S49" s="396"/>
      <c r="T49" s="399"/>
      <c r="U49" s="300" t="s">
        <v>371</v>
      </c>
      <c r="V49" s="38" t="s">
        <v>589</v>
      </c>
    </row>
    <row r="50" spans="1:22" x14ac:dyDescent="0.35">
      <c r="A50" s="110" t="s">
        <v>111</v>
      </c>
      <c r="C50" s="34" t="s">
        <v>44</v>
      </c>
      <c r="E50" s="43">
        <f t="shared" ref="E50:Q50" si="10">SUM(E47:E49)</f>
        <v>645.03815192815102</v>
      </c>
      <c r="F50" s="43">
        <f t="shared" si="10"/>
        <v>645.03815192815102</v>
      </c>
      <c r="G50" s="43">
        <f t="shared" si="10"/>
        <v>4069.0900957503732</v>
      </c>
      <c r="H50" s="43">
        <f t="shared" si="10"/>
        <v>4069.0900957503732</v>
      </c>
      <c r="I50" s="43">
        <f t="shared" si="10"/>
        <v>5614.0900957503727</v>
      </c>
      <c r="J50" s="43">
        <f t="shared" si="10"/>
        <v>4069.0900957503732</v>
      </c>
      <c r="K50" s="43">
        <f t="shared" si="10"/>
        <v>4069.0900957503732</v>
      </c>
      <c r="L50" s="43">
        <f t="shared" si="10"/>
        <v>4069.0900957503732</v>
      </c>
      <c r="M50" s="43">
        <f t="shared" si="10"/>
        <v>5614.0900957503727</v>
      </c>
      <c r="N50" s="43">
        <f t="shared" si="10"/>
        <v>4069.0900957503732</v>
      </c>
      <c r="O50" s="43">
        <f t="shared" si="10"/>
        <v>3476.8400957503732</v>
      </c>
      <c r="P50" s="43">
        <f t="shared" si="10"/>
        <v>645.03815192815102</v>
      </c>
      <c r="Q50" s="443">
        <f t="shared" si="10"/>
        <v>41054.675317537811</v>
      </c>
      <c r="R50" s="444">
        <f t="shared" si="1"/>
        <v>0.66746887100113494</v>
      </c>
      <c r="S50" s="400">
        <v>32641.03</v>
      </c>
      <c r="T50" s="461">
        <f>IFERROR(Q50/S50-1,"-")</f>
        <v>0.25776286218718636</v>
      </c>
      <c r="U50" s="300"/>
      <c r="V50" s="38"/>
    </row>
    <row r="51" spans="1:22" x14ac:dyDescent="0.35">
      <c r="A51" s="110"/>
      <c r="Q51" s="430"/>
      <c r="R51" s="432"/>
      <c r="S51" s="396"/>
      <c r="T51" s="399"/>
      <c r="U51" s="300"/>
      <c r="V51" s="38"/>
    </row>
    <row r="52" spans="1:22" x14ac:dyDescent="0.35">
      <c r="A52" s="110" t="s">
        <v>112</v>
      </c>
      <c r="C52" s="34" t="s">
        <v>45</v>
      </c>
      <c r="E52" s="34">
        <f>'Allocated Expenses'!F41</f>
        <v>316.8</v>
      </c>
      <c r="F52" s="34">
        <f>'Allocated Expenses'!G41</f>
        <v>316.8</v>
      </c>
      <c r="G52" s="34">
        <f>'Allocated Expenses'!H41</f>
        <v>316.8</v>
      </c>
      <c r="H52" s="34">
        <f>'Allocated Expenses'!I41</f>
        <v>316.8</v>
      </c>
      <c r="I52" s="34">
        <f>'Allocated Expenses'!J41</f>
        <v>316.8</v>
      </c>
      <c r="J52" s="34">
        <f>'Allocated Expenses'!K41</f>
        <v>316.8</v>
      </c>
      <c r="K52" s="34">
        <f>'Allocated Expenses'!L41</f>
        <v>316.8</v>
      </c>
      <c r="L52" s="34">
        <f>'Allocated Expenses'!M41</f>
        <v>316.8</v>
      </c>
      <c r="M52" s="34">
        <f>'Allocated Expenses'!N41</f>
        <v>316.8</v>
      </c>
      <c r="N52" s="34">
        <f>'Allocated Expenses'!O41</f>
        <v>316.8</v>
      </c>
      <c r="O52" s="34">
        <f>'Allocated Expenses'!P41</f>
        <v>316.8</v>
      </c>
      <c r="P52" s="34">
        <f>'Allocated Expenses'!Q41</f>
        <v>316.8</v>
      </c>
      <c r="Q52" s="430">
        <f>SUM(E52:P52)</f>
        <v>3801.6000000000008</v>
      </c>
      <c r="R52" s="432">
        <f t="shared" si="1"/>
        <v>6.1806594264160776E-2</v>
      </c>
      <c r="S52" s="396">
        <v>4267.71</v>
      </c>
      <c r="T52" s="460">
        <f>IFERROR(Q52/S52-1,"-")</f>
        <v>-0.10921782407895553</v>
      </c>
      <c r="U52" s="300" t="s">
        <v>371</v>
      </c>
      <c r="V52" s="38" t="s">
        <v>450</v>
      </c>
    </row>
    <row r="53" spans="1:22" x14ac:dyDescent="0.35">
      <c r="A53" s="110"/>
      <c r="Q53" s="430"/>
      <c r="R53" s="432"/>
      <c r="S53" s="396"/>
      <c r="T53" s="399"/>
      <c r="U53" s="300"/>
      <c r="V53" s="38"/>
    </row>
    <row r="54" spans="1:22" x14ac:dyDescent="0.35">
      <c r="A54" s="110" t="s">
        <v>113</v>
      </c>
      <c r="B54" s="34" t="s">
        <v>46</v>
      </c>
      <c r="C54" s="34" t="s">
        <v>47</v>
      </c>
      <c r="E54" s="34">
        <f>ROUND(E$24*0.04,0)</f>
        <v>3640</v>
      </c>
      <c r="F54" s="34">
        <f t="shared" ref="F54:P54" si="11">ROUND(F$24*0.04,0)</f>
        <v>3600</v>
      </c>
      <c r="G54" s="34">
        <f t="shared" si="11"/>
        <v>3570</v>
      </c>
      <c r="H54" s="34">
        <f t="shared" si="11"/>
        <v>3757</v>
      </c>
      <c r="I54" s="34">
        <f t="shared" si="11"/>
        <v>3756</v>
      </c>
      <c r="J54" s="34">
        <f t="shared" si="11"/>
        <v>3766</v>
      </c>
      <c r="K54" s="34">
        <f t="shared" si="11"/>
        <v>3812</v>
      </c>
      <c r="L54" s="34">
        <f t="shared" si="11"/>
        <v>3775</v>
      </c>
      <c r="M54" s="34">
        <f t="shared" si="11"/>
        <v>3726</v>
      </c>
      <c r="N54" s="34">
        <f t="shared" si="11"/>
        <v>3776</v>
      </c>
      <c r="O54" s="34">
        <f t="shared" si="11"/>
        <v>3768</v>
      </c>
      <c r="P54" s="34">
        <f t="shared" si="11"/>
        <v>3746</v>
      </c>
      <c r="Q54" s="430">
        <f>SUM(E54:P54)</f>
        <v>44692</v>
      </c>
      <c r="R54" s="432">
        <f t="shared" si="1"/>
        <v>0.72660466931130907</v>
      </c>
      <c r="S54" s="396">
        <v>40014.28</v>
      </c>
      <c r="T54" s="460">
        <f>IFERROR(Q54/S54-1,"-")</f>
        <v>0.11690126624794961</v>
      </c>
      <c r="U54" s="300"/>
      <c r="V54" s="38"/>
    </row>
    <row r="55" spans="1:22" x14ac:dyDescent="0.35">
      <c r="A55" s="110"/>
      <c r="Q55" s="430"/>
      <c r="R55" s="432"/>
      <c r="S55" s="396"/>
      <c r="T55" s="399"/>
      <c r="U55" s="300"/>
      <c r="V55" s="38"/>
    </row>
    <row r="56" spans="1:22" x14ac:dyDescent="0.35">
      <c r="A56" s="110" t="s">
        <v>114</v>
      </c>
      <c r="C56" s="34" t="s">
        <v>48</v>
      </c>
      <c r="E56" s="34">
        <f>Trash!C8</f>
        <v>1828.25</v>
      </c>
      <c r="F56" s="34">
        <f>Trash!D8</f>
        <v>1828.25</v>
      </c>
      <c r="G56" s="34">
        <f>Trash!E8</f>
        <v>1828.25</v>
      </c>
      <c r="H56" s="34">
        <f>Trash!F8</f>
        <v>1828.25</v>
      </c>
      <c r="I56" s="34">
        <f>Trash!G8</f>
        <v>1828.25</v>
      </c>
      <c r="J56" s="34">
        <f>Trash!H8</f>
        <v>2578.25</v>
      </c>
      <c r="K56" s="34">
        <f>Trash!I8</f>
        <v>1828.25</v>
      </c>
      <c r="L56" s="34">
        <f>Trash!J8</f>
        <v>1828.25</v>
      </c>
      <c r="M56" s="34">
        <f>Trash!K8</f>
        <v>1828.25</v>
      </c>
      <c r="N56" s="34">
        <f>Trash!L8</f>
        <v>1828.25</v>
      </c>
      <c r="O56" s="34">
        <f>Trash!M8</f>
        <v>1828.25</v>
      </c>
      <c r="P56" s="34">
        <f>Trash!N8</f>
        <v>2578.25</v>
      </c>
      <c r="Q56" s="430">
        <f>SUM(E56:P56)</f>
        <v>23439</v>
      </c>
      <c r="R56" s="432">
        <f t="shared" si="1"/>
        <v>0.38107238082851014</v>
      </c>
      <c r="S56" s="396">
        <v>24943.65</v>
      </c>
      <c r="T56" s="460">
        <f>IFERROR(Q56/S56-1,"-")</f>
        <v>-6.0321965710712022E-2</v>
      </c>
      <c r="U56" s="300" t="s">
        <v>371</v>
      </c>
      <c r="V56" s="38" t="s">
        <v>450</v>
      </c>
    </row>
    <row r="57" spans="1:22" x14ac:dyDescent="0.35">
      <c r="A57" s="110"/>
      <c r="Q57" s="430"/>
      <c r="R57" s="432"/>
      <c r="S57" s="396"/>
      <c r="T57" s="399"/>
      <c r="U57" s="300"/>
      <c r="V57" s="38"/>
    </row>
    <row r="58" spans="1:22" x14ac:dyDescent="0.35">
      <c r="A58" s="110" t="s">
        <v>115</v>
      </c>
      <c r="C58" s="34" t="s">
        <v>23</v>
      </c>
      <c r="E58" s="34">
        <f>+'INS RET'!E61</f>
        <v>6294.9692106000002</v>
      </c>
      <c r="F58" s="34">
        <f>+'INS RET'!F61</f>
        <v>6294.9692106000002</v>
      </c>
      <c r="G58" s="34">
        <f>+'INS RET'!G61</f>
        <v>6294.9692106000002</v>
      </c>
      <c r="H58" s="34">
        <f>+'INS RET'!H61</f>
        <v>6294.9692106000002</v>
      </c>
      <c r="I58" s="34">
        <f>+'INS RET'!I61</f>
        <v>6294.9692106000002</v>
      </c>
      <c r="J58" s="34">
        <f>+'INS RET'!J61</f>
        <v>6294.9692106000002</v>
      </c>
      <c r="K58" s="34">
        <f>+'INS RET'!K61</f>
        <v>6294.9692106000002</v>
      </c>
      <c r="L58" s="34">
        <f>+'INS RET'!L61</f>
        <v>6294.9692106000002</v>
      </c>
      <c r="M58" s="34">
        <f>+'INS RET'!M61</f>
        <v>6294.9692106000002</v>
      </c>
      <c r="N58" s="34">
        <f>+'INS RET'!N61</f>
        <v>6294.9692106000002</v>
      </c>
      <c r="O58" s="34">
        <f>+'INS RET'!O61</f>
        <v>6294.9692106000002</v>
      </c>
      <c r="P58" s="34">
        <f>+'INS RET'!P61</f>
        <v>6294.9692106000002</v>
      </c>
      <c r="Q58" s="430">
        <f>SUM(E58:P58)</f>
        <v>75539.630527200003</v>
      </c>
      <c r="R58" s="432">
        <f t="shared" si="1"/>
        <v>1.2281269188918515</v>
      </c>
      <c r="S58" s="396">
        <v>108929.3</v>
      </c>
      <c r="T58" s="460">
        <f>IFERROR(Q58/S58-1,"-")</f>
        <v>-0.3065260629858082</v>
      </c>
      <c r="U58" s="300"/>
      <c r="V58" s="38"/>
    </row>
    <row r="59" spans="1:22" x14ac:dyDescent="0.35">
      <c r="A59" s="110"/>
      <c r="Q59" s="430"/>
      <c r="R59" s="432"/>
      <c r="S59" s="396"/>
      <c r="T59" s="399"/>
      <c r="U59" s="300"/>
      <c r="V59" s="38"/>
    </row>
    <row r="60" spans="1:22" x14ac:dyDescent="0.35">
      <c r="A60" s="110"/>
      <c r="D60" s="88" t="s">
        <v>49</v>
      </c>
      <c r="E60" s="77">
        <f>+'INS RET'!E20+'INS RET'!E21</f>
        <v>1675</v>
      </c>
      <c r="F60" s="77">
        <f>+'INS RET'!F20+'INS RET'!F21</f>
        <v>1675</v>
      </c>
      <c r="G60" s="77">
        <f>+'INS RET'!G20+'INS RET'!G21</f>
        <v>1675</v>
      </c>
      <c r="H60" s="77">
        <f>+'INS RET'!H20+'INS RET'!H21</f>
        <v>1675</v>
      </c>
      <c r="I60" s="77">
        <f>+'INS RET'!I20+'INS RET'!I21</f>
        <v>1675</v>
      </c>
      <c r="J60" s="77">
        <f>+'INS RET'!J20+'INS RET'!J21</f>
        <v>1675</v>
      </c>
      <c r="K60" s="77">
        <f>+'INS RET'!K20+'INS RET'!K21</f>
        <v>1675</v>
      </c>
      <c r="L60" s="77">
        <f>+'INS RET'!L20+'INS RET'!L21</f>
        <v>1675</v>
      </c>
      <c r="M60" s="77">
        <f>+'INS RET'!M20+'INS RET'!M21</f>
        <v>1675</v>
      </c>
      <c r="N60" s="77">
        <f>+'INS RET'!N20+'INS RET'!N21</f>
        <v>1675</v>
      </c>
      <c r="O60" s="77">
        <f>+'INS RET'!O20+'INS RET'!O21</f>
        <v>1708.5</v>
      </c>
      <c r="P60" s="77">
        <f>+'INS RET'!P20+'INS RET'!P21</f>
        <v>1708.5</v>
      </c>
      <c r="Q60" s="437">
        <f>SUM(E60:P60)</f>
        <v>20167</v>
      </c>
      <c r="R60" s="438">
        <f t="shared" si="1"/>
        <v>0.32787604864407882</v>
      </c>
      <c r="S60" s="396"/>
      <c r="T60" s="399"/>
      <c r="U60" s="300"/>
      <c r="V60" s="38"/>
    </row>
    <row r="61" spans="1:22" x14ac:dyDescent="0.35">
      <c r="A61" s="110"/>
      <c r="D61" s="89" t="s">
        <v>90</v>
      </c>
      <c r="E61" s="34">
        <f>+'INS RET'!E23</f>
        <v>1216</v>
      </c>
      <c r="F61" s="34">
        <f>+'INS RET'!F23</f>
        <v>1216</v>
      </c>
      <c r="G61" s="34">
        <f>+'INS RET'!G23</f>
        <v>1216</v>
      </c>
      <c r="H61" s="34">
        <f>+'INS RET'!H23</f>
        <v>1216</v>
      </c>
      <c r="I61" s="34">
        <f>+'INS RET'!I23</f>
        <v>1216</v>
      </c>
      <c r="J61" s="34">
        <f>+'INS RET'!J23</f>
        <v>1216</v>
      </c>
      <c r="K61" s="34">
        <f>+'INS RET'!K23</f>
        <v>1216</v>
      </c>
      <c r="L61" s="34">
        <f>+'INS RET'!L23</f>
        <v>1216</v>
      </c>
      <c r="M61" s="34">
        <f>+'INS RET'!M23</f>
        <v>1216</v>
      </c>
      <c r="N61" s="34">
        <f>+'INS RET'!N23</f>
        <v>1216</v>
      </c>
      <c r="O61" s="34">
        <f>+'INS RET'!O23</f>
        <v>1240.32</v>
      </c>
      <c r="P61" s="34">
        <f>+'INS RET'!P23</f>
        <v>1240.32</v>
      </c>
      <c r="Q61" s="439">
        <f>SUM(E61:P61)</f>
        <v>14640.64</v>
      </c>
      <c r="R61" s="440">
        <f t="shared" si="1"/>
        <v>0.23802822397086557</v>
      </c>
      <c r="S61" s="396"/>
      <c r="T61" s="399"/>
      <c r="U61" s="300"/>
      <c r="V61" s="38"/>
    </row>
    <row r="62" spans="1:22" x14ac:dyDescent="0.35">
      <c r="A62" s="110"/>
      <c r="D62" s="90" t="s">
        <v>51</v>
      </c>
      <c r="E62" s="43">
        <f>+'INS RET'!E24</f>
        <v>95</v>
      </c>
      <c r="F62" s="43">
        <f>+'INS RET'!F24</f>
        <v>95</v>
      </c>
      <c r="G62" s="43">
        <f>+'INS RET'!G24</f>
        <v>95</v>
      </c>
      <c r="H62" s="43">
        <f>+'INS RET'!H24</f>
        <v>95</v>
      </c>
      <c r="I62" s="43">
        <f>+'INS RET'!I24</f>
        <v>95</v>
      </c>
      <c r="J62" s="43">
        <f>+'INS RET'!J24</f>
        <v>95</v>
      </c>
      <c r="K62" s="43">
        <f>+'INS RET'!K24</f>
        <v>95</v>
      </c>
      <c r="L62" s="43">
        <f>+'INS RET'!L24</f>
        <v>95</v>
      </c>
      <c r="M62" s="43">
        <f>+'INS RET'!M24</f>
        <v>95</v>
      </c>
      <c r="N62" s="43">
        <f>+'INS RET'!N24</f>
        <v>95</v>
      </c>
      <c r="O62" s="43">
        <f>+'INS RET'!O24</f>
        <v>96.9</v>
      </c>
      <c r="P62" s="43">
        <f>+'INS RET'!P24</f>
        <v>96.9</v>
      </c>
      <c r="Q62" s="441">
        <f>SUM(E62:P62)</f>
        <v>1143.8000000000002</v>
      </c>
      <c r="R62" s="442">
        <f t="shared" si="1"/>
        <v>1.8595954997723877E-2</v>
      </c>
      <c r="S62" s="396"/>
      <c r="T62" s="399"/>
      <c r="U62" s="300"/>
      <c r="V62" s="38"/>
    </row>
    <row r="63" spans="1:22" x14ac:dyDescent="0.35">
      <c r="A63" s="110" t="s">
        <v>116</v>
      </c>
      <c r="C63" s="34" t="s">
        <v>24</v>
      </c>
      <c r="E63" s="43">
        <f t="shared" ref="E63:Q63" si="12">SUM(E60:E62)</f>
        <v>2986</v>
      </c>
      <c r="F63" s="43">
        <f t="shared" si="12"/>
        <v>2986</v>
      </c>
      <c r="G63" s="43">
        <f t="shared" si="12"/>
        <v>2986</v>
      </c>
      <c r="H63" s="43">
        <f t="shared" si="12"/>
        <v>2986</v>
      </c>
      <c r="I63" s="43">
        <f t="shared" si="12"/>
        <v>2986</v>
      </c>
      <c r="J63" s="43">
        <f t="shared" si="12"/>
        <v>2986</v>
      </c>
      <c r="K63" s="43">
        <f t="shared" si="12"/>
        <v>2986</v>
      </c>
      <c r="L63" s="43">
        <f t="shared" si="12"/>
        <v>2986</v>
      </c>
      <c r="M63" s="43">
        <f t="shared" si="12"/>
        <v>2986</v>
      </c>
      <c r="N63" s="43">
        <f t="shared" si="12"/>
        <v>2986</v>
      </c>
      <c r="O63" s="43">
        <f t="shared" si="12"/>
        <v>3045.72</v>
      </c>
      <c r="P63" s="43">
        <f>SUM(P60:P62)</f>
        <v>3045.72</v>
      </c>
      <c r="Q63" s="443">
        <f t="shared" si="12"/>
        <v>35951.440000000002</v>
      </c>
      <c r="R63" s="444">
        <f t="shared" si="1"/>
        <v>0.58450022761266829</v>
      </c>
      <c r="S63" s="400">
        <v>35094</v>
      </c>
      <c r="T63" s="461">
        <f>IFERROR(Q63/S63-1,"-")</f>
        <v>2.4432666552687055E-2</v>
      </c>
      <c r="U63" s="300"/>
      <c r="V63" s="38"/>
    </row>
    <row r="64" spans="1:22" x14ac:dyDescent="0.35">
      <c r="A64" s="110"/>
      <c r="Q64" s="430"/>
      <c r="R64" s="432"/>
      <c r="S64" s="396"/>
      <c r="T64" s="399"/>
      <c r="U64" s="300"/>
      <c r="V64" s="38"/>
    </row>
    <row r="65" spans="1:22" x14ac:dyDescent="0.35">
      <c r="A65" s="110"/>
      <c r="D65" s="88" t="s">
        <v>52</v>
      </c>
      <c r="E65" s="77">
        <f>'Allocated Expenses'!F52+'Allocated Expenses'!F63</f>
        <v>6558.4047810099173</v>
      </c>
      <c r="F65" s="77">
        <f>'Allocated Expenses'!G52+'Allocated Expenses'!G63</f>
        <v>6558.4047810099173</v>
      </c>
      <c r="G65" s="77">
        <f>'Allocated Expenses'!H52+'Allocated Expenses'!H63</f>
        <v>6558.4047810099173</v>
      </c>
      <c r="H65" s="77">
        <f>'Allocated Expenses'!I52+'Allocated Expenses'!I63</f>
        <v>6997.1082291027169</v>
      </c>
      <c r="I65" s="77">
        <f>'Allocated Expenses'!J52+'Allocated Expenses'!J63</f>
        <v>6997.1082291027169</v>
      </c>
      <c r="J65" s="77">
        <f>'Allocated Expenses'!K52+'Allocated Expenses'!K63</f>
        <v>6997.1082291027169</v>
      </c>
      <c r="K65" s="77">
        <f>'Allocated Expenses'!L52+'Allocated Expenses'!L63</f>
        <v>6997.1082291027169</v>
      </c>
      <c r="L65" s="77">
        <f>'Allocated Expenses'!M52+'Allocated Expenses'!M63</f>
        <v>6997.1082291027169</v>
      </c>
      <c r="M65" s="77">
        <f>'Allocated Expenses'!N52+'Allocated Expenses'!N63</f>
        <v>6997.1082291027169</v>
      </c>
      <c r="N65" s="77">
        <f>'Allocated Expenses'!O52+'Allocated Expenses'!O63</f>
        <v>6997.1082291027169</v>
      </c>
      <c r="O65" s="77">
        <f>'Allocated Expenses'!P52+'Allocated Expenses'!P63</f>
        <v>6997.1082291027169</v>
      </c>
      <c r="P65" s="77">
        <f>'Allocated Expenses'!Q52+'Allocated Expenses'!Q63</f>
        <v>6762.4528964019173</v>
      </c>
      <c r="Q65" s="445">
        <f>SUM(E65:P65)</f>
        <v>82414.533072253398</v>
      </c>
      <c r="R65" s="438">
        <f t="shared" si="1"/>
        <v>1.3398994126333712</v>
      </c>
      <c r="S65" s="396"/>
      <c r="T65" s="399"/>
      <c r="U65" s="300" t="s">
        <v>371</v>
      </c>
      <c r="V65" s="38" t="s">
        <v>592</v>
      </c>
    </row>
    <row r="66" spans="1:22" x14ac:dyDescent="0.35">
      <c r="A66" s="110"/>
      <c r="D66" s="90" t="s">
        <v>53</v>
      </c>
      <c r="E66" s="43">
        <f>'Allocated Expenses'!F76</f>
        <v>145.72829030999998</v>
      </c>
      <c r="F66" s="43">
        <f>'Allocated Expenses'!G76</f>
        <v>145.72829030999998</v>
      </c>
      <c r="G66" s="43">
        <f>'Allocated Expenses'!H76</f>
        <v>145.72829030999998</v>
      </c>
      <c r="H66" s="43">
        <f>'Allocated Expenses'!I76</f>
        <v>121.21058642999998</v>
      </c>
      <c r="I66" s="43">
        <f>'Allocated Expenses'!J76</f>
        <v>121.21058642999998</v>
      </c>
      <c r="J66" s="43">
        <f>'Allocated Expenses'!K76</f>
        <v>121.21058642999998</v>
      </c>
      <c r="K66" s="43">
        <f>'Allocated Expenses'!L76</f>
        <v>121.21058642999998</v>
      </c>
      <c r="L66" s="43">
        <f>'Allocated Expenses'!M76</f>
        <v>121.21058642999998</v>
      </c>
      <c r="M66" s="43">
        <f>'Allocated Expenses'!N76</f>
        <v>121.21058642999998</v>
      </c>
      <c r="N66" s="43">
        <f>'Allocated Expenses'!O76</f>
        <v>121.21058642999998</v>
      </c>
      <c r="O66" s="43">
        <f>'Allocated Expenses'!P76</f>
        <v>121.21058642999998</v>
      </c>
      <c r="P66" s="43">
        <f>'Allocated Expenses'!Q76</f>
        <v>134.32470710999996</v>
      </c>
      <c r="Q66" s="443">
        <f>SUM(E66:P66)</f>
        <v>1541.1942694799993</v>
      </c>
      <c r="R66" s="442">
        <f t="shared" si="1"/>
        <v>2.5056809999999988E-2</v>
      </c>
      <c r="S66" s="396"/>
      <c r="T66" s="399"/>
      <c r="U66" s="300" t="s">
        <v>371</v>
      </c>
      <c r="V66" s="38" t="s">
        <v>593</v>
      </c>
    </row>
    <row r="67" spans="1:22" x14ac:dyDescent="0.35">
      <c r="A67" s="110" t="s">
        <v>117</v>
      </c>
      <c r="B67" s="34" t="s">
        <v>46</v>
      </c>
      <c r="C67" s="34" t="s">
        <v>52</v>
      </c>
      <c r="E67" s="43">
        <f t="shared" ref="E67:P67" si="13">SUM(E65:E66)</f>
        <v>6704.1330713199177</v>
      </c>
      <c r="F67" s="43">
        <f t="shared" si="13"/>
        <v>6704.1330713199177</v>
      </c>
      <c r="G67" s="43">
        <f t="shared" si="13"/>
        <v>6704.1330713199177</v>
      </c>
      <c r="H67" s="43">
        <f t="shared" si="13"/>
        <v>7118.3188155327171</v>
      </c>
      <c r="I67" s="43">
        <f t="shared" si="13"/>
        <v>7118.3188155327171</v>
      </c>
      <c r="J67" s="43">
        <f t="shared" si="13"/>
        <v>7118.3188155327171</v>
      </c>
      <c r="K67" s="43">
        <f t="shared" si="13"/>
        <v>7118.3188155327171</v>
      </c>
      <c r="L67" s="43">
        <f t="shared" si="13"/>
        <v>7118.3188155327171</v>
      </c>
      <c r="M67" s="43">
        <f t="shared" si="13"/>
        <v>7118.3188155327171</v>
      </c>
      <c r="N67" s="43">
        <f t="shared" si="13"/>
        <v>7118.3188155327171</v>
      </c>
      <c r="O67" s="43">
        <f t="shared" si="13"/>
        <v>7118.3188155327171</v>
      </c>
      <c r="P67" s="43">
        <f t="shared" si="13"/>
        <v>6896.7776035119168</v>
      </c>
      <c r="Q67" s="443">
        <f>SUM(E67:P67)</f>
        <v>83955.727341733407</v>
      </c>
      <c r="R67" s="444">
        <f t="shared" si="1"/>
        <v>1.3649562226333714</v>
      </c>
      <c r="S67" s="400">
        <v>78197.41</v>
      </c>
      <c r="T67" s="461">
        <f>IFERROR(Q67/S67-1,"-")</f>
        <v>7.3638210546019378E-2</v>
      </c>
      <c r="U67" s="300"/>
      <c r="V67" s="38"/>
    </row>
    <row r="68" spans="1:22" x14ac:dyDescent="0.35">
      <c r="A68" s="110"/>
      <c r="Q68" s="430"/>
      <c r="R68" s="432"/>
      <c r="S68" s="396"/>
      <c r="T68" s="399"/>
      <c r="U68" s="300"/>
      <c r="V68" s="38"/>
    </row>
    <row r="69" spans="1:22" hidden="1" x14ac:dyDescent="0.35">
      <c r="A69" s="110"/>
      <c r="B69" s="34" t="s">
        <v>34</v>
      </c>
      <c r="C69" s="34" t="s">
        <v>54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30">
        <f>SUM(E69:P69)</f>
        <v>0</v>
      </c>
      <c r="R69" s="432">
        <f t="shared" si="1"/>
        <v>0</v>
      </c>
      <c r="S69" s="396"/>
      <c r="T69" s="460" t="str">
        <f>IFERROR(Q69/S69-1,"-")</f>
        <v>-</v>
      </c>
      <c r="U69" s="300"/>
      <c r="V69" s="38"/>
    </row>
    <row r="70" spans="1:22" hidden="1" x14ac:dyDescent="0.35">
      <c r="A70" s="110"/>
      <c r="Q70" s="430"/>
      <c r="R70" s="432"/>
      <c r="S70" s="396"/>
      <c r="T70" s="399"/>
      <c r="U70" s="300"/>
      <c r="V70" s="38"/>
    </row>
    <row r="71" spans="1:22" ht="18" x14ac:dyDescent="0.35">
      <c r="A71" s="110"/>
      <c r="C71" s="91" t="s">
        <v>55</v>
      </c>
      <c r="D71" s="92"/>
      <c r="E71" s="92">
        <f t="shared" ref="E71:P71" si="14">+E27+E29+E31+E36+E38+E43+E45+E50+E52+E54+E56+E58+E63+E67+E69</f>
        <v>51655.349562918622</v>
      </c>
      <c r="F71" s="92">
        <f t="shared" si="14"/>
        <v>47825.229562918619</v>
      </c>
      <c r="G71" s="92">
        <f t="shared" si="14"/>
        <v>55826.401506740855</v>
      </c>
      <c r="H71" s="92">
        <f t="shared" si="14"/>
        <v>62741.237250953644</v>
      </c>
      <c r="I71" s="92">
        <f t="shared" si="14"/>
        <v>59629.687250953641</v>
      </c>
      <c r="J71" s="92">
        <f t="shared" si="14"/>
        <v>52346.697250953643</v>
      </c>
      <c r="K71" s="92">
        <f t="shared" si="14"/>
        <v>66502.337250953642</v>
      </c>
      <c r="L71" s="92">
        <f t="shared" si="14"/>
        <v>69167.62725095365</v>
      </c>
      <c r="M71" s="92">
        <f t="shared" si="14"/>
        <v>51399.847250953637</v>
      </c>
      <c r="N71" s="92">
        <f t="shared" si="14"/>
        <v>50832.907250953642</v>
      </c>
      <c r="O71" s="92">
        <f t="shared" si="14"/>
        <v>45711.847250953637</v>
      </c>
      <c r="P71" s="92">
        <f t="shared" si="14"/>
        <v>54558.164095110624</v>
      </c>
      <c r="Q71" s="446">
        <f>+Q27+Q29+Q31+Q36+Q38+Q43+Q45+Q50+Q52+Q54+Q56+Q58+Q63+Q67+Q69</f>
        <v>668197.33273531776</v>
      </c>
      <c r="R71" s="447">
        <f t="shared" si="1"/>
        <v>10.863584131093805</v>
      </c>
      <c r="S71" s="406">
        <f>+S27+S29+S31+S36+S38+S43+S45+S50+S52+S54+S56+S58+S63+S67+S69</f>
        <v>633231.33000000019</v>
      </c>
      <c r="T71" s="465">
        <f>IFERROR(Q71/S71-1,"-")</f>
        <v>5.5218371357774743E-2</v>
      </c>
      <c r="U71" s="304"/>
      <c r="V71" s="38">
        <f>Q71-Q58-Q29</f>
        <v>444125.70220811781</v>
      </c>
    </row>
    <row r="72" spans="1:22" ht="18" x14ac:dyDescent="0.35">
      <c r="A72" s="110"/>
      <c r="Q72" s="435"/>
      <c r="R72" s="436"/>
      <c r="S72" s="402"/>
      <c r="T72" s="403"/>
      <c r="U72" s="301"/>
      <c r="V72" s="38"/>
    </row>
    <row r="73" spans="1:22" ht="18" x14ac:dyDescent="0.35">
      <c r="A73" s="110"/>
      <c r="B73" s="35" t="s">
        <v>56</v>
      </c>
      <c r="Q73" s="430"/>
      <c r="R73" s="432">
        <f t="shared" si="1"/>
        <v>0</v>
      </c>
      <c r="S73" s="396"/>
      <c r="T73" s="399"/>
      <c r="U73" s="300"/>
      <c r="V73" s="38"/>
    </row>
    <row r="74" spans="1:22" x14ac:dyDescent="0.35">
      <c r="A74" s="110"/>
      <c r="Q74" s="430"/>
      <c r="R74" s="432"/>
      <c r="S74" s="396"/>
      <c r="T74" s="399"/>
      <c r="U74" s="300"/>
      <c r="V74" s="38"/>
    </row>
    <row r="75" spans="1:22" x14ac:dyDescent="0.35">
      <c r="A75" s="110" t="s">
        <v>141</v>
      </c>
      <c r="C75" s="34" t="s">
        <v>57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30">
        <f>SUM(E75:P75)</f>
        <v>0</v>
      </c>
      <c r="R75" s="432">
        <f t="shared" ref="R75:R131" si="15">Q75/$B$4</f>
        <v>0</v>
      </c>
      <c r="S75" s="396"/>
      <c r="T75" s="460" t="str">
        <f>IFERROR(Q75/S75-1,"-")</f>
        <v>-</v>
      </c>
      <c r="U75" s="300"/>
      <c r="V75" s="38"/>
    </row>
    <row r="76" spans="1:22" x14ac:dyDescent="0.35">
      <c r="A76" s="110"/>
      <c r="Q76" s="430"/>
      <c r="R76" s="432"/>
      <c r="S76" s="396"/>
      <c r="T76" s="399"/>
      <c r="U76" s="300"/>
      <c r="V76" s="38"/>
    </row>
    <row r="77" spans="1:22" x14ac:dyDescent="0.35">
      <c r="A77" s="110" t="s">
        <v>118</v>
      </c>
      <c r="D77" s="34" t="s">
        <v>58</v>
      </c>
      <c r="E77" s="34">
        <f>'Allocated Expenses'!F87</f>
        <v>1559.0185109212255</v>
      </c>
      <c r="F77" s="34">
        <f>'Allocated Expenses'!G87</f>
        <v>1559.0185109212255</v>
      </c>
      <c r="G77" s="34">
        <f>'Allocated Expenses'!H87</f>
        <v>1559.0185109212255</v>
      </c>
      <c r="H77" s="34">
        <f>'Allocated Expenses'!I87</f>
        <v>1559.0185109212255</v>
      </c>
      <c r="I77" s="34">
        <f>'Allocated Expenses'!J87</f>
        <v>1559.0185109212255</v>
      </c>
      <c r="J77" s="34">
        <f>'Allocated Expenses'!K87</f>
        <v>1559.0185109212255</v>
      </c>
      <c r="K77" s="34">
        <f>'Allocated Expenses'!L87</f>
        <v>1559.0185109212255</v>
      </c>
      <c r="L77" s="34">
        <f>'Allocated Expenses'!M87</f>
        <v>1559.0185109212255</v>
      </c>
      <c r="M77" s="34">
        <f>'Allocated Expenses'!N87</f>
        <v>1559.0185109212255</v>
      </c>
      <c r="N77" s="34">
        <f>'Allocated Expenses'!O87</f>
        <v>1559.0185109212255</v>
      </c>
      <c r="O77" s="34">
        <f>'Allocated Expenses'!P87</f>
        <v>1559.0185109212255</v>
      </c>
      <c r="P77" s="34">
        <f>'Allocated Expenses'!Q87</f>
        <v>1559.0185109212255</v>
      </c>
      <c r="Q77" s="430">
        <f>SUM(E77:P77)</f>
        <v>18708.222131054707</v>
      </c>
      <c r="R77" s="432">
        <f t="shared" si="15"/>
        <v>0.30415916841800589</v>
      </c>
      <c r="S77" s="396"/>
      <c r="T77" s="399"/>
      <c r="U77" s="300"/>
      <c r="V77" s="38"/>
    </row>
    <row r="78" spans="1:22" x14ac:dyDescent="0.35">
      <c r="A78" s="110" t="s">
        <v>119</v>
      </c>
      <c r="D78" s="34" t="s">
        <v>59</v>
      </c>
      <c r="E78" s="43">
        <f>'Allocated Expenses'!F98</f>
        <v>985.42220454802873</v>
      </c>
      <c r="F78" s="43">
        <f>'Allocated Expenses'!G98</f>
        <v>0</v>
      </c>
      <c r="G78" s="43">
        <f>'Allocated Expenses'!H98</f>
        <v>0</v>
      </c>
      <c r="H78" s="43">
        <f>'Allocated Expenses'!I98</f>
        <v>985.42220454802873</v>
      </c>
      <c r="I78" s="43">
        <f>'Allocated Expenses'!J98</f>
        <v>0</v>
      </c>
      <c r="J78" s="43">
        <f>'Allocated Expenses'!K98</f>
        <v>0</v>
      </c>
      <c r="K78" s="43">
        <f>'Allocated Expenses'!L98</f>
        <v>985.42220454802873</v>
      </c>
      <c r="L78" s="43">
        <f>'Allocated Expenses'!M98</f>
        <v>0</v>
      </c>
      <c r="M78" s="43">
        <f>'Allocated Expenses'!N98</f>
        <v>0</v>
      </c>
      <c r="N78" s="43">
        <f>'Allocated Expenses'!O98</f>
        <v>985.42220454802873</v>
      </c>
      <c r="O78" s="43">
        <f>'Allocated Expenses'!P98</f>
        <v>0</v>
      </c>
      <c r="P78" s="43">
        <f>'Allocated Expenses'!Q98</f>
        <v>0</v>
      </c>
      <c r="Q78" s="443">
        <f>SUM(E78:P78)</f>
        <v>3941.6888181921149</v>
      </c>
      <c r="R78" s="444">
        <f t="shared" si="15"/>
        <v>6.4084164957275716E-2</v>
      </c>
      <c r="S78" s="396"/>
      <c r="T78" s="399"/>
      <c r="U78" s="300"/>
      <c r="V78" s="38"/>
    </row>
    <row r="79" spans="1:22" x14ac:dyDescent="0.35">
      <c r="A79" s="110"/>
      <c r="C79" s="34" t="s">
        <v>60</v>
      </c>
      <c r="E79" s="43">
        <f t="shared" ref="E79:Q79" si="16">SUM(E77:E78)</f>
        <v>2544.4407154692544</v>
      </c>
      <c r="F79" s="43">
        <f t="shared" si="16"/>
        <v>1559.0185109212255</v>
      </c>
      <c r="G79" s="43">
        <f t="shared" si="16"/>
        <v>1559.0185109212255</v>
      </c>
      <c r="H79" s="43">
        <f t="shared" si="16"/>
        <v>2544.4407154692544</v>
      </c>
      <c r="I79" s="43">
        <f t="shared" si="16"/>
        <v>1559.0185109212255</v>
      </c>
      <c r="J79" s="43">
        <f t="shared" si="16"/>
        <v>1559.0185109212255</v>
      </c>
      <c r="K79" s="43">
        <f t="shared" si="16"/>
        <v>2544.4407154692544</v>
      </c>
      <c r="L79" s="43">
        <f t="shared" si="16"/>
        <v>1559.0185109212255</v>
      </c>
      <c r="M79" s="43">
        <f t="shared" si="16"/>
        <v>1559.0185109212255</v>
      </c>
      <c r="N79" s="43">
        <f t="shared" si="16"/>
        <v>2544.4407154692544</v>
      </c>
      <c r="O79" s="43">
        <f t="shared" si="16"/>
        <v>1559.0185109212255</v>
      </c>
      <c r="P79" s="43">
        <f t="shared" si="16"/>
        <v>1559.0185109212255</v>
      </c>
      <c r="Q79" s="443">
        <f t="shared" si="16"/>
        <v>22649.91094924682</v>
      </c>
      <c r="R79" s="444">
        <f t="shared" si="15"/>
        <v>0.36824333337528159</v>
      </c>
      <c r="S79" s="400">
        <v>20124.84</v>
      </c>
      <c r="T79" s="461">
        <f>IFERROR(Q79/S79-1,"-")</f>
        <v>0.12547036146606971</v>
      </c>
      <c r="U79" s="300"/>
      <c r="V79" s="38"/>
    </row>
    <row r="80" spans="1:22" x14ac:dyDescent="0.35">
      <c r="A80" s="110"/>
      <c r="Q80" s="430"/>
      <c r="R80" s="432"/>
      <c r="S80" s="396"/>
      <c r="T80" s="399"/>
      <c r="U80" s="300"/>
      <c r="V80" s="38"/>
    </row>
    <row r="81" spans="1:22" x14ac:dyDescent="0.35">
      <c r="A81" s="110" t="s">
        <v>142</v>
      </c>
      <c r="D81" s="34" t="s">
        <v>61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30">
        <f>SUM(E81:P81)</f>
        <v>0</v>
      </c>
      <c r="R81" s="432">
        <f t="shared" si="15"/>
        <v>0</v>
      </c>
      <c r="S81" s="396"/>
      <c r="T81" s="399"/>
      <c r="U81" s="300"/>
      <c r="V81" s="38"/>
    </row>
    <row r="82" spans="1:22" x14ac:dyDescent="0.35">
      <c r="A82" s="110" t="s">
        <v>143</v>
      </c>
      <c r="D82" s="34" t="s">
        <v>21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30">
        <f>SUM(E82:P82)</f>
        <v>0</v>
      </c>
      <c r="R82" s="432">
        <f t="shared" si="15"/>
        <v>0</v>
      </c>
      <c r="S82" s="396"/>
      <c r="T82" s="399"/>
      <c r="U82" s="300"/>
      <c r="V82" s="38"/>
    </row>
    <row r="83" spans="1:22" x14ac:dyDescent="0.35">
      <c r="A83" s="110" t="s">
        <v>144</v>
      </c>
      <c r="D83" s="34" t="s">
        <v>29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43">
        <f>SUM(E83:P83)</f>
        <v>0</v>
      </c>
      <c r="R83" s="444">
        <f t="shared" si="15"/>
        <v>0</v>
      </c>
      <c r="S83" s="396"/>
      <c r="T83" s="399"/>
      <c r="U83" s="300"/>
      <c r="V83" s="38"/>
    </row>
    <row r="84" spans="1:22" x14ac:dyDescent="0.35">
      <c r="A84" s="110"/>
      <c r="C84" s="34" t="s">
        <v>62</v>
      </c>
      <c r="E84" s="43">
        <f t="shared" ref="E84:Q84" si="17">SUM(E81:E83)</f>
        <v>0</v>
      </c>
      <c r="F84" s="43">
        <f t="shared" si="17"/>
        <v>0</v>
      </c>
      <c r="G84" s="43">
        <f t="shared" si="17"/>
        <v>0</v>
      </c>
      <c r="H84" s="43">
        <f t="shared" si="17"/>
        <v>0</v>
      </c>
      <c r="I84" s="43">
        <f t="shared" si="17"/>
        <v>0</v>
      </c>
      <c r="J84" s="43">
        <f t="shared" si="17"/>
        <v>0</v>
      </c>
      <c r="K84" s="43">
        <f t="shared" si="17"/>
        <v>0</v>
      </c>
      <c r="L84" s="43">
        <f t="shared" si="17"/>
        <v>0</v>
      </c>
      <c r="M84" s="43">
        <f t="shared" si="17"/>
        <v>0</v>
      </c>
      <c r="N84" s="43">
        <f t="shared" si="17"/>
        <v>0</v>
      </c>
      <c r="O84" s="43">
        <f t="shared" si="17"/>
        <v>0</v>
      </c>
      <c r="P84" s="43">
        <f t="shared" si="17"/>
        <v>0</v>
      </c>
      <c r="Q84" s="443">
        <f t="shared" si="17"/>
        <v>0</v>
      </c>
      <c r="R84" s="444">
        <f t="shared" si="15"/>
        <v>0</v>
      </c>
      <c r="S84" s="400">
        <v>160.96</v>
      </c>
      <c r="T84" s="461">
        <f>IFERROR(Q84/S84-1,"-")</f>
        <v>-1</v>
      </c>
      <c r="U84" s="300"/>
      <c r="V84" s="38"/>
    </row>
    <row r="85" spans="1:22" x14ac:dyDescent="0.35">
      <c r="A85" s="110"/>
      <c r="Q85" s="430"/>
      <c r="R85" s="432"/>
      <c r="S85" s="396"/>
      <c r="T85" s="399"/>
      <c r="U85" s="300"/>
      <c r="V85" s="38"/>
    </row>
    <row r="86" spans="1:22" x14ac:dyDescent="0.35">
      <c r="A86" s="110"/>
      <c r="D86" s="88" t="s">
        <v>31</v>
      </c>
      <c r="E86" s="117">
        <f>1.03*500</f>
        <v>515</v>
      </c>
      <c r="F86" s="117">
        <f t="shared" ref="F86:P86" si="18">1.03*500</f>
        <v>515</v>
      </c>
      <c r="G86" s="117">
        <f t="shared" si="18"/>
        <v>515</v>
      </c>
      <c r="H86" s="117">
        <f t="shared" si="18"/>
        <v>515</v>
      </c>
      <c r="I86" s="117">
        <f t="shared" si="18"/>
        <v>515</v>
      </c>
      <c r="J86" s="117">
        <f t="shared" si="18"/>
        <v>515</v>
      </c>
      <c r="K86" s="117">
        <f t="shared" si="18"/>
        <v>515</v>
      </c>
      <c r="L86" s="117">
        <f t="shared" si="18"/>
        <v>515</v>
      </c>
      <c r="M86" s="117">
        <f t="shared" si="18"/>
        <v>515</v>
      </c>
      <c r="N86" s="117">
        <f t="shared" si="18"/>
        <v>515</v>
      </c>
      <c r="O86" s="117">
        <f t="shared" si="18"/>
        <v>515</v>
      </c>
      <c r="P86" s="117">
        <f t="shared" si="18"/>
        <v>515</v>
      </c>
      <c r="Q86" s="445">
        <f>SUM(E86:P86)</f>
        <v>6180</v>
      </c>
      <c r="R86" s="438">
        <f t="shared" si="15"/>
        <v>0.10047473499382194</v>
      </c>
      <c r="S86" s="396"/>
      <c r="T86" s="399"/>
      <c r="U86" s="300" t="s">
        <v>371</v>
      </c>
      <c r="V86" s="38" t="s">
        <v>461</v>
      </c>
    </row>
    <row r="87" spans="1:22" x14ac:dyDescent="0.35">
      <c r="A87" s="110"/>
      <c r="D87" s="90" t="s">
        <v>32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3">
        <f>SUM(E87:P87)</f>
        <v>0</v>
      </c>
      <c r="R87" s="442">
        <f t="shared" si="15"/>
        <v>0</v>
      </c>
      <c r="S87" s="396"/>
      <c r="T87" s="399"/>
      <c r="U87" s="300"/>
      <c r="V87" s="38"/>
    </row>
    <row r="88" spans="1:22" x14ac:dyDescent="0.35">
      <c r="A88" s="110" t="s">
        <v>120</v>
      </c>
      <c r="C88" s="34" t="s">
        <v>33</v>
      </c>
      <c r="E88" s="43">
        <f t="shared" ref="E88:P88" si="19">SUM(E86:E87)</f>
        <v>515</v>
      </c>
      <c r="F88" s="43">
        <f t="shared" si="19"/>
        <v>515</v>
      </c>
      <c r="G88" s="43">
        <f t="shared" si="19"/>
        <v>515</v>
      </c>
      <c r="H88" s="43">
        <f t="shared" si="19"/>
        <v>515</v>
      </c>
      <c r="I88" s="43">
        <f t="shared" si="19"/>
        <v>515</v>
      </c>
      <c r="J88" s="43">
        <f t="shared" si="19"/>
        <v>515</v>
      </c>
      <c r="K88" s="43">
        <f t="shared" si="19"/>
        <v>515</v>
      </c>
      <c r="L88" s="43">
        <f t="shared" si="19"/>
        <v>515</v>
      </c>
      <c r="M88" s="43">
        <f t="shared" si="19"/>
        <v>515</v>
      </c>
      <c r="N88" s="43">
        <f t="shared" si="19"/>
        <v>515</v>
      </c>
      <c r="O88" s="43">
        <f t="shared" si="19"/>
        <v>515</v>
      </c>
      <c r="P88" s="43">
        <f t="shared" si="19"/>
        <v>515</v>
      </c>
      <c r="Q88" s="443">
        <f t="shared" ref="Q88" si="20">SUM(Q86:Q87)</f>
        <v>6180</v>
      </c>
      <c r="R88" s="444">
        <f t="shared" si="15"/>
        <v>0.10047473499382194</v>
      </c>
      <c r="S88" s="400">
        <v>4299.6100000000006</v>
      </c>
      <c r="T88" s="461">
        <f>IFERROR(Q88/S88-1,"-")</f>
        <v>0.437339665690609</v>
      </c>
      <c r="U88" s="300"/>
      <c r="V88" s="38"/>
    </row>
    <row r="89" spans="1:22" x14ac:dyDescent="0.35">
      <c r="A89" s="110"/>
      <c r="Q89" s="430"/>
      <c r="R89" s="432"/>
      <c r="S89" s="396"/>
      <c r="T89" s="399"/>
      <c r="U89" s="300"/>
      <c r="V89" s="38"/>
    </row>
    <row r="90" spans="1:22" s="95" customFormat="1" hidden="1" x14ac:dyDescent="0.35">
      <c r="A90" s="111" t="s">
        <v>145</v>
      </c>
      <c r="B90" s="95" t="s">
        <v>34</v>
      </c>
      <c r="C90" s="95" t="s">
        <v>63</v>
      </c>
      <c r="Q90" s="448">
        <f>SUM(E90:P90)</f>
        <v>0</v>
      </c>
      <c r="R90" s="449">
        <f t="shared" si="15"/>
        <v>0</v>
      </c>
      <c r="S90" s="396"/>
      <c r="T90" s="399" t="e">
        <f>R90/S90-1</f>
        <v>#DIV/0!</v>
      </c>
      <c r="U90" s="300"/>
      <c r="V90" s="305"/>
    </row>
    <row r="91" spans="1:22" hidden="1" x14ac:dyDescent="0.35">
      <c r="A91" s="110"/>
      <c r="Q91" s="430"/>
      <c r="R91" s="432"/>
      <c r="S91" s="396"/>
      <c r="T91" s="399" t="e">
        <f>R91/S91-1</f>
        <v>#DIV/0!</v>
      </c>
      <c r="U91" s="300"/>
      <c r="V91" s="38"/>
    </row>
    <row r="92" spans="1:22" x14ac:dyDescent="0.35">
      <c r="A92" s="110" t="s">
        <v>121</v>
      </c>
      <c r="C92" s="34" t="s">
        <v>64</v>
      </c>
      <c r="E92" s="34">
        <f>'Allocated Expenses'!F109+'Allocated Expenses'!F120</f>
        <v>598.06647370474309</v>
      </c>
      <c r="F92" s="34">
        <f>'Allocated Expenses'!G109+'Allocated Expenses'!G120</f>
        <v>598.06647370474309</v>
      </c>
      <c r="G92" s="34">
        <f>'Allocated Expenses'!H109+'Allocated Expenses'!H120</f>
        <v>598.06647370474309</v>
      </c>
      <c r="H92" s="34">
        <f>'Allocated Expenses'!I109+'Allocated Expenses'!I120</f>
        <v>598.06647370474309</v>
      </c>
      <c r="I92" s="34">
        <f>'Allocated Expenses'!J109+'Allocated Expenses'!J120</f>
        <v>598.06647370474309</v>
      </c>
      <c r="J92" s="34">
        <f>'Allocated Expenses'!K109+'Allocated Expenses'!K120</f>
        <v>598.06647370474309</v>
      </c>
      <c r="K92" s="34">
        <f>'Allocated Expenses'!L109+'Allocated Expenses'!L120</f>
        <v>598.06647370474309</v>
      </c>
      <c r="L92" s="34">
        <f>'Allocated Expenses'!M109+'Allocated Expenses'!M120</f>
        <v>598.06647370474309</v>
      </c>
      <c r="M92" s="34">
        <f>'Allocated Expenses'!N109+'Allocated Expenses'!N120</f>
        <v>598.06647370474309</v>
      </c>
      <c r="N92" s="34">
        <f>'Allocated Expenses'!O109+'Allocated Expenses'!O120</f>
        <v>598.06647370474309</v>
      </c>
      <c r="O92" s="34">
        <f>'Allocated Expenses'!P109+'Allocated Expenses'!P120</f>
        <v>598.06647370474309</v>
      </c>
      <c r="P92" s="34">
        <f>'Allocated Expenses'!Q109+'Allocated Expenses'!Q120</f>
        <v>598.06647370474309</v>
      </c>
      <c r="Q92" s="430">
        <f>SUM(E92:P92)</f>
        <v>7176.7976844569157</v>
      </c>
      <c r="R92" s="432">
        <f t="shared" si="15"/>
        <v>0.11668071932849249</v>
      </c>
      <c r="S92" s="396">
        <v>6829.6</v>
      </c>
      <c r="T92" s="460">
        <f>IFERROR(Q92/S92-1,"-")</f>
        <v>5.083719170330836E-2</v>
      </c>
      <c r="U92" s="300"/>
      <c r="V92" s="38"/>
    </row>
    <row r="93" spans="1:22" x14ac:dyDescent="0.35">
      <c r="A93" s="110"/>
      <c r="Q93" s="430"/>
      <c r="R93" s="432"/>
      <c r="S93" s="396"/>
      <c r="T93" s="399"/>
      <c r="U93" s="300"/>
      <c r="V93" s="38"/>
    </row>
    <row r="94" spans="1:22" x14ac:dyDescent="0.35">
      <c r="A94" s="110" t="s">
        <v>122</v>
      </c>
      <c r="C94" s="34" t="s">
        <v>65</v>
      </c>
      <c r="E94" s="34">
        <f>'Allocated Expenses'!F131</f>
        <v>0</v>
      </c>
      <c r="F94" s="34">
        <f>'Allocated Expenses'!G131</f>
        <v>0</v>
      </c>
      <c r="G94" s="34">
        <f>'Allocated Expenses'!H131</f>
        <v>0</v>
      </c>
      <c r="H94" s="34">
        <f>'Allocated Expenses'!I131</f>
        <v>2598.3351437225883</v>
      </c>
      <c r="I94" s="34">
        <f>'Allocated Expenses'!J131</f>
        <v>0</v>
      </c>
      <c r="J94" s="34">
        <f>'Allocated Expenses'!K131</f>
        <v>0</v>
      </c>
      <c r="K94" s="34">
        <f>'Allocated Expenses'!L131</f>
        <v>0</v>
      </c>
      <c r="L94" s="34">
        <f>'Allocated Expenses'!M131</f>
        <v>0</v>
      </c>
      <c r="M94" s="34">
        <f>'Allocated Expenses'!N131</f>
        <v>0</v>
      </c>
      <c r="N94" s="34">
        <f>'Allocated Expenses'!O131</f>
        <v>0</v>
      </c>
      <c r="O94" s="34">
        <f>'Allocated Expenses'!P131</f>
        <v>0</v>
      </c>
      <c r="P94" s="34">
        <f>'Allocated Expenses'!Q131</f>
        <v>0</v>
      </c>
      <c r="Q94" s="430">
        <f>SUM(E94:P94)</f>
        <v>2598.3351437225883</v>
      </c>
      <c r="R94" s="432">
        <f t="shared" si="15"/>
        <v>4.2243856794605392E-2</v>
      </c>
      <c r="S94" s="396">
        <v>0</v>
      </c>
      <c r="T94" s="460" t="str">
        <f>IFERROR(Q94/S94-1,"-")</f>
        <v>-</v>
      </c>
      <c r="U94" s="300"/>
      <c r="V94" s="38"/>
    </row>
    <row r="95" spans="1:22" x14ac:dyDescent="0.35">
      <c r="A95" s="110"/>
      <c r="Q95" s="430"/>
      <c r="R95" s="432"/>
      <c r="S95" s="396"/>
      <c r="T95" s="399"/>
      <c r="U95" s="300"/>
      <c r="V95" s="38"/>
    </row>
    <row r="96" spans="1:22" x14ac:dyDescent="0.35">
      <c r="A96" s="110" t="s">
        <v>123</v>
      </c>
      <c r="C96" s="34" t="s">
        <v>66</v>
      </c>
      <c r="E96" s="34">
        <f>'Allocated Expenses'!F143</f>
        <v>546.57952841783811</v>
      </c>
      <c r="F96" s="34">
        <f>'Allocated Expenses'!G143</f>
        <v>546.57952841783811</v>
      </c>
      <c r="G96" s="34">
        <f>'Allocated Expenses'!H143</f>
        <v>546.57952841783811</v>
      </c>
      <c r="H96" s="34">
        <f>'Allocated Expenses'!I143</f>
        <v>546.57952841783811</v>
      </c>
      <c r="I96" s="34">
        <f>'Allocated Expenses'!J143</f>
        <v>546.57952841783811</v>
      </c>
      <c r="J96" s="34">
        <f>'Allocated Expenses'!K143</f>
        <v>546.57952841783811</v>
      </c>
      <c r="K96" s="34">
        <f>'Allocated Expenses'!L143</f>
        <v>546.57952841783811</v>
      </c>
      <c r="L96" s="34">
        <f>'Allocated Expenses'!M143</f>
        <v>546.57952841783811</v>
      </c>
      <c r="M96" s="34">
        <f>'Allocated Expenses'!N143</f>
        <v>546.57952841783811</v>
      </c>
      <c r="N96" s="34">
        <f>'Allocated Expenses'!O143</f>
        <v>546.57952841783811</v>
      </c>
      <c r="O96" s="34">
        <f>'Allocated Expenses'!P143</f>
        <v>546.57952841783811</v>
      </c>
      <c r="P96" s="34">
        <f>'Allocated Expenses'!Q143</f>
        <v>546.57952841783811</v>
      </c>
      <c r="Q96" s="430">
        <f>SUM(E96:P96)</f>
        <v>6558.9543410140586</v>
      </c>
      <c r="R96" s="432">
        <f t="shared" si="15"/>
        <v>0.10663579275889411</v>
      </c>
      <c r="S96" s="396">
        <v>5688.1100000000006</v>
      </c>
      <c r="T96" s="460">
        <f>IFERROR(Q96/S96-1,"-")</f>
        <v>0.15309906823427433</v>
      </c>
      <c r="U96" s="300"/>
      <c r="V96" s="38"/>
    </row>
    <row r="97" spans="1:22" x14ac:dyDescent="0.35">
      <c r="A97" s="110"/>
      <c r="Q97" s="430"/>
      <c r="R97" s="432"/>
      <c r="S97" s="396"/>
      <c r="T97" s="399"/>
      <c r="U97" s="300"/>
      <c r="V97" s="38"/>
    </row>
    <row r="98" spans="1:22" x14ac:dyDescent="0.35">
      <c r="A98" s="110" t="s">
        <v>130</v>
      </c>
      <c r="D98" s="34" t="s">
        <v>67</v>
      </c>
      <c r="E98" s="34">
        <f>'Allocated Expenses'!F154</f>
        <v>24.715281829279036</v>
      </c>
      <c r="F98" s="34">
        <f>'Allocated Expenses'!G154</f>
        <v>24.715281829279036</v>
      </c>
      <c r="G98" s="34">
        <f>'Allocated Expenses'!H154</f>
        <v>24.715281829279036</v>
      </c>
      <c r="H98" s="34">
        <f>'Allocated Expenses'!I154</f>
        <v>24.715281829279036</v>
      </c>
      <c r="I98" s="34">
        <f>'Allocated Expenses'!J154</f>
        <v>24.715281829279036</v>
      </c>
      <c r="J98" s="34">
        <f>'Allocated Expenses'!K154</f>
        <v>24.715281829279036</v>
      </c>
      <c r="K98" s="34">
        <f>'Allocated Expenses'!L154</f>
        <v>24.715281829279036</v>
      </c>
      <c r="L98" s="34">
        <f>'Allocated Expenses'!M154</f>
        <v>24.715281829279036</v>
      </c>
      <c r="M98" s="34">
        <f>'Allocated Expenses'!N154</f>
        <v>24.715281829279036</v>
      </c>
      <c r="N98" s="34">
        <f>'Allocated Expenses'!O154</f>
        <v>24.715281829279036</v>
      </c>
      <c r="O98" s="34">
        <f>'Allocated Expenses'!P154</f>
        <v>24.715281829279036</v>
      </c>
      <c r="P98" s="34">
        <f>'Allocated Expenses'!Q154</f>
        <v>24.715281829279036</v>
      </c>
      <c r="Q98" s="430">
        <f>SUM(E98:P98)</f>
        <v>296.58338195134843</v>
      </c>
      <c r="R98" s="432">
        <f t="shared" si="15"/>
        <v>4.8218667807658913E-3</v>
      </c>
      <c r="S98" s="396"/>
      <c r="T98" s="399"/>
      <c r="U98" s="300"/>
      <c r="V98" s="38"/>
    </row>
    <row r="99" spans="1:22" x14ac:dyDescent="0.35">
      <c r="A99" s="110" t="s">
        <v>146</v>
      </c>
      <c r="D99" s="34" t="s">
        <v>68</v>
      </c>
      <c r="E99" s="34">
        <f>'Allocated Expenses'!F165</f>
        <v>0</v>
      </c>
      <c r="F99" s="34">
        <f>'Allocated Expenses'!G165</f>
        <v>0</v>
      </c>
      <c r="G99" s="34">
        <f>'Allocated Expenses'!H165</f>
        <v>0</v>
      </c>
      <c r="H99" s="34">
        <f>'Allocated Expenses'!I165</f>
        <v>0</v>
      </c>
      <c r="I99" s="34">
        <f>'Allocated Expenses'!J165</f>
        <v>0</v>
      </c>
      <c r="J99" s="34">
        <f>'Allocated Expenses'!K165</f>
        <v>0</v>
      </c>
      <c r="K99" s="34">
        <f>'Allocated Expenses'!L165</f>
        <v>0</v>
      </c>
      <c r="L99" s="34">
        <f>'Allocated Expenses'!M165</f>
        <v>0</v>
      </c>
      <c r="M99" s="34">
        <f>'Allocated Expenses'!N165</f>
        <v>0</v>
      </c>
      <c r="N99" s="34">
        <f>'Allocated Expenses'!O165</f>
        <v>0</v>
      </c>
      <c r="O99" s="34">
        <f>'Allocated Expenses'!P165</f>
        <v>0</v>
      </c>
      <c r="P99" s="34">
        <f>'Allocated Expenses'!Q165</f>
        <v>0</v>
      </c>
      <c r="Q99" s="430">
        <f>SUM(E99:P99)</f>
        <v>0</v>
      </c>
      <c r="R99" s="432">
        <f t="shared" si="15"/>
        <v>0</v>
      </c>
      <c r="S99" s="396"/>
      <c r="T99" s="399"/>
      <c r="U99" s="300"/>
      <c r="V99" s="38"/>
    </row>
    <row r="100" spans="1:22" x14ac:dyDescent="0.35">
      <c r="A100" s="110" t="s">
        <v>147</v>
      </c>
      <c r="D100" s="34" t="s">
        <v>69</v>
      </c>
      <c r="E100" s="34">
        <f>'Allocated Expenses'!F176</f>
        <v>0</v>
      </c>
      <c r="F100" s="34">
        <f>'Allocated Expenses'!G176</f>
        <v>0</v>
      </c>
      <c r="G100" s="34">
        <f>'Allocated Expenses'!H176</f>
        <v>0</v>
      </c>
      <c r="H100" s="34">
        <f>'Allocated Expenses'!I176</f>
        <v>0</v>
      </c>
      <c r="I100" s="34">
        <f>'Allocated Expenses'!J176</f>
        <v>0</v>
      </c>
      <c r="J100" s="34">
        <f>'Allocated Expenses'!K176</f>
        <v>0</v>
      </c>
      <c r="K100" s="34">
        <f>'Allocated Expenses'!L176</f>
        <v>0</v>
      </c>
      <c r="L100" s="34">
        <f>'Allocated Expenses'!M176</f>
        <v>0</v>
      </c>
      <c r="M100" s="34">
        <f>'Allocated Expenses'!N176</f>
        <v>0</v>
      </c>
      <c r="N100" s="34">
        <f>'Allocated Expenses'!O176</f>
        <v>0</v>
      </c>
      <c r="O100" s="34">
        <f>'Allocated Expenses'!P176</f>
        <v>0</v>
      </c>
      <c r="P100" s="34">
        <f>'Allocated Expenses'!Q176</f>
        <v>0</v>
      </c>
      <c r="Q100" s="430">
        <f>SUM(E100:P100)</f>
        <v>0</v>
      </c>
      <c r="R100" s="432">
        <f t="shared" si="15"/>
        <v>0</v>
      </c>
      <c r="S100" s="396"/>
      <c r="T100" s="399"/>
      <c r="U100" s="300"/>
      <c r="V100" s="38"/>
    </row>
    <row r="101" spans="1:22" x14ac:dyDescent="0.35">
      <c r="A101" s="110" t="s">
        <v>131</v>
      </c>
      <c r="D101" s="34" t="s">
        <v>70</v>
      </c>
      <c r="E101" s="34">
        <f>'Allocated Expenses'!F187</f>
        <v>23.918014673495843</v>
      </c>
      <c r="F101" s="34">
        <f>'Allocated Expenses'!G187</f>
        <v>23.918014673495843</v>
      </c>
      <c r="G101" s="34">
        <f>'Allocated Expenses'!H187</f>
        <v>23.918014673495843</v>
      </c>
      <c r="H101" s="34">
        <f>'Allocated Expenses'!I187</f>
        <v>23.918014673495843</v>
      </c>
      <c r="I101" s="34">
        <f>'Allocated Expenses'!J187</f>
        <v>23.918014673495843</v>
      </c>
      <c r="J101" s="34">
        <f>'Allocated Expenses'!K187</f>
        <v>23.918014673495843</v>
      </c>
      <c r="K101" s="34">
        <f>'Allocated Expenses'!L187</f>
        <v>23.918014673495843</v>
      </c>
      <c r="L101" s="34">
        <f>'Allocated Expenses'!M187</f>
        <v>23.918014673495843</v>
      </c>
      <c r="M101" s="34">
        <f>'Allocated Expenses'!N187</f>
        <v>23.918014673495843</v>
      </c>
      <c r="N101" s="34">
        <f>'Allocated Expenses'!O187</f>
        <v>23.918014673495843</v>
      </c>
      <c r="O101" s="34">
        <f>'Allocated Expenses'!P187</f>
        <v>23.918014673495843</v>
      </c>
      <c r="P101" s="34">
        <f>'Allocated Expenses'!Q187</f>
        <v>23.918014673495843</v>
      </c>
      <c r="Q101" s="430">
        <f>SUM(E101:P101)</f>
        <v>287.01617608195011</v>
      </c>
      <c r="R101" s="432">
        <f t="shared" si="15"/>
        <v>4.6663226910637658E-3</v>
      </c>
      <c r="S101" s="396"/>
      <c r="T101" s="399"/>
      <c r="U101" s="300"/>
      <c r="V101" s="38"/>
    </row>
    <row r="102" spans="1:22" x14ac:dyDescent="0.35">
      <c r="A102" s="110" t="s">
        <v>124</v>
      </c>
      <c r="D102" s="34" t="s">
        <v>71</v>
      </c>
      <c r="E102" s="43">
        <f>'Allocated Expenses'!F198</f>
        <v>1840</v>
      </c>
      <c r="F102" s="43">
        <f>'Allocated Expenses'!G198</f>
        <v>1840</v>
      </c>
      <c r="G102" s="43">
        <f>'Allocated Expenses'!H198</f>
        <v>1840</v>
      </c>
      <c r="H102" s="43">
        <f>'Allocated Expenses'!I198</f>
        <v>1840</v>
      </c>
      <c r="I102" s="43">
        <f>'Allocated Expenses'!J198</f>
        <v>1840</v>
      </c>
      <c r="J102" s="43">
        <f>'Allocated Expenses'!K198</f>
        <v>1840</v>
      </c>
      <c r="K102" s="43">
        <f>'Allocated Expenses'!L198</f>
        <v>1840</v>
      </c>
      <c r="L102" s="43">
        <f>'Allocated Expenses'!M198</f>
        <v>1840</v>
      </c>
      <c r="M102" s="43">
        <f>'Allocated Expenses'!N198</f>
        <v>1840</v>
      </c>
      <c r="N102" s="43">
        <f>'Allocated Expenses'!O198</f>
        <v>1840</v>
      </c>
      <c r="O102" s="43">
        <f>'Allocated Expenses'!P198</f>
        <v>1840</v>
      </c>
      <c r="P102" s="43">
        <f>'Allocated Expenses'!Q198</f>
        <v>1840</v>
      </c>
      <c r="Q102" s="443">
        <f>SUM(E102:P102)</f>
        <v>22080</v>
      </c>
      <c r="R102" s="444">
        <f t="shared" si="15"/>
        <v>0.35897769395850948</v>
      </c>
      <c r="S102" s="396"/>
      <c r="T102" s="399"/>
      <c r="U102" s="300"/>
      <c r="V102" s="38"/>
    </row>
    <row r="103" spans="1:22" x14ac:dyDescent="0.35">
      <c r="A103" s="110"/>
      <c r="C103" s="34" t="s">
        <v>72</v>
      </c>
      <c r="E103" s="43">
        <f t="shared" ref="E103:Q103" si="21">SUM(E98:E102)</f>
        <v>1888.6332965027748</v>
      </c>
      <c r="F103" s="43">
        <f t="shared" si="21"/>
        <v>1888.6332965027748</v>
      </c>
      <c r="G103" s="43">
        <f t="shared" si="21"/>
        <v>1888.6332965027748</v>
      </c>
      <c r="H103" s="43">
        <f t="shared" si="21"/>
        <v>1888.6332965027748</v>
      </c>
      <c r="I103" s="43">
        <f t="shared" si="21"/>
        <v>1888.6332965027748</v>
      </c>
      <c r="J103" s="43">
        <f t="shared" si="21"/>
        <v>1888.6332965027748</v>
      </c>
      <c r="K103" s="43">
        <f t="shared" si="21"/>
        <v>1888.6332965027748</v>
      </c>
      <c r="L103" s="43">
        <f t="shared" si="21"/>
        <v>1888.6332965027748</v>
      </c>
      <c r="M103" s="43">
        <f t="shared" si="21"/>
        <v>1888.6332965027748</v>
      </c>
      <c r="N103" s="43">
        <f t="shared" si="21"/>
        <v>1888.6332965027748</v>
      </c>
      <c r="O103" s="43">
        <f t="shared" si="21"/>
        <v>1888.6332965027748</v>
      </c>
      <c r="P103" s="43">
        <f t="shared" si="21"/>
        <v>1888.6332965027748</v>
      </c>
      <c r="Q103" s="443">
        <f t="shared" si="21"/>
        <v>22663.5995580333</v>
      </c>
      <c r="R103" s="444">
        <f t="shared" si="15"/>
        <v>0.36846588343033915</v>
      </c>
      <c r="S103" s="400">
        <v>22740</v>
      </c>
      <c r="T103" s="461">
        <f>IFERROR(Q103/S103-1,"-")</f>
        <v>-3.3597379932586158E-3</v>
      </c>
      <c r="U103" s="300"/>
      <c r="V103" s="38"/>
    </row>
    <row r="104" spans="1:22" x14ac:dyDescent="0.35">
      <c r="A104" s="110"/>
      <c r="Q104" s="430"/>
      <c r="R104" s="432"/>
      <c r="S104" s="396"/>
      <c r="T104" s="399"/>
      <c r="U104" s="300"/>
      <c r="V104" s="38"/>
    </row>
    <row r="105" spans="1:22" ht="18" x14ac:dyDescent="0.35">
      <c r="A105" s="110"/>
      <c r="C105" s="60" t="s">
        <v>73</v>
      </c>
      <c r="D105" s="92"/>
      <c r="E105" s="92">
        <f t="shared" ref="E105:P105" si="22">+E75+E79+E84+E88+E90+E92+E94+E96+E103</f>
        <v>6092.7200140946106</v>
      </c>
      <c r="F105" s="92">
        <f t="shared" si="22"/>
        <v>5107.2978095465814</v>
      </c>
      <c r="G105" s="92">
        <f t="shared" si="22"/>
        <v>5107.2978095465814</v>
      </c>
      <c r="H105" s="92">
        <f t="shared" si="22"/>
        <v>8691.0551578171981</v>
      </c>
      <c r="I105" s="92">
        <f t="shared" si="22"/>
        <v>5107.2978095465814</v>
      </c>
      <c r="J105" s="92">
        <f t="shared" si="22"/>
        <v>5107.2978095465814</v>
      </c>
      <c r="K105" s="92">
        <f t="shared" si="22"/>
        <v>6092.7200140946106</v>
      </c>
      <c r="L105" s="92">
        <f t="shared" si="22"/>
        <v>5107.2978095465814</v>
      </c>
      <c r="M105" s="92">
        <f t="shared" si="22"/>
        <v>5107.2978095465814</v>
      </c>
      <c r="N105" s="92">
        <f t="shared" si="22"/>
        <v>6092.7200140946106</v>
      </c>
      <c r="O105" s="92">
        <f t="shared" si="22"/>
        <v>5107.2978095465814</v>
      </c>
      <c r="P105" s="92">
        <f t="shared" si="22"/>
        <v>5107.2978095465814</v>
      </c>
      <c r="Q105" s="446">
        <f>+Q75+Q79+Q84+Q88+Q90+Q92+Q94+Q96+Q103</f>
        <v>67827.597676473684</v>
      </c>
      <c r="R105" s="447">
        <f t="shared" si="15"/>
        <v>1.1027443206814347</v>
      </c>
      <c r="S105" s="406">
        <f t="shared" ref="S105" si="23">+S75+S79+S84+S88+S90+S92+S94+S96+S103</f>
        <v>59843.12</v>
      </c>
      <c r="T105" s="465">
        <f>IFERROR(Q105/S105-1,"-")</f>
        <v>0.1334234858823149</v>
      </c>
      <c r="U105" s="304"/>
      <c r="V105" s="38"/>
    </row>
    <row r="106" spans="1:22" ht="18.5" thickBot="1" x14ac:dyDescent="0.4">
      <c r="A106" s="110"/>
      <c r="Q106" s="435"/>
      <c r="R106" s="436"/>
      <c r="S106" s="402"/>
      <c r="T106" s="403"/>
      <c r="U106" s="301"/>
      <c r="V106" s="38"/>
    </row>
    <row r="107" spans="1:22" s="36" customFormat="1" ht="18" thickBot="1" x14ac:dyDescent="0.4">
      <c r="A107" s="285"/>
      <c r="B107" s="286" t="s">
        <v>74</v>
      </c>
      <c r="C107" s="287"/>
      <c r="D107" s="287"/>
      <c r="E107" s="287">
        <f t="shared" ref="E107:Q107" si="24">+E71+E105</f>
        <v>57748.06957701323</v>
      </c>
      <c r="F107" s="287">
        <f t="shared" si="24"/>
        <v>52932.5273724652</v>
      </c>
      <c r="G107" s="287">
        <f t="shared" si="24"/>
        <v>60933.699316287435</v>
      </c>
      <c r="H107" s="287">
        <f t="shared" si="24"/>
        <v>71432.292408770838</v>
      </c>
      <c r="I107" s="287">
        <f t="shared" si="24"/>
        <v>64736.985060500221</v>
      </c>
      <c r="J107" s="287">
        <f t="shared" si="24"/>
        <v>57453.995060500223</v>
      </c>
      <c r="K107" s="287">
        <f t="shared" si="24"/>
        <v>72595.05726504825</v>
      </c>
      <c r="L107" s="287">
        <f t="shared" si="24"/>
        <v>74274.925060500231</v>
      </c>
      <c r="M107" s="287">
        <f t="shared" si="24"/>
        <v>56507.145060500217</v>
      </c>
      <c r="N107" s="287">
        <f t="shared" si="24"/>
        <v>56925.62726504825</v>
      </c>
      <c r="O107" s="287">
        <f t="shared" si="24"/>
        <v>50819.145060500217</v>
      </c>
      <c r="P107" s="287">
        <f t="shared" si="24"/>
        <v>59665.461904657204</v>
      </c>
      <c r="Q107" s="426">
        <f t="shared" si="24"/>
        <v>736024.93041179143</v>
      </c>
      <c r="R107" s="428">
        <f t="shared" si="15"/>
        <v>11.96632845177524</v>
      </c>
      <c r="S107" s="427">
        <f>+S71+S105</f>
        <v>693074.45000000019</v>
      </c>
      <c r="T107" s="405">
        <f>IFERROR(Q107/S107-1,"-")</f>
        <v>6.1970947582602687E-2</v>
      </c>
      <c r="U107" s="302"/>
      <c r="V107" s="74"/>
    </row>
    <row r="108" spans="1:22" ht="18.5" thickBot="1" x14ac:dyDescent="0.4">
      <c r="A108" s="110"/>
      <c r="Q108" s="435"/>
      <c r="R108" s="436"/>
      <c r="S108" s="402"/>
      <c r="T108" s="403"/>
      <c r="U108" s="301"/>
      <c r="V108" s="38"/>
    </row>
    <row r="109" spans="1:22" s="36" customFormat="1" ht="18" thickBot="1" x14ac:dyDescent="0.4">
      <c r="A109" s="285"/>
      <c r="B109" s="286" t="s">
        <v>75</v>
      </c>
      <c r="C109" s="287"/>
      <c r="D109" s="287"/>
      <c r="E109" s="287">
        <f t="shared" ref="E109:Q109" si="25">+E24-E107</f>
        <v>33241.154556320107</v>
      </c>
      <c r="F109" s="287">
        <f t="shared" si="25"/>
        <v>37057.651460868139</v>
      </c>
      <c r="G109" s="287">
        <f t="shared" si="25"/>
        <v>28320.19491704589</v>
      </c>
      <c r="H109" s="287">
        <f t="shared" si="25"/>
        <v>22488.354224562485</v>
      </c>
      <c r="I109" s="287">
        <f t="shared" si="25"/>
        <v>29154.610472833119</v>
      </c>
      <c r="J109" s="287">
        <f t="shared" si="25"/>
        <v>36703.563272833097</v>
      </c>
      <c r="K109" s="287">
        <f t="shared" si="25"/>
        <v>22699.934968285088</v>
      </c>
      <c r="L109" s="287">
        <f t="shared" si="25"/>
        <v>20090.476872833096</v>
      </c>
      <c r="M109" s="287">
        <f t="shared" si="25"/>
        <v>36648.539272833121</v>
      </c>
      <c r="N109" s="287">
        <f t="shared" si="25"/>
        <v>37468.080868285084</v>
      </c>
      <c r="O109" s="287">
        <f t="shared" si="25"/>
        <v>43377.638172833118</v>
      </c>
      <c r="P109" s="287">
        <f t="shared" si="25"/>
        <v>33986.485262009475</v>
      </c>
      <c r="Q109" s="426">
        <f t="shared" si="25"/>
        <v>381236.68432154204</v>
      </c>
      <c r="R109" s="428">
        <f t="shared" si="15"/>
        <v>6.1981642115097557</v>
      </c>
      <c r="S109" s="427">
        <f>+S24-S107</f>
        <v>312286.5199999999</v>
      </c>
      <c r="T109" s="405">
        <f>IFERROR(Q109/S109-1,"-")</f>
        <v>0.22079135635294844</v>
      </c>
      <c r="U109" s="302"/>
      <c r="V109" s="74"/>
    </row>
    <row r="110" spans="1:22" ht="18" x14ac:dyDescent="0.35">
      <c r="A110" s="110"/>
      <c r="Q110" s="435"/>
      <c r="R110" s="436"/>
      <c r="S110" s="402"/>
      <c r="T110" s="403"/>
      <c r="U110" s="301"/>
      <c r="V110" s="38"/>
    </row>
    <row r="111" spans="1:22" x14ac:dyDescent="0.35">
      <c r="A111" s="110" t="s">
        <v>125</v>
      </c>
      <c r="D111" s="34" t="s">
        <v>76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30"/>
      <c r="R111" s="432">
        <f t="shared" si="15"/>
        <v>0</v>
      </c>
      <c r="S111" s="396"/>
      <c r="T111" s="399"/>
      <c r="U111" s="300"/>
      <c r="V111" s="38"/>
    </row>
    <row r="112" spans="1:22" x14ac:dyDescent="0.35">
      <c r="A112" s="110" t="s">
        <v>126</v>
      </c>
      <c r="D112" s="34" t="s">
        <v>77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30">
        <f>SUM(E112:P112)</f>
        <v>0</v>
      </c>
      <c r="R112" s="432">
        <f t="shared" si="15"/>
        <v>0</v>
      </c>
      <c r="S112" s="396"/>
      <c r="T112" s="399"/>
      <c r="U112" s="300" t="s">
        <v>371</v>
      </c>
      <c r="V112" s="38" t="s">
        <v>450</v>
      </c>
    </row>
    <row r="113" spans="1:22" x14ac:dyDescent="0.35">
      <c r="A113" s="110" t="s">
        <v>127</v>
      </c>
      <c r="D113" s="34" t="s">
        <v>78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30"/>
      <c r="R113" s="432">
        <f t="shared" si="15"/>
        <v>0</v>
      </c>
      <c r="S113" s="396"/>
      <c r="T113" s="399"/>
      <c r="U113" s="300"/>
      <c r="V113" s="38"/>
    </row>
    <row r="114" spans="1:22" x14ac:dyDescent="0.35">
      <c r="A114" s="110" t="s">
        <v>133</v>
      </c>
      <c r="D114" s="34" t="s">
        <v>79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43"/>
      <c r="R114" s="444">
        <f t="shared" si="15"/>
        <v>0</v>
      </c>
      <c r="S114" s="396"/>
      <c r="T114" s="399"/>
      <c r="U114" s="300"/>
      <c r="V114" s="38"/>
    </row>
    <row r="115" spans="1:22" x14ac:dyDescent="0.35">
      <c r="A115" s="110"/>
      <c r="C115" s="34" t="s">
        <v>79</v>
      </c>
      <c r="E115" s="43">
        <f t="shared" ref="E115:Q115" si="26">SUM(E111:E114)</f>
        <v>0</v>
      </c>
      <c r="F115" s="43">
        <f t="shared" si="26"/>
        <v>0</v>
      </c>
      <c r="G115" s="43">
        <f t="shared" si="26"/>
        <v>0</v>
      </c>
      <c r="H115" s="43">
        <f t="shared" si="26"/>
        <v>0</v>
      </c>
      <c r="I115" s="43">
        <f t="shared" si="26"/>
        <v>0</v>
      </c>
      <c r="J115" s="43">
        <f t="shared" si="26"/>
        <v>0</v>
      </c>
      <c r="K115" s="43">
        <f t="shared" si="26"/>
        <v>0</v>
      </c>
      <c r="L115" s="43">
        <f t="shared" si="26"/>
        <v>0</v>
      </c>
      <c r="M115" s="43">
        <f t="shared" si="26"/>
        <v>0</v>
      </c>
      <c r="N115" s="43">
        <f t="shared" si="26"/>
        <v>0</v>
      </c>
      <c r="O115" s="43">
        <f t="shared" si="26"/>
        <v>0</v>
      </c>
      <c r="P115" s="43">
        <f t="shared" si="26"/>
        <v>0</v>
      </c>
      <c r="Q115" s="443">
        <f t="shared" si="26"/>
        <v>0</v>
      </c>
      <c r="R115" s="444">
        <f t="shared" si="15"/>
        <v>0</v>
      </c>
      <c r="S115" s="400">
        <v>62000</v>
      </c>
      <c r="T115" s="461">
        <f>IFERROR(Q115/S115-1,"-")</f>
        <v>-1</v>
      </c>
      <c r="U115" s="300"/>
      <c r="V115" s="38"/>
    </row>
    <row r="116" spans="1:22" x14ac:dyDescent="0.35">
      <c r="A116" s="110"/>
      <c r="Q116" s="430"/>
      <c r="R116" s="432"/>
      <c r="S116" s="396"/>
      <c r="T116" s="399"/>
      <c r="U116" s="300"/>
      <c r="V116" s="38"/>
    </row>
    <row r="117" spans="1:22" x14ac:dyDescent="0.35">
      <c r="A117" s="110" t="s">
        <v>128</v>
      </c>
      <c r="C117" s="34" t="s">
        <v>80</v>
      </c>
      <c r="E117" s="34">
        <f>'Renew &amp; Vac'!AJ55</f>
        <v>4008</v>
      </c>
      <c r="F117" s="34">
        <f>'Renew &amp; Vac'!AK55</f>
        <v>0</v>
      </c>
      <c r="G117" s="34">
        <f>'Renew &amp; Vac'!AL55</f>
        <v>0</v>
      </c>
      <c r="H117" s="34">
        <f>'Renew &amp; Vac'!AM55</f>
        <v>9510</v>
      </c>
      <c r="I117" s="34">
        <f>'Renew &amp; Vac'!AN55</f>
        <v>0</v>
      </c>
      <c r="J117" s="34">
        <f>'Renew &amp; Vac'!AO55</f>
        <v>0</v>
      </c>
      <c r="K117" s="34">
        <f>'Renew &amp; Vac'!AP55</f>
        <v>0</v>
      </c>
      <c r="L117" s="34">
        <f>'Renew &amp; Vac'!AQ55</f>
        <v>0</v>
      </c>
      <c r="M117" s="34">
        <f>'Renew &amp; Vac'!AR55</f>
        <v>0</v>
      </c>
      <c r="N117" s="34">
        <f>'Renew &amp; Vac'!AS55</f>
        <v>0</v>
      </c>
      <c r="O117" s="34">
        <f>'Renew &amp; Vac'!AT55</f>
        <v>0</v>
      </c>
      <c r="P117" s="34">
        <f>'Renew &amp; Vac'!AU55</f>
        <v>2622</v>
      </c>
      <c r="Q117" s="430">
        <f>SUM(E117:P117)</f>
        <v>16140</v>
      </c>
      <c r="R117" s="432">
        <f t="shared" si="15"/>
        <v>0.26240489042075826</v>
      </c>
      <c r="S117" s="396">
        <v>11835</v>
      </c>
      <c r="T117" s="460">
        <f>IFERROR(Q117/S117-1,"-")</f>
        <v>0.36375158428390364</v>
      </c>
      <c r="U117" s="300"/>
      <c r="V117" s="38"/>
    </row>
    <row r="118" spans="1:22" ht="18" x14ac:dyDescent="0.35">
      <c r="A118" s="11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450"/>
      <c r="R118" s="451"/>
      <c r="S118" s="407"/>
      <c r="T118" s="408"/>
      <c r="U118" s="304"/>
      <c r="V118" s="38"/>
    </row>
    <row r="119" spans="1:22" ht="18" x14ac:dyDescent="0.35">
      <c r="A119" s="110"/>
      <c r="D119" s="34" t="s">
        <v>81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35">
        <f>SUM(E119:P119)</f>
        <v>0</v>
      </c>
      <c r="R119" s="436">
        <f t="shared" si="15"/>
        <v>0</v>
      </c>
      <c r="S119" s="402"/>
      <c r="T119" s="403"/>
      <c r="U119" s="301"/>
      <c r="V119" s="38"/>
    </row>
    <row r="120" spans="1:22" x14ac:dyDescent="0.35">
      <c r="A120" s="110"/>
      <c r="B120" s="36"/>
      <c r="D120" s="34" t="s">
        <v>82</v>
      </c>
      <c r="E120" s="43">
        <f>'Renew &amp; Vac'!AJ56</f>
        <v>0</v>
      </c>
      <c r="F120" s="43">
        <f>'Renew &amp; Vac'!AK56</f>
        <v>0</v>
      </c>
      <c r="G120" s="43">
        <f>'Renew &amp; Vac'!AL56</f>
        <v>0</v>
      </c>
      <c r="H120" s="43">
        <f>'Renew &amp; Vac'!AM56</f>
        <v>9272.25</v>
      </c>
      <c r="I120" s="43">
        <f>'Renew &amp; Vac'!AN56</f>
        <v>0</v>
      </c>
      <c r="J120" s="43">
        <f>'Renew &amp; Vac'!AO56</f>
        <v>0</v>
      </c>
      <c r="K120" s="43">
        <f>'Renew &amp; Vac'!AP56</f>
        <v>0</v>
      </c>
      <c r="L120" s="43">
        <f>'Renew &amp; Vac'!AQ56</f>
        <v>0</v>
      </c>
      <c r="M120" s="43">
        <f>'Renew &amp; Vac'!AR56</f>
        <v>0</v>
      </c>
      <c r="N120" s="43">
        <f>'Renew &amp; Vac'!AS56</f>
        <v>0</v>
      </c>
      <c r="O120" s="43">
        <f>'Renew &amp; Vac'!AT56</f>
        <v>0</v>
      </c>
      <c r="P120" s="43">
        <f>'Renew &amp; Vac'!AU56</f>
        <v>0</v>
      </c>
      <c r="Q120" s="443">
        <f>SUM(E120:P120)</f>
        <v>9272.25</v>
      </c>
      <c r="R120" s="444">
        <f t="shared" si="15"/>
        <v>0.15074868309813358</v>
      </c>
      <c r="S120" s="409"/>
      <c r="T120" s="404"/>
      <c r="U120" s="300"/>
      <c r="V120" s="38"/>
    </row>
    <row r="121" spans="1:22" x14ac:dyDescent="0.35">
      <c r="A121" s="110" t="s">
        <v>129</v>
      </c>
      <c r="C121" s="34" t="s">
        <v>82</v>
      </c>
      <c r="D121" s="61"/>
      <c r="E121" s="34">
        <f>SUM(E119:E120)</f>
        <v>0</v>
      </c>
      <c r="F121" s="34">
        <f t="shared" ref="F121:Q121" si="27">SUM(F119:F120)</f>
        <v>0</v>
      </c>
      <c r="G121" s="34">
        <f t="shared" si="27"/>
        <v>0</v>
      </c>
      <c r="H121" s="34">
        <f t="shared" si="27"/>
        <v>9272.25</v>
      </c>
      <c r="I121" s="34">
        <f t="shared" si="27"/>
        <v>0</v>
      </c>
      <c r="J121" s="34">
        <f t="shared" si="27"/>
        <v>0</v>
      </c>
      <c r="K121" s="34">
        <f t="shared" si="27"/>
        <v>0</v>
      </c>
      <c r="L121" s="34">
        <f t="shared" si="27"/>
        <v>0</v>
      </c>
      <c r="M121" s="34">
        <f t="shared" si="27"/>
        <v>0</v>
      </c>
      <c r="N121" s="34">
        <f t="shared" si="27"/>
        <v>0</v>
      </c>
      <c r="O121" s="34">
        <f t="shared" si="27"/>
        <v>0</v>
      </c>
      <c r="P121" s="34">
        <f t="shared" si="27"/>
        <v>0</v>
      </c>
      <c r="Q121" s="430">
        <f t="shared" si="27"/>
        <v>9272.25</v>
      </c>
      <c r="R121" s="432">
        <f t="shared" si="15"/>
        <v>0.15074868309813358</v>
      </c>
      <c r="S121" s="396">
        <v>840</v>
      </c>
      <c r="T121" s="460">
        <f>IFERROR(Q121/S121-1,"-")</f>
        <v>10.038392857142858</v>
      </c>
      <c r="U121" s="300"/>
      <c r="V121" s="38" t="s">
        <v>502</v>
      </c>
    </row>
    <row r="122" spans="1:22" s="36" customFormat="1" ht="18.5" thickBot="1" x14ac:dyDescent="0.4">
      <c r="A122" s="112"/>
      <c r="Q122" s="452"/>
      <c r="R122" s="453"/>
      <c r="S122" s="410"/>
      <c r="T122" s="411"/>
      <c r="U122" s="306"/>
      <c r="V122" s="74"/>
    </row>
    <row r="123" spans="1:22" s="36" customFormat="1" ht="18" thickBot="1" x14ac:dyDescent="0.4">
      <c r="A123" s="285"/>
      <c r="B123" s="286" t="s">
        <v>83</v>
      </c>
      <c r="C123" s="287"/>
      <c r="D123" s="287"/>
      <c r="E123" s="287">
        <f t="shared" ref="E123:Q123" si="28">+E109-E115-E117-E121</f>
        <v>29233.154556320107</v>
      </c>
      <c r="F123" s="287">
        <f t="shared" si="28"/>
        <v>37057.651460868139</v>
      </c>
      <c r="G123" s="287">
        <f t="shared" si="28"/>
        <v>28320.19491704589</v>
      </c>
      <c r="H123" s="287">
        <f t="shared" si="28"/>
        <v>3706.1042245624849</v>
      </c>
      <c r="I123" s="287">
        <f t="shared" si="28"/>
        <v>29154.610472833119</v>
      </c>
      <c r="J123" s="287">
        <f t="shared" si="28"/>
        <v>36703.563272833097</v>
      </c>
      <c r="K123" s="287">
        <f t="shared" si="28"/>
        <v>22699.934968285088</v>
      </c>
      <c r="L123" s="287">
        <f t="shared" si="28"/>
        <v>20090.476872833096</v>
      </c>
      <c r="M123" s="287">
        <f t="shared" si="28"/>
        <v>36648.539272833121</v>
      </c>
      <c r="N123" s="287">
        <f t="shared" si="28"/>
        <v>37468.080868285084</v>
      </c>
      <c r="O123" s="287">
        <f t="shared" si="28"/>
        <v>43377.638172833118</v>
      </c>
      <c r="P123" s="287">
        <f t="shared" si="28"/>
        <v>31364.485262009475</v>
      </c>
      <c r="Q123" s="426">
        <f t="shared" si="28"/>
        <v>355824.43432154204</v>
      </c>
      <c r="R123" s="428">
        <f t="shared" si="15"/>
        <v>5.7850106379908635</v>
      </c>
      <c r="S123" s="427">
        <f>+S109-S115-S117-S121</f>
        <v>237611.5199999999</v>
      </c>
      <c r="T123" s="405">
        <f>IFERROR(Q123/S123-1,"-")</f>
        <v>0.49750497922635306</v>
      </c>
      <c r="U123" s="302"/>
      <c r="V123" s="74"/>
    </row>
    <row r="124" spans="1:22" ht="18" x14ac:dyDescent="0.35">
      <c r="A124" s="110"/>
      <c r="Q124" s="430"/>
      <c r="R124" s="432"/>
      <c r="S124" s="402"/>
      <c r="T124" s="403"/>
      <c r="U124" s="300"/>
      <c r="V124" s="38"/>
    </row>
    <row r="125" spans="1:22" x14ac:dyDescent="0.35">
      <c r="A125" s="110"/>
      <c r="B125" s="34" t="s">
        <v>84</v>
      </c>
      <c r="Q125" s="430"/>
      <c r="R125" s="432"/>
      <c r="S125" s="396"/>
      <c r="T125" s="399"/>
      <c r="U125" s="300"/>
      <c r="V125" s="38"/>
    </row>
    <row r="126" spans="1:22" x14ac:dyDescent="0.35">
      <c r="A126" s="110" t="s">
        <v>132</v>
      </c>
      <c r="C126" s="34" t="s">
        <v>85</v>
      </c>
      <c r="E126" s="34">
        <f>+'Allocated Expenses'!F210</f>
        <v>14406.230482111172</v>
      </c>
      <c r="F126" s="34">
        <f>+'Allocated Expenses'!G210</f>
        <v>14406.230482111172</v>
      </c>
      <c r="G126" s="34">
        <f>+'Allocated Expenses'!H210</f>
        <v>14406.230482111172</v>
      </c>
      <c r="H126" s="34">
        <f>+'Allocated Expenses'!I210</f>
        <v>14406.230482111172</v>
      </c>
      <c r="I126" s="34">
        <f>+'Allocated Expenses'!J210</f>
        <v>14406.230482111172</v>
      </c>
      <c r="J126" s="34">
        <f>+'Allocated Expenses'!K210</f>
        <v>14406.230482111172</v>
      </c>
      <c r="K126" s="34">
        <f>+'Allocated Expenses'!L210</f>
        <v>14406.230482111172</v>
      </c>
      <c r="L126" s="34">
        <f>+'Allocated Expenses'!M210</f>
        <v>14406.230482111172</v>
      </c>
      <c r="M126" s="34">
        <f>+'Allocated Expenses'!N210</f>
        <v>14406.230482111172</v>
      </c>
      <c r="N126" s="34">
        <f>+'Allocated Expenses'!O210</f>
        <v>14406.230482111172</v>
      </c>
      <c r="O126" s="34">
        <f>+'Allocated Expenses'!P210</f>
        <v>14406.230482111172</v>
      </c>
      <c r="P126" s="34">
        <f>+'Allocated Expenses'!Q210</f>
        <v>14406.230482111172</v>
      </c>
      <c r="Q126" s="430">
        <f>SUM(E126:P126)</f>
        <v>172874.76578533405</v>
      </c>
      <c r="R126" s="432">
        <f t="shared" si="15"/>
        <v>2.8106061940777467</v>
      </c>
      <c r="S126" s="396">
        <v>168189.72</v>
      </c>
      <c r="T126" s="460">
        <f>IFERROR(Q126/S126-1,"-")</f>
        <v>2.7855720226741765E-2</v>
      </c>
      <c r="U126" s="300"/>
      <c r="V126" s="38"/>
    </row>
    <row r="127" spans="1:22" x14ac:dyDescent="0.35">
      <c r="A127" s="110" t="s">
        <v>149</v>
      </c>
      <c r="C127" s="34" t="s">
        <v>86</v>
      </c>
      <c r="E127" s="34">
        <f>+'Allocated Expenses'!E226</f>
        <v>0</v>
      </c>
      <c r="F127" s="34">
        <f>+'Allocated Expenses'!F226</f>
        <v>0</v>
      </c>
      <c r="G127" s="34">
        <f>+'Allocated Expenses'!G226</f>
        <v>0</v>
      </c>
      <c r="H127" s="34">
        <f>+'Allocated Expenses'!H226</f>
        <v>0</v>
      </c>
      <c r="I127" s="34">
        <f>+'Allocated Expenses'!I226</f>
        <v>0</v>
      </c>
      <c r="J127" s="34">
        <f>+'Allocated Expenses'!J226</f>
        <v>0</v>
      </c>
      <c r="K127" s="34">
        <f>+'Allocated Expenses'!K226</f>
        <v>0</v>
      </c>
      <c r="L127" s="34">
        <f>+'Allocated Expenses'!L226</f>
        <v>0</v>
      </c>
      <c r="M127" s="34">
        <f>+'Allocated Expenses'!M226</f>
        <v>0</v>
      </c>
      <c r="N127" s="34">
        <f>+'Allocated Expenses'!N226</f>
        <v>0</v>
      </c>
      <c r="O127" s="34">
        <f>+'Allocated Expenses'!O226</f>
        <v>0</v>
      </c>
      <c r="P127" s="34">
        <f>+'Allocated Expenses'!P226</f>
        <v>0</v>
      </c>
      <c r="Q127" s="430">
        <f>SUM(E127:P127)</f>
        <v>0</v>
      </c>
      <c r="R127" s="432">
        <f t="shared" si="15"/>
        <v>0</v>
      </c>
      <c r="S127" s="396">
        <v>17887.130000000005</v>
      </c>
      <c r="T127" s="460">
        <f>IFERROR(Q127/S127-1,"-")</f>
        <v>-1</v>
      </c>
      <c r="U127" s="300"/>
      <c r="V127" s="38"/>
    </row>
    <row r="128" spans="1:22" x14ac:dyDescent="0.35">
      <c r="A128" s="110" t="s">
        <v>150</v>
      </c>
      <c r="C128" s="34" t="s">
        <v>87</v>
      </c>
      <c r="Q128" s="430">
        <f>SUM(E128:P128)</f>
        <v>0</v>
      </c>
      <c r="R128" s="432">
        <f t="shared" si="15"/>
        <v>0</v>
      </c>
      <c r="S128" s="396"/>
      <c r="T128" s="460" t="str">
        <f>IFERROR(Q128/S128-1,"-")</f>
        <v>-</v>
      </c>
      <c r="U128" s="300"/>
      <c r="V128" s="38"/>
    </row>
    <row r="129" spans="1:22" x14ac:dyDescent="0.35">
      <c r="A129" s="110"/>
      <c r="C129" s="34" t="s">
        <v>88</v>
      </c>
      <c r="E129" s="59">
        <f t="shared" ref="E129:Q129" si="29">SUM(E126:E128)</f>
        <v>14406.230482111172</v>
      </c>
      <c r="F129" s="59">
        <f t="shared" si="29"/>
        <v>14406.230482111172</v>
      </c>
      <c r="G129" s="59">
        <f t="shared" si="29"/>
        <v>14406.230482111172</v>
      </c>
      <c r="H129" s="59">
        <f t="shared" si="29"/>
        <v>14406.230482111172</v>
      </c>
      <c r="I129" s="59">
        <f t="shared" si="29"/>
        <v>14406.230482111172</v>
      </c>
      <c r="J129" s="59">
        <f t="shared" si="29"/>
        <v>14406.230482111172</v>
      </c>
      <c r="K129" s="59">
        <f t="shared" si="29"/>
        <v>14406.230482111172</v>
      </c>
      <c r="L129" s="59">
        <f t="shared" si="29"/>
        <v>14406.230482111172</v>
      </c>
      <c r="M129" s="59">
        <f t="shared" si="29"/>
        <v>14406.230482111172</v>
      </c>
      <c r="N129" s="59">
        <f t="shared" si="29"/>
        <v>14406.230482111172</v>
      </c>
      <c r="O129" s="59">
        <f t="shared" si="29"/>
        <v>14406.230482111172</v>
      </c>
      <c r="P129" s="59">
        <f t="shared" si="29"/>
        <v>14406.230482111172</v>
      </c>
      <c r="Q129" s="433">
        <f t="shared" si="29"/>
        <v>172874.76578533405</v>
      </c>
      <c r="R129" s="434">
        <f t="shared" si="15"/>
        <v>2.8106061940777467</v>
      </c>
      <c r="S129" s="400">
        <f t="shared" ref="S129" si="30">SUM(S126:S128)</f>
        <v>186076.85</v>
      </c>
      <c r="T129" s="401">
        <f>Q129/S129-1</f>
        <v>-7.0949632985865541E-2</v>
      </c>
      <c r="U129" s="300"/>
      <c r="V129" s="38"/>
    </row>
    <row r="130" spans="1:22" ht="18.5" thickBot="1" x14ac:dyDescent="0.4">
      <c r="A130" s="110"/>
      <c r="Q130" s="430"/>
      <c r="R130" s="432"/>
      <c r="S130" s="402"/>
      <c r="T130" s="403"/>
      <c r="U130" s="300"/>
      <c r="V130" s="38"/>
    </row>
    <row r="131" spans="1:22" s="36" customFormat="1" ht="18" thickBot="1" x14ac:dyDescent="0.4">
      <c r="A131" s="285"/>
      <c r="B131" s="286" t="s">
        <v>89</v>
      </c>
      <c r="C131" s="287"/>
      <c r="D131" s="287"/>
      <c r="E131" s="287">
        <f t="shared" ref="E131:Q131" si="31">+E123-E129</f>
        <v>14826.924074208935</v>
      </c>
      <c r="F131" s="287">
        <f t="shared" si="31"/>
        <v>22651.420978756967</v>
      </c>
      <c r="G131" s="287">
        <f t="shared" si="31"/>
        <v>13913.964434934718</v>
      </c>
      <c r="H131" s="287">
        <f t="shared" si="31"/>
        <v>-10700.126257548687</v>
      </c>
      <c r="I131" s="287">
        <f t="shared" si="31"/>
        <v>14748.379990721947</v>
      </c>
      <c r="J131" s="287">
        <f t="shared" si="31"/>
        <v>22297.332790721925</v>
      </c>
      <c r="K131" s="287">
        <f t="shared" si="31"/>
        <v>8293.7044861739159</v>
      </c>
      <c r="L131" s="287">
        <f t="shared" si="31"/>
        <v>5684.2463907219244</v>
      </c>
      <c r="M131" s="287">
        <f t="shared" si="31"/>
        <v>22242.308790721949</v>
      </c>
      <c r="N131" s="287">
        <f t="shared" si="31"/>
        <v>23061.850386173912</v>
      </c>
      <c r="O131" s="287">
        <f t="shared" si="31"/>
        <v>28971.407690721946</v>
      </c>
      <c r="P131" s="287">
        <f t="shared" si="31"/>
        <v>16958.254779898303</v>
      </c>
      <c r="Q131" s="426">
        <f t="shared" si="31"/>
        <v>182949.66853620799</v>
      </c>
      <c r="R131" s="428">
        <f t="shared" si="15"/>
        <v>2.9744044439131168</v>
      </c>
      <c r="S131" s="427">
        <f>+S123-S129</f>
        <v>51534.669999999896</v>
      </c>
      <c r="T131" s="405">
        <f>IFERROR(Q131/S131-1,"-")</f>
        <v>2.5500308537186394</v>
      </c>
      <c r="U131" s="302"/>
      <c r="V131" s="74"/>
    </row>
    <row r="132" spans="1:22" ht="18" x14ac:dyDescent="0.35">
      <c r="A132" s="113"/>
      <c r="B132" s="36"/>
      <c r="C132" s="63"/>
      <c r="Q132" s="391"/>
      <c r="R132" s="391"/>
      <c r="S132" s="412"/>
      <c r="T132" s="413"/>
    </row>
    <row r="133" spans="1:22" s="36" customFormat="1" ht="17.5" x14ac:dyDescent="0.3">
      <c r="A133" s="113"/>
      <c r="C133" s="63"/>
      <c r="D133" s="64"/>
      <c r="Q133" s="415"/>
      <c r="R133" s="415"/>
      <c r="S133" s="412"/>
      <c r="T133" s="413"/>
      <c r="U133" s="293"/>
    </row>
    <row r="134" spans="1:22" ht="18" x14ac:dyDescent="0.35">
      <c r="A134" s="110"/>
      <c r="Q134" s="391"/>
      <c r="R134" s="391"/>
      <c r="S134" s="412"/>
      <c r="T134" s="413"/>
    </row>
    <row r="135" spans="1:22" x14ac:dyDescent="0.35">
      <c r="A135" s="114"/>
      <c r="Q135" s="391"/>
      <c r="R135" s="391"/>
      <c r="S135" s="391"/>
      <c r="T135" s="388"/>
    </row>
    <row r="136" spans="1:22" x14ac:dyDescent="0.35">
      <c r="A136" s="114"/>
      <c r="Q136" s="391"/>
      <c r="R136" s="391"/>
      <c r="S136" s="414"/>
      <c r="T136" s="388"/>
    </row>
    <row r="137" spans="1:22" x14ac:dyDescent="0.35">
      <c r="A137" s="80"/>
      <c r="Q137" s="391"/>
      <c r="R137" s="391"/>
      <c r="S137" s="391"/>
      <c r="T137" s="388"/>
    </row>
    <row r="138" spans="1:22" ht="17.5" x14ac:dyDescent="0.35">
      <c r="B138" s="37" t="str">
        <f>"Rental Summary by Month "&amp;C2</f>
        <v xml:space="preserve">Rental Summary by Month </v>
      </c>
      <c r="E138" s="517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T138" s="34"/>
      <c r="U138" s="34"/>
    </row>
    <row r="139" spans="1:22" x14ac:dyDescent="0.35">
      <c r="B139" s="43" t="s">
        <v>619</v>
      </c>
      <c r="C139" s="43"/>
      <c r="D139" s="43" t="s">
        <v>424</v>
      </c>
      <c r="E139" s="519">
        <f>E161</f>
        <v>46023</v>
      </c>
      <c r="F139" s="519">
        <f t="shared" ref="F139:P139" si="32">F161</f>
        <v>46054</v>
      </c>
      <c r="G139" s="519">
        <f t="shared" si="32"/>
        <v>46082</v>
      </c>
      <c r="H139" s="519">
        <f t="shared" si="32"/>
        <v>46113</v>
      </c>
      <c r="I139" s="519">
        <f t="shared" si="32"/>
        <v>46143</v>
      </c>
      <c r="J139" s="519">
        <f t="shared" si="32"/>
        <v>46174</v>
      </c>
      <c r="K139" s="519">
        <f t="shared" si="32"/>
        <v>46204</v>
      </c>
      <c r="L139" s="519">
        <f t="shared" si="32"/>
        <v>46235</v>
      </c>
      <c r="M139" s="519">
        <f t="shared" si="32"/>
        <v>46266</v>
      </c>
      <c r="N139" s="519">
        <f t="shared" si="32"/>
        <v>46296</v>
      </c>
      <c r="O139" s="519">
        <f t="shared" si="32"/>
        <v>46327</v>
      </c>
      <c r="P139" s="519">
        <f t="shared" si="32"/>
        <v>46357</v>
      </c>
      <c r="Q139" s="481" t="s">
        <v>12</v>
      </c>
      <c r="T139" s="34"/>
      <c r="U139" s="34"/>
    </row>
    <row r="140" spans="1:22" x14ac:dyDescent="0.35">
      <c r="B140" s="127" t="str">
        <f t="shared" ref="B140:B156" si="33">B162</f>
        <v>4070-103</v>
      </c>
      <c r="D140" s="34" t="str">
        <f t="shared" ref="D140:D156" si="34">IF(D162="None",D183,D162)</f>
        <v>Bucks County Transportation</v>
      </c>
      <c r="E140" s="34">
        <f t="shared" ref="E140:P149" si="35">SUMIF($B$162:$B$178,$B140,E$162:E$178)+SUMIF($B$184:$B$200,$B140,E$184:E$200)</f>
        <v>2088.13</v>
      </c>
      <c r="F140" s="34">
        <f t="shared" si="35"/>
        <v>2088.13</v>
      </c>
      <c r="G140" s="34">
        <f t="shared" si="35"/>
        <v>2088.13</v>
      </c>
      <c r="H140" s="34">
        <f t="shared" si="35"/>
        <v>2088.13</v>
      </c>
      <c r="I140" s="34">
        <f t="shared" si="35"/>
        <v>2088.13</v>
      </c>
      <c r="J140" s="34">
        <f t="shared" si="35"/>
        <v>2088.13</v>
      </c>
      <c r="K140" s="34">
        <f t="shared" si="35"/>
        <v>2088.13</v>
      </c>
      <c r="L140" s="34">
        <f t="shared" si="35"/>
        <v>2088.13</v>
      </c>
      <c r="M140" s="34">
        <f t="shared" si="35"/>
        <v>2088.13</v>
      </c>
      <c r="N140" s="34">
        <f t="shared" si="35"/>
        <v>2088.13</v>
      </c>
      <c r="O140" s="34">
        <f t="shared" si="35"/>
        <v>2088.13</v>
      </c>
      <c r="P140" s="34">
        <f t="shared" si="35"/>
        <v>2088.13</v>
      </c>
      <c r="Q140" s="36">
        <f>SUM(E140:P140)</f>
        <v>25057.560000000009</v>
      </c>
      <c r="T140" s="34"/>
      <c r="U140" s="34"/>
    </row>
    <row r="141" spans="1:22" x14ac:dyDescent="0.35">
      <c r="B141" s="127" t="str">
        <f t="shared" si="33"/>
        <v>4070-107</v>
      </c>
      <c r="D141" s="34" t="str">
        <f t="shared" si="34"/>
        <v>O.S.S.V .Management, LLC</v>
      </c>
      <c r="E141" s="34">
        <f t="shared" si="35"/>
        <v>2239.63</v>
      </c>
      <c r="F141" s="34">
        <f t="shared" si="35"/>
        <v>2239.63</v>
      </c>
      <c r="G141" s="34">
        <f t="shared" si="35"/>
        <v>2239.63</v>
      </c>
      <c r="H141" s="34">
        <f t="shared" si="35"/>
        <v>2239.63</v>
      </c>
      <c r="I141" s="34">
        <f t="shared" si="35"/>
        <v>2239.63</v>
      </c>
      <c r="J141" s="34">
        <f t="shared" si="35"/>
        <v>2239.63</v>
      </c>
      <c r="K141" s="34">
        <f t="shared" si="35"/>
        <v>2239.63</v>
      </c>
      <c r="L141" s="34">
        <f t="shared" si="35"/>
        <v>2239.63</v>
      </c>
      <c r="M141" s="34">
        <f t="shared" si="35"/>
        <v>2239.63</v>
      </c>
      <c r="N141" s="34">
        <f t="shared" si="35"/>
        <v>2239.63</v>
      </c>
      <c r="O141" s="34">
        <f t="shared" si="35"/>
        <v>2239.63</v>
      </c>
      <c r="P141" s="34">
        <f t="shared" si="35"/>
        <v>2239.625</v>
      </c>
      <c r="Q141" s="36">
        <f t="shared" ref="Q141:Q156" si="36">SUM(E141:P141)</f>
        <v>26875.555000000008</v>
      </c>
    </row>
    <row r="142" spans="1:22" x14ac:dyDescent="0.35">
      <c r="B142" s="127" t="str">
        <f t="shared" si="33"/>
        <v>4070-113</v>
      </c>
      <c r="D142" s="34" t="str">
        <f t="shared" si="34"/>
        <v>McQuoid Financial Group, Inc.</v>
      </c>
      <c r="E142" s="34">
        <f t="shared" si="35"/>
        <v>2951.67</v>
      </c>
      <c r="F142" s="34">
        <f t="shared" si="35"/>
        <v>2951.67</v>
      </c>
      <c r="G142" s="34">
        <f t="shared" si="35"/>
        <v>2951.67</v>
      </c>
      <c r="H142" s="34">
        <f t="shared" si="35"/>
        <v>2951.67</v>
      </c>
      <c r="I142" s="34">
        <f t="shared" si="35"/>
        <v>2951.67</v>
      </c>
      <c r="J142" s="34">
        <f t="shared" si="35"/>
        <v>2951.67</v>
      </c>
      <c r="K142" s="34">
        <f t="shared" si="35"/>
        <v>2951.67</v>
      </c>
      <c r="L142" s="34">
        <f t="shared" si="35"/>
        <v>3025.46</v>
      </c>
      <c r="M142" s="34">
        <f t="shared" si="35"/>
        <v>3025.46</v>
      </c>
      <c r="N142" s="34">
        <f t="shared" si="35"/>
        <v>3025.46</v>
      </c>
      <c r="O142" s="34">
        <f t="shared" si="35"/>
        <v>3025.46</v>
      </c>
      <c r="P142" s="34">
        <f t="shared" si="35"/>
        <v>3025.46</v>
      </c>
      <c r="Q142" s="36">
        <f t="shared" si="36"/>
        <v>35788.99</v>
      </c>
    </row>
    <row r="143" spans="1:22" x14ac:dyDescent="0.35">
      <c r="B143" s="127" t="str">
        <f t="shared" si="33"/>
        <v>4070-115</v>
      </c>
      <c r="D143" s="34" t="str">
        <f t="shared" si="34"/>
        <v>GLT Transportation</v>
      </c>
      <c r="E143" s="34">
        <f t="shared" si="35"/>
        <v>2821.6666666666665</v>
      </c>
      <c r="F143" s="34">
        <f t="shared" si="35"/>
        <v>2821.6666666666665</v>
      </c>
      <c r="G143" s="34">
        <f t="shared" si="35"/>
        <v>2821.6666666666665</v>
      </c>
      <c r="H143" s="34">
        <f t="shared" si="35"/>
        <v>2821.6666666666665</v>
      </c>
      <c r="I143" s="34">
        <f t="shared" si="35"/>
        <v>2821.6666666666665</v>
      </c>
      <c r="J143" s="34">
        <f t="shared" si="35"/>
        <v>2821.6666666666665</v>
      </c>
      <c r="K143" s="34">
        <f t="shared" si="35"/>
        <v>2821.6666666666665</v>
      </c>
      <c r="L143" s="34">
        <f t="shared" si="35"/>
        <v>2821.6666666666665</v>
      </c>
      <c r="M143" s="34">
        <f t="shared" si="35"/>
        <v>2821.6666666666665</v>
      </c>
      <c r="N143" s="34">
        <f t="shared" si="35"/>
        <v>2821.6666666666665</v>
      </c>
      <c r="O143" s="34">
        <f t="shared" si="35"/>
        <v>2821.6666666666665</v>
      </c>
      <c r="P143" s="34">
        <f t="shared" si="35"/>
        <v>0</v>
      </c>
      <c r="Q143" s="36">
        <f t="shared" si="36"/>
        <v>31038.333333333339</v>
      </c>
    </row>
    <row r="144" spans="1:22" x14ac:dyDescent="0.35">
      <c r="B144" s="127" t="str">
        <f t="shared" si="33"/>
        <v>4070-116</v>
      </c>
      <c r="D144" s="34" t="str">
        <f t="shared" si="34"/>
        <v>Rothkoff Law Group, P.C.</v>
      </c>
      <c r="E144" s="34">
        <f t="shared" si="35"/>
        <v>6595.88</v>
      </c>
      <c r="F144" s="34">
        <f t="shared" si="35"/>
        <v>6595.88</v>
      </c>
      <c r="G144" s="34">
        <f t="shared" si="35"/>
        <v>6595.88</v>
      </c>
      <c r="H144" s="34">
        <f t="shared" si="35"/>
        <v>6595.88</v>
      </c>
      <c r="I144" s="34">
        <f t="shared" si="35"/>
        <v>6595.88</v>
      </c>
      <c r="J144" s="34">
        <f t="shared" si="35"/>
        <v>6595.88</v>
      </c>
      <c r="K144" s="34">
        <f t="shared" si="35"/>
        <v>6756.75</v>
      </c>
      <c r="L144" s="34">
        <f t="shared" si="35"/>
        <v>6756.75</v>
      </c>
      <c r="M144" s="34">
        <f t="shared" si="35"/>
        <v>6756.75</v>
      </c>
      <c r="N144" s="34">
        <f t="shared" si="35"/>
        <v>6756.75</v>
      </c>
      <c r="O144" s="34">
        <f t="shared" si="35"/>
        <v>6756.75</v>
      </c>
      <c r="P144" s="34">
        <f t="shared" si="35"/>
        <v>6756.75</v>
      </c>
      <c r="Q144" s="36">
        <f t="shared" si="36"/>
        <v>80115.78</v>
      </c>
    </row>
    <row r="145" spans="2:21" x14ac:dyDescent="0.35">
      <c r="B145" s="127" t="str">
        <f t="shared" si="33"/>
        <v>4070-117</v>
      </c>
      <c r="D145" s="34" t="str">
        <f t="shared" si="34"/>
        <v>Belden Brick Sales &amp; Service</v>
      </c>
      <c r="E145" s="34">
        <f t="shared" si="35"/>
        <v>6575</v>
      </c>
      <c r="F145" s="34">
        <f t="shared" si="35"/>
        <v>6575</v>
      </c>
      <c r="G145" s="34">
        <f t="shared" si="35"/>
        <v>6575</v>
      </c>
      <c r="H145" s="34">
        <f t="shared" si="35"/>
        <v>6575</v>
      </c>
      <c r="I145" s="34">
        <f t="shared" si="35"/>
        <v>6575</v>
      </c>
      <c r="J145" s="34">
        <f t="shared" si="35"/>
        <v>6575</v>
      </c>
      <c r="K145" s="34">
        <f t="shared" si="35"/>
        <v>6575</v>
      </c>
      <c r="L145" s="34">
        <f t="shared" si="35"/>
        <v>6575</v>
      </c>
      <c r="M145" s="34">
        <f t="shared" si="35"/>
        <v>6575</v>
      </c>
      <c r="N145" s="34">
        <f t="shared" si="35"/>
        <v>6575</v>
      </c>
      <c r="O145" s="34">
        <f t="shared" si="35"/>
        <v>6575</v>
      </c>
      <c r="P145" s="34">
        <f t="shared" si="35"/>
        <v>6575</v>
      </c>
      <c r="Q145" s="36">
        <f t="shared" si="36"/>
        <v>78900</v>
      </c>
    </row>
    <row r="146" spans="2:21" x14ac:dyDescent="0.35">
      <c r="B146" s="127" t="str">
        <f t="shared" si="33"/>
        <v>4070-200</v>
      </c>
      <c r="D146" s="34" t="str">
        <f t="shared" si="34"/>
        <v>VACANT</v>
      </c>
      <c r="E146" s="34">
        <f t="shared" si="35"/>
        <v>0</v>
      </c>
      <c r="F146" s="34">
        <f t="shared" si="35"/>
        <v>0</v>
      </c>
      <c r="G146" s="34">
        <f t="shared" si="35"/>
        <v>0</v>
      </c>
      <c r="H146" s="34">
        <f t="shared" si="35"/>
        <v>0</v>
      </c>
      <c r="I146" s="34">
        <f t="shared" si="35"/>
        <v>0</v>
      </c>
      <c r="J146" s="34">
        <f t="shared" si="35"/>
        <v>0</v>
      </c>
      <c r="K146" s="34">
        <f t="shared" si="35"/>
        <v>0</v>
      </c>
      <c r="L146" s="34">
        <f t="shared" si="35"/>
        <v>0</v>
      </c>
      <c r="M146" s="34">
        <f t="shared" si="35"/>
        <v>0</v>
      </c>
      <c r="N146" s="34">
        <f t="shared" si="35"/>
        <v>0</v>
      </c>
      <c r="O146" s="34">
        <f t="shared" si="35"/>
        <v>0</v>
      </c>
      <c r="P146" s="34">
        <f t="shared" si="35"/>
        <v>0</v>
      </c>
      <c r="Q146" s="36">
        <f t="shared" si="36"/>
        <v>0</v>
      </c>
    </row>
    <row r="147" spans="2:21" x14ac:dyDescent="0.35">
      <c r="B147" s="127" t="str">
        <f t="shared" si="33"/>
        <v>4070-201</v>
      </c>
      <c r="D147" s="34" t="str">
        <f t="shared" si="34"/>
        <v>Robert Half International, Inc</v>
      </c>
      <c r="E147" s="34">
        <f t="shared" si="35"/>
        <v>5750</v>
      </c>
      <c r="F147" s="34">
        <f t="shared" si="35"/>
        <v>5750</v>
      </c>
      <c r="G147" s="34">
        <f t="shared" si="35"/>
        <v>5750</v>
      </c>
      <c r="H147" s="34">
        <f t="shared" si="35"/>
        <v>5750</v>
      </c>
      <c r="I147" s="34">
        <f t="shared" si="35"/>
        <v>5750</v>
      </c>
      <c r="J147" s="34">
        <f t="shared" si="35"/>
        <v>5750</v>
      </c>
      <c r="K147" s="34">
        <f t="shared" si="35"/>
        <v>5750</v>
      </c>
      <c r="L147" s="34">
        <f t="shared" si="35"/>
        <v>5750</v>
      </c>
      <c r="M147" s="34">
        <f t="shared" si="35"/>
        <v>5750</v>
      </c>
      <c r="N147" s="34">
        <f t="shared" si="35"/>
        <v>5750</v>
      </c>
      <c r="O147" s="34">
        <f t="shared" si="35"/>
        <v>5750</v>
      </c>
      <c r="P147" s="34">
        <f t="shared" si="35"/>
        <v>5750</v>
      </c>
      <c r="Q147" s="36">
        <f t="shared" si="36"/>
        <v>69000</v>
      </c>
    </row>
    <row r="148" spans="2:21" x14ac:dyDescent="0.35">
      <c r="B148" s="127" t="str">
        <f t="shared" si="33"/>
        <v>4070-209</v>
      </c>
      <c r="D148" s="34" t="str">
        <f t="shared" si="34"/>
        <v>Ryan R. Janis P.C.</v>
      </c>
      <c r="E148" s="34">
        <f t="shared" si="35"/>
        <v>2731.25</v>
      </c>
      <c r="F148" s="34">
        <f t="shared" si="35"/>
        <v>2731.25</v>
      </c>
      <c r="G148" s="34">
        <f t="shared" si="35"/>
        <v>2731.25</v>
      </c>
      <c r="H148" s="34">
        <f t="shared" si="35"/>
        <v>2731.25</v>
      </c>
      <c r="I148" s="34">
        <f t="shared" si="35"/>
        <v>2731.25</v>
      </c>
      <c r="J148" s="34">
        <f t="shared" si="35"/>
        <v>2731.25</v>
      </c>
      <c r="K148" s="34">
        <f t="shared" si="35"/>
        <v>2731.25</v>
      </c>
      <c r="L148" s="34">
        <f t="shared" si="35"/>
        <v>2731.25</v>
      </c>
      <c r="M148" s="34">
        <f t="shared" si="35"/>
        <v>2731.25</v>
      </c>
      <c r="N148" s="34">
        <f t="shared" si="35"/>
        <v>2731.25</v>
      </c>
      <c r="O148" s="34">
        <f t="shared" si="35"/>
        <v>2731.25</v>
      </c>
      <c r="P148" s="34">
        <f t="shared" si="35"/>
        <v>2731.25</v>
      </c>
      <c r="Q148" s="36">
        <f t="shared" si="36"/>
        <v>32775</v>
      </c>
    </row>
    <row r="149" spans="2:21" x14ac:dyDescent="0.35">
      <c r="B149" s="127" t="str">
        <f t="shared" si="33"/>
        <v>4070-211</v>
      </c>
      <c r="D149" s="34" t="str">
        <f t="shared" si="34"/>
        <v>AIM-USA LLC</v>
      </c>
      <c r="E149" s="34">
        <f t="shared" si="35"/>
        <v>2396.6666666666665</v>
      </c>
      <c r="F149" s="34">
        <f t="shared" si="35"/>
        <v>2396.6666666666665</v>
      </c>
      <c r="G149" s="34">
        <f t="shared" si="35"/>
        <v>2396.6666666666665</v>
      </c>
      <c r="H149" s="34">
        <f t="shared" si="35"/>
        <v>2396.6666666666665</v>
      </c>
      <c r="I149" s="34">
        <f t="shared" si="35"/>
        <v>2396.6666666666665</v>
      </c>
      <c r="J149" s="34">
        <f t="shared" si="35"/>
        <v>2396.6666666666665</v>
      </c>
      <c r="K149" s="34">
        <f t="shared" si="35"/>
        <v>2396.6666666666665</v>
      </c>
      <c r="L149" s="34">
        <f t="shared" si="35"/>
        <v>2396.6666666666665</v>
      </c>
      <c r="M149" s="34">
        <f t="shared" si="35"/>
        <v>2396.6666666666665</v>
      </c>
      <c r="N149" s="34">
        <f t="shared" si="35"/>
        <v>2396.6666666666665</v>
      </c>
      <c r="O149" s="34">
        <f t="shared" si="35"/>
        <v>2396.6666666666665</v>
      </c>
      <c r="P149" s="34">
        <f t="shared" si="35"/>
        <v>2396.6666666666665</v>
      </c>
      <c r="Q149" s="36">
        <f t="shared" si="36"/>
        <v>28760.000000000004</v>
      </c>
    </row>
    <row r="150" spans="2:21" x14ac:dyDescent="0.35">
      <c r="B150" s="127" t="str">
        <f t="shared" si="33"/>
        <v>4070-215</v>
      </c>
      <c r="D150" s="34" t="str">
        <f t="shared" si="34"/>
        <v>Rudolph Clarke LLC</v>
      </c>
      <c r="E150" s="34">
        <f t="shared" ref="E150:P156" si="37">SUMIF($B$162:$B$178,$B150,E$162:E$178)+SUMIF($B$184:$B$200,$B150,E$184:E$200)</f>
        <v>3507</v>
      </c>
      <c r="F150" s="34">
        <f t="shared" si="37"/>
        <v>3507</v>
      </c>
      <c r="G150" s="34">
        <f t="shared" si="37"/>
        <v>3507</v>
      </c>
      <c r="H150" s="34">
        <f t="shared" si="37"/>
        <v>3507</v>
      </c>
      <c r="I150" s="34">
        <f t="shared" si="37"/>
        <v>3507</v>
      </c>
      <c r="J150" s="34">
        <f t="shared" si="37"/>
        <v>3507</v>
      </c>
      <c r="K150" s="34">
        <f t="shared" si="37"/>
        <v>3507</v>
      </c>
      <c r="L150" s="34">
        <f t="shared" si="37"/>
        <v>3507</v>
      </c>
      <c r="M150" s="34">
        <f t="shared" si="37"/>
        <v>3507</v>
      </c>
      <c r="N150" s="34">
        <f t="shared" si="37"/>
        <v>3507</v>
      </c>
      <c r="O150" s="34">
        <f t="shared" si="37"/>
        <v>3507</v>
      </c>
      <c r="P150" s="34">
        <f t="shared" si="37"/>
        <v>3507</v>
      </c>
      <c r="Q150" s="36">
        <f t="shared" si="36"/>
        <v>42084</v>
      </c>
    </row>
    <row r="151" spans="2:21" x14ac:dyDescent="0.35">
      <c r="B151" s="127" t="str">
        <f t="shared" si="33"/>
        <v>4070-315</v>
      </c>
      <c r="D151" s="34" t="str">
        <f t="shared" si="34"/>
        <v>VACANT</v>
      </c>
      <c r="E151" s="34">
        <f t="shared" si="37"/>
        <v>0</v>
      </c>
      <c r="F151" s="34">
        <f t="shared" si="37"/>
        <v>0</v>
      </c>
      <c r="G151" s="34">
        <f t="shared" si="37"/>
        <v>0</v>
      </c>
      <c r="H151" s="34">
        <f t="shared" si="37"/>
        <v>0</v>
      </c>
      <c r="I151" s="34">
        <f t="shared" si="37"/>
        <v>0</v>
      </c>
      <c r="J151" s="34">
        <f t="shared" si="37"/>
        <v>0</v>
      </c>
      <c r="K151" s="34">
        <f t="shared" si="37"/>
        <v>0</v>
      </c>
      <c r="L151" s="34">
        <f t="shared" si="37"/>
        <v>0</v>
      </c>
      <c r="M151" s="34">
        <f t="shared" si="37"/>
        <v>0</v>
      </c>
      <c r="N151" s="34">
        <f t="shared" si="37"/>
        <v>0</v>
      </c>
      <c r="O151" s="34">
        <f t="shared" si="37"/>
        <v>0</v>
      </c>
      <c r="P151" s="34">
        <f t="shared" si="37"/>
        <v>0</v>
      </c>
      <c r="Q151" s="36">
        <f t="shared" si="36"/>
        <v>0</v>
      </c>
    </row>
    <row r="152" spans="2:21" x14ac:dyDescent="0.35">
      <c r="B152" s="127" t="str">
        <f t="shared" si="33"/>
        <v>4070-301</v>
      </c>
      <c r="D152" s="34" t="str">
        <f t="shared" si="34"/>
        <v>Veltri, Inc.</v>
      </c>
      <c r="E152" s="34">
        <f t="shared" si="37"/>
        <v>10623.33</v>
      </c>
      <c r="F152" s="34">
        <f t="shared" si="37"/>
        <v>10623.33</v>
      </c>
      <c r="G152" s="34">
        <f t="shared" si="37"/>
        <v>10623.33</v>
      </c>
      <c r="H152" s="34">
        <f t="shared" si="37"/>
        <v>10623.33</v>
      </c>
      <c r="I152" s="34">
        <f t="shared" si="37"/>
        <v>10623.33</v>
      </c>
      <c r="J152" s="34">
        <f t="shared" si="37"/>
        <v>10623.33</v>
      </c>
      <c r="K152" s="34">
        <f t="shared" si="37"/>
        <v>10623.33</v>
      </c>
      <c r="L152" s="34">
        <f t="shared" si="37"/>
        <v>10623.33</v>
      </c>
      <c r="M152" s="34">
        <f t="shared" si="37"/>
        <v>10623.33</v>
      </c>
      <c r="N152" s="34">
        <f t="shared" si="37"/>
        <v>10623.33</v>
      </c>
      <c r="O152" s="34">
        <f t="shared" si="37"/>
        <v>10888.92</v>
      </c>
      <c r="P152" s="34">
        <f t="shared" si="37"/>
        <v>10888.92</v>
      </c>
      <c r="Q152" s="36">
        <f t="shared" si="36"/>
        <v>128011.14</v>
      </c>
    </row>
    <row r="153" spans="2:21" x14ac:dyDescent="0.35">
      <c r="B153" s="127" t="str">
        <f t="shared" si="33"/>
        <v>4070-400</v>
      </c>
      <c r="D153" s="34" t="str">
        <f t="shared" si="34"/>
        <v>Mette, Evans &amp; Woodside</v>
      </c>
      <c r="E153" s="34">
        <f t="shared" si="37"/>
        <v>5758.33</v>
      </c>
      <c r="F153" s="34">
        <f t="shared" si="37"/>
        <v>5758.33</v>
      </c>
      <c r="G153" s="34">
        <f t="shared" si="37"/>
        <v>5758.33</v>
      </c>
      <c r="H153" s="34">
        <f t="shared" si="37"/>
        <v>5758.33</v>
      </c>
      <c r="I153" s="34">
        <f t="shared" si="37"/>
        <v>5758.33</v>
      </c>
      <c r="J153" s="34">
        <f t="shared" si="37"/>
        <v>5758.33</v>
      </c>
      <c r="K153" s="34">
        <f t="shared" si="37"/>
        <v>5758.33</v>
      </c>
      <c r="L153" s="34">
        <f t="shared" si="37"/>
        <v>5758.33</v>
      </c>
      <c r="M153" s="34">
        <f t="shared" si="37"/>
        <v>5758.33</v>
      </c>
      <c r="N153" s="34">
        <f t="shared" si="37"/>
        <v>5758.33</v>
      </c>
      <c r="O153" s="34">
        <f t="shared" si="37"/>
        <v>5758.33</v>
      </c>
      <c r="P153" s="34">
        <f t="shared" si="37"/>
        <v>5758.33</v>
      </c>
      <c r="Q153" s="36">
        <f t="shared" si="36"/>
        <v>69099.960000000006</v>
      </c>
    </row>
    <row r="154" spans="2:21" x14ac:dyDescent="0.35">
      <c r="B154" s="127" t="str">
        <f t="shared" si="33"/>
        <v>4070-403</v>
      </c>
      <c r="D154" s="34" t="str">
        <f t="shared" si="34"/>
        <v>VACANT</v>
      </c>
      <c r="E154" s="34">
        <f t="shared" si="37"/>
        <v>0</v>
      </c>
      <c r="F154" s="34">
        <f t="shared" si="37"/>
        <v>0</v>
      </c>
      <c r="G154" s="34">
        <f t="shared" si="37"/>
        <v>0</v>
      </c>
      <c r="H154" s="34">
        <f t="shared" si="37"/>
        <v>5151.25</v>
      </c>
      <c r="I154" s="34">
        <f t="shared" si="37"/>
        <v>5151.25</v>
      </c>
      <c r="J154" s="34">
        <f t="shared" si="37"/>
        <v>5151.25</v>
      </c>
      <c r="K154" s="34">
        <f t="shared" si="37"/>
        <v>5151.25</v>
      </c>
      <c r="L154" s="34">
        <f t="shared" si="37"/>
        <v>5151.25</v>
      </c>
      <c r="M154" s="34">
        <f t="shared" si="37"/>
        <v>5151.25</v>
      </c>
      <c r="N154" s="34">
        <f t="shared" si="37"/>
        <v>5151.25</v>
      </c>
      <c r="O154" s="34">
        <f t="shared" si="37"/>
        <v>5151.25</v>
      </c>
      <c r="P154" s="34">
        <f t="shared" si="37"/>
        <v>5151.25</v>
      </c>
      <c r="Q154" s="36">
        <f t="shared" si="36"/>
        <v>46361.25</v>
      </c>
    </row>
    <row r="155" spans="2:21" x14ac:dyDescent="0.35">
      <c r="B155" s="127" t="str">
        <f t="shared" si="33"/>
        <v>4070-411</v>
      </c>
      <c r="D155" s="34" t="str">
        <f t="shared" si="34"/>
        <v>Refresh Management, LLC</v>
      </c>
      <c r="E155" s="34">
        <f t="shared" si="37"/>
        <v>5926.83</v>
      </c>
      <c r="F155" s="34">
        <f t="shared" si="37"/>
        <v>5926.83</v>
      </c>
      <c r="G155" s="34">
        <f t="shared" si="37"/>
        <v>5926.83</v>
      </c>
      <c r="H155" s="34">
        <f t="shared" si="37"/>
        <v>5926.83</v>
      </c>
      <c r="I155" s="34">
        <f t="shared" si="37"/>
        <v>5926.83</v>
      </c>
      <c r="J155" s="34">
        <f t="shared" si="37"/>
        <v>6064.67</v>
      </c>
      <c r="K155" s="34">
        <f t="shared" si="37"/>
        <v>6064.67</v>
      </c>
      <c r="L155" s="34">
        <f t="shared" si="37"/>
        <v>6064.67</v>
      </c>
      <c r="M155" s="34">
        <f t="shared" si="37"/>
        <v>6064.67</v>
      </c>
      <c r="N155" s="34">
        <f t="shared" si="37"/>
        <v>6064.67</v>
      </c>
      <c r="O155" s="34">
        <f t="shared" si="37"/>
        <v>6064.67</v>
      </c>
      <c r="P155" s="34">
        <f t="shared" si="37"/>
        <v>6064.67</v>
      </c>
      <c r="Q155" s="36">
        <f t="shared" si="36"/>
        <v>72086.84</v>
      </c>
    </row>
    <row r="156" spans="2:21" x14ac:dyDescent="0.35">
      <c r="B156" s="520" t="str">
        <f t="shared" si="33"/>
        <v>4070-415</v>
      </c>
      <c r="C156" s="43"/>
      <c r="D156" s="43" t="str">
        <f t="shared" si="34"/>
        <v>Veltri, Inc.</v>
      </c>
      <c r="E156" s="43">
        <f t="shared" si="37"/>
        <v>11325</v>
      </c>
      <c r="F156" s="43">
        <f t="shared" si="37"/>
        <v>11325</v>
      </c>
      <c r="G156" s="43">
        <f t="shared" si="37"/>
        <v>11325</v>
      </c>
      <c r="H156" s="43">
        <f t="shared" si="37"/>
        <v>11325</v>
      </c>
      <c r="I156" s="43">
        <f t="shared" si="37"/>
        <v>11325</v>
      </c>
      <c r="J156" s="43">
        <f t="shared" si="37"/>
        <v>11325</v>
      </c>
      <c r="K156" s="43">
        <f t="shared" si="37"/>
        <v>11325</v>
      </c>
      <c r="L156" s="43">
        <f t="shared" si="37"/>
        <v>11325</v>
      </c>
      <c r="M156" s="43">
        <f t="shared" si="37"/>
        <v>11325</v>
      </c>
      <c r="N156" s="43">
        <f t="shared" si="37"/>
        <v>11325</v>
      </c>
      <c r="O156" s="43">
        <f t="shared" si="37"/>
        <v>11608.13</v>
      </c>
      <c r="P156" s="43">
        <f t="shared" si="37"/>
        <v>11608.13</v>
      </c>
      <c r="Q156" s="87">
        <f t="shared" si="36"/>
        <v>136466.26</v>
      </c>
    </row>
    <row r="157" spans="2:21" x14ac:dyDescent="0.35">
      <c r="B157" s="10"/>
      <c r="D157" s="44"/>
      <c r="E157" s="36">
        <f t="shared" ref="E157:Q157" si="38">SUM(E140:E156)</f>
        <v>71290.383333333331</v>
      </c>
      <c r="F157" s="36">
        <f t="shared" si="38"/>
        <v>71290.383333333331</v>
      </c>
      <c r="G157" s="36">
        <f t="shared" si="38"/>
        <v>71290.383333333331</v>
      </c>
      <c r="H157" s="36">
        <f t="shared" si="38"/>
        <v>76441.633333333331</v>
      </c>
      <c r="I157" s="36">
        <f t="shared" si="38"/>
        <v>76441.633333333331</v>
      </c>
      <c r="J157" s="36">
        <f t="shared" si="38"/>
        <v>76579.473333333328</v>
      </c>
      <c r="K157" s="36">
        <f t="shared" si="38"/>
        <v>76740.343333333323</v>
      </c>
      <c r="L157" s="36">
        <f t="shared" si="38"/>
        <v>76814.133333333331</v>
      </c>
      <c r="M157" s="36">
        <f t="shared" si="38"/>
        <v>76814.133333333331</v>
      </c>
      <c r="N157" s="36">
        <f t="shared" si="38"/>
        <v>76814.133333333331</v>
      </c>
      <c r="O157" s="36">
        <f t="shared" si="38"/>
        <v>77362.853333333333</v>
      </c>
      <c r="P157" s="36">
        <f t="shared" si="38"/>
        <v>74541.181666666671</v>
      </c>
      <c r="Q157" s="36">
        <f t="shared" si="38"/>
        <v>902420.66833333333</v>
      </c>
    </row>
    <row r="158" spans="2:21" x14ac:dyDescent="0.35">
      <c r="B158" s="10"/>
      <c r="E158" s="95">
        <f t="shared" ref="E158:Q158" si="39">(E10+E11)-E157</f>
        <v>0</v>
      </c>
      <c r="F158" s="95">
        <f t="shared" si="39"/>
        <v>0</v>
      </c>
      <c r="G158" s="95">
        <f t="shared" si="39"/>
        <v>0</v>
      </c>
      <c r="H158" s="95">
        <f t="shared" si="39"/>
        <v>0</v>
      </c>
      <c r="I158" s="95">
        <f t="shared" si="39"/>
        <v>0</v>
      </c>
      <c r="J158" s="95">
        <f t="shared" si="39"/>
        <v>0</v>
      </c>
      <c r="K158" s="95">
        <f t="shared" si="39"/>
        <v>0</v>
      </c>
      <c r="L158" s="95">
        <f t="shared" si="39"/>
        <v>0</v>
      </c>
      <c r="M158" s="95">
        <f t="shared" si="39"/>
        <v>0</v>
      </c>
      <c r="N158" s="95">
        <f t="shared" si="39"/>
        <v>0</v>
      </c>
      <c r="O158" s="95">
        <f t="shared" si="39"/>
        <v>0</v>
      </c>
      <c r="P158" s="95">
        <f t="shared" si="39"/>
        <v>0</v>
      </c>
      <c r="Q158" s="95">
        <f t="shared" si="39"/>
        <v>0</v>
      </c>
    </row>
    <row r="160" spans="2:21" ht="17.5" x14ac:dyDescent="0.35">
      <c r="B160" s="521" t="s">
        <v>163</v>
      </c>
      <c r="E160" s="522"/>
      <c r="F160" s="522"/>
      <c r="G160" s="522"/>
      <c r="H160" s="522"/>
      <c r="I160" s="522"/>
      <c r="J160" s="522"/>
      <c r="K160" s="522"/>
      <c r="L160" s="522"/>
      <c r="M160" s="522"/>
      <c r="N160" s="522"/>
      <c r="O160" s="522"/>
      <c r="P160" s="522"/>
      <c r="S160" s="54"/>
      <c r="T160" s="34"/>
      <c r="U160" s="34"/>
    </row>
    <row r="161" spans="2:21" outlineLevel="1" x14ac:dyDescent="0.35">
      <c r="B161" s="43" t="s">
        <v>619</v>
      </c>
      <c r="C161" s="43"/>
      <c r="D161" s="43" t="s">
        <v>424</v>
      </c>
      <c r="E161" s="519">
        <v>46023</v>
      </c>
      <c r="F161" s="519">
        <v>46054</v>
      </c>
      <c r="G161" s="519">
        <v>46082</v>
      </c>
      <c r="H161" s="519">
        <v>46113</v>
      </c>
      <c r="I161" s="519">
        <v>46143</v>
      </c>
      <c r="J161" s="519">
        <v>46174</v>
      </c>
      <c r="K161" s="519">
        <v>46204</v>
      </c>
      <c r="L161" s="519">
        <v>46235</v>
      </c>
      <c r="M161" s="519">
        <v>46266</v>
      </c>
      <c r="N161" s="519">
        <v>46296</v>
      </c>
      <c r="O161" s="519">
        <v>46327</v>
      </c>
      <c r="P161" s="519">
        <v>46357</v>
      </c>
      <c r="Q161" s="481" t="s">
        <v>12</v>
      </c>
      <c r="R161" s="54"/>
      <c r="S161" s="54"/>
      <c r="T161" s="34"/>
      <c r="U161" s="34"/>
    </row>
    <row r="162" spans="2:21" outlineLevel="1" x14ac:dyDescent="0.35">
      <c r="B162" s="523" t="s">
        <v>187</v>
      </c>
      <c r="C162" s="115"/>
      <c r="D162" s="77" t="str">
        <f>IFERROR(VLOOKUP(B162,'In Place Revenue'!$B$2:$H$630,2,FALSE),VLOOKUP(B162,$B$184:$D$200,3,FALSE))</f>
        <v>Bucks County Transportation</v>
      </c>
      <c r="E162" s="77">
        <f>SUMIFS('In Place Revenue'!$G$2:$G$764,'In Place Revenue'!$B$2:$B$764,$B162,'In Place Revenue'!$D$2:$D$764,E$161)</f>
        <v>2088.13</v>
      </c>
      <c r="F162" s="77">
        <f>SUMIFS('In Place Revenue'!$G$2:$G$764,'In Place Revenue'!$B$2:$B$764,$B162,'In Place Revenue'!$D$2:$D$764,F$161)</f>
        <v>2088.13</v>
      </c>
      <c r="G162" s="77">
        <f>SUMIFS('In Place Revenue'!$G$2:$G$764,'In Place Revenue'!$B$2:$B$764,$B162,'In Place Revenue'!$D$2:$D$764,G$161)</f>
        <v>2088.13</v>
      </c>
      <c r="H162" s="77">
        <f>SUMIFS('In Place Revenue'!$G$2:$G$764,'In Place Revenue'!$B$2:$B$764,$B162,'In Place Revenue'!$D$2:$D$764,H$161)</f>
        <v>2088.13</v>
      </c>
      <c r="I162" s="77">
        <f>SUMIFS('In Place Revenue'!$G$2:$G$764,'In Place Revenue'!$B$2:$B$764,$B162,'In Place Revenue'!$D$2:$D$764,I$161)</f>
        <v>2088.13</v>
      </c>
      <c r="J162" s="77">
        <f>SUMIFS('In Place Revenue'!$G$2:$G$764,'In Place Revenue'!$B$2:$B$764,$B162,'In Place Revenue'!$D$2:$D$764,J$161)</f>
        <v>2088.13</v>
      </c>
      <c r="K162" s="77">
        <f>SUMIFS('In Place Revenue'!$G$2:$G$764,'In Place Revenue'!$B$2:$B$764,$B162,'In Place Revenue'!$D$2:$D$764,K$161)</f>
        <v>2088.13</v>
      </c>
      <c r="L162" s="77">
        <f>SUMIFS('In Place Revenue'!$G$2:$G$764,'In Place Revenue'!$B$2:$B$764,$B162,'In Place Revenue'!$D$2:$D$764,L$161)</f>
        <v>2088.13</v>
      </c>
      <c r="M162" s="77">
        <f>SUMIFS('In Place Revenue'!$G$2:$G$764,'In Place Revenue'!$B$2:$B$764,$B162,'In Place Revenue'!$D$2:$D$764,M$161)</f>
        <v>2088.13</v>
      </c>
      <c r="N162" s="77">
        <f>SUMIFS('In Place Revenue'!$G$2:$G$764,'In Place Revenue'!$B$2:$B$764,$B162,'In Place Revenue'!$D$2:$D$764,N$161)</f>
        <v>2088.13</v>
      </c>
      <c r="O162" s="77">
        <f>SUMIFS('In Place Revenue'!$G$2:$G$764,'In Place Revenue'!$B$2:$B$764,$B162,'In Place Revenue'!$D$2:$D$764,O$161)</f>
        <v>2088.13</v>
      </c>
      <c r="P162" s="77">
        <f>SUMIFS('In Place Revenue'!$G$2:$G$764,'In Place Revenue'!$B$2:$B$764,$B162,'In Place Revenue'!$D$2:$D$764,P$161)</f>
        <v>2088.13</v>
      </c>
      <c r="Q162" s="36">
        <f>SUM(E162:P162)</f>
        <v>25057.560000000009</v>
      </c>
    </row>
    <row r="163" spans="2:21" outlineLevel="1" x14ac:dyDescent="0.35">
      <c r="B163" s="523" t="s">
        <v>252</v>
      </c>
      <c r="C163" s="115"/>
      <c r="D163" s="34" t="str">
        <f>IFERROR(VLOOKUP(B163,'In Place Revenue'!$B$2:$H$630,2,FALSE),VLOOKUP(B163,$B$184:$D$200,3,FALSE))</f>
        <v>O.S.S.V .Management, LLC</v>
      </c>
      <c r="E163" s="34">
        <f>SUMIFS('In Place Revenue'!$G$2:$G$764,'In Place Revenue'!$B$2:$B$764,$B163,'In Place Revenue'!$D$2:$D$764,E$161)</f>
        <v>2239.63</v>
      </c>
      <c r="F163" s="34">
        <f>SUMIFS('In Place Revenue'!$G$2:$G$764,'In Place Revenue'!$B$2:$B$764,$B163,'In Place Revenue'!$D$2:$D$764,F$161)</f>
        <v>2239.63</v>
      </c>
      <c r="G163" s="34">
        <f>SUMIFS('In Place Revenue'!$G$2:$G$764,'In Place Revenue'!$B$2:$B$764,$B163,'In Place Revenue'!$D$2:$D$764,G$161)</f>
        <v>2239.63</v>
      </c>
      <c r="H163" s="34">
        <f>SUMIFS('In Place Revenue'!$G$2:$G$764,'In Place Revenue'!$B$2:$B$764,$B163,'In Place Revenue'!$D$2:$D$764,H$161)</f>
        <v>2239.63</v>
      </c>
      <c r="I163" s="34">
        <f>SUMIFS('In Place Revenue'!$G$2:$G$764,'In Place Revenue'!$B$2:$B$764,$B163,'In Place Revenue'!$D$2:$D$764,I$161)</f>
        <v>2239.63</v>
      </c>
      <c r="J163" s="34">
        <f>SUMIFS('In Place Revenue'!$G$2:$G$764,'In Place Revenue'!$B$2:$B$764,$B163,'In Place Revenue'!$D$2:$D$764,J$161)</f>
        <v>2239.63</v>
      </c>
      <c r="K163" s="34">
        <f>SUMIFS('In Place Revenue'!$G$2:$G$764,'In Place Revenue'!$B$2:$B$764,$B163,'In Place Revenue'!$D$2:$D$764,K$161)</f>
        <v>2239.63</v>
      </c>
      <c r="L163" s="34">
        <f>SUMIFS('In Place Revenue'!$G$2:$G$764,'In Place Revenue'!$B$2:$B$764,$B163,'In Place Revenue'!$D$2:$D$764,L$161)</f>
        <v>2239.63</v>
      </c>
      <c r="M163" s="34">
        <f>SUMIFS('In Place Revenue'!$G$2:$G$764,'In Place Revenue'!$B$2:$B$764,$B163,'In Place Revenue'!$D$2:$D$764,M$161)</f>
        <v>2239.63</v>
      </c>
      <c r="N163" s="34">
        <f>SUMIFS('In Place Revenue'!$G$2:$G$764,'In Place Revenue'!$B$2:$B$764,$B163,'In Place Revenue'!$D$2:$D$764,N$161)</f>
        <v>2239.63</v>
      </c>
      <c r="O163" s="34">
        <f>SUMIFS('In Place Revenue'!$G$2:$G$764,'In Place Revenue'!$B$2:$B$764,$B163,'In Place Revenue'!$D$2:$D$764,O$161)</f>
        <v>2239.63</v>
      </c>
      <c r="P163" s="34">
        <f>SUMIFS('In Place Revenue'!$G$2:$G$764,'In Place Revenue'!$B$2:$B$764,$B163,'In Place Revenue'!$D$2:$D$764,P$161)</f>
        <v>0</v>
      </c>
      <c r="Q163" s="36">
        <f t="shared" ref="Q163:Q178" si="40">SUM(E163:P163)</f>
        <v>24635.930000000008</v>
      </c>
    </row>
    <row r="164" spans="2:21" outlineLevel="1" x14ac:dyDescent="0.35">
      <c r="B164" s="523" t="s">
        <v>262</v>
      </c>
      <c r="C164" s="115"/>
      <c r="D164" s="34" t="str">
        <f>IFERROR(VLOOKUP(B164,'In Place Revenue'!$B$2:$H$630,2,FALSE),VLOOKUP(B164,$B$184:$D$200,3,FALSE))</f>
        <v>McQuoid Financial Group, Inc.</v>
      </c>
      <c r="E164" s="34">
        <f>SUMIFS('In Place Revenue'!$G$2:$G$764,'In Place Revenue'!$B$2:$B$764,$B164,'In Place Revenue'!$D$2:$D$764,E$161)</f>
        <v>2951.67</v>
      </c>
      <c r="F164" s="34">
        <f>SUMIFS('In Place Revenue'!$G$2:$G$764,'In Place Revenue'!$B$2:$B$764,$B164,'In Place Revenue'!$D$2:$D$764,F$161)</f>
        <v>2951.67</v>
      </c>
      <c r="G164" s="34">
        <f>SUMIFS('In Place Revenue'!$G$2:$G$764,'In Place Revenue'!$B$2:$B$764,$B164,'In Place Revenue'!$D$2:$D$764,G$161)</f>
        <v>2951.67</v>
      </c>
      <c r="H164" s="34">
        <f>SUMIFS('In Place Revenue'!$G$2:$G$764,'In Place Revenue'!$B$2:$B$764,$B164,'In Place Revenue'!$D$2:$D$764,H$161)</f>
        <v>2951.67</v>
      </c>
      <c r="I164" s="34">
        <f>SUMIFS('In Place Revenue'!$G$2:$G$764,'In Place Revenue'!$B$2:$B$764,$B164,'In Place Revenue'!$D$2:$D$764,I$161)</f>
        <v>2951.67</v>
      </c>
      <c r="J164" s="34">
        <f>SUMIFS('In Place Revenue'!$G$2:$G$764,'In Place Revenue'!$B$2:$B$764,$B164,'In Place Revenue'!$D$2:$D$764,J$161)</f>
        <v>2951.67</v>
      </c>
      <c r="K164" s="34">
        <f>SUMIFS('In Place Revenue'!$G$2:$G$764,'In Place Revenue'!$B$2:$B$764,$B164,'In Place Revenue'!$D$2:$D$764,K$161)</f>
        <v>2951.67</v>
      </c>
      <c r="L164" s="34">
        <f>SUMIFS('In Place Revenue'!$G$2:$G$764,'In Place Revenue'!$B$2:$B$764,$B164,'In Place Revenue'!$D$2:$D$764,L$161)</f>
        <v>3025.46</v>
      </c>
      <c r="M164" s="34">
        <f>SUMIFS('In Place Revenue'!$G$2:$G$764,'In Place Revenue'!$B$2:$B$764,$B164,'In Place Revenue'!$D$2:$D$764,M$161)</f>
        <v>3025.46</v>
      </c>
      <c r="N164" s="34">
        <f>SUMIFS('In Place Revenue'!$G$2:$G$764,'In Place Revenue'!$B$2:$B$764,$B164,'In Place Revenue'!$D$2:$D$764,N$161)</f>
        <v>3025.46</v>
      </c>
      <c r="O164" s="34">
        <f>SUMIFS('In Place Revenue'!$G$2:$G$764,'In Place Revenue'!$B$2:$B$764,$B164,'In Place Revenue'!$D$2:$D$764,O$161)</f>
        <v>3025.46</v>
      </c>
      <c r="P164" s="34">
        <f>SUMIFS('In Place Revenue'!$G$2:$G$764,'In Place Revenue'!$B$2:$B$764,$B164,'In Place Revenue'!$D$2:$D$764,P$161)</f>
        <v>3025.46</v>
      </c>
      <c r="Q164" s="36">
        <f t="shared" si="40"/>
        <v>35788.99</v>
      </c>
    </row>
    <row r="165" spans="2:21" outlineLevel="1" x14ac:dyDescent="0.35">
      <c r="B165" s="523" t="s">
        <v>637</v>
      </c>
      <c r="C165" s="115"/>
      <c r="D165" s="34" t="str">
        <f>IFERROR(VLOOKUP(B165,'In Place Revenue'!$B$2:$H$630,2,FALSE),VLOOKUP(B165,$B$184:$D$200,3,FALSE))</f>
        <v>GLT Transportation</v>
      </c>
      <c r="E165" s="34">
        <f>SUMIFS('In Place Revenue'!$G$2:$G$764,'In Place Revenue'!$B$2:$B$764,$B165,'In Place Revenue'!$D$2:$D$764,E$161)</f>
        <v>0</v>
      </c>
      <c r="F165" s="34">
        <f>SUMIFS('In Place Revenue'!$G$2:$G$764,'In Place Revenue'!$B$2:$B$764,$B165,'In Place Revenue'!$D$2:$D$764,F$161)</f>
        <v>0</v>
      </c>
      <c r="G165" s="34">
        <f>SUMIFS('In Place Revenue'!$G$2:$G$764,'In Place Revenue'!$B$2:$B$764,$B165,'In Place Revenue'!$D$2:$D$764,G$161)</f>
        <v>0</v>
      </c>
      <c r="H165" s="34">
        <f>SUMIFS('In Place Revenue'!$G$2:$G$764,'In Place Revenue'!$B$2:$B$764,$B165,'In Place Revenue'!$D$2:$D$764,H$161)</f>
        <v>0</v>
      </c>
      <c r="I165" s="34">
        <f>SUMIFS('In Place Revenue'!$G$2:$G$764,'In Place Revenue'!$B$2:$B$764,$B165,'In Place Revenue'!$D$2:$D$764,I$161)</f>
        <v>0</v>
      </c>
      <c r="J165" s="34">
        <f>SUMIFS('In Place Revenue'!$G$2:$G$764,'In Place Revenue'!$B$2:$B$764,$B165,'In Place Revenue'!$D$2:$D$764,J$161)</f>
        <v>0</v>
      </c>
      <c r="K165" s="34">
        <f>SUMIFS('In Place Revenue'!$G$2:$G$764,'In Place Revenue'!$B$2:$B$764,$B165,'In Place Revenue'!$D$2:$D$764,K$161)</f>
        <v>0</v>
      </c>
      <c r="L165" s="34">
        <f>SUMIFS('In Place Revenue'!$G$2:$G$764,'In Place Revenue'!$B$2:$B$764,$B165,'In Place Revenue'!$D$2:$D$764,L$161)</f>
        <v>0</v>
      </c>
      <c r="M165" s="34">
        <f>SUMIFS('In Place Revenue'!$G$2:$G$764,'In Place Revenue'!$B$2:$B$764,$B165,'In Place Revenue'!$D$2:$D$764,M$161)</f>
        <v>0</v>
      </c>
      <c r="N165" s="34">
        <f>SUMIFS('In Place Revenue'!$G$2:$G$764,'In Place Revenue'!$B$2:$B$764,$B165,'In Place Revenue'!$D$2:$D$764,N$161)</f>
        <v>0</v>
      </c>
      <c r="O165" s="34">
        <f>SUMIFS('In Place Revenue'!$G$2:$G$764,'In Place Revenue'!$B$2:$B$764,$B165,'In Place Revenue'!$D$2:$D$764,O$161)</f>
        <v>0</v>
      </c>
      <c r="P165" s="34">
        <f>SUMIFS('In Place Revenue'!$G$2:$G$764,'In Place Revenue'!$B$2:$B$764,$B165,'In Place Revenue'!$D$2:$D$764,P$161)</f>
        <v>0</v>
      </c>
      <c r="Q165" s="36">
        <f t="shared" si="40"/>
        <v>0</v>
      </c>
    </row>
    <row r="166" spans="2:21" outlineLevel="1" x14ac:dyDescent="0.35">
      <c r="B166" s="523" t="s">
        <v>328</v>
      </c>
      <c r="C166" s="115"/>
      <c r="D166" s="34" t="str">
        <f>IFERROR(VLOOKUP(B166,'In Place Revenue'!$B$2:$H$630,2,FALSE),VLOOKUP(B166,$B$184:$D$200,3,FALSE))</f>
        <v>Rothkoff Law Group, P.C.</v>
      </c>
      <c r="E166" s="34">
        <f>SUMIFS('In Place Revenue'!$G$2:$G$764,'In Place Revenue'!$B$2:$B$764,$B166,'In Place Revenue'!$D$2:$D$764,E$161)</f>
        <v>6595.88</v>
      </c>
      <c r="F166" s="34">
        <f>SUMIFS('In Place Revenue'!$G$2:$G$764,'In Place Revenue'!$B$2:$B$764,$B166,'In Place Revenue'!$D$2:$D$764,F$161)</f>
        <v>6595.88</v>
      </c>
      <c r="G166" s="34">
        <f>SUMIFS('In Place Revenue'!$G$2:$G$764,'In Place Revenue'!$B$2:$B$764,$B166,'In Place Revenue'!$D$2:$D$764,G$161)</f>
        <v>6595.88</v>
      </c>
      <c r="H166" s="34">
        <f>SUMIFS('In Place Revenue'!$G$2:$G$764,'In Place Revenue'!$B$2:$B$764,$B166,'In Place Revenue'!$D$2:$D$764,H$161)</f>
        <v>6595.88</v>
      </c>
      <c r="I166" s="34">
        <f>SUMIFS('In Place Revenue'!$G$2:$G$764,'In Place Revenue'!$B$2:$B$764,$B166,'In Place Revenue'!$D$2:$D$764,I$161)</f>
        <v>6595.88</v>
      </c>
      <c r="J166" s="34">
        <f>SUMIFS('In Place Revenue'!$G$2:$G$764,'In Place Revenue'!$B$2:$B$764,$B166,'In Place Revenue'!$D$2:$D$764,J$161)</f>
        <v>6595.88</v>
      </c>
      <c r="K166" s="34">
        <f>SUMIFS('In Place Revenue'!$G$2:$G$764,'In Place Revenue'!$B$2:$B$764,$B166,'In Place Revenue'!$D$2:$D$764,K$161)</f>
        <v>6756.75</v>
      </c>
      <c r="L166" s="34">
        <f>SUMIFS('In Place Revenue'!$G$2:$G$764,'In Place Revenue'!$B$2:$B$764,$B166,'In Place Revenue'!$D$2:$D$764,L$161)</f>
        <v>6756.75</v>
      </c>
      <c r="M166" s="34">
        <f>SUMIFS('In Place Revenue'!$G$2:$G$764,'In Place Revenue'!$B$2:$B$764,$B166,'In Place Revenue'!$D$2:$D$764,M$161)</f>
        <v>6756.75</v>
      </c>
      <c r="N166" s="34">
        <f>SUMIFS('In Place Revenue'!$G$2:$G$764,'In Place Revenue'!$B$2:$B$764,$B166,'In Place Revenue'!$D$2:$D$764,N$161)</f>
        <v>6756.75</v>
      </c>
      <c r="O166" s="34">
        <f>SUMIFS('In Place Revenue'!$G$2:$G$764,'In Place Revenue'!$B$2:$B$764,$B166,'In Place Revenue'!$D$2:$D$764,O$161)</f>
        <v>6756.75</v>
      </c>
      <c r="P166" s="34">
        <f>SUMIFS('In Place Revenue'!$G$2:$G$764,'In Place Revenue'!$B$2:$B$764,$B166,'In Place Revenue'!$D$2:$D$764,P$161)</f>
        <v>6756.75</v>
      </c>
      <c r="Q166" s="36">
        <f t="shared" si="40"/>
        <v>80115.78</v>
      </c>
    </row>
    <row r="167" spans="2:21" outlineLevel="1" x14ac:dyDescent="0.35">
      <c r="B167" s="523" t="s">
        <v>189</v>
      </c>
      <c r="C167" s="115"/>
      <c r="D167" s="34" t="str">
        <f>IFERROR(VLOOKUP(B167,'In Place Revenue'!$B$2:$H$630,2,FALSE),VLOOKUP(B167,$B$184:$D$200,3,FALSE))</f>
        <v>Belden Brick Sales &amp; Service</v>
      </c>
      <c r="E167" s="34">
        <f>SUMIFS('In Place Revenue'!$G$2:$G$764,'In Place Revenue'!$B$2:$B$764,$B167,'In Place Revenue'!$D$2:$D$764,E$161)</f>
        <v>6575</v>
      </c>
      <c r="F167" s="34">
        <f>SUMIFS('In Place Revenue'!$G$2:$G$764,'In Place Revenue'!$B$2:$B$764,$B167,'In Place Revenue'!$D$2:$D$764,F$161)</f>
        <v>6575</v>
      </c>
      <c r="G167" s="34">
        <f>SUMIFS('In Place Revenue'!$G$2:$G$764,'In Place Revenue'!$B$2:$B$764,$B167,'In Place Revenue'!$D$2:$D$764,G$161)</f>
        <v>6575</v>
      </c>
      <c r="H167" s="34">
        <f>SUMIFS('In Place Revenue'!$G$2:$G$764,'In Place Revenue'!$B$2:$B$764,$B167,'In Place Revenue'!$D$2:$D$764,H$161)</f>
        <v>6575</v>
      </c>
      <c r="I167" s="34">
        <f>SUMIFS('In Place Revenue'!$G$2:$G$764,'In Place Revenue'!$B$2:$B$764,$B167,'In Place Revenue'!$D$2:$D$764,I$161)</f>
        <v>6575</v>
      </c>
      <c r="J167" s="34">
        <f>SUMIFS('In Place Revenue'!$G$2:$G$764,'In Place Revenue'!$B$2:$B$764,$B167,'In Place Revenue'!$D$2:$D$764,J$161)</f>
        <v>6575</v>
      </c>
      <c r="K167" s="34">
        <f>SUMIFS('In Place Revenue'!$G$2:$G$764,'In Place Revenue'!$B$2:$B$764,$B167,'In Place Revenue'!$D$2:$D$764,K$161)</f>
        <v>6575</v>
      </c>
      <c r="L167" s="34">
        <f>SUMIFS('In Place Revenue'!$G$2:$G$764,'In Place Revenue'!$B$2:$B$764,$B167,'In Place Revenue'!$D$2:$D$764,L$161)</f>
        <v>6575</v>
      </c>
      <c r="M167" s="34">
        <f>SUMIFS('In Place Revenue'!$G$2:$G$764,'In Place Revenue'!$B$2:$B$764,$B167,'In Place Revenue'!$D$2:$D$764,M$161)</f>
        <v>6575</v>
      </c>
      <c r="N167" s="34">
        <f>SUMIFS('In Place Revenue'!$G$2:$G$764,'In Place Revenue'!$B$2:$B$764,$B167,'In Place Revenue'!$D$2:$D$764,N$161)</f>
        <v>6575</v>
      </c>
      <c r="O167" s="34">
        <f>SUMIFS('In Place Revenue'!$G$2:$G$764,'In Place Revenue'!$B$2:$B$764,$B167,'In Place Revenue'!$D$2:$D$764,O$161)</f>
        <v>6575</v>
      </c>
      <c r="P167" s="34">
        <f>SUMIFS('In Place Revenue'!$G$2:$G$764,'In Place Revenue'!$B$2:$B$764,$B167,'In Place Revenue'!$D$2:$D$764,P$161)</f>
        <v>6575</v>
      </c>
      <c r="Q167" s="36">
        <f t="shared" si="40"/>
        <v>78900</v>
      </c>
    </row>
    <row r="168" spans="2:21" outlineLevel="1" x14ac:dyDescent="0.35">
      <c r="B168" s="523" t="s">
        <v>638</v>
      </c>
      <c r="C168" s="115"/>
      <c r="D168" s="34" t="str">
        <f>IFERROR(VLOOKUP(B168,'In Place Revenue'!$B$2:$H$630,2,FALSE),VLOOKUP(B168,$B$184:$D$200,3,FALSE))</f>
        <v>VACANT</v>
      </c>
      <c r="E168" s="34">
        <f>SUMIFS('In Place Revenue'!$G$2:$G$764,'In Place Revenue'!$B$2:$B$764,$B168,'In Place Revenue'!$D$2:$D$764,E$161)</f>
        <v>0</v>
      </c>
      <c r="F168" s="34">
        <f>SUMIFS('In Place Revenue'!$G$2:$G$764,'In Place Revenue'!$B$2:$B$764,$B168,'In Place Revenue'!$D$2:$D$764,F$161)</f>
        <v>0</v>
      </c>
      <c r="G168" s="34">
        <f>SUMIFS('In Place Revenue'!$G$2:$G$764,'In Place Revenue'!$B$2:$B$764,$B168,'In Place Revenue'!$D$2:$D$764,G$161)</f>
        <v>0</v>
      </c>
      <c r="H168" s="34">
        <f>SUMIFS('In Place Revenue'!$G$2:$G$764,'In Place Revenue'!$B$2:$B$764,$B168,'In Place Revenue'!$D$2:$D$764,H$161)</f>
        <v>0</v>
      </c>
      <c r="I168" s="34">
        <f>SUMIFS('In Place Revenue'!$G$2:$G$764,'In Place Revenue'!$B$2:$B$764,$B168,'In Place Revenue'!$D$2:$D$764,I$161)</f>
        <v>0</v>
      </c>
      <c r="J168" s="34">
        <f>SUMIFS('In Place Revenue'!$G$2:$G$764,'In Place Revenue'!$B$2:$B$764,$B168,'In Place Revenue'!$D$2:$D$764,J$161)</f>
        <v>0</v>
      </c>
      <c r="K168" s="34">
        <f>SUMIFS('In Place Revenue'!$G$2:$G$764,'In Place Revenue'!$B$2:$B$764,$B168,'In Place Revenue'!$D$2:$D$764,K$161)</f>
        <v>0</v>
      </c>
      <c r="L168" s="34">
        <f>SUMIFS('In Place Revenue'!$G$2:$G$764,'In Place Revenue'!$B$2:$B$764,$B168,'In Place Revenue'!$D$2:$D$764,L$161)</f>
        <v>0</v>
      </c>
      <c r="M168" s="34">
        <f>SUMIFS('In Place Revenue'!$G$2:$G$764,'In Place Revenue'!$B$2:$B$764,$B168,'In Place Revenue'!$D$2:$D$764,M$161)</f>
        <v>0</v>
      </c>
      <c r="N168" s="34">
        <f>SUMIFS('In Place Revenue'!$G$2:$G$764,'In Place Revenue'!$B$2:$B$764,$B168,'In Place Revenue'!$D$2:$D$764,N$161)</f>
        <v>0</v>
      </c>
      <c r="O168" s="34">
        <f>SUMIFS('In Place Revenue'!$G$2:$G$764,'In Place Revenue'!$B$2:$B$764,$B168,'In Place Revenue'!$D$2:$D$764,O$161)</f>
        <v>0</v>
      </c>
      <c r="P168" s="34">
        <f>SUMIFS('In Place Revenue'!$G$2:$G$764,'In Place Revenue'!$B$2:$B$764,$B168,'In Place Revenue'!$D$2:$D$764,P$161)</f>
        <v>0</v>
      </c>
      <c r="Q168" s="36">
        <f t="shared" si="40"/>
        <v>0</v>
      </c>
    </row>
    <row r="169" spans="2:21" outlineLevel="1" x14ac:dyDescent="0.35">
      <c r="B169" s="523" t="s">
        <v>191</v>
      </c>
      <c r="C169" s="115"/>
      <c r="D169" s="34" t="str">
        <f>IFERROR(VLOOKUP(B169,'In Place Revenue'!$B$2:$H$630,2,FALSE),VLOOKUP(B169,$B$184:$D$200,3,FALSE))</f>
        <v>Robert Half International, Inc</v>
      </c>
      <c r="E169" s="34">
        <f>SUMIFS('In Place Revenue'!$G$2:$G$764,'In Place Revenue'!$B$2:$B$764,$B169,'In Place Revenue'!$D$2:$D$764,E$161)</f>
        <v>5750</v>
      </c>
      <c r="F169" s="34">
        <f>SUMIFS('In Place Revenue'!$G$2:$G$764,'In Place Revenue'!$B$2:$B$764,$B169,'In Place Revenue'!$D$2:$D$764,F$161)</f>
        <v>5750</v>
      </c>
      <c r="G169" s="34">
        <f>SUMIFS('In Place Revenue'!$G$2:$G$764,'In Place Revenue'!$B$2:$B$764,$B169,'In Place Revenue'!$D$2:$D$764,G$161)</f>
        <v>5750</v>
      </c>
      <c r="H169" s="34">
        <f>SUMIFS('In Place Revenue'!$G$2:$G$764,'In Place Revenue'!$B$2:$B$764,$B169,'In Place Revenue'!$D$2:$D$764,H$161)</f>
        <v>5750</v>
      </c>
      <c r="I169" s="34">
        <f>SUMIFS('In Place Revenue'!$G$2:$G$764,'In Place Revenue'!$B$2:$B$764,$B169,'In Place Revenue'!$D$2:$D$764,I$161)</f>
        <v>5750</v>
      </c>
      <c r="J169" s="34">
        <f>SUMIFS('In Place Revenue'!$G$2:$G$764,'In Place Revenue'!$B$2:$B$764,$B169,'In Place Revenue'!$D$2:$D$764,J$161)</f>
        <v>5750</v>
      </c>
      <c r="K169" s="34">
        <f>SUMIFS('In Place Revenue'!$G$2:$G$764,'In Place Revenue'!$B$2:$B$764,$B169,'In Place Revenue'!$D$2:$D$764,K$161)</f>
        <v>5750</v>
      </c>
      <c r="L169" s="34">
        <f>SUMIFS('In Place Revenue'!$G$2:$G$764,'In Place Revenue'!$B$2:$B$764,$B169,'In Place Revenue'!$D$2:$D$764,L$161)</f>
        <v>5750</v>
      </c>
      <c r="M169" s="34">
        <f>SUMIFS('In Place Revenue'!$G$2:$G$764,'In Place Revenue'!$B$2:$B$764,$B169,'In Place Revenue'!$D$2:$D$764,M$161)</f>
        <v>5750</v>
      </c>
      <c r="N169" s="34">
        <f>SUMIFS('In Place Revenue'!$G$2:$G$764,'In Place Revenue'!$B$2:$B$764,$B169,'In Place Revenue'!$D$2:$D$764,N$161)</f>
        <v>5750</v>
      </c>
      <c r="O169" s="34">
        <f>SUMIFS('In Place Revenue'!$G$2:$G$764,'In Place Revenue'!$B$2:$B$764,$B169,'In Place Revenue'!$D$2:$D$764,O$161)</f>
        <v>5750</v>
      </c>
      <c r="P169" s="34">
        <f>SUMIFS('In Place Revenue'!$G$2:$G$764,'In Place Revenue'!$B$2:$B$764,$B169,'In Place Revenue'!$D$2:$D$764,P$161)</f>
        <v>5750</v>
      </c>
      <c r="Q169" s="36">
        <f t="shared" si="40"/>
        <v>69000</v>
      </c>
    </row>
    <row r="170" spans="2:21" outlineLevel="1" x14ac:dyDescent="0.35">
      <c r="B170" s="523" t="s">
        <v>392</v>
      </c>
      <c r="C170" s="115"/>
      <c r="D170" s="34" t="str">
        <f>IFERROR(VLOOKUP(B170,'In Place Revenue'!$B$2:$H$630,2,FALSE),VLOOKUP(B170,$B$184:$D$200,3,FALSE))</f>
        <v>Ryan R. Janis P.C.</v>
      </c>
      <c r="E170" s="34">
        <f>SUMIFS('In Place Revenue'!$G$2:$G$764,'In Place Revenue'!$B$2:$B$764,$B170,'In Place Revenue'!$D$2:$D$764,E$161)</f>
        <v>2731.25</v>
      </c>
      <c r="F170" s="34">
        <f>SUMIFS('In Place Revenue'!$G$2:$G$764,'In Place Revenue'!$B$2:$B$764,$B170,'In Place Revenue'!$D$2:$D$764,F$161)</f>
        <v>2731.25</v>
      </c>
      <c r="G170" s="34">
        <f>SUMIFS('In Place Revenue'!$G$2:$G$764,'In Place Revenue'!$B$2:$B$764,$B170,'In Place Revenue'!$D$2:$D$764,G$161)</f>
        <v>2731.25</v>
      </c>
      <c r="H170" s="34">
        <f>SUMIFS('In Place Revenue'!$G$2:$G$764,'In Place Revenue'!$B$2:$B$764,$B170,'In Place Revenue'!$D$2:$D$764,H$161)</f>
        <v>2731.25</v>
      </c>
      <c r="I170" s="34">
        <f>SUMIFS('In Place Revenue'!$G$2:$G$764,'In Place Revenue'!$B$2:$B$764,$B170,'In Place Revenue'!$D$2:$D$764,I$161)</f>
        <v>2731.25</v>
      </c>
      <c r="J170" s="34">
        <f>SUMIFS('In Place Revenue'!$G$2:$G$764,'In Place Revenue'!$B$2:$B$764,$B170,'In Place Revenue'!$D$2:$D$764,J$161)</f>
        <v>2731.25</v>
      </c>
      <c r="K170" s="34">
        <f>SUMIFS('In Place Revenue'!$G$2:$G$764,'In Place Revenue'!$B$2:$B$764,$B170,'In Place Revenue'!$D$2:$D$764,K$161)</f>
        <v>2731.25</v>
      </c>
      <c r="L170" s="34">
        <f>SUMIFS('In Place Revenue'!$G$2:$G$764,'In Place Revenue'!$B$2:$B$764,$B170,'In Place Revenue'!$D$2:$D$764,L$161)</f>
        <v>2731.25</v>
      </c>
      <c r="M170" s="34">
        <f>SUMIFS('In Place Revenue'!$G$2:$G$764,'In Place Revenue'!$B$2:$B$764,$B170,'In Place Revenue'!$D$2:$D$764,M$161)</f>
        <v>2731.25</v>
      </c>
      <c r="N170" s="34">
        <f>SUMIFS('In Place Revenue'!$G$2:$G$764,'In Place Revenue'!$B$2:$B$764,$B170,'In Place Revenue'!$D$2:$D$764,N$161)</f>
        <v>2731.25</v>
      </c>
      <c r="O170" s="34">
        <f>SUMIFS('In Place Revenue'!$G$2:$G$764,'In Place Revenue'!$B$2:$B$764,$B170,'In Place Revenue'!$D$2:$D$764,O$161)</f>
        <v>2731.25</v>
      </c>
      <c r="P170" s="34">
        <f>SUMIFS('In Place Revenue'!$G$2:$G$764,'In Place Revenue'!$B$2:$B$764,$B170,'In Place Revenue'!$D$2:$D$764,P$161)</f>
        <v>2731.25</v>
      </c>
      <c r="Q170" s="36">
        <f t="shared" si="40"/>
        <v>32775</v>
      </c>
    </row>
    <row r="171" spans="2:21" outlineLevel="1" x14ac:dyDescent="0.35">
      <c r="B171" s="523" t="s">
        <v>639</v>
      </c>
      <c r="C171" s="115"/>
      <c r="D171" s="34" t="str">
        <f>IFERROR(VLOOKUP(B171,'In Place Revenue'!$B$2:$H$630,2,FALSE),VLOOKUP(B171,$B$184:$D$200,3,FALSE))</f>
        <v>AIM-USA LLC</v>
      </c>
      <c r="E171" s="34">
        <f>SUMIFS('In Place Revenue'!$G$2:$G$764,'In Place Revenue'!$B$2:$B$764,$B171,'In Place Revenue'!$D$2:$D$764,E$161)</f>
        <v>0</v>
      </c>
      <c r="F171" s="34">
        <f>SUMIFS('In Place Revenue'!$G$2:$G$764,'In Place Revenue'!$B$2:$B$764,$B171,'In Place Revenue'!$D$2:$D$764,F$161)</f>
        <v>0</v>
      </c>
      <c r="G171" s="34">
        <f>SUMIFS('In Place Revenue'!$G$2:$G$764,'In Place Revenue'!$B$2:$B$764,$B171,'In Place Revenue'!$D$2:$D$764,G$161)</f>
        <v>0</v>
      </c>
      <c r="H171" s="34">
        <f>SUMIFS('In Place Revenue'!$G$2:$G$764,'In Place Revenue'!$B$2:$B$764,$B171,'In Place Revenue'!$D$2:$D$764,H$161)</f>
        <v>0</v>
      </c>
      <c r="I171" s="34">
        <f>SUMIFS('In Place Revenue'!$G$2:$G$764,'In Place Revenue'!$B$2:$B$764,$B171,'In Place Revenue'!$D$2:$D$764,I$161)</f>
        <v>0</v>
      </c>
      <c r="J171" s="34">
        <f>SUMIFS('In Place Revenue'!$G$2:$G$764,'In Place Revenue'!$B$2:$B$764,$B171,'In Place Revenue'!$D$2:$D$764,J$161)</f>
        <v>0</v>
      </c>
      <c r="K171" s="34">
        <f>SUMIFS('In Place Revenue'!$G$2:$G$764,'In Place Revenue'!$B$2:$B$764,$B171,'In Place Revenue'!$D$2:$D$764,K$161)</f>
        <v>0</v>
      </c>
      <c r="L171" s="34">
        <f>SUMIFS('In Place Revenue'!$G$2:$G$764,'In Place Revenue'!$B$2:$B$764,$B171,'In Place Revenue'!$D$2:$D$764,L$161)</f>
        <v>0</v>
      </c>
      <c r="M171" s="34">
        <f>SUMIFS('In Place Revenue'!$G$2:$G$764,'In Place Revenue'!$B$2:$B$764,$B171,'In Place Revenue'!$D$2:$D$764,M$161)</f>
        <v>0</v>
      </c>
      <c r="N171" s="34">
        <f>SUMIFS('In Place Revenue'!$G$2:$G$764,'In Place Revenue'!$B$2:$B$764,$B171,'In Place Revenue'!$D$2:$D$764,N$161)</f>
        <v>0</v>
      </c>
      <c r="O171" s="34">
        <f>SUMIFS('In Place Revenue'!$G$2:$G$764,'In Place Revenue'!$B$2:$B$764,$B171,'In Place Revenue'!$D$2:$D$764,O$161)</f>
        <v>0</v>
      </c>
      <c r="P171" s="34">
        <f>SUMIFS('In Place Revenue'!$G$2:$G$764,'In Place Revenue'!$B$2:$B$764,$B171,'In Place Revenue'!$D$2:$D$764,P$161)</f>
        <v>0</v>
      </c>
      <c r="Q171" s="36">
        <f t="shared" si="40"/>
        <v>0</v>
      </c>
    </row>
    <row r="172" spans="2:21" outlineLevel="1" x14ac:dyDescent="0.35">
      <c r="B172" s="523" t="s">
        <v>640</v>
      </c>
      <c r="C172" s="115"/>
      <c r="D172" s="34" t="str">
        <f>IFERROR(VLOOKUP(B172,'In Place Revenue'!$B$2:$H$630,2,FALSE),VLOOKUP(B172,$B$184:$D$200,3,FALSE))</f>
        <v>Rudolph Clarke LLC</v>
      </c>
      <c r="E172" s="34">
        <f>SUMIFS('In Place Revenue'!$G$2:$G$764,'In Place Revenue'!$B$2:$B$764,$B172,'In Place Revenue'!$D$2:$D$764,E$161)</f>
        <v>0</v>
      </c>
      <c r="F172" s="34">
        <f>SUMIFS('In Place Revenue'!$G$2:$G$764,'In Place Revenue'!$B$2:$B$764,$B172,'In Place Revenue'!$D$2:$D$764,F$161)</f>
        <v>0</v>
      </c>
      <c r="G172" s="34">
        <f>SUMIFS('In Place Revenue'!$G$2:$G$764,'In Place Revenue'!$B$2:$B$764,$B172,'In Place Revenue'!$D$2:$D$764,G$161)</f>
        <v>0</v>
      </c>
      <c r="H172" s="34">
        <f>SUMIFS('In Place Revenue'!$G$2:$G$764,'In Place Revenue'!$B$2:$B$764,$B172,'In Place Revenue'!$D$2:$D$764,H$161)</f>
        <v>0</v>
      </c>
      <c r="I172" s="34">
        <f>SUMIFS('In Place Revenue'!$G$2:$G$764,'In Place Revenue'!$B$2:$B$764,$B172,'In Place Revenue'!$D$2:$D$764,I$161)</f>
        <v>0</v>
      </c>
      <c r="J172" s="34">
        <f>SUMIFS('In Place Revenue'!$G$2:$G$764,'In Place Revenue'!$B$2:$B$764,$B172,'In Place Revenue'!$D$2:$D$764,J$161)</f>
        <v>0</v>
      </c>
      <c r="K172" s="34">
        <f>SUMIFS('In Place Revenue'!$G$2:$G$764,'In Place Revenue'!$B$2:$B$764,$B172,'In Place Revenue'!$D$2:$D$764,K$161)</f>
        <v>0</v>
      </c>
      <c r="L172" s="34">
        <f>SUMIFS('In Place Revenue'!$G$2:$G$764,'In Place Revenue'!$B$2:$B$764,$B172,'In Place Revenue'!$D$2:$D$764,L$161)</f>
        <v>0</v>
      </c>
      <c r="M172" s="34">
        <f>SUMIFS('In Place Revenue'!$G$2:$G$764,'In Place Revenue'!$B$2:$B$764,$B172,'In Place Revenue'!$D$2:$D$764,M$161)</f>
        <v>0</v>
      </c>
      <c r="N172" s="34">
        <f>SUMIFS('In Place Revenue'!$G$2:$G$764,'In Place Revenue'!$B$2:$B$764,$B172,'In Place Revenue'!$D$2:$D$764,N$161)</f>
        <v>0</v>
      </c>
      <c r="O172" s="34">
        <f>SUMIFS('In Place Revenue'!$G$2:$G$764,'In Place Revenue'!$B$2:$B$764,$B172,'In Place Revenue'!$D$2:$D$764,O$161)</f>
        <v>0</v>
      </c>
      <c r="P172" s="34">
        <f>SUMIFS('In Place Revenue'!$G$2:$G$764,'In Place Revenue'!$B$2:$B$764,$B172,'In Place Revenue'!$D$2:$D$764,P$161)</f>
        <v>0</v>
      </c>
      <c r="Q172" s="36">
        <f t="shared" si="40"/>
        <v>0</v>
      </c>
    </row>
    <row r="173" spans="2:21" outlineLevel="1" x14ac:dyDescent="0.35">
      <c r="B173" s="523" t="s">
        <v>641</v>
      </c>
      <c r="C173" s="115"/>
      <c r="D173" s="34" t="str">
        <f>IFERROR(VLOOKUP(B173,'In Place Revenue'!$B$2:$H$630,2,FALSE),VLOOKUP(B173,$B$184:$D$200,3,FALSE))</f>
        <v>VACANT</v>
      </c>
      <c r="E173" s="34">
        <f>SUMIFS('In Place Revenue'!$G$2:$G$764,'In Place Revenue'!$B$2:$B$764,$B173,'In Place Revenue'!$D$2:$D$764,E$161)</f>
        <v>0</v>
      </c>
      <c r="F173" s="34">
        <f>SUMIFS('In Place Revenue'!$G$2:$G$764,'In Place Revenue'!$B$2:$B$764,$B173,'In Place Revenue'!$D$2:$D$764,F$161)</f>
        <v>0</v>
      </c>
      <c r="G173" s="34">
        <f>SUMIFS('In Place Revenue'!$G$2:$G$764,'In Place Revenue'!$B$2:$B$764,$B173,'In Place Revenue'!$D$2:$D$764,G$161)</f>
        <v>0</v>
      </c>
      <c r="H173" s="34">
        <f>SUMIFS('In Place Revenue'!$G$2:$G$764,'In Place Revenue'!$B$2:$B$764,$B173,'In Place Revenue'!$D$2:$D$764,H$161)</f>
        <v>0</v>
      </c>
      <c r="I173" s="34">
        <f>SUMIFS('In Place Revenue'!$G$2:$G$764,'In Place Revenue'!$B$2:$B$764,$B173,'In Place Revenue'!$D$2:$D$764,I$161)</f>
        <v>0</v>
      </c>
      <c r="J173" s="34">
        <f>SUMIFS('In Place Revenue'!$G$2:$G$764,'In Place Revenue'!$B$2:$B$764,$B173,'In Place Revenue'!$D$2:$D$764,J$161)</f>
        <v>0</v>
      </c>
      <c r="K173" s="34">
        <f>SUMIFS('In Place Revenue'!$G$2:$G$764,'In Place Revenue'!$B$2:$B$764,$B173,'In Place Revenue'!$D$2:$D$764,K$161)</f>
        <v>0</v>
      </c>
      <c r="L173" s="34">
        <f>SUMIFS('In Place Revenue'!$G$2:$G$764,'In Place Revenue'!$B$2:$B$764,$B173,'In Place Revenue'!$D$2:$D$764,L$161)</f>
        <v>0</v>
      </c>
      <c r="M173" s="34">
        <f>SUMIFS('In Place Revenue'!$G$2:$G$764,'In Place Revenue'!$B$2:$B$764,$B173,'In Place Revenue'!$D$2:$D$764,M$161)</f>
        <v>0</v>
      </c>
      <c r="N173" s="34">
        <f>SUMIFS('In Place Revenue'!$G$2:$G$764,'In Place Revenue'!$B$2:$B$764,$B173,'In Place Revenue'!$D$2:$D$764,N$161)</f>
        <v>0</v>
      </c>
      <c r="O173" s="34">
        <f>SUMIFS('In Place Revenue'!$G$2:$G$764,'In Place Revenue'!$B$2:$B$764,$B173,'In Place Revenue'!$D$2:$D$764,O$161)</f>
        <v>0</v>
      </c>
      <c r="P173" s="34">
        <f>SUMIFS('In Place Revenue'!$G$2:$G$764,'In Place Revenue'!$B$2:$B$764,$B173,'In Place Revenue'!$D$2:$D$764,P$161)</f>
        <v>0</v>
      </c>
      <c r="Q173" s="36">
        <f t="shared" si="40"/>
        <v>0</v>
      </c>
    </row>
    <row r="174" spans="2:21" outlineLevel="1" x14ac:dyDescent="0.35">
      <c r="B174" s="523" t="s">
        <v>193</v>
      </c>
      <c r="C174" s="115"/>
      <c r="D174" s="34" t="str">
        <f>IFERROR(VLOOKUP(B174,'In Place Revenue'!$B$2:$H$630,2,FALSE),VLOOKUP(B174,$B$184:$D$200,3,FALSE))</f>
        <v>Veltri, Inc.</v>
      </c>
      <c r="E174" s="34">
        <f>SUMIFS('In Place Revenue'!$G$2:$G$764,'In Place Revenue'!$B$2:$B$764,$B174,'In Place Revenue'!$D$2:$D$764,E$161)</f>
        <v>10623.33</v>
      </c>
      <c r="F174" s="34">
        <f>SUMIFS('In Place Revenue'!$G$2:$G$764,'In Place Revenue'!$B$2:$B$764,$B174,'In Place Revenue'!$D$2:$D$764,F$161)</f>
        <v>10623.33</v>
      </c>
      <c r="G174" s="34">
        <f>SUMIFS('In Place Revenue'!$G$2:$G$764,'In Place Revenue'!$B$2:$B$764,$B174,'In Place Revenue'!$D$2:$D$764,G$161)</f>
        <v>10623.33</v>
      </c>
      <c r="H174" s="34">
        <f>SUMIFS('In Place Revenue'!$G$2:$G$764,'In Place Revenue'!$B$2:$B$764,$B174,'In Place Revenue'!$D$2:$D$764,H$161)</f>
        <v>10623.33</v>
      </c>
      <c r="I174" s="34">
        <f>SUMIFS('In Place Revenue'!$G$2:$G$764,'In Place Revenue'!$B$2:$B$764,$B174,'In Place Revenue'!$D$2:$D$764,I$161)</f>
        <v>10623.33</v>
      </c>
      <c r="J174" s="34">
        <f>SUMIFS('In Place Revenue'!$G$2:$G$764,'In Place Revenue'!$B$2:$B$764,$B174,'In Place Revenue'!$D$2:$D$764,J$161)</f>
        <v>10623.33</v>
      </c>
      <c r="K174" s="34">
        <f>SUMIFS('In Place Revenue'!$G$2:$G$764,'In Place Revenue'!$B$2:$B$764,$B174,'In Place Revenue'!$D$2:$D$764,K$161)</f>
        <v>10623.33</v>
      </c>
      <c r="L174" s="34">
        <f>SUMIFS('In Place Revenue'!$G$2:$G$764,'In Place Revenue'!$B$2:$B$764,$B174,'In Place Revenue'!$D$2:$D$764,L$161)</f>
        <v>10623.33</v>
      </c>
      <c r="M174" s="34">
        <f>SUMIFS('In Place Revenue'!$G$2:$G$764,'In Place Revenue'!$B$2:$B$764,$B174,'In Place Revenue'!$D$2:$D$764,M$161)</f>
        <v>10623.33</v>
      </c>
      <c r="N174" s="34">
        <f>SUMIFS('In Place Revenue'!$G$2:$G$764,'In Place Revenue'!$B$2:$B$764,$B174,'In Place Revenue'!$D$2:$D$764,N$161)</f>
        <v>10623.33</v>
      </c>
      <c r="O174" s="34">
        <f>SUMIFS('In Place Revenue'!$G$2:$G$764,'In Place Revenue'!$B$2:$B$764,$B174,'In Place Revenue'!$D$2:$D$764,O$161)</f>
        <v>10888.92</v>
      </c>
      <c r="P174" s="34">
        <f>SUMIFS('In Place Revenue'!$G$2:$G$764,'In Place Revenue'!$B$2:$B$764,$B174,'In Place Revenue'!$D$2:$D$764,P$161)</f>
        <v>10888.92</v>
      </c>
      <c r="Q174" s="36">
        <f t="shared" si="40"/>
        <v>128011.14</v>
      </c>
    </row>
    <row r="175" spans="2:21" outlineLevel="1" x14ac:dyDescent="0.35">
      <c r="B175" s="523" t="s">
        <v>194</v>
      </c>
      <c r="C175" s="115"/>
      <c r="D175" s="34" t="str">
        <f>IFERROR(VLOOKUP(B175,'In Place Revenue'!$B$2:$H$630,2,FALSE),VLOOKUP(B175,$B$184:$D$200,3,FALSE))</f>
        <v>Mette, Evans &amp; Woodside</v>
      </c>
      <c r="E175" s="34">
        <f>SUMIFS('In Place Revenue'!$G$2:$G$764,'In Place Revenue'!$B$2:$B$764,$B175,'In Place Revenue'!$D$2:$D$764,E$161)</f>
        <v>5758.33</v>
      </c>
      <c r="F175" s="34">
        <f>SUMIFS('In Place Revenue'!$G$2:$G$764,'In Place Revenue'!$B$2:$B$764,$B175,'In Place Revenue'!$D$2:$D$764,F$161)</f>
        <v>5758.33</v>
      </c>
      <c r="G175" s="34">
        <f>SUMIFS('In Place Revenue'!$G$2:$G$764,'In Place Revenue'!$B$2:$B$764,$B175,'In Place Revenue'!$D$2:$D$764,G$161)</f>
        <v>5758.33</v>
      </c>
      <c r="H175" s="34">
        <f>SUMIFS('In Place Revenue'!$G$2:$G$764,'In Place Revenue'!$B$2:$B$764,$B175,'In Place Revenue'!$D$2:$D$764,H$161)</f>
        <v>5758.33</v>
      </c>
      <c r="I175" s="34">
        <f>SUMIFS('In Place Revenue'!$G$2:$G$764,'In Place Revenue'!$B$2:$B$764,$B175,'In Place Revenue'!$D$2:$D$764,I$161)</f>
        <v>5758.33</v>
      </c>
      <c r="J175" s="34">
        <f>SUMIFS('In Place Revenue'!$G$2:$G$764,'In Place Revenue'!$B$2:$B$764,$B175,'In Place Revenue'!$D$2:$D$764,J$161)</f>
        <v>5758.33</v>
      </c>
      <c r="K175" s="34">
        <f>SUMIFS('In Place Revenue'!$G$2:$G$764,'In Place Revenue'!$B$2:$B$764,$B175,'In Place Revenue'!$D$2:$D$764,K$161)</f>
        <v>5758.33</v>
      </c>
      <c r="L175" s="34">
        <f>SUMIFS('In Place Revenue'!$G$2:$G$764,'In Place Revenue'!$B$2:$B$764,$B175,'In Place Revenue'!$D$2:$D$764,L$161)</f>
        <v>5758.33</v>
      </c>
      <c r="M175" s="34">
        <f>SUMIFS('In Place Revenue'!$G$2:$G$764,'In Place Revenue'!$B$2:$B$764,$B175,'In Place Revenue'!$D$2:$D$764,M$161)</f>
        <v>5758.33</v>
      </c>
      <c r="N175" s="34">
        <f>SUMIFS('In Place Revenue'!$G$2:$G$764,'In Place Revenue'!$B$2:$B$764,$B175,'In Place Revenue'!$D$2:$D$764,N$161)</f>
        <v>5758.33</v>
      </c>
      <c r="O175" s="34">
        <f>SUMIFS('In Place Revenue'!$G$2:$G$764,'In Place Revenue'!$B$2:$B$764,$B175,'In Place Revenue'!$D$2:$D$764,O$161)</f>
        <v>5758.33</v>
      </c>
      <c r="P175" s="34">
        <f>SUMIFS('In Place Revenue'!$G$2:$G$764,'In Place Revenue'!$B$2:$B$764,$B175,'In Place Revenue'!$D$2:$D$764,P$161)</f>
        <v>5758.33</v>
      </c>
      <c r="Q175" s="36">
        <f t="shared" si="40"/>
        <v>69099.960000000006</v>
      </c>
    </row>
    <row r="176" spans="2:21" outlineLevel="1" x14ac:dyDescent="0.35">
      <c r="B176" s="523" t="s">
        <v>642</v>
      </c>
      <c r="C176" s="115"/>
      <c r="D176" s="34" t="str">
        <f>IFERROR(VLOOKUP(B176,'In Place Revenue'!$B$2:$H$630,2,FALSE),VLOOKUP(B176,$B$184:$D$200,3,FALSE))</f>
        <v>VACANT</v>
      </c>
      <c r="E176" s="34">
        <f>SUMIFS('In Place Revenue'!$G$2:$G$764,'In Place Revenue'!$B$2:$B$764,$B176,'In Place Revenue'!$D$2:$D$764,E$161)</f>
        <v>0</v>
      </c>
      <c r="F176" s="34">
        <f>SUMIFS('In Place Revenue'!$G$2:$G$764,'In Place Revenue'!$B$2:$B$764,$B176,'In Place Revenue'!$D$2:$D$764,F$161)</f>
        <v>0</v>
      </c>
      <c r="G176" s="34">
        <f>SUMIFS('In Place Revenue'!$G$2:$G$764,'In Place Revenue'!$B$2:$B$764,$B176,'In Place Revenue'!$D$2:$D$764,G$161)</f>
        <v>0</v>
      </c>
      <c r="H176" s="34">
        <f>SUMIFS('In Place Revenue'!$G$2:$G$764,'In Place Revenue'!$B$2:$B$764,$B176,'In Place Revenue'!$D$2:$D$764,H$161)</f>
        <v>0</v>
      </c>
      <c r="I176" s="34">
        <f>SUMIFS('In Place Revenue'!$G$2:$G$764,'In Place Revenue'!$B$2:$B$764,$B176,'In Place Revenue'!$D$2:$D$764,I$161)</f>
        <v>0</v>
      </c>
      <c r="J176" s="34">
        <f>SUMIFS('In Place Revenue'!$G$2:$G$764,'In Place Revenue'!$B$2:$B$764,$B176,'In Place Revenue'!$D$2:$D$764,J$161)</f>
        <v>0</v>
      </c>
      <c r="K176" s="34">
        <f>SUMIFS('In Place Revenue'!$G$2:$G$764,'In Place Revenue'!$B$2:$B$764,$B176,'In Place Revenue'!$D$2:$D$764,K$161)</f>
        <v>0</v>
      </c>
      <c r="L176" s="34">
        <f>SUMIFS('In Place Revenue'!$G$2:$G$764,'In Place Revenue'!$B$2:$B$764,$B176,'In Place Revenue'!$D$2:$D$764,L$161)</f>
        <v>0</v>
      </c>
      <c r="M176" s="34">
        <f>SUMIFS('In Place Revenue'!$G$2:$G$764,'In Place Revenue'!$B$2:$B$764,$B176,'In Place Revenue'!$D$2:$D$764,M$161)</f>
        <v>0</v>
      </c>
      <c r="N176" s="34">
        <f>SUMIFS('In Place Revenue'!$G$2:$G$764,'In Place Revenue'!$B$2:$B$764,$B176,'In Place Revenue'!$D$2:$D$764,N$161)</f>
        <v>0</v>
      </c>
      <c r="O176" s="34">
        <f>SUMIFS('In Place Revenue'!$G$2:$G$764,'In Place Revenue'!$B$2:$B$764,$B176,'In Place Revenue'!$D$2:$D$764,O$161)</f>
        <v>0</v>
      </c>
      <c r="P176" s="34">
        <f>SUMIFS('In Place Revenue'!$G$2:$G$764,'In Place Revenue'!$B$2:$B$764,$B176,'In Place Revenue'!$D$2:$D$764,P$161)</f>
        <v>0</v>
      </c>
      <c r="Q176" s="36">
        <f t="shared" si="40"/>
        <v>0</v>
      </c>
    </row>
    <row r="177" spans="2:21" outlineLevel="1" x14ac:dyDescent="0.35">
      <c r="B177" s="523" t="s">
        <v>251</v>
      </c>
      <c r="C177" s="115"/>
      <c r="D177" s="34" t="str">
        <f>IFERROR(VLOOKUP(B177,'In Place Revenue'!$B$2:$H$630,2,FALSE),VLOOKUP(B177,$B$184:$D$200,3,FALSE))</f>
        <v>Refresh Management, LLC</v>
      </c>
      <c r="E177" s="34">
        <f>SUMIFS('In Place Revenue'!$G$2:$G$764,'In Place Revenue'!$B$2:$B$764,$B177,'In Place Revenue'!$D$2:$D$764,E$161)</f>
        <v>5926.83</v>
      </c>
      <c r="F177" s="34">
        <f>SUMIFS('In Place Revenue'!$G$2:$G$764,'In Place Revenue'!$B$2:$B$764,$B177,'In Place Revenue'!$D$2:$D$764,F$161)</f>
        <v>5926.83</v>
      </c>
      <c r="G177" s="34">
        <f>SUMIFS('In Place Revenue'!$G$2:$G$764,'In Place Revenue'!$B$2:$B$764,$B177,'In Place Revenue'!$D$2:$D$764,G$161)</f>
        <v>5926.83</v>
      </c>
      <c r="H177" s="34">
        <f>SUMIFS('In Place Revenue'!$G$2:$G$764,'In Place Revenue'!$B$2:$B$764,$B177,'In Place Revenue'!$D$2:$D$764,H$161)</f>
        <v>5926.83</v>
      </c>
      <c r="I177" s="34">
        <f>SUMIFS('In Place Revenue'!$G$2:$G$764,'In Place Revenue'!$B$2:$B$764,$B177,'In Place Revenue'!$D$2:$D$764,I$161)</f>
        <v>5926.83</v>
      </c>
      <c r="J177" s="34">
        <f>SUMIFS('In Place Revenue'!$G$2:$G$764,'In Place Revenue'!$B$2:$B$764,$B177,'In Place Revenue'!$D$2:$D$764,J$161)</f>
        <v>6064.67</v>
      </c>
      <c r="K177" s="34">
        <f>SUMIFS('In Place Revenue'!$G$2:$G$764,'In Place Revenue'!$B$2:$B$764,$B177,'In Place Revenue'!$D$2:$D$764,K$161)</f>
        <v>6064.67</v>
      </c>
      <c r="L177" s="34">
        <f>SUMIFS('In Place Revenue'!$G$2:$G$764,'In Place Revenue'!$B$2:$B$764,$B177,'In Place Revenue'!$D$2:$D$764,L$161)</f>
        <v>6064.67</v>
      </c>
      <c r="M177" s="34">
        <f>SUMIFS('In Place Revenue'!$G$2:$G$764,'In Place Revenue'!$B$2:$B$764,$B177,'In Place Revenue'!$D$2:$D$764,M$161)</f>
        <v>6064.67</v>
      </c>
      <c r="N177" s="34">
        <f>SUMIFS('In Place Revenue'!$G$2:$G$764,'In Place Revenue'!$B$2:$B$764,$B177,'In Place Revenue'!$D$2:$D$764,N$161)</f>
        <v>6064.67</v>
      </c>
      <c r="O177" s="34">
        <f>SUMIFS('In Place Revenue'!$G$2:$G$764,'In Place Revenue'!$B$2:$B$764,$B177,'In Place Revenue'!$D$2:$D$764,O$161)</f>
        <v>6064.67</v>
      </c>
      <c r="P177" s="34">
        <f>SUMIFS('In Place Revenue'!$G$2:$G$764,'In Place Revenue'!$B$2:$B$764,$B177,'In Place Revenue'!$D$2:$D$764,P$161)</f>
        <v>6064.67</v>
      </c>
      <c r="Q177" s="36">
        <f t="shared" si="40"/>
        <v>72086.84</v>
      </c>
    </row>
    <row r="178" spans="2:21" outlineLevel="1" x14ac:dyDescent="0.35">
      <c r="B178" s="524" t="s">
        <v>195</v>
      </c>
      <c r="C178" s="116"/>
      <c r="D178" s="43" t="str">
        <f>IFERROR(VLOOKUP(B178,'In Place Revenue'!$B$2:$H$630,2,FALSE),VLOOKUP(B178,$B$184:$D$200,3,FALSE))</f>
        <v>Veltri, Inc.</v>
      </c>
      <c r="E178" s="43">
        <f>SUMIFS('In Place Revenue'!$G$2:$G$764,'In Place Revenue'!$B$2:$B$764,$B178,'In Place Revenue'!$D$2:$D$764,E$161)</f>
        <v>11325</v>
      </c>
      <c r="F178" s="43">
        <f>SUMIFS('In Place Revenue'!$G$2:$G$764,'In Place Revenue'!$B$2:$B$764,$B178,'In Place Revenue'!$D$2:$D$764,F$161)</f>
        <v>11325</v>
      </c>
      <c r="G178" s="43">
        <f>SUMIFS('In Place Revenue'!$G$2:$G$764,'In Place Revenue'!$B$2:$B$764,$B178,'In Place Revenue'!$D$2:$D$764,G$161)</f>
        <v>11325</v>
      </c>
      <c r="H178" s="43">
        <f>SUMIFS('In Place Revenue'!$G$2:$G$764,'In Place Revenue'!$B$2:$B$764,$B178,'In Place Revenue'!$D$2:$D$764,H$161)</f>
        <v>11325</v>
      </c>
      <c r="I178" s="43">
        <f>SUMIFS('In Place Revenue'!$G$2:$G$764,'In Place Revenue'!$B$2:$B$764,$B178,'In Place Revenue'!$D$2:$D$764,I$161)</f>
        <v>11325</v>
      </c>
      <c r="J178" s="43">
        <f>SUMIFS('In Place Revenue'!$G$2:$G$764,'In Place Revenue'!$B$2:$B$764,$B178,'In Place Revenue'!$D$2:$D$764,J$161)</f>
        <v>11325</v>
      </c>
      <c r="K178" s="43">
        <f>SUMIFS('In Place Revenue'!$G$2:$G$764,'In Place Revenue'!$B$2:$B$764,$B178,'In Place Revenue'!$D$2:$D$764,K$161)</f>
        <v>11325</v>
      </c>
      <c r="L178" s="43">
        <f>SUMIFS('In Place Revenue'!$G$2:$G$764,'In Place Revenue'!$B$2:$B$764,$B178,'In Place Revenue'!$D$2:$D$764,L$161)</f>
        <v>11325</v>
      </c>
      <c r="M178" s="43">
        <f>SUMIFS('In Place Revenue'!$G$2:$G$764,'In Place Revenue'!$B$2:$B$764,$B178,'In Place Revenue'!$D$2:$D$764,M$161)</f>
        <v>11325</v>
      </c>
      <c r="N178" s="43">
        <f>SUMIFS('In Place Revenue'!$G$2:$G$764,'In Place Revenue'!$B$2:$B$764,$B178,'In Place Revenue'!$D$2:$D$764,N$161)</f>
        <v>11325</v>
      </c>
      <c r="O178" s="43">
        <f>SUMIFS('In Place Revenue'!$G$2:$G$764,'In Place Revenue'!$B$2:$B$764,$B178,'In Place Revenue'!$D$2:$D$764,O$161)</f>
        <v>11608.13</v>
      </c>
      <c r="P178" s="43">
        <f>SUMIFS('In Place Revenue'!$G$2:$G$764,'In Place Revenue'!$B$2:$B$764,$B178,'In Place Revenue'!$D$2:$D$764,P$161)</f>
        <v>11608.13</v>
      </c>
      <c r="Q178" s="87">
        <f t="shared" si="40"/>
        <v>136466.26</v>
      </c>
    </row>
    <row r="179" spans="2:21" outlineLevel="1" x14ac:dyDescent="0.35">
      <c r="B179" s="10"/>
      <c r="D179" s="44" t="s">
        <v>12</v>
      </c>
      <c r="E179" s="36">
        <f t="shared" ref="E179:Q179" si="41">SUM(E162:E178)</f>
        <v>62565.05</v>
      </c>
      <c r="F179" s="36">
        <f t="shared" si="41"/>
        <v>62565.05</v>
      </c>
      <c r="G179" s="36">
        <f t="shared" si="41"/>
        <v>62565.05</v>
      </c>
      <c r="H179" s="36">
        <f t="shared" si="41"/>
        <v>62565.05</v>
      </c>
      <c r="I179" s="36">
        <f t="shared" si="41"/>
        <v>62565.05</v>
      </c>
      <c r="J179" s="36">
        <f t="shared" si="41"/>
        <v>62702.89</v>
      </c>
      <c r="K179" s="36">
        <f t="shared" si="41"/>
        <v>62863.76</v>
      </c>
      <c r="L179" s="36">
        <f t="shared" si="41"/>
        <v>62937.55</v>
      </c>
      <c r="M179" s="36">
        <f t="shared" si="41"/>
        <v>62937.55</v>
      </c>
      <c r="N179" s="36">
        <f t="shared" si="41"/>
        <v>62937.55</v>
      </c>
      <c r="O179" s="36">
        <f t="shared" si="41"/>
        <v>63486.27</v>
      </c>
      <c r="P179" s="36">
        <f t="shared" si="41"/>
        <v>61246.64</v>
      </c>
      <c r="Q179" s="36">
        <f t="shared" si="41"/>
        <v>751937.46</v>
      </c>
    </row>
    <row r="180" spans="2:21" outlineLevel="1" x14ac:dyDescent="0.35">
      <c r="B180" s="10"/>
      <c r="E180" s="95">
        <f t="shared" ref="E180:Q180" si="42">E10-E179</f>
        <v>0</v>
      </c>
      <c r="F180" s="95">
        <f t="shared" si="42"/>
        <v>0</v>
      </c>
      <c r="G180" s="95">
        <f t="shared" si="42"/>
        <v>0</v>
      </c>
      <c r="H180" s="95">
        <f t="shared" si="42"/>
        <v>0</v>
      </c>
      <c r="I180" s="95">
        <f t="shared" si="42"/>
        <v>0</v>
      </c>
      <c r="J180" s="95">
        <f t="shared" si="42"/>
        <v>0</v>
      </c>
      <c r="K180" s="95">
        <f t="shared" si="42"/>
        <v>0</v>
      </c>
      <c r="L180" s="95">
        <f t="shared" si="42"/>
        <v>0</v>
      </c>
      <c r="M180" s="95">
        <f t="shared" si="42"/>
        <v>0</v>
      </c>
      <c r="N180" s="95">
        <f t="shared" si="42"/>
        <v>0</v>
      </c>
      <c r="O180" s="95">
        <f t="shared" si="42"/>
        <v>0</v>
      </c>
      <c r="P180" s="95">
        <f t="shared" si="42"/>
        <v>0</v>
      </c>
      <c r="Q180" s="95">
        <f t="shared" si="42"/>
        <v>0</v>
      </c>
    </row>
    <row r="181" spans="2:21" x14ac:dyDescent="0.35">
      <c r="B181" s="10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</row>
    <row r="182" spans="2:21" ht="17.5" x14ac:dyDescent="0.35">
      <c r="B182" s="37" t="s">
        <v>164</v>
      </c>
      <c r="E182" s="517"/>
      <c r="F182" s="518"/>
      <c r="G182" s="518"/>
      <c r="H182" s="518"/>
      <c r="I182" s="518"/>
      <c r="J182" s="518"/>
      <c r="K182" s="518"/>
      <c r="L182" s="518"/>
      <c r="M182" s="518"/>
      <c r="N182" s="518"/>
      <c r="O182" s="518"/>
      <c r="P182" s="518"/>
      <c r="T182" s="34"/>
      <c r="U182" s="34"/>
    </row>
    <row r="183" spans="2:21" outlineLevel="1" x14ac:dyDescent="0.35">
      <c r="B183" s="43" t="s">
        <v>619</v>
      </c>
      <c r="C183" s="43"/>
      <c r="D183" s="43" t="s">
        <v>424</v>
      </c>
      <c r="E183" s="519">
        <f t="shared" ref="E183:P183" si="43">E161</f>
        <v>46023</v>
      </c>
      <c r="F183" s="519">
        <f t="shared" si="43"/>
        <v>46054</v>
      </c>
      <c r="G183" s="519">
        <f t="shared" si="43"/>
        <v>46082</v>
      </c>
      <c r="H183" s="519">
        <f t="shared" si="43"/>
        <v>46113</v>
      </c>
      <c r="I183" s="519">
        <f t="shared" si="43"/>
        <v>46143</v>
      </c>
      <c r="J183" s="519">
        <f t="shared" si="43"/>
        <v>46174</v>
      </c>
      <c r="K183" s="519">
        <f t="shared" si="43"/>
        <v>46204</v>
      </c>
      <c r="L183" s="519">
        <f t="shared" si="43"/>
        <v>46235</v>
      </c>
      <c r="M183" s="519">
        <f t="shared" si="43"/>
        <v>46266</v>
      </c>
      <c r="N183" s="519">
        <f t="shared" si="43"/>
        <v>46296</v>
      </c>
      <c r="O183" s="519">
        <f t="shared" si="43"/>
        <v>46327</v>
      </c>
      <c r="P183" s="519">
        <f t="shared" si="43"/>
        <v>46357</v>
      </c>
      <c r="Q183" s="481" t="s">
        <v>12</v>
      </c>
      <c r="T183" s="34"/>
      <c r="U183" s="34"/>
    </row>
    <row r="184" spans="2:21" outlineLevel="1" x14ac:dyDescent="0.35">
      <c r="B184" s="525" t="str">
        <f t="shared" ref="B184:B200" si="44">B162</f>
        <v>4070-103</v>
      </c>
      <c r="D184" s="34" t="str">
        <f>IFERROR(VLOOKUP(B184,'Renew &amp; Vac'!$A$53:$B$67,2,FALSE),IFERROR(VLOOKUP(B184,'Renew &amp; Vac'!$L$53:$M$67,2,FALSE),VLOOKUP(B184,$B$162:$D$178,3,FALSE)))</f>
        <v>Bucks County Transportation</v>
      </c>
      <c r="E184" s="77">
        <f>SUMIFS('Renew &amp; Vac'!$S$53:$S$67,'Renew &amp; Vac'!$L$53:$L$67,$B184,'Renew &amp; Vac'!$O$53:$O$67,"&lt;="&amp;E$183,'Renew &amp; Vac'!$P$53:$P$67,"&gt;="&amp;E$183)+SUMIFS('Renew &amp; Vac'!$H$53:$H$67,'Renew &amp; Vac'!$A$53:$A$67,$B184,'Renew &amp; Vac'!$D$53:$D$67,"&lt;="&amp;E$183,'Renew &amp; Vac'!$E$53:$E$67,"&gt;="&amp;E$183)</f>
        <v>0</v>
      </c>
      <c r="F184" s="77">
        <f>SUMIFS('Renew &amp; Vac'!$S$53:$S$67,'Renew &amp; Vac'!$L$53:$L$67,$B184,'Renew &amp; Vac'!$O$53:$O$67,"&lt;="&amp;F$183,'Renew &amp; Vac'!$P$53:$P$67,"&gt;="&amp;F$183)+SUMIFS('Renew &amp; Vac'!$H$53:$H$67,'Renew &amp; Vac'!$A$53:$A$67,$B184,'Renew &amp; Vac'!$D$53:$D$67,"&lt;="&amp;F$183,'Renew &amp; Vac'!$E$53:$E$67,"&gt;="&amp;F$183)</f>
        <v>0</v>
      </c>
      <c r="G184" s="77">
        <f>SUMIFS('Renew &amp; Vac'!$S$53:$S$67,'Renew &amp; Vac'!$L$53:$L$67,$B184,'Renew &amp; Vac'!$O$53:$O$67,"&lt;="&amp;G$183,'Renew &amp; Vac'!$P$53:$P$67,"&gt;="&amp;G$183)+SUMIFS('Renew &amp; Vac'!$H$53:$H$67,'Renew &amp; Vac'!$A$53:$A$67,$B184,'Renew &amp; Vac'!$D$53:$D$67,"&lt;="&amp;G$183,'Renew &amp; Vac'!$E$53:$E$67,"&gt;="&amp;G$183)</f>
        <v>0</v>
      </c>
      <c r="H184" s="77">
        <f>SUMIFS('Renew &amp; Vac'!$S$53:$S$67,'Renew &amp; Vac'!$L$53:$L$67,$B184,'Renew &amp; Vac'!$O$53:$O$67,"&lt;="&amp;H$183,'Renew &amp; Vac'!$P$53:$P$67,"&gt;="&amp;H$183)+SUMIFS('Renew &amp; Vac'!$H$53:$H$67,'Renew &amp; Vac'!$A$53:$A$67,$B184,'Renew &amp; Vac'!$D$53:$D$67,"&lt;="&amp;H$183,'Renew &amp; Vac'!$E$53:$E$67,"&gt;="&amp;H$183)</f>
        <v>0</v>
      </c>
      <c r="I184" s="77">
        <f>SUMIFS('Renew &amp; Vac'!$S$53:$S$67,'Renew &amp; Vac'!$L$53:$L$67,$B184,'Renew &amp; Vac'!$O$53:$O$67,"&lt;="&amp;I$183,'Renew &amp; Vac'!$P$53:$P$67,"&gt;="&amp;I$183)+SUMIFS('Renew &amp; Vac'!$H$53:$H$67,'Renew &amp; Vac'!$A$53:$A$67,$B184,'Renew &amp; Vac'!$D$53:$D$67,"&lt;="&amp;I$183,'Renew &amp; Vac'!$E$53:$E$67,"&gt;="&amp;I$183)</f>
        <v>0</v>
      </c>
      <c r="J184" s="77">
        <f>SUMIFS('Renew &amp; Vac'!$S$53:$S$67,'Renew &amp; Vac'!$L$53:$L$67,$B184,'Renew &amp; Vac'!$O$53:$O$67,"&lt;="&amp;J$183,'Renew &amp; Vac'!$P$53:$P$67,"&gt;="&amp;J$183)+SUMIFS('Renew &amp; Vac'!$H$53:$H$67,'Renew &amp; Vac'!$A$53:$A$67,$B184,'Renew &amp; Vac'!$D$53:$D$67,"&lt;="&amp;J$183,'Renew &amp; Vac'!$E$53:$E$67,"&gt;="&amp;J$183)</f>
        <v>0</v>
      </c>
      <c r="K184" s="77">
        <f>SUMIFS('Renew &amp; Vac'!$S$53:$S$67,'Renew &amp; Vac'!$L$53:$L$67,$B184,'Renew &amp; Vac'!$O$53:$O$67,"&lt;="&amp;K$183,'Renew &amp; Vac'!$P$53:$P$67,"&gt;="&amp;K$183)+SUMIFS('Renew &amp; Vac'!$H$53:$H$67,'Renew &amp; Vac'!$A$53:$A$67,$B184,'Renew &amp; Vac'!$D$53:$D$67,"&lt;="&amp;K$183,'Renew &amp; Vac'!$E$53:$E$67,"&gt;="&amp;K$183)</f>
        <v>0</v>
      </c>
      <c r="L184" s="77">
        <f>SUMIFS('Renew &amp; Vac'!$S$53:$S$67,'Renew &amp; Vac'!$L$53:$L$67,$B184,'Renew &amp; Vac'!$O$53:$O$67,"&lt;="&amp;L$183,'Renew &amp; Vac'!$P$53:$P$67,"&gt;="&amp;L$183)+SUMIFS('Renew &amp; Vac'!$H$53:$H$67,'Renew &amp; Vac'!$A$53:$A$67,$B184,'Renew &amp; Vac'!$D$53:$D$67,"&lt;="&amp;L$183,'Renew &amp; Vac'!$E$53:$E$67,"&gt;="&amp;L$183)</f>
        <v>0</v>
      </c>
      <c r="M184" s="77">
        <f>SUMIFS('Renew &amp; Vac'!$S$53:$S$67,'Renew &amp; Vac'!$L$53:$L$67,$B184,'Renew &amp; Vac'!$O$53:$O$67,"&lt;="&amp;M$183,'Renew &amp; Vac'!$P$53:$P$67,"&gt;="&amp;M$183)+SUMIFS('Renew &amp; Vac'!$H$53:$H$67,'Renew &amp; Vac'!$A$53:$A$67,$B184,'Renew &amp; Vac'!$D$53:$D$67,"&lt;="&amp;M$183,'Renew &amp; Vac'!$E$53:$E$67,"&gt;="&amp;M$183)</f>
        <v>0</v>
      </c>
      <c r="N184" s="77">
        <f>SUMIFS('Renew &amp; Vac'!$S$53:$S$67,'Renew &amp; Vac'!$L$53:$L$67,$B184,'Renew &amp; Vac'!$O$53:$O$67,"&lt;="&amp;N$183,'Renew &amp; Vac'!$P$53:$P$67,"&gt;="&amp;N$183)+SUMIFS('Renew &amp; Vac'!$H$53:$H$67,'Renew &amp; Vac'!$A$53:$A$67,$B184,'Renew &amp; Vac'!$D$53:$D$67,"&lt;="&amp;N$183,'Renew &amp; Vac'!$E$53:$E$67,"&gt;="&amp;N$183)</f>
        <v>0</v>
      </c>
      <c r="O184" s="77">
        <f>SUMIFS('Renew &amp; Vac'!$S$53:$S$67,'Renew &amp; Vac'!$L$53:$L$67,$B184,'Renew &amp; Vac'!$O$53:$O$67,"&lt;="&amp;O$183,'Renew &amp; Vac'!$P$53:$P$67,"&gt;="&amp;O$183)+SUMIFS('Renew &amp; Vac'!$H$53:$H$67,'Renew &amp; Vac'!$A$53:$A$67,$B184,'Renew &amp; Vac'!$D$53:$D$67,"&lt;="&amp;O$183,'Renew &amp; Vac'!$E$53:$E$67,"&gt;="&amp;O$183)</f>
        <v>0</v>
      </c>
      <c r="P184" s="77">
        <f>SUMIFS('Renew &amp; Vac'!$S$53:$S$67,'Renew &amp; Vac'!$L$53:$L$67,$B184,'Renew &amp; Vac'!$O$53:$O$67,"&lt;="&amp;P$183,'Renew &amp; Vac'!$P$53:$P$67,"&gt;="&amp;P$183)+SUMIFS('Renew &amp; Vac'!$H$53:$H$67,'Renew &amp; Vac'!$A$53:$A$67,$B184,'Renew &amp; Vac'!$D$53:$D$67,"&lt;="&amp;P$183,'Renew &amp; Vac'!$E$53:$E$67,"&gt;="&amp;P$183)</f>
        <v>0</v>
      </c>
      <c r="Q184" s="36">
        <f>SUM(E184:P184)</f>
        <v>0</v>
      </c>
      <c r="T184" s="34"/>
      <c r="U184" s="34"/>
    </row>
    <row r="185" spans="2:21" outlineLevel="1" x14ac:dyDescent="0.35">
      <c r="B185" s="127" t="str">
        <f t="shared" si="44"/>
        <v>4070-107</v>
      </c>
      <c r="D185" s="34" t="str">
        <f>IFERROR(VLOOKUP(B185,'Renew &amp; Vac'!$A$53:$B$67,2,FALSE),IFERROR(VLOOKUP(B185,'Renew &amp; Vac'!$L$53:$M$67,2,FALSE),VLOOKUP(B185,$B$162:$D$178,3,FALSE)))</f>
        <v>OSSV Management</v>
      </c>
      <c r="E185" s="34">
        <f>SUMIFS('Renew &amp; Vac'!$S$53:$S$67,'Renew &amp; Vac'!$L$53:$L$67,$B185,'Renew &amp; Vac'!$O$53:$O$67,"&lt;="&amp;E$183,'Renew &amp; Vac'!$P$53:$P$67,"&gt;="&amp;E$183)+SUMIFS('Renew &amp; Vac'!$H$53:$H$67,'Renew &amp; Vac'!$A$53:$A$67,$B185,'Renew &amp; Vac'!$D$53:$D$67,"&lt;="&amp;E$183,'Renew &amp; Vac'!$E$53:$E$67,"&gt;="&amp;E$183)</f>
        <v>0</v>
      </c>
      <c r="F185" s="34">
        <f>SUMIFS('Renew &amp; Vac'!$S$53:$S$67,'Renew &amp; Vac'!$L$53:$L$67,$B185,'Renew &amp; Vac'!$O$53:$O$67,"&lt;="&amp;F$183,'Renew &amp; Vac'!$P$53:$P$67,"&gt;="&amp;F$183)+SUMIFS('Renew &amp; Vac'!$H$53:$H$67,'Renew &amp; Vac'!$A$53:$A$67,$B185,'Renew &amp; Vac'!$D$53:$D$67,"&lt;="&amp;F$183,'Renew &amp; Vac'!$E$53:$E$67,"&gt;="&amp;F$183)</f>
        <v>0</v>
      </c>
      <c r="G185" s="34">
        <f>SUMIFS('Renew &amp; Vac'!$S$53:$S$67,'Renew &amp; Vac'!$L$53:$L$67,$B185,'Renew &amp; Vac'!$O$53:$O$67,"&lt;="&amp;G$183,'Renew &amp; Vac'!$P$53:$P$67,"&gt;="&amp;G$183)+SUMIFS('Renew &amp; Vac'!$H$53:$H$67,'Renew &amp; Vac'!$A$53:$A$67,$B185,'Renew &amp; Vac'!$D$53:$D$67,"&lt;="&amp;G$183,'Renew &amp; Vac'!$E$53:$E$67,"&gt;="&amp;G$183)</f>
        <v>0</v>
      </c>
      <c r="H185" s="34">
        <f>SUMIFS('Renew &amp; Vac'!$S$53:$S$67,'Renew &amp; Vac'!$L$53:$L$67,$B185,'Renew &amp; Vac'!$O$53:$O$67,"&lt;="&amp;H$183,'Renew &amp; Vac'!$P$53:$P$67,"&gt;="&amp;H$183)+SUMIFS('Renew &amp; Vac'!$H$53:$H$67,'Renew &amp; Vac'!$A$53:$A$67,$B185,'Renew &amp; Vac'!$D$53:$D$67,"&lt;="&amp;H$183,'Renew &amp; Vac'!$E$53:$E$67,"&gt;="&amp;H$183)</f>
        <v>0</v>
      </c>
      <c r="I185" s="34">
        <f>SUMIFS('Renew &amp; Vac'!$S$53:$S$67,'Renew &amp; Vac'!$L$53:$L$67,$B185,'Renew &amp; Vac'!$O$53:$O$67,"&lt;="&amp;I$183,'Renew &amp; Vac'!$P$53:$P$67,"&gt;="&amp;I$183)+SUMIFS('Renew &amp; Vac'!$H$53:$H$67,'Renew &amp; Vac'!$A$53:$A$67,$B185,'Renew &amp; Vac'!$D$53:$D$67,"&lt;="&amp;I$183,'Renew &amp; Vac'!$E$53:$E$67,"&gt;="&amp;I$183)</f>
        <v>0</v>
      </c>
      <c r="J185" s="34">
        <f>SUMIFS('Renew &amp; Vac'!$S$53:$S$67,'Renew &amp; Vac'!$L$53:$L$67,$B185,'Renew &amp; Vac'!$O$53:$O$67,"&lt;="&amp;J$183,'Renew &amp; Vac'!$P$53:$P$67,"&gt;="&amp;J$183)+SUMIFS('Renew &amp; Vac'!$H$53:$H$67,'Renew &amp; Vac'!$A$53:$A$67,$B185,'Renew &amp; Vac'!$D$53:$D$67,"&lt;="&amp;J$183,'Renew &amp; Vac'!$E$53:$E$67,"&gt;="&amp;J$183)</f>
        <v>0</v>
      </c>
      <c r="K185" s="34">
        <f>SUMIFS('Renew &amp; Vac'!$S$53:$S$67,'Renew &amp; Vac'!$L$53:$L$67,$B185,'Renew &amp; Vac'!$O$53:$O$67,"&lt;="&amp;K$183,'Renew &amp; Vac'!$P$53:$P$67,"&gt;="&amp;K$183)+SUMIFS('Renew &amp; Vac'!$H$53:$H$67,'Renew &amp; Vac'!$A$53:$A$67,$B185,'Renew &amp; Vac'!$D$53:$D$67,"&lt;="&amp;K$183,'Renew &amp; Vac'!$E$53:$E$67,"&gt;="&amp;K$183)</f>
        <v>0</v>
      </c>
      <c r="L185" s="34">
        <f>SUMIFS('Renew &amp; Vac'!$S$53:$S$67,'Renew &amp; Vac'!$L$53:$L$67,$B185,'Renew &amp; Vac'!$O$53:$O$67,"&lt;="&amp;L$183,'Renew &amp; Vac'!$P$53:$P$67,"&gt;="&amp;L$183)+SUMIFS('Renew &amp; Vac'!$H$53:$H$67,'Renew &amp; Vac'!$A$53:$A$67,$B185,'Renew &amp; Vac'!$D$53:$D$67,"&lt;="&amp;L$183,'Renew &amp; Vac'!$E$53:$E$67,"&gt;="&amp;L$183)</f>
        <v>0</v>
      </c>
      <c r="M185" s="34">
        <f>SUMIFS('Renew &amp; Vac'!$S$53:$S$67,'Renew &amp; Vac'!$L$53:$L$67,$B185,'Renew &amp; Vac'!$O$53:$O$67,"&lt;="&amp;M$183,'Renew &amp; Vac'!$P$53:$P$67,"&gt;="&amp;M$183)+SUMIFS('Renew &amp; Vac'!$H$53:$H$67,'Renew &amp; Vac'!$A$53:$A$67,$B185,'Renew &amp; Vac'!$D$53:$D$67,"&lt;="&amp;M$183,'Renew &amp; Vac'!$E$53:$E$67,"&gt;="&amp;M$183)</f>
        <v>0</v>
      </c>
      <c r="N185" s="34">
        <f>SUMIFS('Renew &amp; Vac'!$S$53:$S$67,'Renew &amp; Vac'!$L$53:$L$67,$B185,'Renew &amp; Vac'!$O$53:$O$67,"&lt;="&amp;N$183,'Renew &amp; Vac'!$P$53:$P$67,"&gt;="&amp;N$183)+SUMIFS('Renew &amp; Vac'!$H$53:$H$67,'Renew &amp; Vac'!$A$53:$A$67,$B185,'Renew &amp; Vac'!$D$53:$D$67,"&lt;="&amp;N$183,'Renew &amp; Vac'!$E$53:$E$67,"&gt;="&amp;N$183)</f>
        <v>0</v>
      </c>
      <c r="O185" s="34">
        <f>SUMIFS('Renew &amp; Vac'!$S$53:$S$67,'Renew &amp; Vac'!$L$53:$L$67,$B185,'Renew &amp; Vac'!$O$53:$O$67,"&lt;="&amp;O$183,'Renew &amp; Vac'!$P$53:$P$67,"&gt;="&amp;O$183)+SUMIFS('Renew &amp; Vac'!$H$53:$H$67,'Renew &amp; Vac'!$A$53:$A$67,$B185,'Renew &amp; Vac'!$D$53:$D$67,"&lt;="&amp;O$183,'Renew &amp; Vac'!$E$53:$E$67,"&gt;="&amp;O$183)</f>
        <v>0</v>
      </c>
      <c r="P185" s="34">
        <f>SUMIFS('Renew &amp; Vac'!$S$53:$S$67,'Renew &amp; Vac'!$L$53:$L$67,$B185,'Renew &amp; Vac'!$O$53:$O$67,"&lt;="&amp;P$183,'Renew &amp; Vac'!$P$53:$P$67,"&gt;="&amp;P$183)+SUMIFS('Renew &amp; Vac'!$H$53:$H$67,'Renew &amp; Vac'!$A$53:$A$67,$B185,'Renew &amp; Vac'!$D$53:$D$67,"&lt;="&amp;P$183,'Renew &amp; Vac'!$E$53:$E$67,"&gt;="&amp;P$183)</f>
        <v>2239.625</v>
      </c>
      <c r="Q185" s="36">
        <f t="shared" ref="Q185:Q200" si="45">SUM(E185:P185)</f>
        <v>2239.625</v>
      </c>
    </row>
    <row r="186" spans="2:21" outlineLevel="1" x14ac:dyDescent="0.35">
      <c r="B186" s="127" t="str">
        <f t="shared" si="44"/>
        <v>4070-113</v>
      </c>
      <c r="D186" s="34" t="str">
        <f>IFERROR(VLOOKUP(B186,'Renew &amp; Vac'!$A$53:$B$67,2,FALSE),IFERROR(VLOOKUP(B186,'Renew &amp; Vac'!$L$53:$M$67,2,FALSE),VLOOKUP(B186,$B$162:$D$178,3,FALSE)))</f>
        <v>McQuoid Financial Group, Inc.</v>
      </c>
      <c r="E186" s="34">
        <f>SUMIFS('Renew &amp; Vac'!$S$53:$S$67,'Renew &amp; Vac'!$L$53:$L$67,$B186,'Renew &amp; Vac'!$O$53:$O$67,"&lt;="&amp;E$183,'Renew &amp; Vac'!$P$53:$P$67,"&gt;="&amp;E$183)+SUMIFS('Renew &amp; Vac'!$H$53:$H$67,'Renew &amp; Vac'!$A$53:$A$67,$B186,'Renew &amp; Vac'!$D$53:$D$67,"&lt;="&amp;E$183,'Renew &amp; Vac'!$E$53:$E$67,"&gt;="&amp;E$183)</f>
        <v>0</v>
      </c>
      <c r="F186" s="34">
        <f>SUMIFS('Renew &amp; Vac'!$S$53:$S$67,'Renew &amp; Vac'!$L$53:$L$67,$B186,'Renew &amp; Vac'!$O$53:$O$67,"&lt;="&amp;F$183,'Renew &amp; Vac'!$P$53:$P$67,"&gt;="&amp;F$183)+SUMIFS('Renew &amp; Vac'!$H$53:$H$67,'Renew &amp; Vac'!$A$53:$A$67,$B186,'Renew &amp; Vac'!$D$53:$D$67,"&lt;="&amp;F$183,'Renew &amp; Vac'!$E$53:$E$67,"&gt;="&amp;F$183)</f>
        <v>0</v>
      </c>
      <c r="G186" s="34">
        <f>SUMIFS('Renew &amp; Vac'!$S$53:$S$67,'Renew &amp; Vac'!$L$53:$L$67,$B186,'Renew &amp; Vac'!$O$53:$O$67,"&lt;="&amp;G$183,'Renew &amp; Vac'!$P$53:$P$67,"&gt;="&amp;G$183)+SUMIFS('Renew &amp; Vac'!$H$53:$H$67,'Renew &amp; Vac'!$A$53:$A$67,$B186,'Renew &amp; Vac'!$D$53:$D$67,"&lt;="&amp;G$183,'Renew &amp; Vac'!$E$53:$E$67,"&gt;="&amp;G$183)</f>
        <v>0</v>
      </c>
      <c r="H186" s="34">
        <f>SUMIFS('Renew &amp; Vac'!$S$53:$S$67,'Renew &amp; Vac'!$L$53:$L$67,$B186,'Renew &amp; Vac'!$O$53:$O$67,"&lt;="&amp;H$183,'Renew &amp; Vac'!$P$53:$P$67,"&gt;="&amp;H$183)+SUMIFS('Renew &amp; Vac'!$H$53:$H$67,'Renew &amp; Vac'!$A$53:$A$67,$B186,'Renew &amp; Vac'!$D$53:$D$67,"&lt;="&amp;H$183,'Renew &amp; Vac'!$E$53:$E$67,"&gt;="&amp;H$183)</f>
        <v>0</v>
      </c>
      <c r="I186" s="34">
        <f>SUMIFS('Renew &amp; Vac'!$S$53:$S$67,'Renew &amp; Vac'!$L$53:$L$67,$B186,'Renew &amp; Vac'!$O$53:$O$67,"&lt;="&amp;I$183,'Renew &amp; Vac'!$P$53:$P$67,"&gt;="&amp;I$183)+SUMIFS('Renew &amp; Vac'!$H$53:$H$67,'Renew &amp; Vac'!$A$53:$A$67,$B186,'Renew &amp; Vac'!$D$53:$D$67,"&lt;="&amp;I$183,'Renew &amp; Vac'!$E$53:$E$67,"&gt;="&amp;I$183)</f>
        <v>0</v>
      </c>
      <c r="J186" s="34">
        <f>SUMIFS('Renew &amp; Vac'!$S$53:$S$67,'Renew &amp; Vac'!$L$53:$L$67,$B186,'Renew &amp; Vac'!$O$53:$O$67,"&lt;="&amp;J$183,'Renew &amp; Vac'!$P$53:$P$67,"&gt;="&amp;J$183)+SUMIFS('Renew &amp; Vac'!$H$53:$H$67,'Renew &amp; Vac'!$A$53:$A$67,$B186,'Renew &amp; Vac'!$D$53:$D$67,"&lt;="&amp;J$183,'Renew &amp; Vac'!$E$53:$E$67,"&gt;="&amp;J$183)</f>
        <v>0</v>
      </c>
      <c r="K186" s="34">
        <f>SUMIFS('Renew &amp; Vac'!$S$53:$S$67,'Renew &amp; Vac'!$L$53:$L$67,$B186,'Renew &amp; Vac'!$O$53:$O$67,"&lt;="&amp;K$183,'Renew &amp; Vac'!$P$53:$P$67,"&gt;="&amp;K$183)+SUMIFS('Renew &amp; Vac'!$H$53:$H$67,'Renew &amp; Vac'!$A$53:$A$67,$B186,'Renew &amp; Vac'!$D$53:$D$67,"&lt;="&amp;K$183,'Renew &amp; Vac'!$E$53:$E$67,"&gt;="&amp;K$183)</f>
        <v>0</v>
      </c>
      <c r="L186" s="34">
        <f>SUMIFS('Renew &amp; Vac'!$S$53:$S$67,'Renew &amp; Vac'!$L$53:$L$67,$B186,'Renew &amp; Vac'!$O$53:$O$67,"&lt;="&amp;L$183,'Renew &amp; Vac'!$P$53:$P$67,"&gt;="&amp;L$183)+SUMIFS('Renew &amp; Vac'!$H$53:$H$67,'Renew &amp; Vac'!$A$53:$A$67,$B186,'Renew &amp; Vac'!$D$53:$D$67,"&lt;="&amp;L$183,'Renew &amp; Vac'!$E$53:$E$67,"&gt;="&amp;L$183)</f>
        <v>0</v>
      </c>
      <c r="M186" s="34">
        <f>SUMIFS('Renew &amp; Vac'!$S$53:$S$67,'Renew &amp; Vac'!$L$53:$L$67,$B186,'Renew &amp; Vac'!$O$53:$O$67,"&lt;="&amp;M$183,'Renew &amp; Vac'!$P$53:$P$67,"&gt;="&amp;M$183)+SUMIFS('Renew &amp; Vac'!$H$53:$H$67,'Renew &amp; Vac'!$A$53:$A$67,$B186,'Renew &amp; Vac'!$D$53:$D$67,"&lt;="&amp;M$183,'Renew &amp; Vac'!$E$53:$E$67,"&gt;="&amp;M$183)</f>
        <v>0</v>
      </c>
      <c r="N186" s="34">
        <f>SUMIFS('Renew &amp; Vac'!$S$53:$S$67,'Renew &amp; Vac'!$L$53:$L$67,$B186,'Renew &amp; Vac'!$O$53:$O$67,"&lt;="&amp;N$183,'Renew &amp; Vac'!$P$53:$P$67,"&gt;="&amp;N$183)+SUMIFS('Renew &amp; Vac'!$H$53:$H$67,'Renew &amp; Vac'!$A$53:$A$67,$B186,'Renew &amp; Vac'!$D$53:$D$67,"&lt;="&amp;N$183,'Renew &amp; Vac'!$E$53:$E$67,"&gt;="&amp;N$183)</f>
        <v>0</v>
      </c>
      <c r="O186" s="34">
        <f>SUMIFS('Renew &amp; Vac'!$S$53:$S$67,'Renew &amp; Vac'!$L$53:$L$67,$B186,'Renew &amp; Vac'!$O$53:$O$67,"&lt;="&amp;O$183,'Renew &amp; Vac'!$P$53:$P$67,"&gt;="&amp;O$183)+SUMIFS('Renew &amp; Vac'!$H$53:$H$67,'Renew &amp; Vac'!$A$53:$A$67,$B186,'Renew &amp; Vac'!$D$53:$D$67,"&lt;="&amp;O$183,'Renew &amp; Vac'!$E$53:$E$67,"&gt;="&amp;O$183)</f>
        <v>0</v>
      </c>
      <c r="P186" s="34">
        <f>SUMIFS('Renew &amp; Vac'!$S$53:$S$67,'Renew &amp; Vac'!$L$53:$L$67,$B186,'Renew &amp; Vac'!$O$53:$O$67,"&lt;="&amp;P$183,'Renew &amp; Vac'!$P$53:$P$67,"&gt;="&amp;P$183)+SUMIFS('Renew &amp; Vac'!$H$53:$H$67,'Renew &amp; Vac'!$A$53:$A$67,$B186,'Renew &amp; Vac'!$D$53:$D$67,"&lt;="&amp;P$183,'Renew &amp; Vac'!$E$53:$E$67,"&gt;="&amp;P$183)</f>
        <v>0</v>
      </c>
      <c r="Q186" s="36">
        <f t="shared" si="45"/>
        <v>0</v>
      </c>
    </row>
    <row r="187" spans="2:21" outlineLevel="1" x14ac:dyDescent="0.35">
      <c r="B187" s="127" t="str">
        <f t="shared" si="44"/>
        <v>4070-115</v>
      </c>
      <c r="D187" s="34" t="str">
        <f>IFERROR(VLOOKUP(B187,'Renew &amp; Vac'!$A$53:$B$67,2,FALSE),IFERROR(VLOOKUP(B187,'Renew &amp; Vac'!$L$53:$M$67,2,FALSE),VLOOKUP(B187,$B$162:$D$178,3,FALSE)))</f>
        <v>GLT Transportation</v>
      </c>
      <c r="E187" s="34">
        <f>SUMIFS('Renew &amp; Vac'!$S$53:$S$67,'Renew &amp; Vac'!$L$53:$L$67,$B187,'Renew &amp; Vac'!$O$53:$O$67,"&lt;="&amp;E$183,'Renew &amp; Vac'!$P$53:$P$67,"&gt;="&amp;E$183)+SUMIFS('Renew &amp; Vac'!$H$53:$H$67,'Renew &amp; Vac'!$A$53:$A$67,$B187,'Renew &amp; Vac'!$D$53:$D$67,"&lt;="&amp;E$183,'Renew &amp; Vac'!$E$53:$E$67,"&gt;="&amp;E$183)</f>
        <v>2821.6666666666665</v>
      </c>
      <c r="F187" s="34">
        <f>SUMIFS('Renew &amp; Vac'!$S$53:$S$67,'Renew &amp; Vac'!$L$53:$L$67,$B187,'Renew &amp; Vac'!$O$53:$O$67,"&lt;="&amp;F$183,'Renew &amp; Vac'!$P$53:$P$67,"&gt;="&amp;F$183)+SUMIFS('Renew &amp; Vac'!$H$53:$H$67,'Renew &amp; Vac'!$A$53:$A$67,$B187,'Renew &amp; Vac'!$D$53:$D$67,"&lt;="&amp;F$183,'Renew &amp; Vac'!$E$53:$E$67,"&gt;="&amp;F$183)</f>
        <v>2821.6666666666665</v>
      </c>
      <c r="G187" s="34">
        <f>SUMIFS('Renew &amp; Vac'!$S$53:$S$67,'Renew &amp; Vac'!$L$53:$L$67,$B187,'Renew &amp; Vac'!$O$53:$O$67,"&lt;="&amp;G$183,'Renew &amp; Vac'!$P$53:$P$67,"&gt;="&amp;G$183)+SUMIFS('Renew &amp; Vac'!$H$53:$H$67,'Renew &amp; Vac'!$A$53:$A$67,$B187,'Renew &amp; Vac'!$D$53:$D$67,"&lt;="&amp;G$183,'Renew &amp; Vac'!$E$53:$E$67,"&gt;="&amp;G$183)</f>
        <v>2821.6666666666665</v>
      </c>
      <c r="H187" s="34">
        <f>SUMIFS('Renew &amp; Vac'!$S$53:$S$67,'Renew &amp; Vac'!$L$53:$L$67,$B187,'Renew &amp; Vac'!$O$53:$O$67,"&lt;="&amp;H$183,'Renew &amp; Vac'!$P$53:$P$67,"&gt;="&amp;H$183)+SUMIFS('Renew &amp; Vac'!$H$53:$H$67,'Renew &amp; Vac'!$A$53:$A$67,$B187,'Renew &amp; Vac'!$D$53:$D$67,"&lt;="&amp;H$183,'Renew &amp; Vac'!$E$53:$E$67,"&gt;="&amp;H$183)</f>
        <v>2821.6666666666665</v>
      </c>
      <c r="I187" s="34">
        <f>SUMIFS('Renew &amp; Vac'!$S$53:$S$67,'Renew &amp; Vac'!$L$53:$L$67,$B187,'Renew &amp; Vac'!$O$53:$O$67,"&lt;="&amp;I$183,'Renew &amp; Vac'!$P$53:$P$67,"&gt;="&amp;I$183)+SUMIFS('Renew &amp; Vac'!$H$53:$H$67,'Renew &amp; Vac'!$A$53:$A$67,$B187,'Renew &amp; Vac'!$D$53:$D$67,"&lt;="&amp;I$183,'Renew &amp; Vac'!$E$53:$E$67,"&gt;="&amp;I$183)</f>
        <v>2821.6666666666665</v>
      </c>
      <c r="J187" s="34">
        <f>SUMIFS('Renew &amp; Vac'!$S$53:$S$67,'Renew &amp; Vac'!$L$53:$L$67,$B187,'Renew &amp; Vac'!$O$53:$O$67,"&lt;="&amp;J$183,'Renew &amp; Vac'!$P$53:$P$67,"&gt;="&amp;J$183)+SUMIFS('Renew &amp; Vac'!$H$53:$H$67,'Renew &amp; Vac'!$A$53:$A$67,$B187,'Renew &amp; Vac'!$D$53:$D$67,"&lt;="&amp;J$183,'Renew &amp; Vac'!$E$53:$E$67,"&gt;="&amp;J$183)</f>
        <v>2821.6666666666665</v>
      </c>
      <c r="K187" s="34">
        <f>SUMIFS('Renew &amp; Vac'!$S$53:$S$67,'Renew &amp; Vac'!$L$53:$L$67,$B187,'Renew &amp; Vac'!$O$53:$O$67,"&lt;="&amp;K$183,'Renew &amp; Vac'!$P$53:$P$67,"&gt;="&amp;K$183)+SUMIFS('Renew &amp; Vac'!$H$53:$H$67,'Renew &amp; Vac'!$A$53:$A$67,$B187,'Renew &amp; Vac'!$D$53:$D$67,"&lt;="&amp;K$183,'Renew &amp; Vac'!$E$53:$E$67,"&gt;="&amp;K$183)</f>
        <v>2821.6666666666665</v>
      </c>
      <c r="L187" s="34">
        <f>SUMIFS('Renew &amp; Vac'!$S$53:$S$67,'Renew &amp; Vac'!$L$53:$L$67,$B187,'Renew &amp; Vac'!$O$53:$O$67,"&lt;="&amp;L$183,'Renew &amp; Vac'!$P$53:$P$67,"&gt;="&amp;L$183)+SUMIFS('Renew &amp; Vac'!$H$53:$H$67,'Renew &amp; Vac'!$A$53:$A$67,$B187,'Renew &amp; Vac'!$D$53:$D$67,"&lt;="&amp;L$183,'Renew &amp; Vac'!$E$53:$E$67,"&gt;="&amp;L$183)</f>
        <v>2821.6666666666665</v>
      </c>
      <c r="M187" s="34">
        <f>SUMIFS('Renew &amp; Vac'!$S$53:$S$67,'Renew &amp; Vac'!$L$53:$L$67,$B187,'Renew &amp; Vac'!$O$53:$O$67,"&lt;="&amp;M$183,'Renew &amp; Vac'!$P$53:$P$67,"&gt;="&amp;M$183)+SUMIFS('Renew &amp; Vac'!$H$53:$H$67,'Renew &amp; Vac'!$A$53:$A$67,$B187,'Renew &amp; Vac'!$D$53:$D$67,"&lt;="&amp;M$183,'Renew &amp; Vac'!$E$53:$E$67,"&gt;="&amp;M$183)</f>
        <v>2821.6666666666665</v>
      </c>
      <c r="N187" s="34">
        <f>SUMIFS('Renew &amp; Vac'!$S$53:$S$67,'Renew &amp; Vac'!$L$53:$L$67,$B187,'Renew &amp; Vac'!$O$53:$O$67,"&lt;="&amp;N$183,'Renew &amp; Vac'!$P$53:$P$67,"&gt;="&amp;N$183)+SUMIFS('Renew &amp; Vac'!$H$53:$H$67,'Renew &amp; Vac'!$A$53:$A$67,$B187,'Renew &amp; Vac'!$D$53:$D$67,"&lt;="&amp;N$183,'Renew &amp; Vac'!$E$53:$E$67,"&gt;="&amp;N$183)</f>
        <v>2821.6666666666665</v>
      </c>
      <c r="O187" s="34">
        <f>SUMIFS('Renew &amp; Vac'!$S$53:$S$67,'Renew &amp; Vac'!$L$53:$L$67,$B187,'Renew &amp; Vac'!$O$53:$O$67,"&lt;="&amp;O$183,'Renew &amp; Vac'!$P$53:$P$67,"&gt;="&amp;O$183)+SUMIFS('Renew &amp; Vac'!$H$53:$H$67,'Renew &amp; Vac'!$A$53:$A$67,$B187,'Renew &amp; Vac'!$D$53:$D$67,"&lt;="&amp;O$183,'Renew &amp; Vac'!$E$53:$E$67,"&gt;="&amp;O$183)</f>
        <v>2821.6666666666665</v>
      </c>
      <c r="P187" s="34">
        <f>SUMIFS('Renew &amp; Vac'!$S$53:$S$67,'Renew &amp; Vac'!$L$53:$L$67,$B187,'Renew &amp; Vac'!$O$53:$O$67,"&lt;="&amp;P$183,'Renew &amp; Vac'!$P$53:$P$67,"&gt;="&amp;P$183)+SUMIFS('Renew &amp; Vac'!$H$53:$H$67,'Renew &amp; Vac'!$A$53:$A$67,$B187,'Renew &amp; Vac'!$D$53:$D$67,"&lt;="&amp;P$183,'Renew &amp; Vac'!$E$53:$E$67,"&gt;="&amp;P$183)</f>
        <v>0</v>
      </c>
      <c r="Q187" s="36">
        <f t="shared" si="45"/>
        <v>31038.333333333339</v>
      </c>
    </row>
    <row r="188" spans="2:21" outlineLevel="1" x14ac:dyDescent="0.35">
      <c r="B188" s="127" t="str">
        <f t="shared" si="44"/>
        <v>4070-116</v>
      </c>
      <c r="D188" s="34" t="str">
        <f>IFERROR(VLOOKUP(B188,'Renew &amp; Vac'!$A$53:$B$67,2,FALSE),IFERROR(VLOOKUP(B188,'Renew &amp; Vac'!$L$53:$M$67,2,FALSE),VLOOKUP(B188,$B$162:$D$178,3,FALSE)))</f>
        <v>Rothkoff Law Group, P.C.</v>
      </c>
      <c r="E188" s="34">
        <f>SUMIFS('Renew &amp; Vac'!$S$53:$S$67,'Renew &amp; Vac'!$L$53:$L$67,$B188,'Renew &amp; Vac'!$O$53:$O$67,"&lt;="&amp;E$183,'Renew &amp; Vac'!$P$53:$P$67,"&gt;="&amp;E$183)+SUMIFS('Renew &amp; Vac'!$H$53:$H$67,'Renew &amp; Vac'!$A$53:$A$67,$B188,'Renew &amp; Vac'!$D$53:$D$67,"&lt;="&amp;E$183,'Renew &amp; Vac'!$E$53:$E$67,"&gt;="&amp;E$183)</f>
        <v>0</v>
      </c>
      <c r="F188" s="34">
        <f>SUMIFS('Renew &amp; Vac'!$S$53:$S$67,'Renew &amp; Vac'!$L$53:$L$67,$B188,'Renew &amp; Vac'!$O$53:$O$67,"&lt;="&amp;F$183,'Renew &amp; Vac'!$P$53:$P$67,"&gt;="&amp;F$183)+SUMIFS('Renew &amp; Vac'!$H$53:$H$67,'Renew &amp; Vac'!$A$53:$A$67,$B188,'Renew &amp; Vac'!$D$53:$D$67,"&lt;="&amp;F$183,'Renew &amp; Vac'!$E$53:$E$67,"&gt;="&amp;F$183)</f>
        <v>0</v>
      </c>
      <c r="G188" s="34">
        <f>SUMIFS('Renew &amp; Vac'!$S$53:$S$67,'Renew &amp; Vac'!$L$53:$L$67,$B188,'Renew &amp; Vac'!$O$53:$O$67,"&lt;="&amp;G$183,'Renew &amp; Vac'!$P$53:$P$67,"&gt;="&amp;G$183)+SUMIFS('Renew &amp; Vac'!$H$53:$H$67,'Renew &amp; Vac'!$A$53:$A$67,$B188,'Renew &amp; Vac'!$D$53:$D$67,"&lt;="&amp;G$183,'Renew &amp; Vac'!$E$53:$E$67,"&gt;="&amp;G$183)</f>
        <v>0</v>
      </c>
      <c r="H188" s="34">
        <f>SUMIFS('Renew &amp; Vac'!$S$53:$S$67,'Renew &amp; Vac'!$L$53:$L$67,$B188,'Renew &amp; Vac'!$O$53:$O$67,"&lt;="&amp;H$183,'Renew &amp; Vac'!$P$53:$P$67,"&gt;="&amp;H$183)+SUMIFS('Renew &amp; Vac'!$H$53:$H$67,'Renew &amp; Vac'!$A$53:$A$67,$B188,'Renew &amp; Vac'!$D$53:$D$67,"&lt;="&amp;H$183,'Renew &amp; Vac'!$E$53:$E$67,"&gt;="&amp;H$183)</f>
        <v>0</v>
      </c>
      <c r="I188" s="34">
        <f>SUMIFS('Renew &amp; Vac'!$S$53:$S$67,'Renew &amp; Vac'!$L$53:$L$67,$B188,'Renew &amp; Vac'!$O$53:$O$67,"&lt;="&amp;I$183,'Renew &amp; Vac'!$P$53:$P$67,"&gt;="&amp;I$183)+SUMIFS('Renew &amp; Vac'!$H$53:$H$67,'Renew &amp; Vac'!$A$53:$A$67,$B188,'Renew &amp; Vac'!$D$53:$D$67,"&lt;="&amp;I$183,'Renew &amp; Vac'!$E$53:$E$67,"&gt;="&amp;I$183)</f>
        <v>0</v>
      </c>
      <c r="J188" s="34">
        <f>SUMIFS('Renew &amp; Vac'!$S$53:$S$67,'Renew &amp; Vac'!$L$53:$L$67,$B188,'Renew &amp; Vac'!$O$53:$O$67,"&lt;="&amp;J$183,'Renew &amp; Vac'!$P$53:$P$67,"&gt;="&amp;J$183)+SUMIFS('Renew &amp; Vac'!$H$53:$H$67,'Renew &amp; Vac'!$A$53:$A$67,$B188,'Renew &amp; Vac'!$D$53:$D$67,"&lt;="&amp;J$183,'Renew &amp; Vac'!$E$53:$E$67,"&gt;="&amp;J$183)</f>
        <v>0</v>
      </c>
      <c r="K188" s="34">
        <f>SUMIFS('Renew &amp; Vac'!$S$53:$S$67,'Renew &amp; Vac'!$L$53:$L$67,$B188,'Renew &amp; Vac'!$O$53:$O$67,"&lt;="&amp;K$183,'Renew &amp; Vac'!$P$53:$P$67,"&gt;="&amp;K$183)+SUMIFS('Renew &amp; Vac'!$H$53:$H$67,'Renew &amp; Vac'!$A$53:$A$67,$B188,'Renew &amp; Vac'!$D$53:$D$67,"&lt;="&amp;K$183,'Renew &amp; Vac'!$E$53:$E$67,"&gt;="&amp;K$183)</f>
        <v>0</v>
      </c>
      <c r="L188" s="34">
        <f>SUMIFS('Renew &amp; Vac'!$S$53:$S$67,'Renew &amp; Vac'!$L$53:$L$67,$B188,'Renew &amp; Vac'!$O$53:$O$67,"&lt;="&amp;L$183,'Renew &amp; Vac'!$P$53:$P$67,"&gt;="&amp;L$183)+SUMIFS('Renew &amp; Vac'!$H$53:$H$67,'Renew &amp; Vac'!$A$53:$A$67,$B188,'Renew &amp; Vac'!$D$53:$D$67,"&lt;="&amp;L$183,'Renew &amp; Vac'!$E$53:$E$67,"&gt;="&amp;L$183)</f>
        <v>0</v>
      </c>
      <c r="M188" s="34">
        <f>SUMIFS('Renew &amp; Vac'!$S$53:$S$67,'Renew &amp; Vac'!$L$53:$L$67,$B188,'Renew &amp; Vac'!$O$53:$O$67,"&lt;="&amp;M$183,'Renew &amp; Vac'!$P$53:$P$67,"&gt;="&amp;M$183)+SUMIFS('Renew &amp; Vac'!$H$53:$H$67,'Renew &amp; Vac'!$A$53:$A$67,$B188,'Renew &amp; Vac'!$D$53:$D$67,"&lt;="&amp;M$183,'Renew &amp; Vac'!$E$53:$E$67,"&gt;="&amp;M$183)</f>
        <v>0</v>
      </c>
      <c r="N188" s="34">
        <f>SUMIFS('Renew &amp; Vac'!$S$53:$S$67,'Renew &amp; Vac'!$L$53:$L$67,$B188,'Renew &amp; Vac'!$O$53:$O$67,"&lt;="&amp;N$183,'Renew &amp; Vac'!$P$53:$P$67,"&gt;="&amp;N$183)+SUMIFS('Renew &amp; Vac'!$H$53:$H$67,'Renew &amp; Vac'!$A$53:$A$67,$B188,'Renew &amp; Vac'!$D$53:$D$67,"&lt;="&amp;N$183,'Renew &amp; Vac'!$E$53:$E$67,"&gt;="&amp;N$183)</f>
        <v>0</v>
      </c>
      <c r="O188" s="34">
        <f>SUMIFS('Renew &amp; Vac'!$S$53:$S$67,'Renew &amp; Vac'!$L$53:$L$67,$B188,'Renew &amp; Vac'!$O$53:$O$67,"&lt;="&amp;O$183,'Renew &amp; Vac'!$P$53:$P$67,"&gt;="&amp;O$183)+SUMIFS('Renew &amp; Vac'!$H$53:$H$67,'Renew &amp; Vac'!$A$53:$A$67,$B188,'Renew &amp; Vac'!$D$53:$D$67,"&lt;="&amp;O$183,'Renew &amp; Vac'!$E$53:$E$67,"&gt;="&amp;O$183)</f>
        <v>0</v>
      </c>
      <c r="P188" s="34">
        <f>SUMIFS('Renew &amp; Vac'!$S$53:$S$67,'Renew &amp; Vac'!$L$53:$L$67,$B188,'Renew &amp; Vac'!$O$53:$O$67,"&lt;="&amp;P$183,'Renew &amp; Vac'!$P$53:$P$67,"&gt;="&amp;P$183)+SUMIFS('Renew &amp; Vac'!$H$53:$H$67,'Renew &amp; Vac'!$A$53:$A$67,$B188,'Renew &amp; Vac'!$D$53:$D$67,"&lt;="&amp;P$183,'Renew &amp; Vac'!$E$53:$E$67,"&gt;="&amp;P$183)</f>
        <v>0</v>
      </c>
      <c r="Q188" s="36">
        <f t="shared" si="45"/>
        <v>0</v>
      </c>
    </row>
    <row r="189" spans="2:21" outlineLevel="1" x14ac:dyDescent="0.35">
      <c r="B189" s="127" t="str">
        <f t="shared" si="44"/>
        <v>4070-117</v>
      </c>
      <c r="D189" s="34" t="str">
        <f>IFERROR(VLOOKUP(B189,'Renew &amp; Vac'!$A$53:$B$67,2,FALSE),IFERROR(VLOOKUP(B189,'Renew &amp; Vac'!$L$53:$M$67,2,FALSE),VLOOKUP(B189,$B$162:$D$178,3,FALSE)))</f>
        <v>Belden Brick Sales &amp; Service</v>
      </c>
      <c r="E189" s="34">
        <f>SUMIFS('Renew &amp; Vac'!$S$53:$S$67,'Renew &amp; Vac'!$L$53:$L$67,$B189,'Renew &amp; Vac'!$O$53:$O$67,"&lt;="&amp;E$183,'Renew &amp; Vac'!$P$53:$P$67,"&gt;="&amp;E$183)+SUMIFS('Renew &amp; Vac'!$H$53:$H$67,'Renew &amp; Vac'!$A$53:$A$67,$B189,'Renew &amp; Vac'!$D$53:$D$67,"&lt;="&amp;E$183,'Renew &amp; Vac'!$E$53:$E$67,"&gt;="&amp;E$183)</f>
        <v>0</v>
      </c>
      <c r="F189" s="34">
        <f>SUMIFS('Renew &amp; Vac'!$S$53:$S$67,'Renew &amp; Vac'!$L$53:$L$67,$B189,'Renew &amp; Vac'!$O$53:$O$67,"&lt;="&amp;F$183,'Renew &amp; Vac'!$P$53:$P$67,"&gt;="&amp;F$183)+SUMIFS('Renew &amp; Vac'!$H$53:$H$67,'Renew &amp; Vac'!$A$53:$A$67,$B189,'Renew &amp; Vac'!$D$53:$D$67,"&lt;="&amp;F$183,'Renew &amp; Vac'!$E$53:$E$67,"&gt;="&amp;F$183)</f>
        <v>0</v>
      </c>
      <c r="G189" s="34">
        <f>SUMIFS('Renew &amp; Vac'!$S$53:$S$67,'Renew &amp; Vac'!$L$53:$L$67,$B189,'Renew &amp; Vac'!$O$53:$O$67,"&lt;="&amp;G$183,'Renew &amp; Vac'!$P$53:$P$67,"&gt;="&amp;G$183)+SUMIFS('Renew &amp; Vac'!$H$53:$H$67,'Renew &amp; Vac'!$A$53:$A$67,$B189,'Renew &amp; Vac'!$D$53:$D$67,"&lt;="&amp;G$183,'Renew &amp; Vac'!$E$53:$E$67,"&gt;="&amp;G$183)</f>
        <v>0</v>
      </c>
      <c r="H189" s="34">
        <f>SUMIFS('Renew &amp; Vac'!$S$53:$S$67,'Renew &amp; Vac'!$L$53:$L$67,$B189,'Renew &amp; Vac'!$O$53:$O$67,"&lt;="&amp;H$183,'Renew &amp; Vac'!$P$53:$P$67,"&gt;="&amp;H$183)+SUMIFS('Renew &amp; Vac'!$H$53:$H$67,'Renew &amp; Vac'!$A$53:$A$67,$B189,'Renew &amp; Vac'!$D$53:$D$67,"&lt;="&amp;H$183,'Renew &amp; Vac'!$E$53:$E$67,"&gt;="&amp;H$183)</f>
        <v>0</v>
      </c>
      <c r="I189" s="34">
        <f>SUMIFS('Renew &amp; Vac'!$S$53:$S$67,'Renew &amp; Vac'!$L$53:$L$67,$B189,'Renew &amp; Vac'!$O$53:$O$67,"&lt;="&amp;I$183,'Renew &amp; Vac'!$P$53:$P$67,"&gt;="&amp;I$183)+SUMIFS('Renew &amp; Vac'!$H$53:$H$67,'Renew &amp; Vac'!$A$53:$A$67,$B189,'Renew &amp; Vac'!$D$53:$D$67,"&lt;="&amp;I$183,'Renew &amp; Vac'!$E$53:$E$67,"&gt;="&amp;I$183)</f>
        <v>0</v>
      </c>
      <c r="J189" s="34">
        <f>SUMIFS('Renew &amp; Vac'!$S$53:$S$67,'Renew &amp; Vac'!$L$53:$L$67,$B189,'Renew &amp; Vac'!$O$53:$O$67,"&lt;="&amp;J$183,'Renew &amp; Vac'!$P$53:$P$67,"&gt;="&amp;J$183)+SUMIFS('Renew &amp; Vac'!$H$53:$H$67,'Renew &amp; Vac'!$A$53:$A$67,$B189,'Renew &amp; Vac'!$D$53:$D$67,"&lt;="&amp;J$183,'Renew &amp; Vac'!$E$53:$E$67,"&gt;="&amp;J$183)</f>
        <v>0</v>
      </c>
      <c r="K189" s="34">
        <f>SUMIFS('Renew &amp; Vac'!$S$53:$S$67,'Renew &amp; Vac'!$L$53:$L$67,$B189,'Renew &amp; Vac'!$O$53:$O$67,"&lt;="&amp;K$183,'Renew &amp; Vac'!$P$53:$P$67,"&gt;="&amp;K$183)+SUMIFS('Renew &amp; Vac'!$H$53:$H$67,'Renew &amp; Vac'!$A$53:$A$67,$B189,'Renew &amp; Vac'!$D$53:$D$67,"&lt;="&amp;K$183,'Renew &amp; Vac'!$E$53:$E$67,"&gt;="&amp;K$183)</f>
        <v>0</v>
      </c>
      <c r="L189" s="34">
        <f>SUMIFS('Renew &amp; Vac'!$S$53:$S$67,'Renew &amp; Vac'!$L$53:$L$67,$B189,'Renew &amp; Vac'!$O$53:$O$67,"&lt;="&amp;L$183,'Renew &amp; Vac'!$P$53:$P$67,"&gt;="&amp;L$183)+SUMIFS('Renew &amp; Vac'!$H$53:$H$67,'Renew &amp; Vac'!$A$53:$A$67,$B189,'Renew &amp; Vac'!$D$53:$D$67,"&lt;="&amp;L$183,'Renew &amp; Vac'!$E$53:$E$67,"&gt;="&amp;L$183)</f>
        <v>0</v>
      </c>
      <c r="M189" s="34">
        <f>SUMIFS('Renew &amp; Vac'!$S$53:$S$67,'Renew &amp; Vac'!$L$53:$L$67,$B189,'Renew &amp; Vac'!$O$53:$O$67,"&lt;="&amp;M$183,'Renew &amp; Vac'!$P$53:$P$67,"&gt;="&amp;M$183)+SUMIFS('Renew &amp; Vac'!$H$53:$H$67,'Renew &amp; Vac'!$A$53:$A$67,$B189,'Renew &amp; Vac'!$D$53:$D$67,"&lt;="&amp;M$183,'Renew &amp; Vac'!$E$53:$E$67,"&gt;="&amp;M$183)</f>
        <v>0</v>
      </c>
      <c r="N189" s="34">
        <f>SUMIFS('Renew &amp; Vac'!$S$53:$S$67,'Renew &amp; Vac'!$L$53:$L$67,$B189,'Renew &amp; Vac'!$O$53:$O$67,"&lt;="&amp;N$183,'Renew &amp; Vac'!$P$53:$P$67,"&gt;="&amp;N$183)+SUMIFS('Renew &amp; Vac'!$H$53:$H$67,'Renew &amp; Vac'!$A$53:$A$67,$B189,'Renew &amp; Vac'!$D$53:$D$67,"&lt;="&amp;N$183,'Renew &amp; Vac'!$E$53:$E$67,"&gt;="&amp;N$183)</f>
        <v>0</v>
      </c>
      <c r="O189" s="34">
        <f>SUMIFS('Renew &amp; Vac'!$S$53:$S$67,'Renew &amp; Vac'!$L$53:$L$67,$B189,'Renew &amp; Vac'!$O$53:$O$67,"&lt;="&amp;O$183,'Renew &amp; Vac'!$P$53:$P$67,"&gt;="&amp;O$183)+SUMIFS('Renew &amp; Vac'!$H$53:$H$67,'Renew &amp; Vac'!$A$53:$A$67,$B189,'Renew &amp; Vac'!$D$53:$D$67,"&lt;="&amp;O$183,'Renew &amp; Vac'!$E$53:$E$67,"&gt;="&amp;O$183)</f>
        <v>0</v>
      </c>
      <c r="P189" s="34">
        <f>SUMIFS('Renew &amp; Vac'!$S$53:$S$67,'Renew &amp; Vac'!$L$53:$L$67,$B189,'Renew &amp; Vac'!$O$53:$O$67,"&lt;="&amp;P$183,'Renew &amp; Vac'!$P$53:$P$67,"&gt;="&amp;P$183)+SUMIFS('Renew &amp; Vac'!$H$53:$H$67,'Renew &amp; Vac'!$A$53:$A$67,$B189,'Renew &amp; Vac'!$D$53:$D$67,"&lt;="&amp;P$183,'Renew &amp; Vac'!$E$53:$E$67,"&gt;="&amp;P$183)</f>
        <v>0</v>
      </c>
      <c r="Q189" s="36">
        <f t="shared" si="45"/>
        <v>0</v>
      </c>
    </row>
    <row r="190" spans="2:21" outlineLevel="1" x14ac:dyDescent="0.35">
      <c r="B190" s="127" t="str">
        <f t="shared" si="44"/>
        <v>4070-200</v>
      </c>
      <c r="D190" s="34" t="str">
        <f>IFERROR(VLOOKUP(B190,'Renew &amp; Vac'!$A$53:$B$67,2,FALSE),IFERROR(VLOOKUP(B190,'Renew &amp; Vac'!$L$53:$M$67,2,FALSE),VLOOKUP(B190,$B$162:$D$178,3,FALSE)))</f>
        <v>VACANT</v>
      </c>
      <c r="E190" s="34">
        <f>SUMIFS('Renew &amp; Vac'!$S$53:$S$67,'Renew &amp; Vac'!$L$53:$L$67,$B190,'Renew &amp; Vac'!$O$53:$O$67,"&lt;="&amp;E$183,'Renew &amp; Vac'!$P$53:$P$67,"&gt;="&amp;E$183)+SUMIFS('Renew &amp; Vac'!$H$53:$H$67,'Renew &amp; Vac'!$A$53:$A$67,$B190,'Renew &amp; Vac'!$D$53:$D$67,"&lt;="&amp;E$183,'Renew &amp; Vac'!$E$53:$E$67,"&gt;="&amp;E$183)</f>
        <v>0</v>
      </c>
      <c r="F190" s="34">
        <f>SUMIFS('Renew &amp; Vac'!$S$53:$S$67,'Renew &amp; Vac'!$L$53:$L$67,$B190,'Renew &amp; Vac'!$O$53:$O$67,"&lt;="&amp;F$183,'Renew &amp; Vac'!$P$53:$P$67,"&gt;="&amp;F$183)+SUMIFS('Renew &amp; Vac'!$H$53:$H$67,'Renew &amp; Vac'!$A$53:$A$67,$B190,'Renew &amp; Vac'!$D$53:$D$67,"&lt;="&amp;F$183,'Renew &amp; Vac'!$E$53:$E$67,"&gt;="&amp;F$183)</f>
        <v>0</v>
      </c>
      <c r="G190" s="34">
        <f>SUMIFS('Renew &amp; Vac'!$S$53:$S$67,'Renew &amp; Vac'!$L$53:$L$67,$B190,'Renew &amp; Vac'!$O$53:$O$67,"&lt;="&amp;G$183,'Renew &amp; Vac'!$P$53:$P$67,"&gt;="&amp;G$183)+SUMIFS('Renew &amp; Vac'!$H$53:$H$67,'Renew &amp; Vac'!$A$53:$A$67,$B190,'Renew &amp; Vac'!$D$53:$D$67,"&lt;="&amp;G$183,'Renew &amp; Vac'!$E$53:$E$67,"&gt;="&amp;G$183)</f>
        <v>0</v>
      </c>
      <c r="H190" s="34">
        <f>SUMIFS('Renew &amp; Vac'!$S$53:$S$67,'Renew &amp; Vac'!$L$53:$L$67,$B190,'Renew &amp; Vac'!$O$53:$O$67,"&lt;="&amp;H$183,'Renew &amp; Vac'!$P$53:$P$67,"&gt;="&amp;H$183)+SUMIFS('Renew &amp; Vac'!$H$53:$H$67,'Renew &amp; Vac'!$A$53:$A$67,$B190,'Renew &amp; Vac'!$D$53:$D$67,"&lt;="&amp;H$183,'Renew &amp; Vac'!$E$53:$E$67,"&gt;="&amp;H$183)</f>
        <v>0</v>
      </c>
      <c r="I190" s="34">
        <f>SUMIFS('Renew &amp; Vac'!$S$53:$S$67,'Renew &amp; Vac'!$L$53:$L$67,$B190,'Renew &amp; Vac'!$O$53:$O$67,"&lt;="&amp;I$183,'Renew &amp; Vac'!$P$53:$P$67,"&gt;="&amp;I$183)+SUMIFS('Renew &amp; Vac'!$H$53:$H$67,'Renew &amp; Vac'!$A$53:$A$67,$B190,'Renew &amp; Vac'!$D$53:$D$67,"&lt;="&amp;I$183,'Renew &amp; Vac'!$E$53:$E$67,"&gt;="&amp;I$183)</f>
        <v>0</v>
      </c>
      <c r="J190" s="34">
        <f>SUMIFS('Renew &amp; Vac'!$S$53:$S$67,'Renew &amp; Vac'!$L$53:$L$67,$B190,'Renew &amp; Vac'!$O$53:$O$67,"&lt;="&amp;J$183,'Renew &amp; Vac'!$P$53:$P$67,"&gt;="&amp;J$183)+SUMIFS('Renew &amp; Vac'!$H$53:$H$67,'Renew &amp; Vac'!$A$53:$A$67,$B190,'Renew &amp; Vac'!$D$53:$D$67,"&lt;="&amp;J$183,'Renew &amp; Vac'!$E$53:$E$67,"&gt;="&amp;J$183)</f>
        <v>0</v>
      </c>
      <c r="K190" s="34">
        <f>SUMIFS('Renew &amp; Vac'!$S$53:$S$67,'Renew &amp; Vac'!$L$53:$L$67,$B190,'Renew &amp; Vac'!$O$53:$O$67,"&lt;="&amp;K$183,'Renew &amp; Vac'!$P$53:$P$67,"&gt;="&amp;K$183)+SUMIFS('Renew &amp; Vac'!$H$53:$H$67,'Renew &amp; Vac'!$A$53:$A$67,$B190,'Renew &amp; Vac'!$D$53:$D$67,"&lt;="&amp;K$183,'Renew &amp; Vac'!$E$53:$E$67,"&gt;="&amp;K$183)</f>
        <v>0</v>
      </c>
      <c r="L190" s="34">
        <f>SUMIFS('Renew &amp; Vac'!$S$53:$S$67,'Renew &amp; Vac'!$L$53:$L$67,$B190,'Renew &amp; Vac'!$O$53:$O$67,"&lt;="&amp;L$183,'Renew &amp; Vac'!$P$53:$P$67,"&gt;="&amp;L$183)+SUMIFS('Renew &amp; Vac'!$H$53:$H$67,'Renew &amp; Vac'!$A$53:$A$67,$B190,'Renew &amp; Vac'!$D$53:$D$67,"&lt;="&amp;L$183,'Renew &amp; Vac'!$E$53:$E$67,"&gt;="&amp;L$183)</f>
        <v>0</v>
      </c>
      <c r="M190" s="34">
        <f>SUMIFS('Renew &amp; Vac'!$S$53:$S$67,'Renew &amp; Vac'!$L$53:$L$67,$B190,'Renew &amp; Vac'!$O$53:$O$67,"&lt;="&amp;M$183,'Renew &amp; Vac'!$P$53:$P$67,"&gt;="&amp;M$183)+SUMIFS('Renew &amp; Vac'!$H$53:$H$67,'Renew &amp; Vac'!$A$53:$A$67,$B190,'Renew &amp; Vac'!$D$53:$D$67,"&lt;="&amp;M$183,'Renew &amp; Vac'!$E$53:$E$67,"&gt;="&amp;M$183)</f>
        <v>0</v>
      </c>
      <c r="N190" s="34">
        <f>SUMIFS('Renew &amp; Vac'!$S$53:$S$67,'Renew &amp; Vac'!$L$53:$L$67,$B190,'Renew &amp; Vac'!$O$53:$O$67,"&lt;="&amp;N$183,'Renew &amp; Vac'!$P$53:$P$67,"&gt;="&amp;N$183)+SUMIFS('Renew &amp; Vac'!$H$53:$H$67,'Renew &amp; Vac'!$A$53:$A$67,$B190,'Renew &amp; Vac'!$D$53:$D$67,"&lt;="&amp;N$183,'Renew &amp; Vac'!$E$53:$E$67,"&gt;="&amp;N$183)</f>
        <v>0</v>
      </c>
      <c r="O190" s="34">
        <f>SUMIFS('Renew &amp; Vac'!$S$53:$S$67,'Renew &amp; Vac'!$L$53:$L$67,$B190,'Renew &amp; Vac'!$O$53:$O$67,"&lt;="&amp;O$183,'Renew &amp; Vac'!$P$53:$P$67,"&gt;="&amp;O$183)+SUMIFS('Renew &amp; Vac'!$H$53:$H$67,'Renew &amp; Vac'!$A$53:$A$67,$B190,'Renew &amp; Vac'!$D$53:$D$67,"&lt;="&amp;O$183,'Renew &amp; Vac'!$E$53:$E$67,"&gt;="&amp;O$183)</f>
        <v>0</v>
      </c>
      <c r="P190" s="34">
        <f>SUMIFS('Renew &amp; Vac'!$S$53:$S$67,'Renew &amp; Vac'!$L$53:$L$67,$B190,'Renew &amp; Vac'!$O$53:$O$67,"&lt;="&amp;P$183,'Renew &amp; Vac'!$P$53:$P$67,"&gt;="&amp;P$183)+SUMIFS('Renew &amp; Vac'!$H$53:$H$67,'Renew &amp; Vac'!$A$53:$A$67,$B190,'Renew &amp; Vac'!$D$53:$D$67,"&lt;="&amp;P$183,'Renew &amp; Vac'!$E$53:$E$67,"&gt;="&amp;P$183)</f>
        <v>0</v>
      </c>
      <c r="Q190" s="36">
        <f t="shared" si="45"/>
        <v>0</v>
      </c>
    </row>
    <row r="191" spans="2:21" outlineLevel="1" x14ac:dyDescent="0.35">
      <c r="B191" s="127" t="str">
        <f t="shared" si="44"/>
        <v>4070-201</v>
      </c>
      <c r="D191" s="34" t="str">
        <f>IFERROR(VLOOKUP(B191,'Renew &amp; Vac'!$A$53:$B$67,2,FALSE),IFERROR(VLOOKUP(B191,'Renew &amp; Vac'!$L$53:$M$67,2,FALSE),VLOOKUP(B191,$B$162:$D$178,3,FALSE)))</f>
        <v>Robert Half International, Inc</v>
      </c>
      <c r="E191" s="34">
        <f>SUMIFS('Renew &amp; Vac'!$S$53:$S$67,'Renew &amp; Vac'!$L$53:$L$67,$B191,'Renew &amp; Vac'!$O$53:$O$67,"&lt;="&amp;E$183,'Renew &amp; Vac'!$P$53:$P$67,"&gt;="&amp;E$183)+SUMIFS('Renew &amp; Vac'!$H$53:$H$67,'Renew &amp; Vac'!$A$53:$A$67,$B191,'Renew &amp; Vac'!$D$53:$D$67,"&lt;="&amp;E$183,'Renew &amp; Vac'!$E$53:$E$67,"&gt;="&amp;E$183)</f>
        <v>0</v>
      </c>
      <c r="F191" s="34">
        <f>SUMIFS('Renew &amp; Vac'!$S$53:$S$67,'Renew &amp; Vac'!$L$53:$L$67,$B191,'Renew &amp; Vac'!$O$53:$O$67,"&lt;="&amp;F$183,'Renew &amp; Vac'!$P$53:$P$67,"&gt;="&amp;F$183)+SUMIFS('Renew &amp; Vac'!$H$53:$H$67,'Renew &amp; Vac'!$A$53:$A$67,$B191,'Renew &amp; Vac'!$D$53:$D$67,"&lt;="&amp;F$183,'Renew &amp; Vac'!$E$53:$E$67,"&gt;="&amp;F$183)</f>
        <v>0</v>
      </c>
      <c r="G191" s="34">
        <f>SUMIFS('Renew &amp; Vac'!$S$53:$S$67,'Renew &amp; Vac'!$L$53:$L$67,$B191,'Renew &amp; Vac'!$O$53:$O$67,"&lt;="&amp;G$183,'Renew &amp; Vac'!$P$53:$P$67,"&gt;="&amp;G$183)+SUMIFS('Renew &amp; Vac'!$H$53:$H$67,'Renew &amp; Vac'!$A$53:$A$67,$B191,'Renew &amp; Vac'!$D$53:$D$67,"&lt;="&amp;G$183,'Renew &amp; Vac'!$E$53:$E$67,"&gt;="&amp;G$183)</f>
        <v>0</v>
      </c>
      <c r="H191" s="34">
        <f>SUMIFS('Renew &amp; Vac'!$S$53:$S$67,'Renew &amp; Vac'!$L$53:$L$67,$B191,'Renew &amp; Vac'!$O$53:$O$67,"&lt;="&amp;H$183,'Renew &amp; Vac'!$P$53:$P$67,"&gt;="&amp;H$183)+SUMIFS('Renew &amp; Vac'!$H$53:$H$67,'Renew &amp; Vac'!$A$53:$A$67,$B191,'Renew &amp; Vac'!$D$53:$D$67,"&lt;="&amp;H$183,'Renew &amp; Vac'!$E$53:$E$67,"&gt;="&amp;H$183)</f>
        <v>0</v>
      </c>
      <c r="I191" s="34">
        <f>SUMIFS('Renew &amp; Vac'!$S$53:$S$67,'Renew &amp; Vac'!$L$53:$L$67,$B191,'Renew &amp; Vac'!$O$53:$O$67,"&lt;="&amp;I$183,'Renew &amp; Vac'!$P$53:$P$67,"&gt;="&amp;I$183)+SUMIFS('Renew &amp; Vac'!$H$53:$H$67,'Renew &amp; Vac'!$A$53:$A$67,$B191,'Renew &amp; Vac'!$D$53:$D$67,"&lt;="&amp;I$183,'Renew &amp; Vac'!$E$53:$E$67,"&gt;="&amp;I$183)</f>
        <v>0</v>
      </c>
      <c r="J191" s="34">
        <f>SUMIFS('Renew &amp; Vac'!$S$53:$S$67,'Renew &amp; Vac'!$L$53:$L$67,$B191,'Renew &amp; Vac'!$O$53:$O$67,"&lt;="&amp;J$183,'Renew &amp; Vac'!$P$53:$P$67,"&gt;="&amp;J$183)+SUMIFS('Renew &amp; Vac'!$H$53:$H$67,'Renew &amp; Vac'!$A$53:$A$67,$B191,'Renew &amp; Vac'!$D$53:$D$67,"&lt;="&amp;J$183,'Renew &amp; Vac'!$E$53:$E$67,"&gt;="&amp;J$183)</f>
        <v>0</v>
      </c>
      <c r="K191" s="34">
        <f>SUMIFS('Renew &amp; Vac'!$S$53:$S$67,'Renew &amp; Vac'!$L$53:$L$67,$B191,'Renew &amp; Vac'!$O$53:$O$67,"&lt;="&amp;K$183,'Renew &amp; Vac'!$P$53:$P$67,"&gt;="&amp;K$183)+SUMIFS('Renew &amp; Vac'!$H$53:$H$67,'Renew &amp; Vac'!$A$53:$A$67,$B191,'Renew &amp; Vac'!$D$53:$D$67,"&lt;="&amp;K$183,'Renew &amp; Vac'!$E$53:$E$67,"&gt;="&amp;K$183)</f>
        <v>0</v>
      </c>
      <c r="L191" s="34">
        <f>SUMIFS('Renew &amp; Vac'!$S$53:$S$67,'Renew &amp; Vac'!$L$53:$L$67,$B191,'Renew &amp; Vac'!$O$53:$O$67,"&lt;="&amp;L$183,'Renew &amp; Vac'!$P$53:$P$67,"&gt;="&amp;L$183)+SUMIFS('Renew &amp; Vac'!$H$53:$H$67,'Renew &amp; Vac'!$A$53:$A$67,$B191,'Renew &amp; Vac'!$D$53:$D$67,"&lt;="&amp;L$183,'Renew &amp; Vac'!$E$53:$E$67,"&gt;="&amp;L$183)</f>
        <v>0</v>
      </c>
      <c r="M191" s="34">
        <f>SUMIFS('Renew &amp; Vac'!$S$53:$S$67,'Renew &amp; Vac'!$L$53:$L$67,$B191,'Renew &amp; Vac'!$O$53:$O$67,"&lt;="&amp;M$183,'Renew &amp; Vac'!$P$53:$P$67,"&gt;="&amp;M$183)+SUMIFS('Renew &amp; Vac'!$H$53:$H$67,'Renew &amp; Vac'!$A$53:$A$67,$B191,'Renew &amp; Vac'!$D$53:$D$67,"&lt;="&amp;M$183,'Renew &amp; Vac'!$E$53:$E$67,"&gt;="&amp;M$183)</f>
        <v>0</v>
      </c>
      <c r="N191" s="34">
        <f>SUMIFS('Renew &amp; Vac'!$S$53:$S$67,'Renew &amp; Vac'!$L$53:$L$67,$B191,'Renew &amp; Vac'!$O$53:$O$67,"&lt;="&amp;N$183,'Renew &amp; Vac'!$P$53:$P$67,"&gt;="&amp;N$183)+SUMIFS('Renew &amp; Vac'!$H$53:$H$67,'Renew &amp; Vac'!$A$53:$A$67,$B191,'Renew &amp; Vac'!$D$53:$D$67,"&lt;="&amp;N$183,'Renew &amp; Vac'!$E$53:$E$67,"&gt;="&amp;N$183)</f>
        <v>0</v>
      </c>
      <c r="O191" s="34">
        <f>SUMIFS('Renew &amp; Vac'!$S$53:$S$67,'Renew &amp; Vac'!$L$53:$L$67,$B191,'Renew &amp; Vac'!$O$53:$O$67,"&lt;="&amp;O$183,'Renew &amp; Vac'!$P$53:$P$67,"&gt;="&amp;O$183)+SUMIFS('Renew &amp; Vac'!$H$53:$H$67,'Renew &amp; Vac'!$A$53:$A$67,$B191,'Renew &amp; Vac'!$D$53:$D$67,"&lt;="&amp;O$183,'Renew &amp; Vac'!$E$53:$E$67,"&gt;="&amp;O$183)</f>
        <v>0</v>
      </c>
      <c r="P191" s="34">
        <f>SUMIFS('Renew &amp; Vac'!$S$53:$S$67,'Renew &amp; Vac'!$L$53:$L$67,$B191,'Renew &amp; Vac'!$O$53:$O$67,"&lt;="&amp;P$183,'Renew &amp; Vac'!$P$53:$P$67,"&gt;="&amp;P$183)+SUMIFS('Renew &amp; Vac'!$H$53:$H$67,'Renew &amp; Vac'!$A$53:$A$67,$B191,'Renew &amp; Vac'!$D$53:$D$67,"&lt;="&amp;P$183,'Renew &amp; Vac'!$E$53:$E$67,"&gt;="&amp;P$183)</f>
        <v>0</v>
      </c>
      <c r="Q191" s="36">
        <f t="shared" si="45"/>
        <v>0</v>
      </c>
    </row>
    <row r="192" spans="2:21" outlineLevel="1" x14ac:dyDescent="0.35">
      <c r="B192" s="127" t="str">
        <f t="shared" si="44"/>
        <v>4070-209</v>
      </c>
      <c r="D192" s="34" t="str">
        <f>IFERROR(VLOOKUP(B192,'Renew &amp; Vac'!$A$53:$B$67,2,FALSE),IFERROR(VLOOKUP(B192,'Renew &amp; Vac'!$L$53:$M$67,2,FALSE),VLOOKUP(B192,$B$162:$D$178,3,FALSE)))</f>
        <v>Ryan R. Janis P.C.</v>
      </c>
      <c r="E192" s="34">
        <f>SUMIFS('Renew &amp; Vac'!$S$53:$S$67,'Renew &amp; Vac'!$L$53:$L$67,$B192,'Renew &amp; Vac'!$O$53:$O$67,"&lt;="&amp;E$183,'Renew &amp; Vac'!$P$53:$P$67,"&gt;="&amp;E$183)+SUMIFS('Renew &amp; Vac'!$H$53:$H$67,'Renew &amp; Vac'!$A$53:$A$67,$B192,'Renew &amp; Vac'!$D$53:$D$67,"&lt;="&amp;E$183,'Renew &amp; Vac'!$E$53:$E$67,"&gt;="&amp;E$183)</f>
        <v>0</v>
      </c>
      <c r="F192" s="34">
        <f>SUMIFS('Renew &amp; Vac'!$S$53:$S$67,'Renew &amp; Vac'!$L$53:$L$67,$B192,'Renew &amp; Vac'!$O$53:$O$67,"&lt;="&amp;F$183,'Renew &amp; Vac'!$P$53:$P$67,"&gt;="&amp;F$183)+SUMIFS('Renew &amp; Vac'!$H$53:$H$67,'Renew &amp; Vac'!$A$53:$A$67,$B192,'Renew &amp; Vac'!$D$53:$D$67,"&lt;="&amp;F$183,'Renew &amp; Vac'!$E$53:$E$67,"&gt;="&amp;F$183)</f>
        <v>0</v>
      </c>
      <c r="G192" s="34">
        <f>SUMIFS('Renew &amp; Vac'!$S$53:$S$67,'Renew &amp; Vac'!$L$53:$L$67,$B192,'Renew &amp; Vac'!$O$53:$O$67,"&lt;="&amp;G$183,'Renew &amp; Vac'!$P$53:$P$67,"&gt;="&amp;G$183)+SUMIFS('Renew &amp; Vac'!$H$53:$H$67,'Renew &amp; Vac'!$A$53:$A$67,$B192,'Renew &amp; Vac'!$D$53:$D$67,"&lt;="&amp;G$183,'Renew &amp; Vac'!$E$53:$E$67,"&gt;="&amp;G$183)</f>
        <v>0</v>
      </c>
      <c r="H192" s="34">
        <f>SUMIFS('Renew &amp; Vac'!$S$53:$S$67,'Renew &amp; Vac'!$L$53:$L$67,$B192,'Renew &amp; Vac'!$O$53:$O$67,"&lt;="&amp;H$183,'Renew &amp; Vac'!$P$53:$P$67,"&gt;="&amp;H$183)+SUMIFS('Renew &amp; Vac'!$H$53:$H$67,'Renew &amp; Vac'!$A$53:$A$67,$B192,'Renew &amp; Vac'!$D$53:$D$67,"&lt;="&amp;H$183,'Renew &amp; Vac'!$E$53:$E$67,"&gt;="&amp;H$183)</f>
        <v>0</v>
      </c>
      <c r="I192" s="34">
        <f>SUMIFS('Renew &amp; Vac'!$S$53:$S$67,'Renew &amp; Vac'!$L$53:$L$67,$B192,'Renew &amp; Vac'!$O$53:$O$67,"&lt;="&amp;I$183,'Renew &amp; Vac'!$P$53:$P$67,"&gt;="&amp;I$183)+SUMIFS('Renew &amp; Vac'!$H$53:$H$67,'Renew &amp; Vac'!$A$53:$A$67,$B192,'Renew &amp; Vac'!$D$53:$D$67,"&lt;="&amp;I$183,'Renew &amp; Vac'!$E$53:$E$67,"&gt;="&amp;I$183)</f>
        <v>0</v>
      </c>
      <c r="J192" s="34">
        <f>SUMIFS('Renew &amp; Vac'!$S$53:$S$67,'Renew &amp; Vac'!$L$53:$L$67,$B192,'Renew &amp; Vac'!$O$53:$O$67,"&lt;="&amp;J$183,'Renew &amp; Vac'!$P$53:$P$67,"&gt;="&amp;J$183)+SUMIFS('Renew &amp; Vac'!$H$53:$H$67,'Renew &amp; Vac'!$A$53:$A$67,$B192,'Renew &amp; Vac'!$D$53:$D$67,"&lt;="&amp;J$183,'Renew &amp; Vac'!$E$53:$E$67,"&gt;="&amp;J$183)</f>
        <v>0</v>
      </c>
      <c r="K192" s="34">
        <f>SUMIFS('Renew &amp; Vac'!$S$53:$S$67,'Renew &amp; Vac'!$L$53:$L$67,$B192,'Renew &amp; Vac'!$O$53:$O$67,"&lt;="&amp;K$183,'Renew &amp; Vac'!$P$53:$P$67,"&gt;="&amp;K$183)+SUMIFS('Renew &amp; Vac'!$H$53:$H$67,'Renew &amp; Vac'!$A$53:$A$67,$B192,'Renew &amp; Vac'!$D$53:$D$67,"&lt;="&amp;K$183,'Renew &amp; Vac'!$E$53:$E$67,"&gt;="&amp;K$183)</f>
        <v>0</v>
      </c>
      <c r="L192" s="34">
        <f>SUMIFS('Renew &amp; Vac'!$S$53:$S$67,'Renew &amp; Vac'!$L$53:$L$67,$B192,'Renew &amp; Vac'!$O$53:$O$67,"&lt;="&amp;L$183,'Renew &amp; Vac'!$P$53:$P$67,"&gt;="&amp;L$183)+SUMIFS('Renew &amp; Vac'!$H$53:$H$67,'Renew &amp; Vac'!$A$53:$A$67,$B192,'Renew &amp; Vac'!$D$53:$D$67,"&lt;="&amp;L$183,'Renew &amp; Vac'!$E$53:$E$67,"&gt;="&amp;L$183)</f>
        <v>0</v>
      </c>
      <c r="M192" s="34">
        <f>SUMIFS('Renew &amp; Vac'!$S$53:$S$67,'Renew &amp; Vac'!$L$53:$L$67,$B192,'Renew &amp; Vac'!$O$53:$O$67,"&lt;="&amp;M$183,'Renew &amp; Vac'!$P$53:$P$67,"&gt;="&amp;M$183)+SUMIFS('Renew &amp; Vac'!$H$53:$H$67,'Renew &amp; Vac'!$A$53:$A$67,$B192,'Renew &amp; Vac'!$D$53:$D$67,"&lt;="&amp;M$183,'Renew &amp; Vac'!$E$53:$E$67,"&gt;="&amp;M$183)</f>
        <v>0</v>
      </c>
      <c r="N192" s="34">
        <f>SUMIFS('Renew &amp; Vac'!$S$53:$S$67,'Renew &amp; Vac'!$L$53:$L$67,$B192,'Renew &amp; Vac'!$O$53:$O$67,"&lt;="&amp;N$183,'Renew &amp; Vac'!$P$53:$P$67,"&gt;="&amp;N$183)+SUMIFS('Renew &amp; Vac'!$H$53:$H$67,'Renew &amp; Vac'!$A$53:$A$67,$B192,'Renew &amp; Vac'!$D$53:$D$67,"&lt;="&amp;N$183,'Renew &amp; Vac'!$E$53:$E$67,"&gt;="&amp;N$183)</f>
        <v>0</v>
      </c>
      <c r="O192" s="34">
        <f>SUMIFS('Renew &amp; Vac'!$S$53:$S$67,'Renew &amp; Vac'!$L$53:$L$67,$B192,'Renew &amp; Vac'!$O$53:$O$67,"&lt;="&amp;O$183,'Renew &amp; Vac'!$P$53:$P$67,"&gt;="&amp;O$183)+SUMIFS('Renew &amp; Vac'!$H$53:$H$67,'Renew &amp; Vac'!$A$53:$A$67,$B192,'Renew &amp; Vac'!$D$53:$D$67,"&lt;="&amp;O$183,'Renew &amp; Vac'!$E$53:$E$67,"&gt;="&amp;O$183)</f>
        <v>0</v>
      </c>
      <c r="P192" s="34">
        <f>SUMIFS('Renew &amp; Vac'!$S$53:$S$67,'Renew &amp; Vac'!$L$53:$L$67,$B192,'Renew &amp; Vac'!$O$53:$O$67,"&lt;="&amp;P$183,'Renew &amp; Vac'!$P$53:$P$67,"&gt;="&amp;P$183)+SUMIFS('Renew &amp; Vac'!$H$53:$H$67,'Renew &amp; Vac'!$A$53:$A$67,$B192,'Renew &amp; Vac'!$D$53:$D$67,"&lt;="&amp;P$183,'Renew &amp; Vac'!$E$53:$E$67,"&gt;="&amp;P$183)</f>
        <v>0</v>
      </c>
      <c r="Q192" s="36">
        <f t="shared" si="45"/>
        <v>0</v>
      </c>
    </row>
    <row r="193" spans="1:20" outlineLevel="1" x14ac:dyDescent="0.35">
      <c r="B193" s="127" t="str">
        <f t="shared" si="44"/>
        <v>4070-211</v>
      </c>
      <c r="D193" s="34" t="str">
        <f>IFERROR(VLOOKUP(B193,'Renew &amp; Vac'!$A$53:$B$67,2,FALSE),IFERROR(VLOOKUP(B193,'Renew &amp; Vac'!$L$53:$M$67,2,FALSE),VLOOKUP(B193,$B$162:$D$178,3,FALSE)))</f>
        <v>AIM-USA LLC</v>
      </c>
      <c r="E193" s="34">
        <f>SUMIFS('Renew &amp; Vac'!$S$53:$S$67,'Renew &amp; Vac'!$L$53:$L$67,$B193,'Renew &amp; Vac'!$O$53:$O$67,"&lt;="&amp;E$183,'Renew &amp; Vac'!$P$53:$P$67,"&gt;="&amp;E$183)+SUMIFS('Renew &amp; Vac'!$H$53:$H$67,'Renew &amp; Vac'!$A$53:$A$67,$B193,'Renew &amp; Vac'!$D$53:$D$67,"&lt;="&amp;E$183,'Renew &amp; Vac'!$E$53:$E$67,"&gt;="&amp;E$183)</f>
        <v>2396.6666666666665</v>
      </c>
      <c r="F193" s="34">
        <f>SUMIFS('Renew &amp; Vac'!$S$53:$S$67,'Renew &amp; Vac'!$L$53:$L$67,$B193,'Renew &amp; Vac'!$O$53:$O$67,"&lt;="&amp;F$183,'Renew &amp; Vac'!$P$53:$P$67,"&gt;="&amp;F$183)+SUMIFS('Renew &amp; Vac'!$H$53:$H$67,'Renew &amp; Vac'!$A$53:$A$67,$B193,'Renew &amp; Vac'!$D$53:$D$67,"&lt;="&amp;F$183,'Renew &amp; Vac'!$E$53:$E$67,"&gt;="&amp;F$183)</f>
        <v>2396.6666666666665</v>
      </c>
      <c r="G193" s="34">
        <f>SUMIFS('Renew &amp; Vac'!$S$53:$S$67,'Renew &amp; Vac'!$L$53:$L$67,$B193,'Renew &amp; Vac'!$O$53:$O$67,"&lt;="&amp;G$183,'Renew &amp; Vac'!$P$53:$P$67,"&gt;="&amp;G$183)+SUMIFS('Renew &amp; Vac'!$H$53:$H$67,'Renew &amp; Vac'!$A$53:$A$67,$B193,'Renew &amp; Vac'!$D$53:$D$67,"&lt;="&amp;G$183,'Renew &amp; Vac'!$E$53:$E$67,"&gt;="&amp;G$183)</f>
        <v>2396.6666666666665</v>
      </c>
      <c r="H193" s="34">
        <f>SUMIFS('Renew &amp; Vac'!$S$53:$S$67,'Renew &amp; Vac'!$L$53:$L$67,$B193,'Renew &amp; Vac'!$O$53:$O$67,"&lt;="&amp;H$183,'Renew &amp; Vac'!$P$53:$P$67,"&gt;="&amp;H$183)+SUMIFS('Renew &amp; Vac'!$H$53:$H$67,'Renew &amp; Vac'!$A$53:$A$67,$B193,'Renew &amp; Vac'!$D$53:$D$67,"&lt;="&amp;H$183,'Renew &amp; Vac'!$E$53:$E$67,"&gt;="&amp;H$183)</f>
        <v>2396.6666666666665</v>
      </c>
      <c r="I193" s="34">
        <f>SUMIFS('Renew &amp; Vac'!$S$53:$S$67,'Renew &amp; Vac'!$L$53:$L$67,$B193,'Renew &amp; Vac'!$O$53:$O$67,"&lt;="&amp;I$183,'Renew &amp; Vac'!$P$53:$P$67,"&gt;="&amp;I$183)+SUMIFS('Renew &amp; Vac'!$H$53:$H$67,'Renew &amp; Vac'!$A$53:$A$67,$B193,'Renew &amp; Vac'!$D$53:$D$67,"&lt;="&amp;I$183,'Renew &amp; Vac'!$E$53:$E$67,"&gt;="&amp;I$183)</f>
        <v>2396.6666666666665</v>
      </c>
      <c r="J193" s="34">
        <f>SUMIFS('Renew &amp; Vac'!$S$53:$S$67,'Renew &amp; Vac'!$L$53:$L$67,$B193,'Renew &amp; Vac'!$O$53:$O$67,"&lt;="&amp;J$183,'Renew &amp; Vac'!$P$53:$P$67,"&gt;="&amp;J$183)+SUMIFS('Renew &amp; Vac'!$H$53:$H$67,'Renew &amp; Vac'!$A$53:$A$67,$B193,'Renew &amp; Vac'!$D$53:$D$67,"&lt;="&amp;J$183,'Renew &amp; Vac'!$E$53:$E$67,"&gt;="&amp;J$183)</f>
        <v>2396.6666666666665</v>
      </c>
      <c r="K193" s="34">
        <f>SUMIFS('Renew &amp; Vac'!$S$53:$S$67,'Renew &amp; Vac'!$L$53:$L$67,$B193,'Renew &amp; Vac'!$O$53:$O$67,"&lt;="&amp;K$183,'Renew &amp; Vac'!$P$53:$P$67,"&gt;="&amp;K$183)+SUMIFS('Renew &amp; Vac'!$H$53:$H$67,'Renew &amp; Vac'!$A$53:$A$67,$B193,'Renew &amp; Vac'!$D$53:$D$67,"&lt;="&amp;K$183,'Renew &amp; Vac'!$E$53:$E$67,"&gt;="&amp;K$183)</f>
        <v>2396.6666666666665</v>
      </c>
      <c r="L193" s="34">
        <f>SUMIFS('Renew &amp; Vac'!$S$53:$S$67,'Renew &amp; Vac'!$L$53:$L$67,$B193,'Renew &amp; Vac'!$O$53:$O$67,"&lt;="&amp;L$183,'Renew &amp; Vac'!$P$53:$P$67,"&gt;="&amp;L$183)+SUMIFS('Renew &amp; Vac'!$H$53:$H$67,'Renew &amp; Vac'!$A$53:$A$67,$B193,'Renew &amp; Vac'!$D$53:$D$67,"&lt;="&amp;L$183,'Renew &amp; Vac'!$E$53:$E$67,"&gt;="&amp;L$183)</f>
        <v>2396.6666666666665</v>
      </c>
      <c r="M193" s="34">
        <f>SUMIFS('Renew &amp; Vac'!$S$53:$S$67,'Renew &amp; Vac'!$L$53:$L$67,$B193,'Renew &amp; Vac'!$O$53:$O$67,"&lt;="&amp;M$183,'Renew &amp; Vac'!$P$53:$P$67,"&gt;="&amp;M$183)+SUMIFS('Renew &amp; Vac'!$H$53:$H$67,'Renew &amp; Vac'!$A$53:$A$67,$B193,'Renew &amp; Vac'!$D$53:$D$67,"&lt;="&amp;M$183,'Renew &amp; Vac'!$E$53:$E$67,"&gt;="&amp;M$183)</f>
        <v>2396.6666666666665</v>
      </c>
      <c r="N193" s="34">
        <f>SUMIFS('Renew &amp; Vac'!$S$53:$S$67,'Renew &amp; Vac'!$L$53:$L$67,$B193,'Renew &amp; Vac'!$O$53:$O$67,"&lt;="&amp;N$183,'Renew &amp; Vac'!$P$53:$P$67,"&gt;="&amp;N$183)+SUMIFS('Renew &amp; Vac'!$H$53:$H$67,'Renew &amp; Vac'!$A$53:$A$67,$B193,'Renew &amp; Vac'!$D$53:$D$67,"&lt;="&amp;N$183,'Renew &amp; Vac'!$E$53:$E$67,"&gt;="&amp;N$183)</f>
        <v>2396.6666666666665</v>
      </c>
      <c r="O193" s="34">
        <f>SUMIFS('Renew &amp; Vac'!$S$53:$S$67,'Renew &amp; Vac'!$L$53:$L$67,$B193,'Renew &amp; Vac'!$O$53:$O$67,"&lt;="&amp;O$183,'Renew &amp; Vac'!$P$53:$P$67,"&gt;="&amp;O$183)+SUMIFS('Renew &amp; Vac'!$H$53:$H$67,'Renew &amp; Vac'!$A$53:$A$67,$B193,'Renew &amp; Vac'!$D$53:$D$67,"&lt;="&amp;O$183,'Renew &amp; Vac'!$E$53:$E$67,"&gt;="&amp;O$183)</f>
        <v>2396.6666666666665</v>
      </c>
      <c r="P193" s="34">
        <f>SUMIFS('Renew &amp; Vac'!$S$53:$S$67,'Renew &amp; Vac'!$L$53:$L$67,$B193,'Renew &amp; Vac'!$O$53:$O$67,"&lt;="&amp;P$183,'Renew &amp; Vac'!$P$53:$P$67,"&gt;="&amp;P$183)+SUMIFS('Renew &amp; Vac'!$H$53:$H$67,'Renew &amp; Vac'!$A$53:$A$67,$B193,'Renew &amp; Vac'!$D$53:$D$67,"&lt;="&amp;P$183,'Renew &amp; Vac'!$E$53:$E$67,"&gt;="&amp;P$183)</f>
        <v>2396.6666666666665</v>
      </c>
      <c r="Q193" s="36">
        <f t="shared" si="45"/>
        <v>28760.000000000004</v>
      </c>
    </row>
    <row r="194" spans="1:20" outlineLevel="1" x14ac:dyDescent="0.35">
      <c r="B194" s="127" t="str">
        <f t="shared" si="44"/>
        <v>4070-215</v>
      </c>
      <c r="D194" s="34" t="str">
        <f>IFERROR(VLOOKUP(B194,'Renew &amp; Vac'!$A$53:$B$67,2,FALSE),IFERROR(VLOOKUP(B194,'Renew &amp; Vac'!$L$53:$M$67,2,FALSE),VLOOKUP(B194,$B$162:$D$178,3,FALSE)))</f>
        <v>Rudolph Clarke LLC</v>
      </c>
      <c r="E194" s="34">
        <f>SUMIFS('Renew &amp; Vac'!$S$53:$S$67,'Renew &amp; Vac'!$L$53:$L$67,$B194,'Renew &amp; Vac'!$O$53:$O$67,"&lt;="&amp;E$183,'Renew &amp; Vac'!$P$53:$P$67,"&gt;="&amp;E$183)+SUMIFS('Renew &amp; Vac'!$H$53:$H$67,'Renew &amp; Vac'!$A$53:$A$67,$B194,'Renew &amp; Vac'!$D$53:$D$67,"&lt;="&amp;E$183,'Renew &amp; Vac'!$E$53:$E$67,"&gt;="&amp;E$183)</f>
        <v>3507</v>
      </c>
      <c r="F194" s="34">
        <f>SUMIFS('Renew &amp; Vac'!$S$53:$S$67,'Renew &amp; Vac'!$L$53:$L$67,$B194,'Renew &amp; Vac'!$O$53:$O$67,"&lt;="&amp;F$183,'Renew &amp; Vac'!$P$53:$P$67,"&gt;="&amp;F$183)+SUMIFS('Renew &amp; Vac'!$H$53:$H$67,'Renew &amp; Vac'!$A$53:$A$67,$B194,'Renew &amp; Vac'!$D$53:$D$67,"&lt;="&amp;F$183,'Renew &amp; Vac'!$E$53:$E$67,"&gt;="&amp;F$183)</f>
        <v>3507</v>
      </c>
      <c r="G194" s="34">
        <f>SUMIFS('Renew &amp; Vac'!$S$53:$S$67,'Renew &amp; Vac'!$L$53:$L$67,$B194,'Renew &amp; Vac'!$O$53:$O$67,"&lt;="&amp;G$183,'Renew &amp; Vac'!$P$53:$P$67,"&gt;="&amp;G$183)+SUMIFS('Renew &amp; Vac'!$H$53:$H$67,'Renew &amp; Vac'!$A$53:$A$67,$B194,'Renew &amp; Vac'!$D$53:$D$67,"&lt;="&amp;G$183,'Renew &amp; Vac'!$E$53:$E$67,"&gt;="&amp;G$183)</f>
        <v>3507</v>
      </c>
      <c r="H194" s="34">
        <f>SUMIFS('Renew &amp; Vac'!$S$53:$S$67,'Renew &amp; Vac'!$L$53:$L$67,$B194,'Renew &amp; Vac'!$O$53:$O$67,"&lt;="&amp;H$183,'Renew &amp; Vac'!$P$53:$P$67,"&gt;="&amp;H$183)+SUMIFS('Renew &amp; Vac'!$H$53:$H$67,'Renew &amp; Vac'!$A$53:$A$67,$B194,'Renew &amp; Vac'!$D$53:$D$67,"&lt;="&amp;H$183,'Renew &amp; Vac'!$E$53:$E$67,"&gt;="&amp;H$183)</f>
        <v>3507</v>
      </c>
      <c r="I194" s="34">
        <f>SUMIFS('Renew &amp; Vac'!$S$53:$S$67,'Renew &amp; Vac'!$L$53:$L$67,$B194,'Renew &amp; Vac'!$O$53:$O$67,"&lt;="&amp;I$183,'Renew &amp; Vac'!$P$53:$P$67,"&gt;="&amp;I$183)+SUMIFS('Renew &amp; Vac'!$H$53:$H$67,'Renew &amp; Vac'!$A$53:$A$67,$B194,'Renew &amp; Vac'!$D$53:$D$67,"&lt;="&amp;I$183,'Renew &amp; Vac'!$E$53:$E$67,"&gt;="&amp;I$183)</f>
        <v>3507</v>
      </c>
      <c r="J194" s="34">
        <f>SUMIFS('Renew &amp; Vac'!$S$53:$S$67,'Renew &amp; Vac'!$L$53:$L$67,$B194,'Renew &amp; Vac'!$O$53:$O$67,"&lt;="&amp;J$183,'Renew &amp; Vac'!$P$53:$P$67,"&gt;="&amp;J$183)+SUMIFS('Renew &amp; Vac'!$H$53:$H$67,'Renew &amp; Vac'!$A$53:$A$67,$B194,'Renew &amp; Vac'!$D$53:$D$67,"&lt;="&amp;J$183,'Renew &amp; Vac'!$E$53:$E$67,"&gt;="&amp;J$183)</f>
        <v>3507</v>
      </c>
      <c r="K194" s="34">
        <f>SUMIFS('Renew &amp; Vac'!$S$53:$S$67,'Renew &amp; Vac'!$L$53:$L$67,$B194,'Renew &amp; Vac'!$O$53:$O$67,"&lt;="&amp;K$183,'Renew &amp; Vac'!$P$53:$P$67,"&gt;="&amp;K$183)+SUMIFS('Renew &amp; Vac'!$H$53:$H$67,'Renew &amp; Vac'!$A$53:$A$67,$B194,'Renew &amp; Vac'!$D$53:$D$67,"&lt;="&amp;K$183,'Renew &amp; Vac'!$E$53:$E$67,"&gt;="&amp;K$183)</f>
        <v>3507</v>
      </c>
      <c r="L194" s="34">
        <f>SUMIFS('Renew &amp; Vac'!$S$53:$S$67,'Renew &amp; Vac'!$L$53:$L$67,$B194,'Renew &amp; Vac'!$O$53:$O$67,"&lt;="&amp;L$183,'Renew &amp; Vac'!$P$53:$P$67,"&gt;="&amp;L$183)+SUMIFS('Renew &amp; Vac'!$H$53:$H$67,'Renew &amp; Vac'!$A$53:$A$67,$B194,'Renew &amp; Vac'!$D$53:$D$67,"&lt;="&amp;L$183,'Renew &amp; Vac'!$E$53:$E$67,"&gt;="&amp;L$183)</f>
        <v>3507</v>
      </c>
      <c r="M194" s="34">
        <f>SUMIFS('Renew &amp; Vac'!$S$53:$S$67,'Renew &amp; Vac'!$L$53:$L$67,$B194,'Renew &amp; Vac'!$O$53:$O$67,"&lt;="&amp;M$183,'Renew &amp; Vac'!$P$53:$P$67,"&gt;="&amp;M$183)+SUMIFS('Renew &amp; Vac'!$H$53:$H$67,'Renew &amp; Vac'!$A$53:$A$67,$B194,'Renew &amp; Vac'!$D$53:$D$67,"&lt;="&amp;M$183,'Renew &amp; Vac'!$E$53:$E$67,"&gt;="&amp;M$183)</f>
        <v>3507</v>
      </c>
      <c r="N194" s="34">
        <f>SUMIFS('Renew &amp; Vac'!$S$53:$S$67,'Renew &amp; Vac'!$L$53:$L$67,$B194,'Renew &amp; Vac'!$O$53:$O$67,"&lt;="&amp;N$183,'Renew &amp; Vac'!$P$53:$P$67,"&gt;="&amp;N$183)+SUMIFS('Renew &amp; Vac'!$H$53:$H$67,'Renew &amp; Vac'!$A$53:$A$67,$B194,'Renew &amp; Vac'!$D$53:$D$67,"&lt;="&amp;N$183,'Renew &amp; Vac'!$E$53:$E$67,"&gt;="&amp;N$183)</f>
        <v>3507</v>
      </c>
      <c r="O194" s="34">
        <f>SUMIFS('Renew &amp; Vac'!$S$53:$S$67,'Renew &amp; Vac'!$L$53:$L$67,$B194,'Renew &amp; Vac'!$O$53:$O$67,"&lt;="&amp;O$183,'Renew &amp; Vac'!$P$53:$P$67,"&gt;="&amp;O$183)+SUMIFS('Renew &amp; Vac'!$H$53:$H$67,'Renew &amp; Vac'!$A$53:$A$67,$B194,'Renew &amp; Vac'!$D$53:$D$67,"&lt;="&amp;O$183,'Renew &amp; Vac'!$E$53:$E$67,"&gt;="&amp;O$183)</f>
        <v>3507</v>
      </c>
      <c r="P194" s="34">
        <f>SUMIFS('Renew &amp; Vac'!$S$53:$S$67,'Renew &amp; Vac'!$L$53:$L$67,$B194,'Renew &amp; Vac'!$O$53:$O$67,"&lt;="&amp;P$183,'Renew &amp; Vac'!$P$53:$P$67,"&gt;="&amp;P$183)+SUMIFS('Renew &amp; Vac'!$H$53:$H$67,'Renew &amp; Vac'!$A$53:$A$67,$B194,'Renew &amp; Vac'!$D$53:$D$67,"&lt;="&amp;P$183,'Renew &amp; Vac'!$E$53:$E$67,"&gt;="&amp;P$183)</f>
        <v>3507</v>
      </c>
      <c r="Q194" s="36">
        <f t="shared" si="45"/>
        <v>42084</v>
      </c>
    </row>
    <row r="195" spans="1:20" outlineLevel="1" x14ac:dyDescent="0.35">
      <c r="B195" s="127" t="str">
        <f t="shared" si="44"/>
        <v>4070-315</v>
      </c>
      <c r="D195" s="34" t="str">
        <f>IFERROR(VLOOKUP(B195,'Renew &amp; Vac'!$A$53:$B$67,2,FALSE),IFERROR(VLOOKUP(B195,'Renew &amp; Vac'!$L$53:$M$67,2,FALSE),VLOOKUP(B195,$B$162:$D$178,3,FALSE)))</f>
        <v>VACANT</v>
      </c>
      <c r="E195" s="34">
        <f>SUMIFS('Renew &amp; Vac'!$S$53:$S$67,'Renew &amp; Vac'!$L$53:$L$67,$B195,'Renew &amp; Vac'!$O$53:$O$67,"&lt;="&amp;E$183,'Renew &amp; Vac'!$P$53:$P$67,"&gt;="&amp;E$183)+SUMIFS('Renew &amp; Vac'!$H$53:$H$67,'Renew &amp; Vac'!$A$53:$A$67,$B195,'Renew &amp; Vac'!$D$53:$D$67,"&lt;="&amp;E$183,'Renew &amp; Vac'!$E$53:$E$67,"&gt;="&amp;E$183)</f>
        <v>0</v>
      </c>
      <c r="F195" s="34">
        <f>SUMIFS('Renew &amp; Vac'!$S$53:$S$67,'Renew &amp; Vac'!$L$53:$L$67,$B195,'Renew &amp; Vac'!$O$53:$O$67,"&lt;="&amp;F$183,'Renew &amp; Vac'!$P$53:$P$67,"&gt;="&amp;F$183)+SUMIFS('Renew &amp; Vac'!$H$53:$H$67,'Renew &amp; Vac'!$A$53:$A$67,$B195,'Renew &amp; Vac'!$D$53:$D$67,"&lt;="&amp;F$183,'Renew &amp; Vac'!$E$53:$E$67,"&gt;="&amp;F$183)</f>
        <v>0</v>
      </c>
      <c r="G195" s="34">
        <f>SUMIFS('Renew &amp; Vac'!$S$53:$S$67,'Renew &amp; Vac'!$L$53:$L$67,$B195,'Renew &amp; Vac'!$O$53:$O$67,"&lt;="&amp;G$183,'Renew &amp; Vac'!$P$53:$P$67,"&gt;="&amp;G$183)+SUMIFS('Renew &amp; Vac'!$H$53:$H$67,'Renew &amp; Vac'!$A$53:$A$67,$B195,'Renew &amp; Vac'!$D$53:$D$67,"&lt;="&amp;G$183,'Renew &amp; Vac'!$E$53:$E$67,"&gt;="&amp;G$183)</f>
        <v>0</v>
      </c>
      <c r="H195" s="34">
        <f>SUMIFS('Renew &amp; Vac'!$S$53:$S$67,'Renew &amp; Vac'!$L$53:$L$67,$B195,'Renew &amp; Vac'!$O$53:$O$67,"&lt;="&amp;H$183,'Renew &amp; Vac'!$P$53:$P$67,"&gt;="&amp;H$183)+SUMIFS('Renew &amp; Vac'!$H$53:$H$67,'Renew &amp; Vac'!$A$53:$A$67,$B195,'Renew &amp; Vac'!$D$53:$D$67,"&lt;="&amp;H$183,'Renew &amp; Vac'!$E$53:$E$67,"&gt;="&amp;H$183)</f>
        <v>0</v>
      </c>
      <c r="I195" s="34">
        <f>SUMIFS('Renew &amp; Vac'!$S$53:$S$67,'Renew &amp; Vac'!$L$53:$L$67,$B195,'Renew &amp; Vac'!$O$53:$O$67,"&lt;="&amp;I$183,'Renew &amp; Vac'!$P$53:$P$67,"&gt;="&amp;I$183)+SUMIFS('Renew &amp; Vac'!$H$53:$H$67,'Renew &amp; Vac'!$A$53:$A$67,$B195,'Renew &amp; Vac'!$D$53:$D$67,"&lt;="&amp;I$183,'Renew &amp; Vac'!$E$53:$E$67,"&gt;="&amp;I$183)</f>
        <v>0</v>
      </c>
      <c r="J195" s="34">
        <f>SUMIFS('Renew &amp; Vac'!$S$53:$S$67,'Renew &amp; Vac'!$L$53:$L$67,$B195,'Renew &amp; Vac'!$O$53:$O$67,"&lt;="&amp;J$183,'Renew &amp; Vac'!$P$53:$P$67,"&gt;="&amp;J$183)+SUMIFS('Renew &amp; Vac'!$H$53:$H$67,'Renew &amp; Vac'!$A$53:$A$67,$B195,'Renew &amp; Vac'!$D$53:$D$67,"&lt;="&amp;J$183,'Renew &amp; Vac'!$E$53:$E$67,"&gt;="&amp;J$183)</f>
        <v>0</v>
      </c>
      <c r="K195" s="34">
        <f>SUMIFS('Renew &amp; Vac'!$S$53:$S$67,'Renew &amp; Vac'!$L$53:$L$67,$B195,'Renew &amp; Vac'!$O$53:$O$67,"&lt;="&amp;K$183,'Renew &amp; Vac'!$P$53:$P$67,"&gt;="&amp;K$183)+SUMIFS('Renew &amp; Vac'!$H$53:$H$67,'Renew &amp; Vac'!$A$53:$A$67,$B195,'Renew &amp; Vac'!$D$53:$D$67,"&lt;="&amp;K$183,'Renew &amp; Vac'!$E$53:$E$67,"&gt;="&amp;K$183)</f>
        <v>0</v>
      </c>
      <c r="L195" s="34">
        <f>SUMIFS('Renew &amp; Vac'!$S$53:$S$67,'Renew &amp; Vac'!$L$53:$L$67,$B195,'Renew &amp; Vac'!$O$53:$O$67,"&lt;="&amp;L$183,'Renew &amp; Vac'!$P$53:$P$67,"&gt;="&amp;L$183)+SUMIFS('Renew &amp; Vac'!$H$53:$H$67,'Renew &amp; Vac'!$A$53:$A$67,$B195,'Renew &amp; Vac'!$D$53:$D$67,"&lt;="&amp;L$183,'Renew &amp; Vac'!$E$53:$E$67,"&gt;="&amp;L$183)</f>
        <v>0</v>
      </c>
      <c r="M195" s="34">
        <f>SUMIFS('Renew &amp; Vac'!$S$53:$S$67,'Renew &amp; Vac'!$L$53:$L$67,$B195,'Renew &amp; Vac'!$O$53:$O$67,"&lt;="&amp;M$183,'Renew &amp; Vac'!$P$53:$P$67,"&gt;="&amp;M$183)+SUMIFS('Renew &amp; Vac'!$H$53:$H$67,'Renew &amp; Vac'!$A$53:$A$67,$B195,'Renew &amp; Vac'!$D$53:$D$67,"&lt;="&amp;M$183,'Renew &amp; Vac'!$E$53:$E$67,"&gt;="&amp;M$183)</f>
        <v>0</v>
      </c>
      <c r="N195" s="34">
        <f>SUMIFS('Renew &amp; Vac'!$S$53:$S$67,'Renew &amp; Vac'!$L$53:$L$67,$B195,'Renew &amp; Vac'!$O$53:$O$67,"&lt;="&amp;N$183,'Renew &amp; Vac'!$P$53:$P$67,"&gt;="&amp;N$183)+SUMIFS('Renew &amp; Vac'!$H$53:$H$67,'Renew &amp; Vac'!$A$53:$A$67,$B195,'Renew &amp; Vac'!$D$53:$D$67,"&lt;="&amp;N$183,'Renew &amp; Vac'!$E$53:$E$67,"&gt;="&amp;N$183)</f>
        <v>0</v>
      </c>
      <c r="O195" s="34">
        <f>SUMIFS('Renew &amp; Vac'!$S$53:$S$67,'Renew &amp; Vac'!$L$53:$L$67,$B195,'Renew &amp; Vac'!$O$53:$O$67,"&lt;="&amp;O$183,'Renew &amp; Vac'!$P$53:$P$67,"&gt;="&amp;O$183)+SUMIFS('Renew &amp; Vac'!$H$53:$H$67,'Renew &amp; Vac'!$A$53:$A$67,$B195,'Renew &amp; Vac'!$D$53:$D$67,"&lt;="&amp;O$183,'Renew &amp; Vac'!$E$53:$E$67,"&gt;="&amp;O$183)</f>
        <v>0</v>
      </c>
      <c r="P195" s="34">
        <f>SUMIFS('Renew &amp; Vac'!$S$53:$S$67,'Renew &amp; Vac'!$L$53:$L$67,$B195,'Renew &amp; Vac'!$O$53:$O$67,"&lt;="&amp;P$183,'Renew &amp; Vac'!$P$53:$P$67,"&gt;="&amp;P$183)+SUMIFS('Renew &amp; Vac'!$H$53:$H$67,'Renew &amp; Vac'!$A$53:$A$67,$B195,'Renew &amp; Vac'!$D$53:$D$67,"&lt;="&amp;P$183,'Renew &amp; Vac'!$E$53:$E$67,"&gt;="&amp;P$183)</f>
        <v>0</v>
      </c>
      <c r="Q195" s="36">
        <f t="shared" si="45"/>
        <v>0</v>
      </c>
    </row>
    <row r="196" spans="1:20" outlineLevel="1" x14ac:dyDescent="0.35">
      <c r="B196" s="127" t="str">
        <f t="shared" si="44"/>
        <v>4070-301</v>
      </c>
      <c r="D196" s="34" t="str">
        <f>IFERROR(VLOOKUP(B196,'Renew &amp; Vac'!$A$53:$B$67,2,FALSE),IFERROR(VLOOKUP(B196,'Renew &amp; Vac'!$L$53:$M$67,2,FALSE),VLOOKUP(B196,$B$162:$D$178,3,FALSE)))</f>
        <v>Veltri, Inc.</v>
      </c>
      <c r="E196" s="34">
        <f>SUMIFS('Renew &amp; Vac'!$S$53:$S$67,'Renew &amp; Vac'!$L$53:$L$67,$B196,'Renew &amp; Vac'!$O$53:$O$67,"&lt;="&amp;E$183,'Renew &amp; Vac'!$P$53:$P$67,"&gt;="&amp;E$183)+SUMIFS('Renew &amp; Vac'!$H$53:$H$67,'Renew &amp; Vac'!$A$53:$A$67,$B196,'Renew &amp; Vac'!$D$53:$D$67,"&lt;="&amp;E$183,'Renew &amp; Vac'!$E$53:$E$67,"&gt;="&amp;E$183)</f>
        <v>0</v>
      </c>
      <c r="F196" s="34">
        <f>SUMIFS('Renew &amp; Vac'!$S$53:$S$67,'Renew &amp; Vac'!$L$53:$L$67,$B196,'Renew &amp; Vac'!$O$53:$O$67,"&lt;="&amp;F$183,'Renew &amp; Vac'!$P$53:$P$67,"&gt;="&amp;F$183)+SUMIFS('Renew &amp; Vac'!$H$53:$H$67,'Renew &amp; Vac'!$A$53:$A$67,$B196,'Renew &amp; Vac'!$D$53:$D$67,"&lt;="&amp;F$183,'Renew &amp; Vac'!$E$53:$E$67,"&gt;="&amp;F$183)</f>
        <v>0</v>
      </c>
      <c r="G196" s="34">
        <f>SUMIFS('Renew &amp; Vac'!$S$53:$S$67,'Renew &amp; Vac'!$L$53:$L$67,$B196,'Renew &amp; Vac'!$O$53:$O$67,"&lt;="&amp;G$183,'Renew &amp; Vac'!$P$53:$P$67,"&gt;="&amp;G$183)+SUMIFS('Renew &amp; Vac'!$H$53:$H$67,'Renew &amp; Vac'!$A$53:$A$67,$B196,'Renew &amp; Vac'!$D$53:$D$67,"&lt;="&amp;G$183,'Renew &amp; Vac'!$E$53:$E$67,"&gt;="&amp;G$183)</f>
        <v>0</v>
      </c>
      <c r="H196" s="34">
        <f>SUMIFS('Renew &amp; Vac'!$S$53:$S$67,'Renew &amp; Vac'!$L$53:$L$67,$B196,'Renew &amp; Vac'!$O$53:$O$67,"&lt;="&amp;H$183,'Renew &amp; Vac'!$P$53:$P$67,"&gt;="&amp;H$183)+SUMIFS('Renew &amp; Vac'!$H$53:$H$67,'Renew &amp; Vac'!$A$53:$A$67,$B196,'Renew &amp; Vac'!$D$53:$D$67,"&lt;="&amp;H$183,'Renew &amp; Vac'!$E$53:$E$67,"&gt;="&amp;H$183)</f>
        <v>0</v>
      </c>
      <c r="I196" s="34">
        <f>SUMIFS('Renew &amp; Vac'!$S$53:$S$67,'Renew &amp; Vac'!$L$53:$L$67,$B196,'Renew &amp; Vac'!$O$53:$O$67,"&lt;="&amp;I$183,'Renew &amp; Vac'!$P$53:$P$67,"&gt;="&amp;I$183)+SUMIFS('Renew &amp; Vac'!$H$53:$H$67,'Renew &amp; Vac'!$A$53:$A$67,$B196,'Renew &amp; Vac'!$D$53:$D$67,"&lt;="&amp;I$183,'Renew &amp; Vac'!$E$53:$E$67,"&gt;="&amp;I$183)</f>
        <v>0</v>
      </c>
      <c r="J196" s="34">
        <f>SUMIFS('Renew &amp; Vac'!$S$53:$S$67,'Renew &amp; Vac'!$L$53:$L$67,$B196,'Renew &amp; Vac'!$O$53:$O$67,"&lt;="&amp;J$183,'Renew &amp; Vac'!$P$53:$P$67,"&gt;="&amp;J$183)+SUMIFS('Renew &amp; Vac'!$H$53:$H$67,'Renew &amp; Vac'!$A$53:$A$67,$B196,'Renew &amp; Vac'!$D$53:$D$67,"&lt;="&amp;J$183,'Renew &amp; Vac'!$E$53:$E$67,"&gt;="&amp;J$183)</f>
        <v>0</v>
      </c>
      <c r="K196" s="34">
        <f>SUMIFS('Renew &amp; Vac'!$S$53:$S$67,'Renew &amp; Vac'!$L$53:$L$67,$B196,'Renew &amp; Vac'!$O$53:$O$67,"&lt;="&amp;K$183,'Renew &amp; Vac'!$P$53:$P$67,"&gt;="&amp;K$183)+SUMIFS('Renew &amp; Vac'!$H$53:$H$67,'Renew &amp; Vac'!$A$53:$A$67,$B196,'Renew &amp; Vac'!$D$53:$D$67,"&lt;="&amp;K$183,'Renew &amp; Vac'!$E$53:$E$67,"&gt;="&amp;K$183)</f>
        <v>0</v>
      </c>
      <c r="L196" s="34">
        <f>SUMIFS('Renew &amp; Vac'!$S$53:$S$67,'Renew &amp; Vac'!$L$53:$L$67,$B196,'Renew &amp; Vac'!$O$53:$O$67,"&lt;="&amp;L$183,'Renew &amp; Vac'!$P$53:$P$67,"&gt;="&amp;L$183)+SUMIFS('Renew &amp; Vac'!$H$53:$H$67,'Renew &amp; Vac'!$A$53:$A$67,$B196,'Renew &amp; Vac'!$D$53:$D$67,"&lt;="&amp;L$183,'Renew &amp; Vac'!$E$53:$E$67,"&gt;="&amp;L$183)</f>
        <v>0</v>
      </c>
      <c r="M196" s="34">
        <f>SUMIFS('Renew &amp; Vac'!$S$53:$S$67,'Renew &amp; Vac'!$L$53:$L$67,$B196,'Renew &amp; Vac'!$O$53:$O$67,"&lt;="&amp;M$183,'Renew &amp; Vac'!$P$53:$P$67,"&gt;="&amp;M$183)+SUMIFS('Renew &amp; Vac'!$H$53:$H$67,'Renew &amp; Vac'!$A$53:$A$67,$B196,'Renew &amp; Vac'!$D$53:$D$67,"&lt;="&amp;M$183,'Renew &amp; Vac'!$E$53:$E$67,"&gt;="&amp;M$183)</f>
        <v>0</v>
      </c>
      <c r="N196" s="34">
        <f>SUMIFS('Renew &amp; Vac'!$S$53:$S$67,'Renew &amp; Vac'!$L$53:$L$67,$B196,'Renew &amp; Vac'!$O$53:$O$67,"&lt;="&amp;N$183,'Renew &amp; Vac'!$P$53:$P$67,"&gt;="&amp;N$183)+SUMIFS('Renew &amp; Vac'!$H$53:$H$67,'Renew &amp; Vac'!$A$53:$A$67,$B196,'Renew &amp; Vac'!$D$53:$D$67,"&lt;="&amp;N$183,'Renew &amp; Vac'!$E$53:$E$67,"&gt;="&amp;N$183)</f>
        <v>0</v>
      </c>
      <c r="O196" s="34">
        <f>SUMIFS('Renew &amp; Vac'!$S$53:$S$67,'Renew &amp; Vac'!$L$53:$L$67,$B196,'Renew &amp; Vac'!$O$53:$O$67,"&lt;="&amp;O$183,'Renew &amp; Vac'!$P$53:$P$67,"&gt;="&amp;O$183)+SUMIFS('Renew &amp; Vac'!$H$53:$H$67,'Renew &amp; Vac'!$A$53:$A$67,$B196,'Renew &amp; Vac'!$D$53:$D$67,"&lt;="&amp;O$183,'Renew &amp; Vac'!$E$53:$E$67,"&gt;="&amp;O$183)</f>
        <v>0</v>
      </c>
      <c r="P196" s="34">
        <f>SUMIFS('Renew &amp; Vac'!$S$53:$S$67,'Renew &amp; Vac'!$L$53:$L$67,$B196,'Renew &amp; Vac'!$O$53:$O$67,"&lt;="&amp;P$183,'Renew &amp; Vac'!$P$53:$P$67,"&gt;="&amp;P$183)+SUMIFS('Renew &amp; Vac'!$H$53:$H$67,'Renew &amp; Vac'!$A$53:$A$67,$B196,'Renew &amp; Vac'!$D$53:$D$67,"&lt;="&amp;P$183,'Renew &amp; Vac'!$E$53:$E$67,"&gt;="&amp;P$183)</f>
        <v>0</v>
      </c>
      <c r="Q196" s="36">
        <f t="shared" si="45"/>
        <v>0</v>
      </c>
    </row>
    <row r="197" spans="1:20" outlineLevel="1" x14ac:dyDescent="0.35">
      <c r="B197" s="127" t="str">
        <f t="shared" si="44"/>
        <v>4070-400</v>
      </c>
      <c r="D197" s="34" t="str">
        <f>IFERROR(VLOOKUP(B197,'Renew &amp; Vac'!$A$53:$B$67,2,FALSE),IFERROR(VLOOKUP(B197,'Renew &amp; Vac'!$L$53:$M$67,2,FALSE),VLOOKUP(B197,$B$162:$D$178,3,FALSE)))</f>
        <v>Mette Evans</v>
      </c>
      <c r="E197" s="34">
        <f>SUMIFS('Renew &amp; Vac'!$S$53:$S$67,'Renew &amp; Vac'!$L$53:$L$67,$B197,'Renew &amp; Vac'!$O$53:$O$67,"&lt;="&amp;E$183,'Renew &amp; Vac'!$P$53:$P$67,"&gt;="&amp;E$183)+SUMIFS('Renew &amp; Vac'!$H$53:$H$67,'Renew &amp; Vac'!$A$53:$A$67,$B197,'Renew &amp; Vac'!$D$53:$D$67,"&lt;="&amp;E$183,'Renew &amp; Vac'!$E$53:$E$67,"&gt;="&amp;E$183)</f>
        <v>0</v>
      </c>
      <c r="F197" s="34">
        <f>SUMIFS('Renew &amp; Vac'!$S$53:$S$67,'Renew &amp; Vac'!$L$53:$L$67,$B197,'Renew &amp; Vac'!$O$53:$O$67,"&lt;="&amp;F$183,'Renew &amp; Vac'!$P$53:$P$67,"&gt;="&amp;F$183)+SUMIFS('Renew &amp; Vac'!$H$53:$H$67,'Renew &amp; Vac'!$A$53:$A$67,$B197,'Renew &amp; Vac'!$D$53:$D$67,"&lt;="&amp;F$183,'Renew &amp; Vac'!$E$53:$E$67,"&gt;="&amp;F$183)</f>
        <v>0</v>
      </c>
      <c r="G197" s="34">
        <f>SUMIFS('Renew &amp; Vac'!$S$53:$S$67,'Renew &amp; Vac'!$L$53:$L$67,$B197,'Renew &amp; Vac'!$O$53:$O$67,"&lt;="&amp;G$183,'Renew &amp; Vac'!$P$53:$P$67,"&gt;="&amp;G$183)+SUMIFS('Renew &amp; Vac'!$H$53:$H$67,'Renew &amp; Vac'!$A$53:$A$67,$B197,'Renew &amp; Vac'!$D$53:$D$67,"&lt;="&amp;G$183,'Renew &amp; Vac'!$E$53:$E$67,"&gt;="&amp;G$183)</f>
        <v>0</v>
      </c>
      <c r="H197" s="34">
        <f>SUMIFS('Renew &amp; Vac'!$S$53:$S$67,'Renew &amp; Vac'!$L$53:$L$67,$B197,'Renew &amp; Vac'!$O$53:$O$67,"&lt;="&amp;H$183,'Renew &amp; Vac'!$P$53:$P$67,"&gt;="&amp;H$183)+SUMIFS('Renew &amp; Vac'!$H$53:$H$67,'Renew &amp; Vac'!$A$53:$A$67,$B197,'Renew &amp; Vac'!$D$53:$D$67,"&lt;="&amp;H$183,'Renew &amp; Vac'!$E$53:$E$67,"&gt;="&amp;H$183)</f>
        <v>0</v>
      </c>
      <c r="I197" s="34">
        <f>SUMIFS('Renew &amp; Vac'!$S$53:$S$67,'Renew &amp; Vac'!$L$53:$L$67,$B197,'Renew &amp; Vac'!$O$53:$O$67,"&lt;="&amp;I$183,'Renew &amp; Vac'!$P$53:$P$67,"&gt;="&amp;I$183)+SUMIFS('Renew &amp; Vac'!$H$53:$H$67,'Renew &amp; Vac'!$A$53:$A$67,$B197,'Renew &amp; Vac'!$D$53:$D$67,"&lt;="&amp;I$183,'Renew &amp; Vac'!$E$53:$E$67,"&gt;="&amp;I$183)</f>
        <v>0</v>
      </c>
      <c r="J197" s="34">
        <f>SUMIFS('Renew &amp; Vac'!$S$53:$S$67,'Renew &amp; Vac'!$L$53:$L$67,$B197,'Renew &amp; Vac'!$O$53:$O$67,"&lt;="&amp;J$183,'Renew &amp; Vac'!$P$53:$P$67,"&gt;="&amp;J$183)+SUMIFS('Renew &amp; Vac'!$H$53:$H$67,'Renew &amp; Vac'!$A$53:$A$67,$B197,'Renew &amp; Vac'!$D$53:$D$67,"&lt;="&amp;J$183,'Renew &amp; Vac'!$E$53:$E$67,"&gt;="&amp;J$183)</f>
        <v>0</v>
      </c>
      <c r="K197" s="34">
        <f>SUMIFS('Renew &amp; Vac'!$S$53:$S$67,'Renew &amp; Vac'!$L$53:$L$67,$B197,'Renew &amp; Vac'!$O$53:$O$67,"&lt;="&amp;K$183,'Renew &amp; Vac'!$P$53:$P$67,"&gt;="&amp;K$183)+SUMIFS('Renew &amp; Vac'!$H$53:$H$67,'Renew &amp; Vac'!$A$53:$A$67,$B197,'Renew &amp; Vac'!$D$53:$D$67,"&lt;="&amp;K$183,'Renew &amp; Vac'!$E$53:$E$67,"&gt;="&amp;K$183)</f>
        <v>0</v>
      </c>
      <c r="L197" s="34">
        <f>SUMIFS('Renew &amp; Vac'!$S$53:$S$67,'Renew &amp; Vac'!$L$53:$L$67,$B197,'Renew &amp; Vac'!$O$53:$O$67,"&lt;="&amp;L$183,'Renew &amp; Vac'!$P$53:$P$67,"&gt;="&amp;L$183)+SUMIFS('Renew &amp; Vac'!$H$53:$H$67,'Renew &amp; Vac'!$A$53:$A$67,$B197,'Renew &amp; Vac'!$D$53:$D$67,"&lt;="&amp;L$183,'Renew &amp; Vac'!$E$53:$E$67,"&gt;="&amp;L$183)</f>
        <v>0</v>
      </c>
      <c r="M197" s="34">
        <f>SUMIFS('Renew &amp; Vac'!$S$53:$S$67,'Renew &amp; Vac'!$L$53:$L$67,$B197,'Renew &amp; Vac'!$O$53:$O$67,"&lt;="&amp;M$183,'Renew &amp; Vac'!$P$53:$P$67,"&gt;="&amp;M$183)+SUMIFS('Renew &amp; Vac'!$H$53:$H$67,'Renew &amp; Vac'!$A$53:$A$67,$B197,'Renew &amp; Vac'!$D$53:$D$67,"&lt;="&amp;M$183,'Renew &amp; Vac'!$E$53:$E$67,"&gt;="&amp;M$183)</f>
        <v>0</v>
      </c>
      <c r="N197" s="34">
        <f>SUMIFS('Renew &amp; Vac'!$S$53:$S$67,'Renew &amp; Vac'!$L$53:$L$67,$B197,'Renew &amp; Vac'!$O$53:$O$67,"&lt;="&amp;N$183,'Renew &amp; Vac'!$P$53:$P$67,"&gt;="&amp;N$183)+SUMIFS('Renew &amp; Vac'!$H$53:$H$67,'Renew &amp; Vac'!$A$53:$A$67,$B197,'Renew &amp; Vac'!$D$53:$D$67,"&lt;="&amp;N$183,'Renew &amp; Vac'!$E$53:$E$67,"&gt;="&amp;N$183)</f>
        <v>0</v>
      </c>
      <c r="O197" s="34">
        <f>SUMIFS('Renew &amp; Vac'!$S$53:$S$67,'Renew &amp; Vac'!$L$53:$L$67,$B197,'Renew &amp; Vac'!$O$53:$O$67,"&lt;="&amp;O$183,'Renew &amp; Vac'!$P$53:$P$67,"&gt;="&amp;O$183)+SUMIFS('Renew &amp; Vac'!$H$53:$H$67,'Renew &amp; Vac'!$A$53:$A$67,$B197,'Renew &amp; Vac'!$D$53:$D$67,"&lt;="&amp;O$183,'Renew &amp; Vac'!$E$53:$E$67,"&gt;="&amp;O$183)</f>
        <v>0</v>
      </c>
      <c r="P197" s="34">
        <f>SUMIFS('Renew &amp; Vac'!$S$53:$S$67,'Renew &amp; Vac'!$L$53:$L$67,$B197,'Renew &amp; Vac'!$O$53:$O$67,"&lt;="&amp;P$183,'Renew &amp; Vac'!$P$53:$P$67,"&gt;="&amp;P$183)+SUMIFS('Renew &amp; Vac'!$H$53:$H$67,'Renew &amp; Vac'!$A$53:$A$67,$B197,'Renew &amp; Vac'!$D$53:$D$67,"&lt;="&amp;P$183,'Renew &amp; Vac'!$E$53:$E$67,"&gt;="&amp;P$183)</f>
        <v>0</v>
      </c>
      <c r="Q197" s="36">
        <f t="shared" si="45"/>
        <v>0</v>
      </c>
    </row>
    <row r="198" spans="1:20" outlineLevel="1" x14ac:dyDescent="0.35">
      <c r="B198" s="127" t="str">
        <f t="shared" si="44"/>
        <v>4070-403</v>
      </c>
      <c r="D198" s="34" t="str">
        <f>IFERROR(VLOOKUP(B198,'Renew &amp; Vac'!$A$53:$B$67,2,FALSE),IFERROR(VLOOKUP(B198,'Renew &amp; Vac'!$L$53:$M$67,2,FALSE),VLOOKUP(B198,$B$162:$D$178,3,FALSE)))</f>
        <v>VACANT</v>
      </c>
      <c r="E198" s="34">
        <f>SUMIFS('Renew &amp; Vac'!$S$53:$S$67,'Renew &amp; Vac'!$L$53:$L$67,$B198,'Renew &amp; Vac'!$O$53:$O$67,"&lt;="&amp;E$183,'Renew &amp; Vac'!$P$53:$P$67,"&gt;="&amp;E$183)+SUMIFS('Renew &amp; Vac'!$H$53:$H$67,'Renew &amp; Vac'!$A$53:$A$67,$B198,'Renew &amp; Vac'!$D$53:$D$67,"&lt;="&amp;E$183,'Renew &amp; Vac'!$E$53:$E$67,"&gt;="&amp;E$183)</f>
        <v>0</v>
      </c>
      <c r="F198" s="34">
        <f>SUMIFS('Renew &amp; Vac'!$S$53:$S$67,'Renew &amp; Vac'!$L$53:$L$67,$B198,'Renew &amp; Vac'!$O$53:$O$67,"&lt;="&amp;F$183,'Renew &amp; Vac'!$P$53:$P$67,"&gt;="&amp;F$183)+SUMIFS('Renew &amp; Vac'!$H$53:$H$67,'Renew &amp; Vac'!$A$53:$A$67,$B198,'Renew &amp; Vac'!$D$53:$D$67,"&lt;="&amp;F$183,'Renew &amp; Vac'!$E$53:$E$67,"&gt;="&amp;F$183)</f>
        <v>0</v>
      </c>
      <c r="G198" s="34">
        <f>SUMIFS('Renew &amp; Vac'!$S$53:$S$67,'Renew &amp; Vac'!$L$53:$L$67,$B198,'Renew &amp; Vac'!$O$53:$O$67,"&lt;="&amp;G$183,'Renew &amp; Vac'!$P$53:$P$67,"&gt;="&amp;G$183)+SUMIFS('Renew &amp; Vac'!$H$53:$H$67,'Renew &amp; Vac'!$A$53:$A$67,$B198,'Renew &amp; Vac'!$D$53:$D$67,"&lt;="&amp;G$183,'Renew &amp; Vac'!$E$53:$E$67,"&gt;="&amp;G$183)</f>
        <v>0</v>
      </c>
      <c r="H198" s="34">
        <f>SUMIFS('Renew &amp; Vac'!$S$53:$S$67,'Renew &amp; Vac'!$L$53:$L$67,$B198,'Renew &amp; Vac'!$O$53:$O$67,"&lt;="&amp;H$183,'Renew &amp; Vac'!$P$53:$P$67,"&gt;="&amp;H$183)+SUMIFS('Renew &amp; Vac'!$H$53:$H$67,'Renew &amp; Vac'!$A$53:$A$67,$B198,'Renew &amp; Vac'!$D$53:$D$67,"&lt;="&amp;H$183,'Renew &amp; Vac'!$E$53:$E$67,"&gt;="&amp;H$183)</f>
        <v>5151.25</v>
      </c>
      <c r="I198" s="34">
        <f>SUMIFS('Renew &amp; Vac'!$S$53:$S$67,'Renew &amp; Vac'!$L$53:$L$67,$B198,'Renew &amp; Vac'!$O$53:$O$67,"&lt;="&amp;I$183,'Renew &amp; Vac'!$P$53:$P$67,"&gt;="&amp;I$183)+SUMIFS('Renew &amp; Vac'!$H$53:$H$67,'Renew &amp; Vac'!$A$53:$A$67,$B198,'Renew &amp; Vac'!$D$53:$D$67,"&lt;="&amp;I$183,'Renew &amp; Vac'!$E$53:$E$67,"&gt;="&amp;I$183)</f>
        <v>5151.25</v>
      </c>
      <c r="J198" s="34">
        <f>SUMIFS('Renew &amp; Vac'!$S$53:$S$67,'Renew &amp; Vac'!$L$53:$L$67,$B198,'Renew &amp; Vac'!$O$53:$O$67,"&lt;="&amp;J$183,'Renew &amp; Vac'!$P$53:$P$67,"&gt;="&amp;J$183)+SUMIFS('Renew &amp; Vac'!$H$53:$H$67,'Renew &amp; Vac'!$A$53:$A$67,$B198,'Renew &amp; Vac'!$D$53:$D$67,"&lt;="&amp;J$183,'Renew &amp; Vac'!$E$53:$E$67,"&gt;="&amp;J$183)</f>
        <v>5151.25</v>
      </c>
      <c r="K198" s="34">
        <f>SUMIFS('Renew &amp; Vac'!$S$53:$S$67,'Renew &amp; Vac'!$L$53:$L$67,$B198,'Renew &amp; Vac'!$O$53:$O$67,"&lt;="&amp;K$183,'Renew &amp; Vac'!$P$53:$P$67,"&gt;="&amp;K$183)+SUMIFS('Renew &amp; Vac'!$H$53:$H$67,'Renew &amp; Vac'!$A$53:$A$67,$B198,'Renew &amp; Vac'!$D$53:$D$67,"&lt;="&amp;K$183,'Renew &amp; Vac'!$E$53:$E$67,"&gt;="&amp;K$183)</f>
        <v>5151.25</v>
      </c>
      <c r="L198" s="34">
        <f>SUMIFS('Renew &amp; Vac'!$S$53:$S$67,'Renew &amp; Vac'!$L$53:$L$67,$B198,'Renew &amp; Vac'!$O$53:$O$67,"&lt;="&amp;L$183,'Renew &amp; Vac'!$P$53:$P$67,"&gt;="&amp;L$183)+SUMIFS('Renew &amp; Vac'!$H$53:$H$67,'Renew &amp; Vac'!$A$53:$A$67,$B198,'Renew &amp; Vac'!$D$53:$D$67,"&lt;="&amp;L$183,'Renew &amp; Vac'!$E$53:$E$67,"&gt;="&amp;L$183)</f>
        <v>5151.25</v>
      </c>
      <c r="M198" s="34">
        <f>SUMIFS('Renew &amp; Vac'!$S$53:$S$67,'Renew &amp; Vac'!$L$53:$L$67,$B198,'Renew &amp; Vac'!$O$53:$O$67,"&lt;="&amp;M$183,'Renew &amp; Vac'!$P$53:$P$67,"&gt;="&amp;M$183)+SUMIFS('Renew &amp; Vac'!$H$53:$H$67,'Renew &amp; Vac'!$A$53:$A$67,$B198,'Renew &amp; Vac'!$D$53:$D$67,"&lt;="&amp;M$183,'Renew &amp; Vac'!$E$53:$E$67,"&gt;="&amp;M$183)</f>
        <v>5151.25</v>
      </c>
      <c r="N198" s="34">
        <f>SUMIFS('Renew &amp; Vac'!$S$53:$S$67,'Renew &amp; Vac'!$L$53:$L$67,$B198,'Renew &amp; Vac'!$O$53:$O$67,"&lt;="&amp;N$183,'Renew &amp; Vac'!$P$53:$P$67,"&gt;="&amp;N$183)+SUMIFS('Renew &amp; Vac'!$H$53:$H$67,'Renew &amp; Vac'!$A$53:$A$67,$B198,'Renew &amp; Vac'!$D$53:$D$67,"&lt;="&amp;N$183,'Renew &amp; Vac'!$E$53:$E$67,"&gt;="&amp;N$183)</f>
        <v>5151.25</v>
      </c>
      <c r="O198" s="34">
        <f>SUMIFS('Renew &amp; Vac'!$S$53:$S$67,'Renew &amp; Vac'!$L$53:$L$67,$B198,'Renew &amp; Vac'!$O$53:$O$67,"&lt;="&amp;O$183,'Renew &amp; Vac'!$P$53:$P$67,"&gt;="&amp;O$183)+SUMIFS('Renew &amp; Vac'!$H$53:$H$67,'Renew &amp; Vac'!$A$53:$A$67,$B198,'Renew &amp; Vac'!$D$53:$D$67,"&lt;="&amp;O$183,'Renew &amp; Vac'!$E$53:$E$67,"&gt;="&amp;O$183)</f>
        <v>5151.25</v>
      </c>
      <c r="P198" s="34">
        <f>SUMIFS('Renew &amp; Vac'!$S$53:$S$67,'Renew &amp; Vac'!$L$53:$L$67,$B198,'Renew &amp; Vac'!$O$53:$O$67,"&lt;="&amp;P$183,'Renew &amp; Vac'!$P$53:$P$67,"&gt;="&amp;P$183)+SUMIFS('Renew &amp; Vac'!$H$53:$H$67,'Renew &amp; Vac'!$A$53:$A$67,$B198,'Renew &amp; Vac'!$D$53:$D$67,"&lt;="&amp;P$183,'Renew &amp; Vac'!$E$53:$E$67,"&gt;="&amp;P$183)</f>
        <v>5151.25</v>
      </c>
      <c r="Q198" s="36">
        <f t="shared" si="45"/>
        <v>46361.25</v>
      </c>
    </row>
    <row r="199" spans="1:20" outlineLevel="1" x14ac:dyDescent="0.35">
      <c r="B199" s="127" t="str">
        <f t="shared" si="44"/>
        <v>4070-411</v>
      </c>
      <c r="D199" s="34" t="str">
        <f>IFERROR(VLOOKUP(B199,'Renew &amp; Vac'!$A$53:$B$67,2,FALSE),IFERROR(VLOOKUP(B199,'Renew &amp; Vac'!$L$53:$M$67,2,FALSE),VLOOKUP(B199,$B$162:$D$178,3,FALSE)))</f>
        <v>Refresh Management, LLC</v>
      </c>
      <c r="E199" s="34">
        <f>SUMIFS('Renew &amp; Vac'!$S$53:$S$67,'Renew &amp; Vac'!$L$53:$L$67,$B199,'Renew &amp; Vac'!$O$53:$O$67,"&lt;="&amp;E$183,'Renew &amp; Vac'!$P$53:$P$67,"&gt;="&amp;E$183)+SUMIFS('Renew &amp; Vac'!$H$53:$H$67,'Renew &amp; Vac'!$A$53:$A$67,$B199,'Renew &amp; Vac'!$D$53:$D$67,"&lt;="&amp;E$183,'Renew &amp; Vac'!$E$53:$E$67,"&gt;="&amp;E$183)</f>
        <v>0</v>
      </c>
      <c r="F199" s="34">
        <f>SUMIFS('Renew &amp; Vac'!$S$53:$S$67,'Renew &amp; Vac'!$L$53:$L$67,$B199,'Renew &amp; Vac'!$O$53:$O$67,"&lt;="&amp;F$183,'Renew &amp; Vac'!$P$53:$P$67,"&gt;="&amp;F$183)+SUMIFS('Renew &amp; Vac'!$H$53:$H$67,'Renew &amp; Vac'!$A$53:$A$67,$B199,'Renew &amp; Vac'!$D$53:$D$67,"&lt;="&amp;F$183,'Renew &amp; Vac'!$E$53:$E$67,"&gt;="&amp;F$183)</f>
        <v>0</v>
      </c>
      <c r="G199" s="34">
        <f>SUMIFS('Renew &amp; Vac'!$S$53:$S$67,'Renew &amp; Vac'!$L$53:$L$67,$B199,'Renew &amp; Vac'!$O$53:$O$67,"&lt;="&amp;G$183,'Renew &amp; Vac'!$P$53:$P$67,"&gt;="&amp;G$183)+SUMIFS('Renew &amp; Vac'!$H$53:$H$67,'Renew &amp; Vac'!$A$53:$A$67,$B199,'Renew &amp; Vac'!$D$53:$D$67,"&lt;="&amp;G$183,'Renew &amp; Vac'!$E$53:$E$67,"&gt;="&amp;G$183)</f>
        <v>0</v>
      </c>
      <c r="H199" s="34">
        <f>SUMIFS('Renew &amp; Vac'!$S$53:$S$67,'Renew &amp; Vac'!$L$53:$L$67,$B199,'Renew &amp; Vac'!$O$53:$O$67,"&lt;="&amp;H$183,'Renew &amp; Vac'!$P$53:$P$67,"&gt;="&amp;H$183)+SUMIFS('Renew &amp; Vac'!$H$53:$H$67,'Renew &amp; Vac'!$A$53:$A$67,$B199,'Renew &amp; Vac'!$D$53:$D$67,"&lt;="&amp;H$183,'Renew &amp; Vac'!$E$53:$E$67,"&gt;="&amp;H$183)</f>
        <v>0</v>
      </c>
      <c r="I199" s="34">
        <f>SUMIFS('Renew &amp; Vac'!$S$53:$S$67,'Renew &amp; Vac'!$L$53:$L$67,$B199,'Renew &amp; Vac'!$O$53:$O$67,"&lt;="&amp;I$183,'Renew &amp; Vac'!$P$53:$P$67,"&gt;="&amp;I$183)+SUMIFS('Renew &amp; Vac'!$H$53:$H$67,'Renew &amp; Vac'!$A$53:$A$67,$B199,'Renew &amp; Vac'!$D$53:$D$67,"&lt;="&amp;I$183,'Renew &amp; Vac'!$E$53:$E$67,"&gt;="&amp;I$183)</f>
        <v>0</v>
      </c>
      <c r="J199" s="34">
        <f>SUMIFS('Renew &amp; Vac'!$S$53:$S$67,'Renew &amp; Vac'!$L$53:$L$67,$B199,'Renew &amp; Vac'!$O$53:$O$67,"&lt;="&amp;J$183,'Renew &amp; Vac'!$P$53:$P$67,"&gt;="&amp;J$183)+SUMIFS('Renew &amp; Vac'!$H$53:$H$67,'Renew &amp; Vac'!$A$53:$A$67,$B199,'Renew &amp; Vac'!$D$53:$D$67,"&lt;="&amp;J$183,'Renew &amp; Vac'!$E$53:$E$67,"&gt;="&amp;J$183)</f>
        <v>0</v>
      </c>
      <c r="K199" s="34">
        <f>SUMIFS('Renew &amp; Vac'!$S$53:$S$67,'Renew &amp; Vac'!$L$53:$L$67,$B199,'Renew &amp; Vac'!$O$53:$O$67,"&lt;="&amp;K$183,'Renew &amp; Vac'!$P$53:$P$67,"&gt;="&amp;K$183)+SUMIFS('Renew &amp; Vac'!$H$53:$H$67,'Renew &amp; Vac'!$A$53:$A$67,$B199,'Renew &amp; Vac'!$D$53:$D$67,"&lt;="&amp;K$183,'Renew &amp; Vac'!$E$53:$E$67,"&gt;="&amp;K$183)</f>
        <v>0</v>
      </c>
      <c r="L199" s="34">
        <f>SUMIFS('Renew &amp; Vac'!$S$53:$S$67,'Renew &amp; Vac'!$L$53:$L$67,$B199,'Renew &amp; Vac'!$O$53:$O$67,"&lt;="&amp;L$183,'Renew &amp; Vac'!$P$53:$P$67,"&gt;="&amp;L$183)+SUMIFS('Renew &amp; Vac'!$H$53:$H$67,'Renew &amp; Vac'!$A$53:$A$67,$B199,'Renew &amp; Vac'!$D$53:$D$67,"&lt;="&amp;L$183,'Renew &amp; Vac'!$E$53:$E$67,"&gt;="&amp;L$183)</f>
        <v>0</v>
      </c>
      <c r="M199" s="34">
        <f>SUMIFS('Renew &amp; Vac'!$S$53:$S$67,'Renew &amp; Vac'!$L$53:$L$67,$B199,'Renew &amp; Vac'!$O$53:$O$67,"&lt;="&amp;M$183,'Renew &amp; Vac'!$P$53:$P$67,"&gt;="&amp;M$183)+SUMIFS('Renew &amp; Vac'!$H$53:$H$67,'Renew &amp; Vac'!$A$53:$A$67,$B199,'Renew &amp; Vac'!$D$53:$D$67,"&lt;="&amp;M$183,'Renew &amp; Vac'!$E$53:$E$67,"&gt;="&amp;M$183)</f>
        <v>0</v>
      </c>
      <c r="N199" s="34">
        <f>SUMIFS('Renew &amp; Vac'!$S$53:$S$67,'Renew &amp; Vac'!$L$53:$L$67,$B199,'Renew &amp; Vac'!$O$53:$O$67,"&lt;="&amp;N$183,'Renew &amp; Vac'!$P$53:$P$67,"&gt;="&amp;N$183)+SUMIFS('Renew &amp; Vac'!$H$53:$H$67,'Renew &amp; Vac'!$A$53:$A$67,$B199,'Renew &amp; Vac'!$D$53:$D$67,"&lt;="&amp;N$183,'Renew &amp; Vac'!$E$53:$E$67,"&gt;="&amp;N$183)</f>
        <v>0</v>
      </c>
      <c r="O199" s="34">
        <f>SUMIFS('Renew &amp; Vac'!$S$53:$S$67,'Renew &amp; Vac'!$L$53:$L$67,$B199,'Renew &amp; Vac'!$O$53:$O$67,"&lt;="&amp;O$183,'Renew &amp; Vac'!$P$53:$P$67,"&gt;="&amp;O$183)+SUMIFS('Renew &amp; Vac'!$H$53:$H$67,'Renew &amp; Vac'!$A$53:$A$67,$B199,'Renew &amp; Vac'!$D$53:$D$67,"&lt;="&amp;O$183,'Renew &amp; Vac'!$E$53:$E$67,"&gt;="&amp;O$183)</f>
        <v>0</v>
      </c>
      <c r="P199" s="34">
        <f>SUMIFS('Renew &amp; Vac'!$S$53:$S$67,'Renew &amp; Vac'!$L$53:$L$67,$B199,'Renew &amp; Vac'!$O$53:$O$67,"&lt;="&amp;P$183,'Renew &amp; Vac'!$P$53:$P$67,"&gt;="&amp;P$183)+SUMIFS('Renew &amp; Vac'!$H$53:$H$67,'Renew &amp; Vac'!$A$53:$A$67,$B199,'Renew &amp; Vac'!$D$53:$D$67,"&lt;="&amp;P$183,'Renew &amp; Vac'!$E$53:$E$67,"&gt;="&amp;P$183)</f>
        <v>0</v>
      </c>
      <c r="Q199" s="36">
        <f t="shared" si="45"/>
        <v>0</v>
      </c>
    </row>
    <row r="200" spans="1:20" outlineLevel="1" x14ac:dyDescent="0.35">
      <c r="B200" s="520" t="str">
        <f t="shared" si="44"/>
        <v>4070-415</v>
      </c>
      <c r="C200" s="43"/>
      <c r="D200" s="43" t="str">
        <f>IFERROR(VLOOKUP(B200,'Renew &amp; Vac'!$A$53:$B$67,2,FALSE),IFERROR(VLOOKUP(B200,'Renew &amp; Vac'!$L$53:$M$67,2,FALSE),VLOOKUP(B200,$B$162:$D$178,3,FALSE)))</f>
        <v>Veltri, Inc.</v>
      </c>
      <c r="E200" s="43">
        <f>SUMIFS('Renew &amp; Vac'!$S$53:$S$67,'Renew &amp; Vac'!$L$53:$L$67,$B200,'Renew &amp; Vac'!$O$53:$O$67,"&lt;="&amp;E$183,'Renew &amp; Vac'!$P$53:$P$67,"&gt;="&amp;E$183)+SUMIFS('Renew &amp; Vac'!$H$53:$H$67,'Renew &amp; Vac'!$A$53:$A$67,$B200,'Renew &amp; Vac'!$D$53:$D$67,"&lt;="&amp;E$183,'Renew &amp; Vac'!$E$53:$E$67,"&gt;="&amp;E$183)</f>
        <v>0</v>
      </c>
      <c r="F200" s="43">
        <f>SUMIFS('Renew &amp; Vac'!$S$53:$S$67,'Renew &amp; Vac'!$L$53:$L$67,$B200,'Renew &amp; Vac'!$O$53:$O$67,"&lt;="&amp;F$183,'Renew &amp; Vac'!$P$53:$P$67,"&gt;="&amp;F$183)+SUMIFS('Renew &amp; Vac'!$H$53:$H$67,'Renew &amp; Vac'!$A$53:$A$67,$B200,'Renew &amp; Vac'!$D$53:$D$67,"&lt;="&amp;F$183,'Renew &amp; Vac'!$E$53:$E$67,"&gt;="&amp;F$183)</f>
        <v>0</v>
      </c>
      <c r="G200" s="43">
        <f>SUMIFS('Renew &amp; Vac'!$S$53:$S$67,'Renew &amp; Vac'!$L$53:$L$67,$B200,'Renew &amp; Vac'!$O$53:$O$67,"&lt;="&amp;G$183,'Renew &amp; Vac'!$P$53:$P$67,"&gt;="&amp;G$183)+SUMIFS('Renew &amp; Vac'!$H$53:$H$67,'Renew &amp; Vac'!$A$53:$A$67,$B200,'Renew &amp; Vac'!$D$53:$D$67,"&lt;="&amp;G$183,'Renew &amp; Vac'!$E$53:$E$67,"&gt;="&amp;G$183)</f>
        <v>0</v>
      </c>
      <c r="H200" s="43">
        <f>SUMIFS('Renew &amp; Vac'!$S$53:$S$67,'Renew &amp; Vac'!$L$53:$L$67,$B200,'Renew &amp; Vac'!$O$53:$O$67,"&lt;="&amp;H$183,'Renew &amp; Vac'!$P$53:$P$67,"&gt;="&amp;H$183)+SUMIFS('Renew &amp; Vac'!$H$53:$H$67,'Renew &amp; Vac'!$A$53:$A$67,$B200,'Renew &amp; Vac'!$D$53:$D$67,"&lt;="&amp;H$183,'Renew &amp; Vac'!$E$53:$E$67,"&gt;="&amp;H$183)</f>
        <v>0</v>
      </c>
      <c r="I200" s="43">
        <f>SUMIFS('Renew &amp; Vac'!$S$53:$S$67,'Renew &amp; Vac'!$L$53:$L$67,$B200,'Renew &amp; Vac'!$O$53:$O$67,"&lt;="&amp;I$183,'Renew &amp; Vac'!$P$53:$P$67,"&gt;="&amp;I$183)+SUMIFS('Renew &amp; Vac'!$H$53:$H$67,'Renew &amp; Vac'!$A$53:$A$67,$B200,'Renew &amp; Vac'!$D$53:$D$67,"&lt;="&amp;I$183,'Renew &amp; Vac'!$E$53:$E$67,"&gt;="&amp;I$183)</f>
        <v>0</v>
      </c>
      <c r="J200" s="43">
        <f>SUMIFS('Renew &amp; Vac'!$S$53:$S$67,'Renew &amp; Vac'!$L$53:$L$67,$B200,'Renew &amp; Vac'!$O$53:$O$67,"&lt;="&amp;J$183,'Renew &amp; Vac'!$P$53:$P$67,"&gt;="&amp;J$183)+SUMIFS('Renew &amp; Vac'!$H$53:$H$67,'Renew &amp; Vac'!$A$53:$A$67,$B200,'Renew &amp; Vac'!$D$53:$D$67,"&lt;="&amp;J$183,'Renew &amp; Vac'!$E$53:$E$67,"&gt;="&amp;J$183)</f>
        <v>0</v>
      </c>
      <c r="K200" s="43">
        <f>SUMIFS('Renew &amp; Vac'!$S$53:$S$67,'Renew &amp; Vac'!$L$53:$L$67,$B200,'Renew &amp; Vac'!$O$53:$O$67,"&lt;="&amp;K$183,'Renew &amp; Vac'!$P$53:$P$67,"&gt;="&amp;K$183)+SUMIFS('Renew &amp; Vac'!$H$53:$H$67,'Renew &amp; Vac'!$A$53:$A$67,$B200,'Renew &amp; Vac'!$D$53:$D$67,"&lt;="&amp;K$183,'Renew &amp; Vac'!$E$53:$E$67,"&gt;="&amp;K$183)</f>
        <v>0</v>
      </c>
      <c r="L200" s="43">
        <f>SUMIFS('Renew &amp; Vac'!$S$53:$S$67,'Renew &amp; Vac'!$L$53:$L$67,$B200,'Renew &amp; Vac'!$O$53:$O$67,"&lt;="&amp;L$183,'Renew &amp; Vac'!$P$53:$P$67,"&gt;="&amp;L$183)+SUMIFS('Renew &amp; Vac'!$H$53:$H$67,'Renew &amp; Vac'!$A$53:$A$67,$B200,'Renew &amp; Vac'!$D$53:$D$67,"&lt;="&amp;L$183,'Renew &amp; Vac'!$E$53:$E$67,"&gt;="&amp;L$183)</f>
        <v>0</v>
      </c>
      <c r="M200" s="43">
        <f>SUMIFS('Renew &amp; Vac'!$S$53:$S$67,'Renew &amp; Vac'!$L$53:$L$67,$B200,'Renew &amp; Vac'!$O$53:$O$67,"&lt;="&amp;M$183,'Renew &amp; Vac'!$P$53:$P$67,"&gt;="&amp;M$183)+SUMIFS('Renew &amp; Vac'!$H$53:$H$67,'Renew &amp; Vac'!$A$53:$A$67,$B200,'Renew &amp; Vac'!$D$53:$D$67,"&lt;="&amp;M$183,'Renew &amp; Vac'!$E$53:$E$67,"&gt;="&amp;M$183)</f>
        <v>0</v>
      </c>
      <c r="N200" s="43">
        <f>SUMIFS('Renew &amp; Vac'!$S$53:$S$67,'Renew &amp; Vac'!$L$53:$L$67,$B200,'Renew &amp; Vac'!$O$53:$O$67,"&lt;="&amp;N$183,'Renew &amp; Vac'!$P$53:$P$67,"&gt;="&amp;N$183)+SUMIFS('Renew &amp; Vac'!$H$53:$H$67,'Renew &amp; Vac'!$A$53:$A$67,$B200,'Renew &amp; Vac'!$D$53:$D$67,"&lt;="&amp;N$183,'Renew &amp; Vac'!$E$53:$E$67,"&gt;="&amp;N$183)</f>
        <v>0</v>
      </c>
      <c r="O200" s="43">
        <f>SUMIFS('Renew &amp; Vac'!$S$53:$S$67,'Renew &amp; Vac'!$L$53:$L$67,$B200,'Renew &amp; Vac'!$O$53:$O$67,"&lt;="&amp;O$183,'Renew &amp; Vac'!$P$53:$P$67,"&gt;="&amp;O$183)+SUMIFS('Renew &amp; Vac'!$H$53:$H$67,'Renew &amp; Vac'!$A$53:$A$67,$B200,'Renew &amp; Vac'!$D$53:$D$67,"&lt;="&amp;O$183,'Renew &amp; Vac'!$E$53:$E$67,"&gt;="&amp;O$183)</f>
        <v>0</v>
      </c>
      <c r="P200" s="43">
        <f>SUMIFS('Renew &amp; Vac'!$S$53:$S$67,'Renew &amp; Vac'!$L$53:$L$67,$B200,'Renew &amp; Vac'!$O$53:$O$67,"&lt;="&amp;P$183,'Renew &amp; Vac'!$P$53:$P$67,"&gt;="&amp;P$183)+SUMIFS('Renew &amp; Vac'!$H$53:$H$67,'Renew &amp; Vac'!$A$53:$A$67,$B200,'Renew &amp; Vac'!$D$53:$D$67,"&lt;="&amp;P$183,'Renew &amp; Vac'!$E$53:$E$67,"&gt;="&amp;P$183)</f>
        <v>0</v>
      </c>
      <c r="Q200" s="87">
        <f t="shared" si="45"/>
        <v>0</v>
      </c>
    </row>
    <row r="201" spans="1:20" outlineLevel="1" x14ac:dyDescent="0.35">
      <c r="B201" s="10"/>
      <c r="D201" s="44"/>
      <c r="E201" s="36">
        <f t="shared" ref="E201:Q201" si="46">SUM(E184:E200)</f>
        <v>8725.3333333333321</v>
      </c>
      <c r="F201" s="36">
        <f t="shared" si="46"/>
        <v>8725.3333333333321</v>
      </c>
      <c r="G201" s="36">
        <f t="shared" si="46"/>
        <v>8725.3333333333321</v>
      </c>
      <c r="H201" s="36">
        <f t="shared" si="46"/>
        <v>13876.583333333332</v>
      </c>
      <c r="I201" s="36">
        <f t="shared" si="46"/>
        <v>13876.583333333332</v>
      </c>
      <c r="J201" s="36">
        <f t="shared" si="46"/>
        <v>13876.583333333332</v>
      </c>
      <c r="K201" s="36">
        <f t="shared" si="46"/>
        <v>13876.583333333332</v>
      </c>
      <c r="L201" s="36">
        <f t="shared" si="46"/>
        <v>13876.583333333332</v>
      </c>
      <c r="M201" s="36">
        <f t="shared" si="46"/>
        <v>13876.583333333332</v>
      </c>
      <c r="N201" s="36">
        <f t="shared" si="46"/>
        <v>13876.583333333332</v>
      </c>
      <c r="O201" s="36">
        <f t="shared" si="46"/>
        <v>13876.583333333332</v>
      </c>
      <c r="P201" s="36">
        <f t="shared" si="46"/>
        <v>13294.541666666666</v>
      </c>
      <c r="Q201" s="36">
        <f t="shared" si="46"/>
        <v>150483.20833333334</v>
      </c>
    </row>
    <row r="202" spans="1:20" outlineLevel="1" x14ac:dyDescent="0.35">
      <c r="B202" s="10"/>
      <c r="E202" s="95">
        <f t="shared" ref="E202:Q202" si="47">E11-E201</f>
        <v>0</v>
      </c>
      <c r="F202" s="95">
        <f t="shared" si="47"/>
        <v>0</v>
      </c>
      <c r="G202" s="95">
        <f t="shared" si="47"/>
        <v>0</v>
      </c>
      <c r="H202" s="95">
        <f t="shared" si="47"/>
        <v>0</v>
      </c>
      <c r="I202" s="95">
        <f t="shared" si="47"/>
        <v>0</v>
      </c>
      <c r="J202" s="95">
        <f t="shared" si="47"/>
        <v>0</v>
      </c>
      <c r="K202" s="95">
        <f t="shared" si="47"/>
        <v>0</v>
      </c>
      <c r="L202" s="95">
        <f t="shared" si="47"/>
        <v>0</v>
      </c>
      <c r="M202" s="95">
        <f t="shared" si="47"/>
        <v>0</v>
      </c>
      <c r="N202" s="95">
        <f t="shared" si="47"/>
        <v>0</v>
      </c>
      <c r="O202" s="95">
        <f t="shared" si="47"/>
        <v>0</v>
      </c>
      <c r="P202" s="95">
        <f t="shared" si="47"/>
        <v>0</v>
      </c>
      <c r="Q202" s="95">
        <f t="shared" si="47"/>
        <v>0</v>
      </c>
    </row>
    <row r="203" spans="1:20" ht="17.149999999999999" customHeight="1" x14ac:dyDescent="0.35">
      <c r="B203" s="10"/>
    </row>
    <row r="204" spans="1:20" x14ac:dyDescent="0.35">
      <c r="A204" s="80"/>
      <c r="Q204" s="391"/>
      <c r="R204" s="391"/>
      <c r="S204" s="391"/>
      <c r="T204" s="388"/>
    </row>
    <row r="205" spans="1:20" x14ac:dyDescent="0.35">
      <c r="A205" s="80"/>
      <c r="Q205" s="391"/>
      <c r="R205" s="391"/>
      <c r="S205" s="391"/>
      <c r="T205" s="388"/>
    </row>
    <row r="206" spans="1:20" x14ac:dyDescent="0.35">
      <c r="A206" s="80"/>
      <c r="Q206" s="391"/>
      <c r="R206" s="391"/>
      <c r="S206" s="391"/>
      <c r="T206" s="388"/>
    </row>
    <row r="207" spans="1:20" x14ac:dyDescent="0.35">
      <c r="A207" s="80"/>
      <c r="Q207" s="391"/>
      <c r="R207" s="391"/>
      <c r="S207" s="391"/>
      <c r="T207" s="388"/>
    </row>
    <row r="208" spans="1:20" x14ac:dyDescent="0.35">
      <c r="A208" s="80"/>
      <c r="Q208" s="391"/>
      <c r="R208" s="391"/>
      <c r="S208" s="391"/>
      <c r="T208" s="388"/>
    </row>
    <row r="209" spans="1:20" x14ac:dyDescent="0.35">
      <c r="A209" s="80"/>
      <c r="Q209" s="391"/>
      <c r="R209" s="391"/>
      <c r="S209" s="391"/>
      <c r="T209" s="388"/>
    </row>
    <row r="210" spans="1:20" x14ac:dyDescent="0.35">
      <c r="A210" s="80"/>
      <c r="Q210" s="391"/>
      <c r="R210" s="391"/>
      <c r="S210" s="391"/>
      <c r="T210" s="388"/>
    </row>
    <row r="211" spans="1:20" x14ac:dyDescent="0.35">
      <c r="A211" s="80"/>
      <c r="Q211" s="391"/>
      <c r="R211" s="391"/>
      <c r="S211" s="391"/>
      <c r="T211" s="388"/>
    </row>
    <row r="212" spans="1:20" x14ac:dyDescent="0.35">
      <c r="A212" s="80"/>
      <c r="Q212" s="391"/>
      <c r="R212" s="391"/>
      <c r="S212" s="391"/>
      <c r="T212" s="388"/>
    </row>
    <row r="213" spans="1:20" ht="18" x14ac:dyDescent="0.35">
      <c r="A213" s="80"/>
      <c r="D213" s="35" t="str">
        <f>"Budget Import - "&amp;B1</f>
        <v>Budget Import - 4070</v>
      </c>
      <c r="E213" s="532">
        <v>5</v>
      </c>
      <c r="F213" s="533">
        <f>E213+1</f>
        <v>6</v>
      </c>
      <c r="G213" s="533">
        <f t="shared" ref="G213:P213" si="48">F213+1</f>
        <v>7</v>
      </c>
      <c r="H213" s="533">
        <f t="shared" si="48"/>
        <v>8</v>
      </c>
      <c r="I213" s="533">
        <f t="shared" si="48"/>
        <v>9</v>
      </c>
      <c r="J213" s="533">
        <f t="shared" si="48"/>
        <v>10</v>
      </c>
      <c r="K213" s="533">
        <f t="shared" si="48"/>
        <v>11</v>
      </c>
      <c r="L213" s="533">
        <f t="shared" si="48"/>
        <v>12</v>
      </c>
      <c r="M213" s="533">
        <f t="shared" si="48"/>
        <v>13</v>
      </c>
      <c r="N213" s="533">
        <f t="shared" si="48"/>
        <v>14</v>
      </c>
      <c r="O213" s="533">
        <f t="shared" si="48"/>
        <v>15</v>
      </c>
      <c r="P213" s="533">
        <f t="shared" si="48"/>
        <v>16</v>
      </c>
      <c r="Q213" s="533" t="s">
        <v>664</v>
      </c>
      <c r="R213" s="391"/>
      <c r="S213" s="391"/>
      <c r="T213" s="388"/>
    </row>
    <row r="214" spans="1:20" ht="16.5" thickBot="1" x14ac:dyDescent="0.4">
      <c r="A214" s="80"/>
      <c r="D214" s="34" t="s">
        <v>100</v>
      </c>
      <c r="E214" s="34">
        <v>1</v>
      </c>
      <c r="F214" s="34">
        <v>2</v>
      </c>
      <c r="G214" s="34">
        <v>3</v>
      </c>
      <c r="H214" s="34">
        <v>4</v>
      </c>
      <c r="I214" s="34">
        <v>5</v>
      </c>
      <c r="J214" s="34">
        <v>6</v>
      </c>
      <c r="K214" s="34">
        <v>7</v>
      </c>
      <c r="L214" s="34">
        <v>8</v>
      </c>
      <c r="M214" s="34">
        <v>9</v>
      </c>
      <c r="N214" s="34">
        <v>10</v>
      </c>
      <c r="O214" s="34">
        <v>11</v>
      </c>
      <c r="P214" s="34">
        <v>12</v>
      </c>
      <c r="Q214" s="391" t="s">
        <v>12</v>
      </c>
      <c r="R214" s="391"/>
      <c r="S214" s="391"/>
      <c r="T214" s="388"/>
    </row>
    <row r="215" spans="1:20" x14ac:dyDescent="0.35">
      <c r="A215" s="534" t="str">
        <f>VLOOKUP($D215,$A$10:$D$130,3,FALSE)</f>
        <v>Rental Income - In Place</v>
      </c>
      <c r="D215" s="101" t="s">
        <v>136</v>
      </c>
      <c r="E215" s="102">
        <f>-(VLOOKUP($D215,$A$10:$P$131,E$213,FALSE)+E11)</f>
        <v>-71290.383333333331</v>
      </c>
      <c r="F215" s="102">
        <f t="shared" ref="F215:P215" si="49">-(VLOOKUP($D215,$A$10:$P$131,F$213,FALSE)+F11)</f>
        <v>-71290.383333333331</v>
      </c>
      <c r="G215" s="102">
        <f t="shared" si="49"/>
        <v>-71290.383333333331</v>
      </c>
      <c r="H215" s="102">
        <f t="shared" si="49"/>
        <v>-76441.633333333331</v>
      </c>
      <c r="I215" s="102">
        <f t="shared" si="49"/>
        <v>-76441.633333333331</v>
      </c>
      <c r="J215" s="102">
        <f t="shared" si="49"/>
        <v>-76579.473333333328</v>
      </c>
      <c r="K215" s="102">
        <f t="shared" si="49"/>
        <v>-76740.343333333338</v>
      </c>
      <c r="L215" s="102">
        <f t="shared" si="49"/>
        <v>-76814.133333333331</v>
      </c>
      <c r="M215" s="102">
        <f t="shared" si="49"/>
        <v>-76814.133333333331</v>
      </c>
      <c r="N215" s="102">
        <f t="shared" si="49"/>
        <v>-76814.133333333331</v>
      </c>
      <c r="O215" s="102">
        <f t="shared" si="49"/>
        <v>-77362.853333333333</v>
      </c>
      <c r="P215" s="103">
        <f t="shared" si="49"/>
        <v>-74541.181666666671</v>
      </c>
      <c r="Q215" s="456">
        <f>SUM(E215:P215)</f>
        <v>-902420.66833333322</v>
      </c>
      <c r="R215" s="456"/>
      <c r="S215" s="391"/>
      <c r="T215" s="388"/>
    </row>
    <row r="216" spans="1:20" x14ac:dyDescent="0.35">
      <c r="A216" s="534" t="str">
        <f t="shared" ref="A216:A238" si="50">VLOOKUP($D216,$A$10:$D$130,3,FALSE)</f>
        <v>Electric</v>
      </c>
      <c r="D216" s="104" t="s">
        <v>102</v>
      </c>
      <c r="E216" s="105">
        <f t="shared" ref="E216:P218" si="51">-VLOOKUP($D216,$A$10:$P$131,E$213,FALSE)</f>
        <v>-10798.8408</v>
      </c>
      <c r="F216" s="105">
        <f t="shared" si="51"/>
        <v>-9799.7955000000002</v>
      </c>
      <c r="G216" s="105">
        <f t="shared" si="51"/>
        <v>-9063.5109000000011</v>
      </c>
      <c r="H216" s="105">
        <f t="shared" si="51"/>
        <v>-8579.0133000000005</v>
      </c>
      <c r="I216" s="105">
        <f t="shared" si="51"/>
        <v>-8549.9621999999999</v>
      </c>
      <c r="J216" s="105">
        <f t="shared" si="51"/>
        <v>-8678.0850000000009</v>
      </c>
      <c r="K216" s="105">
        <f t="shared" si="51"/>
        <v>-9654.6489000000001</v>
      </c>
      <c r="L216" s="105">
        <f t="shared" si="51"/>
        <v>-8651.2685999999994</v>
      </c>
      <c r="M216" s="105">
        <f t="shared" si="51"/>
        <v>-7441.5510000000004</v>
      </c>
      <c r="N216" s="105">
        <f t="shared" si="51"/>
        <v>-8679.5748000000003</v>
      </c>
      <c r="O216" s="105">
        <f t="shared" si="51"/>
        <v>-7933.9299000000001</v>
      </c>
      <c r="P216" s="106">
        <f t="shared" si="51"/>
        <v>-10210.765500000001</v>
      </c>
      <c r="Q216" s="456">
        <f t="shared" ref="Q216:Q248" si="52">SUM(E216:P216)</f>
        <v>-108040.94640000002</v>
      </c>
      <c r="R216" s="456"/>
      <c r="S216" s="391"/>
      <c r="T216" s="388"/>
    </row>
    <row r="217" spans="1:20" x14ac:dyDescent="0.35">
      <c r="A217" s="534" t="str">
        <f t="shared" si="50"/>
        <v>Common Area Maintenance</v>
      </c>
      <c r="D217" s="104" t="s">
        <v>103</v>
      </c>
      <c r="E217" s="105">
        <f t="shared" si="51"/>
        <v>-8500</v>
      </c>
      <c r="F217" s="105">
        <f t="shared" si="51"/>
        <v>-8500</v>
      </c>
      <c r="G217" s="105">
        <f t="shared" si="51"/>
        <v>-8500</v>
      </c>
      <c r="H217" s="105">
        <f t="shared" si="51"/>
        <v>-8500</v>
      </c>
      <c r="I217" s="105">
        <f t="shared" si="51"/>
        <v>-8500</v>
      </c>
      <c r="J217" s="105">
        <f t="shared" si="51"/>
        <v>-8500</v>
      </c>
      <c r="K217" s="105">
        <f t="shared" si="51"/>
        <v>-8500</v>
      </c>
      <c r="L217" s="105">
        <f t="shared" si="51"/>
        <v>-8500</v>
      </c>
      <c r="M217" s="105">
        <f t="shared" si="51"/>
        <v>-8500</v>
      </c>
      <c r="N217" s="105">
        <f t="shared" si="51"/>
        <v>-8500</v>
      </c>
      <c r="O217" s="105">
        <f t="shared" si="51"/>
        <v>-8500</v>
      </c>
      <c r="P217" s="106">
        <f t="shared" si="51"/>
        <v>-8500</v>
      </c>
      <c r="Q217" s="456">
        <f t="shared" si="52"/>
        <v>-102000</v>
      </c>
      <c r="R217" s="456"/>
      <c r="S217" s="391"/>
      <c r="T217" s="388"/>
    </row>
    <row r="218" spans="1:20" x14ac:dyDescent="0.35">
      <c r="A218" s="534" t="str">
        <f t="shared" si="50"/>
        <v>Real Estate Taxes</v>
      </c>
      <c r="D218" s="104" t="s">
        <v>104</v>
      </c>
      <c r="E218" s="105">
        <f t="shared" si="51"/>
        <v>-400</v>
      </c>
      <c r="F218" s="105">
        <f t="shared" si="51"/>
        <v>-400</v>
      </c>
      <c r="G218" s="105">
        <f t="shared" si="51"/>
        <v>-400</v>
      </c>
      <c r="H218" s="105">
        <f t="shared" si="51"/>
        <v>-400</v>
      </c>
      <c r="I218" s="105">
        <f t="shared" si="51"/>
        <v>-400</v>
      </c>
      <c r="J218" s="105">
        <f t="shared" si="51"/>
        <v>-400</v>
      </c>
      <c r="K218" s="105">
        <f t="shared" si="51"/>
        <v>-400</v>
      </c>
      <c r="L218" s="105">
        <f t="shared" si="51"/>
        <v>-400</v>
      </c>
      <c r="M218" s="105">
        <f t="shared" si="51"/>
        <v>-400</v>
      </c>
      <c r="N218" s="105">
        <f t="shared" si="51"/>
        <v>-400</v>
      </c>
      <c r="O218" s="105">
        <f t="shared" si="51"/>
        <v>-400</v>
      </c>
      <c r="P218" s="106">
        <f t="shared" si="51"/>
        <v>-400</v>
      </c>
      <c r="Q218" s="456">
        <f t="shared" si="52"/>
        <v>-4800</v>
      </c>
      <c r="R218" s="456"/>
      <c r="S218" s="391"/>
      <c r="T218" s="388"/>
    </row>
    <row r="219" spans="1:20" x14ac:dyDescent="0.35">
      <c r="A219" s="534" t="str">
        <f t="shared" si="50"/>
        <v>Insurance</v>
      </c>
      <c r="D219" s="104" t="s">
        <v>139</v>
      </c>
      <c r="E219" s="105">
        <f>-VLOOKUP($D219,$A$10:$P$131,E$213,FALSE)</f>
        <v>0</v>
      </c>
      <c r="F219" s="105">
        <f t="shared" ref="F219:P219" si="53">-VLOOKUP($D219,$A$10:$P$131,F$213,FALSE)</f>
        <v>0</v>
      </c>
      <c r="G219" s="105">
        <f t="shared" si="53"/>
        <v>0</v>
      </c>
      <c r="H219" s="105">
        <f t="shared" si="53"/>
        <v>0</v>
      </c>
      <c r="I219" s="105">
        <f t="shared" si="53"/>
        <v>0</v>
      </c>
      <c r="J219" s="105">
        <f t="shared" si="53"/>
        <v>0</v>
      </c>
      <c r="K219" s="105">
        <f t="shared" si="53"/>
        <v>0</v>
      </c>
      <c r="L219" s="105">
        <f t="shared" si="53"/>
        <v>0</v>
      </c>
      <c r="M219" s="105">
        <f t="shared" si="53"/>
        <v>0</v>
      </c>
      <c r="N219" s="105">
        <f t="shared" si="53"/>
        <v>0</v>
      </c>
      <c r="O219" s="105">
        <f t="shared" si="53"/>
        <v>0</v>
      </c>
      <c r="P219" s="106">
        <f t="shared" si="53"/>
        <v>0</v>
      </c>
      <c r="Q219" s="456">
        <f>SUM(E219:P219)</f>
        <v>0</v>
      </c>
      <c r="R219" s="456"/>
      <c r="S219" s="391"/>
      <c r="T219" s="388"/>
    </row>
    <row r="220" spans="1:20" x14ac:dyDescent="0.35">
      <c r="A220" s="534" t="str">
        <f t="shared" si="50"/>
        <v>Maintenance Salaries</v>
      </c>
      <c r="D220" s="104" t="s">
        <v>105</v>
      </c>
      <c r="E220" s="105">
        <f>VLOOKUP($D220,$A$10:$P$131,E$213,FALSE)</f>
        <v>1258.3791290705528</v>
      </c>
      <c r="F220" s="105">
        <f t="shared" ref="F220:P235" si="54">VLOOKUP($D220,$A$10:$P$131,F$213,FALSE)</f>
        <v>1258.3791290705528</v>
      </c>
      <c r="G220" s="105">
        <f t="shared" si="54"/>
        <v>1258.3791290705528</v>
      </c>
      <c r="H220" s="105">
        <f t="shared" si="54"/>
        <v>1258.3791290705528</v>
      </c>
      <c r="I220" s="105">
        <f t="shared" si="54"/>
        <v>1258.3791290705528</v>
      </c>
      <c r="J220" s="105">
        <f t="shared" si="54"/>
        <v>1258.3791290705528</v>
      </c>
      <c r="K220" s="105">
        <f t="shared" si="54"/>
        <v>1258.3791290705528</v>
      </c>
      <c r="L220" s="105">
        <f t="shared" si="54"/>
        <v>1258.3791290705528</v>
      </c>
      <c r="M220" s="105">
        <f t="shared" si="54"/>
        <v>1258.3791290705528</v>
      </c>
      <c r="N220" s="105">
        <f t="shared" si="54"/>
        <v>1258.3791290705528</v>
      </c>
      <c r="O220" s="105">
        <f t="shared" si="54"/>
        <v>1258.3791290705528</v>
      </c>
      <c r="P220" s="106">
        <f t="shared" si="54"/>
        <v>1258.3791290705528</v>
      </c>
      <c r="Q220" s="456">
        <f t="shared" si="52"/>
        <v>15100.549548846631</v>
      </c>
      <c r="R220" s="456"/>
      <c r="S220" s="391"/>
      <c r="T220" s="388"/>
    </row>
    <row r="221" spans="1:20" x14ac:dyDescent="0.35">
      <c r="A221" s="534" t="str">
        <f t="shared" si="50"/>
        <v>Electric</v>
      </c>
      <c r="D221" s="104" t="s">
        <v>106</v>
      </c>
      <c r="E221" s="105">
        <f t="shared" ref="E221:P248" si="55">VLOOKUP($D221,$A$10:$P$131,E$213,FALSE)</f>
        <v>15576</v>
      </c>
      <c r="F221" s="105">
        <f t="shared" si="54"/>
        <v>14135</v>
      </c>
      <c r="G221" s="105">
        <f t="shared" si="54"/>
        <v>13073</v>
      </c>
      <c r="H221" s="105">
        <f t="shared" si="54"/>
        <v>11517</v>
      </c>
      <c r="I221" s="105">
        <f t="shared" si="54"/>
        <v>11478</v>
      </c>
      <c r="J221" s="105">
        <f t="shared" si="54"/>
        <v>11650</v>
      </c>
      <c r="K221" s="105">
        <f t="shared" si="54"/>
        <v>12961</v>
      </c>
      <c r="L221" s="105">
        <f t="shared" si="54"/>
        <v>11614</v>
      </c>
      <c r="M221" s="105">
        <f t="shared" si="54"/>
        <v>9990</v>
      </c>
      <c r="N221" s="105">
        <f t="shared" si="54"/>
        <v>11652</v>
      </c>
      <c r="O221" s="105">
        <f t="shared" si="54"/>
        <v>10651</v>
      </c>
      <c r="P221" s="106">
        <f t="shared" si="54"/>
        <v>14235</v>
      </c>
      <c r="Q221" s="456">
        <f t="shared" si="52"/>
        <v>148532</v>
      </c>
      <c r="R221" s="456"/>
      <c r="S221" s="391"/>
      <c r="T221" s="388"/>
    </row>
    <row r="222" spans="1:20" x14ac:dyDescent="0.35">
      <c r="A222" s="534" t="str">
        <f t="shared" si="50"/>
        <v>Water &amp; Sewer</v>
      </c>
      <c r="D222" s="104" t="s">
        <v>107</v>
      </c>
      <c r="E222" s="105">
        <f t="shared" si="55"/>
        <v>1319.43</v>
      </c>
      <c r="F222" s="105">
        <f t="shared" si="54"/>
        <v>1315.3100000000002</v>
      </c>
      <c r="G222" s="105">
        <f t="shared" si="54"/>
        <v>1319.43</v>
      </c>
      <c r="H222" s="105">
        <f t="shared" si="54"/>
        <v>1324.58</v>
      </c>
      <c r="I222" s="105">
        <f t="shared" si="54"/>
        <v>1855.0300000000002</v>
      </c>
      <c r="J222" s="105">
        <f t="shared" si="54"/>
        <v>1615.0400000000002</v>
      </c>
      <c r="K222" s="105">
        <f t="shared" si="54"/>
        <v>1808.68</v>
      </c>
      <c r="L222" s="105">
        <f t="shared" si="54"/>
        <v>2367.9700000000003</v>
      </c>
      <c r="M222" s="105">
        <f t="shared" si="54"/>
        <v>1723.19</v>
      </c>
      <c r="N222" s="105">
        <f t="shared" si="54"/>
        <v>1622.25</v>
      </c>
      <c r="O222" s="105">
        <f t="shared" si="54"/>
        <v>1569.72</v>
      </c>
      <c r="P222" s="106">
        <f t="shared" si="54"/>
        <v>1334.8799999999999</v>
      </c>
      <c r="Q222" s="456">
        <f t="shared" si="52"/>
        <v>19175.510000000002</v>
      </c>
      <c r="R222" s="456"/>
      <c r="S222" s="391"/>
      <c r="T222" s="388"/>
    </row>
    <row r="223" spans="1:20" x14ac:dyDescent="0.35">
      <c r="A223" s="534" t="str">
        <f t="shared" si="50"/>
        <v>Building Maintenance</v>
      </c>
      <c r="D223" s="104" t="s">
        <v>108</v>
      </c>
      <c r="E223" s="105">
        <f t="shared" si="55"/>
        <v>5787</v>
      </c>
      <c r="F223" s="105">
        <f t="shared" si="54"/>
        <v>3442</v>
      </c>
      <c r="G223" s="105">
        <f t="shared" si="54"/>
        <v>8180</v>
      </c>
      <c r="H223" s="105">
        <f t="shared" si="54"/>
        <v>8474</v>
      </c>
      <c r="I223" s="105">
        <f t="shared" si="54"/>
        <v>15687</v>
      </c>
      <c r="J223" s="105">
        <f t="shared" si="54"/>
        <v>8330</v>
      </c>
      <c r="K223" s="105">
        <f t="shared" si="54"/>
        <v>22612</v>
      </c>
      <c r="L223" s="105">
        <f t="shared" si="54"/>
        <v>13742</v>
      </c>
      <c r="M223" s="105">
        <f t="shared" si="54"/>
        <v>8180</v>
      </c>
      <c r="N223" s="105">
        <f t="shared" si="54"/>
        <v>8474</v>
      </c>
      <c r="O223" s="105">
        <f t="shared" si="54"/>
        <v>3917</v>
      </c>
      <c r="P223" s="106">
        <f t="shared" si="54"/>
        <v>7980</v>
      </c>
      <c r="Q223" s="456">
        <f t="shared" si="52"/>
        <v>114805</v>
      </c>
      <c r="R223" s="456"/>
      <c r="S223" s="391"/>
      <c r="T223" s="388"/>
    </row>
    <row r="224" spans="1:20" x14ac:dyDescent="0.35">
      <c r="A224" s="534" t="str">
        <f t="shared" si="50"/>
        <v>Parking Lot Maintenance</v>
      </c>
      <c r="D224" s="104" t="s">
        <v>140</v>
      </c>
      <c r="E224" s="105">
        <f t="shared" si="55"/>
        <v>1436.85</v>
      </c>
      <c r="F224" s="105">
        <f t="shared" si="54"/>
        <v>1436.85</v>
      </c>
      <c r="G224" s="105">
        <f t="shared" si="54"/>
        <v>2363.8500000000004</v>
      </c>
      <c r="H224" s="105">
        <f t="shared" si="54"/>
        <v>13796.85</v>
      </c>
      <c r="I224" s="105">
        <f t="shared" si="54"/>
        <v>1436.85</v>
      </c>
      <c r="J224" s="105">
        <f t="shared" si="54"/>
        <v>2363.8500000000004</v>
      </c>
      <c r="K224" s="105">
        <f t="shared" si="54"/>
        <v>1436.85</v>
      </c>
      <c r="L224" s="105">
        <f t="shared" si="54"/>
        <v>13796.85</v>
      </c>
      <c r="M224" s="105">
        <f t="shared" si="54"/>
        <v>2363.8500000000004</v>
      </c>
      <c r="N224" s="105">
        <f t="shared" si="54"/>
        <v>1436.85</v>
      </c>
      <c r="O224" s="105">
        <f t="shared" si="54"/>
        <v>1436.85</v>
      </c>
      <c r="P224" s="106">
        <f t="shared" si="54"/>
        <v>2363.8500000000004</v>
      </c>
      <c r="Q224" s="456">
        <f t="shared" si="52"/>
        <v>45670.19999999999</v>
      </c>
      <c r="R224" s="456"/>
      <c r="S224" s="391"/>
      <c r="T224" s="388"/>
    </row>
    <row r="225" spans="1:20" x14ac:dyDescent="0.35">
      <c r="A225" s="534" t="str">
        <f t="shared" si="50"/>
        <v>Snow Removal</v>
      </c>
      <c r="D225" s="104" t="s">
        <v>110</v>
      </c>
      <c r="E225" s="105">
        <f t="shared" si="55"/>
        <v>3862.5</v>
      </c>
      <c r="F225" s="105">
        <f t="shared" si="54"/>
        <v>3862.5</v>
      </c>
      <c r="G225" s="105">
        <f t="shared" si="54"/>
        <v>3862.5</v>
      </c>
      <c r="H225" s="105">
        <f t="shared" si="54"/>
        <v>0</v>
      </c>
      <c r="I225" s="105">
        <f t="shared" si="54"/>
        <v>0</v>
      </c>
      <c r="J225" s="105">
        <f t="shared" si="54"/>
        <v>0</v>
      </c>
      <c r="K225" s="105">
        <f t="shared" si="54"/>
        <v>0</v>
      </c>
      <c r="L225" s="105">
        <f t="shared" si="54"/>
        <v>0</v>
      </c>
      <c r="M225" s="105">
        <f t="shared" si="54"/>
        <v>0</v>
      </c>
      <c r="N225" s="105">
        <f t="shared" si="54"/>
        <v>0</v>
      </c>
      <c r="O225" s="105">
        <f t="shared" si="54"/>
        <v>1030</v>
      </c>
      <c r="P225" s="106">
        <f t="shared" si="54"/>
        <v>3862.5</v>
      </c>
      <c r="Q225" s="456">
        <f t="shared" si="52"/>
        <v>16480</v>
      </c>
      <c r="R225" s="456"/>
      <c r="S225" s="391"/>
      <c r="T225" s="388"/>
    </row>
    <row r="226" spans="1:20" x14ac:dyDescent="0.35">
      <c r="A226" s="534" t="str">
        <f t="shared" si="50"/>
        <v>Landscaping</v>
      </c>
      <c r="D226" s="104" t="s">
        <v>111</v>
      </c>
      <c r="E226" s="105">
        <f t="shared" si="55"/>
        <v>645.03815192815102</v>
      </c>
      <c r="F226" s="105">
        <f t="shared" si="54"/>
        <v>645.03815192815102</v>
      </c>
      <c r="G226" s="105">
        <f t="shared" si="54"/>
        <v>4069.0900957503732</v>
      </c>
      <c r="H226" s="105">
        <f t="shared" si="54"/>
        <v>4069.0900957503732</v>
      </c>
      <c r="I226" s="105">
        <f t="shared" si="54"/>
        <v>5614.0900957503727</v>
      </c>
      <c r="J226" s="105">
        <f t="shared" si="54"/>
        <v>4069.0900957503732</v>
      </c>
      <c r="K226" s="105">
        <f t="shared" si="54"/>
        <v>4069.0900957503732</v>
      </c>
      <c r="L226" s="105">
        <f t="shared" si="54"/>
        <v>4069.0900957503732</v>
      </c>
      <c r="M226" s="105">
        <f t="shared" si="54"/>
        <v>5614.0900957503727</v>
      </c>
      <c r="N226" s="105">
        <f t="shared" si="54"/>
        <v>4069.0900957503732</v>
      </c>
      <c r="O226" s="105">
        <f t="shared" si="54"/>
        <v>3476.8400957503732</v>
      </c>
      <c r="P226" s="106">
        <f t="shared" si="54"/>
        <v>645.03815192815102</v>
      </c>
      <c r="Q226" s="456">
        <f t="shared" si="52"/>
        <v>41054.675317537818</v>
      </c>
      <c r="R226" s="456"/>
      <c r="S226" s="391"/>
      <c r="T226" s="388"/>
    </row>
    <row r="227" spans="1:20" x14ac:dyDescent="0.35">
      <c r="A227" s="534" t="str">
        <f t="shared" si="50"/>
        <v>Security</v>
      </c>
      <c r="D227" s="104" t="s">
        <v>112</v>
      </c>
      <c r="E227" s="105">
        <f t="shared" si="55"/>
        <v>316.8</v>
      </c>
      <c r="F227" s="105">
        <f t="shared" si="54"/>
        <v>316.8</v>
      </c>
      <c r="G227" s="105">
        <f t="shared" si="54"/>
        <v>316.8</v>
      </c>
      <c r="H227" s="105">
        <f t="shared" si="54"/>
        <v>316.8</v>
      </c>
      <c r="I227" s="105">
        <f t="shared" si="54"/>
        <v>316.8</v>
      </c>
      <c r="J227" s="105">
        <f t="shared" si="54"/>
        <v>316.8</v>
      </c>
      <c r="K227" s="105">
        <f t="shared" si="54"/>
        <v>316.8</v>
      </c>
      <c r="L227" s="105">
        <f t="shared" si="54"/>
        <v>316.8</v>
      </c>
      <c r="M227" s="105">
        <f t="shared" si="54"/>
        <v>316.8</v>
      </c>
      <c r="N227" s="105">
        <f t="shared" si="54"/>
        <v>316.8</v>
      </c>
      <c r="O227" s="105">
        <f t="shared" si="54"/>
        <v>316.8</v>
      </c>
      <c r="P227" s="106">
        <f t="shared" si="54"/>
        <v>316.8</v>
      </c>
      <c r="Q227" s="456">
        <f t="shared" si="52"/>
        <v>3801.6000000000008</v>
      </c>
      <c r="R227" s="456"/>
      <c r="S227" s="391"/>
      <c r="T227" s="388"/>
    </row>
    <row r="228" spans="1:20" x14ac:dyDescent="0.35">
      <c r="A228" s="534" t="str">
        <f t="shared" si="50"/>
        <v>Management Fee</v>
      </c>
      <c r="D228" s="104" t="s">
        <v>113</v>
      </c>
      <c r="E228" s="105">
        <f t="shared" si="55"/>
        <v>3640</v>
      </c>
      <c r="F228" s="105">
        <f t="shared" si="54"/>
        <v>3600</v>
      </c>
      <c r="G228" s="105">
        <f t="shared" si="54"/>
        <v>3570</v>
      </c>
      <c r="H228" s="105">
        <f t="shared" si="54"/>
        <v>3757</v>
      </c>
      <c r="I228" s="105">
        <f t="shared" si="54"/>
        <v>3756</v>
      </c>
      <c r="J228" s="105">
        <f t="shared" si="54"/>
        <v>3766</v>
      </c>
      <c r="K228" s="105">
        <f t="shared" si="54"/>
        <v>3812</v>
      </c>
      <c r="L228" s="105">
        <f t="shared" si="54"/>
        <v>3775</v>
      </c>
      <c r="M228" s="105">
        <f t="shared" si="54"/>
        <v>3726</v>
      </c>
      <c r="N228" s="105">
        <f t="shared" si="54"/>
        <v>3776</v>
      </c>
      <c r="O228" s="105">
        <f t="shared" si="54"/>
        <v>3768</v>
      </c>
      <c r="P228" s="106">
        <f t="shared" si="54"/>
        <v>3746</v>
      </c>
      <c r="Q228" s="456">
        <f t="shared" si="52"/>
        <v>44692</v>
      </c>
      <c r="R228" s="456"/>
      <c r="S228" s="391"/>
      <c r="T228" s="388"/>
    </row>
    <row r="229" spans="1:20" x14ac:dyDescent="0.35">
      <c r="A229" s="534" t="str">
        <f t="shared" si="50"/>
        <v>Trash Removal</v>
      </c>
      <c r="D229" s="104" t="s">
        <v>114</v>
      </c>
      <c r="E229" s="105">
        <f t="shared" si="55"/>
        <v>1828.25</v>
      </c>
      <c r="F229" s="105">
        <f t="shared" si="54"/>
        <v>1828.25</v>
      </c>
      <c r="G229" s="105">
        <f t="shared" si="54"/>
        <v>1828.25</v>
      </c>
      <c r="H229" s="105">
        <f t="shared" si="54"/>
        <v>1828.25</v>
      </c>
      <c r="I229" s="105">
        <f t="shared" si="54"/>
        <v>1828.25</v>
      </c>
      <c r="J229" s="105">
        <f t="shared" si="54"/>
        <v>2578.25</v>
      </c>
      <c r="K229" s="105">
        <f t="shared" si="54"/>
        <v>1828.25</v>
      </c>
      <c r="L229" s="105">
        <f t="shared" si="54"/>
        <v>1828.25</v>
      </c>
      <c r="M229" s="105">
        <f t="shared" si="54"/>
        <v>1828.25</v>
      </c>
      <c r="N229" s="105">
        <f t="shared" si="54"/>
        <v>1828.25</v>
      </c>
      <c r="O229" s="105">
        <f t="shared" si="54"/>
        <v>1828.25</v>
      </c>
      <c r="P229" s="106">
        <f t="shared" si="54"/>
        <v>2578.25</v>
      </c>
      <c r="Q229" s="456">
        <f t="shared" si="52"/>
        <v>23439</v>
      </c>
      <c r="R229" s="456"/>
      <c r="S229" s="391"/>
      <c r="T229" s="388"/>
    </row>
    <row r="230" spans="1:20" x14ac:dyDescent="0.35">
      <c r="A230" s="534" t="str">
        <f t="shared" si="50"/>
        <v>Real Estate Taxes</v>
      </c>
      <c r="D230" s="104" t="s">
        <v>115</v>
      </c>
      <c r="E230" s="105">
        <f t="shared" si="55"/>
        <v>6294.9692106000002</v>
      </c>
      <c r="F230" s="105">
        <f t="shared" si="54"/>
        <v>6294.9692106000002</v>
      </c>
      <c r="G230" s="105">
        <f t="shared" si="54"/>
        <v>6294.9692106000002</v>
      </c>
      <c r="H230" s="105">
        <f t="shared" si="54"/>
        <v>6294.9692106000002</v>
      </c>
      <c r="I230" s="105">
        <f t="shared" si="54"/>
        <v>6294.9692106000002</v>
      </c>
      <c r="J230" s="105">
        <f t="shared" si="54"/>
        <v>6294.9692106000002</v>
      </c>
      <c r="K230" s="105">
        <f t="shared" si="54"/>
        <v>6294.9692106000002</v>
      </c>
      <c r="L230" s="105">
        <f t="shared" si="54"/>
        <v>6294.9692106000002</v>
      </c>
      <c r="M230" s="105">
        <f t="shared" si="54"/>
        <v>6294.9692106000002</v>
      </c>
      <c r="N230" s="105">
        <f t="shared" si="54"/>
        <v>6294.9692106000002</v>
      </c>
      <c r="O230" s="105">
        <f t="shared" si="54"/>
        <v>6294.9692106000002</v>
      </c>
      <c r="P230" s="106">
        <f t="shared" si="54"/>
        <v>6294.9692106000002</v>
      </c>
      <c r="Q230" s="456">
        <f t="shared" si="52"/>
        <v>75539.630527200003</v>
      </c>
      <c r="R230" s="456"/>
      <c r="S230" s="391"/>
      <c r="T230" s="388"/>
    </row>
    <row r="231" spans="1:20" x14ac:dyDescent="0.35">
      <c r="A231" s="534" t="str">
        <f t="shared" si="50"/>
        <v>Insurance</v>
      </c>
      <c r="D231" s="104" t="s">
        <v>116</v>
      </c>
      <c r="E231" s="105">
        <f t="shared" si="55"/>
        <v>2986</v>
      </c>
      <c r="F231" s="105">
        <f t="shared" si="54"/>
        <v>2986</v>
      </c>
      <c r="G231" s="105">
        <f t="shared" si="54"/>
        <v>2986</v>
      </c>
      <c r="H231" s="105">
        <f t="shared" si="54"/>
        <v>2986</v>
      </c>
      <c r="I231" s="105">
        <f t="shared" si="54"/>
        <v>2986</v>
      </c>
      <c r="J231" s="105">
        <f t="shared" si="54"/>
        <v>2986</v>
      </c>
      <c r="K231" s="105">
        <f t="shared" si="54"/>
        <v>2986</v>
      </c>
      <c r="L231" s="105">
        <f t="shared" si="54"/>
        <v>2986</v>
      </c>
      <c r="M231" s="105">
        <f t="shared" si="54"/>
        <v>2986</v>
      </c>
      <c r="N231" s="105">
        <f t="shared" si="54"/>
        <v>2986</v>
      </c>
      <c r="O231" s="105">
        <f t="shared" si="54"/>
        <v>3045.72</v>
      </c>
      <c r="P231" s="106">
        <f t="shared" si="54"/>
        <v>3045.72</v>
      </c>
      <c r="Q231" s="456">
        <f t="shared" si="52"/>
        <v>35951.440000000002</v>
      </c>
      <c r="R231" s="456"/>
      <c r="S231" s="391"/>
      <c r="T231" s="388"/>
    </row>
    <row r="232" spans="1:20" x14ac:dyDescent="0.35">
      <c r="A232" s="534" t="str">
        <f t="shared" si="50"/>
        <v>Cleaning &amp; Supplies</v>
      </c>
      <c r="D232" s="104" t="s">
        <v>117</v>
      </c>
      <c r="E232" s="105">
        <f t="shared" si="55"/>
        <v>6704.1330713199177</v>
      </c>
      <c r="F232" s="105">
        <f t="shared" si="54"/>
        <v>6704.1330713199177</v>
      </c>
      <c r="G232" s="105">
        <f t="shared" si="54"/>
        <v>6704.1330713199177</v>
      </c>
      <c r="H232" s="105">
        <f t="shared" si="54"/>
        <v>7118.3188155327171</v>
      </c>
      <c r="I232" s="105">
        <f t="shared" si="54"/>
        <v>7118.3188155327171</v>
      </c>
      <c r="J232" s="105">
        <f t="shared" si="54"/>
        <v>7118.3188155327171</v>
      </c>
      <c r="K232" s="105">
        <f t="shared" si="54"/>
        <v>7118.3188155327171</v>
      </c>
      <c r="L232" s="105">
        <f t="shared" si="54"/>
        <v>7118.3188155327171</v>
      </c>
      <c r="M232" s="105">
        <f t="shared" si="54"/>
        <v>7118.3188155327171</v>
      </c>
      <c r="N232" s="105">
        <f t="shared" si="54"/>
        <v>7118.3188155327171</v>
      </c>
      <c r="O232" s="105">
        <f t="shared" si="54"/>
        <v>7118.3188155327171</v>
      </c>
      <c r="P232" s="106">
        <f t="shared" si="54"/>
        <v>6896.7776035119168</v>
      </c>
      <c r="Q232" s="456">
        <f t="shared" si="52"/>
        <v>83955.727341733407</v>
      </c>
      <c r="R232" s="456"/>
      <c r="S232" s="391"/>
      <c r="T232" s="388"/>
    </row>
    <row r="233" spans="1:20" x14ac:dyDescent="0.35">
      <c r="A233" s="534" t="str">
        <f>VLOOKUP($D233,$A$10:$D$130,4,FALSE)</f>
        <v>Salaries &amp; Wages</v>
      </c>
      <c r="D233" s="104" t="s">
        <v>118</v>
      </c>
      <c r="E233" s="105">
        <f t="shared" si="55"/>
        <v>1559.0185109212255</v>
      </c>
      <c r="F233" s="105">
        <f t="shared" si="54"/>
        <v>1559.0185109212255</v>
      </c>
      <c r="G233" s="105">
        <f t="shared" si="54"/>
        <v>1559.0185109212255</v>
      </c>
      <c r="H233" s="105">
        <f t="shared" si="54"/>
        <v>1559.0185109212255</v>
      </c>
      <c r="I233" s="105">
        <f t="shared" si="54"/>
        <v>1559.0185109212255</v>
      </c>
      <c r="J233" s="105">
        <f t="shared" si="54"/>
        <v>1559.0185109212255</v>
      </c>
      <c r="K233" s="105">
        <f t="shared" si="54"/>
        <v>1559.0185109212255</v>
      </c>
      <c r="L233" s="105">
        <f t="shared" si="54"/>
        <v>1559.0185109212255</v>
      </c>
      <c r="M233" s="105">
        <f t="shared" si="54"/>
        <v>1559.0185109212255</v>
      </c>
      <c r="N233" s="105">
        <f t="shared" si="54"/>
        <v>1559.0185109212255</v>
      </c>
      <c r="O233" s="105">
        <f t="shared" si="54"/>
        <v>1559.0185109212255</v>
      </c>
      <c r="P233" s="106">
        <f t="shared" si="54"/>
        <v>1559.0185109212255</v>
      </c>
      <c r="Q233" s="456">
        <f t="shared" si="52"/>
        <v>18708.222131054707</v>
      </c>
      <c r="R233" s="456"/>
      <c r="S233" s="391"/>
      <c r="T233" s="388"/>
    </row>
    <row r="234" spans="1:20" x14ac:dyDescent="0.35">
      <c r="A234" s="534" t="str">
        <f>VLOOKUP($D234,$A$10:$D$130,4,FALSE)</f>
        <v>Commissions-Internal Broker</v>
      </c>
      <c r="D234" s="104" t="s">
        <v>119</v>
      </c>
      <c r="E234" s="105">
        <f t="shared" si="55"/>
        <v>985.42220454802873</v>
      </c>
      <c r="F234" s="105">
        <f t="shared" si="54"/>
        <v>0</v>
      </c>
      <c r="G234" s="105">
        <f t="shared" si="54"/>
        <v>0</v>
      </c>
      <c r="H234" s="105">
        <f t="shared" si="54"/>
        <v>985.42220454802873</v>
      </c>
      <c r="I234" s="105">
        <f t="shared" si="54"/>
        <v>0</v>
      </c>
      <c r="J234" s="105">
        <f t="shared" si="54"/>
        <v>0</v>
      </c>
      <c r="K234" s="105">
        <f t="shared" si="54"/>
        <v>985.42220454802873</v>
      </c>
      <c r="L234" s="105">
        <f t="shared" si="54"/>
        <v>0</v>
      </c>
      <c r="M234" s="105">
        <f t="shared" si="54"/>
        <v>0</v>
      </c>
      <c r="N234" s="105">
        <f t="shared" si="54"/>
        <v>985.42220454802873</v>
      </c>
      <c r="O234" s="105">
        <f t="shared" si="54"/>
        <v>0</v>
      </c>
      <c r="P234" s="106">
        <f t="shared" si="54"/>
        <v>0</v>
      </c>
      <c r="Q234" s="456">
        <f t="shared" si="52"/>
        <v>3941.6888181921149</v>
      </c>
      <c r="R234" s="456"/>
      <c r="S234" s="391"/>
      <c r="T234" s="388"/>
    </row>
    <row r="235" spans="1:20" x14ac:dyDescent="0.35">
      <c r="A235" s="534" t="str">
        <f>VLOOKUP($D235,$A$10:$D$130,3,FALSE)</f>
        <v>Building Maintenance</v>
      </c>
      <c r="D235" s="104" t="s">
        <v>120</v>
      </c>
      <c r="E235" s="105">
        <f t="shared" si="55"/>
        <v>515</v>
      </c>
      <c r="F235" s="105">
        <f t="shared" si="54"/>
        <v>515</v>
      </c>
      <c r="G235" s="105">
        <f t="shared" si="54"/>
        <v>515</v>
      </c>
      <c r="H235" s="105">
        <f t="shared" si="54"/>
        <v>515</v>
      </c>
      <c r="I235" s="105">
        <f t="shared" si="54"/>
        <v>515</v>
      </c>
      <c r="J235" s="105">
        <f t="shared" si="54"/>
        <v>515</v>
      </c>
      <c r="K235" s="105">
        <f t="shared" si="54"/>
        <v>515</v>
      </c>
      <c r="L235" s="105">
        <f t="shared" si="54"/>
        <v>515</v>
      </c>
      <c r="M235" s="105">
        <f t="shared" si="54"/>
        <v>515</v>
      </c>
      <c r="N235" s="105">
        <f t="shared" si="54"/>
        <v>515</v>
      </c>
      <c r="O235" s="105">
        <f t="shared" si="54"/>
        <v>515</v>
      </c>
      <c r="P235" s="106">
        <f t="shared" si="54"/>
        <v>515</v>
      </c>
      <c r="Q235" s="456">
        <f t="shared" si="52"/>
        <v>6180</v>
      </c>
      <c r="R235" s="456"/>
      <c r="S235" s="391"/>
      <c r="T235" s="388"/>
    </row>
    <row r="236" spans="1:20" x14ac:dyDescent="0.35">
      <c r="A236" s="534" t="str">
        <f>VLOOKUP($D236,$A$10:$D$130,3,FALSE)</f>
        <v>Marketing</v>
      </c>
      <c r="D236" s="104" t="s">
        <v>121</v>
      </c>
      <c r="E236" s="105">
        <f t="shared" si="55"/>
        <v>598.06647370474309</v>
      </c>
      <c r="F236" s="105">
        <f t="shared" si="55"/>
        <v>598.06647370474309</v>
      </c>
      <c r="G236" s="105">
        <f t="shared" si="55"/>
        <v>598.06647370474309</v>
      </c>
      <c r="H236" s="105">
        <f t="shared" si="55"/>
        <v>598.06647370474309</v>
      </c>
      <c r="I236" s="105">
        <f t="shared" si="55"/>
        <v>598.06647370474309</v>
      </c>
      <c r="J236" s="105">
        <f t="shared" si="55"/>
        <v>598.06647370474309</v>
      </c>
      <c r="K236" s="105">
        <f t="shared" si="55"/>
        <v>598.06647370474309</v>
      </c>
      <c r="L236" s="105">
        <f t="shared" si="55"/>
        <v>598.06647370474309</v>
      </c>
      <c r="M236" s="105">
        <f t="shared" si="55"/>
        <v>598.06647370474309</v>
      </c>
      <c r="N236" s="105">
        <f t="shared" si="55"/>
        <v>598.06647370474309</v>
      </c>
      <c r="O236" s="105">
        <f t="shared" si="55"/>
        <v>598.06647370474309</v>
      </c>
      <c r="P236" s="106">
        <f t="shared" si="55"/>
        <v>598.06647370474309</v>
      </c>
      <c r="Q236" s="456">
        <f t="shared" si="52"/>
        <v>7176.7976844569157</v>
      </c>
      <c r="R236" s="456"/>
      <c r="S236" s="391"/>
      <c r="T236" s="388"/>
    </row>
    <row r="237" spans="1:20" x14ac:dyDescent="0.35">
      <c r="A237" s="534" t="str">
        <f>VLOOKUP($D237,$A$10:$D$130,3,FALSE)</f>
        <v>Business Taxes</v>
      </c>
      <c r="D237" s="104" t="s">
        <v>122</v>
      </c>
      <c r="E237" s="105">
        <f t="shared" si="55"/>
        <v>0</v>
      </c>
      <c r="F237" s="105">
        <f t="shared" si="55"/>
        <v>0</v>
      </c>
      <c r="G237" s="105">
        <f t="shared" si="55"/>
        <v>0</v>
      </c>
      <c r="H237" s="105">
        <f t="shared" si="55"/>
        <v>2598.3351437225883</v>
      </c>
      <c r="I237" s="105">
        <f t="shared" si="55"/>
        <v>0</v>
      </c>
      <c r="J237" s="105">
        <f t="shared" si="55"/>
        <v>0</v>
      </c>
      <c r="K237" s="105">
        <f t="shared" si="55"/>
        <v>0</v>
      </c>
      <c r="L237" s="105">
        <f t="shared" si="55"/>
        <v>0</v>
      </c>
      <c r="M237" s="105">
        <f t="shared" si="55"/>
        <v>0</v>
      </c>
      <c r="N237" s="105">
        <f t="shared" si="55"/>
        <v>0</v>
      </c>
      <c r="O237" s="105">
        <f t="shared" si="55"/>
        <v>0</v>
      </c>
      <c r="P237" s="106">
        <f t="shared" si="55"/>
        <v>0</v>
      </c>
      <c r="Q237" s="456">
        <f t="shared" si="52"/>
        <v>2598.3351437225883</v>
      </c>
      <c r="R237" s="456"/>
      <c r="S237" s="391"/>
      <c r="T237" s="388"/>
    </row>
    <row r="238" spans="1:20" x14ac:dyDescent="0.35">
      <c r="A238" s="534" t="str">
        <f t="shared" si="50"/>
        <v>Legal &amp; Accounting</v>
      </c>
      <c r="D238" s="104" t="s">
        <v>123</v>
      </c>
      <c r="E238" s="105">
        <f t="shared" si="55"/>
        <v>546.57952841783811</v>
      </c>
      <c r="F238" s="105">
        <f t="shared" si="55"/>
        <v>546.57952841783811</v>
      </c>
      <c r="G238" s="105">
        <f t="shared" si="55"/>
        <v>546.57952841783811</v>
      </c>
      <c r="H238" s="105">
        <f t="shared" si="55"/>
        <v>546.57952841783811</v>
      </c>
      <c r="I238" s="105">
        <f t="shared" si="55"/>
        <v>546.57952841783811</v>
      </c>
      <c r="J238" s="105">
        <f t="shared" si="55"/>
        <v>546.57952841783811</v>
      </c>
      <c r="K238" s="105">
        <f t="shared" si="55"/>
        <v>546.57952841783811</v>
      </c>
      <c r="L238" s="105">
        <f t="shared" si="55"/>
        <v>546.57952841783811</v>
      </c>
      <c r="M238" s="105">
        <f t="shared" si="55"/>
        <v>546.57952841783811</v>
      </c>
      <c r="N238" s="105">
        <f t="shared" si="55"/>
        <v>546.57952841783811</v>
      </c>
      <c r="O238" s="105">
        <f t="shared" si="55"/>
        <v>546.57952841783811</v>
      </c>
      <c r="P238" s="106">
        <f t="shared" si="55"/>
        <v>546.57952841783811</v>
      </c>
      <c r="Q238" s="456">
        <f t="shared" si="52"/>
        <v>6558.9543410140586</v>
      </c>
      <c r="R238" s="456"/>
      <c r="S238" s="391"/>
      <c r="T238" s="388"/>
    </row>
    <row r="239" spans="1:20" x14ac:dyDescent="0.35">
      <c r="A239" s="534" t="str">
        <f>VLOOKUP($D239,$A$10:$D$130,4,FALSE)</f>
        <v>Bank Fees</v>
      </c>
      <c r="D239" s="104" t="s">
        <v>130</v>
      </c>
      <c r="E239" s="105">
        <f t="shared" si="55"/>
        <v>24.715281829279036</v>
      </c>
      <c r="F239" s="105">
        <f t="shared" si="55"/>
        <v>24.715281829279036</v>
      </c>
      <c r="G239" s="105">
        <f t="shared" si="55"/>
        <v>24.715281829279036</v>
      </c>
      <c r="H239" s="105">
        <f t="shared" si="55"/>
        <v>24.715281829279036</v>
      </c>
      <c r="I239" s="105">
        <f t="shared" si="55"/>
        <v>24.715281829279036</v>
      </c>
      <c r="J239" s="105">
        <f t="shared" si="55"/>
        <v>24.715281829279036</v>
      </c>
      <c r="K239" s="105">
        <f t="shared" si="55"/>
        <v>24.715281829279036</v>
      </c>
      <c r="L239" s="105">
        <f t="shared" si="55"/>
        <v>24.715281829279036</v>
      </c>
      <c r="M239" s="105">
        <f t="shared" si="55"/>
        <v>24.715281829279036</v>
      </c>
      <c r="N239" s="105">
        <f t="shared" si="55"/>
        <v>24.715281829279036</v>
      </c>
      <c r="O239" s="105">
        <f t="shared" si="55"/>
        <v>24.715281829279036</v>
      </c>
      <c r="P239" s="106">
        <f t="shared" si="55"/>
        <v>24.715281829279036</v>
      </c>
      <c r="Q239" s="456">
        <f t="shared" si="52"/>
        <v>296.58338195134843</v>
      </c>
      <c r="R239" s="456"/>
      <c r="S239" s="391"/>
      <c r="T239" s="388"/>
    </row>
    <row r="240" spans="1:20" x14ac:dyDescent="0.35">
      <c r="A240" s="534" t="str">
        <f>VLOOKUP($D240,$A$10:$D$130,4,FALSE)</f>
        <v>Other G&amp;A Expense</v>
      </c>
      <c r="D240" s="104" t="s">
        <v>131</v>
      </c>
      <c r="E240" s="105">
        <f t="shared" si="55"/>
        <v>23.918014673495843</v>
      </c>
      <c r="F240" s="105">
        <f t="shared" si="55"/>
        <v>23.918014673495843</v>
      </c>
      <c r="G240" s="105">
        <f t="shared" si="55"/>
        <v>23.918014673495843</v>
      </c>
      <c r="H240" s="105">
        <f t="shared" si="55"/>
        <v>23.918014673495843</v>
      </c>
      <c r="I240" s="105">
        <f t="shared" si="55"/>
        <v>23.918014673495843</v>
      </c>
      <c r="J240" s="105">
        <f t="shared" si="55"/>
        <v>23.918014673495843</v>
      </c>
      <c r="K240" s="105">
        <f t="shared" si="55"/>
        <v>23.918014673495843</v>
      </c>
      <c r="L240" s="105">
        <f t="shared" si="55"/>
        <v>23.918014673495843</v>
      </c>
      <c r="M240" s="105">
        <f t="shared" si="55"/>
        <v>23.918014673495843</v>
      </c>
      <c r="N240" s="105">
        <f t="shared" si="55"/>
        <v>23.918014673495843</v>
      </c>
      <c r="O240" s="105">
        <f t="shared" si="55"/>
        <v>23.918014673495843</v>
      </c>
      <c r="P240" s="106">
        <f t="shared" si="55"/>
        <v>23.918014673495843</v>
      </c>
      <c r="Q240" s="456">
        <f t="shared" si="52"/>
        <v>287.01617608195011</v>
      </c>
      <c r="R240" s="456"/>
      <c r="S240" s="391"/>
      <c r="T240" s="388"/>
    </row>
    <row r="241" spans="1:21" x14ac:dyDescent="0.35">
      <c r="A241" s="534" t="str">
        <f>VLOOKUP($D241,$A$10:$D$130,4,FALSE)</f>
        <v>Other G&amp;A-allocated from LIK</v>
      </c>
      <c r="D241" s="104" t="s">
        <v>124</v>
      </c>
      <c r="E241" s="105">
        <f t="shared" si="55"/>
        <v>1840</v>
      </c>
      <c r="F241" s="105">
        <f t="shared" si="55"/>
        <v>1840</v>
      </c>
      <c r="G241" s="105">
        <f t="shared" si="55"/>
        <v>1840</v>
      </c>
      <c r="H241" s="105">
        <f t="shared" si="55"/>
        <v>1840</v>
      </c>
      <c r="I241" s="105">
        <f t="shared" si="55"/>
        <v>1840</v>
      </c>
      <c r="J241" s="105">
        <f t="shared" si="55"/>
        <v>1840</v>
      </c>
      <c r="K241" s="105">
        <f t="shared" si="55"/>
        <v>1840</v>
      </c>
      <c r="L241" s="105">
        <f t="shared" si="55"/>
        <v>1840</v>
      </c>
      <c r="M241" s="105">
        <f t="shared" si="55"/>
        <v>1840</v>
      </c>
      <c r="N241" s="105">
        <f t="shared" si="55"/>
        <v>1840</v>
      </c>
      <c r="O241" s="105">
        <f t="shared" si="55"/>
        <v>1840</v>
      </c>
      <c r="P241" s="106">
        <f t="shared" si="55"/>
        <v>1840</v>
      </c>
      <c r="Q241" s="456">
        <f t="shared" si="52"/>
        <v>22080</v>
      </c>
      <c r="R241" s="456"/>
      <c r="S241" s="391"/>
      <c r="T241" s="388"/>
    </row>
    <row r="242" spans="1:21" x14ac:dyDescent="0.35">
      <c r="A242" s="534" t="str">
        <f>VLOOKUP($D242,$A$10:$D$130,4,FALSE)</f>
        <v>Land Improvements</v>
      </c>
      <c r="D242" s="104" t="s">
        <v>125</v>
      </c>
      <c r="E242" s="105">
        <f t="shared" si="55"/>
        <v>0</v>
      </c>
      <c r="F242" s="105">
        <f t="shared" si="55"/>
        <v>0</v>
      </c>
      <c r="G242" s="105">
        <f t="shared" si="55"/>
        <v>0</v>
      </c>
      <c r="H242" s="105">
        <f t="shared" si="55"/>
        <v>0</v>
      </c>
      <c r="I242" s="105">
        <f t="shared" si="55"/>
        <v>0</v>
      </c>
      <c r="J242" s="105">
        <f t="shared" si="55"/>
        <v>0</v>
      </c>
      <c r="K242" s="105">
        <f t="shared" si="55"/>
        <v>0</v>
      </c>
      <c r="L242" s="105">
        <f t="shared" si="55"/>
        <v>0</v>
      </c>
      <c r="M242" s="105">
        <f t="shared" si="55"/>
        <v>0</v>
      </c>
      <c r="N242" s="105">
        <f t="shared" si="55"/>
        <v>0</v>
      </c>
      <c r="O242" s="105">
        <f t="shared" si="55"/>
        <v>0</v>
      </c>
      <c r="P242" s="106">
        <f t="shared" si="55"/>
        <v>0</v>
      </c>
      <c r="Q242" s="456">
        <f t="shared" si="52"/>
        <v>0</v>
      </c>
      <c r="R242" s="456"/>
      <c r="S242" s="391"/>
      <c r="T242" s="388"/>
    </row>
    <row r="243" spans="1:21" x14ac:dyDescent="0.35">
      <c r="A243" s="534" t="str">
        <f t="shared" ref="A243:A244" si="56">VLOOKUP($D243,$A$10:$D$130,4,FALSE)</f>
        <v>Buildings</v>
      </c>
      <c r="D243" s="104" t="s">
        <v>126</v>
      </c>
      <c r="E243" s="105">
        <f t="shared" si="55"/>
        <v>0</v>
      </c>
      <c r="F243" s="105">
        <f t="shared" si="55"/>
        <v>0</v>
      </c>
      <c r="G243" s="105">
        <f t="shared" si="55"/>
        <v>0</v>
      </c>
      <c r="H243" s="105">
        <f t="shared" si="55"/>
        <v>0</v>
      </c>
      <c r="I243" s="105">
        <f t="shared" si="55"/>
        <v>0</v>
      </c>
      <c r="J243" s="105">
        <f t="shared" si="55"/>
        <v>0</v>
      </c>
      <c r="K243" s="105">
        <f t="shared" si="55"/>
        <v>0</v>
      </c>
      <c r="L243" s="105">
        <f t="shared" si="55"/>
        <v>0</v>
      </c>
      <c r="M243" s="105">
        <f t="shared" si="55"/>
        <v>0</v>
      </c>
      <c r="N243" s="105">
        <f t="shared" si="55"/>
        <v>0</v>
      </c>
      <c r="O243" s="105">
        <f t="shared" si="55"/>
        <v>0</v>
      </c>
      <c r="P243" s="106">
        <f t="shared" si="55"/>
        <v>0</v>
      </c>
      <c r="Q243" s="456">
        <f t="shared" si="52"/>
        <v>0</v>
      </c>
      <c r="R243" s="456"/>
      <c r="S243" s="391"/>
      <c r="T243" s="388"/>
    </row>
    <row r="244" spans="1:21" x14ac:dyDescent="0.35">
      <c r="A244" s="534" t="str">
        <f t="shared" si="56"/>
        <v>Equipment</v>
      </c>
      <c r="D244" s="104" t="s">
        <v>127</v>
      </c>
      <c r="E244" s="105">
        <f t="shared" si="55"/>
        <v>0</v>
      </c>
      <c r="F244" s="105">
        <f t="shared" si="55"/>
        <v>0</v>
      </c>
      <c r="G244" s="105">
        <f t="shared" si="55"/>
        <v>0</v>
      </c>
      <c r="H244" s="105">
        <f t="shared" si="55"/>
        <v>0</v>
      </c>
      <c r="I244" s="105">
        <f t="shared" si="55"/>
        <v>0</v>
      </c>
      <c r="J244" s="105">
        <f t="shared" si="55"/>
        <v>0</v>
      </c>
      <c r="K244" s="105">
        <f t="shared" si="55"/>
        <v>0</v>
      </c>
      <c r="L244" s="105">
        <f t="shared" si="55"/>
        <v>0</v>
      </c>
      <c r="M244" s="105">
        <f t="shared" si="55"/>
        <v>0</v>
      </c>
      <c r="N244" s="105">
        <f t="shared" si="55"/>
        <v>0</v>
      </c>
      <c r="O244" s="105">
        <f t="shared" si="55"/>
        <v>0</v>
      </c>
      <c r="P244" s="106">
        <f t="shared" si="55"/>
        <v>0</v>
      </c>
      <c r="Q244" s="456">
        <f t="shared" si="52"/>
        <v>0</v>
      </c>
      <c r="R244" s="456"/>
      <c r="S244" s="391"/>
      <c r="T244" s="388"/>
    </row>
    <row r="245" spans="1:21" x14ac:dyDescent="0.35">
      <c r="A245" s="534" t="str">
        <f>VLOOKUP($D245,$A$10:$D$130,3,FALSE)</f>
        <v>Tenant Improvements</v>
      </c>
      <c r="D245" s="104" t="s">
        <v>128</v>
      </c>
      <c r="E245" s="105">
        <f t="shared" si="55"/>
        <v>4008</v>
      </c>
      <c r="F245" s="105">
        <f t="shared" si="55"/>
        <v>0</v>
      </c>
      <c r="G245" s="105">
        <f t="shared" si="55"/>
        <v>0</v>
      </c>
      <c r="H245" s="105">
        <f t="shared" si="55"/>
        <v>9510</v>
      </c>
      <c r="I245" s="105">
        <f t="shared" si="55"/>
        <v>0</v>
      </c>
      <c r="J245" s="105">
        <f t="shared" si="55"/>
        <v>0</v>
      </c>
      <c r="K245" s="105">
        <f t="shared" si="55"/>
        <v>0</v>
      </c>
      <c r="L245" s="105">
        <f t="shared" si="55"/>
        <v>0</v>
      </c>
      <c r="M245" s="105">
        <f t="shared" si="55"/>
        <v>0</v>
      </c>
      <c r="N245" s="105">
        <f t="shared" si="55"/>
        <v>0</v>
      </c>
      <c r="O245" s="105">
        <f t="shared" si="55"/>
        <v>0</v>
      </c>
      <c r="P245" s="106">
        <f t="shared" si="55"/>
        <v>2622</v>
      </c>
      <c r="Q245" s="456">
        <f t="shared" si="52"/>
        <v>16140</v>
      </c>
      <c r="R245" s="456"/>
      <c r="S245" s="391"/>
      <c r="T245" s="388"/>
    </row>
    <row r="246" spans="1:21" x14ac:dyDescent="0.35">
      <c r="A246" s="534" t="str">
        <f>VLOOKUP($D246,$A$10:$D$130,3,FALSE)</f>
        <v>Outside Leasing Commissions</v>
      </c>
      <c r="D246" s="104" t="s">
        <v>129</v>
      </c>
      <c r="E246" s="105">
        <f t="shared" si="55"/>
        <v>0</v>
      </c>
      <c r="F246" s="105">
        <f t="shared" si="55"/>
        <v>0</v>
      </c>
      <c r="G246" s="105">
        <f t="shared" si="55"/>
        <v>0</v>
      </c>
      <c r="H246" s="105">
        <f t="shared" si="55"/>
        <v>9272.25</v>
      </c>
      <c r="I246" s="105">
        <f t="shared" si="55"/>
        <v>0</v>
      </c>
      <c r="J246" s="105">
        <f t="shared" si="55"/>
        <v>0</v>
      </c>
      <c r="K246" s="105">
        <f t="shared" si="55"/>
        <v>0</v>
      </c>
      <c r="L246" s="105">
        <f t="shared" si="55"/>
        <v>0</v>
      </c>
      <c r="M246" s="105">
        <f t="shared" si="55"/>
        <v>0</v>
      </c>
      <c r="N246" s="105">
        <f t="shared" si="55"/>
        <v>0</v>
      </c>
      <c r="O246" s="105">
        <f t="shared" si="55"/>
        <v>0</v>
      </c>
      <c r="P246" s="106">
        <f t="shared" si="55"/>
        <v>0</v>
      </c>
      <c r="Q246" s="456">
        <f t="shared" si="52"/>
        <v>9272.25</v>
      </c>
      <c r="R246" s="456"/>
      <c r="S246" s="391"/>
      <c r="T246" s="388"/>
    </row>
    <row r="247" spans="1:21" x14ac:dyDescent="0.35">
      <c r="A247" s="534" t="str">
        <f>VLOOKUP($D247,$A$10:$D$130,3,FALSE)</f>
        <v>Interest</v>
      </c>
      <c r="D247" s="104" t="s">
        <v>132</v>
      </c>
      <c r="E247" s="105">
        <f t="shared" si="55"/>
        <v>14406.230482111172</v>
      </c>
      <c r="F247" s="105">
        <f t="shared" si="55"/>
        <v>14406.230482111172</v>
      </c>
      <c r="G247" s="105">
        <f t="shared" si="55"/>
        <v>14406.230482111172</v>
      </c>
      <c r="H247" s="105">
        <f t="shared" si="55"/>
        <v>14406.230482111172</v>
      </c>
      <c r="I247" s="105">
        <f t="shared" si="55"/>
        <v>14406.230482111172</v>
      </c>
      <c r="J247" s="105">
        <f t="shared" si="55"/>
        <v>14406.230482111172</v>
      </c>
      <c r="K247" s="105">
        <f t="shared" si="55"/>
        <v>14406.230482111172</v>
      </c>
      <c r="L247" s="105">
        <f t="shared" si="55"/>
        <v>14406.230482111172</v>
      </c>
      <c r="M247" s="105">
        <f t="shared" si="55"/>
        <v>14406.230482111172</v>
      </c>
      <c r="N247" s="105">
        <f t="shared" si="55"/>
        <v>14406.230482111172</v>
      </c>
      <c r="O247" s="105">
        <f t="shared" si="55"/>
        <v>14406.230482111172</v>
      </c>
      <c r="P247" s="106">
        <f t="shared" si="55"/>
        <v>14406.230482111172</v>
      </c>
      <c r="Q247" s="456">
        <f t="shared" si="52"/>
        <v>172874.76578533405</v>
      </c>
      <c r="R247" s="456"/>
      <c r="S247" s="391"/>
      <c r="T247" s="388"/>
    </row>
    <row r="248" spans="1:21" ht="16.5" thickBot="1" x14ac:dyDescent="0.4">
      <c r="A248" s="534" t="str">
        <f>VLOOKUP($D248,$A$10:$D$130,3,FALSE)</f>
        <v>Mortgage Amortization</v>
      </c>
      <c r="D248" s="107" t="s">
        <v>149</v>
      </c>
      <c r="E248" s="108">
        <f t="shared" si="55"/>
        <v>0</v>
      </c>
      <c r="F248" s="108">
        <f t="shared" si="55"/>
        <v>0</v>
      </c>
      <c r="G248" s="108">
        <f t="shared" si="55"/>
        <v>0</v>
      </c>
      <c r="H248" s="108">
        <f t="shared" si="55"/>
        <v>0</v>
      </c>
      <c r="I248" s="108">
        <f t="shared" si="55"/>
        <v>0</v>
      </c>
      <c r="J248" s="108">
        <f t="shared" si="55"/>
        <v>0</v>
      </c>
      <c r="K248" s="108">
        <f t="shared" si="55"/>
        <v>0</v>
      </c>
      <c r="L248" s="108">
        <f t="shared" si="55"/>
        <v>0</v>
      </c>
      <c r="M248" s="108">
        <f t="shared" si="55"/>
        <v>0</v>
      </c>
      <c r="N248" s="108">
        <f t="shared" si="55"/>
        <v>0</v>
      </c>
      <c r="O248" s="108">
        <f t="shared" si="55"/>
        <v>0</v>
      </c>
      <c r="P248" s="109">
        <f t="shared" si="55"/>
        <v>0</v>
      </c>
      <c r="Q248" s="456">
        <f t="shared" si="52"/>
        <v>0</v>
      </c>
      <c r="R248" s="456"/>
      <c r="S248" s="391"/>
      <c r="T248" s="388"/>
    </row>
    <row r="249" spans="1:21" x14ac:dyDescent="0.35">
      <c r="E249" s="34">
        <f t="shared" ref="E249:Q249" si="57">SUM(E215:E248)</f>
        <v>-14826.924074208928</v>
      </c>
      <c r="F249" s="34">
        <f t="shared" si="57"/>
        <v>-22651.420978756953</v>
      </c>
      <c r="G249" s="34">
        <f t="shared" si="57"/>
        <v>-13913.964434934725</v>
      </c>
      <c r="H249" s="34">
        <f t="shared" si="57"/>
        <v>10700.126257548683</v>
      </c>
      <c r="I249" s="34">
        <f t="shared" si="57"/>
        <v>-14748.379990721933</v>
      </c>
      <c r="J249" s="34">
        <f t="shared" si="57"/>
        <v>-22297.332790721932</v>
      </c>
      <c r="K249" s="34">
        <f t="shared" si="57"/>
        <v>-8293.7044861739159</v>
      </c>
      <c r="L249" s="34">
        <f t="shared" si="57"/>
        <v>-5684.2463907219244</v>
      </c>
      <c r="M249" s="34">
        <f t="shared" si="57"/>
        <v>-22242.308790721927</v>
      </c>
      <c r="N249" s="34">
        <f t="shared" si="57"/>
        <v>-23061.850386173897</v>
      </c>
      <c r="O249" s="34">
        <f t="shared" si="57"/>
        <v>-28971.407690721924</v>
      </c>
      <c r="P249" s="34">
        <f t="shared" si="57"/>
        <v>-16958.254779898289</v>
      </c>
      <c r="Q249" s="391">
        <f t="shared" si="57"/>
        <v>-182949.66853620776</v>
      </c>
      <c r="R249" s="391"/>
      <c r="S249" s="391"/>
      <c r="T249" s="388"/>
    </row>
    <row r="250" spans="1:21" x14ac:dyDescent="0.35">
      <c r="E250" s="62">
        <f>E131+E249</f>
        <v>0</v>
      </c>
      <c r="F250" s="62">
        <f t="shared" ref="F250:Q250" si="58">F131+F249</f>
        <v>0</v>
      </c>
      <c r="G250" s="62">
        <f t="shared" si="58"/>
        <v>0</v>
      </c>
      <c r="H250" s="62">
        <f t="shared" si="58"/>
        <v>0</v>
      </c>
      <c r="I250" s="62">
        <f t="shared" si="58"/>
        <v>1.4551915228366852E-11</v>
      </c>
      <c r="J250" s="62">
        <f t="shared" si="58"/>
        <v>0</v>
      </c>
      <c r="K250" s="62">
        <f t="shared" si="58"/>
        <v>0</v>
      </c>
      <c r="L250" s="62">
        <f t="shared" si="58"/>
        <v>0</v>
      </c>
      <c r="M250" s="62">
        <f t="shared" si="58"/>
        <v>0</v>
      </c>
      <c r="N250" s="62">
        <f t="shared" si="58"/>
        <v>0</v>
      </c>
      <c r="O250" s="62">
        <f t="shared" si="58"/>
        <v>0</v>
      </c>
      <c r="P250" s="62">
        <f t="shared" si="58"/>
        <v>0</v>
      </c>
      <c r="Q250" s="62">
        <f t="shared" si="58"/>
        <v>2.3283064365386963E-10</v>
      </c>
      <c r="R250" s="391"/>
      <c r="S250" s="391"/>
      <c r="T250" s="388"/>
    </row>
    <row r="251" spans="1:21" hidden="1" x14ac:dyDescent="0.35">
      <c r="R251" s="391"/>
      <c r="S251" s="391"/>
      <c r="T251" s="388"/>
    </row>
    <row r="252" spans="1:21" ht="17.5" hidden="1" x14ac:dyDescent="0.5">
      <c r="D252" s="67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91"/>
      <c r="S252" s="391"/>
      <c r="T252" s="388"/>
      <c r="U252" s="294"/>
    </row>
    <row r="253" spans="1:21" hidden="1" x14ac:dyDescent="0.35"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R253" s="416"/>
      <c r="S253" s="391"/>
      <c r="T253" s="388"/>
      <c r="U253" s="294"/>
    </row>
    <row r="254" spans="1:21" ht="17.5" hidden="1" x14ac:dyDescent="0.5">
      <c r="D254" s="6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R254" s="416"/>
      <c r="S254" s="391"/>
      <c r="T254" s="388"/>
      <c r="U254" s="294"/>
    </row>
    <row r="255" spans="1:21" hidden="1" x14ac:dyDescent="0.35"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R255" s="416"/>
      <c r="S255" s="391"/>
      <c r="T255" s="388"/>
      <c r="U255" s="294"/>
    </row>
    <row r="256" spans="1:21" hidden="1" x14ac:dyDescent="0.35">
      <c r="D256" s="38"/>
      <c r="R256" s="416"/>
      <c r="S256" s="391"/>
      <c r="T256" s="388"/>
      <c r="U256" s="294"/>
    </row>
    <row r="257" spans="4:21" hidden="1" x14ac:dyDescent="0.35">
      <c r="D257" s="38"/>
      <c r="R257" s="416"/>
      <c r="S257" s="391"/>
      <c r="T257" s="388"/>
      <c r="U257" s="294"/>
    </row>
    <row r="258" spans="4:21" hidden="1" x14ac:dyDescent="0.35">
      <c r="D258" s="38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59"/>
      <c r="R258" s="457"/>
      <c r="S258" s="391"/>
      <c r="T258" s="388"/>
      <c r="U258" s="294"/>
    </row>
    <row r="259" spans="4:21" ht="17.5" hidden="1" x14ac:dyDescent="0.5">
      <c r="D259" s="67"/>
      <c r="E259" s="38" t="s">
        <v>0</v>
      </c>
      <c r="F259" s="38" t="s">
        <v>1</v>
      </c>
      <c r="G259" s="38" t="s">
        <v>2</v>
      </c>
      <c r="H259" s="38" t="s">
        <v>3</v>
      </c>
      <c r="I259" s="38" t="s">
        <v>4</v>
      </c>
      <c r="J259" s="38" t="s">
        <v>5</v>
      </c>
      <c r="K259" s="38" t="s">
        <v>6</v>
      </c>
      <c r="L259" s="38" t="s">
        <v>7</v>
      </c>
      <c r="M259" s="38" t="s">
        <v>8</v>
      </c>
      <c r="N259" s="38" t="s">
        <v>9</v>
      </c>
      <c r="O259" s="38" t="s">
        <v>10</v>
      </c>
      <c r="P259" s="38" t="s">
        <v>11</v>
      </c>
      <c r="R259" s="416"/>
      <c r="S259" s="391"/>
      <c r="T259" s="388"/>
      <c r="U259" s="294"/>
    </row>
    <row r="260" spans="4:21" hidden="1" x14ac:dyDescent="0.35"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R260" s="416"/>
      <c r="S260" s="391"/>
      <c r="T260" s="388"/>
      <c r="U260" s="294"/>
    </row>
    <row r="261" spans="4:21" hidden="1" x14ac:dyDescent="0.35">
      <c r="D261" s="38" t="s">
        <v>152</v>
      </c>
      <c r="E261" s="34">
        <v>54008</v>
      </c>
      <c r="F261" s="34">
        <v>54008</v>
      </c>
      <c r="G261" s="34">
        <v>54008</v>
      </c>
      <c r="H261" s="34">
        <v>54008</v>
      </c>
      <c r="I261" s="34">
        <v>54008</v>
      </c>
      <c r="J261" s="34">
        <v>54008</v>
      </c>
      <c r="K261" s="34">
        <v>54008</v>
      </c>
      <c r="L261" s="34">
        <v>54008</v>
      </c>
      <c r="M261" s="34">
        <v>54008</v>
      </c>
      <c r="N261" s="34">
        <v>54008</v>
      </c>
      <c r="O261" s="34">
        <v>54008</v>
      </c>
      <c r="P261" s="34">
        <v>54008</v>
      </c>
      <c r="R261" s="416"/>
      <c r="S261" s="391"/>
      <c r="T261" s="388"/>
      <c r="U261" s="294"/>
    </row>
    <row r="262" spans="4:21" hidden="1" x14ac:dyDescent="0.35"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R262" s="416"/>
      <c r="S262" s="391"/>
      <c r="T262" s="388"/>
      <c r="U262" s="294"/>
    </row>
    <row r="263" spans="4:21" hidden="1" x14ac:dyDescent="0.35">
      <c r="D263" s="38" t="s">
        <v>151</v>
      </c>
      <c r="E263" s="69">
        <v>41069</v>
      </c>
      <c r="F263" s="69">
        <v>41069</v>
      </c>
      <c r="G263" s="69">
        <v>41069</v>
      </c>
      <c r="H263" s="69">
        <v>41069</v>
      </c>
      <c r="I263" s="69">
        <v>41069</v>
      </c>
      <c r="J263" s="69">
        <v>41069</v>
      </c>
      <c r="K263" s="69">
        <v>41069</v>
      </c>
      <c r="L263" s="69">
        <v>44709</v>
      </c>
      <c r="M263" s="69">
        <v>47586</v>
      </c>
      <c r="N263" s="69">
        <v>47586</v>
      </c>
      <c r="O263" s="69">
        <v>47586</v>
      </c>
      <c r="P263" s="69">
        <v>47586</v>
      </c>
      <c r="Q263" s="59"/>
      <c r="R263" s="457"/>
      <c r="S263" s="391"/>
      <c r="T263" s="388"/>
      <c r="U263" s="294"/>
    </row>
    <row r="264" spans="4:21" ht="17.5" hidden="1" x14ac:dyDescent="0.5">
      <c r="D264" s="67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R264" s="416"/>
      <c r="S264" s="391"/>
      <c r="T264" s="388"/>
      <c r="U264" s="294"/>
    </row>
    <row r="265" spans="4:21" hidden="1" x14ac:dyDescent="0.35">
      <c r="D265" s="38" t="s">
        <v>153</v>
      </c>
      <c r="E265" s="38">
        <f>E263/E261</f>
        <v>0.76042438157310033</v>
      </c>
      <c r="F265" s="38">
        <f t="shared" ref="F265:P265" si="59">F263/F261</f>
        <v>0.76042438157310033</v>
      </c>
      <c r="G265" s="38">
        <f t="shared" si="59"/>
        <v>0.76042438157310033</v>
      </c>
      <c r="H265" s="38">
        <f t="shared" si="59"/>
        <v>0.76042438157310033</v>
      </c>
      <c r="I265" s="38">
        <f t="shared" si="59"/>
        <v>0.76042438157310033</v>
      </c>
      <c r="J265" s="38">
        <f t="shared" si="59"/>
        <v>0.76042438157310033</v>
      </c>
      <c r="K265" s="38">
        <f t="shared" si="59"/>
        <v>0.76042438157310033</v>
      </c>
      <c r="L265" s="38">
        <f t="shared" si="59"/>
        <v>0.82782180417715889</v>
      </c>
      <c r="M265" s="38">
        <f t="shared" si="59"/>
        <v>0.88109169011998223</v>
      </c>
      <c r="N265" s="38">
        <f t="shared" si="59"/>
        <v>0.88109169011998223</v>
      </c>
      <c r="O265" s="38">
        <f t="shared" si="59"/>
        <v>0.88109169011998223</v>
      </c>
      <c r="P265" s="38">
        <f t="shared" si="59"/>
        <v>0.88109169011998223</v>
      </c>
      <c r="R265" s="416"/>
      <c r="S265" s="391"/>
      <c r="T265" s="388"/>
      <c r="U265" s="294"/>
    </row>
    <row r="266" spans="4:21" hidden="1" x14ac:dyDescent="0.35"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R266" s="416"/>
      <c r="S266" s="391"/>
      <c r="T266" s="388"/>
      <c r="U266" s="294"/>
    </row>
    <row r="267" spans="4:21" hidden="1" x14ac:dyDescent="0.35"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R267" s="416"/>
      <c r="S267" s="391"/>
      <c r="T267" s="388"/>
      <c r="U267" s="294"/>
    </row>
    <row r="268" spans="4:21" hidden="1" x14ac:dyDescent="0.35">
      <c r="D268" s="38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59"/>
      <c r="R268" s="457"/>
      <c r="S268" s="391"/>
      <c r="T268" s="388"/>
      <c r="U268" s="294"/>
    </row>
    <row r="269" spans="4:21" hidden="1" x14ac:dyDescent="0.35"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R269" s="416"/>
      <c r="S269" s="391"/>
      <c r="T269" s="388"/>
      <c r="U269" s="294"/>
    </row>
    <row r="270" spans="4:21" hidden="1" x14ac:dyDescent="0.35"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R270" s="416"/>
      <c r="S270" s="391"/>
      <c r="T270" s="388"/>
      <c r="U270" s="294"/>
    </row>
    <row r="271" spans="4:21" hidden="1" x14ac:dyDescent="0.35"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R271" s="416"/>
      <c r="S271" s="391"/>
      <c r="T271" s="388"/>
      <c r="U271" s="294"/>
    </row>
    <row r="272" spans="4:21" hidden="1" x14ac:dyDescent="0.35"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R272" s="416"/>
      <c r="S272" s="391"/>
      <c r="T272" s="388"/>
      <c r="U272" s="294"/>
    </row>
    <row r="273" spans="4:21" ht="17.5" hidden="1" x14ac:dyDescent="0.5">
      <c r="D273" s="6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R273" s="416"/>
      <c r="S273" s="391"/>
      <c r="T273" s="388"/>
      <c r="U273" s="294"/>
    </row>
    <row r="274" spans="4:21" hidden="1" x14ac:dyDescent="0.35"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R274" s="416"/>
      <c r="S274" s="391"/>
      <c r="T274" s="388"/>
      <c r="U274" s="294"/>
    </row>
    <row r="275" spans="4:21" hidden="1" x14ac:dyDescent="0.35">
      <c r="F275" s="70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R275" s="416"/>
      <c r="S275" s="391"/>
      <c r="T275" s="388"/>
      <c r="U275" s="294"/>
    </row>
    <row r="276" spans="4:21" hidden="1" x14ac:dyDescent="0.35">
      <c r="F276" s="70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R276" s="416"/>
      <c r="S276" s="391"/>
      <c r="T276" s="388"/>
      <c r="U276" s="294"/>
    </row>
    <row r="277" spans="4:21" hidden="1" x14ac:dyDescent="0.35">
      <c r="F277" s="70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R277" s="416"/>
      <c r="S277" s="391"/>
      <c r="T277" s="388"/>
      <c r="U277" s="294"/>
    </row>
    <row r="278" spans="4:21" hidden="1" x14ac:dyDescent="0.35">
      <c r="F278" s="70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R278" s="416"/>
      <c r="S278" s="391"/>
      <c r="T278" s="388"/>
      <c r="U278" s="294"/>
    </row>
    <row r="279" spans="4:21" hidden="1" x14ac:dyDescent="0.35">
      <c r="F279" s="70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R279" s="416"/>
      <c r="S279" s="391"/>
      <c r="T279" s="388"/>
      <c r="U279" s="294"/>
    </row>
    <row r="280" spans="4:21" hidden="1" x14ac:dyDescent="0.35">
      <c r="F280" s="70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R280" s="416"/>
      <c r="S280" s="391"/>
      <c r="T280" s="388"/>
      <c r="U280" s="294"/>
    </row>
    <row r="281" spans="4:21" hidden="1" x14ac:dyDescent="0.35">
      <c r="F281" s="70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R281" s="416"/>
      <c r="S281" s="391"/>
      <c r="T281" s="388"/>
      <c r="U281" s="294"/>
    </row>
    <row r="282" spans="4:21" hidden="1" x14ac:dyDescent="0.35">
      <c r="D282" s="38"/>
      <c r="E282" s="59"/>
      <c r="F282" s="71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R282" s="416"/>
      <c r="S282" s="391"/>
      <c r="T282" s="388"/>
      <c r="U282" s="294"/>
    </row>
    <row r="283" spans="4:21" hidden="1" x14ac:dyDescent="0.35"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R283" s="416"/>
      <c r="S283" s="391"/>
      <c r="T283" s="388"/>
      <c r="U283" s="294"/>
    </row>
    <row r="284" spans="4:21" hidden="1" x14ac:dyDescent="0.35"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R284" s="416"/>
      <c r="S284" s="391"/>
      <c r="T284" s="388"/>
      <c r="U284" s="294"/>
    </row>
    <row r="285" spans="4:21" hidden="1" x14ac:dyDescent="0.35"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R285" s="416"/>
      <c r="S285" s="391"/>
      <c r="T285" s="388"/>
      <c r="U285" s="294"/>
    </row>
    <row r="286" spans="4:21" hidden="1" x14ac:dyDescent="0.35"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R286" s="416"/>
      <c r="S286" s="416"/>
      <c r="T286" s="417"/>
      <c r="U286" s="294"/>
    </row>
    <row r="287" spans="4:21" hidden="1" x14ac:dyDescent="0.35"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R287" s="416"/>
      <c r="S287" s="416"/>
      <c r="T287" s="417"/>
      <c r="U287" s="294"/>
    </row>
    <row r="288" spans="4:21" ht="17.5" hidden="1" x14ac:dyDescent="0.5">
      <c r="D288" s="67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R288" s="416"/>
      <c r="S288" s="416"/>
      <c r="T288" s="417"/>
      <c r="U288" s="294"/>
    </row>
    <row r="289" spans="4:21" hidden="1" x14ac:dyDescent="0.35"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R289" s="416"/>
      <c r="S289" s="416"/>
      <c r="T289" s="417"/>
      <c r="U289" s="294"/>
    </row>
    <row r="290" spans="4:21" ht="17.5" hidden="1" x14ac:dyDescent="0.5">
      <c r="D290" s="6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R290" s="416"/>
      <c r="S290" s="416"/>
      <c r="T290" s="417"/>
      <c r="U290" s="294"/>
    </row>
    <row r="291" spans="4:21" hidden="1" x14ac:dyDescent="0.35"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R291" s="416"/>
      <c r="S291" s="416"/>
      <c r="T291" s="417"/>
      <c r="U291" s="294"/>
    </row>
    <row r="292" spans="4:21" hidden="1" x14ac:dyDescent="0.35"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R292" s="416"/>
      <c r="S292" s="416"/>
      <c r="T292" s="417"/>
      <c r="U292" s="294"/>
    </row>
    <row r="293" spans="4:21" hidden="1" x14ac:dyDescent="0.35"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R293" s="416"/>
      <c r="S293" s="416"/>
      <c r="T293" s="417"/>
      <c r="U293" s="294"/>
    </row>
    <row r="294" spans="4:21" hidden="1" x14ac:dyDescent="0.35">
      <c r="D294" s="38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59"/>
      <c r="R294" s="457"/>
      <c r="S294" s="416"/>
      <c r="T294" s="417"/>
      <c r="U294" s="294"/>
    </row>
    <row r="295" spans="4:21" ht="17.5" hidden="1" x14ac:dyDescent="0.5">
      <c r="D295" s="67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R295" s="416"/>
      <c r="S295" s="416"/>
      <c r="T295" s="417"/>
      <c r="U295" s="294"/>
    </row>
    <row r="296" spans="4:21" hidden="1" x14ac:dyDescent="0.35"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R296" s="416"/>
      <c r="S296" s="416"/>
      <c r="T296" s="417"/>
      <c r="U296" s="294"/>
    </row>
    <row r="297" spans="4:21" hidden="1" x14ac:dyDescent="0.35"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R297" s="416"/>
      <c r="S297" s="416"/>
      <c r="T297" s="417"/>
      <c r="U297" s="294"/>
    </row>
    <row r="298" spans="4:21" hidden="1" x14ac:dyDescent="0.35"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R298" s="416"/>
      <c r="S298" s="416"/>
      <c r="T298" s="417"/>
      <c r="U298" s="294"/>
    </row>
    <row r="299" spans="4:21" hidden="1" x14ac:dyDescent="0.35">
      <c r="D299" s="38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59"/>
      <c r="R299" s="457"/>
      <c r="S299" s="416"/>
      <c r="T299" s="417"/>
      <c r="U299" s="294"/>
    </row>
    <row r="300" spans="4:21" ht="17.5" hidden="1" x14ac:dyDescent="0.5">
      <c r="D300" s="67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R300" s="416"/>
      <c r="S300" s="416"/>
      <c r="T300" s="417"/>
      <c r="U300" s="294"/>
    </row>
    <row r="301" spans="4:21" hidden="1" x14ac:dyDescent="0.35"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R301" s="416"/>
      <c r="S301" s="416"/>
      <c r="T301" s="417"/>
      <c r="U301" s="294"/>
    </row>
    <row r="302" spans="4:21" hidden="1" x14ac:dyDescent="0.35"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R302" s="416"/>
      <c r="S302" s="416"/>
      <c r="T302" s="417"/>
      <c r="U302" s="294"/>
    </row>
    <row r="303" spans="4:21" hidden="1" x14ac:dyDescent="0.35"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R303" s="416"/>
      <c r="S303" s="416"/>
      <c r="T303" s="417"/>
      <c r="U303" s="294"/>
    </row>
    <row r="304" spans="4:21" hidden="1" x14ac:dyDescent="0.35"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59"/>
      <c r="R304" s="457"/>
      <c r="S304" s="416"/>
      <c r="T304" s="417"/>
    </row>
    <row r="305" spans="1:21" hidden="1" x14ac:dyDescent="0.35">
      <c r="R305" s="391"/>
      <c r="S305" s="416"/>
      <c r="T305" s="417"/>
    </row>
    <row r="306" spans="1:21" hidden="1" x14ac:dyDescent="0.35">
      <c r="R306" s="391"/>
      <c r="S306" s="416"/>
      <c r="T306" s="417"/>
    </row>
    <row r="307" spans="1:21" hidden="1" x14ac:dyDescent="0.35">
      <c r="R307" s="391"/>
      <c r="S307" s="416"/>
      <c r="T307" s="417"/>
    </row>
    <row r="308" spans="1:21" hidden="1" x14ac:dyDescent="0.35">
      <c r="R308" s="391"/>
      <c r="S308" s="416"/>
      <c r="T308" s="417"/>
    </row>
    <row r="309" spans="1:21" hidden="1" x14ac:dyDescent="0.35">
      <c r="R309" s="391"/>
      <c r="S309" s="416"/>
      <c r="T309" s="417"/>
    </row>
    <row r="310" spans="1:21" hidden="1" x14ac:dyDescent="0.35">
      <c r="R310" s="391"/>
      <c r="S310" s="416"/>
      <c r="T310" s="417"/>
    </row>
    <row r="311" spans="1:21" hidden="1" x14ac:dyDescent="0.35">
      <c r="R311" s="391"/>
      <c r="S311" s="416"/>
      <c r="T311" s="417"/>
    </row>
    <row r="312" spans="1:21" hidden="1" x14ac:dyDescent="0.35">
      <c r="R312" s="391"/>
      <c r="S312" s="416"/>
      <c r="T312" s="417"/>
    </row>
    <row r="313" spans="1:21" hidden="1" x14ac:dyDescent="0.35">
      <c r="R313" s="391"/>
      <c r="S313" s="416"/>
      <c r="T313" s="417"/>
    </row>
    <row r="314" spans="1:21" hidden="1" x14ac:dyDescent="0.35">
      <c r="A314" s="38"/>
      <c r="B314" s="38"/>
      <c r="C314" s="38"/>
      <c r="D314" s="38"/>
      <c r="R314" s="391"/>
      <c r="S314" s="416"/>
      <c r="T314" s="417"/>
      <c r="U314" s="294"/>
    </row>
    <row r="315" spans="1:21" ht="16.5" hidden="1" thickTop="1" x14ac:dyDescent="0.35">
      <c r="A315" s="72"/>
      <c r="B315" s="72"/>
      <c r="C315" s="72"/>
      <c r="D315" s="72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R315" s="416"/>
      <c r="S315" s="416"/>
      <c r="T315" s="417"/>
      <c r="U315" s="294"/>
    </row>
    <row r="316" spans="1:21" ht="16.5" hidden="1" thickTop="1" x14ac:dyDescent="0.35">
      <c r="A316" s="38"/>
      <c r="B316" s="38"/>
      <c r="C316" s="38"/>
      <c r="D316" s="74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2"/>
      <c r="R316" s="458"/>
      <c r="S316" s="416"/>
      <c r="T316" s="417"/>
      <c r="U316" s="294"/>
    </row>
    <row r="317" spans="1:21" hidden="1" x14ac:dyDescent="0.35">
      <c r="A317" s="38"/>
      <c r="B317" s="38"/>
      <c r="C317" s="38"/>
      <c r="D317" s="75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R317" s="416"/>
      <c r="S317" s="416"/>
      <c r="T317" s="417"/>
      <c r="U317" s="294"/>
    </row>
    <row r="318" spans="1:21" hidden="1" x14ac:dyDescent="0.35">
      <c r="A318" s="38"/>
      <c r="B318" s="38"/>
      <c r="C318" s="38"/>
      <c r="D318" s="75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41"/>
      <c r="R318" s="418"/>
      <c r="S318" s="416"/>
      <c r="T318" s="417"/>
      <c r="U318" s="295"/>
    </row>
    <row r="319" spans="1:21" hidden="1" x14ac:dyDescent="0.35">
      <c r="A319" s="38"/>
      <c r="B319" s="38"/>
      <c r="C319" s="38"/>
      <c r="D319" s="75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6"/>
      <c r="R319" s="420"/>
      <c r="S319" s="416"/>
      <c r="T319" s="417"/>
      <c r="U319" s="294"/>
    </row>
    <row r="320" spans="1:21" hidden="1" x14ac:dyDescent="0.35">
      <c r="A320" s="38"/>
      <c r="B320" s="38"/>
      <c r="C320" s="38"/>
      <c r="D320" s="75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R320" s="416"/>
      <c r="S320" s="416"/>
      <c r="T320" s="417"/>
      <c r="U320" s="294"/>
    </row>
    <row r="321" spans="1:21" hidden="1" x14ac:dyDescent="0.35">
      <c r="A321" s="38"/>
      <c r="B321" s="38"/>
      <c r="C321" s="38"/>
      <c r="D321" s="75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R321" s="416"/>
      <c r="S321" s="416"/>
      <c r="T321" s="417"/>
      <c r="U321" s="294"/>
    </row>
    <row r="322" spans="1:21" hidden="1" x14ac:dyDescent="0.35">
      <c r="A322" s="38"/>
      <c r="B322" s="38"/>
      <c r="C322" s="38"/>
      <c r="D322" s="75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R322" s="416"/>
      <c r="S322" s="416"/>
      <c r="T322" s="417"/>
      <c r="U322" s="294"/>
    </row>
    <row r="323" spans="1:21" hidden="1" x14ac:dyDescent="0.35">
      <c r="A323" s="38"/>
      <c r="B323" s="38"/>
      <c r="C323" s="38"/>
      <c r="D323" s="75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R323" s="416"/>
      <c r="S323" s="416"/>
      <c r="T323" s="417"/>
      <c r="U323" s="294"/>
    </row>
    <row r="324" spans="1:21" hidden="1" x14ac:dyDescent="0.35">
      <c r="A324" s="38"/>
      <c r="B324" s="38"/>
      <c r="C324" s="38"/>
      <c r="D324" s="75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R324" s="416"/>
      <c r="S324" s="416"/>
      <c r="T324" s="417"/>
      <c r="U324" s="294"/>
    </row>
    <row r="325" spans="1:21" hidden="1" x14ac:dyDescent="0.35">
      <c r="A325" s="38"/>
      <c r="B325" s="38"/>
      <c r="C325" s="38"/>
      <c r="D325" s="75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R325" s="416"/>
      <c r="S325" s="416"/>
      <c r="T325" s="417"/>
      <c r="U325" s="294"/>
    </row>
    <row r="326" spans="1:21" hidden="1" x14ac:dyDescent="0.35">
      <c r="A326" s="38"/>
      <c r="B326" s="38"/>
      <c r="C326" s="38"/>
      <c r="D326" s="75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R326" s="416"/>
      <c r="S326" s="416"/>
      <c r="T326" s="417"/>
      <c r="U326" s="294"/>
    </row>
    <row r="327" spans="1:21" hidden="1" x14ac:dyDescent="0.35">
      <c r="A327" s="38"/>
      <c r="B327" s="38"/>
      <c r="C327" s="38"/>
      <c r="D327" s="75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R327" s="416"/>
      <c r="S327" s="416"/>
      <c r="T327" s="417"/>
      <c r="U327" s="294"/>
    </row>
    <row r="328" spans="1:21" hidden="1" x14ac:dyDescent="0.35">
      <c r="A328" s="38"/>
      <c r="B328" s="38"/>
      <c r="C328" s="38"/>
      <c r="D328" s="75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R328" s="416"/>
      <c r="S328" s="416"/>
      <c r="T328" s="417"/>
      <c r="U328" s="294"/>
    </row>
    <row r="329" spans="1:21" hidden="1" x14ac:dyDescent="0.35">
      <c r="A329" s="38"/>
      <c r="B329" s="38"/>
      <c r="C329" s="38"/>
      <c r="D329" s="75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R329" s="416"/>
      <c r="S329" s="416"/>
      <c r="T329" s="417"/>
      <c r="U329" s="294"/>
    </row>
    <row r="330" spans="1:21" hidden="1" x14ac:dyDescent="0.35">
      <c r="A330" s="38"/>
      <c r="B330" s="38"/>
      <c r="C330" s="38"/>
      <c r="D330" s="75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R330" s="416"/>
      <c r="S330" s="416"/>
      <c r="T330" s="417"/>
      <c r="U330" s="294"/>
    </row>
    <row r="331" spans="1:21" hidden="1" x14ac:dyDescent="0.35">
      <c r="A331" s="38"/>
      <c r="B331" s="38"/>
      <c r="C331" s="38"/>
      <c r="D331" s="75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R331" s="416"/>
      <c r="S331" s="416"/>
      <c r="T331" s="417"/>
      <c r="U331" s="294"/>
    </row>
    <row r="332" spans="1:21" hidden="1" x14ac:dyDescent="0.35">
      <c r="A332" s="38"/>
      <c r="B332" s="38"/>
      <c r="C332" s="38"/>
      <c r="D332" s="75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R332" s="416"/>
      <c r="S332" s="416"/>
      <c r="T332" s="417"/>
      <c r="U332" s="294"/>
    </row>
    <row r="333" spans="1:21" hidden="1" x14ac:dyDescent="0.35">
      <c r="A333" s="38"/>
      <c r="B333" s="38"/>
      <c r="C333" s="38"/>
      <c r="D333" s="75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R333" s="416"/>
      <c r="S333" s="416"/>
      <c r="T333" s="417"/>
      <c r="U333" s="294"/>
    </row>
    <row r="334" spans="1:21" hidden="1" x14ac:dyDescent="0.35">
      <c r="D334" s="75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R334" s="416"/>
      <c r="S334" s="416"/>
      <c r="T334" s="417"/>
      <c r="U334" s="294"/>
    </row>
    <row r="335" spans="1:21" hidden="1" x14ac:dyDescent="0.35">
      <c r="D335" s="75"/>
      <c r="R335" s="416"/>
      <c r="S335" s="416"/>
      <c r="T335" s="417"/>
      <c r="U335" s="294"/>
    </row>
    <row r="336" spans="1:21" hidden="1" x14ac:dyDescent="0.35">
      <c r="D336" s="75"/>
      <c r="R336" s="416"/>
      <c r="S336" s="416"/>
      <c r="T336" s="417"/>
      <c r="U336" s="294"/>
    </row>
    <row r="337" spans="4:21" hidden="1" x14ac:dyDescent="0.35">
      <c r="D337" s="75"/>
      <c r="R337" s="416"/>
      <c r="S337" s="416"/>
      <c r="T337" s="417"/>
      <c r="U337" s="294"/>
    </row>
    <row r="338" spans="4:21" hidden="1" x14ac:dyDescent="0.35">
      <c r="D338" s="75"/>
      <c r="R338" s="416"/>
      <c r="S338" s="391"/>
      <c r="T338" s="388"/>
      <c r="U338" s="294"/>
    </row>
    <row r="339" spans="4:21" hidden="1" x14ac:dyDescent="0.35">
      <c r="D339" s="75"/>
      <c r="R339" s="416"/>
      <c r="S339" s="391"/>
      <c r="T339" s="388"/>
      <c r="U339" s="294"/>
    </row>
    <row r="340" spans="4:21" hidden="1" x14ac:dyDescent="0.35">
      <c r="D340" s="75"/>
      <c r="R340" s="416"/>
      <c r="S340" s="391"/>
      <c r="T340" s="388"/>
      <c r="U340" s="294"/>
    </row>
    <row r="341" spans="4:21" hidden="1" x14ac:dyDescent="0.35">
      <c r="D341" s="75"/>
      <c r="R341" s="416"/>
      <c r="S341" s="391"/>
      <c r="T341" s="388"/>
      <c r="U341" s="294"/>
    </row>
    <row r="342" spans="4:21" hidden="1" x14ac:dyDescent="0.35">
      <c r="D342" s="75"/>
      <c r="R342" s="416"/>
      <c r="S342" s="391"/>
      <c r="T342" s="388"/>
      <c r="U342" s="294"/>
    </row>
    <row r="343" spans="4:21" hidden="1" x14ac:dyDescent="0.35">
      <c r="D343" s="75"/>
      <c r="R343" s="416"/>
      <c r="S343" s="391"/>
      <c r="T343" s="388"/>
      <c r="U343" s="294"/>
    </row>
    <row r="344" spans="4:21" hidden="1" x14ac:dyDescent="0.35">
      <c r="D344" s="75"/>
      <c r="R344" s="416"/>
      <c r="S344" s="391"/>
      <c r="T344" s="388"/>
      <c r="U344" s="294"/>
    </row>
    <row r="345" spans="4:21" hidden="1" x14ac:dyDescent="0.35">
      <c r="D345" s="75"/>
      <c r="R345" s="416"/>
      <c r="S345" s="391"/>
      <c r="T345" s="388"/>
      <c r="U345" s="294"/>
    </row>
    <row r="346" spans="4:21" hidden="1" x14ac:dyDescent="0.35">
      <c r="D346" s="75"/>
      <c r="R346" s="416"/>
      <c r="S346" s="391"/>
      <c r="T346" s="388"/>
      <c r="U346" s="294"/>
    </row>
    <row r="347" spans="4:21" hidden="1" x14ac:dyDescent="0.35">
      <c r="D347" s="75"/>
      <c r="R347" s="416"/>
      <c r="S347" s="391"/>
      <c r="T347" s="388"/>
      <c r="U347" s="294"/>
    </row>
    <row r="348" spans="4:21" hidden="1" x14ac:dyDescent="0.35">
      <c r="D348" s="75"/>
      <c r="R348" s="416"/>
      <c r="S348" s="416"/>
      <c r="T348" s="417"/>
      <c r="U348" s="294"/>
    </row>
    <row r="349" spans="4:21" hidden="1" x14ac:dyDescent="0.35">
      <c r="D349" s="75"/>
      <c r="R349" s="416"/>
      <c r="S349" s="416"/>
      <c r="T349" s="417"/>
      <c r="U349" s="294"/>
    </row>
    <row r="350" spans="4:21" hidden="1" x14ac:dyDescent="0.35">
      <c r="D350" s="75"/>
      <c r="R350" s="416"/>
      <c r="S350" s="416"/>
      <c r="T350" s="417"/>
      <c r="U350" s="294"/>
    </row>
    <row r="351" spans="4:21" hidden="1" x14ac:dyDescent="0.35">
      <c r="D351" s="75"/>
      <c r="R351" s="416"/>
      <c r="S351" s="418"/>
      <c r="T351" s="419"/>
      <c r="U351" s="294"/>
    </row>
    <row r="352" spans="4:21" hidden="1" x14ac:dyDescent="0.35">
      <c r="D352" s="75"/>
      <c r="R352" s="416"/>
      <c r="S352" s="420"/>
      <c r="T352" s="421"/>
      <c r="U352" s="294"/>
    </row>
    <row r="353" spans="1:21" hidden="1" x14ac:dyDescent="0.35">
      <c r="R353" s="416"/>
      <c r="S353" s="416"/>
      <c r="T353" s="417"/>
    </row>
    <row r="354" spans="1:21" hidden="1" x14ac:dyDescent="0.35"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459"/>
      <c r="S354" s="416"/>
      <c r="T354" s="417"/>
      <c r="U354" s="296"/>
    </row>
    <row r="355" spans="1:21" hidden="1" x14ac:dyDescent="0.35">
      <c r="Q355" s="78"/>
      <c r="R355" s="422"/>
      <c r="S355" s="416"/>
      <c r="T355" s="417"/>
    </row>
    <row r="356" spans="1:21" hidden="1" x14ac:dyDescent="0.35">
      <c r="R356" s="391"/>
      <c r="S356" s="416"/>
      <c r="T356" s="417"/>
    </row>
    <row r="357" spans="1:21" hidden="1" x14ac:dyDescent="0.35">
      <c r="A357" s="38"/>
      <c r="B357" s="38"/>
      <c r="C357" s="38"/>
      <c r="D357" s="38"/>
      <c r="R357" s="391"/>
      <c r="S357" s="416"/>
      <c r="T357" s="417"/>
      <c r="U357" s="294"/>
    </row>
    <row r="358" spans="1:21" ht="16.5" hidden="1" thickTop="1" x14ac:dyDescent="0.35">
      <c r="A358" s="72"/>
      <c r="B358" s="72"/>
      <c r="C358" s="72"/>
      <c r="D358" s="72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R358" s="416"/>
      <c r="S358" s="416"/>
      <c r="T358" s="417"/>
      <c r="U358" s="294"/>
    </row>
    <row r="359" spans="1:21" ht="16.5" hidden="1" thickTop="1" x14ac:dyDescent="0.35"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2"/>
      <c r="R359" s="458"/>
      <c r="S359" s="416"/>
      <c r="T359" s="417"/>
    </row>
    <row r="360" spans="1:21" hidden="1" x14ac:dyDescent="0.35">
      <c r="R360" s="391"/>
      <c r="S360" s="416"/>
      <c r="T360" s="417"/>
    </row>
    <row r="361" spans="1:21" hidden="1" x14ac:dyDescent="0.35"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R361" s="391"/>
      <c r="S361" s="416"/>
      <c r="T361" s="417"/>
    </row>
    <row r="362" spans="1:21" hidden="1" x14ac:dyDescent="0.35">
      <c r="R362" s="391"/>
      <c r="S362" s="416"/>
      <c r="T362" s="417"/>
    </row>
    <row r="363" spans="1:21" hidden="1" x14ac:dyDescent="0.35">
      <c r="R363" s="391"/>
      <c r="S363" s="416"/>
      <c r="T363" s="417"/>
    </row>
    <row r="364" spans="1:21" hidden="1" x14ac:dyDescent="0.35">
      <c r="R364" s="391"/>
      <c r="S364" s="416"/>
      <c r="T364" s="417"/>
    </row>
    <row r="365" spans="1:21" hidden="1" x14ac:dyDescent="0.35">
      <c r="R365" s="391"/>
      <c r="S365" s="416"/>
      <c r="T365" s="417"/>
    </row>
    <row r="366" spans="1:21" hidden="1" x14ac:dyDescent="0.35">
      <c r="R366" s="391"/>
      <c r="S366" s="416"/>
      <c r="T366" s="417"/>
    </row>
    <row r="367" spans="1:21" x14ac:dyDescent="0.35"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R367" s="391"/>
      <c r="S367" s="416"/>
      <c r="T367" s="417"/>
    </row>
    <row r="368" spans="1:21" x14ac:dyDescent="0.35">
      <c r="Q368" s="391"/>
      <c r="R368" s="391"/>
      <c r="S368" s="416"/>
      <c r="T368" s="417"/>
    </row>
    <row r="369" spans="17:20" x14ac:dyDescent="0.35">
      <c r="Q369" s="391"/>
      <c r="R369" s="391"/>
      <c r="S369" s="416"/>
      <c r="T369" s="417"/>
    </row>
    <row r="370" spans="17:20" x14ac:dyDescent="0.35">
      <c r="Q370" s="391"/>
      <c r="R370" s="391"/>
      <c r="S370" s="416"/>
      <c r="T370" s="417"/>
    </row>
    <row r="371" spans="17:20" x14ac:dyDescent="0.35">
      <c r="Q371" s="391"/>
      <c r="R371" s="391"/>
      <c r="S371" s="416"/>
      <c r="T371" s="417"/>
    </row>
    <row r="372" spans="17:20" x14ac:dyDescent="0.35">
      <c r="Q372" s="391"/>
      <c r="R372" s="391"/>
      <c r="S372" s="416"/>
      <c r="T372" s="417"/>
    </row>
    <row r="373" spans="17:20" x14ac:dyDescent="0.35">
      <c r="Q373" s="391"/>
      <c r="R373" s="391"/>
      <c r="S373" s="416"/>
      <c r="T373" s="417"/>
    </row>
    <row r="374" spans="17:20" x14ac:dyDescent="0.35">
      <c r="Q374" s="391"/>
      <c r="R374" s="391"/>
      <c r="S374" s="416"/>
      <c r="T374" s="417"/>
    </row>
    <row r="375" spans="17:20" x14ac:dyDescent="0.35">
      <c r="Q375" s="391"/>
      <c r="R375" s="391"/>
      <c r="S375" s="416"/>
      <c r="T375" s="417"/>
    </row>
    <row r="376" spans="17:20" x14ac:dyDescent="0.35">
      <c r="Q376" s="391"/>
      <c r="R376" s="391"/>
      <c r="S376" s="416"/>
      <c r="T376" s="417"/>
    </row>
    <row r="377" spans="17:20" x14ac:dyDescent="0.35">
      <c r="Q377" s="391"/>
      <c r="R377" s="391"/>
      <c r="S377" s="416"/>
      <c r="T377" s="417"/>
    </row>
    <row r="378" spans="17:20" x14ac:dyDescent="0.35">
      <c r="Q378" s="391"/>
      <c r="R378" s="391"/>
      <c r="S378" s="416"/>
      <c r="T378" s="417"/>
    </row>
    <row r="379" spans="17:20" x14ac:dyDescent="0.35">
      <c r="Q379" s="391"/>
      <c r="R379" s="391"/>
      <c r="S379" s="416"/>
      <c r="T379" s="417"/>
    </row>
    <row r="380" spans="17:20" x14ac:dyDescent="0.35">
      <c r="Q380" s="391"/>
      <c r="R380" s="391"/>
      <c r="S380" s="416"/>
      <c r="T380" s="417"/>
    </row>
    <row r="381" spans="17:20" x14ac:dyDescent="0.35">
      <c r="Q381" s="391"/>
      <c r="R381" s="391"/>
      <c r="S381" s="416"/>
      <c r="T381" s="417"/>
    </row>
    <row r="382" spans="17:20" x14ac:dyDescent="0.35">
      <c r="Q382" s="391"/>
      <c r="R382" s="391"/>
      <c r="S382" s="416"/>
      <c r="T382" s="417"/>
    </row>
    <row r="383" spans="17:20" x14ac:dyDescent="0.35">
      <c r="Q383" s="391"/>
      <c r="R383" s="391"/>
      <c r="S383" s="416"/>
      <c r="T383" s="417"/>
    </row>
    <row r="384" spans="17:20" x14ac:dyDescent="0.35">
      <c r="Q384" s="391"/>
      <c r="R384" s="391"/>
      <c r="S384" s="416"/>
      <c r="T384" s="417"/>
    </row>
    <row r="385" spans="17:20" x14ac:dyDescent="0.35">
      <c r="Q385" s="391"/>
      <c r="R385" s="391"/>
      <c r="S385" s="416"/>
      <c r="T385" s="417"/>
    </row>
    <row r="386" spans="17:20" x14ac:dyDescent="0.35">
      <c r="Q386" s="391"/>
      <c r="R386" s="391"/>
      <c r="S386" s="416"/>
      <c r="T386" s="417"/>
    </row>
    <row r="387" spans="17:20" x14ac:dyDescent="0.35">
      <c r="Q387" s="391"/>
      <c r="R387" s="391"/>
      <c r="S387" s="391"/>
      <c r="T387" s="388"/>
    </row>
    <row r="388" spans="17:20" x14ac:dyDescent="0.35">
      <c r="Q388" s="391"/>
      <c r="R388" s="391"/>
      <c r="S388" s="422"/>
      <c r="T388" s="423"/>
    </row>
    <row r="389" spans="17:20" x14ac:dyDescent="0.35">
      <c r="Q389" s="391"/>
      <c r="R389" s="391"/>
      <c r="S389" s="391"/>
      <c r="T389" s="388"/>
    </row>
    <row r="390" spans="17:20" x14ac:dyDescent="0.35">
      <c r="Q390" s="391"/>
      <c r="R390" s="391"/>
      <c r="S390" s="391"/>
      <c r="T390" s="388"/>
    </row>
    <row r="391" spans="17:20" x14ac:dyDescent="0.35">
      <c r="Q391" s="391"/>
      <c r="R391" s="391"/>
      <c r="S391" s="416"/>
      <c r="T391" s="417"/>
    </row>
    <row r="392" spans="17:20" x14ac:dyDescent="0.35">
      <c r="Q392" s="391"/>
      <c r="R392" s="391"/>
      <c r="S392" s="416"/>
      <c r="T392" s="417"/>
    </row>
  </sheetData>
  <sheetProtection formatColumns="0" selectLockedCells="1"/>
  <phoneticPr fontId="0" type="noConversion"/>
  <conditionalFormatting sqref="E140:P156">
    <cfRule type="expression" dxfId="77" priority="426">
      <formula>E184&gt;0</formula>
    </cfRule>
    <cfRule type="expression" dxfId="76" priority="427">
      <formula>E162&gt;0</formula>
    </cfRule>
  </conditionalFormatting>
  <conditionalFormatting sqref="E158:Q158">
    <cfRule type="expression" dxfId="75" priority="3">
      <formula>ABS(E158)&lt;1</formula>
    </cfRule>
  </conditionalFormatting>
  <conditionalFormatting sqref="E180:Q181">
    <cfRule type="expression" dxfId="74" priority="2">
      <formula>ABS(E180)&lt;1</formula>
    </cfRule>
  </conditionalFormatting>
  <conditionalFormatting sqref="E202:Q202">
    <cfRule type="expression" dxfId="73" priority="4">
      <formula>ABS(E202)&lt;1</formula>
    </cfRule>
  </conditionalFormatting>
  <conditionalFormatting sqref="E250:Q250">
    <cfRule type="cellIs" dxfId="72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74A5806C-A94D-4D07-B091-EF0D88D72769}"/>
  </dataValidations>
  <printOptions horizontalCentered="1" verticalCentered="1"/>
  <pageMargins left="0.25" right="0.25" top="0.75" bottom="0.75" header="0.3" footer="0.3"/>
  <pageSetup scale="46" fitToHeight="2" orientation="landscape" r:id="rId1"/>
  <headerFooter>
    <oddHeader>&amp;R&amp;D</oddHeader>
    <oddFooter>Page &amp;P of &amp;N</oddFooter>
  </headerFooter>
  <rowBreaks count="1" manualBreakCount="1">
    <brk id="72" min="1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tabColor theme="0"/>
  </sheetPr>
  <dimension ref="A1:V419"/>
  <sheetViews>
    <sheetView tabSelected="1" view="pageBreakPreview" zoomScale="60" zoomScaleNormal="50" workbookViewId="0">
      <pane xSplit="4" ySplit="4" topLeftCell="E58" activePane="bottomRight" state="frozen"/>
      <selection activeCell="A11" sqref="A11"/>
      <selection pane="topRight" activeCell="A11" sqref="A11"/>
      <selection pane="bottomLeft" activeCell="A11" sqref="A11"/>
      <selection pane="bottomRight" activeCell="A11" sqref="A11"/>
    </sheetView>
  </sheetViews>
  <sheetFormatPr defaultColWidth="10.81640625" defaultRowHeight="16" outlineLevelRow="1" outlineLevelCol="1" x14ac:dyDescent="0.35"/>
  <cols>
    <col min="1" max="1" width="15.54296875" style="34" bestFit="1" customWidth="1"/>
    <col min="2" max="2" width="10.81640625" style="34" customWidth="1"/>
    <col min="3" max="3" width="2.81640625" style="34" customWidth="1"/>
    <col min="4" max="4" width="37.81640625" style="34" customWidth="1"/>
    <col min="5" max="5" width="14.54296875" style="34" bestFit="1" customWidth="1"/>
    <col min="6" max="6" width="13.54296875" style="34" bestFit="1" customWidth="1"/>
    <col min="7" max="8" width="15.81640625" style="34" customWidth="1"/>
    <col min="9" max="9" width="13.81640625" style="34" customWidth="1"/>
    <col min="10" max="10" width="13.1796875" style="34" customWidth="1"/>
    <col min="11" max="11" width="13.453125" style="34" customWidth="1"/>
    <col min="12" max="16" width="12.81640625" style="34" customWidth="1"/>
    <col min="17" max="17" width="15.81640625" style="34" bestFit="1" customWidth="1"/>
    <col min="18" max="18" width="14.453125" style="34" bestFit="1" customWidth="1"/>
    <col min="19" max="19" width="15.1796875" style="34" hidden="1" customWidth="1" outlineLevel="1"/>
    <col min="20" max="20" width="11.1796875" style="330" hidden="1" customWidth="1" outlineLevel="1"/>
    <col min="21" max="21" width="9.81640625" style="54" bestFit="1" customWidth="1" collapsed="1"/>
    <col min="22" max="22" width="47.1796875" style="34" bestFit="1" customWidth="1"/>
    <col min="23" max="16384" width="10.81640625" style="34"/>
  </cols>
  <sheetData>
    <row r="1" spans="1:22" s="51" customFormat="1" ht="29" x14ac:dyDescent="0.25">
      <c r="B1" s="280">
        <v>4080</v>
      </c>
      <c r="C1" s="280"/>
      <c r="J1" s="52" t="str">
        <f>+'4070'!J1</f>
        <v>Operating Budget</v>
      </c>
      <c r="Q1" s="389">
        <f>'NI LLC-Consolidated'!Q1</f>
        <v>46023</v>
      </c>
      <c r="R1" s="389"/>
      <c r="S1" s="389"/>
      <c r="T1" s="390"/>
      <c r="U1" s="291"/>
    </row>
    <row r="2" spans="1:22" ht="18" x14ac:dyDescent="0.35">
      <c r="J2" s="120" t="str">
        <f>+'4070'!J2</f>
        <v>Neshaminy Interplex LLC</v>
      </c>
      <c r="Q2" s="391"/>
      <c r="R2" s="391"/>
      <c r="S2" s="391"/>
      <c r="T2" s="388"/>
    </row>
    <row r="3" spans="1:22" ht="18" x14ac:dyDescent="0.35">
      <c r="Q3" s="468">
        <f>Q1</f>
        <v>46023</v>
      </c>
      <c r="R3" s="469"/>
      <c r="S3" s="392" t="s">
        <v>504</v>
      </c>
      <c r="T3" s="393"/>
    </row>
    <row r="4" spans="1:22" s="39" customFormat="1" ht="18" x14ac:dyDescent="0.35">
      <c r="B4" s="281">
        <v>127848</v>
      </c>
      <c r="C4" s="281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29" t="s">
        <v>12</v>
      </c>
      <c r="R4" s="429" t="s">
        <v>442</v>
      </c>
      <c r="S4" s="394" t="s">
        <v>12</v>
      </c>
      <c r="T4" s="395" t="s">
        <v>503</v>
      </c>
      <c r="U4" s="292" t="s">
        <v>449</v>
      </c>
      <c r="V4" s="297" t="s">
        <v>370</v>
      </c>
    </row>
    <row r="5" spans="1:22" x14ac:dyDescent="0.35">
      <c r="Q5" s="430"/>
      <c r="R5" s="430"/>
      <c r="S5" s="396"/>
      <c r="T5" s="397"/>
      <c r="U5" s="294"/>
      <c r="V5" s="38"/>
    </row>
    <row r="6" spans="1:22" s="56" customFormat="1" x14ac:dyDescent="0.35">
      <c r="B6" s="57"/>
      <c r="D6" s="276" t="s">
        <v>13</v>
      </c>
      <c r="E6" s="277">
        <f>'Renew &amp; Vac'!AJ75</f>
        <v>0.58489999999999998</v>
      </c>
      <c r="F6" s="277">
        <f>'Renew &amp; Vac'!AK75</f>
        <v>0.58489999999999998</v>
      </c>
      <c r="G6" s="277">
        <f>'Renew &amp; Vac'!AL75</f>
        <v>0.60089999999999999</v>
      </c>
      <c r="H6" s="277">
        <f>'Renew &amp; Vac'!AM75</f>
        <v>0.61899999999999999</v>
      </c>
      <c r="I6" s="277">
        <f>'Renew &amp; Vac'!AN75</f>
        <v>0.61899999999999999</v>
      </c>
      <c r="J6" s="277">
        <f>'Renew &amp; Vac'!AO75</f>
        <v>0.61899999999999999</v>
      </c>
      <c r="K6" s="277">
        <f>'Renew &amp; Vac'!AP75</f>
        <v>0.64149999999999996</v>
      </c>
      <c r="L6" s="277">
        <f>'Renew &amp; Vac'!AQ75</f>
        <v>0.64149999999999996</v>
      </c>
      <c r="M6" s="277">
        <f>'Renew &amp; Vac'!AR75</f>
        <v>0.64149999999999996</v>
      </c>
      <c r="N6" s="277">
        <f>'Renew &amp; Vac'!AS75</f>
        <v>0.64149999999999996</v>
      </c>
      <c r="O6" s="277">
        <f>'Renew &amp; Vac'!AT75</f>
        <v>0.63339999999999996</v>
      </c>
      <c r="P6" s="277">
        <f>'Renew &amp; Vac'!AU75</f>
        <v>0.63339999999999996</v>
      </c>
      <c r="Q6" s="431"/>
      <c r="R6" s="431"/>
      <c r="S6" s="398"/>
      <c r="T6" s="399"/>
      <c r="U6" s="298"/>
      <c r="V6" s="299"/>
    </row>
    <row r="7" spans="1:22" s="56" customFormat="1" x14ac:dyDescent="0.35">
      <c r="B7" s="57"/>
      <c r="D7" s="276" t="s">
        <v>447</v>
      </c>
      <c r="E7" s="278">
        <f>$B$4*E6</f>
        <v>74778.295199999993</v>
      </c>
      <c r="F7" s="278">
        <f t="shared" ref="F7:P7" si="0">$B$4*F6</f>
        <v>74778.295199999993</v>
      </c>
      <c r="G7" s="278">
        <f t="shared" si="0"/>
        <v>76823.863199999993</v>
      </c>
      <c r="H7" s="278">
        <f t="shared" si="0"/>
        <v>79137.911999999997</v>
      </c>
      <c r="I7" s="278">
        <f t="shared" si="0"/>
        <v>79137.911999999997</v>
      </c>
      <c r="J7" s="278">
        <f t="shared" si="0"/>
        <v>79137.911999999997</v>
      </c>
      <c r="K7" s="278">
        <f t="shared" si="0"/>
        <v>82014.491999999998</v>
      </c>
      <c r="L7" s="278">
        <f t="shared" si="0"/>
        <v>82014.491999999998</v>
      </c>
      <c r="M7" s="278">
        <f t="shared" si="0"/>
        <v>82014.491999999998</v>
      </c>
      <c r="N7" s="278">
        <f t="shared" si="0"/>
        <v>82014.491999999998</v>
      </c>
      <c r="O7" s="278">
        <f t="shared" si="0"/>
        <v>80978.92319999999</v>
      </c>
      <c r="P7" s="278">
        <f t="shared" si="0"/>
        <v>80978.92319999999</v>
      </c>
      <c r="Q7" s="431"/>
      <c r="R7" s="431"/>
      <c r="S7" s="398"/>
      <c r="T7" s="399"/>
      <c r="U7" s="298"/>
      <c r="V7" s="299"/>
    </row>
    <row r="8" spans="1:22" ht="18" x14ac:dyDescent="0.35">
      <c r="B8" s="35" t="s">
        <v>14</v>
      </c>
      <c r="Q8" s="430"/>
      <c r="R8" s="430"/>
      <c r="S8" s="396"/>
      <c r="T8" s="397"/>
      <c r="U8" s="294"/>
      <c r="V8" s="38"/>
    </row>
    <row r="9" spans="1:22" x14ac:dyDescent="0.35">
      <c r="A9" s="110"/>
      <c r="Q9" s="430"/>
      <c r="R9" s="430"/>
      <c r="S9" s="396"/>
      <c r="T9" s="397"/>
      <c r="U9" s="294"/>
      <c r="V9" s="38"/>
    </row>
    <row r="10" spans="1:22" x14ac:dyDescent="0.35">
      <c r="A10" s="110" t="s">
        <v>136</v>
      </c>
      <c r="C10" s="34" t="s">
        <v>163</v>
      </c>
      <c r="E10" s="34">
        <f>SUMIFS('In Place Revenue'!$G:$G,'In Place Revenue'!$A:$A,"4080",'In Place Revenue'!$H:$H,1)</f>
        <v>100332.82</v>
      </c>
      <c r="F10" s="34">
        <f>SUMIFS('In Place Revenue'!$G:$G,'In Place Revenue'!$A:$A,"4080",'In Place Revenue'!$H:$H,2)</f>
        <v>100332.82</v>
      </c>
      <c r="G10" s="34">
        <f>SUMIFS('In Place Revenue'!$G:$G,'In Place Revenue'!$A:$A,"4080",'In Place Revenue'!$H:$H,3)</f>
        <v>100597.87</v>
      </c>
      <c r="H10" s="34">
        <f>SUMIFS('In Place Revenue'!$G:$G,'In Place Revenue'!$A:$A,"4080",'In Place Revenue'!$H:$H,4)</f>
        <v>96232.489999999991</v>
      </c>
      <c r="I10" s="34">
        <f>SUMIFS('In Place Revenue'!$G:$G,'In Place Revenue'!$A:$A,"4080",'In Place Revenue'!$H:$H,5)</f>
        <v>96232.489999999991</v>
      </c>
      <c r="J10" s="34">
        <f>SUMIFS('In Place Revenue'!$G:$G,'In Place Revenue'!$A:$A,"4080",'In Place Revenue'!$H:$H,6)</f>
        <v>96232.489999999991</v>
      </c>
      <c r="K10" s="34">
        <f>SUMIFS('In Place Revenue'!$G:$G,'In Place Revenue'!$A:$A,"4080",'In Place Revenue'!$H:$H,7)</f>
        <v>67334.739999999991</v>
      </c>
      <c r="L10" s="34">
        <f>SUMIFS('In Place Revenue'!$G:$G,'In Place Revenue'!$A:$A,"4080",'In Place Revenue'!$H:$H,8)</f>
        <v>67614.91</v>
      </c>
      <c r="M10" s="34">
        <f>SUMIFS('In Place Revenue'!$G:$G,'In Place Revenue'!$A:$A,"4080",'In Place Revenue'!$H:$H,9)</f>
        <v>61690.909999999996</v>
      </c>
      <c r="N10" s="34">
        <f>SUMIFS('In Place Revenue'!$G:$G,'In Place Revenue'!$A:$A,"4080",'In Place Revenue'!$H:$H,10)</f>
        <v>54965.909999999996</v>
      </c>
      <c r="O10" s="34">
        <f>SUMIFS('In Place Revenue'!$G:$G,'In Place Revenue'!$A:$A,"4080",'In Place Revenue'!$H:$H,11)</f>
        <v>54965.909999999996</v>
      </c>
      <c r="P10" s="34">
        <f>SUMIFS('In Place Revenue'!$G:$G,'In Place Revenue'!$A:$A,"4080",'In Place Revenue'!$H:$H,12)</f>
        <v>54965.909999999996</v>
      </c>
      <c r="Q10" s="430">
        <f>SUM(E10:P10)</f>
        <v>951499.27000000014</v>
      </c>
      <c r="R10" s="432">
        <f>Q10/$B$4</f>
        <v>7.442425927664102</v>
      </c>
      <c r="S10" s="396">
        <v>1260430.6000000001</v>
      </c>
      <c r="T10" s="460">
        <f>IFERROR(Q10/S10-1,"-")</f>
        <v>-0.24509983334266872</v>
      </c>
      <c r="U10" s="300"/>
      <c r="V10" s="38"/>
    </row>
    <row r="11" spans="1:22" x14ac:dyDescent="0.35">
      <c r="A11" s="110" t="s">
        <v>136</v>
      </c>
      <c r="C11" s="34" t="s">
        <v>164</v>
      </c>
      <c r="E11" s="34">
        <f>'Renew &amp; Vac'!AJ76</f>
        <v>14152.833333333334</v>
      </c>
      <c r="F11" s="34">
        <f>'Renew &amp; Vac'!AK76</f>
        <v>14152.833333333334</v>
      </c>
      <c r="G11" s="34">
        <f>'Renew &amp; Vac'!AL76</f>
        <v>17660.043333333335</v>
      </c>
      <c r="H11" s="34">
        <f>'Renew &amp; Vac'!AM76</f>
        <v>21501.710000000003</v>
      </c>
      <c r="I11" s="34">
        <f>'Renew &amp; Vac'!AN76</f>
        <v>21501.710000000003</v>
      </c>
      <c r="J11" s="34">
        <f>'Renew &amp; Vac'!AO76</f>
        <v>21501.710000000003</v>
      </c>
      <c r="K11" s="34">
        <f>'Renew &amp; Vac'!AP76</f>
        <v>40758.959999999999</v>
      </c>
      <c r="L11" s="34">
        <f>'Renew &amp; Vac'!AQ76</f>
        <v>40758.959999999999</v>
      </c>
      <c r="M11" s="34">
        <f>'Renew &amp; Vac'!AR76</f>
        <v>46868.084999999999</v>
      </c>
      <c r="N11" s="34">
        <f>'Renew &amp; Vac'!AS76</f>
        <v>53018.084999999999</v>
      </c>
      <c r="O11" s="34">
        <f>'Renew &amp; Vac'!AT76</f>
        <v>51345.96</v>
      </c>
      <c r="P11" s="34">
        <f>'Renew &amp; Vac'!AU76</f>
        <v>51345.96</v>
      </c>
      <c r="Q11" s="430">
        <f>SUM(E11:P11)</f>
        <v>394566.85000000003</v>
      </c>
      <c r="R11" s="432">
        <f t="shared" ref="R11:R73" si="1">Q11/$B$4</f>
        <v>3.0862183999749706</v>
      </c>
      <c r="S11" s="396"/>
      <c r="T11" s="460" t="str">
        <f>IFERROR(Q11/S11-1,"-")</f>
        <v>-</v>
      </c>
      <c r="U11" s="300"/>
      <c r="V11" s="38"/>
    </row>
    <row r="12" spans="1:22" hidden="1" x14ac:dyDescent="0.35">
      <c r="A12" s="110" t="s">
        <v>101</v>
      </c>
      <c r="C12" s="34" t="s">
        <v>16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30">
        <f>SUM(E12:P12)</f>
        <v>0</v>
      </c>
      <c r="R12" s="432">
        <f t="shared" si="1"/>
        <v>0</v>
      </c>
      <c r="S12" s="396"/>
      <c r="T12" s="399" t="e">
        <f>R12/S12-1</f>
        <v>#DIV/0!</v>
      </c>
      <c r="U12" s="300"/>
      <c r="V12" s="38"/>
    </row>
    <row r="13" spans="1:22" x14ac:dyDescent="0.35">
      <c r="A13" s="110" t="s">
        <v>137</v>
      </c>
      <c r="C13" s="34" t="s">
        <v>17</v>
      </c>
      <c r="E13" s="40">
        <v>200</v>
      </c>
      <c r="F13" s="40">
        <v>200</v>
      </c>
      <c r="G13" s="40">
        <f>200+5000</f>
        <v>5200</v>
      </c>
      <c r="H13" s="40">
        <v>200</v>
      </c>
      <c r="I13" s="40">
        <v>200</v>
      </c>
      <c r="J13" s="40">
        <f>200+5000</f>
        <v>5200</v>
      </c>
      <c r="K13" s="40">
        <v>200</v>
      </c>
      <c r="L13" s="40">
        <v>200</v>
      </c>
      <c r="M13" s="40">
        <f>200+5000</f>
        <v>5200</v>
      </c>
      <c r="N13" s="40">
        <v>200</v>
      </c>
      <c r="O13" s="40">
        <v>200</v>
      </c>
      <c r="P13" s="40">
        <f>200+5000</f>
        <v>5200</v>
      </c>
      <c r="Q13" s="430">
        <f>SUM(E13:P13)</f>
        <v>22400</v>
      </c>
      <c r="R13" s="432">
        <f t="shared" si="1"/>
        <v>0.17520805957074026</v>
      </c>
      <c r="S13" s="396">
        <v>15998.619999999999</v>
      </c>
      <c r="T13" s="460">
        <f>IFERROR(Q13/S13-1,"-")</f>
        <v>0.40012076041558586</v>
      </c>
      <c r="U13" s="300" t="s">
        <v>371</v>
      </c>
      <c r="V13" s="38" t="s">
        <v>397</v>
      </c>
    </row>
    <row r="14" spans="1:22" x14ac:dyDescent="0.35">
      <c r="A14" s="110" t="s">
        <v>138</v>
      </c>
      <c r="C14" s="34" t="s">
        <v>18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30">
        <f>SUM(E14:P14)</f>
        <v>0</v>
      </c>
      <c r="R14" s="432">
        <f t="shared" si="1"/>
        <v>0</v>
      </c>
      <c r="S14" s="396"/>
      <c r="T14" s="460" t="str">
        <f>IFERROR(Q14/S14-1,"-")</f>
        <v>-</v>
      </c>
      <c r="U14" s="300"/>
      <c r="V14" s="38"/>
    </row>
    <row r="15" spans="1:22" x14ac:dyDescent="0.35">
      <c r="A15" s="110"/>
      <c r="C15" s="34" t="s">
        <v>19</v>
      </c>
      <c r="D15" s="44"/>
      <c r="E15" s="59">
        <f>SUM(E10:E14)</f>
        <v>114685.65333333334</v>
      </c>
      <c r="F15" s="59">
        <f t="shared" ref="F15:Q15" si="2">SUM(F10:F14)</f>
        <v>114685.65333333334</v>
      </c>
      <c r="G15" s="59">
        <f t="shared" si="2"/>
        <v>123457.91333333333</v>
      </c>
      <c r="H15" s="59">
        <f t="shared" si="2"/>
        <v>117934.2</v>
      </c>
      <c r="I15" s="59">
        <f t="shared" si="2"/>
        <v>117934.2</v>
      </c>
      <c r="J15" s="59">
        <f t="shared" si="2"/>
        <v>122934.2</v>
      </c>
      <c r="K15" s="59">
        <f t="shared" si="2"/>
        <v>108293.69999999998</v>
      </c>
      <c r="L15" s="59">
        <f t="shared" si="2"/>
        <v>108573.87</v>
      </c>
      <c r="M15" s="59">
        <f t="shared" si="2"/>
        <v>113758.995</v>
      </c>
      <c r="N15" s="59">
        <f t="shared" si="2"/>
        <v>108183.995</v>
      </c>
      <c r="O15" s="59">
        <f t="shared" si="2"/>
        <v>106511.87</v>
      </c>
      <c r="P15" s="59">
        <f t="shared" si="2"/>
        <v>111511.87</v>
      </c>
      <c r="Q15" s="433">
        <f t="shared" si="2"/>
        <v>1368466.12</v>
      </c>
      <c r="R15" s="434">
        <f t="shared" si="1"/>
        <v>10.703852387209812</v>
      </c>
      <c r="S15" s="400">
        <f>SUM(S10:S14)</f>
        <v>1276429.2200000002</v>
      </c>
      <c r="T15" s="461">
        <f>IFERROR(Q15/S15-1,"-")</f>
        <v>7.2104977352367428E-2</v>
      </c>
      <c r="U15" s="300"/>
      <c r="V15" s="38"/>
    </row>
    <row r="16" spans="1:22" ht="18" x14ac:dyDescent="0.35">
      <c r="A16" s="110"/>
      <c r="Q16" s="435"/>
      <c r="R16" s="436"/>
      <c r="S16" s="402"/>
      <c r="T16" s="403"/>
      <c r="U16" s="301"/>
      <c r="V16" s="38"/>
    </row>
    <row r="17" spans="1:22" ht="18" x14ac:dyDescent="0.35">
      <c r="A17" s="110"/>
      <c r="B17" s="35" t="s">
        <v>20</v>
      </c>
      <c r="Q17" s="430"/>
      <c r="R17" s="432"/>
      <c r="S17" s="396"/>
      <c r="T17" s="399"/>
      <c r="U17" s="300"/>
      <c r="V17" s="38"/>
    </row>
    <row r="18" spans="1:22" x14ac:dyDescent="0.35">
      <c r="A18" s="110" t="s">
        <v>102</v>
      </c>
      <c r="C18" s="34" t="s">
        <v>21</v>
      </c>
      <c r="E18" s="34">
        <f>E6*E29</f>
        <v>20254.502099999998</v>
      </c>
      <c r="F18" s="34">
        <f t="shared" ref="F18:P18" si="3">F6*F29</f>
        <v>18335.445199999998</v>
      </c>
      <c r="G18" s="34">
        <f t="shared" si="3"/>
        <v>17856.945299999999</v>
      </c>
      <c r="H18" s="34">
        <f t="shared" si="3"/>
        <v>18407.203000000001</v>
      </c>
      <c r="I18" s="34">
        <f t="shared" si="3"/>
        <v>20648.601999999999</v>
      </c>
      <c r="J18" s="34">
        <f t="shared" si="3"/>
        <v>22142.867999999999</v>
      </c>
      <c r="K18" s="34">
        <f t="shared" si="3"/>
        <v>24715.070499999998</v>
      </c>
      <c r="L18" s="34">
        <f t="shared" si="3"/>
        <v>24554.054</v>
      </c>
      <c r="M18" s="34">
        <f t="shared" si="3"/>
        <v>23088.867999999999</v>
      </c>
      <c r="N18" s="34">
        <f t="shared" si="3"/>
        <v>22251.069</v>
      </c>
      <c r="O18" s="34">
        <f t="shared" si="3"/>
        <v>18989.965399999997</v>
      </c>
      <c r="P18" s="34">
        <f t="shared" si="3"/>
        <v>22842.937599999997</v>
      </c>
      <c r="Q18" s="430">
        <f>SUM(E18:P18)</f>
        <v>254087.53009999997</v>
      </c>
      <c r="R18" s="432">
        <f t="shared" ref="R18" si="4">Q18/$B$4</f>
        <v>1.9874188888367434</v>
      </c>
      <c r="S18" s="396">
        <v>214784.31</v>
      </c>
      <c r="T18" s="460">
        <f>IFERROR(Q18/S18-1,"-")</f>
        <v>0.18298925140295386</v>
      </c>
      <c r="U18" s="300" t="s">
        <v>371</v>
      </c>
      <c r="V18" s="316" t="str">
        <f>Q18/Q29*100&amp;"% Set to occupancy"</f>
        <v>62.2630787307608% Set to occupancy</v>
      </c>
    </row>
    <row r="19" spans="1:22" x14ac:dyDescent="0.35">
      <c r="A19" s="110" t="s">
        <v>103</v>
      </c>
      <c r="C19" s="34" t="s">
        <v>22</v>
      </c>
      <c r="E19" s="34">
        <f>+'Tenant Recoveries'!I21</f>
        <v>16300</v>
      </c>
      <c r="F19" s="34">
        <f t="shared" ref="F19:H20" si="5">+E19</f>
        <v>16300</v>
      </c>
      <c r="G19" s="34">
        <f t="shared" si="5"/>
        <v>16300</v>
      </c>
      <c r="H19" s="34">
        <f t="shared" si="5"/>
        <v>16300</v>
      </c>
      <c r="I19" s="34">
        <f t="shared" ref="I19:P19" si="6">+H19</f>
        <v>16300</v>
      </c>
      <c r="J19" s="34">
        <f t="shared" si="6"/>
        <v>16300</v>
      </c>
      <c r="K19" s="34">
        <f t="shared" si="6"/>
        <v>16300</v>
      </c>
      <c r="L19" s="34">
        <f t="shared" si="6"/>
        <v>16300</v>
      </c>
      <c r="M19" s="34">
        <f t="shared" si="6"/>
        <v>16300</v>
      </c>
      <c r="N19" s="34">
        <f t="shared" si="6"/>
        <v>16300</v>
      </c>
      <c r="O19" s="34">
        <f t="shared" si="6"/>
        <v>16300</v>
      </c>
      <c r="P19" s="34">
        <f t="shared" si="6"/>
        <v>16300</v>
      </c>
      <c r="Q19" s="430">
        <f>SUM(E19:P19)</f>
        <v>195600</v>
      </c>
      <c r="R19" s="432">
        <f t="shared" si="1"/>
        <v>1.5299418058944998</v>
      </c>
      <c r="S19" s="396">
        <v>165405</v>
      </c>
      <c r="T19" s="460">
        <f>IFERROR(Q19/S19-1,"-")</f>
        <v>0.18255191801940684</v>
      </c>
      <c r="U19" s="300"/>
      <c r="V19" s="316">
        <f>Q19/(Q71-Q63-Q58-Q29)</f>
        <v>0.28831996147930428</v>
      </c>
    </row>
    <row r="20" spans="1:22" x14ac:dyDescent="0.35">
      <c r="A20" s="110" t="s">
        <v>104</v>
      </c>
      <c r="C20" s="34" t="s">
        <v>23</v>
      </c>
      <c r="E20" s="34">
        <f>+'Tenant Recoveries'!I22</f>
        <v>2300</v>
      </c>
      <c r="F20" s="34">
        <f t="shared" si="5"/>
        <v>2300</v>
      </c>
      <c r="G20" s="34">
        <f t="shared" si="5"/>
        <v>2300</v>
      </c>
      <c r="H20" s="34">
        <f t="shared" si="5"/>
        <v>2300</v>
      </c>
      <c r="I20" s="34">
        <f t="shared" ref="I20:P20" si="7">+H20</f>
        <v>2300</v>
      </c>
      <c r="J20" s="34">
        <f t="shared" si="7"/>
        <v>2300</v>
      </c>
      <c r="K20" s="34">
        <f t="shared" si="7"/>
        <v>2300</v>
      </c>
      <c r="L20" s="34">
        <f t="shared" si="7"/>
        <v>2300</v>
      </c>
      <c r="M20" s="34">
        <f t="shared" si="7"/>
        <v>2300</v>
      </c>
      <c r="N20" s="34">
        <f t="shared" si="7"/>
        <v>2300</v>
      </c>
      <c r="O20" s="34">
        <f t="shared" si="7"/>
        <v>2300</v>
      </c>
      <c r="P20" s="34">
        <f t="shared" si="7"/>
        <v>2300</v>
      </c>
      <c r="Q20" s="430">
        <f>SUM(E20:P20)</f>
        <v>27600</v>
      </c>
      <c r="R20" s="432">
        <f t="shared" si="1"/>
        <v>0.21588135911394782</v>
      </c>
      <c r="S20" s="396">
        <v>684</v>
      </c>
      <c r="T20" s="460">
        <f>IFERROR(Q20/S20-1,"-")</f>
        <v>39.350877192982459</v>
      </c>
      <c r="U20" s="300"/>
      <c r="V20" s="316">
        <f>Q20/Q58</f>
        <v>0.17506313719480301</v>
      </c>
    </row>
    <row r="21" spans="1:22" x14ac:dyDescent="0.35">
      <c r="A21" s="110" t="s">
        <v>139</v>
      </c>
      <c r="C21" s="34" t="s">
        <v>24</v>
      </c>
      <c r="Q21" s="430">
        <f>SUM(E21:P21)</f>
        <v>0</v>
      </c>
      <c r="R21" s="432">
        <f t="shared" si="1"/>
        <v>0</v>
      </c>
      <c r="S21" s="396">
        <v>0</v>
      </c>
      <c r="T21" s="464" t="str">
        <f>IFERROR(Q21/S21-1,"-")</f>
        <v>-</v>
      </c>
      <c r="U21" s="300"/>
      <c r="V21" s="38"/>
    </row>
    <row r="22" spans="1:22" x14ac:dyDescent="0.35">
      <c r="A22" s="110"/>
      <c r="C22" s="34" t="s">
        <v>25</v>
      </c>
      <c r="D22" s="44"/>
      <c r="E22" s="59">
        <f t="shared" ref="E22:Q22" si="8">SUM(E18:E21)</f>
        <v>38854.502099999998</v>
      </c>
      <c r="F22" s="59">
        <f t="shared" si="8"/>
        <v>36935.445200000002</v>
      </c>
      <c r="G22" s="59">
        <f t="shared" si="8"/>
        <v>36456.945299999999</v>
      </c>
      <c r="H22" s="59">
        <f t="shared" si="8"/>
        <v>37007.203000000001</v>
      </c>
      <c r="I22" s="59">
        <f t="shared" si="8"/>
        <v>39248.601999999999</v>
      </c>
      <c r="J22" s="59">
        <f t="shared" si="8"/>
        <v>40742.868000000002</v>
      </c>
      <c r="K22" s="59">
        <f t="shared" si="8"/>
        <v>43315.070500000002</v>
      </c>
      <c r="L22" s="59">
        <f t="shared" si="8"/>
        <v>43154.054000000004</v>
      </c>
      <c r="M22" s="59">
        <f t="shared" si="8"/>
        <v>41688.868000000002</v>
      </c>
      <c r="N22" s="59">
        <f t="shared" si="8"/>
        <v>40851.069000000003</v>
      </c>
      <c r="O22" s="59">
        <f t="shared" si="8"/>
        <v>37589.965400000001</v>
      </c>
      <c r="P22" s="59">
        <f t="shared" si="8"/>
        <v>41442.937599999997</v>
      </c>
      <c r="Q22" s="433">
        <f t="shared" si="8"/>
        <v>477287.53009999997</v>
      </c>
      <c r="R22" s="434">
        <f t="shared" si="1"/>
        <v>3.7332420538451911</v>
      </c>
      <c r="S22" s="400">
        <f>SUM(S18:S21)</f>
        <v>380873.31</v>
      </c>
      <c r="T22" s="461">
        <f>IFERROR(Q22/S22-1,"-")</f>
        <v>0.25313986979029846</v>
      </c>
      <c r="U22" s="300"/>
      <c r="V22" s="38"/>
    </row>
    <row r="23" spans="1:22" ht="16.5" thickBot="1" x14ac:dyDescent="0.4">
      <c r="A23" s="110"/>
      <c r="Q23" s="430"/>
      <c r="R23" s="432">
        <f t="shared" si="1"/>
        <v>0</v>
      </c>
      <c r="S23" s="396"/>
      <c r="T23" s="399"/>
      <c r="U23" s="300"/>
      <c r="V23" s="38"/>
    </row>
    <row r="24" spans="1:22" s="37" customFormat="1" ht="18" thickBot="1" x14ac:dyDescent="0.4">
      <c r="A24" s="285"/>
      <c r="B24" s="286" t="s">
        <v>26</v>
      </c>
      <c r="C24" s="287"/>
      <c r="D24" s="287"/>
      <c r="E24" s="287">
        <f t="shared" ref="E24:Q24" si="9">+E15+E22</f>
        <v>153540.15543333333</v>
      </c>
      <c r="F24" s="287">
        <f t="shared" si="9"/>
        <v>151621.09853333334</v>
      </c>
      <c r="G24" s="287">
        <f t="shared" si="9"/>
        <v>159914.85863333332</v>
      </c>
      <c r="H24" s="287">
        <f t="shared" si="9"/>
        <v>154941.40299999999</v>
      </c>
      <c r="I24" s="287">
        <f t="shared" si="9"/>
        <v>157182.802</v>
      </c>
      <c r="J24" s="287">
        <f t="shared" si="9"/>
        <v>163677.068</v>
      </c>
      <c r="K24" s="287">
        <f t="shared" si="9"/>
        <v>151608.77049999998</v>
      </c>
      <c r="L24" s="287">
        <f t="shared" si="9"/>
        <v>151727.924</v>
      </c>
      <c r="M24" s="287">
        <f t="shared" si="9"/>
        <v>155447.86300000001</v>
      </c>
      <c r="N24" s="287">
        <f t="shared" si="9"/>
        <v>149035.06400000001</v>
      </c>
      <c r="O24" s="287">
        <f t="shared" si="9"/>
        <v>144101.83539999998</v>
      </c>
      <c r="P24" s="287">
        <f t="shared" si="9"/>
        <v>152954.8076</v>
      </c>
      <c r="Q24" s="426">
        <f t="shared" si="9"/>
        <v>1845753.6501000002</v>
      </c>
      <c r="R24" s="428">
        <f t="shared" si="1"/>
        <v>14.437094441055004</v>
      </c>
      <c r="S24" s="427">
        <f>+S15+S22</f>
        <v>1657302.5300000003</v>
      </c>
      <c r="T24" s="405">
        <f>IFERROR(Q24/S24-1,"-")</f>
        <v>0.11370954710362979</v>
      </c>
      <c r="U24" s="302"/>
      <c r="V24" s="303"/>
    </row>
    <row r="25" spans="1:22" ht="18" x14ac:dyDescent="0.35">
      <c r="A25" s="110"/>
      <c r="Q25" s="435"/>
      <c r="R25" s="436"/>
      <c r="S25" s="402"/>
      <c r="T25" s="403"/>
      <c r="U25" s="301"/>
      <c r="V25" s="38"/>
    </row>
    <row r="26" spans="1:22" ht="18" x14ac:dyDescent="0.35">
      <c r="A26" s="110"/>
      <c r="B26" s="35" t="s">
        <v>27</v>
      </c>
      <c r="Q26" s="430"/>
      <c r="R26" s="432"/>
      <c r="S26" s="396"/>
      <c r="T26" s="399"/>
      <c r="U26" s="300"/>
      <c r="V26" s="38"/>
    </row>
    <row r="27" spans="1:22" x14ac:dyDescent="0.35">
      <c r="A27" s="110" t="s">
        <v>105</v>
      </c>
      <c r="C27" s="34" t="s">
        <v>28</v>
      </c>
      <c r="E27" s="34">
        <f>'Allocated Expenses'!F9</f>
        <v>2615.6151215030895</v>
      </c>
      <c r="F27" s="34">
        <f>'Allocated Expenses'!G9</f>
        <v>2615.6151215030895</v>
      </c>
      <c r="G27" s="34">
        <f>'Allocated Expenses'!H9</f>
        <v>2615.6151215030895</v>
      </c>
      <c r="H27" s="34">
        <f>'Allocated Expenses'!I9</f>
        <v>2615.6151215030895</v>
      </c>
      <c r="I27" s="34">
        <f>'Allocated Expenses'!J9</f>
        <v>2615.6151215030895</v>
      </c>
      <c r="J27" s="34">
        <f>'Allocated Expenses'!K9</f>
        <v>2615.6151215030895</v>
      </c>
      <c r="K27" s="34">
        <f>'Allocated Expenses'!L9</f>
        <v>2615.6151215030895</v>
      </c>
      <c r="L27" s="34">
        <f>'Allocated Expenses'!M9</f>
        <v>2615.6151215030895</v>
      </c>
      <c r="M27" s="34">
        <f>'Allocated Expenses'!N9</f>
        <v>2615.6151215030895</v>
      </c>
      <c r="N27" s="34">
        <f>'Allocated Expenses'!O9</f>
        <v>2615.6151215030895</v>
      </c>
      <c r="O27" s="34">
        <f>'Allocated Expenses'!P9</f>
        <v>2615.6151215030895</v>
      </c>
      <c r="P27" s="34">
        <f>'Allocated Expenses'!Q9</f>
        <v>2615.6151215030895</v>
      </c>
      <c r="Q27" s="430">
        <f>SUM(E27:P27)</f>
        <v>31387.381458037082</v>
      </c>
      <c r="R27" s="432">
        <f t="shared" si="1"/>
        <v>0.2455054553691656</v>
      </c>
      <c r="S27" s="396">
        <v>22044</v>
      </c>
      <c r="T27" s="460">
        <f>IFERROR(Q27/S27-1,"-")</f>
        <v>0.42385145427495385</v>
      </c>
      <c r="U27" s="300"/>
      <c r="V27" s="38"/>
    </row>
    <row r="28" spans="1:22" x14ac:dyDescent="0.35">
      <c r="A28" s="110"/>
      <c r="Q28" s="430"/>
      <c r="R28" s="432"/>
      <c r="S28" s="396"/>
      <c r="T28" s="399"/>
      <c r="U28" s="300"/>
      <c r="V28" s="38"/>
    </row>
    <row r="29" spans="1:22" x14ac:dyDescent="0.35">
      <c r="A29" s="110" t="s">
        <v>106</v>
      </c>
      <c r="C29" s="34" t="s">
        <v>21</v>
      </c>
      <c r="E29" s="40">
        <v>34629</v>
      </c>
      <c r="F29" s="40">
        <v>31348</v>
      </c>
      <c r="G29" s="40">
        <v>29717</v>
      </c>
      <c r="H29" s="40">
        <v>29737</v>
      </c>
      <c r="I29" s="40">
        <v>33358</v>
      </c>
      <c r="J29" s="40">
        <v>35772</v>
      </c>
      <c r="K29" s="40">
        <v>38527</v>
      </c>
      <c r="L29" s="40">
        <v>38276</v>
      </c>
      <c r="M29" s="40">
        <v>35992</v>
      </c>
      <c r="N29" s="40">
        <v>34686</v>
      </c>
      <c r="O29" s="40">
        <v>29981</v>
      </c>
      <c r="P29" s="40">
        <v>36064</v>
      </c>
      <c r="Q29" s="430">
        <f>SUM(E29:P29)</f>
        <v>408087</v>
      </c>
      <c r="R29" s="432">
        <f t="shared" si="1"/>
        <v>3.1919701520555659</v>
      </c>
      <c r="S29" s="396">
        <v>363238.94</v>
      </c>
      <c r="T29" s="460">
        <f>IFERROR(Q29/S29-1,"-")</f>
        <v>0.12346710405002281</v>
      </c>
      <c r="U29" s="300" t="s">
        <v>371</v>
      </c>
      <c r="V29" s="38" t="s">
        <v>535</v>
      </c>
    </row>
    <row r="30" spans="1:22" x14ac:dyDescent="0.35">
      <c r="A30" s="110"/>
      <c r="Q30" s="430"/>
      <c r="R30" s="432"/>
      <c r="S30" s="396"/>
      <c r="T30" s="399"/>
      <c r="U30" s="300"/>
      <c r="V30" s="38"/>
    </row>
    <row r="31" spans="1:22" x14ac:dyDescent="0.35">
      <c r="A31" s="110" t="s">
        <v>107</v>
      </c>
      <c r="C31" s="34" t="s">
        <v>29</v>
      </c>
      <c r="E31" s="34">
        <f>'Water Sewer'!D28</f>
        <v>1369.8999999999999</v>
      </c>
      <c r="F31" s="34">
        <f>'Water Sewer'!E28</f>
        <v>1398.74</v>
      </c>
      <c r="G31" s="34">
        <f>'Water Sewer'!F28</f>
        <v>1527.49</v>
      </c>
      <c r="H31" s="34">
        <f>'Water Sewer'!G28</f>
        <v>1465.69</v>
      </c>
      <c r="I31" s="34">
        <f>'Water Sewer'!H28</f>
        <v>2235.1000000000004</v>
      </c>
      <c r="J31" s="34">
        <f>'Water Sewer'!I28</f>
        <v>3033.3500000000004</v>
      </c>
      <c r="K31" s="34">
        <f>'Water Sewer'!J28</f>
        <v>3197.12</v>
      </c>
      <c r="L31" s="34">
        <f>'Water Sewer'!K28</f>
        <v>2433.8900000000003</v>
      </c>
      <c r="M31" s="34">
        <f>'Water Sewer'!L28</f>
        <v>4120</v>
      </c>
      <c r="N31" s="34">
        <f>'Water Sewer'!M28</f>
        <v>3198.15</v>
      </c>
      <c r="O31" s="34">
        <f>'Water Sewer'!N28</f>
        <v>2494.66</v>
      </c>
      <c r="P31" s="34">
        <f>'Water Sewer'!O28</f>
        <v>1435.82</v>
      </c>
      <c r="Q31" s="430">
        <f>SUM(E31:P31)</f>
        <v>27909.91</v>
      </c>
      <c r="R31" s="432">
        <f t="shared" si="1"/>
        <v>0.21830540954883926</v>
      </c>
      <c r="S31" s="396">
        <v>24537.739999999998</v>
      </c>
      <c r="T31" s="460">
        <f>IFERROR(Q31/S31-1,"-")</f>
        <v>0.13742789678267031</v>
      </c>
      <c r="U31" s="300" t="s">
        <v>371</v>
      </c>
      <c r="V31" s="38" t="s">
        <v>450</v>
      </c>
    </row>
    <row r="32" spans="1:22" x14ac:dyDescent="0.35">
      <c r="A32" s="110"/>
      <c r="Q32" s="430"/>
      <c r="R32" s="432"/>
      <c r="S32" s="396"/>
      <c r="T32" s="399"/>
      <c r="U32" s="300"/>
      <c r="V32" s="38"/>
    </row>
    <row r="33" spans="1:22" x14ac:dyDescent="0.35">
      <c r="A33" s="110"/>
      <c r="D33" s="88" t="s">
        <v>30</v>
      </c>
      <c r="E33" s="77">
        <f>'Building Maint'!C20</f>
        <v>4234</v>
      </c>
      <c r="F33" s="77">
        <f>'Building Maint'!D20</f>
        <v>1842</v>
      </c>
      <c r="G33" s="77">
        <f>'Building Maint'!E20</f>
        <v>11707</v>
      </c>
      <c r="H33" s="77">
        <f>'Building Maint'!F20</f>
        <v>8976</v>
      </c>
      <c r="I33" s="77">
        <f>'Building Maint'!G20</f>
        <v>1842</v>
      </c>
      <c r="J33" s="77">
        <f>'Building Maint'!H20</f>
        <v>11707</v>
      </c>
      <c r="K33" s="77">
        <f>'Building Maint'!I20</f>
        <v>4234</v>
      </c>
      <c r="L33" s="77">
        <f>'Building Maint'!J20</f>
        <v>1842</v>
      </c>
      <c r="M33" s="77">
        <f>'Building Maint'!K20</f>
        <v>11707</v>
      </c>
      <c r="N33" s="77">
        <f>'Building Maint'!L20</f>
        <v>8976</v>
      </c>
      <c r="O33" s="77">
        <f>'Building Maint'!M20</f>
        <v>1842</v>
      </c>
      <c r="P33" s="77">
        <f>'Building Maint'!N20</f>
        <v>11707</v>
      </c>
      <c r="Q33" s="437">
        <f>SUM(E33:P33)</f>
        <v>80616</v>
      </c>
      <c r="R33" s="438">
        <f t="shared" si="1"/>
        <v>0.63056129153369622</v>
      </c>
      <c r="S33" s="396"/>
      <c r="T33" s="399"/>
      <c r="U33" s="300" t="s">
        <v>371</v>
      </c>
      <c r="V33" s="38" t="s">
        <v>450</v>
      </c>
    </row>
    <row r="34" spans="1:22" x14ac:dyDescent="0.35">
      <c r="A34" s="110"/>
      <c r="D34" s="89" t="s">
        <v>31</v>
      </c>
      <c r="E34" s="34">
        <f>'Building Maint'!C9</f>
        <v>6170</v>
      </c>
      <c r="F34" s="34">
        <f>'Building Maint'!D9</f>
        <v>4350</v>
      </c>
      <c r="G34" s="34">
        <f>'Building Maint'!E9</f>
        <v>4625</v>
      </c>
      <c r="H34" s="34">
        <f>'Building Maint'!F9</f>
        <v>5070</v>
      </c>
      <c r="I34" s="34">
        <f>'Building Maint'!G9</f>
        <v>7968</v>
      </c>
      <c r="J34" s="34">
        <f>'Building Maint'!H9</f>
        <v>4675</v>
      </c>
      <c r="K34" s="34">
        <f>'Building Maint'!I9</f>
        <v>8635</v>
      </c>
      <c r="L34" s="34">
        <f>'Building Maint'!J9</f>
        <v>4350</v>
      </c>
      <c r="M34" s="34">
        <f>'Building Maint'!K9</f>
        <v>4625</v>
      </c>
      <c r="N34" s="34">
        <f>'Building Maint'!L9</f>
        <v>5070</v>
      </c>
      <c r="O34" s="34">
        <f>'Building Maint'!M9</f>
        <v>4975</v>
      </c>
      <c r="P34" s="34">
        <f>'Building Maint'!N9</f>
        <v>4350</v>
      </c>
      <c r="Q34" s="439">
        <f>SUM(E34:P34)</f>
        <v>64863</v>
      </c>
      <c r="R34" s="440">
        <f t="shared" si="1"/>
        <v>0.5073446592828984</v>
      </c>
      <c r="S34" s="396"/>
      <c r="T34" s="399"/>
      <c r="U34" s="300" t="s">
        <v>371</v>
      </c>
      <c r="V34" s="38" t="s">
        <v>450</v>
      </c>
    </row>
    <row r="35" spans="1:22" x14ac:dyDescent="0.35">
      <c r="A35" s="110"/>
      <c r="D35" s="90" t="s">
        <v>32</v>
      </c>
      <c r="E35" s="42"/>
      <c r="F35" s="42">
        <f>1.03*10000</f>
        <v>10300</v>
      </c>
      <c r="G35" s="42"/>
      <c r="H35" s="42">
        <f>1.03*23500</f>
        <v>24205</v>
      </c>
      <c r="I35" s="42"/>
      <c r="J35" s="42">
        <f>1.03*15000</f>
        <v>15450</v>
      </c>
      <c r="K35" s="42"/>
      <c r="L35" s="42"/>
      <c r="M35" s="42"/>
      <c r="N35" s="42"/>
      <c r="O35" s="42">
        <f>1.03*10000</f>
        <v>10300</v>
      </c>
      <c r="P35" s="42"/>
      <c r="Q35" s="441">
        <f>SUM(E35:P35)</f>
        <v>60255</v>
      </c>
      <c r="R35" s="442">
        <f t="shared" si="1"/>
        <v>0.47130185845691758</v>
      </c>
      <c r="S35" s="396"/>
      <c r="T35" s="399"/>
      <c r="U35" s="300" t="s">
        <v>371</v>
      </c>
      <c r="V35" s="38" t="s">
        <v>462</v>
      </c>
    </row>
    <row r="36" spans="1:22" x14ac:dyDescent="0.35">
      <c r="A36" s="110" t="s">
        <v>108</v>
      </c>
      <c r="C36" s="34" t="s">
        <v>33</v>
      </c>
      <c r="E36" s="43">
        <f t="shared" ref="E36:Q36" si="10">SUM(E33:E35)</f>
        <v>10404</v>
      </c>
      <c r="F36" s="43">
        <f t="shared" si="10"/>
        <v>16492</v>
      </c>
      <c r="G36" s="43">
        <f t="shared" si="10"/>
        <v>16332</v>
      </c>
      <c r="H36" s="43">
        <f t="shared" si="10"/>
        <v>38251</v>
      </c>
      <c r="I36" s="43">
        <f t="shared" si="10"/>
        <v>9810</v>
      </c>
      <c r="J36" s="43">
        <f t="shared" si="10"/>
        <v>31832</v>
      </c>
      <c r="K36" s="43">
        <f t="shared" si="10"/>
        <v>12869</v>
      </c>
      <c r="L36" s="43">
        <f t="shared" si="10"/>
        <v>6192</v>
      </c>
      <c r="M36" s="43">
        <f t="shared" si="10"/>
        <v>16332</v>
      </c>
      <c r="N36" s="43">
        <f t="shared" si="10"/>
        <v>14046</v>
      </c>
      <c r="O36" s="43">
        <f t="shared" si="10"/>
        <v>17117</v>
      </c>
      <c r="P36" s="43">
        <f t="shared" si="10"/>
        <v>16057</v>
      </c>
      <c r="Q36" s="443">
        <f t="shared" si="10"/>
        <v>205734</v>
      </c>
      <c r="R36" s="444">
        <f t="shared" si="1"/>
        <v>1.6092078092735123</v>
      </c>
      <c r="S36" s="400">
        <v>208938.75</v>
      </c>
      <c r="T36" s="461">
        <f>IFERROR(Q36/S36-1,"-")</f>
        <v>-1.5338227112012492E-2</v>
      </c>
      <c r="U36" s="300"/>
      <c r="V36" s="38"/>
    </row>
    <row r="37" spans="1:22" x14ac:dyDescent="0.35">
      <c r="A37" s="110"/>
      <c r="Q37" s="430"/>
      <c r="R37" s="432"/>
      <c r="S37" s="396"/>
      <c r="T37" s="399"/>
      <c r="U37" s="300"/>
      <c r="V37" s="38"/>
    </row>
    <row r="38" spans="1:22" hidden="1" x14ac:dyDescent="0.35">
      <c r="A38" s="110" t="s">
        <v>303</v>
      </c>
      <c r="B38" s="34" t="s">
        <v>34</v>
      </c>
      <c r="C38" s="34" t="s">
        <v>35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30">
        <f>SUM(E38:P38)</f>
        <v>0</v>
      </c>
      <c r="R38" s="432">
        <f t="shared" si="1"/>
        <v>0</v>
      </c>
      <c r="S38" s="396"/>
      <c r="T38" s="399"/>
      <c r="U38" s="300"/>
      <c r="V38" s="38"/>
    </row>
    <row r="39" spans="1:22" hidden="1" x14ac:dyDescent="0.35">
      <c r="A39" s="110"/>
      <c r="Q39" s="430"/>
      <c r="R39" s="432"/>
      <c r="S39" s="396"/>
      <c r="T39" s="399"/>
      <c r="U39" s="300"/>
      <c r="V39" s="38"/>
    </row>
    <row r="40" spans="1:22" x14ac:dyDescent="0.35">
      <c r="A40" s="110"/>
      <c r="D40" s="88" t="s">
        <v>36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437">
        <f>SUM(E40:P40)</f>
        <v>0</v>
      </c>
      <c r="R40" s="438">
        <f t="shared" si="1"/>
        <v>0</v>
      </c>
      <c r="S40" s="396"/>
      <c r="T40" s="399"/>
      <c r="U40" s="300"/>
      <c r="V40" s="38"/>
    </row>
    <row r="41" spans="1:22" x14ac:dyDescent="0.35">
      <c r="A41" s="110"/>
      <c r="D41" s="89" t="s">
        <v>37</v>
      </c>
      <c r="E41" s="34">
        <f>'Parking Lot Maint'!C9</f>
        <v>978.5</v>
      </c>
      <c r="F41" s="34">
        <f>'Parking Lot Maint'!D9</f>
        <v>978.5</v>
      </c>
      <c r="G41" s="34">
        <f>'Parking Lot Maint'!E9</f>
        <v>2111.5</v>
      </c>
      <c r="H41" s="34">
        <f>'Parking Lot Maint'!F9</f>
        <v>978.5</v>
      </c>
      <c r="I41" s="34">
        <f>'Parking Lot Maint'!G9</f>
        <v>978.5</v>
      </c>
      <c r="J41" s="34">
        <f>'Parking Lot Maint'!H9</f>
        <v>2111.5</v>
      </c>
      <c r="K41" s="34">
        <f>'Parking Lot Maint'!I9</f>
        <v>978.5</v>
      </c>
      <c r="L41" s="34">
        <f>'Parking Lot Maint'!J9</f>
        <v>978.5</v>
      </c>
      <c r="M41" s="34">
        <f>'Parking Lot Maint'!K9</f>
        <v>2111.5</v>
      </c>
      <c r="N41" s="34">
        <f>'Parking Lot Maint'!L9</f>
        <v>978.5</v>
      </c>
      <c r="O41" s="34">
        <f>'Parking Lot Maint'!M9</f>
        <v>978.5</v>
      </c>
      <c r="P41" s="34">
        <f>'Parking Lot Maint'!N9</f>
        <v>2111.5</v>
      </c>
      <c r="Q41" s="439">
        <f>SUM(E41:P41)</f>
        <v>16274</v>
      </c>
      <c r="R41" s="440">
        <f t="shared" si="1"/>
        <v>0.12729178399349228</v>
      </c>
      <c r="S41" s="396"/>
      <c r="T41" s="399"/>
      <c r="U41" s="300" t="s">
        <v>371</v>
      </c>
      <c r="V41" s="38" t="s">
        <v>450</v>
      </c>
    </row>
    <row r="42" spans="1:22" x14ac:dyDescent="0.35">
      <c r="A42" s="110"/>
      <c r="D42" s="90" t="s">
        <v>38</v>
      </c>
      <c r="E42" s="42"/>
      <c r="F42" s="42"/>
      <c r="G42" s="42"/>
      <c r="H42" s="42"/>
      <c r="I42" s="42">
        <v>20000</v>
      </c>
      <c r="J42" s="42"/>
      <c r="K42" s="42"/>
      <c r="L42" s="42"/>
      <c r="M42" s="42"/>
      <c r="N42" s="42">
        <v>20000</v>
      </c>
      <c r="O42" s="42"/>
      <c r="P42" s="42"/>
      <c r="Q42" s="441">
        <f>SUM(E42:P42)</f>
        <v>40000</v>
      </c>
      <c r="R42" s="442">
        <f t="shared" si="1"/>
        <v>0.31287153494775044</v>
      </c>
      <c r="S42" s="396"/>
      <c r="T42" s="399"/>
      <c r="U42" s="300" t="s">
        <v>464</v>
      </c>
      <c r="V42" s="38" t="s">
        <v>463</v>
      </c>
    </row>
    <row r="43" spans="1:22" x14ac:dyDescent="0.35">
      <c r="A43" s="110" t="s">
        <v>140</v>
      </c>
      <c r="C43" s="34" t="s">
        <v>39</v>
      </c>
      <c r="E43" s="43">
        <f t="shared" ref="E43:Q43" si="11">SUM(E40:E42)</f>
        <v>978.5</v>
      </c>
      <c r="F43" s="43">
        <f t="shared" si="11"/>
        <v>978.5</v>
      </c>
      <c r="G43" s="43">
        <f t="shared" si="11"/>
        <v>2111.5</v>
      </c>
      <c r="H43" s="43">
        <f t="shared" si="11"/>
        <v>978.5</v>
      </c>
      <c r="I43" s="43">
        <f t="shared" si="11"/>
        <v>20978.5</v>
      </c>
      <c r="J43" s="43">
        <f t="shared" si="11"/>
        <v>2111.5</v>
      </c>
      <c r="K43" s="43">
        <f t="shared" si="11"/>
        <v>978.5</v>
      </c>
      <c r="L43" s="43">
        <f t="shared" si="11"/>
        <v>978.5</v>
      </c>
      <c r="M43" s="43">
        <f t="shared" si="11"/>
        <v>2111.5</v>
      </c>
      <c r="N43" s="43">
        <f t="shared" si="11"/>
        <v>20978.5</v>
      </c>
      <c r="O43" s="43">
        <f t="shared" si="11"/>
        <v>978.5</v>
      </c>
      <c r="P43" s="43">
        <f t="shared" si="11"/>
        <v>2111.5</v>
      </c>
      <c r="Q43" s="443">
        <f t="shared" si="11"/>
        <v>56274</v>
      </c>
      <c r="R43" s="444">
        <f t="shared" si="1"/>
        <v>0.44016331894124272</v>
      </c>
      <c r="S43" s="400">
        <v>63033.86</v>
      </c>
      <c r="T43" s="461">
        <f>IFERROR(Q43/S43-1,"-")</f>
        <v>-0.1072417269067768</v>
      </c>
      <c r="U43" s="300"/>
      <c r="V43" s="38"/>
    </row>
    <row r="44" spans="1:22" x14ac:dyDescent="0.35">
      <c r="A44" s="110"/>
      <c r="Q44" s="430"/>
      <c r="R44" s="432"/>
      <c r="S44" s="396"/>
      <c r="T44" s="399"/>
      <c r="U44" s="300"/>
      <c r="V44" s="38"/>
    </row>
    <row r="45" spans="1:22" x14ac:dyDescent="0.35">
      <c r="A45" s="110" t="s">
        <v>110</v>
      </c>
      <c r="C45" s="34" t="s">
        <v>40</v>
      </c>
      <c r="E45" s="40">
        <f>1.03*8000</f>
        <v>8240</v>
      </c>
      <c r="F45" s="40">
        <f>1.03*8000</f>
        <v>8240</v>
      </c>
      <c r="G45" s="40">
        <f>1.03*8000</f>
        <v>8240</v>
      </c>
      <c r="H45" s="40"/>
      <c r="I45" s="40"/>
      <c r="J45" s="40"/>
      <c r="K45" s="40"/>
      <c r="L45" s="40"/>
      <c r="M45" s="40"/>
      <c r="N45" s="40"/>
      <c r="O45" s="40">
        <f>1.03*1000</f>
        <v>1030</v>
      </c>
      <c r="P45" s="40">
        <f>1.03*8000</f>
        <v>8240</v>
      </c>
      <c r="Q45" s="430">
        <f>SUM(E45:P45)</f>
        <v>33990</v>
      </c>
      <c r="R45" s="432">
        <f t="shared" si="1"/>
        <v>0.26586258682185093</v>
      </c>
      <c r="S45" s="396">
        <v>24422.83</v>
      </c>
      <c r="T45" s="460">
        <f>IFERROR(Q45/S45-1,"-")</f>
        <v>0.39173060615825439</v>
      </c>
      <c r="U45" s="300" t="s">
        <v>371</v>
      </c>
      <c r="V45" s="38" t="s">
        <v>450</v>
      </c>
    </row>
    <row r="46" spans="1:22" x14ac:dyDescent="0.35">
      <c r="A46" s="110"/>
      <c r="Q46" s="430"/>
      <c r="R46" s="432"/>
      <c r="S46" s="396"/>
      <c r="T46" s="399"/>
      <c r="U46" s="300"/>
      <c r="V46" s="38"/>
    </row>
    <row r="47" spans="1:22" x14ac:dyDescent="0.35">
      <c r="A47" s="110"/>
      <c r="D47" s="88" t="s">
        <v>41</v>
      </c>
      <c r="E47" s="77">
        <f>'Allocated Expenses'!F20</f>
        <v>0</v>
      </c>
      <c r="F47" s="77">
        <f>'Allocated Expenses'!G20</f>
        <v>0</v>
      </c>
      <c r="G47" s="77">
        <f>'Allocated Expenses'!H20</f>
        <v>4199.3718915555555</v>
      </c>
      <c r="H47" s="77">
        <f>'Allocated Expenses'!I20</f>
        <v>4199.3718915555555</v>
      </c>
      <c r="I47" s="77">
        <f>'Allocated Expenses'!J20</f>
        <v>4199.3718915555555</v>
      </c>
      <c r="J47" s="77">
        <f>'Allocated Expenses'!K20</f>
        <v>4199.3718915555555</v>
      </c>
      <c r="K47" s="77">
        <f>'Allocated Expenses'!L20</f>
        <v>4199.3718915555555</v>
      </c>
      <c r="L47" s="77">
        <f>'Allocated Expenses'!M20</f>
        <v>4199.3718915555555</v>
      </c>
      <c r="M47" s="77">
        <f>'Allocated Expenses'!N20</f>
        <v>4199.3718915555555</v>
      </c>
      <c r="N47" s="77">
        <f>'Allocated Expenses'!O20</f>
        <v>4199.3718915555555</v>
      </c>
      <c r="O47" s="77">
        <f>'Allocated Expenses'!P20</f>
        <v>4199.3718915555555</v>
      </c>
      <c r="P47" s="77">
        <f>'Allocated Expenses'!Q20</f>
        <v>0</v>
      </c>
      <c r="Q47" s="437">
        <f>SUM(E47:P47)</f>
        <v>37794.347024000002</v>
      </c>
      <c r="R47" s="438">
        <f t="shared" si="1"/>
        <v>0.29561938414367062</v>
      </c>
      <c r="S47" s="396"/>
      <c r="T47" s="399"/>
      <c r="U47" s="300" t="s">
        <v>371</v>
      </c>
      <c r="V47" s="38" t="s">
        <v>450</v>
      </c>
    </row>
    <row r="48" spans="1:22" x14ac:dyDescent="0.35">
      <c r="A48" s="110"/>
      <c r="D48" s="89" t="s">
        <v>42</v>
      </c>
      <c r="E48" s="34">
        <f>Landscaping!C9</f>
        <v>0</v>
      </c>
      <c r="F48" s="34">
        <f>Landscaping!D9</f>
        <v>0</v>
      </c>
      <c r="G48" s="34">
        <f>Landscaping!E9</f>
        <v>1030</v>
      </c>
      <c r="H48" s="34">
        <f>Landscaping!F9</f>
        <v>1030</v>
      </c>
      <c r="I48" s="34">
        <f>Landscaping!G9</f>
        <v>2884</v>
      </c>
      <c r="J48" s="34">
        <f>Landscaping!H9</f>
        <v>1030</v>
      </c>
      <c r="K48" s="34">
        <f>Landscaping!I9</f>
        <v>1030</v>
      </c>
      <c r="L48" s="34">
        <f>Landscaping!J9</f>
        <v>1030</v>
      </c>
      <c r="M48" s="34">
        <f>Landscaping!K9</f>
        <v>1030</v>
      </c>
      <c r="N48" s="34">
        <f>Landscaping!L9</f>
        <v>2884</v>
      </c>
      <c r="O48" s="34">
        <f>Landscaping!M9</f>
        <v>257.5</v>
      </c>
      <c r="P48" s="34">
        <f>Landscaping!N9</f>
        <v>0</v>
      </c>
      <c r="Q48" s="439">
        <f>SUM(E48:P48)</f>
        <v>12205.5</v>
      </c>
      <c r="R48" s="440">
        <f t="shared" si="1"/>
        <v>9.546883799511921E-2</v>
      </c>
      <c r="S48" s="396"/>
      <c r="T48" s="399"/>
      <c r="U48" s="300" t="s">
        <v>371</v>
      </c>
      <c r="V48" s="38" t="s">
        <v>450</v>
      </c>
    </row>
    <row r="49" spans="1:22" x14ac:dyDescent="0.35">
      <c r="A49" s="110"/>
      <c r="D49" s="90" t="s">
        <v>43</v>
      </c>
      <c r="E49" s="43">
        <f>'Allocated Expenses'!F31</f>
        <v>1340.749782917836</v>
      </c>
      <c r="F49" s="43">
        <f>'Allocated Expenses'!G31</f>
        <v>1340.749782917836</v>
      </c>
      <c r="G49" s="43">
        <f>'Allocated Expenses'!H31</f>
        <v>1340.749782917836</v>
      </c>
      <c r="H49" s="43">
        <f>'Allocated Expenses'!I31</f>
        <v>1340.749782917836</v>
      </c>
      <c r="I49" s="43">
        <f>'Allocated Expenses'!J31</f>
        <v>1340.749782917836</v>
      </c>
      <c r="J49" s="43">
        <f>'Allocated Expenses'!K31</f>
        <v>1340.749782917836</v>
      </c>
      <c r="K49" s="43">
        <f>'Allocated Expenses'!L31</f>
        <v>1340.749782917836</v>
      </c>
      <c r="L49" s="43">
        <f>'Allocated Expenses'!M31</f>
        <v>1340.749782917836</v>
      </c>
      <c r="M49" s="43">
        <f>'Allocated Expenses'!N31</f>
        <v>1340.749782917836</v>
      </c>
      <c r="N49" s="43">
        <f>'Allocated Expenses'!O31</f>
        <v>1340.749782917836</v>
      </c>
      <c r="O49" s="43">
        <f>'Allocated Expenses'!P31</f>
        <v>1340.749782917836</v>
      </c>
      <c r="P49" s="43">
        <f>'Allocated Expenses'!Q31</f>
        <v>1340.749782917836</v>
      </c>
      <c r="Q49" s="441">
        <f>SUM(E49:P49)</f>
        <v>16088.997395014028</v>
      </c>
      <c r="R49" s="442">
        <f t="shared" si="1"/>
        <v>0.12584473276870994</v>
      </c>
      <c r="S49" s="396"/>
      <c r="T49" s="399"/>
      <c r="U49" s="300" t="s">
        <v>371</v>
      </c>
      <c r="V49" s="38" t="s">
        <v>589</v>
      </c>
    </row>
    <row r="50" spans="1:22" x14ac:dyDescent="0.35">
      <c r="A50" s="110" t="s">
        <v>111</v>
      </c>
      <c r="C50" s="34" t="s">
        <v>44</v>
      </c>
      <c r="E50" s="43">
        <f t="shared" ref="E50:Q50" si="12">SUM(E47:E49)</f>
        <v>1340.749782917836</v>
      </c>
      <c r="F50" s="43">
        <f t="shared" si="12"/>
        <v>1340.749782917836</v>
      </c>
      <c r="G50" s="43">
        <f t="shared" si="12"/>
        <v>6570.121674473392</v>
      </c>
      <c r="H50" s="43">
        <f t="shared" si="12"/>
        <v>6570.121674473392</v>
      </c>
      <c r="I50" s="43">
        <f t="shared" si="12"/>
        <v>8424.121674473392</v>
      </c>
      <c r="J50" s="43">
        <f t="shared" si="12"/>
        <v>6570.121674473392</v>
      </c>
      <c r="K50" s="43">
        <f t="shared" si="12"/>
        <v>6570.121674473392</v>
      </c>
      <c r="L50" s="43">
        <f t="shared" si="12"/>
        <v>6570.121674473392</v>
      </c>
      <c r="M50" s="43">
        <f t="shared" si="12"/>
        <v>6570.121674473392</v>
      </c>
      <c r="N50" s="43">
        <f t="shared" si="12"/>
        <v>8424.121674473392</v>
      </c>
      <c r="O50" s="43">
        <f t="shared" si="12"/>
        <v>5797.621674473392</v>
      </c>
      <c r="P50" s="43">
        <f t="shared" si="12"/>
        <v>1340.749782917836</v>
      </c>
      <c r="Q50" s="443">
        <f t="shared" si="12"/>
        <v>66088.844419014029</v>
      </c>
      <c r="R50" s="444">
        <f t="shared" si="1"/>
        <v>0.5169329549074998</v>
      </c>
      <c r="S50" s="400">
        <v>56741.66</v>
      </c>
      <c r="T50" s="461">
        <f>IFERROR(Q50/S50-1,"-")</f>
        <v>0.16473230460677435</v>
      </c>
      <c r="U50" s="300"/>
      <c r="V50" s="38"/>
    </row>
    <row r="51" spans="1:22" x14ac:dyDescent="0.35">
      <c r="A51" s="110"/>
      <c r="Q51" s="430"/>
      <c r="R51" s="432"/>
      <c r="S51" s="396"/>
      <c r="T51" s="399"/>
      <c r="U51" s="300"/>
      <c r="V51" s="38"/>
    </row>
    <row r="52" spans="1:22" x14ac:dyDescent="0.35">
      <c r="A52" s="110" t="s">
        <v>112</v>
      </c>
      <c r="C52" s="34" t="s">
        <v>45</v>
      </c>
      <c r="E52" s="34">
        <f>'Allocated Expenses'!F42</f>
        <v>675.84</v>
      </c>
      <c r="F52" s="34">
        <f>'Allocated Expenses'!G42</f>
        <v>675.84</v>
      </c>
      <c r="G52" s="34">
        <f>'Allocated Expenses'!H42</f>
        <v>675.84</v>
      </c>
      <c r="H52" s="34">
        <f>'Allocated Expenses'!I42</f>
        <v>675.84</v>
      </c>
      <c r="I52" s="34">
        <f>'Allocated Expenses'!J42</f>
        <v>675.84</v>
      </c>
      <c r="J52" s="34">
        <f>'Allocated Expenses'!K42</f>
        <v>675.84</v>
      </c>
      <c r="K52" s="34">
        <f>'Allocated Expenses'!L42</f>
        <v>675.84</v>
      </c>
      <c r="L52" s="34">
        <f>'Allocated Expenses'!M42</f>
        <v>675.84</v>
      </c>
      <c r="M52" s="34">
        <f>'Allocated Expenses'!N42</f>
        <v>675.84</v>
      </c>
      <c r="N52" s="34">
        <f>'Allocated Expenses'!O42</f>
        <v>675.84</v>
      </c>
      <c r="O52" s="34">
        <f>'Allocated Expenses'!P42</f>
        <v>675.84</v>
      </c>
      <c r="P52" s="34">
        <f>'Allocated Expenses'!Q42</f>
        <v>675.84</v>
      </c>
      <c r="Q52" s="430">
        <f>SUM(E52:P52)</f>
        <v>8110.0800000000008</v>
      </c>
      <c r="R52" s="432">
        <f t="shared" si="1"/>
        <v>6.3435329453726305E-2</v>
      </c>
      <c r="S52" s="396">
        <v>9104.07</v>
      </c>
      <c r="T52" s="460">
        <f>IFERROR(Q52/S52-1,"-")</f>
        <v>-0.10918083889952501</v>
      </c>
      <c r="U52" s="300" t="s">
        <v>371</v>
      </c>
      <c r="V52" s="38" t="s">
        <v>450</v>
      </c>
    </row>
    <row r="53" spans="1:22" x14ac:dyDescent="0.35">
      <c r="A53" s="110"/>
      <c r="Q53" s="430"/>
      <c r="R53" s="432"/>
      <c r="S53" s="396"/>
      <c r="T53" s="399"/>
      <c r="U53" s="300"/>
      <c r="V53" s="38"/>
    </row>
    <row r="54" spans="1:22" x14ac:dyDescent="0.35">
      <c r="A54" s="110" t="s">
        <v>113</v>
      </c>
      <c r="B54" s="34" t="s">
        <v>46</v>
      </c>
      <c r="C54" s="34" t="s">
        <v>47</v>
      </c>
      <c r="E54" s="34">
        <f>ROUND(E$24*0.04,0)</f>
        <v>6142</v>
      </c>
      <c r="F54" s="34">
        <f t="shared" ref="F54:P54" si="13">ROUND(F$24*0.04,0)</f>
        <v>6065</v>
      </c>
      <c r="G54" s="34">
        <f t="shared" si="13"/>
        <v>6397</v>
      </c>
      <c r="H54" s="34">
        <f t="shared" si="13"/>
        <v>6198</v>
      </c>
      <c r="I54" s="34">
        <f t="shared" si="13"/>
        <v>6287</v>
      </c>
      <c r="J54" s="34">
        <f t="shared" si="13"/>
        <v>6547</v>
      </c>
      <c r="K54" s="34">
        <f t="shared" si="13"/>
        <v>6064</v>
      </c>
      <c r="L54" s="34">
        <f t="shared" si="13"/>
        <v>6069</v>
      </c>
      <c r="M54" s="34">
        <f t="shared" si="13"/>
        <v>6218</v>
      </c>
      <c r="N54" s="34">
        <f t="shared" si="13"/>
        <v>5961</v>
      </c>
      <c r="O54" s="34">
        <f t="shared" si="13"/>
        <v>5764</v>
      </c>
      <c r="P54" s="34">
        <f t="shared" si="13"/>
        <v>6118</v>
      </c>
      <c r="Q54" s="430">
        <f>SUM(E54:P54)</f>
        <v>73830</v>
      </c>
      <c r="R54" s="432">
        <f t="shared" si="1"/>
        <v>0.57748263562981039</v>
      </c>
      <c r="S54" s="396">
        <v>65522.340000000004</v>
      </c>
      <c r="T54" s="460">
        <f>IFERROR(Q54/S54-1,"-")</f>
        <v>0.12679125928652724</v>
      </c>
      <c r="U54" s="300"/>
      <c r="V54" s="38"/>
    </row>
    <row r="55" spans="1:22" x14ac:dyDescent="0.35">
      <c r="A55" s="110"/>
      <c r="Q55" s="430"/>
      <c r="R55" s="432"/>
      <c r="S55" s="396"/>
      <c r="T55" s="399"/>
      <c r="U55" s="300"/>
      <c r="V55" s="38"/>
    </row>
    <row r="56" spans="1:22" x14ac:dyDescent="0.35">
      <c r="A56" s="110" t="s">
        <v>114</v>
      </c>
      <c r="C56" s="34" t="s">
        <v>48</v>
      </c>
      <c r="E56" s="34">
        <f>Trash!C9</f>
        <v>1725.25</v>
      </c>
      <c r="F56" s="34">
        <f>Trash!D9</f>
        <v>1725.25</v>
      </c>
      <c r="G56" s="34">
        <f>Trash!E9</f>
        <v>1725.25</v>
      </c>
      <c r="H56" s="34">
        <f>Trash!F9</f>
        <v>1725.25</v>
      </c>
      <c r="I56" s="34">
        <f>Trash!G9</f>
        <v>1725.25</v>
      </c>
      <c r="J56" s="34">
        <f>Trash!H9</f>
        <v>2475.25</v>
      </c>
      <c r="K56" s="34">
        <f>Trash!I9</f>
        <v>1725.25</v>
      </c>
      <c r="L56" s="34">
        <f>Trash!J9</f>
        <v>1725.25</v>
      </c>
      <c r="M56" s="34">
        <f>Trash!K9</f>
        <v>1725.25</v>
      </c>
      <c r="N56" s="34">
        <f>Trash!L9</f>
        <v>1725.25</v>
      </c>
      <c r="O56" s="34">
        <f>Trash!M9</f>
        <v>1725.25</v>
      </c>
      <c r="P56" s="34">
        <f>Trash!N9</f>
        <v>2475.25</v>
      </c>
      <c r="Q56" s="430">
        <f>SUM(E56:P56)</f>
        <v>22203</v>
      </c>
      <c r="R56" s="432">
        <f t="shared" si="1"/>
        <v>0.17366716726112258</v>
      </c>
      <c r="S56" s="396">
        <v>26444.879999999997</v>
      </c>
      <c r="T56" s="460">
        <f>IFERROR(Q56/S56-1,"-")</f>
        <v>-0.16040458493288678</v>
      </c>
      <c r="U56" s="300" t="s">
        <v>371</v>
      </c>
      <c r="V56" s="38" t="s">
        <v>450</v>
      </c>
    </row>
    <row r="57" spans="1:22" x14ac:dyDescent="0.35">
      <c r="A57" s="110"/>
      <c r="Q57" s="430"/>
      <c r="R57" s="432"/>
      <c r="S57" s="396"/>
      <c r="T57" s="399"/>
      <c r="U57" s="300"/>
      <c r="V57" s="38"/>
    </row>
    <row r="58" spans="1:22" x14ac:dyDescent="0.35">
      <c r="A58" s="110" t="s">
        <v>115</v>
      </c>
      <c r="C58" s="34" t="s">
        <v>23</v>
      </c>
      <c r="E58" s="34">
        <f>+'INS RET'!E62</f>
        <v>13138.1171208</v>
      </c>
      <c r="F58" s="34">
        <f>+'INS RET'!F62</f>
        <v>13138.1171208</v>
      </c>
      <c r="G58" s="34">
        <f>+'INS RET'!G62</f>
        <v>13138.1171208</v>
      </c>
      <c r="H58" s="34">
        <f>+'INS RET'!H62</f>
        <v>13138.1171208</v>
      </c>
      <c r="I58" s="34">
        <f>+'INS RET'!I62</f>
        <v>13138.1171208</v>
      </c>
      <c r="J58" s="34">
        <f>+'INS RET'!J62</f>
        <v>13138.1171208</v>
      </c>
      <c r="K58" s="34">
        <f>+'INS RET'!K62</f>
        <v>13138.1171208</v>
      </c>
      <c r="L58" s="34">
        <f>+'INS RET'!L62</f>
        <v>13138.1171208</v>
      </c>
      <c r="M58" s="34">
        <f>+'INS RET'!M62</f>
        <v>13138.1171208</v>
      </c>
      <c r="N58" s="34">
        <f>+'INS RET'!N62</f>
        <v>13138.1171208</v>
      </c>
      <c r="O58" s="34">
        <f>+'INS RET'!O62</f>
        <v>13138.1171208</v>
      </c>
      <c r="P58" s="34">
        <f>+'INS RET'!P62</f>
        <v>13138.1171208</v>
      </c>
      <c r="Q58" s="430">
        <f>SUM(E58:P58)</f>
        <v>157657.40544959996</v>
      </c>
      <c r="R58" s="432">
        <f t="shared" si="1"/>
        <v>1.2331628609724044</v>
      </c>
      <c r="S58" s="396">
        <v>264378.2</v>
      </c>
      <c r="T58" s="460">
        <f>IFERROR(Q58/S58-1,"-")</f>
        <v>-0.40366715012962506</v>
      </c>
      <c r="U58" s="300"/>
      <c r="V58" s="38"/>
    </row>
    <row r="59" spans="1:22" x14ac:dyDescent="0.35">
      <c r="A59" s="110"/>
      <c r="Q59" s="430"/>
      <c r="R59" s="432"/>
      <c r="S59" s="396"/>
      <c r="T59" s="399"/>
      <c r="U59" s="300"/>
      <c r="V59" s="38"/>
    </row>
    <row r="60" spans="1:22" x14ac:dyDescent="0.35">
      <c r="A60" s="110"/>
      <c r="D60" s="88" t="s">
        <v>49</v>
      </c>
      <c r="E60" s="77">
        <f>+'INS RET'!E27+'INS RET'!E28</f>
        <v>3327</v>
      </c>
      <c r="F60" s="77">
        <f>+'INS RET'!F27+'INS RET'!F28</f>
        <v>3327</v>
      </c>
      <c r="G60" s="77">
        <f>+'INS RET'!G27+'INS RET'!G28</f>
        <v>3327</v>
      </c>
      <c r="H60" s="77">
        <f>+'INS RET'!H27+'INS RET'!H28</f>
        <v>3327</v>
      </c>
      <c r="I60" s="77">
        <f>+'INS RET'!I27+'INS RET'!I28</f>
        <v>3327</v>
      </c>
      <c r="J60" s="77">
        <f>+'INS RET'!J27+'INS RET'!J28</f>
        <v>3327</v>
      </c>
      <c r="K60" s="77">
        <f>+'INS RET'!K27+'INS RET'!K28</f>
        <v>3327</v>
      </c>
      <c r="L60" s="77">
        <f>+'INS RET'!L27+'INS RET'!L28</f>
        <v>3327</v>
      </c>
      <c r="M60" s="77">
        <f>+'INS RET'!M27+'INS RET'!M28</f>
        <v>3327</v>
      </c>
      <c r="N60" s="77">
        <f>+'INS RET'!N27+'INS RET'!N28</f>
        <v>3327</v>
      </c>
      <c r="O60" s="77">
        <f>+'INS RET'!O27+'INS RET'!O28</f>
        <v>3393.54</v>
      </c>
      <c r="P60" s="77">
        <f>+'INS RET'!P27+'INS RET'!P28</f>
        <v>3393.54</v>
      </c>
      <c r="Q60" s="437">
        <f>SUM(E60:P60)</f>
        <v>40057.08</v>
      </c>
      <c r="R60" s="438">
        <f t="shared" si="1"/>
        <v>0.31331800262812093</v>
      </c>
      <c r="S60" s="396"/>
      <c r="T60" s="399"/>
      <c r="U60" s="300"/>
      <c r="V60" s="38"/>
    </row>
    <row r="61" spans="1:22" x14ac:dyDescent="0.35">
      <c r="A61" s="110"/>
      <c r="D61" s="89" t="s">
        <v>90</v>
      </c>
      <c r="E61" s="34">
        <f>+'INS RET'!E30</f>
        <v>2460</v>
      </c>
      <c r="F61" s="34">
        <f>+'INS RET'!F30</f>
        <v>2460</v>
      </c>
      <c r="G61" s="34">
        <f>+'INS RET'!G30</f>
        <v>2460</v>
      </c>
      <c r="H61" s="34">
        <f>+'INS RET'!H30</f>
        <v>2460</v>
      </c>
      <c r="I61" s="34">
        <f>+'INS RET'!I30</f>
        <v>2460</v>
      </c>
      <c r="J61" s="34">
        <f>+'INS RET'!J30</f>
        <v>2460</v>
      </c>
      <c r="K61" s="34">
        <f>+'INS RET'!K30</f>
        <v>2460</v>
      </c>
      <c r="L61" s="34">
        <f>+'INS RET'!L30</f>
        <v>2460</v>
      </c>
      <c r="M61" s="34">
        <f>+'INS RET'!M30</f>
        <v>2460</v>
      </c>
      <c r="N61" s="34">
        <f>+'INS RET'!N30</f>
        <v>2460</v>
      </c>
      <c r="O61" s="34">
        <f>+'INS RET'!O30</f>
        <v>2509.1999999999998</v>
      </c>
      <c r="P61" s="34">
        <f>+'INS RET'!P30</f>
        <v>2509.1999999999998</v>
      </c>
      <c r="Q61" s="439">
        <f>SUM(E61:P61)</f>
        <v>29618.400000000001</v>
      </c>
      <c r="R61" s="440">
        <f t="shared" si="1"/>
        <v>0.23166885676741131</v>
      </c>
      <c r="S61" s="396"/>
      <c r="T61" s="399"/>
      <c r="U61" s="300"/>
      <c r="V61" s="38"/>
    </row>
    <row r="62" spans="1:22" x14ac:dyDescent="0.35">
      <c r="A62" s="110"/>
      <c r="D62" s="90" t="s">
        <v>51</v>
      </c>
      <c r="E62" s="43">
        <f>+'INS RET'!E31</f>
        <v>120</v>
      </c>
      <c r="F62" s="43">
        <f>+'INS RET'!F31</f>
        <v>120</v>
      </c>
      <c r="G62" s="43">
        <f>+'INS RET'!G31</f>
        <v>120</v>
      </c>
      <c r="H62" s="43">
        <f>+'INS RET'!H31</f>
        <v>120</v>
      </c>
      <c r="I62" s="43">
        <f>+'INS RET'!I31</f>
        <v>120</v>
      </c>
      <c r="J62" s="43">
        <f>+'INS RET'!J31</f>
        <v>120</v>
      </c>
      <c r="K62" s="43">
        <f>+'INS RET'!K31</f>
        <v>120</v>
      </c>
      <c r="L62" s="43">
        <f>+'INS RET'!L31</f>
        <v>120</v>
      </c>
      <c r="M62" s="43">
        <f>+'INS RET'!M31</f>
        <v>120</v>
      </c>
      <c r="N62" s="43">
        <f>+'INS RET'!N31</f>
        <v>120</v>
      </c>
      <c r="O62" s="43">
        <f>+'INS RET'!O31</f>
        <v>122.4</v>
      </c>
      <c r="P62" s="43">
        <f>+'INS RET'!P31</f>
        <v>122.4</v>
      </c>
      <c r="Q62" s="441">
        <f>SUM(E62:P62)</f>
        <v>1444.8000000000002</v>
      </c>
      <c r="R62" s="442">
        <f t="shared" si="1"/>
        <v>1.1300919842312749E-2</v>
      </c>
      <c r="S62" s="396"/>
      <c r="T62" s="399"/>
      <c r="U62" s="300"/>
      <c r="V62" s="38"/>
    </row>
    <row r="63" spans="1:22" x14ac:dyDescent="0.35">
      <c r="A63" s="110" t="s">
        <v>116</v>
      </c>
      <c r="C63" s="34" t="s">
        <v>24</v>
      </c>
      <c r="E63" s="43">
        <f t="shared" ref="E63:Q63" si="14">SUM(E60:E62)</f>
        <v>5907</v>
      </c>
      <c r="F63" s="43">
        <f t="shared" si="14"/>
        <v>5907</v>
      </c>
      <c r="G63" s="43">
        <f t="shared" si="14"/>
        <v>5907</v>
      </c>
      <c r="H63" s="43">
        <f t="shared" si="14"/>
        <v>5907</v>
      </c>
      <c r="I63" s="43">
        <f t="shared" si="14"/>
        <v>5907</v>
      </c>
      <c r="J63" s="43">
        <f t="shared" si="14"/>
        <v>5907</v>
      </c>
      <c r="K63" s="43">
        <f t="shared" si="14"/>
        <v>5907</v>
      </c>
      <c r="L63" s="43">
        <f t="shared" si="14"/>
        <v>5907</v>
      </c>
      <c r="M63" s="43">
        <f t="shared" si="14"/>
        <v>5907</v>
      </c>
      <c r="N63" s="43">
        <f t="shared" si="14"/>
        <v>5907</v>
      </c>
      <c r="O63" s="43">
        <f t="shared" si="14"/>
        <v>6025.1399999999994</v>
      </c>
      <c r="P63" s="43">
        <f t="shared" si="14"/>
        <v>6025.1399999999994</v>
      </c>
      <c r="Q63" s="443">
        <f t="shared" si="14"/>
        <v>71120.280000000013</v>
      </c>
      <c r="R63" s="444">
        <f t="shared" si="1"/>
        <v>0.556287779237845</v>
      </c>
      <c r="S63" s="400">
        <v>71998</v>
      </c>
      <c r="T63" s="461">
        <f>IFERROR(Q63/S63-1,"-")</f>
        <v>-1.2190894191505097E-2</v>
      </c>
      <c r="U63" s="300"/>
      <c r="V63" s="38"/>
    </row>
    <row r="64" spans="1:22" x14ac:dyDescent="0.35">
      <c r="A64" s="110"/>
      <c r="Q64" s="430"/>
      <c r="R64" s="432"/>
      <c r="S64" s="396"/>
      <c r="T64" s="399"/>
      <c r="U64" s="300"/>
      <c r="V64" s="38"/>
    </row>
    <row r="65" spans="1:22" x14ac:dyDescent="0.35">
      <c r="A65" s="110"/>
      <c r="D65" s="88" t="s">
        <v>52</v>
      </c>
      <c r="E65" s="77">
        <f>'Allocated Expenses'!F53+'Allocated Expenses'!F64</f>
        <v>11716.394666765535</v>
      </c>
      <c r="F65" s="77">
        <f>'Allocated Expenses'!G53+'Allocated Expenses'!G64</f>
        <v>11716.394666765535</v>
      </c>
      <c r="G65" s="77">
        <f>'Allocated Expenses'!H53+'Allocated Expenses'!H64</f>
        <v>11999.145349133536</v>
      </c>
      <c r="H65" s="77">
        <f>'Allocated Expenses'!I53+'Allocated Expenses'!I64</f>
        <v>12319.007058562336</v>
      </c>
      <c r="I65" s="77">
        <f>'Allocated Expenses'!J53+'Allocated Expenses'!J64</f>
        <v>12319.007058562336</v>
      </c>
      <c r="J65" s="77">
        <f>'Allocated Expenses'!K53+'Allocated Expenses'!K64</f>
        <v>12319.007058562336</v>
      </c>
      <c r="K65" s="77">
        <f>'Allocated Expenses'!L53+'Allocated Expenses'!L64</f>
        <v>12716.625205642336</v>
      </c>
      <c r="L65" s="77">
        <f>'Allocated Expenses'!M53+'Allocated Expenses'!M64</f>
        <v>12716.625205642336</v>
      </c>
      <c r="M65" s="77">
        <f>'Allocated Expenses'!N53+'Allocated Expenses'!N64</f>
        <v>12716.625205642336</v>
      </c>
      <c r="N65" s="77">
        <f>'Allocated Expenses'!O53+'Allocated Expenses'!O64</f>
        <v>12716.625205642336</v>
      </c>
      <c r="O65" s="77">
        <f>'Allocated Expenses'!P53+'Allocated Expenses'!P64</f>
        <v>12573.482672693535</v>
      </c>
      <c r="P65" s="77">
        <f>'Allocated Expenses'!Q53+'Allocated Expenses'!Q64</f>
        <v>12573.482672693535</v>
      </c>
      <c r="Q65" s="445">
        <f>SUM(E65:P65)</f>
        <v>148402.42202630802</v>
      </c>
      <c r="R65" s="438">
        <f t="shared" si="1"/>
        <v>1.1607723392333711</v>
      </c>
      <c r="S65" s="396"/>
      <c r="T65" s="399"/>
      <c r="U65" s="300" t="s">
        <v>371</v>
      </c>
      <c r="V65" s="38" t="s">
        <v>592</v>
      </c>
    </row>
    <row r="66" spans="1:22" x14ac:dyDescent="0.35">
      <c r="A66" s="110"/>
      <c r="D66" s="90" t="s">
        <v>53</v>
      </c>
      <c r="E66" s="43">
        <f>'Allocated Expenses'!F77</f>
        <v>409.96346958000004</v>
      </c>
      <c r="F66" s="43">
        <f>'Allocated Expenses'!G77</f>
        <v>409.96346958000004</v>
      </c>
      <c r="G66" s="43">
        <f>'Allocated Expenses'!H77</f>
        <v>394.16145678000004</v>
      </c>
      <c r="H66" s="43">
        <f>'Allocated Expenses'!I77</f>
        <v>376.28542980000003</v>
      </c>
      <c r="I66" s="43">
        <f>'Allocated Expenses'!J77</f>
        <v>376.28542980000003</v>
      </c>
      <c r="J66" s="43">
        <f>'Allocated Expenses'!K77</f>
        <v>376.28542980000003</v>
      </c>
      <c r="K66" s="43">
        <f>'Allocated Expenses'!L77</f>
        <v>354.06384930000002</v>
      </c>
      <c r="L66" s="43">
        <f>'Allocated Expenses'!M77</f>
        <v>354.06384930000002</v>
      </c>
      <c r="M66" s="43">
        <f>'Allocated Expenses'!N77</f>
        <v>354.06384930000002</v>
      </c>
      <c r="N66" s="43">
        <f>'Allocated Expenses'!O77</f>
        <v>354.06384930000002</v>
      </c>
      <c r="O66" s="43">
        <f>'Allocated Expenses'!P77</f>
        <v>362.06361828000007</v>
      </c>
      <c r="P66" s="43">
        <f>'Allocated Expenses'!Q77</f>
        <v>362.06361828000007</v>
      </c>
      <c r="Q66" s="443">
        <f>SUM(E66:P66)</f>
        <v>4483.3273191000008</v>
      </c>
      <c r="R66" s="442">
        <f t="shared" si="1"/>
        <v>3.5067637500000005E-2</v>
      </c>
      <c r="S66" s="396"/>
      <c r="T66" s="399"/>
      <c r="U66" s="300" t="s">
        <v>371</v>
      </c>
      <c r="V66" s="38" t="s">
        <v>593</v>
      </c>
    </row>
    <row r="67" spans="1:22" x14ac:dyDescent="0.35">
      <c r="A67" s="110" t="s">
        <v>117</v>
      </c>
      <c r="B67" s="34" t="s">
        <v>46</v>
      </c>
      <c r="C67" s="34" t="s">
        <v>52</v>
      </c>
      <c r="E67" s="43">
        <f t="shared" ref="E67:P67" si="15">SUM(E65:E66)</f>
        <v>12126.358136345534</v>
      </c>
      <c r="F67" s="43">
        <f t="shared" si="15"/>
        <v>12126.358136345534</v>
      </c>
      <c r="G67" s="43">
        <f t="shared" si="15"/>
        <v>12393.306805913537</v>
      </c>
      <c r="H67" s="43">
        <f t="shared" si="15"/>
        <v>12695.292488362336</v>
      </c>
      <c r="I67" s="43">
        <f t="shared" si="15"/>
        <v>12695.292488362336</v>
      </c>
      <c r="J67" s="43">
        <f t="shared" si="15"/>
        <v>12695.292488362336</v>
      </c>
      <c r="K67" s="43">
        <f t="shared" si="15"/>
        <v>13070.689054942337</v>
      </c>
      <c r="L67" s="43">
        <f t="shared" si="15"/>
        <v>13070.689054942337</v>
      </c>
      <c r="M67" s="43">
        <f t="shared" si="15"/>
        <v>13070.689054942337</v>
      </c>
      <c r="N67" s="43">
        <f t="shared" si="15"/>
        <v>13070.689054942337</v>
      </c>
      <c r="O67" s="43">
        <f t="shared" si="15"/>
        <v>12935.546290973536</v>
      </c>
      <c r="P67" s="43">
        <f t="shared" si="15"/>
        <v>12935.546290973536</v>
      </c>
      <c r="Q67" s="443">
        <f>SUM(Q65:Q66)</f>
        <v>152885.74934540802</v>
      </c>
      <c r="R67" s="444">
        <f t="shared" si="1"/>
        <v>1.1958399767333712</v>
      </c>
      <c r="S67" s="400">
        <v>147828.77000000002</v>
      </c>
      <c r="T67" s="461">
        <f>IFERROR(Q67/S67-1,"-")</f>
        <v>3.4208357043138626E-2</v>
      </c>
      <c r="U67" s="300"/>
      <c r="V67" s="38"/>
    </row>
    <row r="68" spans="1:22" x14ac:dyDescent="0.35">
      <c r="A68" s="110"/>
      <c r="Q68" s="430"/>
      <c r="R68" s="432"/>
      <c r="S68" s="396"/>
      <c r="T68" s="399"/>
      <c r="U68" s="300"/>
      <c r="V68" s="38"/>
    </row>
    <row r="69" spans="1:22" hidden="1" x14ac:dyDescent="0.35">
      <c r="A69" s="110"/>
      <c r="B69" s="34" t="s">
        <v>34</v>
      </c>
      <c r="C69" s="34" t="s">
        <v>54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30">
        <f>SUM(E69:P69)</f>
        <v>0</v>
      </c>
      <c r="R69" s="432">
        <f t="shared" si="1"/>
        <v>0</v>
      </c>
      <c r="S69" s="396"/>
      <c r="T69" s="460" t="str">
        <f>IFERROR(Q69/S69-1,"-")</f>
        <v>-</v>
      </c>
      <c r="U69" s="300"/>
      <c r="V69" s="38"/>
    </row>
    <row r="70" spans="1:22" hidden="1" x14ac:dyDescent="0.35">
      <c r="A70" s="110"/>
      <c r="Q70" s="430"/>
      <c r="R70" s="432"/>
      <c r="S70" s="396"/>
      <c r="T70" s="399"/>
      <c r="U70" s="300"/>
      <c r="V70" s="38"/>
    </row>
    <row r="71" spans="1:22" ht="18" x14ac:dyDescent="0.35">
      <c r="A71" s="110"/>
      <c r="C71" s="91" t="s">
        <v>55</v>
      </c>
      <c r="D71" s="92"/>
      <c r="E71" s="92">
        <f t="shared" ref="E71:P71" si="16">+E27+E29+E31+E36+E38+E43+E45+E50+E52+E54+E56+E58+E63+E67+E69</f>
        <v>99292.330161566468</v>
      </c>
      <c r="F71" s="92">
        <f t="shared" si="16"/>
        <v>102051.17016156646</v>
      </c>
      <c r="G71" s="92">
        <f t="shared" si="16"/>
        <v>107350.24072269002</v>
      </c>
      <c r="H71" s="92">
        <f t="shared" si="16"/>
        <v>119957.42640513883</v>
      </c>
      <c r="I71" s="92">
        <f t="shared" si="16"/>
        <v>117849.83640513882</v>
      </c>
      <c r="J71" s="92">
        <f t="shared" si="16"/>
        <v>123373.08640513882</v>
      </c>
      <c r="K71" s="92">
        <f t="shared" si="16"/>
        <v>105338.25297171883</v>
      </c>
      <c r="L71" s="92">
        <f t="shared" si="16"/>
        <v>97652.022971718819</v>
      </c>
      <c r="M71" s="92">
        <f t="shared" si="16"/>
        <v>108476.13297171882</v>
      </c>
      <c r="N71" s="92">
        <f t="shared" si="16"/>
        <v>124426.28297171883</v>
      </c>
      <c r="O71" s="92">
        <f t="shared" si="16"/>
        <v>100278.29020775</v>
      </c>
      <c r="P71" s="92">
        <f t="shared" si="16"/>
        <v>109232.57831619446</v>
      </c>
      <c r="Q71" s="446">
        <f>+Q27+Q29+Q31+Q36+Q38+Q43+Q45+Q50+Q52+Q54+Q56+Q58+Q63+Q67+Q69</f>
        <v>1315277.650672059</v>
      </c>
      <c r="R71" s="447">
        <f t="shared" si="1"/>
        <v>10.287823436205956</v>
      </c>
      <c r="S71" s="406">
        <f>+S27+S29+S31+S36+S38+S43+S45+S50+S52+S54+S56+S58+S63+S67+S69</f>
        <v>1348234.0399999998</v>
      </c>
      <c r="T71" s="465">
        <f>IFERROR(Q71/S71-1,"-")</f>
        <v>-2.4444116043784825E-2</v>
      </c>
      <c r="U71" s="304"/>
      <c r="V71" s="38">
        <f>Q71-Q58-Q29</f>
        <v>749533.24522245908</v>
      </c>
    </row>
    <row r="72" spans="1:22" ht="18" x14ac:dyDescent="0.35">
      <c r="A72" s="110"/>
      <c r="Q72" s="435"/>
      <c r="R72" s="436"/>
      <c r="S72" s="402"/>
      <c r="T72" s="403"/>
      <c r="U72" s="301"/>
      <c r="V72" s="38"/>
    </row>
    <row r="73" spans="1:22" ht="18" x14ac:dyDescent="0.35">
      <c r="A73" s="110"/>
      <c r="B73" s="35" t="s">
        <v>56</v>
      </c>
      <c r="Q73" s="430"/>
      <c r="R73" s="432">
        <f t="shared" si="1"/>
        <v>0</v>
      </c>
      <c r="S73" s="396"/>
      <c r="T73" s="399"/>
      <c r="U73" s="300"/>
      <c r="V73" s="38"/>
    </row>
    <row r="74" spans="1:22" x14ac:dyDescent="0.35">
      <c r="A74" s="110"/>
      <c r="Q74" s="430"/>
      <c r="R74" s="432"/>
      <c r="S74" s="396"/>
      <c r="T74" s="399"/>
      <c r="U74" s="300"/>
      <c r="V74" s="38"/>
    </row>
    <row r="75" spans="1:22" x14ac:dyDescent="0.35">
      <c r="A75" s="110" t="s">
        <v>141</v>
      </c>
      <c r="C75" s="34" t="s">
        <v>57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30">
        <f>SUM(E75:P75)</f>
        <v>0</v>
      </c>
      <c r="R75" s="432">
        <f t="shared" ref="R75:R131" si="17">Q75/$B$4</f>
        <v>0</v>
      </c>
      <c r="S75" s="396"/>
      <c r="T75" s="460" t="str">
        <f>IFERROR(Q75/S75-1,"-")</f>
        <v>-</v>
      </c>
      <c r="U75" s="300"/>
      <c r="V75" s="38"/>
    </row>
    <row r="76" spans="1:22" x14ac:dyDescent="0.35">
      <c r="A76" s="110"/>
      <c r="Q76" s="430"/>
      <c r="R76" s="432"/>
      <c r="S76" s="396"/>
      <c r="T76" s="399"/>
      <c r="U76" s="300"/>
      <c r="V76" s="38"/>
    </row>
    <row r="77" spans="1:22" x14ac:dyDescent="0.35">
      <c r="A77" s="110" t="s">
        <v>118</v>
      </c>
      <c r="D77" s="34" t="s">
        <v>58</v>
      </c>
      <c r="E77" s="34">
        <f>'Allocated Expenses'!F88</f>
        <v>3240.5117803254343</v>
      </c>
      <c r="F77" s="34">
        <f>'Allocated Expenses'!G88</f>
        <v>3240.5117803254343</v>
      </c>
      <c r="G77" s="34">
        <f>'Allocated Expenses'!H88</f>
        <v>3240.5117803254343</v>
      </c>
      <c r="H77" s="34">
        <f>'Allocated Expenses'!I88</f>
        <v>3240.5117803254343</v>
      </c>
      <c r="I77" s="34">
        <f>'Allocated Expenses'!J88</f>
        <v>3240.5117803254343</v>
      </c>
      <c r="J77" s="34">
        <f>'Allocated Expenses'!K88</f>
        <v>3240.5117803254343</v>
      </c>
      <c r="K77" s="34">
        <f>'Allocated Expenses'!L88</f>
        <v>3240.5117803254343</v>
      </c>
      <c r="L77" s="34">
        <f>'Allocated Expenses'!M88</f>
        <v>3240.5117803254343</v>
      </c>
      <c r="M77" s="34">
        <f>'Allocated Expenses'!N88</f>
        <v>3240.5117803254343</v>
      </c>
      <c r="N77" s="34">
        <f>'Allocated Expenses'!O88</f>
        <v>3240.5117803254343</v>
      </c>
      <c r="O77" s="34">
        <f>'Allocated Expenses'!P88</f>
        <v>3240.5117803254343</v>
      </c>
      <c r="P77" s="34">
        <f>'Allocated Expenses'!Q88</f>
        <v>3240.5117803254343</v>
      </c>
      <c r="Q77" s="430">
        <f>SUM(E77:P77)</f>
        <v>38886.141363905204</v>
      </c>
      <c r="R77" s="432">
        <f t="shared" si="17"/>
        <v>0.30415916841800578</v>
      </c>
      <c r="S77" s="396"/>
      <c r="T77" s="399"/>
      <c r="U77" s="300"/>
      <c r="V77" s="38"/>
    </row>
    <row r="78" spans="1:22" x14ac:dyDescent="0.35">
      <c r="A78" s="110" t="s">
        <v>119</v>
      </c>
      <c r="D78" s="34" t="s">
        <v>59</v>
      </c>
      <c r="E78" s="43">
        <f>'Allocated Expenses'!F99</f>
        <v>2048.2580803644464</v>
      </c>
      <c r="F78" s="43">
        <f>'Allocated Expenses'!G99</f>
        <v>0</v>
      </c>
      <c r="G78" s="43">
        <f>'Allocated Expenses'!H99</f>
        <v>0</v>
      </c>
      <c r="H78" s="43">
        <f>'Allocated Expenses'!I99</f>
        <v>2048.2580803644464</v>
      </c>
      <c r="I78" s="43">
        <f>'Allocated Expenses'!J99</f>
        <v>0</v>
      </c>
      <c r="J78" s="43">
        <f>'Allocated Expenses'!K99</f>
        <v>0</v>
      </c>
      <c r="K78" s="43">
        <f>'Allocated Expenses'!L99</f>
        <v>2048.2580803644464</v>
      </c>
      <c r="L78" s="43">
        <f>'Allocated Expenses'!M99</f>
        <v>0</v>
      </c>
      <c r="M78" s="43">
        <f>'Allocated Expenses'!N99</f>
        <v>0</v>
      </c>
      <c r="N78" s="43">
        <f>'Allocated Expenses'!O99</f>
        <v>2048.2580803644464</v>
      </c>
      <c r="O78" s="43">
        <f>'Allocated Expenses'!P99</f>
        <v>0</v>
      </c>
      <c r="P78" s="43">
        <f>'Allocated Expenses'!Q99</f>
        <v>0</v>
      </c>
      <c r="Q78" s="443">
        <f>SUM(E78:P78)</f>
        <v>8193.0323214577857</v>
      </c>
      <c r="R78" s="444">
        <f t="shared" si="17"/>
        <v>6.4084164957275716E-2</v>
      </c>
      <c r="S78" s="396"/>
      <c r="T78" s="399"/>
      <c r="U78" s="300"/>
      <c r="V78" s="38"/>
    </row>
    <row r="79" spans="1:22" x14ac:dyDescent="0.35">
      <c r="A79" s="110"/>
      <c r="C79" s="34" t="s">
        <v>60</v>
      </c>
      <c r="E79" s="43">
        <f t="shared" ref="E79:Q79" si="18">SUM(E77:E78)</f>
        <v>5288.7698606898812</v>
      </c>
      <c r="F79" s="43">
        <f t="shared" si="18"/>
        <v>3240.5117803254343</v>
      </c>
      <c r="G79" s="43">
        <f t="shared" si="18"/>
        <v>3240.5117803254343</v>
      </c>
      <c r="H79" s="43">
        <f t="shared" si="18"/>
        <v>5288.7698606898812</v>
      </c>
      <c r="I79" s="43">
        <f t="shared" si="18"/>
        <v>3240.5117803254343</v>
      </c>
      <c r="J79" s="43">
        <f t="shared" si="18"/>
        <v>3240.5117803254343</v>
      </c>
      <c r="K79" s="43">
        <f t="shared" si="18"/>
        <v>5288.7698606898812</v>
      </c>
      <c r="L79" s="43">
        <f t="shared" si="18"/>
        <v>3240.5117803254343</v>
      </c>
      <c r="M79" s="43">
        <f t="shared" si="18"/>
        <v>3240.5117803254343</v>
      </c>
      <c r="N79" s="43">
        <f t="shared" si="18"/>
        <v>5288.7698606898812</v>
      </c>
      <c r="O79" s="43">
        <f t="shared" si="18"/>
        <v>3240.5117803254343</v>
      </c>
      <c r="P79" s="43">
        <f t="shared" si="18"/>
        <v>3240.5117803254343</v>
      </c>
      <c r="Q79" s="443">
        <f t="shared" si="18"/>
        <v>47079.173685362992</v>
      </c>
      <c r="R79" s="444">
        <f t="shared" si="17"/>
        <v>0.36824333337528153</v>
      </c>
      <c r="S79" s="400">
        <v>37926.239999999998</v>
      </c>
      <c r="T79" s="461">
        <f>IFERROR(Q79/S79-1,"-")</f>
        <v>0.24133512010056868</v>
      </c>
      <c r="U79" s="300"/>
      <c r="V79" s="38"/>
    </row>
    <row r="80" spans="1:22" x14ac:dyDescent="0.35">
      <c r="A80" s="110"/>
      <c r="Q80" s="430"/>
      <c r="R80" s="432"/>
      <c r="S80" s="396"/>
      <c r="T80" s="399"/>
      <c r="U80" s="300"/>
      <c r="V80" s="38"/>
    </row>
    <row r="81" spans="1:22" x14ac:dyDescent="0.35">
      <c r="A81" s="110" t="s">
        <v>142</v>
      </c>
      <c r="D81" s="34" t="s">
        <v>61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30">
        <f>SUM(E81:P81)</f>
        <v>0</v>
      </c>
      <c r="R81" s="432">
        <f t="shared" si="17"/>
        <v>0</v>
      </c>
      <c r="S81" s="396"/>
      <c r="T81" s="399"/>
      <c r="U81" s="300"/>
      <c r="V81" s="38"/>
    </row>
    <row r="82" spans="1:22" x14ac:dyDescent="0.35">
      <c r="A82" s="110" t="s">
        <v>143</v>
      </c>
      <c r="D82" s="34" t="s">
        <v>21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30">
        <f>SUM(E82:P82)</f>
        <v>0</v>
      </c>
      <c r="R82" s="432">
        <f t="shared" si="17"/>
        <v>0</v>
      </c>
      <c r="S82" s="396"/>
      <c r="T82" s="399"/>
      <c r="U82" s="300"/>
      <c r="V82" s="38"/>
    </row>
    <row r="83" spans="1:22" x14ac:dyDescent="0.35">
      <c r="A83" s="110" t="s">
        <v>144</v>
      </c>
      <c r="D83" s="34" t="s">
        <v>29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43">
        <f>SUM(E83:P83)</f>
        <v>0</v>
      </c>
      <c r="R83" s="444">
        <f t="shared" si="17"/>
        <v>0</v>
      </c>
      <c r="S83" s="396"/>
      <c r="T83" s="399"/>
      <c r="U83" s="300"/>
      <c r="V83" s="38"/>
    </row>
    <row r="84" spans="1:22" x14ac:dyDescent="0.35">
      <c r="A84" s="110"/>
      <c r="C84" s="34" t="s">
        <v>62</v>
      </c>
      <c r="E84" s="43">
        <f t="shared" ref="E84:Q84" si="19">SUM(E81:E83)</f>
        <v>0</v>
      </c>
      <c r="F84" s="43">
        <f t="shared" si="19"/>
        <v>0</v>
      </c>
      <c r="G84" s="43">
        <f t="shared" si="19"/>
        <v>0</v>
      </c>
      <c r="H84" s="43">
        <f t="shared" si="19"/>
        <v>0</v>
      </c>
      <c r="I84" s="43">
        <f t="shared" si="19"/>
        <v>0</v>
      </c>
      <c r="J84" s="43">
        <f t="shared" si="19"/>
        <v>0</v>
      </c>
      <c r="K84" s="43">
        <f t="shared" si="19"/>
        <v>0</v>
      </c>
      <c r="L84" s="43">
        <f t="shared" si="19"/>
        <v>0</v>
      </c>
      <c r="M84" s="43">
        <f t="shared" si="19"/>
        <v>0</v>
      </c>
      <c r="N84" s="43">
        <f t="shared" si="19"/>
        <v>0</v>
      </c>
      <c r="O84" s="43">
        <f t="shared" si="19"/>
        <v>0</v>
      </c>
      <c r="P84" s="43">
        <f t="shared" si="19"/>
        <v>0</v>
      </c>
      <c r="Q84" s="443">
        <f t="shared" si="19"/>
        <v>0</v>
      </c>
      <c r="R84" s="444">
        <f t="shared" si="17"/>
        <v>0</v>
      </c>
      <c r="S84" s="400">
        <v>419.33</v>
      </c>
      <c r="T84" s="461">
        <f>IFERROR(Q84/S84-1,"-")</f>
        <v>-1</v>
      </c>
      <c r="U84" s="300"/>
      <c r="V84" s="38"/>
    </row>
    <row r="85" spans="1:22" x14ac:dyDescent="0.35">
      <c r="A85" s="110"/>
      <c r="Q85" s="430"/>
      <c r="R85" s="432"/>
      <c r="S85" s="396"/>
      <c r="T85" s="399"/>
      <c r="U85" s="300"/>
      <c r="V85" s="38"/>
    </row>
    <row r="86" spans="1:22" x14ac:dyDescent="0.35">
      <c r="A86" s="110"/>
      <c r="D86" s="88" t="s">
        <v>31</v>
      </c>
      <c r="E86" s="117">
        <f>1.03*1340</f>
        <v>1380.2</v>
      </c>
      <c r="F86" s="117">
        <f t="shared" ref="F86:P86" si="20">1.03*1340</f>
        <v>1380.2</v>
      </c>
      <c r="G86" s="117">
        <f t="shared" si="20"/>
        <v>1380.2</v>
      </c>
      <c r="H86" s="117">
        <f t="shared" si="20"/>
        <v>1380.2</v>
      </c>
      <c r="I86" s="117">
        <f t="shared" si="20"/>
        <v>1380.2</v>
      </c>
      <c r="J86" s="117">
        <f t="shared" si="20"/>
        <v>1380.2</v>
      </c>
      <c r="K86" s="117">
        <f t="shared" si="20"/>
        <v>1380.2</v>
      </c>
      <c r="L86" s="117">
        <f t="shared" si="20"/>
        <v>1380.2</v>
      </c>
      <c r="M86" s="117">
        <f t="shared" si="20"/>
        <v>1380.2</v>
      </c>
      <c r="N86" s="117">
        <f t="shared" si="20"/>
        <v>1380.2</v>
      </c>
      <c r="O86" s="117">
        <f t="shared" si="20"/>
        <v>1380.2</v>
      </c>
      <c r="P86" s="117">
        <f t="shared" si="20"/>
        <v>1380.2</v>
      </c>
      <c r="Q86" s="445">
        <f>SUM(E86:P86)</f>
        <v>16562.400000000005</v>
      </c>
      <c r="R86" s="438">
        <f t="shared" si="17"/>
        <v>0.1295475877604656</v>
      </c>
      <c r="S86" s="396"/>
      <c r="T86" s="399"/>
      <c r="U86" s="300" t="s">
        <v>371</v>
      </c>
      <c r="V86" s="38" t="s">
        <v>461</v>
      </c>
    </row>
    <row r="87" spans="1:22" x14ac:dyDescent="0.35">
      <c r="A87" s="110"/>
      <c r="D87" s="90" t="s">
        <v>32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3">
        <f>SUM(E87:P87)</f>
        <v>0</v>
      </c>
      <c r="R87" s="442">
        <f t="shared" si="17"/>
        <v>0</v>
      </c>
      <c r="S87" s="396"/>
      <c r="T87" s="399"/>
      <c r="U87" s="300"/>
      <c r="V87" s="38"/>
    </row>
    <row r="88" spans="1:22" x14ac:dyDescent="0.35">
      <c r="A88" s="110" t="s">
        <v>120</v>
      </c>
      <c r="C88" s="34" t="s">
        <v>33</v>
      </c>
      <c r="E88" s="43">
        <f t="shared" ref="E88:Q88" si="21">SUM(E86:E87)</f>
        <v>1380.2</v>
      </c>
      <c r="F88" s="43">
        <f t="shared" si="21"/>
        <v>1380.2</v>
      </c>
      <c r="G88" s="43">
        <f t="shared" si="21"/>
        <v>1380.2</v>
      </c>
      <c r="H88" s="43">
        <f t="shared" si="21"/>
        <v>1380.2</v>
      </c>
      <c r="I88" s="43">
        <f t="shared" si="21"/>
        <v>1380.2</v>
      </c>
      <c r="J88" s="43">
        <f t="shared" si="21"/>
        <v>1380.2</v>
      </c>
      <c r="K88" s="43">
        <f t="shared" si="21"/>
        <v>1380.2</v>
      </c>
      <c r="L88" s="43">
        <f t="shared" si="21"/>
        <v>1380.2</v>
      </c>
      <c r="M88" s="43">
        <f t="shared" si="21"/>
        <v>1380.2</v>
      </c>
      <c r="N88" s="43">
        <f t="shared" si="21"/>
        <v>1380.2</v>
      </c>
      <c r="O88" s="43">
        <f t="shared" si="21"/>
        <v>1380.2</v>
      </c>
      <c r="P88" s="43">
        <f t="shared" si="21"/>
        <v>1380.2</v>
      </c>
      <c r="Q88" s="443">
        <f t="shared" si="21"/>
        <v>16562.400000000005</v>
      </c>
      <c r="R88" s="444">
        <f t="shared" si="17"/>
        <v>0.1295475877604656</v>
      </c>
      <c r="S88" s="400">
        <v>10694.310000000001</v>
      </c>
      <c r="T88" s="461">
        <f>IFERROR(Q88/S88-1,"-")</f>
        <v>0.54871141756691211</v>
      </c>
      <c r="U88" s="300"/>
      <c r="V88" s="38"/>
    </row>
    <row r="89" spans="1:22" x14ac:dyDescent="0.35">
      <c r="A89" s="110"/>
      <c r="Q89" s="430"/>
      <c r="R89" s="432"/>
      <c r="S89" s="396"/>
      <c r="T89" s="399"/>
      <c r="U89" s="300"/>
      <c r="V89" s="38"/>
    </row>
    <row r="90" spans="1:22" s="95" customFormat="1" hidden="1" x14ac:dyDescent="0.35">
      <c r="A90" s="111" t="s">
        <v>145</v>
      </c>
      <c r="B90" s="95" t="s">
        <v>34</v>
      </c>
      <c r="C90" s="95" t="s">
        <v>63</v>
      </c>
      <c r="Q90" s="448">
        <f>SUM(E90:P90)</f>
        <v>0</v>
      </c>
      <c r="R90" s="449">
        <f t="shared" si="17"/>
        <v>0</v>
      </c>
      <c r="S90" s="396"/>
      <c r="T90" s="399" t="e">
        <f>R90/S90-1</f>
        <v>#DIV/0!</v>
      </c>
      <c r="U90" s="300"/>
      <c r="V90" s="305"/>
    </row>
    <row r="91" spans="1:22" hidden="1" x14ac:dyDescent="0.35">
      <c r="A91" s="110"/>
      <c r="Q91" s="430"/>
      <c r="R91" s="432"/>
      <c r="S91" s="396"/>
      <c r="T91" s="399" t="e">
        <f>R91/S91-1</f>
        <v>#DIV/0!</v>
      </c>
      <c r="U91" s="300"/>
      <c r="V91" s="38"/>
    </row>
    <row r="92" spans="1:22" x14ac:dyDescent="0.35">
      <c r="A92" s="110" t="s">
        <v>121</v>
      </c>
      <c r="C92" s="34" t="s">
        <v>64</v>
      </c>
      <c r="E92" s="34">
        <f>'Allocated Expenses'!F110+'Allocated Expenses'!F121</f>
        <v>1243.1163837257591</v>
      </c>
      <c r="F92" s="34">
        <f>'Allocated Expenses'!G110+'Allocated Expenses'!G121</f>
        <v>1243.1163837257591</v>
      </c>
      <c r="G92" s="34">
        <f>'Allocated Expenses'!H110+'Allocated Expenses'!H121</f>
        <v>1243.1163837257591</v>
      </c>
      <c r="H92" s="34">
        <f>'Allocated Expenses'!I110+'Allocated Expenses'!I121</f>
        <v>1243.1163837257591</v>
      </c>
      <c r="I92" s="34">
        <f>'Allocated Expenses'!J110+'Allocated Expenses'!J121</f>
        <v>1243.1163837257591</v>
      </c>
      <c r="J92" s="34">
        <f>'Allocated Expenses'!K110+'Allocated Expenses'!K121</f>
        <v>1243.1163837257591</v>
      </c>
      <c r="K92" s="34">
        <f>'Allocated Expenses'!L110+'Allocated Expenses'!L121</f>
        <v>1243.1163837257591</v>
      </c>
      <c r="L92" s="34">
        <f>'Allocated Expenses'!M110+'Allocated Expenses'!M121</f>
        <v>1243.1163837257591</v>
      </c>
      <c r="M92" s="34">
        <f>'Allocated Expenses'!N110+'Allocated Expenses'!N121</f>
        <v>1243.1163837257591</v>
      </c>
      <c r="N92" s="34">
        <f>'Allocated Expenses'!O110+'Allocated Expenses'!O121</f>
        <v>1243.1163837257591</v>
      </c>
      <c r="O92" s="34">
        <f>'Allocated Expenses'!P110+'Allocated Expenses'!P121</f>
        <v>1243.1163837257591</v>
      </c>
      <c r="P92" s="34">
        <f>'Allocated Expenses'!Q110+'Allocated Expenses'!Q121</f>
        <v>1243.1163837257591</v>
      </c>
      <c r="Q92" s="430">
        <f>SUM(E92:P92)</f>
        <v>14917.396604709109</v>
      </c>
      <c r="R92" s="432">
        <f t="shared" si="17"/>
        <v>0.1166807193284925</v>
      </c>
      <c r="S92" s="396">
        <v>17756.740000000002</v>
      </c>
      <c r="T92" s="460">
        <f>IFERROR(Q92/S92-1,"-")</f>
        <v>-0.1599022903579651</v>
      </c>
      <c r="U92" s="300"/>
      <c r="V92" s="38"/>
    </row>
    <row r="93" spans="1:22" x14ac:dyDescent="0.35">
      <c r="A93" s="110"/>
      <c r="Q93" s="430"/>
      <c r="R93" s="432"/>
      <c r="S93" s="396"/>
      <c r="T93" s="399"/>
      <c r="U93" s="300"/>
      <c r="V93" s="38"/>
    </row>
    <row r="94" spans="1:22" x14ac:dyDescent="0.35">
      <c r="A94" s="110" t="s">
        <v>122</v>
      </c>
      <c r="C94" s="34" t="s">
        <v>65</v>
      </c>
      <c r="E94" s="34">
        <f>'Allocated Expenses'!F132</f>
        <v>0</v>
      </c>
      <c r="F94" s="34">
        <f>'Allocated Expenses'!G132</f>
        <v>0</v>
      </c>
      <c r="G94" s="34">
        <f>'Allocated Expenses'!H132</f>
        <v>0</v>
      </c>
      <c r="H94" s="34">
        <f>'Allocated Expenses'!I132</f>
        <v>4292.2352663548008</v>
      </c>
      <c r="I94" s="34">
        <f>'Allocated Expenses'!J132</f>
        <v>0</v>
      </c>
      <c r="J94" s="34">
        <f>'Allocated Expenses'!K132</f>
        <v>0</v>
      </c>
      <c r="K94" s="34">
        <f>'Allocated Expenses'!L132</f>
        <v>0</v>
      </c>
      <c r="L94" s="34">
        <f>'Allocated Expenses'!M132</f>
        <v>0</v>
      </c>
      <c r="M94" s="34">
        <f>'Allocated Expenses'!N132</f>
        <v>0</v>
      </c>
      <c r="N94" s="34">
        <f>'Allocated Expenses'!O132</f>
        <v>0</v>
      </c>
      <c r="O94" s="34">
        <f>'Allocated Expenses'!P132</f>
        <v>0</v>
      </c>
      <c r="P94" s="34">
        <f>'Allocated Expenses'!Q132</f>
        <v>0</v>
      </c>
      <c r="Q94" s="430">
        <f>SUM(E94:P94)</f>
        <v>4292.2352663548008</v>
      </c>
      <c r="R94" s="432">
        <f t="shared" si="17"/>
        <v>3.3572955903532327E-2</v>
      </c>
      <c r="S94" s="396">
        <v>0</v>
      </c>
      <c r="T94" s="460" t="str">
        <f>IFERROR(Q94/S94-1,"-")</f>
        <v>-</v>
      </c>
      <c r="U94" s="300"/>
      <c r="V94" s="38"/>
    </row>
    <row r="95" spans="1:22" x14ac:dyDescent="0.35">
      <c r="A95" s="110"/>
      <c r="Q95" s="430"/>
      <c r="R95" s="432"/>
      <c r="S95" s="396"/>
      <c r="T95" s="399"/>
      <c r="U95" s="300"/>
      <c r="V95" s="38"/>
    </row>
    <row r="96" spans="1:22" x14ac:dyDescent="0.35">
      <c r="A96" s="110" t="s">
        <v>123</v>
      </c>
      <c r="C96" s="34" t="s">
        <v>66</v>
      </c>
      <c r="E96" s="34">
        <f>'Allocated Expenses'!F144</f>
        <v>1136.0977360532574</v>
      </c>
      <c r="F96" s="34">
        <f>'Allocated Expenses'!G144</f>
        <v>1136.0977360532574</v>
      </c>
      <c r="G96" s="34">
        <f>'Allocated Expenses'!H144</f>
        <v>1136.0977360532574</v>
      </c>
      <c r="H96" s="34">
        <f>'Allocated Expenses'!I144</f>
        <v>1136.0977360532574</v>
      </c>
      <c r="I96" s="34">
        <f>'Allocated Expenses'!J144</f>
        <v>1136.0977360532574</v>
      </c>
      <c r="J96" s="34">
        <f>'Allocated Expenses'!K144</f>
        <v>1136.0977360532574</v>
      </c>
      <c r="K96" s="34">
        <f>'Allocated Expenses'!L144</f>
        <v>1136.0977360532574</v>
      </c>
      <c r="L96" s="34">
        <f>'Allocated Expenses'!M144</f>
        <v>1136.0977360532574</v>
      </c>
      <c r="M96" s="34">
        <f>'Allocated Expenses'!N144</f>
        <v>1136.0977360532574</v>
      </c>
      <c r="N96" s="34">
        <f>'Allocated Expenses'!O144</f>
        <v>1136.0977360532574</v>
      </c>
      <c r="O96" s="34">
        <f>'Allocated Expenses'!P144</f>
        <v>1136.0977360532574</v>
      </c>
      <c r="P96" s="34">
        <f>'Allocated Expenses'!Q144</f>
        <v>1136.0977360532574</v>
      </c>
      <c r="Q96" s="430">
        <f>SUM(E96:P96)</f>
        <v>13633.172832639093</v>
      </c>
      <c r="R96" s="432">
        <f t="shared" si="17"/>
        <v>0.10663579275889411</v>
      </c>
      <c r="S96" s="396">
        <v>12135.84</v>
      </c>
      <c r="T96" s="460">
        <f>IFERROR(Q96/S96-1,"-")</f>
        <v>0.12338106242658875</v>
      </c>
      <c r="U96" s="300"/>
      <c r="V96" s="38"/>
    </row>
    <row r="97" spans="1:22" x14ac:dyDescent="0.35">
      <c r="A97" s="110"/>
      <c r="Q97" s="430"/>
      <c r="R97" s="432"/>
      <c r="S97" s="396"/>
      <c r="T97" s="399"/>
      <c r="U97" s="300"/>
      <c r="V97" s="38"/>
    </row>
    <row r="98" spans="1:22" x14ac:dyDescent="0.35">
      <c r="A98" s="110" t="s">
        <v>130</v>
      </c>
      <c r="D98" s="34" t="s">
        <v>67</v>
      </c>
      <c r="E98" s="34">
        <f>'Allocated Expenses'!F155</f>
        <v>51.372168682279806</v>
      </c>
      <c r="F98" s="34">
        <f>'Allocated Expenses'!G155</f>
        <v>51.372168682279806</v>
      </c>
      <c r="G98" s="34">
        <f>'Allocated Expenses'!H155</f>
        <v>51.372168682279806</v>
      </c>
      <c r="H98" s="34">
        <f>'Allocated Expenses'!I155</f>
        <v>51.372168682279806</v>
      </c>
      <c r="I98" s="34">
        <f>'Allocated Expenses'!J155</f>
        <v>51.372168682279806</v>
      </c>
      <c r="J98" s="34">
        <f>'Allocated Expenses'!K155</f>
        <v>51.372168682279806</v>
      </c>
      <c r="K98" s="34">
        <f>'Allocated Expenses'!L155</f>
        <v>51.372168682279806</v>
      </c>
      <c r="L98" s="34">
        <f>'Allocated Expenses'!M155</f>
        <v>51.372168682279806</v>
      </c>
      <c r="M98" s="34">
        <f>'Allocated Expenses'!N155</f>
        <v>51.372168682279806</v>
      </c>
      <c r="N98" s="34">
        <f>'Allocated Expenses'!O155</f>
        <v>51.372168682279806</v>
      </c>
      <c r="O98" s="34">
        <f>'Allocated Expenses'!P155</f>
        <v>51.372168682279806</v>
      </c>
      <c r="P98" s="34">
        <f>'Allocated Expenses'!Q155</f>
        <v>51.372168682279806</v>
      </c>
      <c r="Q98" s="430">
        <f>SUM(E98:P98)</f>
        <v>616.4660241873579</v>
      </c>
      <c r="R98" s="432">
        <f t="shared" si="17"/>
        <v>4.8218667807658931E-3</v>
      </c>
      <c r="S98" s="396"/>
      <c r="T98" s="399"/>
      <c r="U98" s="300"/>
      <c r="V98" s="38"/>
    </row>
    <row r="99" spans="1:22" x14ac:dyDescent="0.35">
      <c r="A99" s="110" t="s">
        <v>146</v>
      </c>
      <c r="D99" s="34" t="s">
        <v>68</v>
      </c>
      <c r="E99" s="34">
        <f>'Allocated Expenses'!F166</f>
        <v>0</v>
      </c>
      <c r="F99" s="34">
        <f>'Allocated Expenses'!G166</f>
        <v>0</v>
      </c>
      <c r="G99" s="34">
        <f>'Allocated Expenses'!H166</f>
        <v>0</v>
      </c>
      <c r="H99" s="34">
        <f>'Allocated Expenses'!I166</f>
        <v>0</v>
      </c>
      <c r="I99" s="34">
        <f>'Allocated Expenses'!J166</f>
        <v>0</v>
      </c>
      <c r="J99" s="34">
        <f>'Allocated Expenses'!K166</f>
        <v>0</v>
      </c>
      <c r="K99" s="34">
        <f>'Allocated Expenses'!L166</f>
        <v>0</v>
      </c>
      <c r="L99" s="34">
        <f>'Allocated Expenses'!M166</f>
        <v>0</v>
      </c>
      <c r="M99" s="34">
        <f>'Allocated Expenses'!N166</f>
        <v>0</v>
      </c>
      <c r="N99" s="34">
        <f>'Allocated Expenses'!O166</f>
        <v>0</v>
      </c>
      <c r="O99" s="34">
        <f>'Allocated Expenses'!P166</f>
        <v>0</v>
      </c>
      <c r="P99" s="34">
        <f>'Allocated Expenses'!Q166</f>
        <v>0</v>
      </c>
      <c r="Q99" s="430">
        <f>SUM(E99:P99)</f>
        <v>0</v>
      </c>
      <c r="R99" s="432">
        <f t="shared" si="17"/>
        <v>0</v>
      </c>
      <c r="S99" s="396"/>
      <c r="T99" s="399"/>
      <c r="U99" s="300"/>
      <c r="V99" s="38"/>
    </row>
    <row r="100" spans="1:22" x14ac:dyDescent="0.35">
      <c r="A100" s="110" t="s">
        <v>147</v>
      </c>
      <c r="D100" s="34" t="s">
        <v>69</v>
      </c>
      <c r="E100" s="34">
        <f>'Allocated Expenses'!F177</f>
        <v>0</v>
      </c>
      <c r="F100" s="34">
        <f>'Allocated Expenses'!G177</f>
        <v>0</v>
      </c>
      <c r="G100" s="34">
        <f>'Allocated Expenses'!H177</f>
        <v>0</v>
      </c>
      <c r="H100" s="34">
        <f>'Allocated Expenses'!I177</f>
        <v>0</v>
      </c>
      <c r="I100" s="34">
        <f>'Allocated Expenses'!J177</f>
        <v>0</v>
      </c>
      <c r="J100" s="34">
        <f>'Allocated Expenses'!K177</f>
        <v>0</v>
      </c>
      <c r="K100" s="34">
        <f>'Allocated Expenses'!L177</f>
        <v>0</v>
      </c>
      <c r="L100" s="34">
        <f>'Allocated Expenses'!M177</f>
        <v>0</v>
      </c>
      <c r="M100" s="34">
        <f>'Allocated Expenses'!N177</f>
        <v>0</v>
      </c>
      <c r="N100" s="34">
        <f>'Allocated Expenses'!O177</f>
        <v>0</v>
      </c>
      <c r="O100" s="34">
        <f>'Allocated Expenses'!P177</f>
        <v>0</v>
      </c>
      <c r="P100" s="34">
        <f>'Allocated Expenses'!Q177</f>
        <v>0</v>
      </c>
      <c r="Q100" s="430">
        <f>SUM(E100:P100)</f>
        <v>0</v>
      </c>
      <c r="R100" s="432">
        <f t="shared" si="17"/>
        <v>0</v>
      </c>
      <c r="S100" s="396"/>
      <c r="T100" s="399"/>
      <c r="U100" s="300"/>
      <c r="V100" s="38"/>
    </row>
    <row r="101" spans="1:22" x14ac:dyDescent="0.35">
      <c r="A101" s="110" t="s">
        <v>131</v>
      </c>
      <c r="D101" s="34" t="s">
        <v>70</v>
      </c>
      <c r="E101" s="34">
        <f>'Allocated Expenses'!F188</f>
        <v>49.715001950593354</v>
      </c>
      <c r="F101" s="34">
        <f>'Allocated Expenses'!G188</f>
        <v>49.715001950593354</v>
      </c>
      <c r="G101" s="34">
        <f>'Allocated Expenses'!H188</f>
        <v>49.715001950593354</v>
      </c>
      <c r="H101" s="34">
        <f>'Allocated Expenses'!I188</f>
        <v>49.715001950593354</v>
      </c>
      <c r="I101" s="34">
        <f>'Allocated Expenses'!J188</f>
        <v>49.715001950593354</v>
      </c>
      <c r="J101" s="34">
        <f>'Allocated Expenses'!K188</f>
        <v>49.715001950593354</v>
      </c>
      <c r="K101" s="34">
        <f>'Allocated Expenses'!L188</f>
        <v>49.715001950593354</v>
      </c>
      <c r="L101" s="34">
        <f>'Allocated Expenses'!M188</f>
        <v>49.715001950593354</v>
      </c>
      <c r="M101" s="34">
        <f>'Allocated Expenses'!N188</f>
        <v>49.715001950593354</v>
      </c>
      <c r="N101" s="34">
        <f>'Allocated Expenses'!O188</f>
        <v>49.715001950593354</v>
      </c>
      <c r="O101" s="34">
        <f>'Allocated Expenses'!P188</f>
        <v>49.715001950593354</v>
      </c>
      <c r="P101" s="34">
        <f>'Allocated Expenses'!Q188</f>
        <v>49.715001950593354</v>
      </c>
      <c r="Q101" s="430">
        <f>SUM(E101:P101)</f>
        <v>596.58002340712028</v>
      </c>
      <c r="R101" s="432">
        <f t="shared" si="17"/>
        <v>4.6663226910637658E-3</v>
      </c>
      <c r="S101" s="396"/>
      <c r="T101" s="399"/>
      <c r="U101" s="300"/>
      <c r="V101" s="38"/>
    </row>
    <row r="102" spans="1:22" x14ac:dyDescent="0.35">
      <c r="A102" s="110" t="s">
        <v>124</v>
      </c>
      <c r="D102" s="34" t="s">
        <v>71</v>
      </c>
      <c r="E102" s="43">
        <f>'Allocated Expenses'!F199</f>
        <v>2940</v>
      </c>
      <c r="F102" s="43">
        <f>'Allocated Expenses'!G199</f>
        <v>2940</v>
      </c>
      <c r="G102" s="43">
        <f>'Allocated Expenses'!H199</f>
        <v>2940</v>
      </c>
      <c r="H102" s="43">
        <f>'Allocated Expenses'!I199</f>
        <v>2940</v>
      </c>
      <c r="I102" s="43">
        <f>'Allocated Expenses'!J199</f>
        <v>2940</v>
      </c>
      <c r="J102" s="43">
        <f>'Allocated Expenses'!K199</f>
        <v>2940</v>
      </c>
      <c r="K102" s="43">
        <f>'Allocated Expenses'!L199</f>
        <v>2940</v>
      </c>
      <c r="L102" s="43">
        <f>'Allocated Expenses'!M199</f>
        <v>2940</v>
      </c>
      <c r="M102" s="43">
        <f>'Allocated Expenses'!N199</f>
        <v>2940</v>
      </c>
      <c r="N102" s="43">
        <f>'Allocated Expenses'!O199</f>
        <v>2940</v>
      </c>
      <c r="O102" s="43">
        <f>'Allocated Expenses'!P199</f>
        <v>2940</v>
      </c>
      <c r="P102" s="43">
        <f>'Allocated Expenses'!Q199</f>
        <v>2940</v>
      </c>
      <c r="Q102" s="443">
        <f>SUM(E102:P102)</f>
        <v>35280</v>
      </c>
      <c r="R102" s="444">
        <f t="shared" si="17"/>
        <v>0.27595269382391591</v>
      </c>
      <c r="S102" s="396"/>
      <c r="T102" s="399"/>
      <c r="U102" s="300"/>
      <c r="V102" s="38"/>
    </row>
    <row r="103" spans="1:22" x14ac:dyDescent="0.35">
      <c r="A103" s="110"/>
      <c r="C103" s="34" t="s">
        <v>72</v>
      </c>
      <c r="E103" s="43">
        <f t="shared" ref="E103:Q103" si="22">SUM(E98:E102)</f>
        <v>3041.087170632873</v>
      </c>
      <c r="F103" s="43">
        <f t="shared" si="22"/>
        <v>3041.087170632873</v>
      </c>
      <c r="G103" s="43">
        <f t="shared" si="22"/>
        <v>3041.087170632873</v>
      </c>
      <c r="H103" s="43">
        <f t="shared" si="22"/>
        <v>3041.087170632873</v>
      </c>
      <c r="I103" s="43">
        <f t="shared" si="22"/>
        <v>3041.087170632873</v>
      </c>
      <c r="J103" s="43">
        <f t="shared" si="22"/>
        <v>3041.087170632873</v>
      </c>
      <c r="K103" s="43">
        <f t="shared" si="22"/>
        <v>3041.087170632873</v>
      </c>
      <c r="L103" s="43">
        <f t="shared" si="22"/>
        <v>3041.087170632873</v>
      </c>
      <c r="M103" s="43">
        <f t="shared" si="22"/>
        <v>3041.087170632873</v>
      </c>
      <c r="N103" s="43">
        <f t="shared" si="22"/>
        <v>3041.087170632873</v>
      </c>
      <c r="O103" s="43">
        <f t="shared" si="22"/>
        <v>3041.087170632873</v>
      </c>
      <c r="P103" s="43">
        <f t="shared" si="22"/>
        <v>3041.087170632873</v>
      </c>
      <c r="Q103" s="443">
        <f t="shared" si="22"/>
        <v>36493.046047594478</v>
      </c>
      <c r="R103" s="444">
        <f t="shared" si="17"/>
        <v>0.28544088329574557</v>
      </c>
      <c r="S103" s="400">
        <v>39657.69</v>
      </c>
      <c r="T103" s="461">
        <f>IFERROR(Q103/S103-1,"-")</f>
        <v>-7.9798998691187562E-2</v>
      </c>
      <c r="U103" s="300"/>
      <c r="V103" s="38"/>
    </row>
    <row r="104" spans="1:22" x14ac:dyDescent="0.35">
      <c r="A104" s="110"/>
      <c r="Q104" s="430"/>
      <c r="R104" s="432"/>
      <c r="S104" s="396"/>
      <c r="T104" s="399"/>
      <c r="U104" s="300"/>
      <c r="V104" s="38"/>
    </row>
    <row r="105" spans="1:22" ht="18" x14ac:dyDescent="0.35">
      <c r="A105" s="110"/>
      <c r="C105" s="60" t="s">
        <v>73</v>
      </c>
      <c r="D105" s="92"/>
      <c r="E105" s="92">
        <f t="shared" ref="E105:P105" si="23">+E75+E79+E84+E88+E90+E92+E94+E96+E103</f>
        <v>12089.27115110177</v>
      </c>
      <c r="F105" s="92">
        <f t="shared" si="23"/>
        <v>10041.013070737323</v>
      </c>
      <c r="G105" s="92">
        <f t="shared" si="23"/>
        <v>10041.013070737323</v>
      </c>
      <c r="H105" s="92">
        <f t="shared" si="23"/>
        <v>16381.506417456572</v>
      </c>
      <c r="I105" s="92">
        <f t="shared" si="23"/>
        <v>10041.013070737323</v>
      </c>
      <c r="J105" s="92">
        <f t="shared" si="23"/>
        <v>10041.013070737323</v>
      </c>
      <c r="K105" s="92">
        <f t="shared" si="23"/>
        <v>12089.27115110177</v>
      </c>
      <c r="L105" s="92">
        <f t="shared" si="23"/>
        <v>10041.013070737323</v>
      </c>
      <c r="M105" s="92">
        <f t="shared" si="23"/>
        <v>10041.013070737323</v>
      </c>
      <c r="N105" s="92">
        <f t="shared" si="23"/>
        <v>12089.27115110177</v>
      </c>
      <c r="O105" s="92">
        <f t="shared" si="23"/>
        <v>10041.013070737323</v>
      </c>
      <c r="P105" s="92">
        <f t="shared" si="23"/>
        <v>10041.013070737323</v>
      </c>
      <c r="Q105" s="446">
        <f>+Q75+Q79+Q84+Q88+Q90+Q92+Q94+Q96+Q103</f>
        <v>132977.42443666045</v>
      </c>
      <c r="R105" s="447">
        <f t="shared" si="17"/>
        <v>1.0401212724224114</v>
      </c>
      <c r="S105" s="406">
        <f t="shared" ref="S105" si="24">+S75+S79+S84+S88+S90+S92+S94+S96+S103</f>
        <v>118590.15000000001</v>
      </c>
      <c r="T105" s="465">
        <f>IFERROR(Q105/S105-1,"-")</f>
        <v>0.12131930380946843</v>
      </c>
      <c r="U105" s="304"/>
      <c r="V105" s="38"/>
    </row>
    <row r="106" spans="1:22" ht="18.5" thickBot="1" x14ac:dyDescent="0.4">
      <c r="A106" s="110"/>
      <c r="Q106" s="435"/>
      <c r="R106" s="436"/>
      <c r="S106" s="402"/>
      <c r="T106" s="403"/>
      <c r="U106" s="301"/>
      <c r="V106" s="38"/>
    </row>
    <row r="107" spans="1:22" s="36" customFormat="1" ht="18" thickBot="1" x14ac:dyDescent="0.4">
      <c r="A107" s="285"/>
      <c r="B107" s="286" t="s">
        <v>74</v>
      </c>
      <c r="C107" s="287"/>
      <c r="D107" s="287"/>
      <c r="E107" s="287">
        <f t="shared" ref="E107:Q107" si="25">+E71+E105</f>
        <v>111381.60131266824</v>
      </c>
      <c r="F107" s="287">
        <f t="shared" si="25"/>
        <v>112092.18323230378</v>
      </c>
      <c r="G107" s="287">
        <f t="shared" si="25"/>
        <v>117391.25379342734</v>
      </c>
      <c r="H107" s="287">
        <f t="shared" si="25"/>
        <v>136338.93282259541</v>
      </c>
      <c r="I107" s="287">
        <f t="shared" si="25"/>
        <v>127890.84947587614</v>
      </c>
      <c r="J107" s="287">
        <f t="shared" si="25"/>
        <v>133414.09947587614</v>
      </c>
      <c r="K107" s="287">
        <f t="shared" si="25"/>
        <v>117427.5241228206</v>
      </c>
      <c r="L107" s="287">
        <f t="shared" si="25"/>
        <v>107693.03604245614</v>
      </c>
      <c r="M107" s="287">
        <f t="shared" si="25"/>
        <v>118517.14604245614</v>
      </c>
      <c r="N107" s="287">
        <f t="shared" si="25"/>
        <v>136515.55412282061</v>
      </c>
      <c r="O107" s="287">
        <f t="shared" si="25"/>
        <v>110319.30327848732</v>
      </c>
      <c r="P107" s="287">
        <f t="shared" si="25"/>
        <v>119273.59138693177</v>
      </c>
      <c r="Q107" s="426">
        <f t="shared" si="25"/>
        <v>1448255.0751087195</v>
      </c>
      <c r="R107" s="428">
        <f t="shared" si="17"/>
        <v>11.327944708628367</v>
      </c>
      <c r="S107" s="427">
        <f>+S71+S105</f>
        <v>1466824.1899999997</v>
      </c>
      <c r="T107" s="405">
        <f>IFERROR(Q107/S107-1,"-")</f>
        <v>-1.2659400504759999E-2</v>
      </c>
      <c r="U107" s="302"/>
      <c r="V107" s="74"/>
    </row>
    <row r="108" spans="1:22" ht="18.5" thickBot="1" x14ac:dyDescent="0.4">
      <c r="A108" s="110"/>
      <c r="Q108" s="435"/>
      <c r="R108" s="436"/>
      <c r="S108" s="402"/>
      <c r="T108" s="403"/>
      <c r="U108" s="301"/>
      <c r="V108" s="38"/>
    </row>
    <row r="109" spans="1:22" s="36" customFormat="1" ht="18" thickBot="1" x14ac:dyDescent="0.4">
      <c r="A109" s="285"/>
      <c r="B109" s="286" t="s">
        <v>75</v>
      </c>
      <c r="C109" s="287"/>
      <c r="D109" s="287"/>
      <c r="E109" s="287">
        <f t="shared" ref="E109:Q109" si="26">+E24-E107</f>
        <v>42158.554120665096</v>
      </c>
      <c r="F109" s="287">
        <f t="shared" si="26"/>
        <v>39528.915301029556</v>
      </c>
      <c r="G109" s="287">
        <f t="shared" si="26"/>
        <v>42523.60483990598</v>
      </c>
      <c r="H109" s="287">
        <f t="shared" si="26"/>
        <v>18602.470177404583</v>
      </c>
      <c r="I109" s="287">
        <f t="shared" si="26"/>
        <v>29291.952524123859</v>
      </c>
      <c r="J109" s="287">
        <f t="shared" si="26"/>
        <v>30262.968524123862</v>
      </c>
      <c r="K109" s="287">
        <f t="shared" si="26"/>
        <v>34181.246377179385</v>
      </c>
      <c r="L109" s="287">
        <f t="shared" si="26"/>
        <v>44034.887957543862</v>
      </c>
      <c r="M109" s="287">
        <f t="shared" si="26"/>
        <v>36930.716957543875</v>
      </c>
      <c r="N109" s="287">
        <f t="shared" si="26"/>
        <v>12519.5098771794</v>
      </c>
      <c r="O109" s="287">
        <f t="shared" si="26"/>
        <v>33782.532121512661</v>
      </c>
      <c r="P109" s="287">
        <f t="shared" si="26"/>
        <v>33681.216213068226</v>
      </c>
      <c r="Q109" s="426">
        <f t="shared" si="26"/>
        <v>397498.57499128068</v>
      </c>
      <c r="R109" s="428">
        <f t="shared" si="17"/>
        <v>3.1091497324266371</v>
      </c>
      <c r="S109" s="427">
        <f>+S24-S107</f>
        <v>190478.34000000055</v>
      </c>
      <c r="T109" s="405">
        <f>IFERROR(Q109/S109-1,"-")</f>
        <v>1.0868439686700313</v>
      </c>
      <c r="U109" s="302"/>
      <c r="V109" s="74"/>
    </row>
    <row r="110" spans="1:22" ht="18" x14ac:dyDescent="0.35">
      <c r="A110" s="110"/>
      <c r="Q110" s="435"/>
      <c r="R110" s="436"/>
      <c r="S110" s="402"/>
      <c r="T110" s="403"/>
      <c r="U110" s="301"/>
      <c r="V110" s="38"/>
    </row>
    <row r="111" spans="1:22" x14ac:dyDescent="0.35">
      <c r="A111" s="110" t="s">
        <v>125</v>
      </c>
      <c r="D111" s="34" t="s">
        <v>76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30"/>
      <c r="R111" s="432">
        <f t="shared" si="17"/>
        <v>0</v>
      </c>
      <c r="S111" s="396"/>
      <c r="T111" s="399"/>
      <c r="U111" s="300"/>
      <c r="V111" s="38"/>
    </row>
    <row r="112" spans="1:22" x14ac:dyDescent="0.35">
      <c r="A112" s="110" t="s">
        <v>126</v>
      </c>
      <c r="D112" s="34" t="s">
        <v>77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30"/>
      <c r="R112" s="432">
        <f t="shared" si="17"/>
        <v>0</v>
      </c>
      <c r="S112" s="396"/>
      <c r="T112" s="399"/>
      <c r="U112" s="300"/>
      <c r="V112" s="38"/>
    </row>
    <row r="113" spans="1:22" x14ac:dyDescent="0.35">
      <c r="A113" s="110" t="s">
        <v>127</v>
      </c>
      <c r="D113" s="34" t="s">
        <v>78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30"/>
      <c r="R113" s="432">
        <f t="shared" si="17"/>
        <v>0</v>
      </c>
      <c r="S113" s="396"/>
      <c r="T113" s="399"/>
      <c r="U113" s="300"/>
      <c r="V113" s="38"/>
    </row>
    <row r="114" spans="1:22" x14ac:dyDescent="0.35">
      <c r="A114" s="110" t="s">
        <v>133</v>
      </c>
      <c r="D114" s="34" t="s">
        <v>79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43"/>
      <c r="R114" s="444">
        <f t="shared" si="17"/>
        <v>0</v>
      </c>
      <c r="S114" s="396"/>
      <c r="T114" s="399"/>
      <c r="U114" s="300"/>
      <c r="V114" s="38"/>
    </row>
    <row r="115" spans="1:22" x14ac:dyDescent="0.35">
      <c r="A115" s="110"/>
      <c r="C115" s="34" t="s">
        <v>79</v>
      </c>
      <c r="E115" s="43">
        <f t="shared" ref="E115:Q115" si="27">SUM(E111:E114)</f>
        <v>0</v>
      </c>
      <c r="F115" s="43">
        <f t="shared" si="27"/>
        <v>0</v>
      </c>
      <c r="G115" s="43">
        <f t="shared" si="27"/>
        <v>0</v>
      </c>
      <c r="H115" s="43">
        <f t="shared" si="27"/>
        <v>0</v>
      </c>
      <c r="I115" s="43">
        <f t="shared" si="27"/>
        <v>0</v>
      </c>
      <c r="J115" s="43">
        <f t="shared" si="27"/>
        <v>0</v>
      </c>
      <c r="K115" s="43">
        <f t="shared" si="27"/>
        <v>0</v>
      </c>
      <c r="L115" s="43">
        <f t="shared" si="27"/>
        <v>0</v>
      </c>
      <c r="M115" s="43">
        <f t="shared" si="27"/>
        <v>0</v>
      </c>
      <c r="N115" s="43">
        <f t="shared" si="27"/>
        <v>0</v>
      </c>
      <c r="O115" s="43">
        <f t="shared" si="27"/>
        <v>0</v>
      </c>
      <c r="P115" s="43">
        <f t="shared" si="27"/>
        <v>0</v>
      </c>
      <c r="Q115" s="443">
        <f t="shared" si="27"/>
        <v>0</v>
      </c>
      <c r="R115" s="444">
        <f t="shared" si="17"/>
        <v>0</v>
      </c>
      <c r="S115" s="400"/>
      <c r="T115" s="461" t="str">
        <f>IFERROR(Q115/S115-1,"-")</f>
        <v>-</v>
      </c>
      <c r="U115" s="300"/>
      <c r="V115" s="38"/>
    </row>
    <row r="116" spans="1:22" x14ac:dyDescent="0.35">
      <c r="A116" s="110"/>
      <c r="Q116" s="430"/>
      <c r="R116" s="432"/>
      <c r="S116" s="396"/>
      <c r="T116" s="399"/>
      <c r="U116" s="300"/>
      <c r="V116" s="38"/>
    </row>
    <row r="117" spans="1:22" x14ac:dyDescent="0.35">
      <c r="A117" s="110" t="s">
        <v>128</v>
      </c>
      <c r="C117" s="34" t="s">
        <v>80</v>
      </c>
      <c r="E117" s="34">
        <f>'Renew &amp; Vac'!AJ77</f>
        <v>13796</v>
      </c>
      <c r="F117" s="34">
        <f>'Renew &amp; Vac'!AK77</f>
        <v>0</v>
      </c>
      <c r="G117" s="34">
        <f>'Renew &amp; Vac'!AL77</f>
        <v>0</v>
      </c>
      <c r="H117" s="34">
        <f>'Renew &amp; Vac'!AM77</f>
        <v>11525</v>
      </c>
      <c r="I117" s="34">
        <f>'Renew &amp; Vac'!AN77</f>
        <v>0</v>
      </c>
      <c r="J117" s="34">
        <f>'Renew &amp; Vac'!AO77</f>
        <v>0</v>
      </c>
      <c r="K117" s="34">
        <f>'Renew &amp; Vac'!AP77</f>
        <v>7226</v>
      </c>
      <c r="L117" s="34">
        <f>'Renew &amp; Vac'!AQ77</f>
        <v>0</v>
      </c>
      <c r="M117" s="34">
        <f>'Renew &amp; Vac'!AR77</f>
        <v>0</v>
      </c>
      <c r="N117" s="34">
        <f>'Renew &amp; Vac'!AS77</f>
        <v>10800</v>
      </c>
      <c r="O117" s="34">
        <f>'Renew &amp; Vac'!AT77</f>
        <v>0</v>
      </c>
      <c r="P117" s="34">
        <f>'Renew &amp; Vac'!AU77</f>
        <v>0</v>
      </c>
      <c r="Q117" s="430">
        <f>SUM(E117:P117)</f>
        <v>43347</v>
      </c>
      <c r="R117" s="432">
        <f t="shared" si="17"/>
        <v>0.33905106063450346</v>
      </c>
      <c r="S117" s="396">
        <v>35378.699999999721</v>
      </c>
      <c r="T117" s="460">
        <f>IFERROR(Q117/S117-1,"-")</f>
        <v>0.22522873932621446</v>
      </c>
      <c r="U117" s="300"/>
      <c r="V117" s="38"/>
    </row>
    <row r="118" spans="1:22" ht="18" x14ac:dyDescent="0.35">
      <c r="A118" s="11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450"/>
      <c r="R118" s="451">
        <f t="shared" si="17"/>
        <v>0</v>
      </c>
      <c r="S118" s="407"/>
      <c r="T118" s="408"/>
      <c r="U118" s="304"/>
      <c r="V118" s="38"/>
    </row>
    <row r="119" spans="1:22" ht="18" x14ac:dyDescent="0.35">
      <c r="A119" s="110"/>
      <c r="D119" s="34" t="s">
        <v>81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35">
        <f>SUM(E119:P119)</f>
        <v>0</v>
      </c>
      <c r="R119" s="436">
        <f t="shared" si="17"/>
        <v>0</v>
      </c>
      <c r="S119" s="402"/>
      <c r="T119" s="403"/>
      <c r="U119" s="301"/>
      <c r="V119" s="38"/>
    </row>
    <row r="120" spans="1:22" x14ac:dyDescent="0.35">
      <c r="A120" s="110"/>
      <c r="B120" s="36"/>
      <c r="D120" s="34" t="s">
        <v>82</v>
      </c>
      <c r="E120" s="43">
        <f>'Renew &amp; Vac'!AJ78</f>
        <v>10347.000000000002</v>
      </c>
      <c r="F120" s="43">
        <f>'Renew &amp; Vac'!AK78</f>
        <v>0</v>
      </c>
      <c r="G120" s="43">
        <f>'Renew &amp; Vac'!AL78</f>
        <v>0</v>
      </c>
      <c r="H120" s="43">
        <f>'Renew &amp; Vac'!AM78</f>
        <v>0</v>
      </c>
      <c r="I120" s="43">
        <f>'Renew &amp; Vac'!AN78</f>
        <v>0</v>
      </c>
      <c r="J120" s="43">
        <f>'Renew &amp; Vac'!AO78</f>
        <v>0</v>
      </c>
      <c r="K120" s="43">
        <f>'Renew &amp; Vac'!AP78</f>
        <v>11428.529999999999</v>
      </c>
      <c r="L120" s="43">
        <f>'Renew &amp; Vac'!AQ78</f>
        <v>0</v>
      </c>
      <c r="M120" s="43">
        <f>'Renew &amp; Vac'!AR78</f>
        <v>0</v>
      </c>
      <c r="N120" s="43">
        <f>'Renew &amp; Vac'!AS78</f>
        <v>0</v>
      </c>
      <c r="O120" s="43">
        <f>'Renew &amp; Vac'!AT78</f>
        <v>0</v>
      </c>
      <c r="P120" s="43">
        <f>'Renew &amp; Vac'!AU78</f>
        <v>0</v>
      </c>
      <c r="Q120" s="443">
        <f>SUM(E120:P120)</f>
        <v>21775.53</v>
      </c>
      <c r="R120" s="444">
        <f t="shared" si="17"/>
        <v>0.17032358738501971</v>
      </c>
      <c r="S120" s="409"/>
      <c r="T120" s="404"/>
      <c r="U120" s="300"/>
      <c r="V120" s="38"/>
    </row>
    <row r="121" spans="1:22" x14ac:dyDescent="0.35">
      <c r="A121" s="110" t="s">
        <v>129</v>
      </c>
      <c r="C121" s="34" t="s">
        <v>82</v>
      </c>
      <c r="D121" s="61"/>
      <c r="E121" s="34">
        <f>SUM(E119:E120)</f>
        <v>10347.000000000002</v>
      </c>
      <c r="F121" s="34">
        <f t="shared" ref="F121:P121" si="28">SUM(F119:F120)</f>
        <v>0</v>
      </c>
      <c r="G121" s="34">
        <f>SUM(G119:G120)</f>
        <v>0</v>
      </c>
      <c r="H121" s="34">
        <f t="shared" si="28"/>
        <v>0</v>
      </c>
      <c r="I121" s="34">
        <f t="shared" si="28"/>
        <v>0</v>
      </c>
      <c r="J121" s="34">
        <f t="shared" si="28"/>
        <v>0</v>
      </c>
      <c r="K121" s="34">
        <f t="shared" si="28"/>
        <v>11428.529999999999</v>
      </c>
      <c r="L121" s="34">
        <f t="shared" si="28"/>
        <v>0</v>
      </c>
      <c r="M121" s="34">
        <f t="shared" si="28"/>
        <v>0</v>
      </c>
      <c r="N121" s="34">
        <f t="shared" si="28"/>
        <v>0</v>
      </c>
      <c r="O121" s="34">
        <f t="shared" si="28"/>
        <v>0</v>
      </c>
      <c r="P121" s="34">
        <f t="shared" si="28"/>
        <v>0</v>
      </c>
      <c r="Q121" s="430">
        <f>SUM(E121:P121)</f>
        <v>21775.53</v>
      </c>
      <c r="R121" s="432">
        <f t="shared" ref="R121" si="29">Q121/$B$4</f>
        <v>0.17032358738501971</v>
      </c>
      <c r="S121" s="396">
        <v>12748.79999999993</v>
      </c>
      <c r="T121" s="460">
        <f>IFERROR(Q121/S121-1,"-")</f>
        <v>0.70804546310241889</v>
      </c>
      <c r="V121" s="300" t="s">
        <v>502</v>
      </c>
    </row>
    <row r="122" spans="1:22" s="36" customFormat="1" ht="18.5" thickBot="1" x14ac:dyDescent="0.4">
      <c r="A122" s="112"/>
      <c r="Q122" s="452"/>
      <c r="R122" s="453"/>
      <c r="S122" s="410"/>
      <c r="T122" s="411"/>
      <c r="U122" s="306"/>
      <c r="V122" s="74"/>
    </row>
    <row r="123" spans="1:22" s="36" customFormat="1" ht="18" thickBot="1" x14ac:dyDescent="0.4">
      <c r="A123" s="285"/>
      <c r="B123" s="286" t="s">
        <v>83</v>
      </c>
      <c r="C123" s="287"/>
      <c r="D123" s="287"/>
      <c r="E123" s="287">
        <f>+E109-E115-E117-E121</f>
        <v>18015.554120665096</v>
      </c>
      <c r="F123" s="287">
        <f t="shared" ref="F123:Q123" si="30">+F109-F115-F117-F121</f>
        <v>39528.915301029556</v>
      </c>
      <c r="G123" s="287">
        <f t="shared" si="30"/>
        <v>42523.60483990598</v>
      </c>
      <c r="H123" s="287">
        <f t="shared" si="30"/>
        <v>7077.4701774045825</v>
      </c>
      <c r="I123" s="287">
        <f t="shared" si="30"/>
        <v>29291.952524123859</v>
      </c>
      <c r="J123" s="287">
        <f t="shared" si="30"/>
        <v>30262.968524123862</v>
      </c>
      <c r="K123" s="287">
        <f t="shared" si="30"/>
        <v>15526.716377179386</v>
      </c>
      <c r="L123" s="287">
        <f t="shared" si="30"/>
        <v>44034.887957543862</v>
      </c>
      <c r="M123" s="287">
        <f t="shared" si="30"/>
        <v>36930.716957543875</v>
      </c>
      <c r="N123" s="287">
        <f t="shared" si="30"/>
        <v>1719.5098771794001</v>
      </c>
      <c r="O123" s="287">
        <f t="shared" si="30"/>
        <v>33782.532121512661</v>
      </c>
      <c r="P123" s="287">
        <f t="shared" si="30"/>
        <v>33681.216213068226</v>
      </c>
      <c r="Q123" s="426">
        <f t="shared" si="30"/>
        <v>332376.04499128065</v>
      </c>
      <c r="R123" s="428">
        <f t="shared" si="17"/>
        <v>2.5997750844071135</v>
      </c>
      <c r="S123" s="427">
        <f>+S109-S115-S117-S121</f>
        <v>142350.8400000009</v>
      </c>
      <c r="T123" s="405">
        <f>IFERROR(Q123/S123-1,"-")</f>
        <v>1.3349075073338419</v>
      </c>
      <c r="U123" s="302"/>
      <c r="V123" s="74"/>
    </row>
    <row r="124" spans="1:22" ht="18" x14ac:dyDescent="0.35">
      <c r="A124" s="110"/>
      <c r="Q124" s="430">
        <f>+Q109-Q117-Q120</f>
        <v>332376.04499128065</v>
      </c>
      <c r="R124" s="432"/>
      <c r="S124" s="402"/>
      <c r="T124" s="403"/>
      <c r="U124" s="300"/>
      <c r="V124" s="38"/>
    </row>
    <row r="125" spans="1:22" x14ac:dyDescent="0.35">
      <c r="A125" s="110"/>
      <c r="B125" s="34" t="s">
        <v>84</v>
      </c>
      <c r="Q125" s="430"/>
      <c r="R125" s="432"/>
      <c r="S125" s="396"/>
      <c r="T125" s="399"/>
      <c r="U125" s="300"/>
      <c r="V125" s="38"/>
    </row>
    <row r="126" spans="1:22" x14ac:dyDescent="0.35">
      <c r="A126" s="110" t="s">
        <v>132</v>
      </c>
      <c r="C126" s="34" t="s">
        <v>85</v>
      </c>
      <c r="E126" s="34">
        <f>+'Allocated Expenses'!F211</f>
        <v>29944.198391704314</v>
      </c>
      <c r="F126" s="34">
        <f>+'Allocated Expenses'!G211</f>
        <v>29944.198391704314</v>
      </c>
      <c r="G126" s="34">
        <f>+'Allocated Expenses'!H211</f>
        <v>29944.198391704314</v>
      </c>
      <c r="H126" s="34">
        <f>+'Allocated Expenses'!I211</f>
        <v>29944.198391704314</v>
      </c>
      <c r="I126" s="34">
        <f>+'Allocated Expenses'!J211</f>
        <v>29944.198391704314</v>
      </c>
      <c r="J126" s="34">
        <f>+'Allocated Expenses'!K211</f>
        <v>29944.198391704314</v>
      </c>
      <c r="K126" s="34">
        <f>+'Allocated Expenses'!L211</f>
        <v>29944.198391704314</v>
      </c>
      <c r="L126" s="34">
        <f>+'Allocated Expenses'!M211</f>
        <v>29944.198391704314</v>
      </c>
      <c r="M126" s="34">
        <f>+'Allocated Expenses'!N211</f>
        <v>29944.198391704314</v>
      </c>
      <c r="N126" s="34">
        <f>+'Allocated Expenses'!O211</f>
        <v>29944.198391704314</v>
      </c>
      <c r="O126" s="34">
        <f>+'Allocated Expenses'!P211</f>
        <v>29944.198391704314</v>
      </c>
      <c r="P126" s="34">
        <f>+'Allocated Expenses'!Q211</f>
        <v>29944.198391704314</v>
      </c>
      <c r="Q126" s="430">
        <f>SUM(E126:P126)</f>
        <v>359330.38070045173</v>
      </c>
      <c r="R126" s="432">
        <f>Q126/$B$4</f>
        <v>2.8106061940777463</v>
      </c>
      <c r="S126" s="396">
        <v>358809.22000000003</v>
      </c>
      <c r="T126" s="460">
        <f>IFERROR(Q126/S126-1,"-")</f>
        <v>1.4524729895506461E-3</v>
      </c>
      <c r="U126" s="300"/>
      <c r="V126" s="38"/>
    </row>
    <row r="127" spans="1:22" x14ac:dyDescent="0.35">
      <c r="A127" s="110" t="s">
        <v>149</v>
      </c>
      <c r="C127" s="34" t="s">
        <v>86</v>
      </c>
      <c r="E127" s="34">
        <f>+'Allocated Expenses'!E227</f>
        <v>0</v>
      </c>
      <c r="F127" s="34">
        <f>+'Allocated Expenses'!F227</f>
        <v>0</v>
      </c>
      <c r="G127" s="34">
        <f>+'Allocated Expenses'!G227</f>
        <v>0</v>
      </c>
      <c r="H127" s="34">
        <f>+'Allocated Expenses'!H227</f>
        <v>0</v>
      </c>
      <c r="I127" s="34">
        <f>+'Allocated Expenses'!I227</f>
        <v>0</v>
      </c>
      <c r="J127" s="34">
        <f>+'Allocated Expenses'!J227</f>
        <v>0</v>
      </c>
      <c r="K127" s="34">
        <f>+'Allocated Expenses'!K227</f>
        <v>0</v>
      </c>
      <c r="L127" s="34">
        <f>+'Allocated Expenses'!L227</f>
        <v>0</v>
      </c>
      <c r="M127" s="34">
        <f>+'Allocated Expenses'!M227</f>
        <v>0</v>
      </c>
      <c r="N127" s="34">
        <f>+'Allocated Expenses'!N227</f>
        <v>0</v>
      </c>
      <c r="O127" s="34">
        <f>+'Allocated Expenses'!O227</f>
        <v>0</v>
      </c>
      <c r="P127" s="34">
        <f>+'Allocated Expenses'!P227</f>
        <v>0</v>
      </c>
      <c r="Q127" s="430">
        <f>SUM(E127:P127)</f>
        <v>0</v>
      </c>
      <c r="R127" s="432">
        <f>Q127/$B$4</f>
        <v>0</v>
      </c>
      <c r="S127" s="396">
        <v>38154.919999999925</v>
      </c>
      <c r="T127" s="460">
        <f>IFERROR(Q127/S127-1,"-")</f>
        <v>-1</v>
      </c>
      <c r="U127" s="300"/>
      <c r="V127" s="38"/>
    </row>
    <row r="128" spans="1:22" x14ac:dyDescent="0.35">
      <c r="A128" s="110" t="s">
        <v>150</v>
      </c>
      <c r="C128" s="34" t="s">
        <v>87</v>
      </c>
      <c r="Q128" s="430"/>
      <c r="R128" s="432">
        <f>Q128/$B$4</f>
        <v>0</v>
      </c>
      <c r="S128" s="396"/>
      <c r="T128" s="460" t="str">
        <f>IFERROR(Q128/S128-1,"-")</f>
        <v>-</v>
      </c>
      <c r="U128" s="300"/>
      <c r="V128" s="38"/>
    </row>
    <row r="129" spans="1:22" x14ac:dyDescent="0.35">
      <c r="A129" s="110"/>
      <c r="C129" s="34" t="s">
        <v>88</v>
      </c>
      <c r="E129" s="59">
        <f t="shared" ref="E129:O129" si="31">SUM(E126:E128)</f>
        <v>29944.198391704314</v>
      </c>
      <c r="F129" s="59">
        <f t="shared" si="31"/>
        <v>29944.198391704314</v>
      </c>
      <c r="G129" s="59">
        <f t="shared" si="31"/>
        <v>29944.198391704314</v>
      </c>
      <c r="H129" s="59">
        <f t="shared" si="31"/>
        <v>29944.198391704314</v>
      </c>
      <c r="I129" s="59">
        <f t="shared" si="31"/>
        <v>29944.198391704314</v>
      </c>
      <c r="J129" s="59">
        <f t="shared" si="31"/>
        <v>29944.198391704314</v>
      </c>
      <c r="K129" s="59">
        <f t="shared" si="31"/>
        <v>29944.198391704314</v>
      </c>
      <c r="L129" s="59">
        <f t="shared" si="31"/>
        <v>29944.198391704314</v>
      </c>
      <c r="M129" s="59">
        <f t="shared" si="31"/>
        <v>29944.198391704314</v>
      </c>
      <c r="N129" s="59">
        <f t="shared" si="31"/>
        <v>29944.198391704314</v>
      </c>
      <c r="O129" s="59">
        <f t="shared" si="31"/>
        <v>29944.198391704314</v>
      </c>
      <c r="P129" s="59">
        <f>SUM(P126:P128)</f>
        <v>29944.198391704314</v>
      </c>
      <c r="Q129" s="433">
        <f>SUM(E129:P129)</f>
        <v>359330.38070045173</v>
      </c>
      <c r="R129" s="434">
        <f t="shared" si="17"/>
        <v>2.8106061940777463</v>
      </c>
      <c r="S129" s="400">
        <f>SUM(S126:S128)</f>
        <v>396964.13999999996</v>
      </c>
      <c r="T129" s="401">
        <f>Q129/S129-1</f>
        <v>-9.4803926872458089E-2</v>
      </c>
      <c r="U129" s="300"/>
      <c r="V129" s="38"/>
    </row>
    <row r="130" spans="1:22" ht="18.5" thickBot="1" x14ac:dyDescent="0.4">
      <c r="A130" s="110"/>
      <c r="Q130" s="430"/>
      <c r="R130" s="432"/>
      <c r="S130" s="402"/>
      <c r="T130" s="403"/>
      <c r="U130" s="300"/>
      <c r="V130" s="38"/>
    </row>
    <row r="131" spans="1:22" s="36" customFormat="1" ht="18" thickBot="1" x14ac:dyDescent="0.4">
      <c r="A131" s="285"/>
      <c r="B131" s="286" t="s">
        <v>89</v>
      </c>
      <c r="C131" s="287"/>
      <c r="D131" s="287"/>
      <c r="E131" s="287">
        <f t="shared" ref="E131:Q131" si="32">+E123-E129</f>
        <v>-11928.644271039218</v>
      </c>
      <c r="F131" s="287">
        <f t="shared" si="32"/>
        <v>9584.7169093252414</v>
      </c>
      <c r="G131" s="287">
        <f t="shared" si="32"/>
        <v>12579.406448201666</v>
      </c>
      <c r="H131" s="287">
        <f t="shared" si="32"/>
        <v>-22866.728214299732</v>
      </c>
      <c r="I131" s="287">
        <f t="shared" si="32"/>
        <v>-652.24586758045552</v>
      </c>
      <c r="J131" s="287">
        <f t="shared" si="32"/>
        <v>318.77013241954774</v>
      </c>
      <c r="K131" s="287">
        <f t="shared" si="32"/>
        <v>-14417.482014524929</v>
      </c>
      <c r="L131" s="287">
        <f t="shared" si="32"/>
        <v>14090.689565839548</v>
      </c>
      <c r="M131" s="287">
        <f t="shared" si="32"/>
        <v>6986.5185658395603</v>
      </c>
      <c r="N131" s="287">
        <f t="shared" si="32"/>
        <v>-28224.688514524914</v>
      </c>
      <c r="O131" s="287">
        <f t="shared" si="32"/>
        <v>3838.3337298083461</v>
      </c>
      <c r="P131" s="287">
        <f t="shared" si="32"/>
        <v>3737.0178213639119</v>
      </c>
      <c r="Q131" s="426">
        <f t="shared" si="32"/>
        <v>-26954.335709171079</v>
      </c>
      <c r="R131" s="428">
        <f t="shared" si="17"/>
        <v>-0.21083110967063293</v>
      </c>
      <c r="S131" s="427">
        <f>+S123-S129</f>
        <v>-254613.29999999906</v>
      </c>
      <c r="T131" s="405">
        <f>IFERROR(Q131/S131-1,"-")</f>
        <v>-0.8941361833448167</v>
      </c>
      <c r="U131" s="302"/>
      <c r="V131" s="74"/>
    </row>
    <row r="132" spans="1:22" ht="18" x14ac:dyDescent="0.35">
      <c r="A132" s="113"/>
      <c r="B132" s="36"/>
      <c r="C132" s="63"/>
      <c r="Q132" s="391"/>
      <c r="R132" s="391"/>
      <c r="S132" s="412"/>
      <c r="T132" s="413"/>
    </row>
    <row r="133" spans="1:22" s="36" customFormat="1" ht="17.5" x14ac:dyDescent="0.3">
      <c r="A133" s="113"/>
      <c r="C133" s="63"/>
      <c r="D133" s="64"/>
      <c r="Q133" s="415"/>
      <c r="R133" s="415"/>
      <c r="S133" s="412"/>
      <c r="T133" s="413"/>
      <c r="U133" s="293"/>
    </row>
    <row r="134" spans="1:22" ht="18" x14ac:dyDescent="0.35">
      <c r="A134" s="110"/>
      <c r="Q134" s="391"/>
      <c r="R134" s="391"/>
      <c r="S134" s="412"/>
      <c r="T134" s="413"/>
    </row>
    <row r="135" spans="1:22" x14ac:dyDescent="0.35">
      <c r="A135" s="114"/>
      <c r="Q135" s="391"/>
      <c r="R135" s="391"/>
      <c r="S135" s="391"/>
      <c r="T135" s="388"/>
    </row>
    <row r="136" spans="1:22" x14ac:dyDescent="0.35">
      <c r="A136" s="114"/>
      <c r="Q136" s="391"/>
      <c r="R136" s="391"/>
      <c r="S136" s="414"/>
      <c r="T136" s="388"/>
    </row>
    <row r="137" spans="1:22" x14ac:dyDescent="0.35">
      <c r="A137" s="80"/>
      <c r="Q137" s="391"/>
      <c r="R137" s="391"/>
      <c r="S137" s="391"/>
      <c r="T137" s="388"/>
    </row>
    <row r="138" spans="1:22" ht="17.5" x14ac:dyDescent="0.35">
      <c r="B138" s="37" t="str">
        <f>"Rental Summary by Month "&amp;C2</f>
        <v xml:space="preserve">Rental Summary by Month </v>
      </c>
      <c r="E138" s="517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T138" s="34"/>
      <c r="U138" s="34"/>
    </row>
    <row r="139" spans="1:22" x14ac:dyDescent="0.35">
      <c r="B139" s="43" t="s">
        <v>619</v>
      </c>
      <c r="C139" s="43"/>
      <c r="D139" s="43" t="s">
        <v>424</v>
      </c>
      <c r="E139" s="519">
        <f>E171</f>
        <v>46023</v>
      </c>
      <c r="F139" s="519">
        <f t="shared" ref="F139:P139" si="33">F171</f>
        <v>46054</v>
      </c>
      <c r="G139" s="519">
        <f t="shared" si="33"/>
        <v>46082</v>
      </c>
      <c r="H139" s="519">
        <f t="shared" si="33"/>
        <v>46113</v>
      </c>
      <c r="I139" s="519">
        <f t="shared" si="33"/>
        <v>46143</v>
      </c>
      <c r="J139" s="519">
        <f t="shared" si="33"/>
        <v>46174</v>
      </c>
      <c r="K139" s="519">
        <f t="shared" si="33"/>
        <v>46204</v>
      </c>
      <c r="L139" s="519">
        <f t="shared" si="33"/>
        <v>46235</v>
      </c>
      <c r="M139" s="519">
        <f t="shared" si="33"/>
        <v>46266</v>
      </c>
      <c r="N139" s="519">
        <f t="shared" si="33"/>
        <v>46296</v>
      </c>
      <c r="O139" s="519">
        <f t="shared" si="33"/>
        <v>46327</v>
      </c>
      <c r="P139" s="519">
        <f t="shared" si="33"/>
        <v>46357</v>
      </c>
      <c r="Q139" s="481" t="s">
        <v>12</v>
      </c>
      <c r="T139" s="34"/>
      <c r="U139" s="34"/>
    </row>
    <row r="140" spans="1:22" x14ac:dyDescent="0.35">
      <c r="B140" s="127" t="str">
        <f t="shared" ref="B140:B166" si="34">B172</f>
        <v>4080-100</v>
      </c>
      <c r="D140" s="34" t="str">
        <f t="shared" ref="D140:D164" si="35">IF(D172="None",D203,D172)</f>
        <v>Lawler Terrace Corp.</v>
      </c>
      <c r="E140" s="77">
        <f>SUMIF($B$172:$B$198,$B140,E$172:E$198)+SUMIF($B$204:$B$230,$B140,E$204:E$230)</f>
        <v>3186.04</v>
      </c>
      <c r="F140" s="77">
        <f t="shared" ref="F140:P155" si="36">SUMIF($B$172:$B$198,$B140,F$172:F$198)+SUMIF($B$204:$B$230,$B140,F$204:F$230)</f>
        <v>3186.04</v>
      </c>
      <c r="G140" s="77">
        <f t="shared" si="36"/>
        <v>3186.04</v>
      </c>
      <c r="H140" s="77">
        <f t="shared" si="36"/>
        <v>3263.75</v>
      </c>
      <c r="I140" s="77">
        <f t="shared" si="36"/>
        <v>3263.75</v>
      </c>
      <c r="J140" s="77">
        <f t="shared" si="36"/>
        <v>3263.75</v>
      </c>
      <c r="K140" s="77">
        <f t="shared" si="36"/>
        <v>3263.75</v>
      </c>
      <c r="L140" s="77">
        <f t="shared" si="36"/>
        <v>3263.75</v>
      </c>
      <c r="M140" s="77">
        <f t="shared" si="36"/>
        <v>3263.75</v>
      </c>
      <c r="N140" s="77">
        <f t="shared" si="36"/>
        <v>3263.75</v>
      </c>
      <c r="O140" s="77">
        <f t="shared" si="36"/>
        <v>3263.75</v>
      </c>
      <c r="P140" s="77">
        <f t="shared" si="36"/>
        <v>3263.75</v>
      </c>
      <c r="Q140" s="36">
        <f>SUM(E140:P140)</f>
        <v>38931.869999999995</v>
      </c>
      <c r="T140" s="34"/>
      <c r="U140" s="34"/>
    </row>
    <row r="141" spans="1:22" x14ac:dyDescent="0.35">
      <c r="B141" s="127" t="str">
        <f t="shared" si="34"/>
        <v>4080-102</v>
      </c>
      <c r="D141" s="34" t="str">
        <f t="shared" si="35"/>
        <v>Reliant Care Solutions, LP</v>
      </c>
      <c r="E141" s="34">
        <f t="shared" ref="E141:P166" si="37">SUMIF($B$172:$B$198,$B141,E$172:E$198)+SUMIF($B$204:$B$230,$B141,E$204:E$230)</f>
        <v>6725</v>
      </c>
      <c r="F141" s="34">
        <f t="shared" si="36"/>
        <v>6725</v>
      </c>
      <c r="G141" s="34">
        <f t="shared" si="36"/>
        <v>6725</v>
      </c>
      <c r="H141" s="34">
        <f t="shared" si="36"/>
        <v>6725</v>
      </c>
      <c r="I141" s="34">
        <f t="shared" si="36"/>
        <v>6725</v>
      </c>
      <c r="J141" s="34">
        <f t="shared" si="36"/>
        <v>6725</v>
      </c>
      <c r="K141" s="34">
        <f t="shared" si="36"/>
        <v>6725</v>
      </c>
      <c r="L141" s="34">
        <f t="shared" si="36"/>
        <v>6725</v>
      </c>
      <c r="M141" s="34">
        <f t="shared" si="36"/>
        <v>6725</v>
      </c>
      <c r="N141" s="34">
        <f t="shared" si="36"/>
        <v>6150</v>
      </c>
      <c r="O141" s="34">
        <f t="shared" si="36"/>
        <v>6150</v>
      </c>
      <c r="P141" s="34">
        <f t="shared" si="36"/>
        <v>6150</v>
      </c>
      <c r="Q141" s="36">
        <f t="shared" ref="Q141:Q164" si="38">SUM(E141:P141)</f>
        <v>78975</v>
      </c>
    </row>
    <row r="142" spans="1:22" x14ac:dyDescent="0.35">
      <c r="B142" s="127" t="str">
        <f t="shared" si="34"/>
        <v>4080-103</v>
      </c>
      <c r="D142" s="34" t="str">
        <f t="shared" si="35"/>
        <v>VACANT</v>
      </c>
      <c r="E142" s="34">
        <f t="shared" si="37"/>
        <v>0</v>
      </c>
      <c r="F142" s="34">
        <f t="shared" si="36"/>
        <v>0</v>
      </c>
      <c r="G142" s="34">
        <f t="shared" si="36"/>
        <v>0</v>
      </c>
      <c r="H142" s="34">
        <f t="shared" si="36"/>
        <v>0</v>
      </c>
      <c r="I142" s="34">
        <f t="shared" si="36"/>
        <v>0</v>
      </c>
      <c r="J142" s="34">
        <f t="shared" si="36"/>
        <v>0</v>
      </c>
      <c r="K142" s="34">
        <f t="shared" si="36"/>
        <v>0</v>
      </c>
      <c r="L142" s="34">
        <f t="shared" si="36"/>
        <v>0</v>
      </c>
      <c r="M142" s="34">
        <f t="shared" si="36"/>
        <v>0</v>
      </c>
      <c r="N142" s="34">
        <f t="shared" si="36"/>
        <v>0</v>
      </c>
      <c r="O142" s="34">
        <f t="shared" si="36"/>
        <v>0</v>
      </c>
      <c r="P142" s="34">
        <f t="shared" si="36"/>
        <v>0</v>
      </c>
      <c r="Q142" s="36">
        <f t="shared" si="38"/>
        <v>0</v>
      </c>
    </row>
    <row r="143" spans="1:22" x14ac:dyDescent="0.35">
      <c r="B143" s="127" t="str">
        <f t="shared" si="34"/>
        <v>4080-105</v>
      </c>
      <c r="D143" s="34" t="str">
        <f t="shared" si="35"/>
        <v>VACANT</v>
      </c>
      <c r="E143" s="34">
        <f t="shared" si="37"/>
        <v>0</v>
      </c>
      <c r="F143" s="34">
        <f t="shared" si="36"/>
        <v>0</v>
      </c>
      <c r="G143" s="34">
        <f t="shared" si="36"/>
        <v>0</v>
      </c>
      <c r="H143" s="34">
        <f t="shared" si="36"/>
        <v>0</v>
      </c>
      <c r="I143" s="34">
        <f t="shared" si="36"/>
        <v>0</v>
      </c>
      <c r="J143" s="34">
        <f t="shared" si="36"/>
        <v>0</v>
      </c>
      <c r="K143" s="34">
        <f t="shared" si="36"/>
        <v>0</v>
      </c>
      <c r="L143" s="34">
        <f t="shared" si="36"/>
        <v>0</v>
      </c>
      <c r="M143" s="34">
        <f t="shared" si="36"/>
        <v>0</v>
      </c>
      <c r="N143" s="34">
        <f t="shared" si="36"/>
        <v>0</v>
      </c>
      <c r="O143" s="34">
        <f t="shared" si="36"/>
        <v>0</v>
      </c>
      <c r="P143" s="34">
        <f t="shared" si="36"/>
        <v>0</v>
      </c>
      <c r="Q143" s="36">
        <f t="shared" si="38"/>
        <v>0</v>
      </c>
    </row>
    <row r="144" spans="1:22" x14ac:dyDescent="0.35">
      <c r="B144" s="127" t="str">
        <f t="shared" si="34"/>
        <v>4080-106</v>
      </c>
      <c r="D144" s="34" t="str">
        <f t="shared" si="35"/>
        <v>VACANT</v>
      </c>
      <c r="E144" s="34">
        <f t="shared" si="37"/>
        <v>0</v>
      </c>
      <c r="F144" s="34">
        <f t="shared" si="36"/>
        <v>0</v>
      </c>
      <c r="G144" s="34">
        <f t="shared" si="36"/>
        <v>0</v>
      </c>
      <c r="H144" s="34">
        <f t="shared" si="36"/>
        <v>3841.6666666666665</v>
      </c>
      <c r="I144" s="34">
        <f t="shared" si="36"/>
        <v>3841.6666666666665</v>
      </c>
      <c r="J144" s="34">
        <f t="shared" si="36"/>
        <v>3841.6666666666665</v>
      </c>
      <c r="K144" s="34">
        <f t="shared" si="36"/>
        <v>3841.6666666666665</v>
      </c>
      <c r="L144" s="34">
        <f t="shared" si="36"/>
        <v>3841.6666666666665</v>
      </c>
      <c r="M144" s="34">
        <f t="shared" si="36"/>
        <v>3841.6666666666665</v>
      </c>
      <c r="N144" s="34">
        <f t="shared" si="36"/>
        <v>3841.6666666666665</v>
      </c>
      <c r="O144" s="34">
        <f t="shared" si="36"/>
        <v>3841.6666666666665</v>
      </c>
      <c r="P144" s="34">
        <f t="shared" si="36"/>
        <v>3841.6666666666665</v>
      </c>
      <c r="Q144" s="36">
        <f t="shared" si="38"/>
        <v>34575</v>
      </c>
    </row>
    <row r="145" spans="2:17" x14ac:dyDescent="0.35">
      <c r="B145" s="127" t="str">
        <f t="shared" si="34"/>
        <v>4080-107</v>
      </c>
      <c r="D145" s="34" t="str">
        <f t="shared" si="35"/>
        <v>Lawler Terrace Corporation</v>
      </c>
      <c r="E145" s="34">
        <f t="shared" si="37"/>
        <v>2189.17</v>
      </c>
      <c r="F145" s="34">
        <f t="shared" si="36"/>
        <v>2189.17</v>
      </c>
      <c r="G145" s="34">
        <f t="shared" si="36"/>
        <v>2189.17</v>
      </c>
      <c r="H145" s="34">
        <f t="shared" si="36"/>
        <v>0</v>
      </c>
      <c r="I145" s="34">
        <f t="shared" si="36"/>
        <v>0</v>
      </c>
      <c r="J145" s="34">
        <f t="shared" si="36"/>
        <v>0</v>
      </c>
      <c r="K145" s="34">
        <f t="shared" si="36"/>
        <v>2307.5</v>
      </c>
      <c r="L145" s="34">
        <f t="shared" si="36"/>
        <v>2307.5</v>
      </c>
      <c r="M145" s="34">
        <f t="shared" si="36"/>
        <v>2307.5</v>
      </c>
      <c r="N145" s="34">
        <f t="shared" si="36"/>
        <v>2307.5</v>
      </c>
      <c r="O145" s="34">
        <f t="shared" si="36"/>
        <v>2307.5</v>
      </c>
      <c r="P145" s="34">
        <f t="shared" si="36"/>
        <v>2307.5</v>
      </c>
      <c r="Q145" s="36">
        <f t="shared" si="38"/>
        <v>20412.510000000002</v>
      </c>
    </row>
    <row r="146" spans="2:17" x14ac:dyDescent="0.35">
      <c r="B146" s="127" t="str">
        <f t="shared" si="34"/>
        <v>4080-109</v>
      </c>
      <c r="D146" s="34" t="str">
        <f t="shared" si="35"/>
        <v>Prosegur Services Group, Inc.</v>
      </c>
      <c r="E146" s="34">
        <f t="shared" si="37"/>
        <v>3111.88</v>
      </c>
      <c r="F146" s="34">
        <f t="shared" si="36"/>
        <v>3111.88</v>
      </c>
      <c r="G146" s="34">
        <f t="shared" si="36"/>
        <v>3111.88</v>
      </c>
      <c r="H146" s="34">
        <f t="shared" si="36"/>
        <v>3111.88</v>
      </c>
      <c r="I146" s="34">
        <f t="shared" si="36"/>
        <v>3111.88</v>
      </c>
      <c r="J146" s="34">
        <f t="shared" si="36"/>
        <v>3111.88</v>
      </c>
      <c r="K146" s="34">
        <f t="shared" si="36"/>
        <v>3111.88</v>
      </c>
      <c r="L146" s="34">
        <f t="shared" si="36"/>
        <v>3111.88</v>
      </c>
      <c r="M146" s="34">
        <f t="shared" si="36"/>
        <v>3111.88</v>
      </c>
      <c r="N146" s="34">
        <f t="shared" si="36"/>
        <v>3111.88</v>
      </c>
      <c r="O146" s="34">
        <f t="shared" si="36"/>
        <v>3111.88</v>
      </c>
      <c r="P146" s="34">
        <f t="shared" si="36"/>
        <v>3111.88</v>
      </c>
      <c r="Q146" s="36">
        <f t="shared" si="38"/>
        <v>37342.560000000005</v>
      </c>
    </row>
    <row r="147" spans="2:17" x14ac:dyDescent="0.35">
      <c r="B147" s="127" t="str">
        <f t="shared" si="34"/>
        <v>4080-111</v>
      </c>
      <c r="D147" s="34" t="str">
        <f t="shared" si="35"/>
        <v>Jensen &amp; Brusca Consulting</v>
      </c>
      <c r="E147" s="34">
        <f t="shared" si="37"/>
        <v>2253.92</v>
      </c>
      <c r="F147" s="34">
        <f t="shared" si="36"/>
        <v>2253.92</v>
      </c>
      <c r="G147" s="34">
        <f t="shared" si="36"/>
        <v>2253.92</v>
      </c>
      <c r="H147" s="34">
        <f t="shared" si="36"/>
        <v>0</v>
      </c>
      <c r="I147" s="34">
        <f t="shared" si="36"/>
        <v>0</v>
      </c>
      <c r="J147" s="34">
        <f t="shared" si="36"/>
        <v>0</v>
      </c>
      <c r="K147" s="34">
        <f t="shared" si="36"/>
        <v>2375.75</v>
      </c>
      <c r="L147" s="34">
        <f t="shared" si="36"/>
        <v>2375.75</v>
      </c>
      <c r="M147" s="34">
        <f t="shared" si="36"/>
        <v>2375.75</v>
      </c>
      <c r="N147" s="34">
        <f t="shared" si="36"/>
        <v>2375.75</v>
      </c>
      <c r="O147" s="34">
        <f t="shared" si="36"/>
        <v>2375.75</v>
      </c>
      <c r="P147" s="34">
        <f t="shared" si="36"/>
        <v>2375.75</v>
      </c>
      <c r="Q147" s="36">
        <f t="shared" si="38"/>
        <v>21016.260000000002</v>
      </c>
    </row>
    <row r="148" spans="2:17" x14ac:dyDescent="0.35">
      <c r="B148" s="127" t="str">
        <f t="shared" si="34"/>
        <v>4080-112</v>
      </c>
      <c r="D148" s="34" t="str">
        <f t="shared" si="35"/>
        <v>VACANT</v>
      </c>
      <c r="E148" s="34">
        <f t="shared" si="37"/>
        <v>1672.125</v>
      </c>
      <c r="F148" s="34">
        <f t="shared" si="36"/>
        <v>1672.125</v>
      </c>
      <c r="G148" s="34">
        <f t="shared" si="36"/>
        <v>1672.125</v>
      </c>
      <c r="H148" s="34">
        <f t="shared" si="36"/>
        <v>1672.125</v>
      </c>
      <c r="I148" s="34">
        <f t="shared" si="36"/>
        <v>1672.125</v>
      </c>
      <c r="J148" s="34">
        <f t="shared" si="36"/>
        <v>1672.125</v>
      </c>
      <c r="K148" s="34">
        <f t="shared" si="36"/>
        <v>1672.125</v>
      </c>
      <c r="L148" s="34">
        <f t="shared" si="36"/>
        <v>1672.125</v>
      </c>
      <c r="M148" s="34">
        <f t="shared" si="36"/>
        <v>1672.125</v>
      </c>
      <c r="N148" s="34">
        <f t="shared" si="36"/>
        <v>1672.125</v>
      </c>
      <c r="O148" s="34">
        <f t="shared" si="36"/>
        <v>0</v>
      </c>
      <c r="P148" s="34">
        <f t="shared" si="36"/>
        <v>0</v>
      </c>
      <c r="Q148" s="36">
        <f t="shared" si="38"/>
        <v>16721.25</v>
      </c>
    </row>
    <row r="149" spans="2:17" x14ac:dyDescent="0.35">
      <c r="B149" s="127" t="str">
        <f t="shared" si="34"/>
        <v>4080-115</v>
      </c>
      <c r="D149" s="34" t="str">
        <f t="shared" si="35"/>
        <v>VACANT</v>
      </c>
      <c r="E149" s="34">
        <f t="shared" si="37"/>
        <v>0</v>
      </c>
      <c r="F149" s="34">
        <f t="shared" si="36"/>
        <v>0</v>
      </c>
      <c r="G149" s="34">
        <f t="shared" si="36"/>
        <v>3507.2100000000005</v>
      </c>
      <c r="H149" s="34">
        <f t="shared" si="36"/>
        <v>3507.2100000000005</v>
      </c>
      <c r="I149" s="34">
        <f t="shared" si="36"/>
        <v>3507.2100000000005</v>
      </c>
      <c r="J149" s="34">
        <f t="shared" si="36"/>
        <v>3507.2100000000005</v>
      </c>
      <c r="K149" s="34">
        <f t="shared" si="36"/>
        <v>3507.2100000000005</v>
      </c>
      <c r="L149" s="34">
        <f t="shared" si="36"/>
        <v>3507.2100000000005</v>
      </c>
      <c r="M149" s="34">
        <f t="shared" si="36"/>
        <v>3507.2100000000005</v>
      </c>
      <c r="N149" s="34">
        <f t="shared" si="36"/>
        <v>3507.2100000000005</v>
      </c>
      <c r="O149" s="34">
        <f t="shared" si="36"/>
        <v>3507.2100000000005</v>
      </c>
      <c r="P149" s="34">
        <f t="shared" si="36"/>
        <v>3507.2100000000005</v>
      </c>
      <c r="Q149" s="36">
        <f t="shared" si="38"/>
        <v>35072.1</v>
      </c>
    </row>
    <row r="150" spans="2:17" x14ac:dyDescent="0.35">
      <c r="B150" s="127" t="str">
        <f t="shared" si="34"/>
        <v>4080-117</v>
      </c>
      <c r="D150" s="34" t="str">
        <f t="shared" si="35"/>
        <v>Worldwide Land Transfer, Inc.</v>
      </c>
      <c r="E150" s="34">
        <f t="shared" si="37"/>
        <v>14986.69</v>
      </c>
      <c r="F150" s="34">
        <f t="shared" si="36"/>
        <v>14986.69</v>
      </c>
      <c r="G150" s="34">
        <f t="shared" si="36"/>
        <v>14986.69</v>
      </c>
      <c r="H150" s="34">
        <f t="shared" si="36"/>
        <v>14986.69</v>
      </c>
      <c r="I150" s="34">
        <f t="shared" si="36"/>
        <v>14986.69</v>
      </c>
      <c r="J150" s="34">
        <f t="shared" si="36"/>
        <v>14986.69</v>
      </c>
      <c r="K150" s="34">
        <f t="shared" si="36"/>
        <v>14986.69</v>
      </c>
      <c r="L150" s="34">
        <f t="shared" si="36"/>
        <v>14986.69</v>
      </c>
      <c r="M150" s="34">
        <f t="shared" si="36"/>
        <v>14986.69</v>
      </c>
      <c r="N150" s="34">
        <f t="shared" si="36"/>
        <v>14986.69</v>
      </c>
      <c r="O150" s="34">
        <f t="shared" si="36"/>
        <v>14986.69</v>
      </c>
      <c r="P150" s="34">
        <f t="shared" si="36"/>
        <v>14986.69</v>
      </c>
      <c r="Q150" s="36">
        <f t="shared" si="38"/>
        <v>179840.28</v>
      </c>
    </row>
    <row r="151" spans="2:17" x14ac:dyDescent="0.35">
      <c r="B151" s="127" t="str">
        <f t="shared" si="34"/>
        <v>4080-201</v>
      </c>
      <c r="D151" s="34" t="str">
        <f t="shared" si="35"/>
        <v>Conference Center</v>
      </c>
      <c r="E151" s="34">
        <f t="shared" si="37"/>
        <v>0</v>
      </c>
      <c r="F151" s="34">
        <f t="shared" si="36"/>
        <v>0</v>
      </c>
      <c r="G151" s="34">
        <f t="shared" si="36"/>
        <v>0</v>
      </c>
      <c r="H151" s="34">
        <f t="shared" si="36"/>
        <v>0</v>
      </c>
      <c r="I151" s="34">
        <f t="shared" si="36"/>
        <v>0</v>
      </c>
      <c r="J151" s="34">
        <f t="shared" si="36"/>
        <v>0</v>
      </c>
      <c r="K151" s="34">
        <f t="shared" si="36"/>
        <v>0</v>
      </c>
      <c r="L151" s="34">
        <f t="shared" si="36"/>
        <v>0</v>
      </c>
      <c r="M151" s="34">
        <f t="shared" si="36"/>
        <v>0</v>
      </c>
      <c r="N151" s="34">
        <f t="shared" si="36"/>
        <v>0</v>
      </c>
      <c r="O151" s="34">
        <f t="shared" si="36"/>
        <v>0</v>
      </c>
      <c r="P151" s="34">
        <f t="shared" si="36"/>
        <v>0</v>
      </c>
      <c r="Q151" s="36">
        <f t="shared" si="38"/>
        <v>0</v>
      </c>
    </row>
    <row r="152" spans="2:17" x14ac:dyDescent="0.35">
      <c r="B152" s="127" t="str">
        <f t="shared" si="34"/>
        <v>4080-207</v>
      </c>
      <c r="D152" s="34" t="str">
        <f t="shared" si="35"/>
        <v>MacKee, Inc.</v>
      </c>
      <c r="E152" s="34">
        <f t="shared" si="37"/>
        <v>8481.33</v>
      </c>
      <c r="F152" s="34">
        <f t="shared" si="36"/>
        <v>8481.33</v>
      </c>
      <c r="G152" s="34">
        <f t="shared" si="36"/>
        <v>8746.3799999999992</v>
      </c>
      <c r="H152" s="34">
        <f t="shared" si="36"/>
        <v>8746.3799999999992</v>
      </c>
      <c r="I152" s="34">
        <f t="shared" si="36"/>
        <v>8746.3799999999992</v>
      </c>
      <c r="J152" s="34">
        <f t="shared" si="36"/>
        <v>8746.3799999999992</v>
      </c>
      <c r="K152" s="34">
        <f t="shared" si="36"/>
        <v>8746.3799999999992</v>
      </c>
      <c r="L152" s="34">
        <f t="shared" si="36"/>
        <v>8746.3799999999992</v>
      </c>
      <c r="M152" s="34">
        <f t="shared" si="36"/>
        <v>8746.3799999999992</v>
      </c>
      <c r="N152" s="34">
        <f t="shared" si="36"/>
        <v>8746.3799999999992</v>
      </c>
      <c r="O152" s="34">
        <f t="shared" si="36"/>
        <v>8746.3799999999992</v>
      </c>
      <c r="P152" s="34">
        <f t="shared" si="36"/>
        <v>8746.3799999999992</v>
      </c>
      <c r="Q152" s="36">
        <f t="shared" si="38"/>
        <v>104426.46</v>
      </c>
    </row>
    <row r="153" spans="2:17" x14ac:dyDescent="0.35">
      <c r="B153" s="127" t="str">
        <f t="shared" si="34"/>
        <v>4080-208</v>
      </c>
      <c r="D153" s="34" t="str">
        <f t="shared" si="35"/>
        <v>VACANT</v>
      </c>
      <c r="E153" s="34">
        <f t="shared" si="37"/>
        <v>0</v>
      </c>
      <c r="F153" s="34">
        <f t="shared" si="36"/>
        <v>0</v>
      </c>
      <c r="G153" s="34">
        <f t="shared" si="36"/>
        <v>0</v>
      </c>
      <c r="H153" s="34">
        <f t="shared" si="36"/>
        <v>0</v>
      </c>
      <c r="I153" s="34">
        <f t="shared" si="36"/>
        <v>0</v>
      </c>
      <c r="J153" s="34">
        <f t="shared" si="36"/>
        <v>0</v>
      </c>
      <c r="K153" s="34">
        <f t="shared" si="36"/>
        <v>0</v>
      </c>
      <c r="L153" s="34">
        <f t="shared" si="36"/>
        <v>0</v>
      </c>
      <c r="M153" s="34">
        <f t="shared" si="36"/>
        <v>0</v>
      </c>
      <c r="N153" s="34">
        <f t="shared" si="36"/>
        <v>0</v>
      </c>
      <c r="O153" s="34">
        <f t="shared" si="36"/>
        <v>0</v>
      </c>
      <c r="P153" s="34">
        <f t="shared" si="36"/>
        <v>0</v>
      </c>
      <c r="Q153" s="36">
        <f t="shared" si="38"/>
        <v>0</v>
      </c>
    </row>
    <row r="154" spans="2:17" x14ac:dyDescent="0.35">
      <c r="B154" s="127" t="str">
        <f t="shared" si="34"/>
        <v>4080-209</v>
      </c>
      <c r="D154" s="34" t="str">
        <f t="shared" si="35"/>
        <v>Data Systems Analysts, Inc.</v>
      </c>
      <c r="E154" s="34">
        <f t="shared" si="37"/>
        <v>8210</v>
      </c>
      <c r="F154" s="34">
        <f t="shared" si="36"/>
        <v>8210</v>
      </c>
      <c r="G154" s="34">
        <f t="shared" si="36"/>
        <v>8210</v>
      </c>
      <c r="H154" s="34">
        <f t="shared" si="36"/>
        <v>8210</v>
      </c>
      <c r="I154" s="34">
        <f t="shared" si="36"/>
        <v>8210</v>
      </c>
      <c r="J154" s="34">
        <f t="shared" si="36"/>
        <v>8210</v>
      </c>
      <c r="K154" s="34">
        <f t="shared" si="36"/>
        <v>8210</v>
      </c>
      <c r="L154" s="34">
        <f t="shared" si="36"/>
        <v>8210</v>
      </c>
      <c r="M154" s="34">
        <f t="shared" si="36"/>
        <v>8210</v>
      </c>
      <c r="N154" s="34">
        <f t="shared" si="36"/>
        <v>8210</v>
      </c>
      <c r="O154" s="34">
        <f t="shared" si="36"/>
        <v>8210</v>
      </c>
      <c r="P154" s="34">
        <f t="shared" si="36"/>
        <v>8210</v>
      </c>
      <c r="Q154" s="36">
        <f t="shared" si="38"/>
        <v>98520</v>
      </c>
    </row>
    <row r="155" spans="2:17" x14ac:dyDescent="0.35">
      <c r="B155" s="127" t="str">
        <f t="shared" si="34"/>
        <v>4080-210</v>
      </c>
      <c r="D155" s="34" t="str">
        <f t="shared" si="35"/>
        <v>Karpf, Karpf &amp; Cerutti, P.C.</v>
      </c>
      <c r="E155" s="34">
        <f t="shared" si="37"/>
        <v>5021.21</v>
      </c>
      <c r="F155" s="34">
        <f t="shared" si="36"/>
        <v>5021.21</v>
      </c>
      <c r="G155" s="34">
        <f t="shared" si="36"/>
        <v>5021.21</v>
      </c>
      <c r="H155" s="34">
        <f t="shared" si="36"/>
        <v>5021.21</v>
      </c>
      <c r="I155" s="34">
        <f t="shared" si="36"/>
        <v>5021.21</v>
      </c>
      <c r="J155" s="34">
        <f t="shared" si="36"/>
        <v>5021.21</v>
      </c>
      <c r="K155" s="34">
        <f t="shared" si="36"/>
        <v>5021.21</v>
      </c>
      <c r="L155" s="34">
        <f t="shared" si="36"/>
        <v>5021.21</v>
      </c>
      <c r="M155" s="34">
        <f t="shared" si="36"/>
        <v>5021.21</v>
      </c>
      <c r="N155" s="34">
        <f t="shared" si="36"/>
        <v>5021.21</v>
      </c>
      <c r="O155" s="34">
        <f t="shared" si="36"/>
        <v>5021.21</v>
      </c>
      <c r="P155" s="34">
        <f t="shared" si="36"/>
        <v>5021.21</v>
      </c>
      <c r="Q155" s="36">
        <f t="shared" si="38"/>
        <v>60254.52</v>
      </c>
    </row>
    <row r="156" spans="2:17" x14ac:dyDescent="0.35">
      <c r="B156" s="127" t="str">
        <f t="shared" si="34"/>
        <v>4080-215</v>
      </c>
      <c r="D156" s="34" t="str">
        <f t="shared" si="35"/>
        <v>Powers Kirn</v>
      </c>
      <c r="E156" s="34">
        <f t="shared" si="37"/>
        <v>6732.375</v>
      </c>
      <c r="F156" s="34">
        <f t="shared" si="37"/>
        <v>6732.375</v>
      </c>
      <c r="G156" s="34">
        <f t="shared" si="37"/>
        <v>6732.375</v>
      </c>
      <c r="H156" s="34">
        <f t="shared" si="37"/>
        <v>6732.375</v>
      </c>
      <c r="I156" s="34">
        <f t="shared" si="37"/>
        <v>6732.375</v>
      </c>
      <c r="J156" s="34">
        <f t="shared" si="37"/>
        <v>6732.375</v>
      </c>
      <c r="K156" s="34">
        <f t="shared" si="37"/>
        <v>6732.375</v>
      </c>
      <c r="L156" s="34">
        <f t="shared" si="37"/>
        <v>6732.375</v>
      </c>
      <c r="M156" s="34">
        <f t="shared" si="37"/>
        <v>6732.375</v>
      </c>
      <c r="N156" s="34">
        <f t="shared" si="37"/>
        <v>6732.375</v>
      </c>
      <c r="O156" s="34">
        <f t="shared" si="37"/>
        <v>6732.375</v>
      </c>
      <c r="P156" s="34">
        <f t="shared" si="37"/>
        <v>6732.375</v>
      </c>
      <c r="Q156" s="36">
        <f t="shared" si="38"/>
        <v>80788.5</v>
      </c>
    </row>
    <row r="157" spans="2:17" x14ac:dyDescent="0.35">
      <c r="B157" s="127" t="str">
        <f t="shared" si="34"/>
        <v>4080-217</v>
      </c>
      <c r="D157" s="34" t="str">
        <f t="shared" si="35"/>
        <v>BEK Trans Group, Inc.</v>
      </c>
      <c r="E157" s="34">
        <f t="shared" si="37"/>
        <v>4507.83</v>
      </c>
      <c r="F157" s="34">
        <f t="shared" si="37"/>
        <v>4507.83</v>
      </c>
      <c r="G157" s="34">
        <f t="shared" si="37"/>
        <v>4507.83</v>
      </c>
      <c r="H157" s="34">
        <f t="shared" si="37"/>
        <v>4507.83</v>
      </c>
      <c r="I157" s="34">
        <f t="shared" si="37"/>
        <v>4507.83</v>
      </c>
      <c r="J157" s="34">
        <f t="shared" si="37"/>
        <v>4507.83</v>
      </c>
      <c r="K157" s="34">
        <f t="shared" si="37"/>
        <v>4507.83</v>
      </c>
      <c r="L157" s="34">
        <f t="shared" si="37"/>
        <v>4612.67</v>
      </c>
      <c r="M157" s="34">
        <f t="shared" si="37"/>
        <v>4612.67</v>
      </c>
      <c r="N157" s="34">
        <f t="shared" si="37"/>
        <v>4612.67</v>
      </c>
      <c r="O157" s="34">
        <f t="shared" si="37"/>
        <v>4612.67</v>
      </c>
      <c r="P157" s="34">
        <f t="shared" si="37"/>
        <v>4612.67</v>
      </c>
      <c r="Q157" s="36">
        <f t="shared" si="38"/>
        <v>54618.159999999996</v>
      </c>
    </row>
    <row r="158" spans="2:17" x14ac:dyDescent="0.35">
      <c r="B158" s="127" t="str">
        <f t="shared" si="34"/>
        <v>4080-218</v>
      </c>
      <c r="D158" s="34" t="str">
        <f t="shared" si="35"/>
        <v>VACANT</v>
      </c>
      <c r="E158" s="34">
        <f t="shared" si="37"/>
        <v>0</v>
      </c>
      <c r="F158" s="34">
        <f t="shared" si="37"/>
        <v>0</v>
      </c>
      <c r="G158" s="34">
        <f t="shared" si="37"/>
        <v>0</v>
      </c>
      <c r="H158" s="34">
        <f t="shared" si="37"/>
        <v>0</v>
      </c>
      <c r="I158" s="34">
        <f t="shared" si="37"/>
        <v>0</v>
      </c>
      <c r="J158" s="34">
        <f t="shared" si="37"/>
        <v>0</v>
      </c>
      <c r="K158" s="34">
        <f t="shared" si="37"/>
        <v>0</v>
      </c>
      <c r="L158" s="34">
        <f t="shared" si="37"/>
        <v>0</v>
      </c>
      <c r="M158" s="34">
        <f t="shared" si="37"/>
        <v>0</v>
      </c>
      <c r="N158" s="34">
        <f t="shared" si="37"/>
        <v>0</v>
      </c>
      <c r="O158" s="34">
        <f t="shared" si="37"/>
        <v>0</v>
      </c>
      <c r="P158" s="34">
        <f t="shared" si="37"/>
        <v>0</v>
      </c>
      <c r="Q158" s="36">
        <f t="shared" si="38"/>
        <v>0</v>
      </c>
    </row>
    <row r="159" spans="2:17" x14ac:dyDescent="0.35">
      <c r="B159" s="127" t="str">
        <f t="shared" si="34"/>
        <v>4080-219</v>
      </c>
      <c r="D159" s="34" t="str">
        <f t="shared" si="35"/>
        <v>D&amp;B/Guarino Engineers, LLC</v>
      </c>
      <c r="E159" s="34">
        <f t="shared" si="37"/>
        <v>6838</v>
      </c>
      <c r="F159" s="34">
        <f t="shared" si="37"/>
        <v>6838</v>
      </c>
      <c r="G159" s="34">
        <f t="shared" si="37"/>
        <v>6838</v>
      </c>
      <c r="H159" s="34">
        <f t="shared" si="37"/>
        <v>6838</v>
      </c>
      <c r="I159" s="34">
        <f t="shared" si="37"/>
        <v>6838</v>
      </c>
      <c r="J159" s="34">
        <f t="shared" si="37"/>
        <v>6838</v>
      </c>
      <c r="K159" s="34">
        <f t="shared" si="37"/>
        <v>6838</v>
      </c>
      <c r="L159" s="34">
        <f t="shared" si="37"/>
        <v>7013.33</v>
      </c>
      <c r="M159" s="34">
        <f t="shared" si="37"/>
        <v>7013.33</v>
      </c>
      <c r="N159" s="34">
        <f t="shared" si="37"/>
        <v>7013.33</v>
      </c>
      <c r="O159" s="34">
        <f t="shared" si="37"/>
        <v>7013.33</v>
      </c>
      <c r="P159" s="34">
        <f t="shared" si="37"/>
        <v>7013.33</v>
      </c>
      <c r="Q159" s="36">
        <f t="shared" si="38"/>
        <v>82932.650000000009</v>
      </c>
    </row>
    <row r="160" spans="2:17" x14ac:dyDescent="0.35">
      <c r="B160" s="127" t="str">
        <f t="shared" si="34"/>
        <v>4080-221</v>
      </c>
      <c r="D160" s="34" t="str">
        <f t="shared" si="35"/>
        <v>Lease Out - System One</v>
      </c>
      <c r="E160" s="34">
        <f t="shared" si="37"/>
        <v>5748.333333333333</v>
      </c>
      <c r="F160" s="34">
        <f t="shared" si="37"/>
        <v>5748.333333333333</v>
      </c>
      <c r="G160" s="34">
        <f t="shared" si="37"/>
        <v>5748.333333333333</v>
      </c>
      <c r="H160" s="34">
        <f t="shared" si="37"/>
        <v>5748.333333333333</v>
      </c>
      <c r="I160" s="34">
        <f t="shared" si="37"/>
        <v>5748.333333333333</v>
      </c>
      <c r="J160" s="34">
        <f t="shared" si="37"/>
        <v>5748.333333333333</v>
      </c>
      <c r="K160" s="34">
        <f t="shared" si="37"/>
        <v>5748.333333333333</v>
      </c>
      <c r="L160" s="34">
        <f t="shared" si="37"/>
        <v>5748.333333333333</v>
      </c>
      <c r="M160" s="34">
        <f t="shared" si="37"/>
        <v>5748.333333333333</v>
      </c>
      <c r="N160" s="34">
        <f t="shared" si="37"/>
        <v>5748.333333333333</v>
      </c>
      <c r="O160" s="34">
        <f t="shared" si="37"/>
        <v>5748.333333333333</v>
      </c>
      <c r="P160" s="34">
        <f t="shared" si="37"/>
        <v>5748.333333333333</v>
      </c>
      <c r="Q160" s="36">
        <f t="shared" si="38"/>
        <v>68980.000000000015</v>
      </c>
    </row>
    <row r="161" spans="2:21" x14ac:dyDescent="0.35">
      <c r="B161" s="127" t="str">
        <f t="shared" si="34"/>
        <v>4080-300</v>
      </c>
      <c r="D161" s="34" t="str">
        <f t="shared" si="35"/>
        <v>VACANT</v>
      </c>
      <c r="E161" s="34">
        <f t="shared" si="37"/>
        <v>0</v>
      </c>
      <c r="F161" s="34">
        <f t="shared" si="37"/>
        <v>0</v>
      </c>
      <c r="G161" s="34">
        <f t="shared" si="37"/>
        <v>0</v>
      </c>
      <c r="H161" s="34">
        <f t="shared" si="37"/>
        <v>0</v>
      </c>
      <c r="I161" s="34">
        <f t="shared" si="37"/>
        <v>0</v>
      </c>
      <c r="J161" s="34">
        <f t="shared" si="37"/>
        <v>0</v>
      </c>
      <c r="K161" s="34">
        <f t="shared" si="37"/>
        <v>0</v>
      </c>
      <c r="L161" s="34">
        <f t="shared" si="37"/>
        <v>0</v>
      </c>
      <c r="M161" s="34">
        <f t="shared" si="37"/>
        <v>0</v>
      </c>
      <c r="N161" s="34">
        <f t="shared" si="37"/>
        <v>0</v>
      </c>
      <c r="O161" s="34">
        <f t="shared" si="37"/>
        <v>0</v>
      </c>
      <c r="P161" s="34">
        <f t="shared" si="37"/>
        <v>0</v>
      </c>
      <c r="Q161" s="36">
        <f t="shared" si="38"/>
        <v>0</v>
      </c>
    </row>
    <row r="162" spans="2:21" x14ac:dyDescent="0.35">
      <c r="B162" s="127" t="str">
        <f t="shared" si="34"/>
        <v>4080-301</v>
      </c>
      <c r="D162" s="34" t="str">
        <f t="shared" si="35"/>
        <v>VACANT</v>
      </c>
      <c r="E162" s="34">
        <f t="shared" si="37"/>
        <v>0</v>
      </c>
      <c r="F162" s="34">
        <f t="shared" si="37"/>
        <v>0</v>
      </c>
      <c r="G162" s="34">
        <f t="shared" si="37"/>
        <v>0</v>
      </c>
      <c r="H162" s="34">
        <f t="shared" si="37"/>
        <v>0</v>
      </c>
      <c r="I162" s="34">
        <f t="shared" si="37"/>
        <v>0</v>
      </c>
      <c r="J162" s="34">
        <f t="shared" si="37"/>
        <v>0</v>
      </c>
      <c r="K162" s="34">
        <f t="shared" si="37"/>
        <v>0</v>
      </c>
      <c r="L162" s="34">
        <f t="shared" si="37"/>
        <v>0</v>
      </c>
      <c r="M162" s="34">
        <f t="shared" si="37"/>
        <v>0</v>
      </c>
      <c r="N162" s="34">
        <f t="shared" si="37"/>
        <v>0</v>
      </c>
      <c r="O162" s="34">
        <f t="shared" si="37"/>
        <v>0</v>
      </c>
      <c r="P162" s="34">
        <f t="shared" si="37"/>
        <v>0</v>
      </c>
      <c r="Q162" s="36">
        <f t="shared" si="38"/>
        <v>0</v>
      </c>
    </row>
    <row r="163" spans="2:21" x14ac:dyDescent="0.35">
      <c r="B163" s="127" t="str">
        <f t="shared" si="34"/>
        <v>4080-305</v>
      </c>
      <c r="D163" s="34" t="str">
        <f t="shared" si="35"/>
        <v>Partnership for Community Supp</v>
      </c>
      <c r="E163" s="34">
        <f t="shared" si="37"/>
        <v>14323.75</v>
      </c>
      <c r="F163" s="34">
        <f t="shared" si="37"/>
        <v>14323.75</v>
      </c>
      <c r="G163" s="34">
        <f t="shared" si="37"/>
        <v>14323.75</v>
      </c>
      <c r="H163" s="34">
        <f t="shared" si="37"/>
        <v>14323.75</v>
      </c>
      <c r="I163" s="34">
        <f t="shared" si="37"/>
        <v>14323.75</v>
      </c>
      <c r="J163" s="34">
        <f t="shared" si="37"/>
        <v>14323.75</v>
      </c>
      <c r="K163" s="34">
        <f t="shared" si="37"/>
        <v>0</v>
      </c>
      <c r="L163" s="34">
        <f t="shared" si="37"/>
        <v>0</v>
      </c>
      <c r="M163" s="34">
        <f t="shared" si="37"/>
        <v>0</v>
      </c>
      <c r="N163" s="34">
        <f t="shared" si="37"/>
        <v>0</v>
      </c>
      <c r="O163" s="34">
        <f t="shared" si="37"/>
        <v>0</v>
      </c>
      <c r="P163" s="34">
        <f t="shared" si="37"/>
        <v>0</v>
      </c>
      <c r="Q163" s="36">
        <f t="shared" si="38"/>
        <v>85942.5</v>
      </c>
    </row>
    <row r="164" spans="2:21" x14ac:dyDescent="0.35">
      <c r="B164" s="127" t="str">
        <f t="shared" si="34"/>
        <v>4080-317</v>
      </c>
      <c r="D164" s="34" t="str">
        <f t="shared" si="35"/>
        <v>VACANT</v>
      </c>
      <c r="E164" s="34">
        <f t="shared" si="37"/>
        <v>0</v>
      </c>
      <c r="F164" s="34">
        <f t="shared" si="37"/>
        <v>0</v>
      </c>
      <c r="G164" s="34">
        <f t="shared" si="37"/>
        <v>0</v>
      </c>
      <c r="H164" s="34">
        <f t="shared" si="37"/>
        <v>0</v>
      </c>
      <c r="I164" s="34">
        <f t="shared" si="37"/>
        <v>0</v>
      </c>
      <c r="J164" s="34">
        <f t="shared" si="37"/>
        <v>0</v>
      </c>
      <c r="K164" s="34">
        <f t="shared" si="37"/>
        <v>0</v>
      </c>
      <c r="L164" s="34">
        <f t="shared" si="37"/>
        <v>0</v>
      </c>
      <c r="M164" s="34">
        <f t="shared" si="37"/>
        <v>0</v>
      </c>
      <c r="N164" s="34">
        <f t="shared" si="37"/>
        <v>0</v>
      </c>
      <c r="O164" s="34">
        <f t="shared" si="37"/>
        <v>0</v>
      </c>
      <c r="P164" s="34">
        <f t="shared" si="37"/>
        <v>0</v>
      </c>
      <c r="Q164" s="36">
        <f t="shared" si="38"/>
        <v>0</v>
      </c>
    </row>
    <row r="165" spans="2:21" x14ac:dyDescent="0.35">
      <c r="B165" s="127" t="str">
        <f t="shared" si="34"/>
        <v>4080-400</v>
      </c>
      <c r="D165" s="34" t="str">
        <f t="shared" ref="D165:D166" si="39">IF(D197="None",D228,D197)</f>
        <v>Korman Commercial Properties</v>
      </c>
      <c r="E165" s="34">
        <f t="shared" si="37"/>
        <v>5924</v>
      </c>
      <c r="F165" s="34">
        <f t="shared" si="37"/>
        <v>5924</v>
      </c>
      <c r="G165" s="34">
        <f t="shared" si="37"/>
        <v>5924</v>
      </c>
      <c r="H165" s="34">
        <f t="shared" si="37"/>
        <v>5924</v>
      </c>
      <c r="I165" s="34">
        <f t="shared" si="37"/>
        <v>5924</v>
      </c>
      <c r="J165" s="34">
        <f t="shared" si="37"/>
        <v>5924</v>
      </c>
      <c r="K165" s="34">
        <f t="shared" si="37"/>
        <v>5924</v>
      </c>
      <c r="L165" s="34">
        <f t="shared" si="37"/>
        <v>5924</v>
      </c>
      <c r="M165" s="34">
        <f t="shared" si="37"/>
        <v>6109.125</v>
      </c>
      <c r="N165" s="34">
        <f t="shared" si="37"/>
        <v>6109.125</v>
      </c>
      <c r="O165" s="34">
        <f t="shared" si="37"/>
        <v>6109.125</v>
      </c>
      <c r="P165" s="34">
        <f t="shared" si="37"/>
        <v>6109.125</v>
      </c>
      <c r="Q165" s="36">
        <f>SUM(E165:P165)</f>
        <v>71828.5</v>
      </c>
    </row>
    <row r="166" spans="2:21" x14ac:dyDescent="0.35">
      <c r="B166" s="520" t="str">
        <f t="shared" si="34"/>
        <v>4080-401</v>
      </c>
      <c r="C166" s="43"/>
      <c r="D166" s="43" t="str">
        <f t="shared" si="39"/>
        <v>Spectrum Control, Inc.</v>
      </c>
      <c r="E166" s="43">
        <f t="shared" si="37"/>
        <v>14574</v>
      </c>
      <c r="F166" s="43">
        <f t="shared" si="37"/>
        <v>14574</v>
      </c>
      <c r="G166" s="43">
        <f t="shared" si="37"/>
        <v>14574</v>
      </c>
      <c r="H166" s="43">
        <f t="shared" si="37"/>
        <v>14574</v>
      </c>
      <c r="I166" s="43">
        <f t="shared" si="37"/>
        <v>14574</v>
      </c>
      <c r="J166" s="43">
        <f t="shared" si="37"/>
        <v>14574</v>
      </c>
      <c r="K166" s="43">
        <f t="shared" si="37"/>
        <v>14574</v>
      </c>
      <c r="L166" s="43">
        <f t="shared" si="37"/>
        <v>14574</v>
      </c>
      <c r="M166" s="43">
        <f t="shared" si="37"/>
        <v>14574</v>
      </c>
      <c r="N166" s="43">
        <f t="shared" si="37"/>
        <v>14574</v>
      </c>
      <c r="O166" s="43">
        <f t="shared" si="37"/>
        <v>14574</v>
      </c>
      <c r="P166" s="43">
        <f t="shared" si="37"/>
        <v>14574</v>
      </c>
      <c r="Q166" s="87">
        <f t="shared" ref="Q166" si="40">SUM(E166:P166)</f>
        <v>174888</v>
      </c>
    </row>
    <row r="167" spans="2:21" x14ac:dyDescent="0.35">
      <c r="B167" s="10"/>
      <c r="D167" s="44"/>
      <c r="E167" s="36">
        <f>SUM(E140:E166)</f>
        <v>114485.65333333334</v>
      </c>
      <c r="F167" s="36">
        <f t="shared" ref="F167:Q167" si="41">SUM(F140:F166)</f>
        <v>114485.65333333334</v>
      </c>
      <c r="G167" s="36">
        <f t="shared" si="41"/>
        <v>118257.91333333333</v>
      </c>
      <c r="H167" s="36">
        <f t="shared" si="41"/>
        <v>117734.19999999998</v>
      </c>
      <c r="I167" s="36">
        <f t="shared" si="41"/>
        <v>117734.19999999998</v>
      </c>
      <c r="J167" s="36">
        <f t="shared" si="41"/>
        <v>117734.19999999998</v>
      </c>
      <c r="K167" s="36">
        <f t="shared" si="41"/>
        <v>108093.69999999998</v>
      </c>
      <c r="L167" s="36">
        <f t="shared" si="41"/>
        <v>108373.86999999998</v>
      </c>
      <c r="M167" s="36">
        <f t="shared" si="41"/>
        <v>108558.99499999998</v>
      </c>
      <c r="N167" s="36">
        <f t="shared" si="41"/>
        <v>107983.99499999998</v>
      </c>
      <c r="O167" s="36">
        <f t="shared" si="41"/>
        <v>106311.86999999998</v>
      </c>
      <c r="P167" s="36">
        <f t="shared" si="41"/>
        <v>106311.86999999998</v>
      </c>
      <c r="Q167" s="36">
        <f t="shared" si="41"/>
        <v>1346066.12</v>
      </c>
    </row>
    <row r="168" spans="2:21" x14ac:dyDescent="0.35">
      <c r="B168" s="10"/>
      <c r="E168" s="95">
        <f>(E10+E11)-E167</f>
        <v>0</v>
      </c>
      <c r="F168" s="95">
        <f t="shared" ref="F168:Q168" si="42">(F10+F11)-F167</f>
        <v>0</v>
      </c>
      <c r="G168" s="95">
        <f t="shared" si="42"/>
        <v>0</v>
      </c>
      <c r="H168" s="95">
        <f t="shared" si="42"/>
        <v>0</v>
      </c>
      <c r="I168" s="95">
        <f t="shared" si="42"/>
        <v>0</v>
      </c>
      <c r="J168" s="95">
        <f t="shared" si="42"/>
        <v>0</v>
      </c>
      <c r="K168" s="95">
        <f t="shared" si="42"/>
        <v>0</v>
      </c>
      <c r="L168" s="95">
        <f t="shared" si="42"/>
        <v>0</v>
      </c>
      <c r="M168" s="95">
        <f t="shared" si="42"/>
        <v>0</v>
      </c>
      <c r="N168" s="95">
        <f t="shared" si="42"/>
        <v>0</v>
      </c>
      <c r="O168" s="95">
        <f t="shared" si="42"/>
        <v>0</v>
      </c>
      <c r="P168" s="95">
        <f t="shared" si="42"/>
        <v>0</v>
      </c>
      <c r="Q168" s="95">
        <f t="shared" si="42"/>
        <v>0</v>
      </c>
    </row>
    <row r="170" spans="2:21" ht="17.5" x14ac:dyDescent="0.35">
      <c r="B170" s="521" t="s">
        <v>163</v>
      </c>
      <c r="E170" s="522"/>
      <c r="F170" s="522"/>
      <c r="G170" s="522"/>
      <c r="H170" s="522"/>
      <c r="I170" s="522"/>
      <c r="J170" s="522"/>
      <c r="K170" s="522"/>
      <c r="L170" s="522"/>
      <c r="M170" s="522"/>
      <c r="N170" s="522"/>
      <c r="O170" s="522"/>
      <c r="P170" s="522"/>
      <c r="S170" s="54"/>
      <c r="T170" s="34"/>
      <c r="U170" s="34"/>
    </row>
    <row r="171" spans="2:21" outlineLevel="1" x14ac:dyDescent="0.35">
      <c r="B171" s="43" t="s">
        <v>619</v>
      </c>
      <c r="C171" s="43"/>
      <c r="D171" s="43" t="s">
        <v>424</v>
      </c>
      <c r="E171" s="519">
        <v>46023</v>
      </c>
      <c r="F171" s="519">
        <v>46054</v>
      </c>
      <c r="G171" s="519">
        <v>46082</v>
      </c>
      <c r="H171" s="519">
        <v>46113</v>
      </c>
      <c r="I171" s="519">
        <v>46143</v>
      </c>
      <c r="J171" s="519">
        <v>46174</v>
      </c>
      <c r="K171" s="519">
        <v>46204</v>
      </c>
      <c r="L171" s="519">
        <v>46235</v>
      </c>
      <c r="M171" s="519">
        <v>46266</v>
      </c>
      <c r="N171" s="519">
        <v>46296</v>
      </c>
      <c r="O171" s="519">
        <v>46327</v>
      </c>
      <c r="P171" s="519">
        <v>46357</v>
      </c>
      <c r="Q171" s="481" t="s">
        <v>12</v>
      </c>
      <c r="R171" s="54"/>
      <c r="S171" s="54"/>
      <c r="T171" s="34"/>
      <c r="U171" s="34"/>
    </row>
    <row r="172" spans="2:21" outlineLevel="1" x14ac:dyDescent="0.35">
      <c r="B172" s="523" t="s">
        <v>281</v>
      </c>
      <c r="C172" s="115"/>
      <c r="D172" s="77" t="str">
        <f>IFERROR(VLOOKUP(B172,'In Place Revenue'!$B$2:$H$630,2,FALSE),VLOOKUP(B172,$B$204:$D$228,3,FALSE))</f>
        <v>Lawler Terrace Corp.</v>
      </c>
      <c r="E172" s="77">
        <f>SUMIFS('In Place Revenue'!$G$2:$G$764,'In Place Revenue'!$B$2:$B$764,$B172,'In Place Revenue'!$D$2:$D$764,E$171)</f>
        <v>3186.04</v>
      </c>
      <c r="F172" s="77">
        <f>SUMIFS('In Place Revenue'!$G$2:$G$764,'In Place Revenue'!$B$2:$B$764,$B172,'In Place Revenue'!$D$2:$D$764,F$171)</f>
        <v>3186.04</v>
      </c>
      <c r="G172" s="77">
        <f>SUMIFS('In Place Revenue'!$G$2:$G$764,'In Place Revenue'!$B$2:$B$764,$B172,'In Place Revenue'!$D$2:$D$764,G$171)</f>
        <v>3186.04</v>
      </c>
      <c r="H172" s="77">
        <f>SUMIFS('In Place Revenue'!$G$2:$G$764,'In Place Revenue'!$B$2:$B$764,$B172,'In Place Revenue'!$D$2:$D$764,H$171)</f>
        <v>3263.75</v>
      </c>
      <c r="I172" s="77">
        <f>SUMIFS('In Place Revenue'!$G$2:$G$764,'In Place Revenue'!$B$2:$B$764,$B172,'In Place Revenue'!$D$2:$D$764,I$171)</f>
        <v>3263.75</v>
      </c>
      <c r="J172" s="77">
        <f>SUMIFS('In Place Revenue'!$G$2:$G$764,'In Place Revenue'!$B$2:$B$764,$B172,'In Place Revenue'!$D$2:$D$764,J$171)</f>
        <v>3263.75</v>
      </c>
      <c r="K172" s="77">
        <f>SUMIFS('In Place Revenue'!$G$2:$G$764,'In Place Revenue'!$B$2:$B$764,$B172,'In Place Revenue'!$D$2:$D$764,K$171)</f>
        <v>3263.75</v>
      </c>
      <c r="L172" s="77">
        <f>SUMIFS('In Place Revenue'!$G$2:$G$764,'In Place Revenue'!$B$2:$B$764,$B172,'In Place Revenue'!$D$2:$D$764,L$171)</f>
        <v>3263.75</v>
      </c>
      <c r="M172" s="77">
        <f>SUMIFS('In Place Revenue'!$G$2:$G$764,'In Place Revenue'!$B$2:$B$764,$B172,'In Place Revenue'!$D$2:$D$764,M$171)</f>
        <v>3263.75</v>
      </c>
      <c r="N172" s="77">
        <f>SUMIFS('In Place Revenue'!$G$2:$G$764,'In Place Revenue'!$B$2:$B$764,$B172,'In Place Revenue'!$D$2:$D$764,N$171)</f>
        <v>3263.75</v>
      </c>
      <c r="O172" s="77">
        <f>SUMIFS('In Place Revenue'!$G$2:$G$764,'In Place Revenue'!$B$2:$B$764,$B172,'In Place Revenue'!$D$2:$D$764,O$171)</f>
        <v>3263.75</v>
      </c>
      <c r="P172" s="77">
        <f>SUMIFS('In Place Revenue'!$G$2:$G$764,'In Place Revenue'!$B$2:$B$764,$B172,'In Place Revenue'!$D$2:$D$764,P$171)</f>
        <v>3263.75</v>
      </c>
      <c r="Q172" s="36">
        <f>SUM(E172:P172)</f>
        <v>38931.869999999995</v>
      </c>
    </row>
    <row r="173" spans="2:21" outlineLevel="1" x14ac:dyDescent="0.35">
      <c r="B173" s="523" t="s">
        <v>253</v>
      </c>
      <c r="C173" s="115"/>
      <c r="D173" s="34" t="str">
        <f>IFERROR(VLOOKUP(B173,'In Place Revenue'!$B$2:$H$630,2,FALSE),VLOOKUP(B173,$B$204:$D$228,3,FALSE))</f>
        <v>Reliant Care Solutions, LP</v>
      </c>
      <c r="E173" s="34">
        <f>SUMIFS('In Place Revenue'!$G$2:$G$764,'In Place Revenue'!$B$2:$B$764,$B173,'In Place Revenue'!$D$2:$D$764,E$171)</f>
        <v>6725</v>
      </c>
      <c r="F173" s="34">
        <f>SUMIFS('In Place Revenue'!$G$2:$G$764,'In Place Revenue'!$B$2:$B$764,$B173,'In Place Revenue'!$D$2:$D$764,F$171)</f>
        <v>6725</v>
      </c>
      <c r="G173" s="34">
        <f>SUMIFS('In Place Revenue'!$G$2:$G$764,'In Place Revenue'!$B$2:$B$764,$B173,'In Place Revenue'!$D$2:$D$764,G$171)</f>
        <v>6725</v>
      </c>
      <c r="H173" s="34">
        <f>SUMIFS('In Place Revenue'!$G$2:$G$764,'In Place Revenue'!$B$2:$B$764,$B173,'In Place Revenue'!$D$2:$D$764,H$171)</f>
        <v>6725</v>
      </c>
      <c r="I173" s="34">
        <f>SUMIFS('In Place Revenue'!$G$2:$G$764,'In Place Revenue'!$B$2:$B$764,$B173,'In Place Revenue'!$D$2:$D$764,I$171)</f>
        <v>6725</v>
      </c>
      <c r="J173" s="34">
        <f>SUMIFS('In Place Revenue'!$G$2:$G$764,'In Place Revenue'!$B$2:$B$764,$B173,'In Place Revenue'!$D$2:$D$764,J$171)</f>
        <v>6725</v>
      </c>
      <c r="K173" s="34">
        <f>SUMIFS('In Place Revenue'!$G$2:$G$764,'In Place Revenue'!$B$2:$B$764,$B173,'In Place Revenue'!$D$2:$D$764,K$171)</f>
        <v>6725</v>
      </c>
      <c r="L173" s="34">
        <f>SUMIFS('In Place Revenue'!$G$2:$G$764,'In Place Revenue'!$B$2:$B$764,$B173,'In Place Revenue'!$D$2:$D$764,L$171)</f>
        <v>6725</v>
      </c>
      <c r="M173" s="34">
        <f>SUMIFS('In Place Revenue'!$G$2:$G$764,'In Place Revenue'!$B$2:$B$764,$B173,'In Place Revenue'!$D$2:$D$764,M$171)</f>
        <v>6725</v>
      </c>
      <c r="N173" s="34">
        <f>SUMIFS('In Place Revenue'!$G$2:$G$764,'In Place Revenue'!$B$2:$B$764,$B173,'In Place Revenue'!$D$2:$D$764,N$171)</f>
        <v>0</v>
      </c>
      <c r="O173" s="34">
        <f>SUMIFS('In Place Revenue'!$G$2:$G$764,'In Place Revenue'!$B$2:$B$764,$B173,'In Place Revenue'!$D$2:$D$764,O$171)</f>
        <v>0</v>
      </c>
      <c r="P173" s="34">
        <f>SUMIFS('In Place Revenue'!$G$2:$G$764,'In Place Revenue'!$B$2:$B$764,$B173,'In Place Revenue'!$D$2:$D$764,P$171)</f>
        <v>0</v>
      </c>
      <c r="Q173" s="36">
        <f t="shared" ref="Q173:Q196" si="43">SUM(E173:P173)</f>
        <v>60525</v>
      </c>
    </row>
    <row r="174" spans="2:21" outlineLevel="1" x14ac:dyDescent="0.35">
      <c r="B174" s="523" t="s">
        <v>643</v>
      </c>
      <c r="C174" s="115"/>
      <c r="D174" s="34" t="str">
        <f>IFERROR(VLOOKUP(B174,'In Place Revenue'!$B$2:$H$630,2,FALSE),VLOOKUP(B174,$B$204:$D$228,3,FALSE))</f>
        <v>VACANT</v>
      </c>
      <c r="E174" s="34">
        <f>SUMIFS('In Place Revenue'!$G$2:$G$764,'In Place Revenue'!$B$2:$B$764,$B174,'In Place Revenue'!$D$2:$D$764,E$171)</f>
        <v>0</v>
      </c>
      <c r="F174" s="34">
        <f>SUMIFS('In Place Revenue'!$G$2:$G$764,'In Place Revenue'!$B$2:$B$764,$B174,'In Place Revenue'!$D$2:$D$764,F$171)</f>
        <v>0</v>
      </c>
      <c r="G174" s="34">
        <f>SUMIFS('In Place Revenue'!$G$2:$G$764,'In Place Revenue'!$B$2:$B$764,$B174,'In Place Revenue'!$D$2:$D$764,G$171)</f>
        <v>0</v>
      </c>
      <c r="H174" s="34">
        <f>SUMIFS('In Place Revenue'!$G$2:$G$764,'In Place Revenue'!$B$2:$B$764,$B174,'In Place Revenue'!$D$2:$D$764,H$171)</f>
        <v>0</v>
      </c>
      <c r="I174" s="34">
        <f>SUMIFS('In Place Revenue'!$G$2:$G$764,'In Place Revenue'!$B$2:$B$764,$B174,'In Place Revenue'!$D$2:$D$764,I$171)</f>
        <v>0</v>
      </c>
      <c r="J174" s="34">
        <f>SUMIFS('In Place Revenue'!$G$2:$G$764,'In Place Revenue'!$B$2:$B$764,$B174,'In Place Revenue'!$D$2:$D$764,J$171)</f>
        <v>0</v>
      </c>
      <c r="K174" s="34">
        <f>SUMIFS('In Place Revenue'!$G$2:$G$764,'In Place Revenue'!$B$2:$B$764,$B174,'In Place Revenue'!$D$2:$D$764,K$171)</f>
        <v>0</v>
      </c>
      <c r="L174" s="34">
        <f>SUMIFS('In Place Revenue'!$G$2:$G$764,'In Place Revenue'!$B$2:$B$764,$B174,'In Place Revenue'!$D$2:$D$764,L$171)</f>
        <v>0</v>
      </c>
      <c r="M174" s="34">
        <f>SUMIFS('In Place Revenue'!$G$2:$G$764,'In Place Revenue'!$B$2:$B$764,$B174,'In Place Revenue'!$D$2:$D$764,M$171)</f>
        <v>0</v>
      </c>
      <c r="N174" s="34">
        <f>SUMIFS('In Place Revenue'!$G$2:$G$764,'In Place Revenue'!$B$2:$B$764,$B174,'In Place Revenue'!$D$2:$D$764,N$171)</f>
        <v>0</v>
      </c>
      <c r="O174" s="34">
        <f>SUMIFS('In Place Revenue'!$G$2:$G$764,'In Place Revenue'!$B$2:$B$764,$B174,'In Place Revenue'!$D$2:$D$764,O$171)</f>
        <v>0</v>
      </c>
      <c r="P174" s="34">
        <f>SUMIFS('In Place Revenue'!$G$2:$G$764,'In Place Revenue'!$B$2:$B$764,$B174,'In Place Revenue'!$D$2:$D$764,P$171)</f>
        <v>0</v>
      </c>
      <c r="Q174" s="36">
        <f t="shared" si="43"/>
        <v>0</v>
      </c>
    </row>
    <row r="175" spans="2:21" outlineLevel="1" x14ac:dyDescent="0.35">
      <c r="B175" s="523" t="s">
        <v>644</v>
      </c>
      <c r="C175" s="115"/>
      <c r="D175" s="34" t="str">
        <f>IFERROR(VLOOKUP(B175,'In Place Revenue'!$B$2:$H$630,2,FALSE),VLOOKUP(B175,$B$204:$D$228,3,FALSE))</f>
        <v>VACANT</v>
      </c>
      <c r="E175" s="34">
        <f>SUMIFS('In Place Revenue'!$G$2:$G$764,'In Place Revenue'!$B$2:$B$764,$B175,'In Place Revenue'!$D$2:$D$764,E$171)</f>
        <v>0</v>
      </c>
      <c r="F175" s="34">
        <f>SUMIFS('In Place Revenue'!$G$2:$G$764,'In Place Revenue'!$B$2:$B$764,$B175,'In Place Revenue'!$D$2:$D$764,F$171)</f>
        <v>0</v>
      </c>
      <c r="G175" s="34">
        <f>SUMIFS('In Place Revenue'!$G$2:$G$764,'In Place Revenue'!$B$2:$B$764,$B175,'In Place Revenue'!$D$2:$D$764,G$171)</f>
        <v>0</v>
      </c>
      <c r="H175" s="34">
        <f>SUMIFS('In Place Revenue'!$G$2:$G$764,'In Place Revenue'!$B$2:$B$764,$B175,'In Place Revenue'!$D$2:$D$764,H$171)</f>
        <v>0</v>
      </c>
      <c r="I175" s="34">
        <f>SUMIFS('In Place Revenue'!$G$2:$G$764,'In Place Revenue'!$B$2:$B$764,$B175,'In Place Revenue'!$D$2:$D$764,I$171)</f>
        <v>0</v>
      </c>
      <c r="J175" s="34">
        <f>SUMIFS('In Place Revenue'!$G$2:$G$764,'In Place Revenue'!$B$2:$B$764,$B175,'In Place Revenue'!$D$2:$D$764,J$171)</f>
        <v>0</v>
      </c>
      <c r="K175" s="34">
        <f>SUMIFS('In Place Revenue'!$G$2:$G$764,'In Place Revenue'!$B$2:$B$764,$B175,'In Place Revenue'!$D$2:$D$764,K$171)</f>
        <v>0</v>
      </c>
      <c r="L175" s="34">
        <f>SUMIFS('In Place Revenue'!$G$2:$G$764,'In Place Revenue'!$B$2:$B$764,$B175,'In Place Revenue'!$D$2:$D$764,L$171)</f>
        <v>0</v>
      </c>
      <c r="M175" s="34">
        <f>SUMIFS('In Place Revenue'!$G$2:$G$764,'In Place Revenue'!$B$2:$B$764,$B175,'In Place Revenue'!$D$2:$D$764,M$171)</f>
        <v>0</v>
      </c>
      <c r="N175" s="34">
        <f>SUMIFS('In Place Revenue'!$G$2:$G$764,'In Place Revenue'!$B$2:$B$764,$B175,'In Place Revenue'!$D$2:$D$764,N$171)</f>
        <v>0</v>
      </c>
      <c r="O175" s="34">
        <f>SUMIFS('In Place Revenue'!$G$2:$G$764,'In Place Revenue'!$B$2:$B$764,$B175,'In Place Revenue'!$D$2:$D$764,O$171)</f>
        <v>0</v>
      </c>
      <c r="P175" s="34">
        <f>SUMIFS('In Place Revenue'!$G$2:$G$764,'In Place Revenue'!$B$2:$B$764,$B175,'In Place Revenue'!$D$2:$D$764,P$171)</f>
        <v>0</v>
      </c>
      <c r="Q175" s="36">
        <f t="shared" si="43"/>
        <v>0</v>
      </c>
    </row>
    <row r="176" spans="2:21" outlineLevel="1" x14ac:dyDescent="0.35">
      <c r="B176" s="523" t="s">
        <v>197</v>
      </c>
      <c r="C176" s="115"/>
      <c r="D176" s="34" t="str">
        <f>IFERROR(VLOOKUP(B176,'In Place Revenue'!$B$2:$H$630,2,FALSE),VLOOKUP(B176,$B$204:$D$228,3,FALSE))</f>
        <v>VACANT</v>
      </c>
      <c r="E176" s="34">
        <f>SUMIFS('In Place Revenue'!$G$2:$G$764,'In Place Revenue'!$B$2:$B$764,$B176,'In Place Revenue'!$D$2:$D$764,E$171)</f>
        <v>0</v>
      </c>
      <c r="F176" s="34">
        <f>SUMIFS('In Place Revenue'!$G$2:$G$764,'In Place Revenue'!$B$2:$B$764,$B176,'In Place Revenue'!$D$2:$D$764,F$171)</f>
        <v>0</v>
      </c>
      <c r="G176" s="34">
        <f>SUMIFS('In Place Revenue'!$G$2:$G$764,'In Place Revenue'!$B$2:$B$764,$B176,'In Place Revenue'!$D$2:$D$764,G$171)</f>
        <v>0</v>
      </c>
      <c r="H176" s="34">
        <f>SUMIFS('In Place Revenue'!$G$2:$G$764,'In Place Revenue'!$B$2:$B$764,$B176,'In Place Revenue'!$D$2:$D$764,H$171)</f>
        <v>0</v>
      </c>
      <c r="I176" s="34">
        <f>SUMIFS('In Place Revenue'!$G$2:$G$764,'In Place Revenue'!$B$2:$B$764,$B176,'In Place Revenue'!$D$2:$D$764,I$171)</f>
        <v>0</v>
      </c>
      <c r="J176" s="34">
        <f>SUMIFS('In Place Revenue'!$G$2:$G$764,'In Place Revenue'!$B$2:$B$764,$B176,'In Place Revenue'!$D$2:$D$764,J$171)</f>
        <v>0</v>
      </c>
      <c r="K176" s="34">
        <f>SUMIFS('In Place Revenue'!$G$2:$G$764,'In Place Revenue'!$B$2:$B$764,$B176,'In Place Revenue'!$D$2:$D$764,K$171)</f>
        <v>0</v>
      </c>
      <c r="L176" s="34">
        <f>SUMIFS('In Place Revenue'!$G$2:$G$764,'In Place Revenue'!$B$2:$B$764,$B176,'In Place Revenue'!$D$2:$D$764,L$171)</f>
        <v>0</v>
      </c>
      <c r="M176" s="34">
        <f>SUMIFS('In Place Revenue'!$G$2:$G$764,'In Place Revenue'!$B$2:$B$764,$B176,'In Place Revenue'!$D$2:$D$764,M$171)</f>
        <v>0</v>
      </c>
      <c r="N176" s="34">
        <f>SUMIFS('In Place Revenue'!$G$2:$G$764,'In Place Revenue'!$B$2:$B$764,$B176,'In Place Revenue'!$D$2:$D$764,N$171)</f>
        <v>0</v>
      </c>
      <c r="O176" s="34">
        <f>SUMIFS('In Place Revenue'!$G$2:$G$764,'In Place Revenue'!$B$2:$B$764,$B176,'In Place Revenue'!$D$2:$D$764,O$171)</f>
        <v>0</v>
      </c>
      <c r="P176" s="34">
        <f>SUMIFS('In Place Revenue'!$G$2:$G$764,'In Place Revenue'!$B$2:$B$764,$B176,'In Place Revenue'!$D$2:$D$764,P$171)</f>
        <v>0</v>
      </c>
      <c r="Q176" s="36">
        <f t="shared" si="43"/>
        <v>0</v>
      </c>
    </row>
    <row r="177" spans="2:17" outlineLevel="1" x14ac:dyDescent="0.35">
      <c r="B177" s="523" t="s">
        <v>283</v>
      </c>
      <c r="C177" s="115"/>
      <c r="D177" s="34" t="str">
        <f>IFERROR(VLOOKUP(B177,'In Place Revenue'!$B$2:$H$630,2,FALSE),VLOOKUP(B177,$B$204:$D$228,3,FALSE))</f>
        <v>Lawler Terrace Corporation</v>
      </c>
      <c r="E177" s="34">
        <f>SUMIFS('In Place Revenue'!$G$2:$G$764,'In Place Revenue'!$B$2:$B$764,$B177,'In Place Revenue'!$D$2:$D$764,E$171)</f>
        <v>2189.17</v>
      </c>
      <c r="F177" s="34">
        <f>SUMIFS('In Place Revenue'!$G$2:$G$764,'In Place Revenue'!$B$2:$B$764,$B177,'In Place Revenue'!$D$2:$D$764,F$171)</f>
        <v>2189.17</v>
      </c>
      <c r="G177" s="34">
        <f>SUMIFS('In Place Revenue'!$G$2:$G$764,'In Place Revenue'!$B$2:$B$764,$B177,'In Place Revenue'!$D$2:$D$764,G$171)</f>
        <v>2189.17</v>
      </c>
      <c r="H177" s="34">
        <f>SUMIFS('In Place Revenue'!$G$2:$G$764,'In Place Revenue'!$B$2:$B$764,$B177,'In Place Revenue'!$D$2:$D$764,H$171)</f>
        <v>0</v>
      </c>
      <c r="I177" s="34">
        <f>SUMIFS('In Place Revenue'!$G$2:$G$764,'In Place Revenue'!$B$2:$B$764,$B177,'In Place Revenue'!$D$2:$D$764,I$171)</f>
        <v>0</v>
      </c>
      <c r="J177" s="34">
        <f>SUMIFS('In Place Revenue'!$G$2:$G$764,'In Place Revenue'!$B$2:$B$764,$B177,'In Place Revenue'!$D$2:$D$764,J$171)</f>
        <v>0</v>
      </c>
      <c r="K177" s="34">
        <f>SUMIFS('In Place Revenue'!$G$2:$G$764,'In Place Revenue'!$B$2:$B$764,$B177,'In Place Revenue'!$D$2:$D$764,K$171)</f>
        <v>0</v>
      </c>
      <c r="L177" s="34">
        <f>SUMIFS('In Place Revenue'!$G$2:$G$764,'In Place Revenue'!$B$2:$B$764,$B177,'In Place Revenue'!$D$2:$D$764,L$171)</f>
        <v>0</v>
      </c>
      <c r="M177" s="34">
        <f>SUMIFS('In Place Revenue'!$G$2:$G$764,'In Place Revenue'!$B$2:$B$764,$B177,'In Place Revenue'!$D$2:$D$764,M$171)</f>
        <v>0</v>
      </c>
      <c r="N177" s="34">
        <f>SUMIFS('In Place Revenue'!$G$2:$G$764,'In Place Revenue'!$B$2:$B$764,$B177,'In Place Revenue'!$D$2:$D$764,N$171)</f>
        <v>0</v>
      </c>
      <c r="O177" s="34">
        <f>SUMIFS('In Place Revenue'!$G$2:$G$764,'In Place Revenue'!$B$2:$B$764,$B177,'In Place Revenue'!$D$2:$D$764,O$171)</f>
        <v>0</v>
      </c>
      <c r="P177" s="34">
        <f>SUMIFS('In Place Revenue'!$G$2:$G$764,'In Place Revenue'!$B$2:$B$764,$B177,'In Place Revenue'!$D$2:$D$764,P$171)</f>
        <v>0</v>
      </c>
      <c r="Q177" s="36">
        <f t="shared" si="43"/>
        <v>6567.51</v>
      </c>
    </row>
    <row r="178" spans="2:17" outlineLevel="1" x14ac:dyDescent="0.35">
      <c r="B178" s="523" t="s">
        <v>307</v>
      </c>
      <c r="C178" s="115"/>
      <c r="D178" s="34" t="str">
        <f>IFERROR(VLOOKUP(B178,'In Place Revenue'!$B$2:$H$630,2,FALSE),VLOOKUP(B178,$B$204:$D$228,3,FALSE))</f>
        <v>Prosegur Services Group, Inc.</v>
      </c>
      <c r="E178" s="34">
        <f>SUMIFS('In Place Revenue'!$G$2:$G$764,'In Place Revenue'!$B$2:$B$764,$B178,'In Place Revenue'!$D$2:$D$764,E$171)</f>
        <v>3111.88</v>
      </c>
      <c r="F178" s="34">
        <f>SUMIFS('In Place Revenue'!$G$2:$G$764,'In Place Revenue'!$B$2:$B$764,$B178,'In Place Revenue'!$D$2:$D$764,F$171)</f>
        <v>3111.88</v>
      </c>
      <c r="G178" s="34">
        <f>SUMIFS('In Place Revenue'!$G$2:$G$764,'In Place Revenue'!$B$2:$B$764,$B178,'In Place Revenue'!$D$2:$D$764,G$171)</f>
        <v>3111.88</v>
      </c>
      <c r="H178" s="34">
        <f>SUMIFS('In Place Revenue'!$G$2:$G$764,'In Place Revenue'!$B$2:$B$764,$B178,'In Place Revenue'!$D$2:$D$764,H$171)</f>
        <v>3111.88</v>
      </c>
      <c r="I178" s="34">
        <f>SUMIFS('In Place Revenue'!$G$2:$G$764,'In Place Revenue'!$B$2:$B$764,$B178,'In Place Revenue'!$D$2:$D$764,I$171)</f>
        <v>3111.88</v>
      </c>
      <c r="J178" s="34">
        <f>SUMIFS('In Place Revenue'!$G$2:$G$764,'In Place Revenue'!$B$2:$B$764,$B178,'In Place Revenue'!$D$2:$D$764,J$171)</f>
        <v>3111.88</v>
      </c>
      <c r="K178" s="34">
        <f>SUMIFS('In Place Revenue'!$G$2:$G$764,'In Place Revenue'!$B$2:$B$764,$B178,'In Place Revenue'!$D$2:$D$764,K$171)</f>
        <v>3111.88</v>
      </c>
      <c r="L178" s="34">
        <f>SUMIFS('In Place Revenue'!$G$2:$G$764,'In Place Revenue'!$B$2:$B$764,$B178,'In Place Revenue'!$D$2:$D$764,L$171)</f>
        <v>3111.88</v>
      </c>
      <c r="M178" s="34">
        <f>SUMIFS('In Place Revenue'!$G$2:$G$764,'In Place Revenue'!$B$2:$B$764,$B178,'In Place Revenue'!$D$2:$D$764,M$171)</f>
        <v>3111.88</v>
      </c>
      <c r="N178" s="34">
        <f>SUMIFS('In Place Revenue'!$G$2:$G$764,'In Place Revenue'!$B$2:$B$764,$B178,'In Place Revenue'!$D$2:$D$764,N$171)</f>
        <v>3111.88</v>
      </c>
      <c r="O178" s="34">
        <f>SUMIFS('In Place Revenue'!$G$2:$G$764,'In Place Revenue'!$B$2:$B$764,$B178,'In Place Revenue'!$D$2:$D$764,O$171)</f>
        <v>3111.88</v>
      </c>
      <c r="P178" s="34">
        <f>SUMIFS('In Place Revenue'!$G$2:$G$764,'In Place Revenue'!$B$2:$B$764,$B178,'In Place Revenue'!$D$2:$D$764,P$171)</f>
        <v>3111.88</v>
      </c>
      <c r="Q178" s="36">
        <f t="shared" si="43"/>
        <v>37342.560000000005</v>
      </c>
    </row>
    <row r="179" spans="2:17" outlineLevel="1" x14ac:dyDescent="0.35">
      <c r="B179" s="523" t="s">
        <v>285</v>
      </c>
      <c r="C179" s="115"/>
      <c r="D179" s="34" t="str">
        <f>IFERROR(VLOOKUP(B179,'In Place Revenue'!$B$2:$H$630,2,FALSE),VLOOKUP(B179,$B$204:$D$228,3,FALSE))</f>
        <v>Jensen &amp; Brusca Consulting</v>
      </c>
      <c r="E179" s="34">
        <f>SUMIFS('In Place Revenue'!$G$2:$G$764,'In Place Revenue'!$B$2:$B$764,$B179,'In Place Revenue'!$D$2:$D$764,E$171)</f>
        <v>2253.92</v>
      </c>
      <c r="F179" s="34">
        <f>SUMIFS('In Place Revenue'!$G$2:$G$764,'In Place Revenue'!$B$2:$B$764,$B179,'In Place Revenue'!$D$2:$D$764,F$171)</f>
        <v>2253.92</v>
      </c>
      <c r="G179" s="34">
        <f>SUMIFS('In Place Revenue'!$G$2:$G$764,'In Place Revenue'!$B$2:$B$764,$B179,'In Place Revenue'!$D$2:$D$764,G$171)</f>
        <v>2253.92</v>
      </c>
      <c r="H179" s="34">
        <f>SUMIFS('In Place Revenue'!$G$2:$G$764,'In Place Revenue'!$B$2:$B$764,$B179,'In Place Revenue'!$D$2:$D$764,H$171)</f>
        <v>0</v>
      </c>
      <c r="I179" s="34">
        <f>SUMIFS('In Place Revenue'!$G$2:$G$764,'In Place Revenue'!$B$2:$B$764,$B179,'In Place Revenue'!$D$2:$D$764,I$171)</f>
        <v>0</v>
      </c>
      <c r="J179" s="34">
        <f>SUMIFS('In Place Revenue'!$G$2:$G$764,'In Place Revenue'!$B$2:$B$764,$B179,'In Place Revenue'!$D$2:$D$764,J$171)</f>
        <v>0</v>
      </c>
      <c r="K179" s="34">
        <f>SUMIFS('In Place Revenue'!$G$2:$G$764,'In Place Revenue'!$B$2:$B$764,$B179,'In Place Revenue'!$D$2:$D$764,K$171)</f>
        <v>0</v>
      </c>
      <c r="L179" s="34">
        <f>SUMIFS('In Place Revenue'!$G$2:$G$764,'In Place Revenue'!$B$2:$B$764,$B179,'In Place Revenue'!$D$2:$D$764,L$171)</f>
        <v>0</v>
      </c>
      <c r="M179" s="34">
        <f>SUMIFS('In Place Revenue'!$G$2:$G$764,'In Place Revenue'!$B$2:$B$764,$B179,'In Place Revenue'!$D$2:$D$764,M$171)</f>
        <v>0</v>
      </c>
      <c r="N179" s="34">
        <f>SUMIFS('In Place Revenue'!$G$2:$G$764,'In Place Revenue'!$B$2:$B$764,$B179,'In Place Revenue'!$D$2:$D$764,N$171)</f>
        <v>0</v>
      </c>
      <c r="O179" s="34">
        <f>SUMIFS('In Place Revenue'!$G$2:$G$764,'In Place Revenue'!$B$2:$B$764,$B179,'In Place Revenue'!$D$2:$D$764,O$171)</f>
        <v>0</v>
      </c>
      <c r="P179" s="34">
        <f>SUMIFS('In Place Revenue'!$G$2:$G$764,'In Place Revenue'!$B$2:$B$764,$B179,'In Place Revenue'!$D$2:$D$764,P$171)</f>
        <v>0</v>
      </c>
      <c r="Q179" s="36">
        <f t="shared" si="43"/>
        <v>6761.76</v>
      </c>
    </row>
    <row r="180" spans="2:17" outlineLevel="1" x14ac:dyDescent="0.35">
      <c r="B180" s="523" t="s">
        <v>223</v>
      </c>
      <c r="C180" s="115"/>
      <c r="D180" s="34" t="str">
        <f>IFERROR(VLOOKUP(B180,'In Place Revenue'!$B$2:$H$630,2,FALSE),VLOOKUP(B180,$B$204:$D$228,3,FALSE))</f>
        <v>VACANT</v>
      </c>
      <c r="E180" s="34">
        <f>SUMIFS('In Place Revenue'!$G$2:$G$764,'In Place Revenue'!$B$2:$B$764,$B180,'In Place Revenue'!$D$2:$D$764,E$171)</f>
        <v>0</v>
      </c>
      <c r="F180" s="34">
        <f>SUMIFS('In Place Revenue'!$G$2:$G$764,'In Place Revenue'!$B$2:$B$764,$B180,'In Place Revenue'!$D$2:$D$764,F$171)</f>
        <v>0</v>
      </c>
      <c r="G180" s="34">
        <f>SUMIFS('In Place Revenue'!$G$2:$G$764,'In Place Revenue'!$B$2:$B$764,$B180,'In Place Revenue'!$D$2:$D$764,G$171)</f>
        <v>0</v>
      </c>
      <c r="H180" s="34">
        <f>SUMIFS('In Place Revenue'!$G$2:$G$764,'In Place Revenue'!$B$2:$B$764,$B180,'In Place Revenue'!$D$2:$D$764,H$171)</f>
        <v>0</v>
      </c>
      <c r="I180" s="34">
        <f>SUMIFS('In Place Revenue'!$G$2:$G$764,'In Place Revenue'!$B$2:$B$764,$B180,'In Place Revenue'!$D$2:$D$764,I$171)</f>
        <v>0</v>
      </c>
      <c r="J180" s="34">
        <f>SUMIFS('In Place Revenue'!$G$2:$G$764,'In Place Revenue'!$B$2:$B$764,$B180,'In Place Revenue'!$D$2:$D$764,J$171)</f>
        <v>0</v>
      </c>
      <c r="K180" s="34">
        <f>SUMIFS('In Place Revenue'!$G$2:$G$764,'In Place Revenue'!$B$2:$B$764,$B180,'In Place Revenue'!$D$2:$D$764,K$171)</f>
        <v>0</v>
      </c>
      <c r="L180" s="34">
        <f>SUMIFS('In Place Revenue'!$G$2:$G$764,'In Place Revenue'!$B$2:$B$764,$B180,'In Place Revenue'!$D$2:$D$764,L$171)</f>
        <v>0</v>
      </c>
      <c r="M180" s="34">
        <f>SUMIFS('In Place Revenue'!$G$2:$G$764,'In Place Revenue'!$B$2:$B$764,$B180,'In Place Revenue'!$D$2:$D$764,M$171)</f>
        <v>0</v>
      </c>
      <c r="N180" s="34">
        <f>SUMIFS('In Place Revenue'!$G$2:$G$764,'In Place Revenue'!$B$2:$B$764,$B180,'In Place Revenue'!$D$2:$D$764,N$171)</f>
        <v>0</v>
      </c>
      <c r="O180" s="34">
        <f>SUMIFS('In Place Revenue'!$G$2:$G$764,'In Place Revenue'!$B$2:$B$764,$B180,'In Place Revenue'!$D$2:$D$764,O$171)</f>
        <v>0</v>
      </c>
      <c r="P180" s="34">
        <f>SUMIFS('In Place Revenue'!$G$2:$G$764,'In Place Revenue'!$B$2:$B$764,$B180,'In Place Revenue'!$D$2:$D$764,P$171)</f>
        <v>0</v>
      </c>
      <c r="Q180" s="36">
        <f t="shared" si="43"/>
        <v>0</v>
      </c>
    </row>
    <row r="181" spans="2:17" outlineLevel="1" x14ac:dyDescent="0.35">
      <c r="B181" s="523" t="s">
        <v>645</v>
      </c>
      <c r="C181" s="115"/>
      <c r="D181" s="34" t="str">
        <f>IFERROR(VLOOKUP(B181,'In Place Revenue'!$B$2:$H$630,2,FALSE),VLOOKUP(B181,$B$204:$D$228,3,FALSE))</f>
        <v>VACANT</v>
      </c>
      <c r="E181" s="34">
        <f>SUMIFS('In Place Revenue'!$G$2:$G$764,'In Place Revenue'!$B$2:$B$764,$B181,'In Place Revenue'!$D$2:$D$764,E$171)</f>
        <v>0</v>
      </c>
      <c r="F181" s="34">
        <f>SUMIFS('In Place Revenue'!$G$2:$G$764,'In Place Revenue'!$B$2:$B$764,$B181,'In Place Revenue'!$D$2:$D$764,F$171)</f>
        <v>0</v>
      </c>
      <c r="G181" s="34">
        <f>SUMIFS('In Place Revenue'!$G$2:$G$764,'In Place Revenue'!$B$2:$B$764,$B181,'In Place Revenue'!$D$2:$D$764,G$171)</f>
        <v>0</v>
      </c>
      <c r="H181" s="34">
        <f>SUMIFS('In Place Revenue'!$G$2:$G$764,'In Place Revenue'!$B$2:$B$764,$B181,'In Place Revenue'!$D$2:$D$764,H$171)</f>
        <v>0</v>
      </c>
      <c r="I181" s="34">
        <f>SUMIFS('In Place Revenue'!$G$2:$G$764,'In Place Revenue'!$B$2:$B$764,$B181,'In Place Revenue'!$D$2:$D$764,I$171)</f>
        <v>0</v>
      </c>
      <c r="J181" s="34">
        <f>SUMIFS('In Place Revenue'!$G$2:$G$764,'In Place Revenue'!$B$2:$B$764,$B181,'In Place Revenue'!$D$2:$D$764,J$171)</f>
        <v>0</v>
      </c>
      <c r="K181" s="34">
        <f>SUMIFS('In Place Revenue'!$G$2:$G$764,'In Place Revenue'!$B$2:$B$764,$B181,'In Place Revenue'!$D$2:$D$764,K$171)</f>
        <v>0</v>
      </c>
      <c r="L181" s="34">
        <f>SUMIFS('In Place Revenue'!$G$2:$G$764,'In Place Revenue'!$B$2:$B$764,$B181,'In Place Revenue'!$D$2:$D$764,L$171)</f>
        <v>0</v>
      </c>
      <c r="M181" s="34">
        <f>SUMIFS('In Place Revenue'!$G$2:$G$764,'In Place Revenue'!$B$2:$B$764,$B181,'In Place Revenue'!$D$2:$D$764,M$171)</f>
        <v>0</v>
      </c>
      <c r="N181" s="34">
        <f>SUMIFS('In Place Revenue'!$G$2:$G$764,'In Place Revenue'!$B$2:$B$764,$B181,'In Place Revenue'!$D$2:$D$764,N$171)</f>
        <v>0</v>
      </c>
      <c r="O181" s="34">
        <f>SUMIFS('In Place Revenue'!$G$2:$G$764,'In Place Revenue'!$B$2:$B$764,$B181,'In Place Revenue'!$D$2:$D$764,O$171)</f>
        <v>0</v>
      </c>
      <c r="P181" s="34">
        <f>SUMIFS('In Place Revenue'!$G$2:$G$764,'In Place Revenue'!$B$2:$B$764,$B181,'In Place Revenue'!$D$2:$D$764,P$171)</f>
        <v>0</v>
      </c>
      <c r="Q181" s="36">
        <f t="shared" si="43"/>
        <v>0</v>
      </c>
    </row>
    <row r="182" spans="2:17" outlineLevel="1" x14ac:dyDescent="0.35">
      <c r="B182" s="523" t="s">
        <v>198</v>
      </c>
      <c r="C182" s="115"/>
      <c r="D182" s="34" t="str">
        <f>IFERROR(VLOOKUP(B182,'In Place Revenue'!$B$2:$H$630,2,FALSE),VLOOKUP(B182,$B$204:$D$228,3,FALSE))</f>
        <v>Worldwide Land Transfer, Inc.</v>
      </c>
      <c r="E182" s="34">
        <f>SUMIFS('In Place Revenue'!$G$2:$G$764,'In Place Revenue'!$B$2:$B$764,$B182,'In Place Revenue'!$D$2:$D$764,E$171)</f>
        <v>14986.69</v>
      </c>
      <c r="F182" s="34">
        <f>SUMIFS('In Place Revenue'!$G$2:$G$764,'In Place Revenue'!$B$2:$B$764,$B182,'In Place Revenue'!$D$2:$D$764,F$171)</f>
        <v>14986.69</v>
      </c>
      <c r="G182" s="34">
        <f>SUMIFS('In Place Revenue'!$G$2:$G$764,'In Place Revenue'!$B$2:$B$764,$B182,'In Place Revenue'!$D$2:$D$764,G$171)</f>
        <v>14986.69</v>
      </c>
      <c r="H182" s="34">
        <f>SUMIFS('In Place Revenue'!$G$2:$G$764,'In Place Revenue'!$B$2:$B$764,$B182,'In Place Revenue'!$D$2:$D$764,H$171)</f>
        <v>14986.69</v>
      </c>
      <c r="I182" s="34">
        <f>SUMIFS('In Place Revenue'!$G$2:$G$764,'In Place Revenue'!$B$2:$B$764,$B182,'In Place Revenue'!$D$2:$D$764,I$171)</f>
        <v>14986.69</v>
      </c>
      <c r="J182" s="34">
        <f>SUMIFS('In Place Revenue'!$G$2:$G$764,'In Place Revenue'!$B$2:$B$764,$B182,'In Place Revenue'!$D$2:$D$764,J$171)</f>
        <v>14986.69</v>
      </c>
      <c r="K182" s="34">
        <f>SUMIFS('In Place Revenue'!$G$2:$G$764,'In Place Revenue'!$B$2:$B$764,$B182,'In Place Revenue'!$D$2:$D$764,K$171)</f>
        <v>14986.69</v>
      </c>
      <c r="L182" s="34">
        <f>SUMIFS('In Place Revenue'!$G$2:$G$764,'In Place Revenue'!$B$2:$B$764,$B182,'In Place Revenue'!$D$2:$D$764,L$171)</f>
        <v>14986.69</v>
      </c>
      <c r="M182" s="34">
        <f>SUMIFS('In Place Revenue'!$G$2:$G$764,'In Place Revenue'!$B$2:$B$764,$B182,'In Place Revenue'!$D$2:$D$764,M$171)</f>
        <v>14986.69</v>
      </c>
      <c r="N182" s="34">
        <f>SUMIFS('In Place Revenue'!$G$2:$G$764,'In Place Revenue'!$B$2:$B$764,$B182,'In Place Revenue'!$D$2:$D$764,N$171)</f>
        <v>14986.69</v>
      </c>
      <c r="O182" s="34">
        <f>SUMIFS('In Place Revenue'!$G$2:$G$764,'In Place Revenue'!$B$2:$B$764,$B182,'In Place Revenue'!$D$2:$D$764,O$171)</f>
        <v>14986.69</v>
      </c>
      <c r="P182" s="34">
        <f>SUMIFS('In Place Revenue'!$G$2:$G$764,'In Place Revenue'!$B$2:$B$764,$B182,'In Place Revenue'!$D$2:$D$764,P$171)</f>
        <v>14986.69</v>
      </c>
      <c r="Q182" s="36">
        <f t="shared" si="43"/>
        <v>179840.28</v>
      </c>
    </row>
    <row r="183" spans="2:17" outlineLevel="1" x14ac:dyDescent="0.35">
      <c r="B183" s="523" t="s">
        <v>646</v>
      </c>
      <c r="C183" s="115"/>
      <c r="D183" s="34" t="str">
        <f>IFERROR(VLOOKUP(B183,'In Place Revenue'!$B$2:$H$630,2,FALSE),VLOOKUP(B183,$B$204:$D$228,3,FALSE))</f>
        <v>Conference Center</v>
      </c>
      <c r="E183" s="34">
        <f>SUMIFS('In Place Revenue'!$G$2:$G$764,'In Place Revenue'!$B$2:$B$764,$B183,'In Place Revenue'!$D$2:$D$764,E$171)</f>
        <v>0</v>
      </c>
      <c r="F183" s="34">
        <f>SUMIFS('In Place Revenue'!$G$2:$G$764,'In Place Revenue'!$B$2:$B$764,$B183,'In Place Revenue'!$D$2:$D$764,F$171)</f>
        <v>0</v>
      </c>
      <c r="G183" s="34">
        <f>SUMIFS('In Place Revenue'!$G$2:$G$764,'In Place Revenue'!$B$2:$B$764,$B183,'In Place Revenue'!$D$2:$D$764,G$171)</f>
        <v>0</v>
      </c>
      <c r="H183" s="34">
        <f>SUMIFS('In Place Revenue'!$G$2:$G$764,'In Place Revenue'!$B$2:$B$764,$B183,'In Place Revenue'!$D$2:$D$764,H$171)</f>
        <v>0</v>
      </c>
      <c r="I183" s="34">
        <f>SUMIFS('In Place Revenue'!$G$2:$G$764,'In Place Revenue'!$B$2:$B$764,$B183,'In Place Revenue'!$D$2:$D$764,I$171)</f>
        <v>0</v>
      </c>
      <c r="J183" s="34">
        <f>SUMIFS('In Place Revenue'!$G$2:$G$764,'In Place Revenue'!$B$2:$B$764,$B183,'In Place Revenue'!$D$2:$D$764,J$171)</f>
        <v>0</v>
      </c>
      <c r="K183" s="34">
        <f>SUMIFS('In Place Revenue'!$G$2:$G$764,'In Place Revenue'!$B$2:$B$764,$B183,'In Place Revenue'!$D$2:$D$764,K$171)</f>
        <v>0</v>
      </c>
      <c r="L183" s="34">
        <f>SUMIFS('In Place Revenue'!$G$2:$G$764,'In Place Revenue'!$B$2:$B$764,$B183,'In Place Revenue'!$D$2:$D$764,L$171)</f>
        <v>0</v>
      </c>
      <c r="M183" s="34">
        <f>SUMIFS('In Place Revenue'!$G$2:$G$764,'In Place Revenue'!$B$2:$B$764,$B183,'In Place Revenue'!$D$2:$D$764,M$171)</f>
        <v>0</v>
      </c>
      <c r="N183" s="34">
        <f>SUMIFS('In Place Revenue'!$G$2:$G$764,'In Place Revenue'!$B$2:$B$764,$B183,'In Place Revenue'!$D$2:$D$764,N$171)</f>
        <v>0</v>
      </c>
      <c r="O183" s="34">
        <f>SUMIFS('In Place Revenue'!$G$2:$G$764,'In Place Revenue'!$B$2:$B$764,$B183,'In Place Revenue'!$D$2:$D$764,O$171)</f>
        <v>0</v>
      </c>
      <c r="P183" s="34">
        <f>SUMIFS('In Place Revenue'!$G$2:$G$764,'In Place Revenue'!$B$2:$B$764,$B183,'In Place Revenue'!$D$2:$D$764,P$171)</f>
        <v>0</v>
      </c>
      <c r="Q183" s="36">
        <f t="shared" si="43"/>
        <v>0</v>
      </c>
    </row>
    <row r="184" spans="2:17" outlineLevel="1" x14ac:dyDescent="0.35">
      <c r="B184" s="523" t="s">
        <v>340</v>
      </c>
      <c r="C184" s="115"/>
      <c r="D184" s="34" t="str">
        <f>IFERROR(VLOOKUP(B184,'In Place Revenue'!$B$2:$H$630,2,FALSE),VLOOKUP(B184,$B$204:$D$228,3,FALSE))</f>
        <v>MacKee, Inc.</v>
      </c>
      <c r="E184" s="34">
        <f>SUMIFS('In Place Revenue'!$G$2:$G$764,'In Place Revenue'!$B$2:$B$764,$B184,'In Place Revenue'!$D$2:$D$764,E$171)</f>
        <v>8481.33</v>
      </c>
      <c r="F184" s="34">
        <f>SUMIFS('In Place Revenue'!$G$2:$G$764,'In Place Revenue'!$B$2:$B$764,$B184,'In Place Revenue'!$D$2:$D$764,F$171)</f>
        <v>8481.33</v>
      </c>
      <c r="G184" s="34">
        <f>SUMIFS('In Place Revenue'!$G$2:$G$764,'In Place Revenue'!$B$2:$B$764,$B184,'In Place Revenue'!$D$2:$D$764,G$171)</f>
        <v>8746.3799999999992</v>
      </c>
      <c r="H184" s="34">
        <f>SUMIFS('In Place Revenue'!$G$2:$G$764,'In Place Revenue'!$B$2:$B$764,$B184,'In Place Revenue'!$D$2:$D$764,H$171)</f>
        <v>8746.3799999999992</v>
      </c>
      <c r="I184" s="34">
        <f>SUMIFS('In Place Revenue'!$G$2:$G$764,'In Place Revenue'!$B$2:$B$764,$B184,'In Place Revenue'!$D$2:$D$764,I$171)</f>
        <v>8746.3799999999992</v>
      </c>
      <c r="J184" s="34">
        <f>SUMIFS('In Place Revenue'!$G$2:$G$764,'In Place Revenue'!$B$2:$B$764,$B184,'In Place Revenue'!$D$2:$D$764,J$171)</f>
        <v>8746.3799999999992</v>
      </c>
      <c r="K184" s="34">
        <f>SUMIFS('In Place Revenue'!$G$2:$G$764,'In Place Revenue'!$B$2:$B$764,$B184,'In Place Revenue'!$D$2:$D$764,K$171)</f>
        <v>8746.3799999999992</v>
      </c>
      <c r="L184" s="34">
        <f>SUMIFS('In Place Revenue'!$G$2:$G$764,'In Place Revenue'!$B$2:$B$764,$B184,'In Place Revenue'!$D$2:$D$764,L$171)</f>
        <v>8746.3799999999992</v>
      </c>
      <c r="M184" s="34">
        <f>SUMIFS('In Place Revenue'!$G$2:$G$764,'In Place Revenue'!$B$2:$B$764,$B184,'In Place Revenue'!$D$2:$D$764,M$171)</f>
        <v>8746.3799999999992</v>
      </c>
      <c r="N184" s="34">
        <f>SUMIFS('In Place Revenue'!$G$2:$G$764,'In Place Revenue'!$B$2:$B$764,$B184,'In Place Revenue'!$D$2:$D$764,N$171)</f>
        <v>8746.3799999999992</v>
      </c>
      <c r="O184" s="34">
        <f>SUMIFS('In Place Revenue'!$G$2:$G$764,'In Place Revenue'!$B$2:$B$764,$B184,'In Place Revenue'!$D$2:$D$764,O$171)</f>
        <v>8746.3799999999992</v>
      </c>
      <c r="P184" s="34">
        <f>SUMIFS('In Place Revenue'!$G$2:$G$764,'In Place Revenue'!$B$2:$B$764,$B184,'In Place Revenue'!$D$2:$D$764,P$171)</f>
        <v>8746.3799999999992</v>
      </c>
      <c r="Q184" s="36">
        <f t="shared" si="43"/>
        <v>104426.46</v>
      </c>
    </row>
    <row r="185" spans="2:17" outlineLevel="1" x14ac:dyDescent="0.35">
      <c r="B185" s="523" t="s">
        <v>647</v>
      </c>
      <c r="C185" s="115"/>
      <c r="D185" s="34" t="str">
        <f>IFERROR(VLOOKUP(B185,'In Place Revenue'!$B$2:$H$630,2,FALSE),VLOOKUP(B185,$B$204:$D$228,3,FALSE))</f>
        <v>VACANT</v>
      </c>
      <c r="E185" s="34">
        <f>SUMIFS('In Place Revenue'!$G$2:$G$764,'In Place Revenue'!$B$2:$B$764,$B185,'In Place Revenue'!$D$2:$D$764,E$171)</f>
        <v>0</v>
      </c>
      <c r="F185" s="34">
        <f>SUMIFS('In Place Revenue'!$G$2:$G$764,'In Place Revenue'!$B$2:$B$764,$B185,'In Place Revenue'!$D$2:$D$764,F$171)</f>
        <v>0</v>
      </c>
      <c r="G185" s="34">
        <f>SUMIFS('In Place Revenue'!$G$2:$G$764,'In Place Revenue'!$B$2:$B$764,$B185,'In Place Revenue'!$D$2:$D$764,G$171)</f>
        <v>0</v>
      </c>
      <c r="H185" s="34">
        <f>SUMIFS('In Place Revenue'!$G$2:$G$764,'In Place Revenue'!$B$2:$B$764,$B185,'In Place Revenue'!$D$2:$D$764,H$171)</f>
        <v>0</v>
      </c>
      <c r="I185" s="34">
        <f>SUMIFS('In Place Revenue'!$G$2:$G$764,'In Place Revenue'!$B$2:$B$764,$B185,'In Place Revenue'!$D$2:$D$764,I$171)</f>
        <v>0</v>
      </c>
      <c r="J185" s="34">
        <f>SUMIFS('In Place Revenue'!$G$2:$G$764,'In Place Revenue'!$B$2:$B$764,$B185,'In Place Revenue'!$D$2:$D$764,J$171)</f>
        <v>0</v>
      </c>
      <c r="K185" s="34">
        <f>SUMIFS('In Place Revenue'!$G$2:$G$764,'In Place Revenue'!$B$2:$B$764,$B185,'In Place Revenue'!$D$2:$D$764,K$171)</f>
        <v>0</v>
      </c>
      <c r="L185" s="34">
        <f>SUMIFS('In Place Revenue'!$G$2:$G$764,'In Place Revenue'!$B$2:$B$764,$B185,'In Place Revenue'!$D$2:$D$764,L$171)</f>
        <v>0</v>
      </c>
      <c r="M185" s="34">
        <f>SUMIFS('In Place Revenue'!$G$2:$G$764,'In Place Revenue'!$B$2:$B$764,$B185,'In Place Revenue'!$D$2:$D$764,M$171)</f>
        <v>0</v>
      </c>
      <c r="N185" s="34">
        <f>SUMIFS('In Place Revenue'!$G$2:$G$764,'In Place Revenue'!$B$2:$B$764,$B185,'In Place Revenue'!$D$2:$D$764,N$171)</f>
        <v>0</v>
      </c>
      <c r="O185" s="34">
        <f>SUMIFS('In Place Revenue'!$G$2:$G$764,'In Place Revenue'!$B$2:$B$764,$B185,'In Place Revenue'!$D$2:$D$764,O$171)</f>
        <v>0</v>
      </c>
      <c r="P185" s="34">
        <f>SUMIFS('In Place Revenue'!$G$2:$G$764,'In Place Revenue'!$B$2:$B$764,$B185,'In Place Revenue'!$D$2:$D$764,P$171)</f>
        <v>0</v>
      </c>
      <c r="Q185" s="36">
        <f t="shared" si="43"/>
        <v>0</v>
      </c>
    </row>
    <row r="186" spans="2:17" outlineLevel="1" x14ac:dyDescent="0.35">
      <c r="B186" s="523" t="s">
        <v>200</v>
      </c>
      <c r="C186" s="115"/>
      <c r="D186" s="34" t="str">
        <f>IFERROR(VLOOKUP(B186,'In Place Revenue'!$B$2:$H$630,2,FALSE),VLOOKUP(B186,$B$204:$D$228,3,FALSE))</f>
        <v>Data Systems Analysts, Inc.</v>
      </c>
      <c r="E186" s="34">
        <f>SUMIFS('In Place Revenue'!$G$2:$G$764,'In Place Revenue'!$B$2:$B$764,$B186,'In Place Revenue'!$D$2:$D$764,E$171)</f>
        <v>8210</v>
      </c>
      <c r="F186" s="34">
        <f>SUMIFS('In Place Revenue'!$G$2:$G$764,'In Place Revenue'!$B$2:$B$764,$B186,'In Place Revenue'!$D$2:$D$764,F$171)</f>
        <v>8210</v>
      </c>
      <c r="G186" s="34">
        <f>SUMIFS('In Place Revenue'!$G$2:$G$764,'In Place Revenue'!$B$2:$B$764,$B186,'In Place Revenue'!$D$2:$D$764,G$171)</f>
        <v>8210</v>
      </c>
      <c r="H186" s="34">
        <f>SUMIFS('In Place Revenue'!$G$2:$G$764,'In Place Revenue'!$B$2:$B$764,$B186,'In Place Revenue'!$D$2:$D$764,H$171)</f>
        <v>8210</v>
      </c>
      <c r="I186" s="34">
        <f>SUMIFS('In Place Revenue'!$G$2:$G$764,'In Place Revenue'!$B$2:$B$764,$B186,'In Place Revenue'!$D$2:$D$764,I$171)</f>
        <v>8210</v>
      </c>
      <c r="J186" s="34">
        <f>SUMIFS('In Place Revenue'!$G$2:$G$764,'In Place Revenue'!$B$2:$B$764,$B186,'In Place Revenue'!$D$2:$D$764,J$171)</f>
        <v>8210</v>
      </c>
      <c r="K186" s="34">
        <f>SUMIFS('In Place Revenue'!$G$2:$G$764,'In Place Revenue'!$B$2:$B$764,$B186,'In Place Revenue'!$D$2:$D$764,K$171)</f>
        <v>8210</v>
      </c>
      <c r="L186" s="34">
        <f>SUMIFS('In Place Revenue'!$G$2:$G$764,'In Place Revenue'!$B$2:$B$764,$B186,'In Place Revenue'!$D$2:$D$764,L$171)</f>
        <v>8210</v>
      </c>
      <c r="M186" s="34">
        <f>SUMIFS('In Place Revenue'!$G$2:$G$764,'In Place Revenue'!$B$2:$B$764,$B186,'In Place Revenue'!$D$2:$D$764,M$171)</f>
        <v>8210</v>
      </c>
      <c r="N186" s="34">
        <f>SUMIFS('In Place Revenue'!$G$2:$G$764,'In Place Revenue'!$B$2:$B$764,$B186,'In Place Revenue'!$D$2:$D$764,N$171)</f>
        <v>8210</v>
      </c>
      <c r="O186" s="34">
        <f>SUMIFS('In Place Revenue'!$G$2:$G$764,'In Place Revenue'!$B$2:$B$764,$B186,'In Place Revenue'!$D$2:$D$764,O$171)</f>
        <v>8210</v>
      </c>
      <c r="P186" s="34">
        <f>SUMIFS('In Place Revenue'!$G$2:$G$764,'In Place Revenue'!$B$2:$B$764,$B186,'In Place Revenue'!$D$2:$D$764,P$171)</f>
        <v>8210</v>
      </c>
      <c r="Q186" s="36">
        <f t="shared" si="43"/>
        <v>98520</v>
      </c>
    </row>
    <row r="187" spans="2:17" outlineLevel="1" x14ac:dyDescent="0.35">
      <c r="B187" s="523" t="s">
        <v>329</v>
      </c>
      <c r="C187" s="115"/>
      <c r="D187" s="34" t="str">
        <f>IFERROR(VLOOKUP(B187,'In Place Revenue'!$B$2:$H$630,2,FALSE),VLOOKUP(B187,$B$204:$D$228,3,FALSE))</f>
        <v>Karpf, Karpf &amp; Cerutti, P.C.</v>
      </c>
      <c r="E187" s="34">
        <f>SUMIFS('In Place Revenue'!$G$2:$G$764,'In Place Revenue'!$B$2:$B$764,$B187,'In Place Revenue'!$D$2:$D$764,E$171)</f>
        <v>5021.21</v>
      </c>
      <c r="F187" s="34">
        <f>SUMIFS('In Place Revenue'!$G$2:$G$764,'In Place Revenue'!$B$2:$B$764,$B187,'In Place Revenue'!$D$2:$D$764,F$171)</f>
        <v>5021.21</v>
      </c>
      <c r="G187" s="34">
        <f>SUMIFS('In Place Revenue'!$G$2:$G$764,'In Place Revenue'!$B$2:$B$764,$B187,'In Place Revenue'!$D$2:$D$764,G$171)</f>
        <v>5021.21</v>
      </c>
      <c r="H187" s="34">
        <f>SUMIFS('In Place Revenue'!$G$2:$G$764,'In Place Revenue'!$B$2:$B$764,$B187,'In Place Revenue'!$D$2:$D$764,H$171)</f>
        <v>5021.21</v>
      </c>
      <c r="I187" s="34">
        <f>SUMIFS('In Place Revenue'!$G$2:$G$764,'In Place Revenue'!$B$2:$B$764,$B187,'In Place Revenue'!$D$2:$D$764,I$171)</f>
        <v>5021.21</v>
      </c>
      <c r="J187" s="34">
        <f>SUMIFS('In Place Revenue'!$G$2:$G$764,'In Place Revenue'!$B$2:$B$764,$B187,'In Place Revenue'!$D$2:$D$764,J$171)</f>
        <v>5021.21</v>
      </c>
      <c r="K187" s="34">
        <f>SUMIFS('In Place Revenue'!$G$2:$G$764,'In Place Revenue'!$B$2:$B$764,$B187,'In Place Revenue'!$D$2:$D$764,K$171)</f>
        <v>5021.21</v>
      </c>
      <c r="L187" s="34">
        <f>SUMIFS('In Place Revenue'!$G$2:$G$764,'In Place Revenue'!$B$2:$B$764,$B187,'In Place Revenue'!$D$2:$D$764,L$171)</f>
        <v>5021.21</v>
      </c>
      <c r="M187" s="34">
        <f>SUMIFS('In Place Revenue'!$G$2:$G$764,'In Place Revenue'!$B$2:$B$764,$B187,'In Place Revenue'!$D$2:$D$764,M$171)</f>
        <v>5021.21</v>
      </c>
      <c r="N187" s="34">
        <f>SUMIFS('In Place Revenue'!$G$2:$G$764,'In Place Revenue'!$B$2:$B$764,$B187,'In Place Revenue'!$D$2:$D$764,N$171)</f>
        <v>5021.21</v>
      </c>
      <c r="O187" s="34">
        <f>SUMIFS('In Place Revenue'!$G$2:$G$764,'In Place Revenue'!$B$2:$B$764,$B187,'In Place Revenue'!$D$2:$D$764,O$171)</f>
        <v>5021.21</v>
      </c>
      <c r="P187" s="34">
        <f>SUMIFS('In Place Revenue'!$G$2:$G$764,'In Place Revenue'!$B$2:$B$764,$B187,'In Place Revenue'!$D$2:$D$764,P$171)</f>
        <v>5021.21</v>
      </c>
      <c r="Q187" s="36">
        <f t="shared" si="43"/>
        <v>60254.52</v>
      </c>
    </row>
    <row r="188" spans="2:17" outlineLevel="1" x14ac:dyDescent="0.35">
      <c r="B188" s="523" t="s">
        <v>245</v>
      </c>
      <c r="C188" s="115"/>
      <c r="D188" s="34" t="str">
        <f>IFERROR(VLOOKUP(B188,'In Place Revenue'!$B$2:$H$630,2,FALSE),VLOOKUP(B188,$B$204:$D$228,3,FALSE))</f>
        <v>Powers Kirn</v>
      </c>
      <c r="E188" s="34">
        <f>SUMIFS('In Place Revenue'!$G$2:$G$764,'In Place Revenue'!$B$2:$B$764,$B188,'In Place Revenue'!$D$2:$D$764,E$171)</f>
        <v>0</v>
      </c>
      <c r="F188" s="34">
        <f>SUMIFS('In Place Revenue'!$G$2:$G$764,'In Place Revenue'!$B$2:$B$764,$B188,'In Place Revenue'!$D$2:$D$764,F$171)</f>
        <v>0</v>
      </c>
      <c r="G188" s="34">
        <f>SUMIFS('In Place Revenue'!$G$2:$G$764,'In Place Revenue'!$B$2:$B$764,$B188,'In Place Revenue'!$D$2:$D$764,G$171)</f>
        <v>0</v>
      </c>
      <c r="H188" s="34">
        <f>SUMIFS('In Place Revenue'!$G$2:$G$764,'In Place Revenue'!$B$2:$B$764,$B188,'In Place Revenue'!$D$2:$D$764,H$171)</f>
        <v>0</v>
      </c>
      <c r="I188" s="34">
        <f>SUMIFS('In Place Revenue'!$G$2:$G$764,'In Place Revenue'!$B$2:$B$764,$B188,'In Place Revenue'!$D$2:$D$764,I$171)</f>
        <v>0</v>
      </c>
      <c r="J188" s="34">
        <f>SUMIFS('In Place Revenue'!$G$2:$G$764,'In Place Revenue'!$B$2:$B$764,$B188,'In Place Revenue'!$D$2:$D$764,J$171)</f>
        <v>0</v>
      </c>
      <c r="K188" s="34">
        <f>SUMIFS('In Place Revenue'!$G$2:$G$764,'In Place Revenue'!$B$2:$B$764,$B188,'In Place Revenue'!$D$2:$D$764,K$171)</f>
        <v>0</v>
      </c>
      <c r="L188" s="34">
        <f>SUMIFS('In Place Revenue'!$G$2:$G$764,'In Place Revenue'!$B$2:$B$764,$B188,'In Place Revenue'!$D$2:$D$764,L$171)</f>
        <v>0</v>
      </c>
      <c r="M188" s="34">
        <f>SUMIFS('In Place Revenue'!$G$2:$G$764,'In Place Revenue'!$B$2:$B$764,$B188,'In Place Revenue'!$D$2:$D$764,M$171)</f>
        <v>0</v>
      </c>
      <c r="N188" s="34">
        <f>SUMIFS('In Place Revenue'!$G$2:$G$764,'In Place Revenue'!$B$2:$B$764,$B188,'In Place Revenue'!$D$2:$D$764,N$171)</f>
        <v>0</v>
      </c>
      <c r="O188" s="34">
        <f>SUMIFS('In Place Revenue'!$G$2:$G$764,'In Place Revenue'!$B$2:$B$764,$B188,'In Place Revenue'!$D$2:$D$764,O$171)</f>
        <v>0</v>
      </c>
      <c r="P188" s="34">
        <f>SUMIFS('In Place Revenue'!$G$2:$G$764,'In Place Revenue'!$B$2:$B$764,$B188,'In Place Revenue'!$D$2:$D$764,P$171)</f>
        <v>0</v>
      </c>
      <c r="Q188" s="36">
        <f t="shared" si="43"/>
        <v>0</v>
      </c>
    </row>
    <row r="189" spans="2:17" outlineLevel="1" x14ac:dyDescent="0.35">
      <c r="B189" s="523" t="s">
        <v>254</v>
      </c>
      <c r="C189" s="115"/>
      <c r="D189" s="34" t="str">
        <f>IFERROR(VLOOKUP(B189,'In Place Revenue'!$B$2:$H$630,2,FALSE),VLOOKUP(B189,$B$204:$D$228,3,FALSE))</f>
        <v>BEK Trans Group, Inc.</v>
      </c>
      <c r="E189" s="34">
        <f>SUMIFS('In Place Revenue'!$G$2:$G$764,'In Place Revenue'!$B$2:$B$764,$B189,'In Place Revenue'!$D$2:$D$764,E$171)</f>
        <v>4507.83</v>
      </c>
      <c r="F189" s="34">
        <f>SUMIFS('In Place Revenue'!$G$2:$G$764,'In Place Revenue'!$B$2:$B$764,$B189,'In Place Revenue'!$D$2:$D$764,F$171)</f>
        <v>4507.83</v>
      </c>
      <c r="G189" s="34">
        <f>SUMIFS('In Place Revenue'!$G$2:$G$764,'In Place Revenue'!$B$2:$B$764,$B189,'In Place Revenue'!$D$2:$D$764,G$171)</f>
        <v>4507.83</v>
      </c>
      <c r="H189" s="34">
        <f>SUMIFS('In Place Revenue'!$G$2:$G$764,'In Place Revenue'!$B$2:$B$764,$B189,'In Place Revenue'!$D$2:$D$764,H$171)</f>
        <v>4507.83</v>
      </c>
      <c r="I189" s="34">
        <f>SUMIFS('In Place Revenue'!$G$2:$G$764,'In Place Revenue'!$B$2:$B$764,$B189,'In Place Revenue'!$D$2:$D$764,I$171)</f>
        <v>4507.83</v>
      </c>
      <c r="J189" s="34">
        <f>SUMIFS('In Place Revenue'!$G$2:$G$764,'In Place Revenue'!$B$2:$B$764,$B189,'In Place Revenue'!$D$2:$D$764,J$171)</f>
        <v>4507.83</v>
      </c>
      <c r="K189" s="34">
        <f>SUMIFS('In Place Revenue'!$G$2:$G$764,'In Place Revenue'!$B$2:$B$764,$B189,'In Place Revenue'!$D$2:$D$764,K$171)</f>
        <v>4507.83</v>
      </c>
      <c r="L189" s="34">
        <f>SUMIFS('In Place Revenue'!$G$2:$G$764,'In Place Revenue'!$B$2:$B$764,$B189,'In Place Revenue'!$D$2:$D$764,L$171)</f>
        <v>4612.67</v>
      </c>
      <c r="M189" s="34">
        <f>SUMIFS('In Place Revenue'!$G$2:$G$764,'In Place Revenue'!$B$2:$B$764,$B189,'In Place Revenue'!$D$2:$D$764,M$171)</f>
        <v>4612.67</v>
      </c>
      <c r="N189" s="34">
        <f>SUMIFS('In Place Revenue'!$G$2:$G$764,'In Place Revenue'!$B$2:$B$764,$B189,'In Place Revenue'!$D$2:$D$764,N$171)</f>
        <v>4612.67</v>
      </c>
      <c r="O189" s="34">
        <f>SUMIFS('In Place Revenue'!$G$2:$G$764,'In Place Revenue'!$B$2:$B$764,$B189,'In Place Revenue'!$D$2:$D$764,O$171)</f>
        <v>4612.67</v>
      </c>
      <c r="P189" s="34">
        <f>SUMIFS('In Place Revenue'!$G$2:$G$764,'In Place Revenue'!$B$2:$B$764,$B189,'In Place Revenue'!$D$2:$D$764,P$171)</f>
        <v>4612.67</v>
      </c>
      <c r="Q189" s="36">
        <f t="shared" si="43"/>
        <v>54618.159999999996</v>
      </c>
    </row>
    <row r="190" spans="2:17" outlineLevel="1" x14ac:dyDescent="0.35">
      <c r="B190" s="523" t="s">
        <v>648</v>
      </c>
      <c r="C190" s="115"/>
      <c r="D190" s="34" t="str">
        <f>IFERROR(VLOOKUP(B190,'In Place Revenue'!$B$2:$H$630,2,FALSE),VLOOKUP(B190,$B$204:$D$228,3,FALSE))</f>
        <v>VACANT</v>
      </c>
      <c r="E190" s="34">
        <f>SUMIFS('In Place Revenue'!$G$2:$G$764,'In Place Revenue'!$B$2:$B$764,$B190,'In Place Revenue'!$D$2:$D$764,E$171)</f>
        <v>0</v>
      </c>
      <c r="F190" s="34">
        <f>SUMIFS('In Place Revenue'!$G$2:$G$764,'In Place Revenue'!$B$2:$B$764,$B190,'In Place Revenue'!$D$2:$D$764,F$171)</f>
        <v>0</v>
      </c>
      <c r="G190" s="34">
        <f>SUMIFS('In Place Revenue'!$G$2:$G$764,'In Place Revenue'!$B$2:$B$764,$B190,'In Place Revenue'!$D$2:$D$764,G$171)</f>
        <v>0</v>
      </c>
      <c r="H190" s="34">
        <f>SUMIFS('In Place Revenue'!$G$2:$G$764,'In Place Revenue'!$B$2:$B$764,$B190,'In Place Revenue'!$D$2:$D$764,H$171)</f>
        <v>0</v>
      </c>
      <c r="I190" s="34">
        <f>SUMIFS('In Place Revenue'!$G$2:$G$764,'In Place Revenue'!$B$2:$B$764,$B190,'In Place Revenue'!$D$2:$D$764,I$171)</f>
        <v>0</v>
      </c>
      <c r="J190" s="34">
        <f>SUMIFS('In Place Revenue'!$G$2:$G$764,'In Place Revenue'!$B$2:$B$764,$B190,'In Place Revenue'!$D$2:$D$764,J$171)</f>
        <v>0</v>
      </c>
      <c r="K190" s="34">
        <f>SUMIFS('In Place Revenue'!$G$2:$G$764,'In Place Revenue'!$B$2:$B$764,$B190,'In Place Revenue'!$D$2:$D$764,K$171)</f>
        <v>0</v>
      </c>
      <c r="L190" s="34">
        <f>SUMIFS('In Place Revenue'!$G$2:$G$764,'In Place Revenue'!$B$2:$B$764,$B190,'In Place Revenue'!$D$2:$D$764,L$171)</f>
        <v>0</v>
      </c>
      <c r="M190" s="34">
        <f>SUMIFS('In Place Revenue'!$G$2:$G$764,'In Place Revenue'!$B$2:$B$764,$B190,'In Place Revenue'!$D$2:$D$764,M$171)</f>
        <v>0</v>
      </c>
      <c r="N190" s="34">
        <f>SUMIFS('In Place Revenue'!$G$2:$G$764,'In Place Revenue'!$B$2:$B$764,$B190,'In Place Revenue'!$D$2:$D$764,N$171)</f>
        <v>0</v>
      </c>
      <c r="O190" s="34">
        <f>SUMIFS('In Place Revenue'!$G$2:$G$764,'In Place Revenue'!$B$2:$B$764,$B190,'In Place Revenue'!$D$2:$D$764,O$171)</f>
        <v>0</v>
      </c>
      <c r="P190" s="34">
        <f>SUMIFS('In Place Revenue'!$G$2:$G$764,'In Place Revenue'!$B$2:$B$764,$B190,'In Place Revenue'!$D$2:$D$764,P$171)</f>
        <v>0</v>
      </c>
      <c r="Q190" s="36">
        <f t="shared" si="43"/>
        <v>0</v>
      </c>
    </row>
    <row r="191" spans="2:17" outlineLevel="1" x14ac:dyDescent="0.35">
      <c r="B191" s="523" t="s">
        <v>202</v>
      </c>
      <c r="C191" s="115"/>
      <c r="D191" s="34" t="str">
        <f>IFERROR(VLOOKUP(B191,'In Place Revenue'!$B$2:$H$630,2,FALSE),VLOOKUP(B191,$B$204:$D$228,3,FALSE))</f>
        <v>D&amp;B/Guarino Engineers, LLC</v>
      </c>
      <c r="E191" s="34">
        <f>SUMIFS('In Place Revenue'!$G$2:$G$764,'In Place Revenue'!$B$2:$B$764,$B191,'In Place Revenue'!$D$2:$D$764,E$171)</f>
        <v>6838</v>
      </c>
      <c r="F191" s="34">
        <f>SUMIFS('In Place Revenue'!$G$2:$G$764,'In Place Revenue'!$B$2:$B$764,$B191,'In Place Revenue'!$D$2:$D$764,F$171)</f>
        <v>6838</v>
      </c>
      <c r="G191" s="34">
        <f>SUMIFS('In Place Revenue'!$G$2:$G$764,'In Place Revenue'!$B$2:$B$764,$B191,'In Place Revenue'!$D$2:$D$764,G$171)</f>
        <v>6838</v>
      </c>
      <c r="H191" s="34">
        <f>SUMIFS('In Place Revenue'!$G$2:$G$764,'In Place Revenue'!$B$2:$B$764,$B191,'In Place Revenue'!$D$2:$D$764,H$171)</f>
        <v>6838</v>
      </c>
      <c r="I191" s="34">
        <f>SUMIFS('In Place Revenue'!$G$2:$G$764,'In Place Revenue'!$B$2:$B$764,$B191,'In Place Revenue'!$D$2:$D$764,I$171)</f>
        <v>6838</v>
      </c>
      <c r="J191" s="34">
        <f>SUMIFS('In Place Revenue'!$G$2:$G$764,'In Place Revenue'!$B$2:$B$764,$B191,'In Place Revenue'!$D$2:$D$764,J$171)</f>
        <v>6838</v>
      </c>
      <c r="K191" s="34">
        <f>SUMIFS('In Place Revenue'!$G$2:$G$764,'In Place Revenue'!$B$2:$B$764,$B191,'In Place Revenue'!$D$2:$D$764,K$171)</f>
        <v>6838</v>
      </c>
      <c r="L191" s="34">
        <f>SUMIFS('In Place Revenue'!$G$2:$G$764,'In Place Revenue'!$B$2:$B$764,$B191,'In Place Revenue'!$D$2:$D$764,L$171)</f>
        <v>7013.33</v>
      </c>
      <c r="M191" s="34">
        <f>SUMIFS('In Place Revenue'!$G$2:$G$764,'In Place Revenue'!$B$2:$B$764,$B191,'In Place Revenue'!$D$2:$D$764,M$171)</f>
        <v>7013.33</v>
      </c>
      <c r="N191" s="34">
        <f>SUMIFS('In Place Revenue'!$G$2:$G$764,'In Place Revenue'!$B$2:$B$764,$B191,'In Place Revenue'!$D$2:$D$764,N$171)</f>
        <v>7013.33</v>
      </c>
      <c r="O191" s="34">
        <f>SUMIFS('In Place Revenue'!$G$2:$G$764,'In Place Revenue'!$B$2:$B$764,$B191,'In Place Revenue'!$D$2:$D$764,O$171)</f>
        <v>7013.33</v>
      </c>
      <c r="P191" s="34">
        <f>SUMIFS('In Place Revenue'!$G$2:$G$764,'In Place Revenue'!$B$2:$B$764,$B191,'In Place Revenue'!$D$2:$D$764,P$171)</f>
        <v>7013.33</v>
      </c>
      <c r="Q191" s="36">
        <f t="shared" si="43"/>
        <v>82932.650000000009</v>
      </c>
    </row>
    <row r="192" spans="2:17" outlineLevel="1" x14ac:dyDescent="0.35">
      <c r="B192" s="523" t="s">
        <v>204</v>
      </c>
      <c r="C192" s="115"/>
      <c r="D192" s="34" t="str">
        <f>IFERROR(VLOOKUP(B192,'In Place Revenue'!$B$2:$H$630,2,FALSE),VLOOKUP(B192,$B$204:$D$228,3,FALSE))</f>
        <v>Lease Out - System One</v>
      </c>
      <c r="E192" s="34">
        <f>SUMIFS('In Place Revenue'!$G$2:$G$764,'In Place Revenue'!$B$2:$B$764,$B192,'In Place Revenue'!$D$2:$D$764,E$171)</f>
        <v>0</v>
      </c>
      <c r="F192" s="34">
        <f>SUMIFS('In Place Revenue'!$G$2:$G$764,'In Place Revenue'!$B$2:$B$764,$B192,'In Place Revenue'!$D$2:$D$764,F$171)</f>
        <v>0</v>
      </c>
      <c r="G192" s="34">
        <f>SUMIFS('In Place Revenue'!$G$2:$G$764,'In Place Revenue'!$B$2:$B$764,$B192,'In Place Revenue'!$D$2:$D$764,G$171)</f>
        <v>0</v>
      </c>
      <c r="H192" s="34">
        <f>SUMIFS('In Place Revenue'!$G$2:$G$764,'In Place Revenue'!$B$2:$B$764,$B192,'In Place Revenue'!$D$2:$D$764,H$171)</f>
        <v>0</v>
      </c>
      <c r="I192" s="34">
        <f>SUMIFS('In Place Revenue'!$G$2:$G$764,'In Place Revenue'!$B$2:$B$764,$B192,'In Place Revenue'!$D$2:$D$764,I$171)</f>
        <v>0</v>
      </c>
      <c r="J192" s="34">
        <f>SUMIFS('In Place Revenue'!$G$2:$G$764,'In Place Revenue'!$B$2:$B$764,$B192,'In Place Revenue'!$D$2:$D$764,J$171)</f>
        <v>0</v>
      </c>
      <c r="K192" s="34">
        <f>SUMIFS('In Place Revenue'!$G$2:$G$764,'In Place Revenue'!$B$2:$B$764,$B192,'In Place Revenue'!$D$2:$D$764,K$171)</f>
        <v>0</v>
      </c>
      <c r="L192" s="34">
        <f>SUMIFS('In Place Revenue'!$G$2:$G$764,'In Place Revenue'!$B$2:$B$764,$B192,'In Place Revenue'!$D$2:$D$764,L$171)</f>
        <v>0</v>
      </c>
      <c r="M192" s="34">
        <f>SUMIFS('In Place Revenue'!$G$2:$G$764,'In Place Revenue'!$B$2:$B$764,$B192,'In Place Revenue'!$D$2:$D$764,M$171)</f>
        <v>0</v>
      </c>
      <c r="N192" s="34">
        <f>SUMIFS('In Place Revenue'!$G$2:$G$764,'In Place Revenue'!$B$2:$B$764,$B192,'In Place Revenue'!$D$2:$D$764,N$171)</f>
        <v>0</v>
      </c>
      <c r="O192" s="34">
        <f>SUMIFS('In Place Revenue'!$G$2:$G$764,'In Place Revenue'!$B$2:$B$764,$B192,'In Place Revenue'!$D$2:$D$764,O$171)</f>
        <v>0</v>
      </c>
      <c r="P192" s="34">
        <f>SUMIFS('In Place Revenue'!$G$2:$G$764,'In Place Revenue'!$B$2:$B$764,$B192,'In Place Revenue'!$D$2:$D$764,P$171)</f>
        <v>0</v>
      </c>
      <c r="Q192" s="36">
        <f t="shared" si="43"/>
        <v>0</v>
      </c>
    </row>
    <row r="193" spans="2:21" outlineLevel="1" x14ac:dyDescent="0.35">
      <c r="B193" s="523" t="s">
        <v>649</v>
      </c>
      <c r="C193" s="115"/>
      <c r="D193" s="34" t="str">
        <f>IFERROR(VLOOKUP(B193,'In Place Revenue'!$B$2:$H$630,2,FALSE),VLOOKUP(B193,$B$204:$D$228,3,FALSE))</f>
        <v>VACANT</v>
      </c>
      <c r="E193" s="34">
        <f>SUMIFS('In Place Revenue'!$G$2:$G$764,'In Place Revenue'!$B$2:$B$764,$B193,'In Place Revenue'!$D$2:$D$764,E$171)</f>
        <v>0</v>
      </c>
      <c r="F193" s="34">
        <f>SUMIFS('In Place Revenue'!$G$2:$G$764,'In Place Revenue'!$B$2:$B$764,$B193,'In Place Revenue'!$D$2:$D$764,F$171)</f>
        <v>0</v>
      </c>
      <c r="G193" s="34">
        <f>SUMIFS('In Place Revenue'!$G$2:$G$764,'In Place Revenue'!$B$2:$B$764,$B193,'In Place Revenue'!$D$2:$D$764,G$171)</f>
        <v>0</v>
      </c>
      <c r="H193" s="34">
        <f>SUMIFS('In Place Revenue'!$G$2:$G$764,'In Place Revenue'!$B$2:$B$764,$B193,'In Place Revenue'!$D$2:$D$764,H$171)</f>
        <v>0</v>
      </c>
      <c r="I193" s="34">
        <f>SUMIFS('In Place Revenue'!$G$2:$G$764,'In Place Revenue'!$B$2:$B$764,$B193,'In Place Revenue'!$D$2:$D$764,I$171)</f>
        <v>0</v>
      </c>
      <c r="J193" s="34">
        <f>SUMIFS('In Place Revenue'!$G$2:$G$764,'In Place Revenue'!$B$2:$B$764,$B193,'In Place Revenue'!$D$2:$D$764,J$171)</f>
        <v>0</v>
      </c>
      <c r="K193" s="34">
        <f>SUMIFS('In Place Revenue'!$G$2:$G$764,'In Place Revenue'!$B$2:$B$764,$B193,'In Place Revenue'!$D$2:$D$764,K$171)</f>
        <v>0</v>
      </c>
      <c r="L193" s="34">
        <f>SUMIFS('In Place Revenue'!$G$2:$G$764,'In Place Revenue'!$B$2:$B$764,$B193,'In Place Revenue'!$D$2:$D$764,L$171)</f>
        <v>0</v>
      </c>
      <c r="M193" s="34">
        <f>SUMIFS('In Place Revenue'!$G$2:$G$764,'In Place Revenue'!$B$2:$B$764,$B193,'In Place Revenue'!$D$2:$D$764,M$171)</f>
        <v>0</v>
      </c>
      <c r="N193" s="34">
        <f>SUMIFS('In Place Revenue'!$G$2:$G$764,'In Place Revenue'!$B$2:$B$764,$B193,'In Place Revenue'!$D$2:$D$764,N$171)</f>
        <v>0</v>
      </c>
      <c r="O193" s="34">
        <f>SUMIFS('In Place Revenue'!$G$2:$G$764,'In Place Revenue'!$B$2:$B$764,$B193,'In Place Revenue'!$D$2:$D$764,O$171)</f>
        <v>0</v>
      </c>
      <c r="P193" s="34">
        <f>SUMIFS('In Place Revenue'!$G$2:$G$764,'In Place Revenue'!$B$2:$B$764,$B193,'In Place Revenue'!$D$2:$D$764,P$171)</f>
        <v>0</v>
      </c>
      <c r="Q193" s="36">
        <f t="shared" si="43"/>
        <v>0</v>
      </c>
    </row>
    <row r="194" spans="2:21" outlineLevel="1" x14ac:dyDescent="0.35">
      <c r="B194" s="523" t="s">
        <v>650</v>
      </c>
      <c r="C194" s="115"/>
      <c r="D194" s="34" t="str">
        <f>IFERROR(VLOOKUP(B194,'In Place Revenue'!$B$2:$H$630,2,FALSE),VLOOKUP(B194,$B$204:$D$228,3,FALSE))</f>
        <v>VACANT</v>
      </c>
      <c r="E194" s="34">
        <f>SUMIFS('In Place Revenue'!$G$2:$G$764,'In Place Revenue'!$B$2:$B$764,$B194,'In Place Revenue'!$D$2:$D$764,E$171)</f>
        <v>0</v>
      </c>
      <c r="F194" s="34">
        <f>SUMIFS('In Place Revenue'!$G$2:$G$764,'In Place Revenue'!$B$2:$B$764,$B194,'In Place Revenue'!$D$2:$D$764,F$171)</f>
        <v>0</v>
      </c>
      <c r="G194" s="34">
        <f>SUMIFS('In Place Revenue'!$G$2:$G$764,'In Place Revenue'!$B$2:$B$764,$B194,'In Place Revenue'!$D$2:$D$764,G$171)</f>
        <v>0</v>
      </c>
      <c r="H194" s="34">
        <f>SUMIFS('In Place Revenue'!$G$2:$G$764,'In Place Revenue'!$B$2:$B$764,$B194,'In Place Revenue'!$D$2:$D$764,H$171)</f>
        <v>0</v>
      </c>
      <c r="I194" s="34">
        <f>SUMIFS('In Place Revenue'!$G$2:$G$764,'In Place Revenue'!$B$2:$B$764,$B194,'In Place Revenue'!$D$2:$D$764,I$171)</f>
        <v>0</v>
      </c>
      <c r="J194" s="34">
        <f>SUMIFS('In Place Revenue'!$G$2:$G$764,'In Place Revenue'!$B$2:$B$764,$B194,'In Place Revenue'!$D$2:$D$764,J$171)</f>
        <v>0</v>
      </c>
      <c r="K194" s="34">
        <f>SUMIFS('In Place Revenue'!$G$2:$G$764,'In Place Revenue'!$B$2:$B$764,$B194,'In Place Revenue'!$D$2:$D$764,K$171)</f>
        <v>0</v>
      </c>
      <c r="L194" s="34">
        <f>SUMIFS('In Place Revenue'!$G$2:$G$764,'In Place Revenue'!$B$2:$B$764,$B194,'In Place Revenue'!$D$2:$D$764,L$171)</f>
        <v>0</v>
      </c>
      <c r="M194" s="34">
        <f>SUMIFS('In Place Revenue'!$G$2:$G$764,'In Place Revenue'!$B$2:$B$764,$B194,'In Place Revenue'!$D$2:$D$764,M$171)</f>
        <v>0</v>
      </c>
      <c r="N194" s="34">
        <f>SUMIFS('In Place Revenue'!$G$2:$G$764,'In Place Revenue'!$B$2:$B$764,$B194,'In Place Revenue'!$D$2:$D$764,N$171)</f>
        <v>0</v>
      </c>
      <c r="O194" s="34">
        <f>SUMIFS('In Place Revenue'!$G$2:$G$764,'In Place Revenue'!$B$2:$B$764,$B194,'In Place Revenue'!$D$2:$D$764,O$171)</f>
        <v>0</v>
      </c>
      <c r="P194" s="34">
        <f>SUMIFS('In Place Revenue'!$G$2:$G$764,'In Place Revenue'!$B$2:$B$764,$B194,'In Place Revenue'!$D$2:$D$764,P$171)</f>
        <v>0</v>
      </c>
      <c r="Q194" s="36">
        <f t="shared" si="43"/>
        <v>0</v>
      </c>
    </row>
    <row r="195" spans="2:21" outlineLevel="1" x14ac:dyDescent="0.35">
      <c r="B195" s="523" t="s">
        <v>287</v>
      </c>
      <c r="C195" s="115"/>
      <c r="D195" s="34" t="str">
        <f>IFERROR(VLOOKUP(B195,'In Place Revenue'!$B$2:$H$630,2,FALSE),VLOOKUP(B195,$B$204:$D$228,3,FALSE))</f>
        <v>Partnership for Community Supp</v>
      </c>
      <c r="E195" s="34">
        <f>SUMIFS('In Place Revenue'!$G$2:$G$764,'In Place Revenue'!$B$2:$B$764,$B195,'In Place Revenue'!$D$2:$D$764,E$171)</f>
        <v>14323.75</v>
      </c>
      <c r="F195" s="34">
        <f>SUMIFS('In Place Revenue'!$G$2:$G$764,'In Place Revenue'!$B$2:$B$764,$B195,'In Place Revenue'!$D$2:$D$764,F$171)</f>
        <v>14323.75</v>
      </c>
      <c r="G195" s="34">
        <f>SUMIFS('In Place Revenue'!$G$2:$G$764,'In Place Revenue'!$B$2:$B$764,$B195,'In Place Revenue'!$D$2:$D$764,G$171)</f>
        <v>14323.75</v>
      </c>
      <c r="H195" s="34">
        <f>SUMIFS('In Place Revenue'!$G$2:$G$764,'In Place Revenue'!$B$2:$B$764,$B195,'In Place Revenue'!$D$2:$D$764,H$171)</f>
        <v>14323.75</v>
      </c>
      <c r="I195" s="34">
        <f>SUMIFS('In Place Revenue'!$G$2:$G$764,'In Place Revenue'!$B$2:$B$764,$B195,'In Place Revenue'!$D$2:$D$764,I$171)</f>
        <v>14323.75</v>
      </c>
      <c r="J195" s="34">
        <f>SUMIFS('In Place Revenue'!$G$2:$G$764,'In Place Revenue'!$B$2:$B$764,$B195,'In Place Revenue'!$D$2:$D$764,J$171)</f>
        <v>14323.75</v>
      </c>
      <c r="K195" s="34">
        <f>SUMIFS('In Place Revenue'!$G$2:$G$764,'In Place Revenue'!$B$2:$B$764,$B195,'In Place Revenue'!$D$2:$D$764,K$171)</f>
        <v>0</v>
      </c>
      <c r="L195" s="34">
        <f>SUMIFS('In Place Revenue'!$G$2:$G$764,'In Place Revenue'!$B$2:$B$764,$B195,'In Place Revenue'!$D$2:$D$764,L$171)</f>
        <v>0</v>
      </c>
      <c r="M195" s="34">
        <f>SUMIFS('In Place Revenue'!$G$2:$G$764,'In Place Revenue'!$B$2:$B$764,$B195,'In Place Revenue'!$D$2:$D$764,M$171)</f>
        <v>0</v>
      </c>
      <c r="N195" s="34">
        <f>SUMIFS('In Place Revenue'!$G$2:$G$764,'In Place Revenue'!$B$2:$B$764,$B195,'In Place Revenue'!$D$2:$D$764,N$171)</f>
        <v>0</v>
      </c>
      <c r="O195" s="34">
        <f>SUMIFS('In Place Revenue'!$G$2:$G$764,'In Place Revenue'!$B$2:$B$764,$B195,'In Place Revenue'!$D$2:$D$764,O$171)</f>
        <v>0</v>
      </c>
      <c r="P195" s="34">
        <f>SUMIFS('In Place Revenue'!$G$2:$G$764,'In Place Revenue'!$B$2:$B$764,$B195,'In Place Revenue'!$D$2:$D$764,P$171)</f>
        <v>0</v>
      </c>
      <c r="Q195" s="36">
        <f t="shared" si="43"/>
        <v>85942.5</v>
      </c>
    </row>
    <row r="196" spans="2:21" outlineLevel="1" x14ac:dyDescent="0.35">
      <c r="B196" s="523" t="s">
        <v>651</v>
      </c>
      <c r="C196" s="115"/>
      <c r="D196" s="34" t="str">
        <f>IFERROR(VLOOKUP(B196,'In Place Revenue'!$B$2:$H$630,2,FALSE),VLOOKUP(B196,$B$204:$D$228,3,FALSE))</f>
        <v>VACANT</v>
      </c>
      <c r="E196" s="34">
        <f>SUMIFS('In Place Revenue'!$G$2:$G$764,'In Place Revenue'!$B$2:$B$764,$B196,'In Place Revenue'!$D$2:$D$764,E$171)</f>
        <v>0</v>
      </c>
      <c r="F196" s="34">
        <f>SUMIFS('In Place Revenue'!$G$2:$G$764,'In Place Revenue'!$B$2:$B$764,$B196,'In Place Revenue'!$D$2:$D$764,F$171)</f>
        <v>0</v>
      </c>
      <c r="G196" s="34">
        <f>SUMIFS('In Place Revenue'!$G$2:$G$764,'In Place Revenue'!$B$2:$B$764,$B196,'In Place Revenue'!$D$2:$D$764,G$171)</f>
        <v>0</v>
      </c>
      <c r="H196" s="34">
        <f>SUMIFS('In Place Revenue'!$G$2:$G$764,'In Place Revenue'!$B$2:$B$764,$B196,'In Place Revenue'!$D$2:$D$764,H$171)</f>
        <v>0</v>
      </c>
      <c r="I196" s="34">
        <f>SUMIFS('In Place Revenue'!$G$2:$G$764,'In Place Revenue'!$B$2:$B$764,$B196,'In Place Revenue'!$D$2:$D$764,I$171)</f>
        <v>0</v>
      </c>
      <c r="J196" s="34">
        <f>SUMIFS('In Place Revenue'!$G$2:$G$764,'In Place Revenue'!$B$2:$B$764,$B196,'In Place Revenue'!$D$2:$D$764,J$171)</f>
        <v>0</v>
      </c>
      <c r="K196" s="34">
        <f>SUMIFS('In Place Revenue'!$G$2:$G$764,'In Place Revenue'!$B$2:$B$764,$B196,'In Place Revenue'!$D$2:$D$764,K$171)</f>
        <v>0</v>
      </c>
      <c r="L196" s="34">
        <f>SUMIFS('In Place Revenue'!$G$2:$G$764,'In Place Revenue'!$B$2:$B$764,$B196,'In Place Revenue'!$D$2:$D$764,L$171)</f>
        <v>0</v>
      </c>
      <c r="M196" s="34">
        <f>SUMIFS('In Place Revenue'!$G$2:$G$764,'In Place Revenue'!$B$2:$B$764,$B196,'In Place Revenue'!$D$2:$D$764,M$171)</f>
        <v>0</v>
      </c>
      <c r="N196" s="34">
        <f>SUMIFS('In Place Revenue'!$G$2:$G$764,'In Place Revenue'!$B$2:$B$764,$B196,'In Place Revenue'!$D$2:$D$764,N$171)</f>
        <v>0</v>
      </c>
      <c r="O196" s="34">
        <f>SUMIFS('In Place Revenue'!$G$2:$G$764,'In Place Revenue'!$B$2:$B$764,$B196,'In Place Revenue'!$D$2:$D$764,O$171)</f>
        <v>0</v>
      </c>
      <c r="P196" s="34">
        <f>SUMIFS('In Place Revenue'!$G$2:$G$764,'In Place Revenue'!$B$2:$B$764,$B196,'In Place Revenue'!$D$2:$D$764,P$171)</f>
        <v>0</v>
      </c>
      <c r="Q196" s="36">
        <f t="shared" si="43"/>
        <v>0</v>
      </c>
    </row>
    <row r="197" spans="2:21" outlineLevel="1" x14ac:dyDescent="0.35">
      <c r="B197" s="523" t="s">
        <v>246</v>
      </c>
      <c r="C197" s="115"/>
      <c r="D197" s="34" t="str">
        <f>IFERROR(VLOOKUP(B197,'In Place Revenue'!$B$2:$H$630,2,FALSE),VLOOKUP(B197,$B$204:$D$228,3,FALSE))</f>
        <v>Korman Commercial Properties</v>
      </c>
      <c r="E197" s="34">
        <f>SUMIFS('In Place Revenue'!$G$2:$G$764,'In Place Revenue'!$B$2:$B$764,$B197,'In Place Revenue'!$D$2:$D$764,E$171)</f>
        <v>5924</v>
      </c>
      <c r="F197" s="34">
        <f>SUMIFS('In Place Revenue'!$G$2:$G$764,'In Place Revenue'!$B$2:$B$764,$B197,'In Place Revenue'!$D$2:$D$764,F$171)</f>
        <v>5924</v>
      </c>
      <c r="G197" s="34">
        <f>SUMIFS('In Place Revenue'!$G$2:$G$764,'In Place Revenue'!$B$2:$B$764,$B197,'In Place Revenue'!$D$2:$D$764,G$171)</f>
        <v>5924</v>
      </c>
      <c r="H197" s="34">
        <f>SUMIFS('In Place Revenue'!$G$2:$G$764,'In Place Revenue'!$B$2:$B$764,$B197,'In Place Revenue'!$D$2:$D$764,H$171)</f>
        <v>5924</v>
      </c>
      <c r="I197" s="34">
        <f>SUMIFS('In Place Revenue'!$G$2:$G$764,'In Place Revenue'!$B$2:$B$764,$B197,'In Place Revenue'!$D$2:$D$764,I$171)</f>
        <v>5924</v>
      </c>
      <c r="J197" s="34">
        <f>SUMIFS('In Place Revenue'!$G$2:$G$764,'In Place Revenue'!$B$2:$B$764,$B197,'In Place Revenue'!$D$2:$D$764,J$171)</f>
        <v>5924</v>
      </c>
      <c r="K197" s="34">
        <f>SUMIFS('In Place Revenue'!$G$2:$G$764,'In Place Revenue'!$B$2:$B$764,$B197,'In Place Revenue'!$D$2:$D$764,K$171)</f>
        <v>5924</v>
      </c>
      <c r="L197" s="34">
        <f>SUMIFS('In Place Revenue'!$G$2:$G$764,'In Place Revenue'!$B$2:$B$764,$B197,'In Place Revenue'!$D$2:$D$764,L$171)</f>
        <v>5924</v>
      </c>
      <c r="M197" s="34">
        <f>SUMIFS('In Place Revenue'!$G$2:$G$764,'In Place Revenue'!$B$2:$B$764,$B197,'In Place Revenue'!$D$2:$D$764,M$171)</f>
        <v>0</v>
      </c>
      <c r="N197" s="34">
        <f>SUMIFS('In Place Revenue'!$G$2:$G$764,'In Place Revenue'!$B$2:$B$764,$B197,'In Place Revenue'!$D$2:$D$764,N$171)</f>
        <v>0</v>
      </c>
      <c r="O197" s="34">
        <f>SUMIFS('In Place Revenue'!$G$2:$G$764,'In Place Revenue'!$B$2:$B$764,$B197,'In Place Revenue'!$D$2:$D$764,O$171)</f>
        <v>0</v>
      </c>
      <c r="P197" s="34">
        <f>SUMIFS('In Place Revenue'!$G$2:$G$764,'In Place Revenue'!$B$2:$B$764,$B197,'In Place Revenue'!$D$2:$D$764,P$171)</f>
        <v>0</v>
      </c>
      <c r="Q197" s="36">
        <f t="shared" ref="Q197:Q198" si="44">SUM(E197:P197)</f>
        <v>47392</v>
      </c>
    </row>
    <row r="198" spans="2:21" outlineLevel="1" x14ac:dyDescent="0.35">
      <c r="B198" s="524" t="s">
        <v>233</v>
      </c>
      <c r="C198" s="116"/>
      <c r="D198" s="43" t="str">
        <f>IFERROR(VLOOKUP(B198,'In Place Revenue'!$B$2:$H$630,2,FALSE),VLOOKUP(B198,$B$204:$D$228,3,FALSE))</f>
        <v>Spectrum Control, Inc.</v>
      </c>
      <c r="E198" s="43">
        <f>SUMIFS('In Place Revenue'!$G$2:$G$764,'In Place Revenue'!$B$2:$B$764,$B198,'In Place Revenue'!$D$2:$D$764,E$171)</f>
        <v>14574</v>
      </c>
      <c r="F198" s="43">
        <f>SUMIFS('In Place Revenue'!$G$2:$G$764,'In Place Revenue'!$B$2:$B$764,$B198,'In Place Revenue'!$D$2:$D$764,F$171)</f>
        <v>14574</v>
      </c>
      <c r="G198" s="43">
        <f>SUMIFS('In Place Revenue'!$G$2:$G$764,'In Place Revenue'!$B$2:$B$764,$B198,'In Place Revenue'!$D$2:$D$764,G$171)</f>
        <v>14574</v>
      </c>
      <c r="H198" s="43">
        <f>SUMIFS('In Place Revenue'!$G$2:$G$764,'In Place Revenue'!$B$2:$B$764,$B198,'In Place Revenue'!$D$2:$D$764,H$171)</f>
        <v>14574</v>
      </c>
      <c r="I198" s="43">
        <f>SUMIFS('In Place Revenue'!$G$2:$G$764,'In Place Revenue'!$B$2:$B$764,$B198,'In Place Revenue'!$D$2:$D$764,I$171)</f>
        <v>14574</v>
      </c>
      <c r="J198" s="43">
        <f>SUMIFS('In Place Revenue'!$G$2:$G$764,'In Place Revenue'!$B$2:$B$764,$B198,'In Place Revenue'!$D$2:$D$764,J$171)</f>
        <v>14574</v>
      </c>
      <c r="K198" s="43">
        <f>SUMIFS('In Place Revenue'!$G$2:$G$764,'In Place Revenue'!$B$2:$B$764,$B198,'In Place Revenue'!$D$2:$D$764,K$171)</f>
        <v>0</v>
      </c>
      <c r="L198" s="43">
        <f>SUMIFS('In Place Revenue'!$G$2:$G$764,'In Place Revenue'!$B$2:$B$764,$B198,'In Place Revenue'!$D$2:$D$764,L$171)</f>
        <v>0</v>
      </c>
      <c r="M198" s="43">
        <f>SUMIFS('In Place Revenue'!$G$2:$G$764,'In Place Revenue'!$B$2:$B$764,$B198,'In Place Revenue'!$D$2:$D$764,M$171)</f>
        <v>0</v>
      </c>
      <c r="N198" s="43">
        <f>SUMIFS('In Place Revenue'!$G$2:$G$764,'In Place Revenue'!$B$2:$B$764,$B198,'In Place Revenue'!$D$2:$D$764,N$171)</f>
        <v>0</v>
      </c>
      <c r="O198" s="43">
        <f>SUMIFS('In Place Revenue'!$G$2:$G$764,'In Place Revenue'!$B$2:$B$764,$B198,'In Place Revenue'!$D$2:$D$764,O$171)</f>
        <v>0</v>
      </c>
      <c r="P198" s="43">
        <f>SUMIFS('In Place Revenue'!$G$2:$G$764,'In Place Revenue'!$B$2:$B$764,$B198,'In Place Revenue'!$D$2:$D$764,P$171)</f>
        <v>0</v>
      </c>
      <c r="Q198" s="87">
        <f t="shared" si="44"/>
        <v>87444</v>
      </c>
    </row>
    <row r="199" spans="2:21" outlineLevel="1" x14ac:dyDescent="0.35">
      <c r="B199" s="10"/>
      <c r="D199" s="44" t="s">
        <v>12</v>
      </c>
      <c r="E199" s="36">
        <f>SUM(E172:E198)</f>
        <v>100332.82</v>
      </c>
      <c r="F199" s="36">
        <f t="shared" ref="F199:Q199" si="45">SUM(F172:F198)</f>
        <v>100332.82</v>
      </c>
      <c r="G199" s="36">
        <f t="shared" si="45"/>
        <v>100597.87</v>
      </c>
      <c r="H199" s="36">
        <f t="shared" si="45"/>
        <v>96232.489999999991</v>
      </c>
      <c r="I199" s="36">
        <f t="shared" si="45"/>
        <v>96232.489999999991</v>
      </c>
      <c r="J199" s="36">
        <f t="shared" si="45"/>
        <v>96232.489999999991</v>
      </c>
      <c r="K199" s="36">
        <f t="shared" si="45"/>
        <v>67334.739999999991</v>
      </c>
      <c r="L199" s="36">
        <f t="shared" si="45"/>
        <v>67614.91</v>
      </c>
      <c r="M199" s="36">
        <f t="shared" si="45"/>
        <v>61690.909999999996</v>
      </c>
      <c r="N199" s="36">
        <f t="shared" si="45"/>
        <v>54965.909999999996</v>
      </c>
      <c r="O199" s="36">
        <f t="shared" si="45"/>
        <v>54965.909999999996</v>
      </c>
      <c r="P199" s="36">
        <f t="shared" si="45"/>
        <v>54965.909999999996</v>
      </c>
      <c r="Q199" s="36">
        <f t="shared" si="45"/>
        <v>951499.27</v>
      </c>
    </row>
    <row r="200" spans="2:21" outlineLevel="1" x14ac:dyDescent="0.35">
      <c r="B200" s="10"/>
      <c r="E200" s="95">
        <f t="shared" ref="E200:Q200" si="46">E10-E199</f>
        <v>0</v>
      </c>
      <c r="F200" s="95">
        <f t="shared" si="46"/>
        <v>0</v>
      </c>
      <c r="G200" s="95">
        <f t="shared" si="46"/>
        <v>0</v>
      </c>
      <c r="H200" s="95">
        <f t="shared" si="46"/>
        <v>0</v>
      </c>
      <c r="I200" s="95">
        <f t="shared" si="46"/>
        <v>0</v>
      </c>
      <c r="J200" s="95">
        <f t="shared" si="46"/>
        <v>0</v>
      </c>
      <c r="K200" s="95">
        <f t="shared" si="46"/>
        <v>0</v>
      </c>
      <c r="L200" s="95">
        <f t="shared" si="46"/>
        <v>0</v>
      </c>
      <c r="M200" s="95">
        <f t="shared" si="46"/>
        <v>0</v>
      </c>
      <c r="N200" s="95">
        <f t="shared" si="46"/>
        <v>0</v>
      </c>
      <c r="O200" s="95">
        <f t="shared" si="46"/>
        <v>0</v>
      </c>
      <c r="P200" s="95">
        <f t="shared" si="46"/>
        <v>0</v>
      </c>
      <c r="Q200" s="95">
        <f t="shared" si="46"/>
        <v>0</v>
      </c>
    </row>
    <row r="201" spans="2:21" x14ac:dyDescent="0.35">
      <c r="B201" s="10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</row>
    <row r="202" spans="2:21" ht="17.5" x14ac:dyDescent="0.35">
      <c r="B202" s="37" t="s">
        <v>164</v>
      </c>
      <c r="E202" s="517"/>
      <c r="F202" s="518"/>
      <c r="G202" s="518"/>
      <c r="H202" s="518"/>
      <c r="I202" s="518"/>
      <c r="J202" s="518"/>
      <c r="K202" s="518"/>
      <c r="L202" s="518"/>
      <c r="M202" s="518"/>
      <c r="N202" s="518"/>
      <c r="O202" s="518"/>
      <c r="P202" s="518"/>
      <c r="T202" s="34"/>
      <c r="U202" s="34"/>
    </row>
    <row r="203" spans="2:21" outlineLevel="1" x14ac:dyDescent="0.35">
      <c r="B203" s="43" t="s">
        <v>619</v>
      </c>
      <c r="C203" s="43"/>
      <c r="D203" s="43" t="s">
        <v>424</v>
      </c>
      <c r="E203" s="519">
        <f t="shared" ref="E203:P203" si="47">E171</f>
        <v>46023</v>
      </c>
      <c r="F203" s="519">
        <f t="shared" si="47"/>
        <v>46054</v>
      </c>
      <c r="G203" s="519">
        <f t="shared" si="47"/>
        <v>46082</v>
      </c>
      <c r="H203" s="519">
        <f t="shared" si="47"/>
        <v>46113</v>
      </c>
      <c r="I203" s="519">
        <f t="shared" si="47"/>
        <v>46143</v>
      </c>
      <c r="J203" s="519">
        <f t="shared" si="47"/>
        <v>46174</v>
      </c>
      <c r="K203" s="519">
        <f t="shared" si="47"/>
        <v>46204</v>
      </c>
      <c r="L203" s="519">
        <f t="shared" si="47"/>
        <v>46235</v>
      </c>
      <c r="M203" s="519">
        <f t="shared" si="47"/>
        <v>46266</v>
      </c>
      <c r="N203" s="519">
        <f t="shared" si="47"/>
        <v>46296</v>
      </c>
      <c r="O203" s="519">
        <f t="shared" si="47"/>
        <v>46327</v>
      </c>
      <c r="P203" s="519">
        <f t="shared" si="47"/>
        <v>46357</v>
      </c>
      <c r="Q203" s="481" t="s">
        <v>12</v>
      </c>
      <c r="T203" s="34"/>
      <c r="U203" s="34"/>
    </row>
    <row r="204" spans="2:21" outlineLevel="1" x14ac:dyDescent="0.35">
      <c r="B204" s="525" t="str">
        <f t="shared" ref="B204:B228" si="48">B172</f>
        <v>4080-100</v>
      </c>
      <c r="D204" s="34" t="str">
        <f>IFERROR(VLOOKUP(B204,'Renew &amp; Vac'!$A$75:$B$89,2,FALSE),IFERROR(VLOOKUP(B204,'Renew &amp; Vac'!$L$75:$M$89,2,FALSE),VLOOKUP(B204,$B$172:$D$196,3,FALSE)))</f>
        <v>Lawler Terrace Corp.</v>
      </c>
      <c r="E204" s="77">
        <f>SUMIFS('Renew &amp; Vac'!$S$75:$S$89,'Renew &amp; Vac'!$L$75:$L$89,$B204,'Renew &amp; Vac'!$O$75:$O$89,"&lt;="&amp;E$203,'Renew &amp; Vac'!$P$75:$P$89,"&gt;="&amp;E$203)+SUMIFS('Renew &amp; Vac'!$H$75:$H$89,'Renew &amp; Vac'!$A$75:$A$89,$B204,'Renew &amp; Vac'!$D$75:$D$89,"&lt;="&amp;E$203,'Renew &amp; Vac'!$E$75:$E$89,"&gt;="&amp;E$203)</f>
        <v>0</v>
      </c>
      <c r="F204" s="77">
        <f>SUMIFS('Renew &amp; Vac'!$S$75:$S$89,'Renew &amp; Vac'!$L$75:$L$89,$B204,'Renew &amp; Vac'!$O$75:$O$89,"&lt;="&amp;F$203,'Renew &amp; Vac'!$P$75:$P$89,"&gt;="&amp;F$203)+SUMIFS('Renew &amp; Vac'!$H$75:$H$89,'Renew &amp; Vac'!$A$75:$A$89,$B204,'Renew &amp; Vac'!$D$75:$D$89,"&lt;="&amp;F$203,'Renew &amp; Vac'!$E$75:$E$89,"&gt;="&amp;F$203)</f>
        <v>0</v>
      </c>
      <c r="G204" s="77">
        <f>SUMIFS('Renew &amp; Vac'!$S$75:$S$89,'Renew &amp; Vac'!$L$75:$L$89,$B204,'Renew &amp; Vac'!$O$75:$O$89,"&lt;="&amp;G$203,'Renew &amp; Vac'!$P$75:$P$89,"&gt;="&amp;G$203)+SUMIFS('Renew &amp; Vac'!$H$75:$H$89,'Renew &amp; Vac'!$A$75:$A$89,$B204,'Renew &amp; Vac'!$D$75:$D$89,"&lt;="&amp;G$203,'Renew &amp; Vac'!$E$75:$E$89,"&gt;="&amp;G$203)</f>
        <v>0</v>
      </c>
      <c r="H204" s="77">
        <f>SUMIFS('Renew &amp; Vac'!$S$75:$S$89,'Renew &amp; Vac'!$L$75:$L$89,$B204,'Renew &amp; Vac'!$O$75:$O$89,"&lt;="&amp;H$203,'Renew &amp; Vac'!$P$75:$P$89,"&gt;="&amp;H$203)+SUMIFS('Renew &amp; Vac'!$H$75:$H$89,'Renew &amp; Vac'!$A$75:$A$89,$B204,'Renew &amp; Vac'!$D$75:$D$89,"&lt;="&amp;H$203,'Renew &amp; Vac'!$E$75:$E$89,"&gt;="&amp;H$203)</f>
        <v>0</v>
      </c>
      <c r="I204" s="77">
        <f>SUMIFS('Renew &amp; Vac'!$S$75:$S$89,'Renew &amp; Vac'!$L$75:$L$89,$B204,'Renew &amp; Vac'!$O$75:$O$89,"&lt;="&amp;I$203,'Renew &amp; Vac'!$P$75:$P$89,"&gt;="&amp;I$203)+SUMIFS('Renew &amp; Vac'!$H$75:$H$89,'Renew &amp; Vac'!$A$75:$A$89,$B204,'Renew &amp; Vac'!$D$75:$D$89,"&lt;="&amp;I$203,'Renew &amp; Vac'!$E$75:$E$89,"&gt;="&amp;I$203)</f>
        <v>0</v>
      </c>
      <c r="J204" s="77">
        <f>SUMIFS('Renew &amp; Vac'!$S$75:$S$89,'Renew &amp; Vac'!$L$75:$L$89,$B204,'Renew &amp; Vac'!$O$75:$O$89,"&lt;="&amp;J$203,'Renew &amp; Vac'!$P$75:$P$89,"&gt;="&amp;J$203)+SUMIFS('Renew &amp; Vac'!$H$75:$H$89,'Renew &amp; Vac'!$A$75:$A$89,$B204,'Renew &amp; Vac'!$D$75:$D$89,"&lt;="&amp;J$203,'Renew &amp; Vac'!$E$75:$E$89,"&gt;="&amp;J$203)</f>
        <v>0</v>
      </c>
      <c r="K204" s="77">
        <f>SUMIFS('Renew &amp; Vac'!$S$75:$S$89,'Renew &amp; Vac'!$L$75:$L$89,$B204,'Renew &amp; Vac'!$O$75:$O$89,"&lt;="&amp;K$203,'Renew &amp; Vac'!$P$75:$P$89,"&gt;="&amp;K$203)+SUMIFS('Renew &amp; Vac'!$H$75:$H$89,'Renew &amp; Vac'!$A$75:$A$89,$B204,'Renew &amp; Vac'!$D$75:$D$89,"&lt;="&amp;K$203,'Renew &amp; Vac'!$E$75:$E$89,"&gt;="&amp;K$203)</f>
        <v>0</v>
      </c>
      <c r="L204" s="77">
        <f>SUMIFS('Renew &amp; Vac'!$S$75:$S$89,'Renew &amp; Vac'!$L$75:$L$89,$B204,'Renew &amp; Vac'!$O$75:$O$89,"&lt;="&amp;L$203,'Renew &amp; Vac'!$P$75:$P$89,"&gt;="&amp;L$203)+SUMIFS('Renew &amp; Vac'!$H$75:$H$89,'Renew &amp; Vac'!$A$75:$A$89,$B204,'Renew &amp; Vac'!$D$75:$D$89,"&lt;="&amp;L$203,'Renew &amp; Vac'!$E$75:$E$89,"&gt;="&amp;L$203)</f>
        <v>0</v>
      </c>
      <c r="M204" s="77">
        <f>SUMIFS('Renew &amp; Vac'!$S$75:$S$89,'Renew &amp; Vac'!$L$75:$L$89,$B204,'Renew &amp; Vac'!$O$75:$O$89,"&lt;="&amp;M$203,'Renew &amp; Vac'!$P$75:$P$89,"&gt;="&amp;M$203)+SUMIFS('Renew &amp; Vac'!$H$75:$H$89,'Renew &amp; Vac'!$A$75:$A$89,$B204,'Renew &amp; Vac'!$D$75:$D$89,"&lt;="&amp;M$203,'Renew &amp; Vac'!$E$75:$E$89,"&gt;="&amp;M$203)</f>
        <v>0</v>
      </c>
      <c r="N204" s="77">
        <f>SUMIFS('Renew &amp; Vac'!$S$75:$S$89,'Renew &amp; Vac'!$L$75:$L$89,$B204,'Renew &amp; Vac'!$O$75:$O$89,"&lt;="&amp;N$203,'Renew &amp; Vac'!$P$75:$P$89,"&gt;="&amp;N$203)+SUMIFS('Renew &amp; Vac'!$H$75:$H$89,'Renew &amp; Vac'!$A$75:$A$89,$B204,'Renew &amp; Vac'!$D$75:$D$89,"&lt;="&amp;N$203,'Renew &amp; Vac'!$E$75:$E$89,"&gt;="&amp;N$203)</f>
        <v>0</v>
      </c>
      <c r="O204" s="77">
        <f>SUMIFS('Renew &amp; Vac'!$S$75:$S$89,'Renew &amp; Vac'!$L$75:$L$89,$B204,'Renew &amp; Vac'!$O$75:$O$89,"&lt;="&amp;O$203,'Renew &amp; Vac'!$P$75:$P$89,"&gt;="&amp;O$203)+SUMIFS('Renew &amp; Vac'!$H$75:$H$89,'Renew &amp; Vac'!$A$75:$A$89,$B204,'Renew &amp; Vac'!$D$75:$D$89,"&lt;="&amp;O$203,'Renew &amp; Vac'!$E$75:$E$89,"&gt;="&amp;O$203)</f>
        <v>0</v>
      </c>
      <c r="P204" s="77">
        <f>SUMIFS('Renew &amp; Vac'!$S$75:$S$89,'Renew &amp; Vac'!$L$75:$L$89,$B204,'Renew &amp; Vac'!$O$75:$O$89,"&lt;="&amp;P$203,'Renew &amp; Vac'!$P$75:$P$89,"&gt;="&amp;P$203)+SUMIFS('Renew &amp; Vac'!$H$75:$H$89,'Renew &amp; Vac'!$A$75:$A$89,$B204,'Renew &amp; Vac'!$D$75:$D$89,"&lt;="&amp;P$203,'Renew &amp; Vac'!$E$75:$E$89,"&gt;="&amp;P$203)</f>
        <v>0</v>
      </c>
      <c r="Q204" s="36">
        <f>SUM(E204:P204)</f>
        <v>0</v>
      </c>
      <c r="T204" s="34"/>
      <c r="U204" s="34"/>
    </row>
    <row r="205" spans="2:21" outlineLevel="1" x14ac:dyDescent="0.35">
      <c r="B205" s="127" t="str">
        <f t="shared" si="48"/>
        <v>4080-102</v>
      </c>
      <c r="D205" s="34" t="str">
        <f>IFERROR(VLOOKUP(B205,'Renew &amp; Vac'!$A$75:$B$89,2,FALSE),IFERROR(VLOOKUP(B205,'Renew &amp; Vac'!$L$75:$M$89,2,FALSE),VLOOKUP(B205,$B$172:$D$196,3,FALSE)))</f>
        <v>Reliant Solutions</v>
      </c>
      <c r="E205" s="34">
        <f>SUMIFS('Renew &amp; Vac'!$S$75:$S$89,'Renew &amp; Vac'!$L$75:$L$89,$B205,'Renew &amp; Vac'!$O$75:$O$89,"&lt;="&amp;E$203,'Renew &amp; Vac'!$P$75:$P$89,"&gt;="&amp;E$203)+SUMIFS('Renew &amp; Vac'!$H$75:$H$89,'Renew &amp; Vac'!$A$75:$A$89,$B205,'Renew &amp; Vac'!$D$75:$D$89,"&lt;="&amp;E$203,'Renew &amp; Vac'!$E$75:$E$89,"&gt;="&amp;E$203)</f>
        <v>0</v>
      </c>
      <c r="F205" s="34">
        <f>SUMIFS('Renew &amp; Vac'!$S$75:$S$89,'Renew &amp; Vac'!$L$75:$L$89,$B205,'Renew &amp; Vac'!$O$75:$O$89,"&lt;="&amp;F$203,'Renew &amp; Vac'!$P$75:$P$89,"&gt;="&amp;F$203)+SUMIFS('Renew &amp; Vac'!$H$75:$H$89,'Renew &amp; Vac'!$A$75:$A$89,$B205,'Renew &amp; Vac'!$D$75:$D$89,"&lt;="&amp;F$203,'Renew &amp; Vac'!$E$75:$E$89,"&gt;="&amp;F$203)</f>
        <v>0</v>
      </c>
      <c r="G205" s="34">
        <f>SUMIFS('Renew &amp; Vac'!$S$75:$S$89,'Renew &amp; Vac'!$L$75:$L$89,$B205,'Renew &amp; Vac'!$O$75:$O$89,"&lt;="&amp;G$203,'Renew &amp; Vac'!$P$75:$P$89,"&gt;="&amp;G$203)+SUMIFS('Renew &amp; Vac'!$H$75:$H$89,'Renew &amp; Vac'!$A$75:$A$89,$B205,'Renew &amp; Vac'!$D$75:$D$89,"&lt;="&amp;G$203,'Renew &amp; Vac'!$E$75:$E$89,"&gt;="&amp;G$203)</f>
        <v>0</v>
      </c>
      <c r="H205" s="34">
        <f>SUMIFS('Renew &amp; Vac'!$S$75:$S$89,'Renew &amp; Vac'!$L$75:$L$89,$B205,'Renew &amp; Vac'!$O$75:$O$89,"&lt;="&amp;H$203,'Renew &amp; Vac'!$P$75:$P$89,"&gt;="&amp;H$203)+SUMIFS('Renew &amp; Vac'!$H$75:$H$89,'Renew &amp; Vac'!$A$75:$A$89,$B205,'Renew &amp; Vac'!$D$75:$D$89,"&lt;="&amp;H$203,'Renew &amp; Vac'!$E$75:$E$89,"&gt;="&amp;H$203)</f>
        <v>0</v>
      </c>
      <c r="I205" s="34">
        <f>SUMIFS('Renew &amp; Vac'!$S$75:$S$89,'Renew &amp; Vac'!$L$75:$L$89,$B205,'Renew &amp; Vac'!$O$75:$O$89,"&lt;="&amp;I$203,'Renew &amp; Vac'!$P$75:$P$89,"&gt;="&amp;I$203)+SUMIFS('Renew &amp; Vac'!$H$75:$H$89,'Renew &amp; Vac'!$A$75:$A$89,$B205,'Renew &amp; Vac'!$D$75:$D$89,"&lt;="&amp;I$203,'Renew &amp; Vac'!$E$75:$E$89,"&gt;="&amp;I$203)</f>
        <v>0</v>
      </c>
      <c r="J205" s="34">
        <f>SUMIFS('Renew &amp; Vac'!$S$75:$S$89,'Renew &amp; Vac'!$L$75:$L$89,$B205,'Renew &amp; Vac'!$O$75:$O$89,"&lt;="&amp;J$203,'Renew &amp; Vac'!$P$75:$P$89,"&gt;="&amp;J$203)+SUMIFS('Renew &amp; Vac'!$H$75:$H$89,'Renew &amp; Vac'!$A$75:$A$89,$B205,'Renew &amp; Vac'!$D$75:$D$89,"&lt;="&amp;J$203,'Renew &amp; Vac'!$E$75:$E$89,"&gt;="&amp;J$203)</f>
        <v>0</v>
      </c>
      <c r="K205" s="34">
        <f>SUMIFS('Renew &amp; Vac'!$S$75:$S$89,'Renew &amp; Vac'!$L$75:$L$89,$B205,'Renew &amp; Vac'!$O$75:$O$89,"&lt;="&amp;K$203,'Renew &amp; Vac'!$P$75:$P$89,"&gt;="&amp;K$203)+SUMIFS('Renew &amp; Vac'!$H$75:$H$89,'Renew &amp; Vac'!$A$75:$A$89,$B205,'Renew &amp; Vac'!$D$75:$D$89,"&lt;="&amp;K$203,'Renew &amp; Vac'!$E$75:$E$89,"&gt;="&amp;K$203)</f>
        <v>0</v>
      </c>
      <c r="L205" s="34">
        <f>SUMIFS('Renew &amp; Vac'!$S$75:$S$89,'Renew &amp; Vac'!$L$75:$L$89,$B205,'Renew &amp; Vac'!$O$75:$O$89,"&lt;="&amp;L$203,'Renew &amp; Vac'!$P$75:$P$89,"&gt;="&amp;L$203)+SUMIFS('Renew &amp; Vac'!$H$75:$H$89,'Renew &amp; Vac'!$A$75:$A$89,$B205,'Renew &amp; Vac'!$D$75:$D$89,"&lt;="&amp;L$203,'Renew &amp; Vac'!$E$75:$E$89,"&gt;="&amp;L$203)</f>
        <v>0</v>
      </c>
      <c r="M205" s="34">
        <f>SUMIFS('Renew &amp; Vac'!$S$75:$S$89,'Renew &amp; Vac'!$L$75:$L$89,$B205,'Renew &amp; Vac'!$O$75:$O$89,"&lt;="&amp;M$203,'Renew &amp; Vac'!$P$75:$P$89,"&gt;="&amp;M$203)+SUMIFS('Renew &amp; Vac'!$H$75:$H$89,'Renew &amp; Vac'!$A$75:$A$89,$B205,'Renew &amp; Vac'!$D$75:$D$89,"&lt;="&amp;M$203,'Renew &amp; Vac'!$E$75:$E$89,"&gt;="&amp;M$203)</f>
        <v>0</v>
      </c>
      <c r="N205" s="34">
        <f>SUMIFS('Renew &amp; Vac'!$S$75:$S$89,'Renew &amp; Vac'!$L$75:$L$89,$B205,'Renew &amp; Vac'!$O$75:$O$89,"&lt;="&amp;N$203,'Renew &amp; Vac'!$P$75:$P$89,"&gt;="&amp;N$203)+SUMIFS('Renew &amp; Vac'!$H$75:$H$89,'Renew &amp; Vac'!$A$75:$A$89,$B205,'Renew &amp; Vac'!$D$75:$D$89,"&lt;="&amp;N$203,'Renew &amp; Vac'!$E$75:$E$89,"&gt;="&amp;N$203)</f>
        <v>6150</v>
      </c>
      <c r="O205" s="34">
        <f>SUMIFS('Renew &amp; Vac'!$S$75:$S$89,'Renew &amp; Vac'!$L$75:$L$89,$B205,'Renew &amp; Vac'!$O$75:$O$89,"&lt;="&amp;O$203,'Renew &amp; Vac'!$P$75:$P$89,"&gt;="&amp;O$203)+SUMIFS('Renew &amp; Vac'!$H$75:$H$89,'Renew &amp; Vac'!$A$75:$A$89,$B205,'Renew &amp; Vac'!$D$75:$D$89,"&lt;="&amp;O$203,'Renew &amp; Vac'!$E$75:$E$89,"&gt;="&amp;O$203)</f>
        <v>6150</v>
      </c>
      <c r="P205" s="34">
        <f>SUMIFS('Renew &amp; Vac'!$S$75:$S$89,'Renew &amp; Vac'!$L$75:$L$89,$B205,'Renew &amp; Vac'!$O$75:$O$89,"&lt;="&amp;P$203,'Renew &amp; Vac'!$P$75:$P$89,"&gt;="&amp;P$203)+SUMIFS('Renew &amp; Vac'!$H$75:$H$89,'Renew &amp; Vac'!$A$75:$A$89,$B205,'Renew &amp; Vac'!$D$75:$D$89,"&lt;="&amp;P$203,'Renew &amp; Vac'!$E$75:$E$89,"&gt;="&amp;P$203)</f>
        <v>6150</v>
      </c>
      <c r="Q205" s="36">
        <f t="shared" ref="Q205:Q228" si="49">SUM(E205:P205)</f>
        <v>18450</v>
      </c>
    </row>
    <row r="206" spans="2:21" outlineLevel="1" x14ac:dyDescent="0.35">
      <c r="B206" s="127" t="str">
        <f t="shared" si="48"/>
        <v>4080-103</v>
      </c>
      <c r="D206" s="34" t="str">
        <f>IFERROR(VLOOKUP(B206,'Renew &amp; Vac'!$A$75:$B$89,2,FALSE),IFERROR(VLOOKUP(B206,'Renew &amp; Vac'!$L$75:$M$89,2,FALSE),VLOOKUP(B206,$B$172:$D$196,3,FALSE)))</f>
        <v>VACANT</v>
      </c>
      <c r="E206" s="34">
        <f>SUMIFS('Renew &amp; Vac'!$S$75:$S$89,'Renew &amp; Vac'!$L$75:$L$89,$B206,'Renew &amp; Vac'!$O$75:$O$89,"&lt;="&amp;E$203,'Renew &amp; Vac'!$P$75:$P$89,"&gt;="&amp;E$203)+SUMIFS('Renew &amp; Vac'!$H$75:$H$89,'Renew &amp; Vac'!$A$75:$A$89,$B206,'Renew &amp; Vac'!$D$75:$D$89,"&lt;="&amp;E$203,'Renew &amp; Vac'!$E$75:$E$89,"&gt;="&amp;E$203)</f>
        <v>0</v>
      </c>
      <c r="F206" s="34">
        <f>SUMIFS('Renew &amp; Vac'!$S$75:$S$89,'Renew &amp; Vac'!$L$75:$L$89,$B206,'Renew &amp; Vac'!$O$75:$O$89,"&lt;="&amp;F$203,'Renew &amp; Vac'!$P$75:$P$89,"&gt;="&amp;F$203)+SUMIFS('Renew &amp; Vac'!$H$75:$H$89,'Renew &amp; Vac'!$A$75:$A$89,$B206,'Renew &amp; Vac'!$D$75:$D$89,"&lt;="&amp;F$203,'Renew &amp; Vac'!$E$75:$E$89,"&gt;="&amp;F$203)</f>
        <v>0</v>
      </c>
      <c r="G206" s="34">
        <f>SUMIFS('Renew &amp; Vac'!$S$75:$S$89,'Renew &amp; Vac'!$L$75:$L$89,$B206,'Renew &amp; Vac'!$O$75:$O$89,"&lt;="&amp;G$203,'Renew &amp; Vac'!$P$75:$P$89,"&gt;="&amp;G$203)+SUMIFS('Renew &amp; Vac'!$H$75:$H$89,'Renew &amp; Vac'!$A$75:$A$89,$B206,'Renew &amp; Vac'!$D$75:$D$89,"&lt;="&amp;G$203,'Renew &amp; Vac'!$E$75:$E$89,"&gt;="&amp;G$203)</f>
        <v>0</v>
      </c>
      <c r="H206" s="34">
        <f>SUMIFS('Renew &amp; Vac'!$S$75:$S$89,'Renew &amp; Vac'!$L$75:$L$89,$B206,'Renew &amp; Vac'!$O$75:$O$89,"&lt;="&amp;H$203,'Renew &amp; Vac'!$P$75:$P$89,"&gt;="&amp;H$203)+SUMIFS('Renew &amp; Vac'!$H$75:$H$89,'Renew &amp; Vac'!$A$75:$A$89,$B206,'Renew &amp; Vac'!$D$75:$D$89,"&lt;="&amp;H$203,'Renew &amp; Vac'!$E$75:$E$89,"&gt;="&amp;H$203)</f>
        <v>0</v>
      </c>
      <c r="I206" s="34">
        <f>SUMIFS('Renew &amp; Vac'!$S$75:$S$89,'Renew &amp; Vac'!$L$75:$L$89,$B206,'Renew &amp; Vac'!$O$75:$O$89,"&lt;="&amp;I$203,'Renew &amp; Vac'!$P$75:$P$89,"&gt;="&amp;I$203)+SUMIFS('Renew &amp; Vac'!$H$75:$H$89,'Renew &amp; Vac'!$A$75:$A$89,$B206,'Renew &amp; Vac'!$D$75:$D$89,"&lt;="&amp;I$203,'Renew &amp; Vac'!$E$75:$E$89,"&gt;="&amp;I$203)</f>
        <v>0</v>
      </c>
      <c r="J206" s="34">
        <f>SUMIFS('Renew &amp; Vac'!$S$75:$S$89,'Renew &amp; Vac'!$L$75:$L$89,$B206,'Renew &amp; Vac'!$O$75:$O$89,"&lt;="&amp;J$203,'Renew &amp; Vac'!$P$75:$P$89,"&gt;="&amp;J$203)+SUMIFS('Renew &amp; Vac'!$H$75:$H$89,'Renew &amp; Vac'!$A$75:$A$89,$B206,'Renew &amp; Vac'!$D$75:$D$89,"&lt;="&amp;J$203,'Renew &amp; Vac'!$E$75:$E$89,"&gt;="&amp;J$203)</f>
        <v>0</v>
      </c>
      <c r="K206" s="34">
        <f>SUMIFS('Renew &amp; Vac'!$S$75:$S$89,'Renew &amp; Vac'!$L$75:$L$89,$B206,'Renew &amp; Vac'!$O$75:$O$89,"&lt;="&amp;K$203,'Renew &amp; Vac'!$P$75:$P$89,"&gt;="&amp;K$203)+SUMIFS('Renew &amp; Vac'!$H$75:$H$89,'Renew &amp; Vac'!$A$75:$A$89,$B206,'Renew &amp; Vac'!$D$75:$D$89,"&lt;="&amp;K$203,'Renew &amp; Vac'!$E$75:$E$89,"&gt;="&amp;K$203)</f>
        <v>0</v>
      </c>
      <c r="L206" s="34">
        <f>SUMIFS('Renew &amp; Vac'!$S$75:$S$89,'Renew &amp; Vac'!$L$75:$L$89,$B206,'Renew &amp; Vac'!$O$75:$O$89,"&lt;="&amp;L$203,'Renew &amp; Vac'!$P$75:$P$89,"&gt;="&amp;L$203)+SUMIFS('Renew &amp; Vac'!$H$75:$H$89,'Renew &amp; Vac'!$A$75:$A$89,$B206,'Renew &amp; Vac'!$D$75:$D$89,"&lt;="&amp;L$203,'Renew &amp; Vac'!$E$75:$E$89,"&gt;="&amp;L$203)</f>
        <v>0</v>
      </c>
      <c r="M206" s="34">
        <f>SUMIFS('Renew &amp; Vac'!$S$75:$S$89,'Renew &amp; Vac'!$L$75:$L$89,$B206,'Renew &amp; Vac'!$O$75:$O$89,"&lt;="&amp;M$203,'Renew &amp; Vac'!$P$75:$P$89,"&gt;="&amp;M$203)+SUMIFS('Renew &amp; Vac'!$H$75:$H$89,'Renew &amp; Vac'!$A$75:$A$89,$B206,'Renew &amp; Vac'!$D$75:$D$89,"&lt;="&amp;M$203,'Renew &amp; Vac'!$E$75:$E$89,"&gt;="&amp;M$203)</f>
        <v>0</v>
      </c>
      <c r="N206" s="34">
        <f>SUMIFS('Renew &amp; Vac'!$S$75:$S$89,'Renew &amp; Vac'!$L$75:$L$89,$B206,'Renew &amp; Vac'!$O$75:$O$89,"&lt;="&amp;N$203,'Renew &amp; Vac'!$P$75:$P$89,"&gt;="&amp;N$203)+SUMIFS('Renew &amp; Vac'!$H$75:$H$89,'Renew &amp; Vac'!$A$75:$A$89,$B206,'Renew &amp; Vac'!$D$75:$D$89,"&lt;="&amp;N$203,'Renew &amp; Vac'!$E$75:$E$89,"&gt;="&amp;N$203)</f>
        <v>0</v>
      </c>
      <c r="O206" s="34">
        <f>SUMIFS('Renew &amp; Vac'!$S$75:$S$89,'Renew &amp; Vac'!$L$75:$L$89,$B206,'Renew &amp; Vac'!$O$75:$O$89,"&lt;="&amp;O$203,'Renew &amp; Vac'!$P$75:$P$89,"&gt;="&amp;O$203)+SUMIFS('Renew &amp; Vac'!$H$75:$H$89,'Renew &amp; Vac'!$A$75:$A$89,$B206,'Renew &amp; Vac'!$D$75:$D$89,"&lt;="&amp;O$203,'Renew &amp; Vac'!$E$75:$E$89,"&gt;="&amp;O$203)</f>
        <v>0</v>
      </c>
      <c r="P206" s="34">
        <f>SUMIFS('Renew &amp; Vac'!$S$75:$S$89,'Renew &amp; Vac'!$L$75:$L$89,$B206,'Renew &amp; Vac'!$O$75:$O$89,"&lt;="&amp;P$203,'Renew &amp; Vac'!$P$75:$P$89,"&gt;="&amp;P$203)+SUMIFS('Renew &amp; Vac'!$H$75:$H$89,'Renew &amp; Vac'!$A$75:$A$89,$B206,'Renew &amp; Vac'!$D$75:$D$89,"&lt;="&amp;P$203,'Renew &amp; Vac'!$E$75:$E$89,"&gt;="&amp;P$203)</f>
        <v>0</v>
      </c>
      <c r="Q206" s="36">
        <f t="shared" si="49"/>
        <v>0</v>
      </c>
    </row>
    <row r="207" spans="2:21" outlineLevel="1" x14ac:dyDescent="0.35">
      <c r="B207" s="127" t="str">
        <f t="shared" si="48"/>
        <v>4080-105</v>
      </c>
      <c r="D207" s="34" t="str">
        <f>IFERROR(VLOOKUP(B207,'Renew &amp; Vac'!$A$75:$B$89,2,FALSE),IFERROR(VLOOKUP(B207,'Renew &amp; Vac'!$L$75:$M$89,2,FALSE),VLOOKUP(B207,$B$172:$D$196,3,FALSE)))</f>
        <v>VACANT</v>
      </c>
      <c r="E207" s="34">
        <f>SUMIFS('Renew &amp; Vac'!$S$75:$S$89,'Renew &amp; Vac'!$L$75:$L$89,$B207,'Renew &amp; Vac'!$O$75:$O$89,"&lt;="&amp;E$203,'Renew &amp; Vac'!$P$75:$P$89,"&gt;="&amp;E$203)+SUMIFS('Renew &amp; Vac'!$H$75:$H$89,'Renew &amp; Vac'!$A$75:$A$89,$B207,'Renew &amp; Vac'!$D$75:$D$89,"&lt;="&amp;E$203,'Renew &amp; Vac'!$E$75:$E$89,"&gt;="&amp;E$203)</f>
        <v>0</v>
      </c>
      <c r="F207" s="34">
        <f>SUMIFS('Renew &amp; Vac'!$S$75:$S$89,'Renew &amp; Vac'!$L$75:$L$89,$B207,'Renew &amp; Vac'!$O$75:$O$89,"&lt;="&amp;F$203,'Renew &amp; Vac'!$P$75:$P$89,"&gt;="&amp;F$203)+SUMIFS('Renew &amp; Vac'!$H$75:$H$89,'Renew &amp; Vac'!$A$75:$A$89,$B207,'Renew &amp; Vac'!$D$75:$D$89,"&lt;="&amp;F$203,'Renew &amp; Vac'!$E$75:$E$89,"&gt;="&amp;F$203)</f>
        <v>0</v>
      </c>
      <c r="G207" s="34">
        <f>SUMIFS('Renew &amp; Vac'!$S$75:$S$89,'Renew &amp; Vac'!$L$75:$L$89,$B207,'Renew &amp; Vac'!$O$75:$O$89,"&lt;="&amp;G$203,'Renew &amp; Vac'!$P$75:$P$89,"&gt;="&amp;G$203)+SUMIFS('Renew &amp; Vac'!$H$75:$H$89,'Renew &amp; Vac'!$A$75:$A$89,$B207,'Renew &amp; Vac'!$D$75:$D$89,"&lt;="&amp;G$203,'Renew &amp; Vac'!$E$75:$E$89,"&gt;="&amp;G$203)</f>
        <v>0</v>
      </c>
      <c r="H207" s="34">
        <f>SUMIFS('Renew &amp; Vac'!$S$75:$S$89,'Renew &amp; Vac'!$L$75:$L$89,$B207,'Renew &amp; Vac'!$O$75:$O$89,"&lt;="&amp;H$203,'Renew &amp; Vac'!$P$75:$P$89,"&gt;="&amp;H$203)+SUMIFS('Renew &amp; Vac'!$H$75:$H$89,'Renew &amp; Vac'!$A$75:$A$89,$B207,'Renew &amp; Vac'!$D$75:$D$89,"&lt;="&amp;H$203,'Renew &amp; Vac'!$E$75:$E$89,"&gt;="&amp;H$203)</f>
        <v>0</v>
      </c>
      <c r="I207" s="34">
        <f>SUMIFS('Renew &amp; Vac'!$S$75:$S$89,'Renew &amp; Vac'!$L$75:$L$89,$B207,'Renew &amp; Vac'!$O$75:$O$89,"&lt;="&amp;I$203,'Renew &amp; Vac'!$P$75:$P$89,"&gt;="&amp;I$203)+SUMIFS('Renew &amp; Vac'!$H$75:$H$89,'Renew &amp; Vac'!$A$75:$A$89,$B207,'Renew &amp; Vac'!$D$75:$D$89,"&lt;="&amp;I$203,'Renew &amp; Vac'!$E$75:$E$89,"&gt;="&amp;I$203)</f>
        <v>0</v>
      </c>
      <c r="J207" s="34">
        <f>SUMIFS('Renew &amp; Vac'!$S$75:$S$89,'Renew &amp; Vac'!$L$75:$L$89,$B207,'Renew &amp; Vac'!$O$75:$O$89,"&lt;="&amp;J$203,'Renew &amp; Vac'!$P$75:$P$89,"&gt;="&amp;J$203)+SUMIFS('Renew &amp; Vac'!$H$75:$H$89,'Renew &amp; Vac'!$A$75:$A$89,$B207,'Renew &amp; Vac'!$D$75:$D$89,"&lt;="&amp;J$203,'Renew &amp; Vac'!$E$75:$E$89,"&gt;="&amp;J$203)</f>
        <v>0</v>
      </c>
      <c r="K207" s="34">
        <f>SUMIFS('Renew &amp; Vac'!$S$75:$S$89,'Renew &amp; Vac'!$L$75:$L$89,$B207,'Renew &amp; Vac'!$O$75:$O$89,"&lt;="&amp;K$203,'Renew &amp; Vac'!$P$75:$P$89,"&gt;="&amp;K$203)+SUMIFS('Renew &amp; Vac'!$H$75:$H$89,'Renew &amp; Vac'!$A$75:$A$89,$B207,'Renew &amp; Vac'!$D$75:$D$89,"&lt;="&amp;K$203,'Renew &amp; Vac'!$E$75:$E$89,"&gt;="&amp;K$203)</f>
        <v>0</v>
      </c>
      <c r="L207" s="34">
        <f>SUMIFS('Renew &amp; Vac'!$S$75:$S$89,'Renew &amp; Vac'!$L$75:$L$89,$B207,'Renew &amp; Vac'!$O$75:$O$89,"&lt;="&amp;L$203,'Renew &amp; Vac'!$P$75:$P$89,"&gt;="&amp;L$203)+SUMIFS('Renew &amp; Vac'!$H$75:$H$89,'Renew &amp; Vac'!$A$75:$A$89,$B207,'Renew &amp; Vac'!$D$75:$D$89,"&lt;="&amp;L$203,'Renew &amp; Vac'!$E$75:$E$89,"&gt;="&amp;L$203)</f>
        <v>0</v>
      </c>
      <c r="M207" s="34">
        <f>SUMIFS('Renew &amp; Vac'!$S$75:$S$89,'Renew &amp; Vac'!$L$75:$L$89,$B207,'Renew &amp; Vac'!$O$75:$O$89,"&lt;="&amp;M$203,'Renew &amp; Vac'!$P$75:$P$89,"&gt;="&amp;M$203)+SUMIFS('Renew &amp; Vac'!$H$75:$H$89,'Renew &amp; Vac'!$A$75:$A$89,$B207,'Renew &amp; Vac'!$D$75:$D$89,"&lt;="&amp;M$203,'Renew &amp; Vac'!$E$75:$E$89,"&gt;="&amp;M$203)</f>
        <v>0</v>
      </c>
      <c r="N207" s="34">
        <f>SUMIFS('Renew &amp; Vac'!$S$75:$S$89,'Renew &amp; Vac'!$L$75:$L$89,$B207,'Renew &amp; Vac'!$O$75:$O$89,"&lt;="&amp;N$203,'Renew &amp; Vac'!$P$75:$P$89,"&gt;="&amp;N$203)+SUMIFS('Renew &amp; Vac'!$H$75:$H$89,'Renew &amp; Vac'!$A$75:$A$89,$B207,'Renew &amp; Vac'!$D$75:$D$89,"&lt;="&amp;N$203,'Renew &amp; Vac'!$E$75:$E$89,"&gt;="&amp;N$203)</f>
        <v>0</v>
      </c>
      <c r="O207" s="34">
        <f>SUMIFS('Renew &amp; Vac'!$S$75:$S$89,'Renew &amp; Vac'!$L$75:$L$89,$B207,'Renew &amp; Vac'!$O$75:$O$89,"&lt;="&amp;O$203,'Renew &amp; Vac'!$P$75:$P$89,"&gt;="&amp;O$203)+SUMIFS('Renew &amp; Vac'!$H$75:$H$89,'Renew &amp; Vac'!$A$75:$A$89,$B207,'Renew &amp; Vac'!$D$75:$D$89,"&lt;="&amp;O$203,'Renew &amp; Vac'!$E$75:$E$89,"&gt;="&amp;O$203)</f>
        <v>0</v>
      </c>
      <c r="P207" s="34">
        <f>SUMIFS('Renew &amp; Vac'!$S$75:$S$89,'Renew &amp; Vac'!$L$75:$L$89,$B207,'Renew &amp; Vac'!$O$75:$O$89,"&lt;="&amp;P$203,'Renew &amp; Vac'!$P$75:$P$89,"&gt;="&amp;P$203)+SUMIFS('Renew &amp; Vac'!$H$75:$H$89,'Renew &amp; Vac'!$A$75:$A$89,$B207,'Renew &amp; Vac'!$D$75:$D$89,"&lt;="&amp;P$203,'Renew &amp; Vac'!$E$75:$E$89,"&gt;="&amp;P$203)</f>
        <v>0</v>
      </c>
      <c r="Q207" s="36">
        <f t="shared" si="49"/>
        <v>0</v>
      </c>
    </row>
    <row r="208" spans="2:21" outlineLevel="1" x14ac:dyDescent="0.35">
      <c r="B208" s="127" t="str">
        <f t="shared" si="48"/>
        <v>4080-106</v>
      </c>
      <c r="D208" s="34" t="str">
        <f>IFERROR(VLOOKUP(B208,'Renew &amp; Vac'!$A$75:$B$89,2,FALSE),IFERROR(VLOOKUP(B208,'Renew &amp; Vac'!$L$75:$M$89,2,FALSE),VLOOKUP(B208,$B$172:$D$196,3,FALSE)))</f>
        <v>VACANT</v>
      </c>
      <c r="E208" s="34">
        <f>SUMIFS('Renew &amp; Vac'!$S$75:$S$89,'Renew &amp; Vac'!$L$75:$L$89,$B208,'Renew &amp; Vac'!$O$75:$O$89,"&lt;="&amp;E$203,'Renew &amp; Vac'!$P$75:$P$89,"&gt;="&amp;E$203)+SUMIFS('Renew &amp; Vac'!$H$75:$H$89,'Renew &amp; Vac'!$A$75:$A$89,$B208,'Renew &amp; Vac'!$D$75:$D$89,"&lt;="&amp;E$203,'Renew &amp; Vac'!$E$75:$E$89,"&gt;="&amp;E$203)</f>
        <v>0</v>
      </c>
      <c r="F208" s="34">
        <f>SUMIFS('Renew &amp; Vac'!$S$75:$S$89,'Renew &amp; Vac'!$L$75:$L$89,$B208,'Renew &amp; Vac'!$O$75:$O$89,"&lt;="&amp;F$203,'Renew &amp; Vac'!$P$75:$P$89,"&gt;="&amp;F$203)+SUMIFS('Renew &amp; Vac'!$H$75:$H$89,'Renew &amp; Vac'!$A$75:$A$89,$B208,'Renew &amp; Vac'!$D$75:$D$89,"&lt;="&amp;F$203,'Renew &amp; Vac'!$E$75:$E$89,"&gt;="&amp;F$203)</f>
        <v>0</v>
      </c>
      <c r="G208" s="34">
        <f>SUMIFS('Renew &amp; Vac'!$S$75:$S$89,'Renew &amp; Vac'!$L$75:$L$89,$B208,'Renew &amp; Vac'!$O$75:$O$89,"&lt;="&amp;G$203,'Renew &amp; Vac'!$P$75:$P$89,"&gt;="&amp;G$203)+SUMIFS('Renew &amp; Vac'!$H$75:$H$89,'Renew &amp; Vac'!$A$75:$A$89,$B208,'Renew &amp; Vac'!$D$75:$D$89,"&lt;="&amp;G$203,'Renew &amp; Vac'!$E$75:$E$89,"&gt;="&amp;G$203)</f>
        <v>0</v>
      </c>
      <c r="H208" s="34">
        <f>SUMIFS('Renew &amp; Vac'!$S$75:$S$89,'Renew &amp; Vac'!$L$75:$L$89,$B208,'Renew &amp; Vac'!$O$75:$O$89,"&lt;="&amp;H$203,'Renew &amp; Vac'!$P$75:$P$89,"&gt;="&amp;H$203)+SUMIFS('Renew &amp; Vac'!$H$75:$H$89,'Renew &amp; Vac'!$A$75:$A$89,$B208,'Renew &amp; Vac'!$D$75:$D$89,"&lt;="&amp;H$203,'Renew &amp; Vac'!$E$75:$E$89,"&gt;="&amp;H$203)</f>
        <v>3841.6666666666665</v>
      </c>
      <c r="I208" s="34">
        <f>SUMIFS('Renew &amp; Vac'!$S$75:$S$89,'Renew &amp; Vac'!$L$75:$L$89,$B208,'Renew &amp; Vac'!$O$75:$O$89,"&lt;="&amp;I$203,'Renew &amp; Vac'!$P$75:$P$89,"&gt;="&amp;I$203)+SUMIFS('Renew &amp; Vac'!$H$75:$H$89,'Renew &amp; Vac'!$A$75:$A$89,$B208,'Renew &amp; Vac'!$D$75:$D$89,"&lt;="&amp;I$203,'Renew &amp; Vac'!$E$75:$E$89,"&gt;="&amp;I$203)</f>
        <v>3841.6666666666665</v>
      </c>
      <c r="J208" s="34">
        <f>SUMIFS('Renew &amp; Vac'!$S$75:$S$89,'Renew &amp; Vac'!$L$75:$L$89,$B208,'Renew &amp; Vac'!$O$75:$O$89,"&lt;="&amp;J$203,'Renew &amp; Vac'!$P$75:$P$89,"&gt;="&amp;J$203)+SUMIFS('Renew &amp; Vac'!$H$75:$H$89,'Renew &amp; Vac'!$A$75:$A$89,$B208,'Renew &amp; Vac'!$D$75:$D$89,"&lt;="&amp;J$203,'Renew &amp; Vac'!$E$75:$E$89,"&gt;="&amp;J$203)</f>
        <v>3841.6666666666665</v>
      </c>
      <c r="K208" s="34">
        <f>SUMIFS('Renew &amp; Vac'!$S$75:$S$89,'Renew &amp; Vac'!$L$75:$L$89,$B208,'Renew &amp; Vac'!$O$75:$O$89,"&lt;="&amp;K$203,'Renew &amp; Vac'!$P$75:$P$89,"&gt;="&amp;K$203)+SUMIFS('Renew &amp; Vac'!$H$75:$H$89,'Renew &amp; Vac'!$A$75:$A$89,$B208,'Renew &amp; Vac'!$D$75:$D$89,"&lt;="&amp;K$203,'Renew &amp; Vac'!$E$75:$E$89,"&gt;="&amp;K$203)</f>
        <v>3841.6666666666665</v>
      </c>
      <c r="L208" s="34">
        <f>SUMIFS('Renew &amp; Vac'!$S$75:$S$89,'Renew &amp; Vac'!$L$75:$L$89,$B208,'Renew &amp; Vac'!$O$75:$O$89,"&lt;="&amp;L$203,'Renew &amp; Vac'!$P$75:$P$89,"&gt;="&amp;L$203)+SUMIFS('Renew &amp; Vac'!$H$75:$H$89,'Renew &amp; Vac'!$A$75:$A$89,$B208,'Renew &amp; Vac'!$D$75:$D$89,"&lt;="&amp;L$203,'Renew &amp; Vac'!$E$75:$E$89,"&gt;="&amp;L$203)</f>
        <v>3841.6666666666665</v>
      </c>
      <c r="M208" s="34">
        <f>SUMIFS('Renew &amp; Vac'!$S$75:$S$89,'Renew &amp; Vac'!$L$75:$L$89,$B208,'Renew &amp; Vac'!$O$75:$O$89,"&lt;="&amp;M$203,'Renew &amp; Vac'!$P$75:$P$89,"&gt;="&amp;M$203)+SUMIFS('Renew &amp; Vac'!$H$75:$H$89,'Renew &amp; Vac'!$A$75:$A$89,$B208,'Renew &amp; Vac'!$D$75:$D$89,"&lt;="&amp;M$203,'Renew &amp; Vac'!$E$75:$E$89,"&gt;="&amp;M$203)</f>
        <v>3841.6666666666665</v>
      </c>
      <c r="N208" s="34">
        <f>SUMIFS('Renew &amp; Vac'!$S$75:$S$89,'Renew &amp; Vac'!$L$75:$L$89,$B208,'Renew &amp; Vac'!$O$75:$O$89,"&lt;="&amp;N$203,'Renew &amp; Vac'!$P$75:$P$89,"&gt;="&amp;N$203)+SUMIFS('Renew &amp; Vac'!$H$75:$H$89,'Renew &amp; Vac'!$A$75:$A$89,$B208,'Renew &amp; Vac'!$D$75:$D$89,"&lt;="&amp;N$203,'Renew &amp; Vac'!$E$75:$E$89,"&gt;="&amp;N$203)</f>
        <v>3841.6666666666665</v>
      </c>
      <c r="O208" s="34">
        <f>SUMIFS('Renew &amp; Vac'!$S$75:$S$89,'Renew &amp; Vac'!$L$75:$L$89,$B208,'Renew &amp; Vac'!$O$75:$O$89,"&lt;="&amp;O$203,'Renew &amp; Vac'!$P$75:$P$89,"&gt;="&amp;O$203)+SUMIFS('Renew &amp; Vac'!$H$75:$H$89,'Renew &amp; Vac'!$A$75:$A$89,$B208,'Renew &amp; Vac'!$D$75:$D$89,"&lt;="&amp;O$203,'Renew &amp; Vac'!$E$75:$E$89,"&gt;="&amp;O$203)</f>
        <v>3841.6666666666665</v>
      </c>
      <c r="P208" s="34">
        <f>SUMIFS('Renew &amp; Vac'!$S$75:$S$89,'Renew &amp; Vac'!$L$75:$L$89,$B208,'Renew &amp; Vac'!$O$75:$O$89,"&lt;="&amp;P$203,'Renew &amp; Vac'!$P$75:$P$89,"&gt;="&amp;P$203)+SUMIFS('Renew &amp; Vac'!$H$75:$H$89,'Renew &amp; Vac'!$A$75:$A$89,$B208,'Renew &amp; Vac'!$D$75:$D$89,"&lt;="&amp;P$203,'Renew &amp; Vac'!$E$75:$E$89,"&gt;="&amp;P$203)</f>
        <v>3841.6666666666665</v>
      </c>
      <c r="Q208" s="36">
        <f t="shared" si="49"/>
        <v>34575</v>
      </c>
    </row>
    <row r="209" spans="2:17" outlineLevel="1" x14ac:dyDescent="0.35">
      <c r="B209" s="127" t="str">
        <f t="shared" si="48"/>
        <v>4080-107</v>
      </c>
      <c r="D209" s="34" t="str">
        <f>IFERROR(VLOOKUP(B209,'Renew &amp; Vac'!$A$75:$B$89,2,FALSE),IFERROR(VLOOKUP(B209,'Renew &amp; Vac'!$L$75:$M$89,2,FALSE),VLOOKUP(B209,$B$172:$D$196,3,FALSE)))</f>
        <v>VACANT</v>
      </c>
      <c r="E209" s="34">
        <f>SUMIFS('Renew &amp; Vac'!$S$75:$S$89,'Renew &amp; Vac'!$L$75:$L$89,$B209,'Renew &amp; Vac'!$O$75:$O$89,"&lt;="&amp;E$203,'Renew &amp; Vac'!$P$75:$P$89,"&gt;="&amp;E$203)+SUMIFS('Renew &amp; Vac'!$H$75:$H$89,'Renew &amp; Vac'!$A$75:$A$89,$B209,'Renew &amp; Vac'!$D$75:$D$89,"&lt;="&amp;E$203,'Renew &amp; Vac'!$E$75:$E$89,"&gt;="&amp;E$203)</f>
        <v>0</v>
      </c>
      <c r="F209" s="34">
        <f>SUMIFS('Renew &amp; Vac'!$S$75:$S$89,'Renew &amp; Vac'!$L$75:$L$89,$B209,'Renew &amp; Vac'!$O$75:$O$89,"&lt;="&amp;F$203,'Renew &amp; Vac'!$P$75:$P$89,"&gt;="&amp;F$203)+SUMIFS('Renew &amp; Vac'!$H$75:$H$89,'Renew &amp; Vac'!$A$75:$A$89,$B209,'Renew &amp; Vac'!$D$75:$D$89,"&lt;="&amp;F$203,'Renew &amp; Vac'!$E$75:$E$89,"&gt;="&amp;F$203)</f>
        <v>0</v>
      </c>
      <c r="G209" s="34">
        <f>SUMIFS('Renew &amp; Vac'!$S$75:$S$89,'Renew &amp; Vac'!$L$75:$L$89,$B209,'Renew &amp; Vac'!$O$75:$O$89,"&lt;="&amp;G$203,'Renew &amp; Vac'!$P$75:$P$89,"&gt;="&amp;G$203)+SUMIFS('Renew &amp; Vac'!$H$75:$H$89,'Renew &amp; Vac'!$A$75:$A$89,$B209,'Renew &amp; Vac'!$D$75:$D$89,"&lt;="&amp;G$203,'Renew &amp; Vac'!$E$75:$E$89,"&gt;="&amp;G$203)</f>
        <v>0</v>
      </c>
      <c r="H209" s="34">
        <f>SUMIFS('Renew &amp; Vac'!$S$75:$S$89,'Renew &amp; Vac'!$L$75:$L$89,$B209,'Renew &amp; Vac'!$O$75:$O$89,"&lt;="&amp;H$203,'Renew &amp; Vac'!$P$75:$P$89,"&gt;="&amp;H$203)+SUMIFS('Renew &amp; Vac'!$H$75:$H$89,'Renew &amp; Vac'!$A$75:$A$89,$B209,'Renew &amp; Vac'!$D$75:$D$89,"&lt;="&amp;H$203,'Renew &amp; Vac'!$E$75:$E$89,"&gt;="&amp;H$203)</f>
        <v>0</v>
      </c>
      <c r="I209" s="34">
        <f>SUMIFS('Renew &amp; Vac'!$S$75:$S$89,'Renew &amp; Vac'!$L$75:$L$89,$B209,'Renew &amp; Vac'!$O$75:$O$89,"&lt;="&amp;I$203,'Renew &amp; Vac'!$P$75:$P$89,"&gt;="&amp;I$203)+SUMIFS('Renew &amp; Vac'!$H$75:$H$89,'Renew &amp; Vac'!$A$75:$A$89,$B209,'Renew &amp; Vac'!$D$75:$D$89,"&lt;="&amp;I$203,'Renew &amp; Vac'!$E$75:$E$89,"&gt;="&amp;I$203)</f>
        <v>0</v>
      </c>
      <c r="J209" s="34">
        <f>SUMIFS('Renew &amp; Vac'!$S$75:$S$89,'Renew &amp; Vac'!$L$75:$L$89,$B209,'Renew &amp; Vac'!$O$75:$O$89,"&lt;="&amp;J$203,'Renew &amp; Vac'!$P$75:$P$89,"&gt;="&amp;J$203)+SUMIFS('Renew &amp; Vac'!$H$75:$H$89,'Renew &amp; Vac'!$A$75:$A$89,$B209,'Renew &amp; Vac'!$D$75:$D$89,"&lt;="&amp;J$203,'Renew &amp; Vac'!$E$75:$E$89,"&gt;="&amp;J$203)</f>
        <v>0</v>
      </c>
      <c r="K209" s="34">
        <f>SUMIFS('Renew &amp; Vac'!$S$75:$S$89,'Renew &amp; Vac'!$L$75:$L$89,$B209,'Renew &amp; Vac'!$O$75:$O$89,"&lt;="&amp;K$203,'Renew &amp; Vac'!$P$75:$P$89,"&gt;="&amp;K$203)+SUMIFS('Renew &amp; Vac'!$H$75:$H$89,'Renew &amp; Vac'!$A$75:$A$89,$B209,'Renew &amp; Vac'!$D$75:$D$89,"&lt;="&amp;K$203,'Renew &amp; Vac'!$E$75:$E$89,"&gt;="&amp;K$203)</f>
        <v>2307.5</v>
      </c>
      <c r="L209" s="34">
        <f>SUMIFS('Renew &amp; Vac'!$S$75:$S$89,'Renew &amp; Vac'!$L$75:$L$89,$B209,'Renew &amp; Vac'!$O$75:$O$89,"&lt;="&amp;L$203,'Renew &amp; Vac'!$P$75:$P$89,"&gt;="&amp;L$203)+SUMIFS('Renew &amp; Vac'!$H$75:$H$89,'Renew &amp; Vac'!$A$75:$A$89,$B209,'Renew &amp; Vac'!$D$75:$D$89,"&lt;="&amp;L$203,'Renew &amp; Vac'!$E$75:$E$89,"&gt;="&amp;L$203)</f>
        <v>2307.5</v>
      </c>
      <c r="M209" s="34">
        <f>SUMIFS('Renew &amp; Vac'!$S$75:$S$89,'Renew &amp; Vac'!$L$75:$L$89,$B209,'Renew &amp; Vac'!$O$75:$O$89,"&lt;="&amp;M$203,'Renew &amp; Vac'!$P$75:$P$89,"&gt;="&amp;M$203)+SUMIFS('Renew &amp; Vac'!$H$75:$H$89,'Renew &amp; Vac'!$A$75:$A$89,$B209,'Renew &amp; Vac'!$D$75:$D$89,"&lt;="&amp;M$203,'Renew &amp; Vac'!$E$75:$E$89,"&gt;="&amp;M$203)</f>
        <v>2307.5</v>
      </c>
      <c r="N209" s="34">
        <f>SUMIFS('Renew &amp; Vac'!$S$75:$S$89,'Renew &amp; Vac'!$L$75:$L$89,$B209,'Renew &amp; Vac'!$O$75:$O$89,"&lt;="&amp;N$203,'Renew &amp; Vac'!$P$75:$P$89,"&gt;="&amp;N$203)+SUMIFS('Renew &amp; Vac'!$H$75:$H$89,'Renew &amp; Vac'!$A$75:$A$89,$B209,'Renew &amp; Vac'!$D$75:$D$89,"&lt;="&amp;N$203,'Renew &amp; Vac'!$E$75:$E$89,"&gt;="&amp;N$203)</f>
        <v>2307.5</v>
      </c>
      <c r="O209" s="34">
        <f>SUMIFS('Renew &amp; Vac'!$S$75:$S$89,'Renew &amp; Vac'!$L$75:$L$89,$B209,'Renew &amp; Vac'!$O$75:$O$89,"&lt;="&amp;O$203,'Renew &amp; Vac'!$P$75:$P$89,"&gt;="&amp;O$203)+SUMIFS('Renew &amp; Vac'!$H$75:$H$89,'Renew &amp; Vac'!$A$75:$A$89,$B209,'Renew &amp; Vac'!$D$75:$D$89,"&lt;="&amp;O$203,'Renew &amp; Vac'!$E$75:$E$89,"&gt;="&amp;O$203)</f>
        <v>2307.5</v>
      </c>
      <c r="P209" s="34">
        <f>SUMIFS('Renew &amp; Vac'!$S$75:$S$89,'Renew &amp; Vac'!$L$75:$L$89,$B209,'Renew &amp; Vac'!$O$75:$O$89,"&lt;="&amp;P$203,'Renew &amp; Vac'!$P$75:$P$89,"&gt;="&amp;P$203)+SUMIFS('Renew &amp; Vac'!$H$75:$H$89,'Renew &amp; Vac'!$A$75:$A$89,$B209,'Renew &amp; Vac'!$D$75:$D$89,"&lt;="&amp;P$203,'Renew &amp; Vac'!$E$75:$E$89,"&gt;="&amp;P$203)</f>
        <v>2307.5</v>
      </c>
      <c r="Q209" s="36">
        <f t="shared" si="49"/>
        <v>13845</v>
      </c>
    </row>
    <row r="210" spans="2:17" outlineLevel="1" x14ac:dyDescent="0.35">
      <c r="B210" s="127" t="str">
        <f t="shared" si="48"/>
        <v>4080-109</v>
      </c>
      <c r="D210" s="34" t="str">
        <f>IFERROR(VLOOKUP(B210,'Renew &amp; Vac'!$A$75:$B$89,2,FALSE),IFERROR(VLOOKUP(B210,'Renew &amp; Vac'!$L$75:$M$89,2,FALSE),VLOOKUP(B210,$B$172:$D$196,3,FALSE)))</f>
        <v>Prosegur Service Group</v>
      </c>
      <c r="E210" s="34">
        <f>SUMIFS('Renew &amp; Vac'!$S$75:$S$89,'Renew &amp; Vac'!$L$75:$L$89,$B210,'Renew &amp; Vac'!$O$75:$O$89,"&lt;="&amp;E$203,'Renew &amp; Vac'!$P$75:$P$89,"&gt;="&amp;E$203)+SUMIFS('Renew &amp; Vac'!$H$75:$H$89,'Renew &amp; Vac'!$A$75:$A$89,$B210,'Renew &amp; Vac'!$D$75:$D$89,"&lt;="&amp;E$203,'Renew &amp; Vac'!$E$75:$E$89,"&gt;="&amp;E$203)</f>
        <v>0</v>
      </c>
      <c r="F210" s="34">
        <f>SUMIFS('Renew &amp; Vac'!$S$75:$S$89,'Renew &amp; Vac'!$L$75:$L$89,$B210,'Renew &amp; Vac'!$O$75:$O$89,"&lt;="&amp;F$203,'Renew &amp; Vac'!$P$75:$P$89,"&gt;="&amp;F$203)+SUMIFS('Renew &amp; Vac'!$H$75:$H$89,'Renew &amp; Vac'!$A$75:$A$89,$B210,'Renew &amp; Vac'!$D$75:$D$89,"&lt;="&amp;F$203,'Renew &amp; Vac'!$E$75:$E$89,"&gt;="&amp;F$203)</f>
        <v>0</v>
      </c>
      <c r="G210" s="34">
        <f>SUMIFS('Renew &amp; Vac'!$S$75:$S$89,'Renew &amp; Vac'!$L$75:$L$89,$B210,'Renew &amp; Vac'!$O$75:$O$89,"&lt;="&amp;G$203,'Renew &amp; Vac'!$P$75:$P$89,"&gt;="&amp;G$203)+SUMIFS('Renew &amp; Vac'!$H$75:$H$89,'Renew &amp; Vac'!$A$75:$A$89,$B210,'Renew &amp; Vac'!$D$75:$D$89,"&lt;="&amp;G$203,'Renew &amp; Vac'!$E$75:$E$89,"&gt;="&amp;G$203)</f>
        <v>0</v>
      </c>
      <c r="H210" s="34">
        <f>SUMIFS('Renew &amp; Vac'!$S$75:$S$89,'Renew &amp; Vac'!$L$75:$L$89,$B210,'Renew &amp; Vac'!$O$75:$O$89,"&lt;="&amp;H$203,'Renew &amp; Vac'!$P$75:$P$89,"&gt;="&amp;H$203)+SUMIFS('Renew &amp; Vac'!$H$75:$H$89,'Renew &amp; Vac'!$A$75:$A$89,$B210,'Renew &amp; Vac'!$D$75:$D$89,"&lt;="&amp;H$203,'Renew &amp; Vac'!$E$75:$E$89,"&gt;="&amp;H$203)</f>
        <v>0</v>
      </c>
      <c r="I210" s="34">
        <f>SUMIFS('Renew &amp; Vac'!$S$75:$S$89,'Renew &amp; Vac'!$L$75:$L$89,$B210,'Renew &amp; Vac'!$O$75:$O$89,"&lt;="&amp;I$203,'Renew &amp; Vac'!$P$75:$P$89,"&gt;="&amp;I$203)+SUMIFS('Renew &amp; Vac'!$H$75:$H$89,'Renew &amp; Vac'!$A$75:$A$89,$B210,'Renew &amp; Vac'!$D$75:$D$89,"&lt;="&amp;I$203,'Renew &amp; Vac'!$E$75:$E$89,"&gt;="&amp;I$203)</f>
        <v>0</v>
      </c>
      <c r="J210" s="34">
        <f>SUMIFS('Renew &amp; Vac'!$S$75:$S$89,'Renew &amp; Vac'!$L$75:$L$89,$B210,'Renew &amp; Vac'!$O$75:$O$89,"&lt;="&amp;J$203,'Renew &amp; Vac'!$P$75:$P$89,"&gt;="&amp;J$203)+SUMIFS('Renew &amp; Vac'!$H$75:$H$89,'Renew &amp; Vac'!$A$75:$A$89,$B210,'Renew &amp; Vac'!$D$75:$D$89,"&lt;="&amp;J$203,'Renew &amp; Vac'!$E$75:$E$89,"&gt;="&amp;J$203)</f>
        <v>0</v>
      </c>
      <c r="K210" s="34">
        <f>SUMIFS('Renew &amp; Vac'!$S$75:$S$89,'Renew &amp; Vac'!$L$75:$L$89,$B210,'Renew &amp; Vac'!$O$75:$O$89,"&lt;="&amp;K$203,'Renew &amp; Vac'!$P$75:$P$89,"&gt;="&amp;K$203)+SUMIFS('Renew &amp; Vac'!$H$75:$H$89,'Renew &amp; Vac'!$A$75:$A$89,$B210,'Renew &amp; Vac'!$D$75:$D$89,"&lt;="&amp;K$203,'Renew &amp; Vac'!$E$75:$E$89,"&gt;="&amp;K$203)</f>
        <v>0</v>
      </c>
      <c r="L210" s="34">
        <f>SUMIFS('Renew &amp; Vac'!$S$75:$S$89,'Renew &amp; Vac'!$L$75:$L$89,$B210,'Renew &amp; Vac'!$O$75:$O$89,"&lt;="&amp;L$203,'Renew &amp; Vac'!$P$75:$P$89,"&gt;="&amp;L$203)+SUMIFS('Renew &amp; Vac'!$H$75:$H$89,'Renew &amp; Vac'!$A$75:$A$89,$B210,'Renew &amp; Vac'!$D$75:$D$89,"&lt;="&amp;L$203,'Renew &amp; Vac'!$E$75:$E$89,"&gt;="&amp;L$203)</f>
        <v>0</v>
      </c>
      <c r="M210" s="34">
        <f>SUMIFS('Renew &amp; Vac'!$S$75:$S$89,'Renew &amp; Vac'!$L$75:$L$89,$B210,'Renew &amp; Vac'!$O$75:$O$89,"&lt;="&amp;M$203,'Renew &amp; Vac'!$P$75:$P$89,"&gt;="&amp;M$203)+SUMIFS('Renew &amp; Vac'!$H$75:$H$89,'Renew &amp; Vac'!$A$75:$A$89,$B210,'Renew &amp; Vac'!$D$75:$D$89,"&lt;="&amp;M$203,'Renew &amp; Vac'!$E$75:$E$89,"&gt;="&amp;M$203)</f>
        <v>0</v>
      </c>
      <c r="N210" s="34">
        <f>SUMIFS('Renew &amp; Vac'!$S$75:$S$89,'Renew &amp; Vac'!$L$75:$L$89,$B210,'Renew &amp; Vac'!$O$75:$O$89,"&lt;="&amp;N$203,'Renew &amp; Vac'!$P$75:$P$89,"&gt;="&amp;N$203)+SUMIFS('Renew &amp; Vac'!$H$75:$H$89,'Renew &amp; Vac'!$A$75:$A$89,$B210,'Renew &amp; Vac'!$D$75:$D$89,"&lt;="&amp;N$203,'Renew &amp; Vac'!$E$75:$E$89,"&gt;="&amp;N$203)</f>
        <v>0</v>
      </c>
      <c r="O210" s="34">
        <f>SUMIFS('Renew &amp; Vac'!$S$75:$S$89,'Renew &amp; Vac'!$L$75:$L$89,$B210,'Renew &amp; Vac'!$O$75:$O$89,"&lt;="&amp;O$203,'Renew &amp; Vac'!$P$75:$P$89,"&gt;="&amp;O$203)+SUMIFS('Renew &amp; Vac'!$H$75:$H$89,'Renew &amp; Vac'!$A$75:$A$89,$B210,'Renew &amp; Vac'!$D$75:$D$89,"&lt;="&amp;O$203,'Renew &amp; Vac'!$E$75:$E$89,"&gt;="&amp;O$203)</f>
        <v>0</v>
      </c>
      <c r="P210" s="34">
        <f>SUMIFS('Renew &amp; Vac'!$S$75:$S$89,'Renew &amp; Vac'!$L$75:$L$89,$B210,'Renew &amp; Vac'!$O$75:$O$89,"&lt;="&amp;P$203,'Renew &amp; Vac'!$P$75:$P$89,"&gt;="&amp;P$203)+SUMIFS('Renew &amp; Vac'!$H$75:$H$89,'Renew &amp; Vac'!$A$75:$A$89,$B210,'Renew &amp; Vac'!$D$75:$D$89,"&lt;="&amp;P$203,'Renew &amp; Vac'!$E$75:$E$89,"&gt;="&amp;P$203)</f>
        <v>0</v>
      </c>
      <c r="Q210" s="36">
        <f t="shared" si="49"/>
        <v>0</v>
      </c>
    </row>
    <row r="211" spans="2:17" outlineLevel="1" x14ac:dyDescent="0.35">
      <c r="B211" s="127" t="str">
        <f t="shared" si="48"/>
        <v>4080-111</v>
      </c>
      <c r="D211" s="34" t="str">
        <f>IFERROR(VLOOKUP(B211,'Renew &amp; Vac'!$A$75:$B$89,2,FALSE),IFERROR(VLOOKUP(B211,'Renew &amp; Vac'!$L$75:$M$89,2,FALSE),VLOOKUP(B211,$B$172:$D$196,3,FALSE)))</f>
        <v>VACANT</v>
      </c>
      <c r="E211" s="34">
        <f>SUMIFS('Renew &amp; Vac'!$S$75:$S$89,'Renew &amp; Vac'!$L$75:$L$89,$B211,'Renew &amp; Vac'!$O$75:$O$89,"&lt;="&amp;E$203,'Renew &amp; Vac'!$P$75:$P$89,"&gt;="&amp;E$203)+SUMIFS('Renew &amp; Vac'!$H$75:$H$89,'Renew &amp; Vac'!$A$75:$A$89,$B211,'Renew &amp; Vac'!$D$75:$D$89,"&lt;="&amp;E$203,'Renew &amp; Vac'!$E$75:$E$89,"&gt;="&amp;E$203)</f>
        <v>0</v>
      </c>
      <c r="F211" s="34">
        <f>SUMIFS('Renew &amp; Vac'!$S$75:$S$89,'Renew &amp; Vac'!$L$75:$L$89,$B211,'Renew &amp; Vac'!$O$75:$O$89,"&lt;="&amp;F$203,'Renew &amp; Vac'!$P$75:$P$89,"&gt;="&amp;F$203)+SUMIFS('Renew &amp; Vac'!$H$75:$H$89,'Renew &amp; Vac'!$A$75:$A$89,$B211,'Renew &amp; Vac'!$D$75:$D$89,"&lt;="&amp;F$203,'Renew &amp; Vac'!$E$75:$E$89,"&gt;="&amp;F$203)</f>
        <v>0</v>
      </c>
      <c r="G211" s="34">
        <f>SUMIFS('Renew &amp; Vac'!$S$75:$S$89,'Renew &amp; Vac'!$L$75:$L$89,$B211,'Renew &amp; Vac'!$O$75:$O$89,"&lt;="&amp;G$203,'Renew &amp; Vac'!$P$75:$P$89,"&gt;="&amp;G$203)+SUMIFS('Renew &amp; Vac'!$H$75:$H$89,'Renew &amp; Vac'!$A$75:$A$89,$B211,'Renew &amp; Vac'!$D$75:$D$89,"&lt;="&amp;G$203,'Renew &amp; Vac'!$E$75:$E$89,"&gt;="&amp;G$203)</f>
        <v>0</v>
      </c>
      <c r="H211" s="34">
        <f>SUMIFS('Renew &amp; Vac'!$S$75:$S$89,'Renew &amp; Vac'!$L$75:$L$89,$B211,'Renew &amp; Vac'!$O$75:$O$89,"&lt;="&amp;H$203,'Renew &amp; Vac'!$P$75:$P$89,"&gt;="&amp;H$203)+SUMIFS('Renew &amp; Vac'!$H$75:$H$89,'Renew &amp; Vac'!$A$75:$A$89,$B211,'Renew &amp; Vac'!$D$75:$D$89,"&lt;="&amp;H$203,'Renew &amp; Vac'!$E$75:$E$89,"&gt;="&amp;H$203)</f>
        <v>0</v>
      </c>
      <c r="I211" s="34">
        <f>SUMIFS('Renew &amp; Vac'!$S$75:$S$89,'Renew &amp; Vac'!$L$75:$L$89,$B211,'Renew &amp; Vac'!$O$75:$O$89,"&lt;="&amp;I$203,'Renew &amp; Vac'!$P$75:$P$89,"&gt;="&amp;I$203)+SUMIFS('Renew &amp; Vac'!$H$75:$H$89,'Renew &amp; Vac'!$A$75:$A$89,$B211,'Renew &amp; Vac'!$D$75:$D$89,"&lt;="&amp;I$203,'Renew &amp; Vac'!$E$75:$E$89,"&gt;="&amp;I$203)</f>
        <v>0</v>
      </c>
      <c r="J211" s="34">
        <f>SUMIFS('Renew &amp; Vac'!$S$75:$S$89,'Renew &amp; Vac'!$L$75:$L$89,$B211,'Renew &amp; Vac'!$O$75:$O$89,"&lt;="&amp;J$203,'Renew &amp; Vac'!$P$75:$P$89,"&gt;="&amp;J$203)+SUMIFS('Renew &amp; Vac'!$H$75:$H$89,'Renew &amp; Vac'!$A$75:$A$89,$B211,'Renew &amp; Vac'!$D$75:$D$89,"&lt;="&amp;J$203,'Renew &amp; Vac'!$E$75:$E$89,"&gt;="&amp;J$203)</f>
        <v>0</v>
      </c>
      <c r="K211" s="34">
        <f>SUMIFS('Renew &amp; Vac'!$S$75:$S$89,'Renew &amp; Vac'!$L$75:$L$89,$B211,'Renew &amp; Vac'!$O$75:$O$89,"&lt;="&amp;K$203,'Renew &amp; Vac'!$P$75:$P$89,"&gt;="&amp;K$203)+SUMIFS('Renew &amp; Vac'!$H$75:$H$89,'Renew &amp; Vac'!$A$75:$A$89,$B211,'Renew &amp; Vac'!$D$75:$D$89,"&lt;="&amp;K$203,'Renew &amp; Vac'!$E$75:$E$89,"&gt;="&amp;K$203)</f>
        <v>2375.75</v>
      </c>
      <c r="L211" s="34">
        <f>SUMIFS('Renew &amp; Vac'!$S$75:$S$89,'Renew &amp; Vac'!$L$75:$L$89,$B211,'Renew &amp; Vac'!$O$75:$O$89,"&lt;="&amp;L$203,'Renew &amp; Vac'!$P$75:$P$89,"&gt;="&amp;L$203)+SUMIFS('Renew &amp; Vac'!$H$75:$H$89,'Renew &amp; Vac'!$A$75:$A$89,$B211,'Renew &amp; Vac'!$D$75:$D$89,"&lt;="&amp;L$203,'Renew &amp; Vac'!$E$75:$E$89,"&gt;="&amp;L$203)</f>
        <v>2375.75</v>
      </c>
      <c r="M211" s="34">
        <f>SUMIFS('Renew &amp; Vac'!$S$75:$S$89,'Renew &amp; Vac'!$L$75:$L$89,$B211,'Renew &amp; Vac'!$O$75:$O$89,"&lt;="&amp;M$203,'Renew &amp; Vac'!$P$75:$P$89,"&gt;="&amp;M$203)+SUMIFS('Renew &amp; Vac'!$H$75:$H$89,'Renew &amp; Vac'!$A$75:$A$89,$B211,'Renew &amp; Vac'!$D$75:$D$89,"&lt;="&amp;M$203,'Renew &amp; Vac'!$E$75:$E$89,"&gt;="&amp;M$203)</f>
        <v>2375.75</v>
      </c>
      <c r="N211" s="34">
        <f>SUMIFS('Renew &amp; Vac'!$S$75:$S$89,'Renew &amp; Vac'!$L$75:$L$89,$B211,'Renew &amp; Vac'!$O$75:$O$89,"&lt;="&amp;N$203,'Renew &amp; Vac'!$P$75:$P$89,"&gt;="&amp;N$203)+SUMIFS('Renew &amp; Vac'!$H$75:$H$89,'Renew &amp; Vac'!$A$75:$A$89,$B211,'Renew &amp; Vac'!$D$75:$D$89,"&lt;="&amp;N$203,'Renew &amp; Vac'!$E$75:$E$89,"&gt;="&amp;N$203)</f>
        <v>2375.75</v>
      </c>
      <c r="O211" s="34">
        <f>SUMIFS('Renew &amp; Vac'!$S$75:$S$89,'Renew &amp; Vac'!$L$75:$L$89,$B211,'Renew &amp; Vac'!$O$75:$O$89,"&lt;="&amp;O$203,'Renew &amp; Vac'!$P$75:$P$89,"&gt;="&amp;O$203)+SUMIFS('Renew &amp; Vac'!$H$75:$H$89,'Renew &amp; Vac'!$A$75:$A$89,$B211,'Renew &amp; Vac'!$D$75:$D$89,"&lt;="&amp;O$203,'Renew &amp; Vac'!$E$75:$E$89,"&gt;="&amp;O$203)</f>
        <v>2375.75</v>
      </c>
      <c r="P211" s="34">
        <f>SUMIFS('Renew &amp; Vac'!$S$75:$S$89,'Renew &amp; Vac'!$L$75:$L$89,$B211,'Renew &amp; Vac'!$O$75:$O$89,"&lt;="&amp;P$203,'Renew &amp; Vac'!$P$75:$P$89,"&gt;="&amp;P$203)+SUMIFS('Renew &amp; Vac'!$H$75:$H$89,'Renew &amp; Vac'!$A$75:$A$89,$B211,'Renew &amp; Vac'!$D$75:$D$89,"&lt;="&amp;P$203,'Renew &amp; Vac'!$E$75:$E$89,"&gt;="&amp;P$203)</f>
        <v>2375.75</v>
      </c>
      <c r="Q211" s="36">
        <f t="shared" si="49"/>
        <v>14254.5</v>
      </c>
    </row>
    <row r="212" spans="2:17" outlineLevel="1" x14ac:dyDescent="0.35">
      <c r="B212" s="127" t="str">
        <f t="shared" si="48"/>
        <v>4080-112</v>
      </c>
      <c r="D212" s="34" t="str">
        <f>IFERROR(VLOOKUP(B212,'Renew &amp; Vac'!$A$75:$B$89,2,FALSE),IFERROR(VLOOKUP(B212,'Renew &amp; Vac'!$L$75:$M$89,2,FALSE),VLOOKUP(B212,$B$172:$D$196,3,FALSE)))</f>
        <v>VACANT</v>
      </c>
      <c r="E212" s="34">
        <f>SUMIFS('Renew &amp; Vac'!$S$75:$S$89,'Renew &amp; Vac'!$L$75:$L$89,$B212,'Renew &amp; Vac'!$O$75:$O$89,"&lt;="&amp;E$203,'Renew &amp; Vac'!$P$75:$P$89,"&gt;="&amp;E$203)+SUMIFS('Renew &amp; Vac'!$H$75:$H$89,'Renew &amp; Vac'!$A$75:$A$89,$B212,'Renew &amp; Vac'!$D$75:$D$89,"&lt;="&amp;E$203,'Renew &amp; Vac'!$E$75:$E$89,"&gt;="&amp;E$203)</f>
        <v>1672.125</v>
      </c>
      <c r="F212" s="34">
        <f>SUMIFS('Renew &amp; Vac'!$S$75:$S$89,'Renew &amp; Vac'!$L$75:$L$89,$B212,'Renew &amp; Vac'!$O$75:$O$89,"&lt;="&amp;F$203,'Renew &amp; Vac'!$P$75:$P$89,"&gt;="&amp;F$203)+SUMIFS('Renew &amp; Vac'!$H$75:$H$89,'Renew &amp; Vac'!$A$75:$A$89,$B212,'Renew &amp; Vac'!$D$75:$D$89,"&lt;="&amp;F$203,'Renew &amp; Vac'!$E$75:$E$89,"&gt;="&amp;F$203)</f>
        <v>1672.125</v>
      </c>
      <c r="G212" s="34">
        <f>SUMIFS('Renew &amp; Vac'!$S$75:$S$89,'Renew &amp; Vac'!$L$75:$L$89,$B212,'Renew &amp; Vac'!$O$75:$O$89,"&lt;="&amp;G$203,'Renew &amp; Vac'!$P$75:$P$89,"&gt;="&amp;G$203)+SUMIFS('Renew &amp; Vac'!$H$75:$H$89,'Renew &amp; Vac'!$A$75:$A$89,$B212,'Renew &amp; Vac'!$D$75:$D$89,"&lt;="&amp;G$203,'Renew &amp; Vac'!$E$75:$E$89,"&gt;="&amp;G$203)</f>
        <v>1672.125</v>
      </c>
      <c r="H212" s="34">
        <f>SUMIFS('Renew &amp; Vac'!$S$75:$S$89,'Renew &amp; Vac'!$L$75:$L$89,$B212,'Renew &amp; Vac'!$O$75:$O$89,"&lt;="&amp;H$203,'Renew &amp; Vac'!$P$75:$P$89,"&gt;="&amp;H$203)+SUMIFS('Renew &amp; Vac'!$H$75:$H$89,'Renew &amp; Vac'!$A$75:$A$89,$B212,'Renew &amp; Vac'!$D$75:$D$89,"&lt;="&amp;H$203,'Renew &amp; Vac'!$E$75:$E$89,"&gt;="&amp;H$203)</f>
        <v>1672.125</v>
      </c>
      <c r="I212" s="34">
        <f>SUMIFS('Renew &amp; Vac'!$S$75:$S$89,'Renew &amp; Vac'!$L$75:$L$89,$B212,'Renew &amp; Vac'!$O$75:$O$89,"&lt;="&amp;I$203,'Renew &amp; Vac'!$P$75:$P$89,"&gt;="&amp;I$203)+SUMIFS('Renew &amp; Vac'!$H$75:$H$89,'Renew &amp; Vac'!$A$75:$A$89,$B212,'Renew &amp; Vac'!$D$75:$D$89,"&lt;="&amp;I$203,'Renew &amp; Vac'!$E$75:$E$89,"&gt;="&amp;I$203)</f>
        <v>1672.125</v>
      </c>
      <c r="J212" s="34">
        <f>SUMIFS('Renew &amp; Vac'!$S$75:$S$89,'Renew &amp; Vac'!$L$75:$L$89,$B212,'Renew &amp; Vac'!$O$75:$O$89,"&lt;="&amp;J$203,'Renew &amp; Vac'!$P$75:$P$89,"&gt;="&amp;J$203)+SUMIFS('Renew &amp; Vac'!$H$75:$H$89,'Renew &amp; Vac'!$A$75:$A$89,$B212,'Renew &amp; Vac'!$D$75:$D$89,"&lt;="&amp;J$203,'Renew &amp; Vac'!$E$75:$E$89,"&gt;="&amp;J$203)</f>
        <v>1672.125</v>
      </c>
      <c r="K212" s="34">
        <f>SUMIFS('Renew &amp; Vac'!$S$75:$S$89,'Renew &amp; Vac'!$L$75:$L$89,$B212,'Renew &amp; Vac'!$O$75:$O$89,"&lt;="&amp;K$203,'Renew &amp; Vac'!$P$75:$P$89,"&gt;="&amp;K$203)+SUMIFS('Renew &amp; Vac'!$H$75:$H$89,'Renew &amp; Vac'!$A$75:$A$89,$B212,'Renew &amp; Vac'!$D$75:$D$89,"&lt;="&amp;K$203,'Renew &amp; Vac'!$E$75:$E$89,"&gt;="&amp;K$203)</f>
        <v>1672.125</v>
      </c>
      <c r="L212" s="34">
        <f>SUMIFS('Renew &amp; Vac'!$S$75:$S$89,'Renew &amp; Vac'!$L$75:$L$89,$B212,'Renew &amp; Vac'!$O$75:$O$89,"&lt;="&amp;L$203,'Renew &amp; Vac'!$P$75:$P$89,"&gt;="&amp;L$203)+SUMIFS('Renew &amp; Vac'!$H$75:$H$89,'Renew &amp; Vac'!$A$75:$A$89,$B212,'Renew &amp; Vac'!$D$75:$D$89,"&lt;="&amp;L$203,'Renew &amp; Vac'!$E$75:$E$89,"&gt;="&amp;L$203)</f>
        <v>1672.125</v>
      </c>
      <c r="M212" s="34">
        <f>SUMIFS('Renew &amp; Vac'!$S$75:$S$89,'Renew &amp; Vac'!$L$75:$L$89,$B212,'Renew &amp; Vac'!$O$75:$O$89,"&lt;="&amp;M$203,'Renew &amp; Vac'!$P$75:$P$89,"&gt;="&amp;M$203)+SUMIFS('Renew &amp; Vac'!$H$75:$H$89,'Renew &amp; Vac'!$A$75:$A$89,$B212,'Renew &amp; Vac'!$D$75:$D$89,"&lt;="&amp;M$203,'Renew &amp; Vac'!$E$75:$E$89,"&gt;="&amp;M$203)</f>
        <v>1672.125</v>
      </c>
      <c r="N212" s="34">
        <f>SUMIFS('Renew &amp; Vac'!$S$75:$S$89,'Renew &amp; Vac'!$L$75:$L$89,$B212,'Renew &amp; Vac'!$O$75:$O$89,"&lt;="&amp;N$203,'Renew &amp; Vac'!$P$75:$P$89,"&gt;="&amp;N$203)+SUMIFS('Renew &amp; Vac'!$H$75:$H$89,'Renew &amp; Vac'!$A$75:$A$89,$B212,'Renew &amp; Vac'!$D$75:$D$89,"&lt;="&amp;N$203,'Renew &amp; Vac'!$E$75:$E$89,"&gt;="&amp;N$203)</f>
        <v>1672.125</v>
      </c>
      <c r="O212" s="34">
        <f>SUMIFS('Renew &amp; Vac'!$S$75:$S$89,'Renew &amp; Vac'!$L$75:$L$89,$B212,'Renew &amp; Vac'!$O$75:$O$89,"&lt;="&amp;O$203,'Renew &amp; Vac'!$P$75:$P$89,"&gt;="&amp;O$203)+SUMIFS('Renew &amp; Vac'!$H$75:$H$89,'Renew &amp; Vac'!$A$75:$A$89,$B212,'Renew &amp; Vac'!$D$75:$D$89,"&lt;="&amp;O$203,'Renew &amp; Vac'!$E$75:$E$89,"&gt;="&amp;O$203)</f>
        <v>0</v>
      </c>
      <c r="P212" s="34">
        <f>SUMIFS('Renew &amp; Vac'!$S$75:$S$89,'Renew &amp; Vac'!$L$75:$L$89,$B212,'Renew &amp; Vac'!$O$75:$O$89,"&lt;="&amp;P$203,'Renew &amp; Vac'!$P$75:$P$89,"&gt;="&amp;P$203)+SUMIFS('Renew &amp; Vac'!$H$75:$H$89,'Renew &amp; Vac'!$A$75:$A$89,$B212,'Renew &amp; Vac'!$D$75:$D$89,"&lt;="&amp;P$203,'Renew &amp; Vac'!$E$75:$E$89,"&gt;="&amp;P$203)</f>
        <v>0</v>
      </c>
      <c r="Q212" s="36">
        <f t="shared" si="49"/>
        <v>16721.25</v>
      </c>
    </row>
    <row r="213" spans="2:17" outlineLevel="1" x14ac:dyDescent="0.35">
      <c r="B213" s="127" t="str">
        <f t="shared" si="48"/>
        <v>4080-115</v>
      </c>
      <c r="D213" s="34" t="str">
        <f>IFERROR(VLOOKUP(B213,'Renew &amp; Vac'!$A$75:$B$89,2,FALSE),IFERROR(VLOOKUP(B213,'Renew &amp; Vac'!$L$75:$M$89,2,FALSE),VLOOKUP(B213,$B$172:$D$196,3,FALSE)))</f>
        <v>VACANT</v>
      </c>
      <c r="E213" s="34">
        <f>SUMIFS('Renew &amp; Vac'!$S$75:$S$89,'Renew &amp; Vac'!$L$75:$L$89,$B213,'Renew &amp; Vac'!$O$75:$O$89,"&lt;="&amp;E$203,'Renew &amp; Vac'!$P$75:$P$89,"&gt;="&amp;E$203)+SUMIFS('Renew &amp; Vac'!$H$75:$H$89,'Renew &amp; Vac'!$A$75:$A$89,$B213,'Renew &amp; Vac'!$D$75:$D$89,"&lt;="&amp;E$203,'Renew &amp; Vac'!$E$75:$E$89,"&gt;="&amp;E$203)</f>
        <v>0</v>
      </c>
      <c r="F213" s="34">
        <f>SUMIFS('Renew &amp; Vac'!$S$75:$S$89,'Renew &amp; Vac'!$L$75:$L$89,$B213,'Renew &amp; Vac'!$O$75:$O$89,"&lt;="&amp;F$203,'Renew &amp; Vac'!$P$75:$P$89,"&gt;="&amp;F$203)+SUMIFS('Renew &amp; Vac'!$H$75:$H$89,'Renew &amp; Vac'!$A$75:$A$89,$B213,'Renew &amp; Vac'!$D$75:$D$89,"&lt;="&amp;F$203,'Renew &amp; Vac'!$E$75:$E$89,"&gt;="&amp;F$203)</f>
        <v>0</v>
      </c>
      <c r="G213" s="34">
        <f>SUMIFS('Renew &amp; Vac'!$S$75:$S$89,'Renew &amp; Vac'!$L$75:$L$89,$B213,'Renew &amp; Vac'!$O$75:$O$89,"&lt;="&amp;G$203,'Renew &amp; Vac'!$P$75:$P$89,"&gt;="&amp;G$203)+SUMIFS('Renew &amp; Vac'!$H$75:$H$89,'Renew &amp; Vac'!$A$75:$A$89,$B213,'Renew &amp; Vac'!$D$75:$D$89,"&lt;="&amp;G$203,'Renew &amp; Vac'!$E$75:$E$89,"&gt;="&amp;G$203)</f>
        <v>3507.2100000000005</v>
      </c>
      <c r="H213" s="34">
        <f>SUMIFS('Renew &amp; Vac'!$S$75:$S$89,'Renew &amp; Vac'!$L$75:$L$89,$B213,'Renew &amp; Vac'!$O$75:$O$89,"&lt;="&amp;H$203,'Renew &amp; Vac'!$P$75:$P$89,"&gt;="&amp;H$203)+SUMIFS('Renew &amp; Vac'!$H$75:$H$89,'Renew &amp; Vac'!$A$75:$A$89,$B213,'Renew &amp; Vac'!$D$75:$D$89,"&lt;="&amp;H$203,'Renew &amp; Vac'!$E$75:$E$89,"&gt;="&amp;H$203)</f>
        <v>3507.2100000000005</v>
      </c>
      <c r="I213" s="34">
        <f>SUMIFS('Renew &amp; Vac'!$S$75:$S$89,'Renew &amp; Vac'!$L$75:$L$89,$B213,'Renew &amp; Vac'!$O$75:$O$89,"&lt;="&amp;I$203,'Renew &amp; Vac'!$P$75:$P$89,"&gt;="&amp;I$203)+SUMIFS('Renew &amp; Vac'!$H$75:$H$89,'Renew &amp; Vac'!$A$75:$A$89,$B213,'Renew &amp; Vac'!$D$75:$D$89,"&lt;="&amp;I$203,'Renew &amp; Vac'!$E$75:$E$89,"&gt;="&amp;I$203)</f>
        <v>3507.2100000000005</v>
      </c>
      <c r="J213" s="34">
        <f>SUMIFS('Renew &amp; Vac'!$S$75:$S$89,'Renew &amp; Vac'!$L$75:$L$89,$B213,'Renew &amp; Vac'!$O$75:$O$89,"&lt;="&amp;J$203,'Renew &amp; Vac'!$P$75:$P$89,"&gt;="&amp;J$203)+SUMIFS('Renew &amp; Vac'!$H$75:$H$89,'Renew &amp; Vac'!$A$75:$A$89,$B213,'Renew &amp; Vac'!$D$75:$D$89,"&lt;="&amp;J$203,'Renew &amp; Vac'!$E$75:$E$89,"&gt;="&amp;J$203)</f>
        <v>3507.2100000000005</v>
      </c>
      <c r="K213" s="34">
        <f>SUMIFS('Renew &amp; Vac'!$S$75:$S$89,'Renew &amp; Vac'!$L$75:$L$89,$B213,'Renew &amp; Vac'!$O$75:$O$89,"&lt;="&amp;K$203,'Renew &amp; Vac'!$P$75:$P$89,"&gt;="&amp;K$203)+SUMIFS('Renew &amp; Vac'!$H$75:$H$89,'Renew &amp; Vac'!$A$75:$A$89,$B213,'Renew &amp; Vac'!$D$75:$D$89,"&lt;="&amp;K$203,'Renew &amp; Vac'!$E$75:$E$89,"&gt;="&amp;K$203)</f>
        <v>3507.2100000000005</v>
      </c>
      <c r="L213" s="34">
        <f>SUMIFS('Renew &amp; Vac'!$S$75:$S$89,'Renew &amp; Vac'!$L$75:$L$89,$B213,'Renew &amp; Vac'!$O$75:$O$89,"&lt;="&amp;L$203,'Renew &amp; Vac'!$P$75:$P$89,"&gt;="&amp;L$203)+SUMIFS('Renew &amp; Vac'!$H$75:$H$89,'Renew &amp; Vac'!$A$75:$A$89,$B213,'Renew &amp; Vac'!$D$75:$D$89,"&lt;="&amp;L$203,'Renew &amp; Vac'!$E$75:$E$89,"&gt;="&amp;L$203)</f>
        <v>3507.2100000000005</v>
      </c>
      <c r="M213" s="34">
        <f>SUMIFS('Renew &amp; Vac'!$S$75:$S$89,'Renew &amp; Vac'!$L$75:$L$89,$B213,'Renew &amp; Vac'!$O$75:$O$89,"&lt;="&amp;M$203,'Renew &amp; Vac'!$P$75:$P$89,"&gt;="&amp;M$203)+SUMIFS('Renew &amp; Vac'!$H$75:$H$89,'Renew &amp; Vac'!$A$75:$A$89,$B213,'Renew &amp; Vac'!$D$75:$D$89,"&lt;="&amp;M$203,'Renew &amp; Vac'!$E$75:$E$89,"&gt;="&amp;M$203)</f>
        <v>3507.2100000000005</v>
      </c>
      <c r="N213" s="34">
        <f>SUMIFS('Renew &amp; Vac'!$S$75:$S$89,'Renew &amp; Vac'!$L$75:$L$89,$B213,'Renew &amp; Vac'!$O$75:$O$89,"&lt;="&amp;N$203,'Renew &amp; Vac'!$P$75:$P$89,"&gt;="&amp;N$203)+SUMIFS('Renew &amp; Vac'!$H$75:$H$89,'Renew &amp; Vac'!$A$75:$A$89,$B213,'Renew &amp; Vac'!$D$75:$D$89,"&lt;="&amp;N$203,'Renew &amp; Vac'!$E$75:$E$89,"&gt;="&amp;N$203)</f>
        <v>3507.2100000000005</v>
      </c>
      <c r="O213" s="34">
        <f>SUMIFS('Renew &amp; Vac'!$S$75:$S$89,'Renew &amp; Vac'!$L$75:$L$89,$B213,'Renew &amp; Vac'!$O$75:$O$89,"&lt;="&amp;O$203,'Renew &amp; Vac'!$P$75:$P$89,"&gt;="&amp;O$203)+SUMIFS('Renew &amp; Vac'!$H$75:$H$89,'Renew &amp; Vac'!$A$75:$A$89,$B213,'Renew &amp; Vac'!$D$75:$D$89,"&lt;="&amp;O$203,'Renew &amp; Vac'!$E$75:$E$89,"&gt;="&amp;O$203)</f>
        <v>3507.2100000000005</v>
      </c>
      <c r="P213" s="34">
        <f>SUMIFS('Renew &amp; Vac'!$S$75:$S$89,'Renew &amp; Vac'!$L$75:$L$89,$B213,'Renew &amp; Vac'!$O$75:$O$89,"&lt;="&amp;P$203,'Renew &amp; Vac'!$P$75:$P$89,"&gt;="&amp;P$203)+SUMIFS('Renew &amp; Vac'!$H$75:$H$89,'Renew &amp; Vac'!$A$75:$A$89,$B213,'Renew &amp; Vac'!$D$75:$D$89,"&lt;="&amp;P$203,'Renew &amp; Vac'!$E$75:$E$89,"&gt;="&amp;P$203)</f>
        <v>3507.2100000000005</v>
      </c>
      <c r="Q213" s="36">
        <f t="shared" si="49"/>
        <v>35072.1</v>
      </c>
    </row>
    <row r="214" spans="2:17" outlineLevel="1" x14ac:dyDescent="0.35">
      <c r="B214" s="127" t="str">
        <f t="shared" si="48"/>
        <v>4080-117</v>
      </c>
      <c r="D214" s="34" t="str">
        <f>IFERROR(VLOOKUP(B214,'Renew &amp; Vac'!$A$75:$B$89,2,FALSE),IFERROR(VLOOKUP(B214,'Renew &amp; Vac'!$L$75:$M$89,2,FALSE),VLOOKUP(B214,$B$172:$D$196,3,FALSE)))</f>
        <v>Worldwide Land Transfer, Inc.</v>
      </c>
      <c r="E214" s="34">
        <f>SUMIFS('Renew &amp; Vac'!$S$75:$S$89,'Renew &amp; Vac'!$L$75:$L$89,$B214,'Renew &amp; Vac'!$O$75:$O$89,"&lt;="&amp;E$203,'Renew &amp; Vac'!$P$75:$P$89,"&gt;="&amp;E$203)+SUMIFS('Renew &amp; Vac'!$H$75:$H$89,'Renew &amp; Vac'!$A$75:$A$89,$B214,'Renew &amp; Vac'!$D$75:$D$89,"&lt;="&amp;E$203,'Renew &amp; Vac'!$E$75:$E$89,"&gt;="&amp;E$203)</f>
        <v>0</v>
      </c>
      <c r="F214" s="34">
        <f>SUMIFS('Renew &amp; Vac'!$S$75:$S$89,'Renew &amp; Vac'!$L$75:$L$89,$B214,'Renew &amp; Vac'!$O$75:$O$89,"&lt;="&amp;F$203,'Renew &amp; Vac'!$P$75:$P$89,"&gt;="&amp;F$203)+SUMIFS('Renew &amp; Vac'!$H$75:$H$89,'Renew &amp; Vac'!$A$75:$A$89,$B214,'Renew &amp; Vac'!$D$75:$D$89,"&lt;="&amp;F$203,'Renew &amp; Vac'!$E$75:$E$89,"&gt;="&amp;F$203)</f>
        <v>0</v>
      </c>
      <c r="G214" s="34">
        <f>SUMIFS('Renew &amp; Vac'!$S$75:$S$89,'Renew &amp; Vac'!$L$75:$L$89,$B214,'Renew &amp; Vac'!$O$75:$O$89,"&lt;="&amp;G$203,'Renew &amp; Vac'!$P$75:$P$89,"&gt;="&amp;G$203)+SUMIFS('Renew &amp; Vac'!$H$75:$H$89,'Renew &amp; Vac'!$A$75:$A$89,$B214,'Renew &amp; Vac'!$D$75:$D$89,"&lt;="&amp;G$203,'Renew &amp; Vac'!$E$75:$E$89,"&gt;="&amp;G$203)</f>
        <v>0</v>
      </c>
      <c r="H214" s="34">
        <f>SUMIFS('Renew &amp; Vac'!$S$75:$S$89,'Renew &amp; Vac'!$L$75:$L$89,$B214,'Renew &amp; Vac'!$O$75:$O$89,"&lt;="&amp;H$203,'Renew &amp; Vac'!$P$75:$P$89,"&gt;="&amp;H$203)+SUMIFS('Renew &amp; Vac'!$H$75:$H$89,'Renew &amp; Vac'!$A$75:$A$89,$B214,'Renew &amp; Vac'!$D$75:$D$89,"&lt;="&amp;H$203,'Renew &amp; Vac'!$E$75:$E$89,"&gt;="&amp;H$203)</f>
        <v>0</v>
      </c>
      <c r="I214" s="34">
        <f>SUMIFS('Renew &amp; Vac'!$S$75:$S$89,'Renew &amp; Vac'!$L$75:$L$89,$B214,'Renew &amp; Vac'!$O$75:$O$89,"&lt;="&amp;I$203,'Renew &amp; Vac'!$P$75:$P$89,"&gt;="&amp;I$203)+SUMIFS('Renew &amp; Vac'!$H$75:$H$89,'Renew &amp; Vac'!$A$75:$A$89,$B214,'Renew &amp; Vac'!$D$75:$D$89,"&lt;="&amp;I$203,'Renew &amp; Vac'!$E$75:$E$89,"&gt;="&amp;I$203)</f>
        <v>0</v>
      </c>
      <c r="J214" s="34">
        <f>SUMIFS('Renew &amp; Vac'!$S$75:$S$89,'Renew &amp; Vac'!$L$75:$L$89,$B214,'Renew &amp; Vac'!$O$75:$O$89,"&lt;="&amp;J$203,'Renew &amp; Vac'!$P$75:$P$89,"&gt;="&amp;J$203)+SUMIFS('Renew &amp; Vac'!$H$75:$H$89,'Renew &amp; Vac'!$A$75:$A$89,$B214,'Renew &amp; Vac'!$D$75:$D$89,"&lt;="&amp;J$203,'Renew &amp; Vac'!$E$75:$E$89,"&gt;="&amp;J$203)</f>
        <v>0</v>
      </c>
      <c r="K214" s="34">
        <f>SUMIFS('Renew &amp; Vac'!$S$75:$S$89,'Renew &amp; Vac'!$L$75:$L$89,$B214,'Renew &amp; Vac'!$O$75:$O$89,"&lt;="&amp;K$203,'Renew &amp; Vac'!$P$75:$P$89,"&gt;="&amp;K$203)+SUMIFS('Renew &amp; Vac'!$H$75:$H$89,'Renew &amp; Vac'!$A$75:$A$89,$B214,'Renew &amp; Vac'!$D$75:$D$89,"&lt;="&amp;K$203,'Renew &amp; Vac'!$E$75:$E$89,"&gt;="&amp;K$203)</f>
        <v>0</v>
      </c>
      <c r="L214" s="34">
        <f>SUMIFS('Renew &amp; Vac'!$S$75:$S$89,'Renew &amp; Vac'!$L$75:$L$89,$B214,'Renew &amp; Vac'!$O$75:$O$89,"&lt;="&amp;L$203,'Renew &amp; Vac'!$P$75:$P$89,"&gt;="&amp;L$203)+SUMIFS('Renew &amp; Vac'!$H$75:$H$89,'Renew &amp; Vac'!$A$75:$A$89,$B214,'Renew &amp; Vac'!$D$75:$D$89,"&lt;="&amp;L$203,'Renew &amp; Vac'!$E$75:$E$89,"&gt;="&amp;L$203)</f>
        <v>0</v>
      </c>
      <c r="M214" s="34">
        <f>SUMIFS('Renew &amp; Vac'!$S$75:$S$89,'Renew &amp; Vac'!$L$75:$L$89,$B214,'Renew &amp; Vac'!$O$75:$O$89,"&lt;="&amp;M$203,'Renew &amp; Vac'!$P$75:$P$89,"&gt;="&amp;M$203)+SUMIFS('Renew &amp; Vac'!$H$75:$H$89,'Renew &amp; Vac'!$A$75:$A$89,$B214,'Renew &amp; Vac'!$D$75:$D$89,"&lt;="&amp;M$203,'Renew &amp; Vac'!$E$75:$E$89,"&gt;="&amp;M$203)</f>
        <v>0</v>
      </c>
      <c r="N214" s="34">
        <f>SUMIFS('Renew &amp; Vac'!$S$75:$S$89,'Renew &amp; Vac'!$L$75:$L$89,$B214,'Renew &amp; Vac'!$O$75:$O$89,"&lt;="&amp;N$203,'Renew &amp; Vac'!$P$75:$P$89,"&gt;="&amp;N$203)+SUMIFS('Renew &amp; Vac'!$H$75:$H$89,'Renew &amp; Vac'!$A$75:$A$89,$B214,'Renew &amp; Vac'!$D$75:$D$89,"&lt;="&amp;N$203,'Renew &amp; Vac'!$E$75:$E$89,"&gt;="&amp;N$203)</f>
        <v>0</v>
      </c>
      <c r="O214" s="34">
        <f>SUMIFS('Renew &amp; Vac'!$S$75:$S$89,'Renew &amp; Vac'!$L$75:$L$89,$B214,'Renew &amp; Vac'!$O$75:$O$89,"&lt;="&amp;O$203,'Renew &amp; Vac'!$P$75:$P$89,"&gt;="&amp;O$203)+SUMIFS('Renew &amp; Vac'!$H$75:$H$89,'Renew &amp; Vac'!$A$75:$A$89,$B214,'Renew &amp; Vac'!$D$75:$D$89,"&lt;="&amp;O$203,'Renew &amp; Vac'!$E$75:$E$89,"&gt;="&amp;O$203)</f>
        <v>0</v>
      </c>
      <c r="P214" s="34">
        <f>SUMIFS('Renew &amp; Vac'!$S$75:$S$89,'Renew &amp; Vac'!$L$75:$L$89,$B214,'Renew &amp; Vac'!$O$75:$O$89,"&lt;="&amp;P$203,'Renew &amp; Vac'!$P$75:$P$89,"&gt;="&amp;P$203)+SUMIFS('Renew &amp; Vac'!$H$75:$H$89,'Renew &amp; Vac'!$A$75:$A$89,$B214,'Renew &amp; Vac'!$D$75:$D$89,"&lt;="&amp;P$203,'Renew &amp; Vac'!$E$75:$E$89,"&gt;="&amp;P$203)</f>
        <v>0</v>
      </c>
      <c r="Q214" s="36">
        <f t="shared" si="49"/>
        <v>0</v>
      </c>
    </row>
    <row r="215" spans="2:17" outlineLevel="1" x14ac:dyDescent="0.35">
      <c r="B215" s="127" t="str">
        <f t="shared" si="48"/>
        <v>4080-201</v>
      </c>
      <c r="D215" s="34" t="str">
        <f>IFERROR(VLOOKUP(B215,'Renew &amp; Vac'!$A$75:$B$89,2,FALSE),IFERROR(VLOOKUP(B215,'Renew &amp; Vac'!$L$75:$M$89,2,FALSE),VLOOKUP(B215,$B$172:$D$196,3,FALSE)))</f>
        <v>Conference Center</v>
      </c>
      <c r="E215" s="34">
        <f>SUMIFS('Renew &amp; Vac'!$S$75:$S$89,'Renew &amp; Vac'!$L$75:$L$89,$B215,'Renew &amp; Vac'!$O$75:$O$89,"&lt;="&amp;E$203,'Renew &amp; Vac'!$P$75:$P$89,"&gt;="&amp;E$203)+SUMIFS('Renew &amp; Vac'!$H$75:$H$89,'Renew &amp; Vac'!$A$75:$A$89,$B215,'Renew &amp; Vac'!$D$75:$D$89,"&lt;="&amp;E$203,'Renew &amp; Vac'!$E$75:$E$89,"&gt;="&amp;E$203)</f>
        <v>0</v>
      </c>
      <c r="F215" s="34">
        <f>SUMIFS('Renew &amp; Vac'!$S$75:$S$89,'Renew &amp; Vac'!$L$75:$L$89,$B215,'Renew &amp; Vac'!$O$75:$O$89,"&lt;="&amp;F$203,'Renew &amp; Vac'!$P$75:$P$89,"&gt;="&amp;F$203)+SUMIFS('Renew &amp; Vac'!$H$75:$H$89,'Renew &amp; Vac'!$A$75:$A$89,$B215,'Renew &amp; Vac'!$D$75:$D$89,"&lt;="&amp;F$203,'Renew &amp; Vac'!$E$75:$E$89,"&gt;="&amp;F$203)</f>
        <v>0</v>
      </c>
      <c r="G215" s="34">
        <f>SUMIFS('Renew &amp; Vac'!$S$75:$S$89,'Renew &amp; Vac'!$L$75:$L$89,$B215,'Renew &amp; Vac'!$O$75:$O$89,"&lt;="&amp;G$203,'Renew &amp; Vac'!$P$75:$P$89,"&gt;="&amp;G$203)+SUMIFS('Renew &amp; Vac'!$H$75:$H$89,'Renew &amp; Vac'!$A$75:$A$89,$B215,'Renew &amp; Vac'!$D$75:$D$89,"&lt;="&amp;G$203,'Renew &amp; Vac'!$E$75:$E$89,"&gt;="&amp;G$203)</f>
        <v>0</v>
      </c>
      <c r="H215" s="34">
        <f>SUMIFS('Renew &amp; Vac'!$S$75:$S$89,'Renew &amp; Vac'!$L$75:$L$89,$B215,'Renew &amp; Vac'!$O$75:$O$89,"&lt;="&amp;H$203,'Renew &amp; Vac'!$P$75:$P$89,"&gt;="&amp;H$203)+SUMIFS('Renew &amp; Vac'!$H$75:$H$89,'Renew &amp; Vac'!$A$75:$A$89,$B215,'Renew &amp; Vac'!$D$75:$D$89,"&lt;="&amp;H$203,'Renew &amp; Vac'!$E$75:$E$89,"&gt;="&amp;H$203)</f>
        <v>0</v>
      </c>
      <c r="I215" s="34">
        <f>SUMIFS('Renew &amp; Vac'!$S$75:$S$89,'Renew &amp; Vac'!$L$75:$L$89,$B215,'Renew &amp; Vac'!$O$75:$O$89,"&lt;="&amp;I$203,'Renew &amp; Vac'!$P$75:$P$89,"&gt;="&amp;I$203)+SUMIFS('Renew &amp; Vac'!$H$75:$H$89,'Renew &amp; Vac'!$A$75:$A$89,$B215,'Renew &amp; Vac'!$D$75:$D$89,"&lt;="&amp;I$203,'Renew &amp; Vac'!$E$75:$E$89,"&gt;="&amp;I$203)</f>
        <v>0</v>
      </c>
      <c r="J215" s="34">
        <f>SUMIFS('Renew &amp; Vac'!$S$75:$S$89,'Renew &amp; Vac'!$L$75:$L$89,$B215,'Renew &amp; Vac'!$O$75:$O$89,"&lt;="&amp;J$203,'Renew &amp; Vac'!$P$75:$P$89,"&gt;="&amp;J$203)+SUMIFS('Renew &amp; Vac'!$H$75:$H$89,'Renew &amp; Vac'!$A$75:$A$89,$B215,'Renew &amp; Vac'!$D$75:$D$89,"&lt;="&amp;J$203,'Renew &amp; Vac'!$E$75:$E$89,"&gt;="&amp;J$203)</f>
        <v>0</v>
      </c>
      <c r="K215" s="34">
        <f>SUMIFS('Renew &amp; Vac'!$S$75:$S$89,'Renew &amp; Vac'!$L$75:$L$89,$B215,'Renew &amp; Vac'!$O$75:$O$89,"&lt;="&amp;K$203,'Renew &amp; Vac'!$P$75:$P$89,"&gt;="&amp;K$203)+SUMIFS('Renew &amp; Vac'!$H$75:$H$89,'Renew &amp; Vac'!$A$75:$A$89,$B215,'Renew &amp; Vac'!$D$75:$D$89,"&lt;="&amp;K$203,'Renew &amp; Vac'!$E$75:$E$89,"&gt;="&amp;K$203)</f>
        <v>0</v>
      </c>
      <c r="L215" s="34">
        <f>SUMIFS('Renew &amp; Vac'!$S$75:$S$89,'Renew &amp; Vac'!$L$75:$L$89,$B215,'Renew &amp; Vac'!$O$75:$O$89,"&lt;="&amp;L$203,'Renew &amp; Vac'!$P$75:$P$89,"&gt;="&amp;L$203)+SUMIFS('Renew &amp; Vac'!$H$75:$H$89,'Renew &amp; Vac'!$A$75:$A$89,$B215,'Renew &amp; Vac'!$D$75:$D$89,"&lt;="&amp;L$203,'Renew &amp; Vac'!$E$75:$E$89,"&gt;="&amp;L$203)</f>
        <v>0</v>
      </c>
      <c r="M215" s="34">
        <f>SUMIFS('Renew &amp; Vac'!$S$75:$S$89,'Renew &amp; Vac'!$L$75:$L$89,$B215,'Renew &amp; Vac'!$O$75:$O$89,"&lt;="&amp;M$203,'Renew &amp; Vac'!$P$75:$P$89,"&gt;="&amp;M$203)+SUMIFS('Renew &amp; Vac'!$H$75:$H$89,'Renew &amp; Vac'!$A$75:$A$89,$B215,'Renew &amp; Vac'!$D$75:$D$89,"&lt;="&amp;M$203,'Renew &amp; Vac'!$E$75:$E$89,"&gt;="&amp;M$203)</f>
        <v>0</v>
      </c>
      <c r="N215" s="34">
        <f>SUMIFS('Renew &amp; Vac'!$S$75:$S$89,'Renew &amp; Vac'!$L$75:$L$89,$B215,'Renew &amp; Vac'!$O$75:$O$89,"&lt;="&amp;N$203,'Renew &amp; Vac'!$P$75:$P$89,"&gt;="&amp;N$203)+SUMIFS('Renew &amp; Vac'!$H$75:$H$89,'Renew &amp; Vac'!$A$75:$A$89,$B215,'Renew &amp; Vac'!$D$75:$D$89,"&lt;="&amp;N$203,'Renew &amp; Vac'!$E$75:$E$89,"&gt;="&amp;N$203)</f>
        <v>0</v>
      </c>
      <c r="O215" s="34">
        <f>SUMIFS('Renew &amp; Vac'!$S$75:$S$89,'Renew &amp; Vac'!$L$75:$L$89,$B215,'Renew &amp; Vac'!$O$75:$O$89,"&lt;="&amp;O$203,'Renew &amp; Vac'!$P$75:$P$89,"&gt;="&amp;O$203)+SUMIFS('Renew &amp; Vac'!$H$75:$H$89,'Renew &amp; Vac'!$A$75:$A$89,$B215,'Renew &amp; Vac'!$D$75:$D$89,"&lt;="&amp;O$203,'Renew &amp; Vac'!$E$75:$E$89,"&gt;="&amp;O$203)</f>
        <v>0</v>
      </c>
      <c r="P215" s="34">
        <f>SUMIFS('Renew &amp; Vac'!$S$75:$S$89,'Renew &amp; Vac'!$L$75:$L$89,$B215,'Renew &amp; Vac'!$O$75:$O$89,"&lt;="&amp;P$203,'Renew &amp; Vac'!$P$75:$P$89,"&gt;="&amp;P$203)+SUMIFS('Renew &amp; Vac'!$H$75:$H$89,'Renew &amp; Vac'!$A$75:$A$89,$B215,'Renew &amp; Vac'!$D$75:$D$89,"&lt;="&amp;P$203,'Renew &amp; Vac'!$E$75:$E$89,"&gt;="&amp;P$203)</f>
        <v>0</v>
      </c>
      <c r="Q215" s="36">
        <f t="shared" si="49"/>
        <v>0</v>
      </c>
    </row>
    <row r="216" spans="2:17" outlineLevel="1" x14ac:dyDescent="0.35">
      <c r="B216" s="127" t="str">
        <f t="shared" si="48"/>
        <v>4080-207</v>
      </c>
      <c r="D216" s="34" t="str">
        <f>IFERROR(VLOOKUP(B216,'Renew &amp; Vac'!$A$75:$B$89,2,FALSE),IFERROR(VLOOKUP(B216,'Renew &amp; Vac'!$L$75:$M$89,2,FALSE),VLOOKUP(B216,$B$172:$D$196,3,FALSE)))</f>
        <v>MacKee, Inc.</v>
      </c>
      <c r="E216" s="34">
        <f>SUMIFS('Renew &amp; Vac'!$S$75:$S$89,'Renew &amp; Vac'!$L$75:$L$89,$B216,'Renew &amp; Vac'!$O$75:$O$89,"&lt;="&amp;E$203,'Renew &amp; Vac'!$P$75:$P$89,"&gt;="&amp;E$203)+SUMIFS('Renew &amp; Vac'!$H$75:$H$89,'Renew &amp; Vac'!$A$75:$A$89,$B216,'Renew &amp; Vac'!$D$75:$D$89,"&lt;="&amp;E$203,'Renew &amp; Vac'!$E$75:$E$89,"&gt;="&amp;E$203)</f>
        <v>0</v>
      </c>
      <c r="F216" s="34">
        <f>SUMIFS('Renew &amp; Vac'!$S$75:$S$89,'Renew &amp; Vac'!$L$75:$L$89,$B216,'Renew &amp; Vac'!$O$75:$O$89,"&lt;="&amp;F$203,'Renew &amp; Vac'!$P$75:$P$89,"&gt;="&amp;F$203)+SUMIFS('Renew &amp; Vac'!$H$75:$H$89,'Renew &amp; Vac'!$A$75:$A$89,$B216,'Renew &amp; Vac'!$D$75:$D$89,"&lt;="&amp;F$203,'Renew &amp; Vac'!$E$75:$E$89,"&gt;="&amp;F$203)</f>
        <v>0</v>
      </c>
      <c r="G216" s="34">
        <f>SUMIFS('Renew &amp; Vac'!$S$75:$S$89,'Renew &amp; Vac'!$L$75:$L$89,$B216,'Renew &amp; Vac'!$O$75:$O$89,"&lt;="&amp;G$203,'Renew &amp; Vac'!$P$75:$P$89,"&gt;="&amp;G$203)+SUMIFS('Renew &amp; Vac'!$H$75:$H$89,'Renew &amp; Vac'!$A$75:$A$89,$B216,'Renew &amp; Vac'!$D$75:$D$89,"&lt;="&amp;G$203,'Renew &amp; Vac'!$E$75:$E$89,"&gt;="&amp;G$203)</f>
        <v>0</v>
      </c>
      <c r="H216" s="34">
        <f>SUMIFS('Renew &amp; Vac'!$S$75:$S$89,'Renew &amp; Vac'!$L$75:$L$89,$B216,'Renew &amp; Vac'!$O$75:$O$89,"&lt;="&amp;H$203,'Renew &amp; Vac'!$P$75:$P$89,"&gt;="&amp;H$203)+SUMIFS('Renew &amp; Vac'!$H$75:$H$89,'Renew &amp; Vac'!$A$75:$A$89,$B216,'Renew &amp; Vac'!$D$75:$D$89,"&lt;="&amp;H$203,'Renew &amp; Vac'!$E$75:$E$89,"&gt;="&amp;H$203)</f>
        <v>0</v>
      </c>
      <c r="I216" s="34">
        <f>SUMIFS('Renew &amp; Vac'!$S$75:$S$89,'Renew &amp; Vac'!$L$75:$L$89,$B216,'Renew &amp; Vac'!$O$75:$O$89,"&lt;="&amp;I$203,'Renew &amp; Vac'!$P$75:$P$89,"&gt;="&amp;I$203)+SUMIFS('Renew &amp; Vac'!$H$75:$H$89,'Renew &amp; Vac'!$A$75:$A$89,$B216,'Renew &amp; Vac'!$D$75:$D$89,"&lt;="&amp;I$203,'Renew &amp; Vac'!$E$75:$E$89,"&gt;="&amp;I$203)</f>
        <v>0</v>
      </c>
      <c r="J216" s="34">
        <f>SUMIFS('Renew &amp; Vac'!$S$75:$S$89,'Renew &amp; Vac'!$L$75:$L$89,$B216,'Renew &amp; Vac'!$O$75:$O$89,"&lt;="&amp;J$203,'Renew &amp; Vac'!$P$75:$P$89,"&gt;="&amp;J$203)+SUMIFS('Renew &amp; Vac'!$H$75:$H$89,'Renew &amp; Vac'!$A$75:$A$89,$B216,'Renew &amp; Vac'!$D$75:$D$89,"&lt;="&amp;J$203,'Renew &amp; Vac'!$E$75:$E$89,"&gt;="&amp;J$203)</f>
        <v>0</v>
      </c>
      <c r="K216" s="34">
        <f>SUMIFS('Renew &amp; Vac'!$S$75:$S$89,'Renew &amp; Vac'!$L$75:$L$89,$B216,'Renew &amp; Vac'!$O$75:$O$89,"&lt;="&amp;K$203,'Renew &amp; Vac'!$P$75:$P$89,"&gt;="&amp;K$203)+SUMIFS('Renew &amp; Vac'!$H$75:$H$89,'Renew &amp; Vac'!$A$75:$A$89,$B216,'Renew &amp; Vac'!$D$75:$D$89,"&lt;="&amp;K$203,'Renew &amp; Vac'!$E$75:$E$89,"&gt;="&amp;K$203)</f>
        <v>0</v>
      </c>
      <c r="L216" s="34">
        <f>SUMIFS('Renew &amp; Vac'!$S$75:$S$89,'Renew &amp; Vac'!$L$75:$L$89,$B216,'Renew &amp; Vac'!$O$75:$O$89,"&lt;="&amp;L$203,'Renew &amp; Vac'!$P$75:$P$89,"&gt;="&amp;L$203)+SUMIFS('Renew &amp; Vac'!$H$75:$H$89,'Renew &amp; Vac'!$A$75:$A$89,$B216,'Renew &amp; Vac'!$D$75:$D$89,"&lt;="&amp;L$203,'Renew &amp; Vac'!$E$75:$E$89,"&gt;="&amp;L$203)</f>
        <v>0</v>
      </c>
      <c r="M216" s="34">
        <f>SUMIFS('Renew &amp; Vac'!$S$75:$S$89,'Renew &amp; Vac'!$L$75:$L$89,$B216,'Renew &amp; Vac'!$O$75:$O$89,"&lt;="&amp;M$203,'Renew &amp; Vac'!$P$75:$P$89,"&gt;="&amp;M$203)+SUMIFS('Renew &amp; Vac'!$H$75:$H$89,'Renew &amp; Vac'!$A$75:$A$89,$B216,'Renew &amp; Vac'!$D$75:$D$89,"&lt;="&amp;M$203,'Renew &amp; Vac'!$E$75:$E$89,"&gt;="&amp;M$203)</f>
        <v>0</v>
      </c>
      <c r="N216" s="34">
        <f>SUMIFS('Renew &amp; Vac'!$S$75:$S$89,'Renew &amp; Vac'!$L$75:$L$89,$B216,'Renew &amp; Vac'!$O$75:$O$89,"&lt;="&amp;N$203,'Renew &amp; Vac'!$P$75:$P$89,"&gt;="&amp;N$203)+SUMIFS('Renew &amp; Vac'!$H$75:$H$89,'Renew &amp; Vac'!$A$75:$A$89,$B216,'Renew &amp; Vac'!$D$75:$D$89,"&lt;="&amp;N$203,'Renew &amp; Vac'!$E$75:$E$89,"&gt;="&amp;N$203)</f>
        <v>0</v>
      </c>
      <c r="O216" s="34">
        <f>SUMIFS('Renew &amp; Vac'!$S$75:$S$89,'Renew &amp; Vac'!$L$75:$L$89,$B216,'Renew &amp; Vac'!$O$75:$O$89,"&lt;="&amp;O$203,'Renew &amp; Vac'!$P$75:$P$89,"&gt;="&amp;O$203)+SUMIFS('Renew &amp; Vac'!$H$75:$H$89,'Renew &amp; Vac'!$A$75:$A$89,$B216,'Renew &amp; Vac'!$D$75:$D$89,"&lt;="&amp;O$203,'Renew &amp; Vac'!$E$75:$E$89,"&gt;="&amp;O$203)</f>
        <v>0</v>
      </c>
      <c r="P216" s="34">
        <f>SUMIFS('Renew &amp; Vac'!$S$75:$S$89,'Renew &amp; Vac'!$L$75:$L$89,$B216,'Renew &amp; Vac'!$O$75:$O$89,"&lt;="&amp;P$203,'Renew &amp; Vac'!$P$75:$P$89,"&gt;="&amp;P$203)+SUMIFS('Renew &amp; Vac'!$H$75:$H$89,'Renew &amp; Vac'!$A$75:$A$89,$B216,'Renew &amp; Vac'!$D$75:$D$89,"&lt;="&amp;P$203,'Renew &amp; Vac'!$E$75:$E$89,"&gt;="&amp;P$203)</f>
        <v>0</v>
      </c>
      <c r="Q216" s="36">
        <f t="shared" si="49"/>
        <v>0</v>
      </c>
    </row>
    <row r="217" spans="2:17" outlineLevel="1" x14ac:dyDescent="0.35">
      <c r="B217" s="127" t="str">
        <f t="shared" si="48"/>
        <v>4080-208</v>
      </c>
      <c r="D217" s="34" t="str">
        <f>IFERROR(VLOOKUP(B217,'Renew &amp; Vac'!$A$75:$B$89,2,FALSE),IFERROR(VLOOKUP(B217,'Renew &amp; Vac'!$L$75:$M$89,2,FALSE),VLOOKUP(B217,$B$172:$D$196,3,FALSE)))</f>
        <v>VACANT</v>
      </c>
      <c r="E217" s="34">
        <f>SUMIFS('Renew &amp; Vac'!$S$75:$S$89,'Renew &amp; Vac'!$L$75:$L$89,$B217,'Renew &amp; Vac'!$O$75:$O$89,"&lt;="&amp;E$203,'Renew &amp; Vac'!$P$75:$P$89,"&gt;="&amp;E$203)+SUMIFS('Renew &amp; Vac'!$H$75:$H$89,'Renew &amp; Vac'!$A$75:$A$89,$B217,'Renew &amp; Vac'!$D$75:$D$89,"&lt;="&amp;E$203,'Renew &amp; Vac'!$E$75:$E$89,"&gt;="&amp;E$203)</f>
        <v>0</v>
      </c>
      <c r="F217" s="34">
        <f>SUMIFS('Renew &amp; Vac'!$S$75:$S$89,'Renew &amp; Vac'!$L$75:$L$89,$B217,'Renew &amp; Vac'!$O$75:$O$89,"&lt;="&amp;F$203,'Renew &amp; Vac'!$P$75:$P$89,"&gt;="&amp;F$203)+SUMIFS('Renew &amp; Vac'!$H$75:$H$89,'Renew &amp; Vac'!$A$75:$A$89,$B217,'Renew &amp; Vac'!$D$75:$D$89,"&lt;="&amp;F$203,'Renew &amp; Vac'!$E$75:$E$89,"&gt;="&amp;F$203)</f>
        <v>0</v>
      </c>
      <c r="G217" s="34">
        <f>SUMIFS('Renew &amp; Vac'!$S$75:$S$89,'Renew &amp; Vac'!$L$75:$L$89,$B217,'Renew &amp; Vac'!$O$75:$O$89,"&lt;="&amp;G$203,'Renew &amp; Vac'!$P$75:$P$89,"&gt;="&amp;G$203)+SUMIFS('Renew &amp; Vac'!$H$75:$H$89,'Renew &amp; Vac'!$A$75:$A$89,$B217,'Renew &amp; Vac'!$D$75:$D$89,"&lt;="&amp;G$203,'Renew &amp; Vac'!$E$75:$E$89,"&gt;="&amp;G$203)</f>
        <v>0</v>
      </c>
      <c r="H217" s="34">
        <f>SUMIFS('Renew &amp; Vac'!$S$75:$S$89,'Renew &amp; Vac'!$L$75:$L$89,$B217,'Renew &amp; Vac'!$O$75:$O$89,"&lt;="&amp;H$203,'Renew &amp; Vac'!$P$75:$P$89,"&gt;="&amp;H$203)+SUMIFS('Renew &amp; Vac'!$H$75:$H$89,'Renew &amp; Vac'!$A$75:$A$89,$B217,'Renew &amp; Vac'!$D$75:$D$89,"&lt;="&amp;H$203,'Renew &amp; Vac'!$E$75:$E$89,"&gt;="&amp;H$203)</f>
        <v>0</v>
      </c>
      <c r="I217" s="34">
        <f>SUMIFS('Renew &amp; Vac'!$S$75:$S$89,'Renew &amp; Vac'!$L$75:$L$89,$B217,'Renew &amp; Vac'!$O$75:$O$89,"&lt;="&amp;I$203,'Renew &amp; Vac'!$P$75:$P$89,"&gt;="&amp;I$203)+SUMIFS('Renew &amp; Vac'!$H$75:$H$89,'Renew &amp; Vac'!$A$75:$A$89,$B217,'Renew &amp; Vac'!$D$75:$D$89,"&lt;="&amp;I$203,'Renew &amp; Vac'!$E$75:$E$89,"&gt;="&amp;I$203)</f>
        <v>0</v>
      </c>
      <c r="J217" s="34">
        <f>SUMIFS('Renew &amp; Vac'!$S$75:$S$89,'Renew &amp; Vac'!$L$75:$L$89,$B217,'Renew &amp; Vac'!$O$75:$O$89,"&lt;="&amp;J$203,'Renew &amp; Vac'!$P$75:$P$89,"&gt;="&amp;J$203)+SUMIFS('Renew &amp; Vac'!$H$75:$H$89,'Renew &amp; Vac'!$A$75:$A$89,$B217,'Renew &amp; Vac'!$D$75:$D$89,"&lt;="&amp;J$203,'Renew &amp; Vac'!$E$75:$E$89,"&gt;="&amp;J$203)</f>
        <v>0</v>
      </c>
      <c r="K217" s="34">
        <f>SUMIFS('Renew &amp; Vac'!$S$75:$S$89,'Renew &amp; Vac'!$L$75:$L$89,$B217,'Renew &amp; Vac'!$O$75:$O$89,"&lt;="&amp;K$203,'Renew &amp; Vac'!$P$75:$P$89,"&gt;="&amp;K$203)+SUMIFS('Renew &amp; Vac'!$H$75:$H$89,'Renew &amp; Vac'!$A$75:$A$89,$B217,'Renew &amp; Vac'!$D$75:$D$89,"&lt;="&amp;K$203,'Renew &amp; Vac'!$E$75:$E$89,"&gt;="&amp;K$203)</f>
        <v>0</v>
      </c>
      <c r="L217" s="34">
        <f>SUMIFS('Renew &amp; Vac'!$S$75:$S$89,'Renew &amp; Vac'!$L$75:$L$89,$B217,'Renew &amp; Vac'!$O$75:$O$89,"&lt;="&amp;L$203,'Renew &amp; Vac'!$P$75:$P$89,"&gt;="&amp;L$203)+SUMIFS('Renew &amp; Vac'!$H$75:$H$89,'Renew &amp; Vac'!$A$75:$A$89,$B217,'Renew &amp; Vac'!$D$75:$D$89,"&lt;="&amp;L$203,'Renew &amp; Vac'!$E$75:$E$89,"&gt;="&amp;L$203)</f>
        <v>0</v>
      </c>
      <c r="M217" s="34">
        <f>SUMIFS('Renew &amp; Vac'!$S$75:$S$89,'Renew &amp; Vac'!$L$75:$L$89,$B217,'Renew &amp; Vac'!$O$75:$O$89,"&lt;="&amp;M$203,'Renew &amp; Vac'!$P$75:$P$89,"&gt;="&amp;M$203)+SUMIFS('Renew &amp; Vac'!$H$75:$H$89,'Renew &amp; Vac'!$A$75:$A$89,$B217,'Renew &amp; Vac'!$D$75:$D$89,"&lt;="&amp;M$203,'Renew &amp; Vac'!$E$75:$E$89,"&gt;="&amp;M$203)</f>
        <v>0</v>
      </c>
      <c r="N217" s="34">
        <f>SUMIFS('Renew &amp; Vac'!$S$75:$S$89,'Renew &amp; Vac'!$L$75:$L$89,$B217,'Renew &amp; Vac'!$O$75:$O$89,"&lt;="&amp;N$203,'Renew &amp; Vac'!$P$75:$P$89,"&gt;="&amp;N$203)+SUMIFS('Renew &amp; Vac'!$H$75:$H$89,'Renew &amp; Vac'!$A$75:$A$89,$B217,'Renew &amp; Vac'!$D$75:$D$89,"&lt;="&amp;N$203,'Renew &amp; Vac'!$E$75:$E$89,"&gt;="&amp;N$203)</f>
        <v>0</v>
      </c>
      <c r="O217" s="34">
        <f>SUMIFS('Renew &amp; Vac'!$S$75:$S$89,'Renew &amp; Vac'!$L$75:$L$89,$B217,'Renew &amp; Vac'!$O$75:$O$89,"&lt;="&amp;O$203,'Renew &amp; Vac'!$P$75:$P$89,"&gt;="&amp;O$203)+SUMIFS('Renew &amp; Vac'!$H$75:$H$89,'Renew &amp; Vac'!$A$75:$A$89,$B217,'Renew &amp; Vac'!$D$75:$D$89,"&lt;="&amp;O$203,'Renew &amp; Vac'!$E$75:$E$89,"&gt;="&amp;O$203)</f>
        <v>0</v>
      </c>
      <c r="P217" s="34">
        <f>SUMIFS('Renew &amp; Vac'!$S$75:$S$89,'Renew &amp; Vac'!$L$75:$L$89,$B217,'Renew &amp; Vac'!$O$75:$O$89,"&lt;="&amp;P$203,'Renew &amp; Vac'!$P$75:$P$89,"&gt;="&amp;P$203)+SUMIFS('Renew &amp; Vac'!$H$75:$H$89,'Renew &amp; Vac'!$A$75:$A$89,$B217,'Renew &amp; Vac'!$D$75:$D$89,"&lt;="&amp;P$203,'Renew &amp; Vac'!$E$75:$E$89,"&gt;="&amp;P$203)</f>
        <v>0</v>
      </c>
      <c r="Q217" s="36">
        <f t="shared" si="49"/>
        <v>0</v>
      </c>
    </row>
    <row r="218" spans="2:17" outlineLevel="1" x14ac:dyDescent="0.35">
      <c r="B218" s="127" t="str">
        <f t="shared" si="48"/>
        <v>4080-209</v>
      </c>
      <c r="D218" s="34" t="str">
        <f>IFERROR(VLOOKUP(B218,'Renew &amp; Vac'!$A$75:$B$89,2,FALSE),IFERROR(VLOOKUP(B218,'Renew &amp; Vac'!$L$75:$M$89,2,FALSE),VLOOKUP(B218,$B$172:$D$196,3,FALSE)))</f>
        <v>Data Systems Analysts, Inc.</v>
      </c>
      <c r="E218" s="34">
        <f>SUMIFS('Renew &amp; Vac'!$S$75:$S$89,'Renew &amp; Vac'!$L$75:$L$89,$B218,'Renew &amp; Vac'!$O$75:$O$89,"&lt;="&amp;E$203,'Renew &amp; Vac'!$P$75:$P$89,"&gt;="&amp;E$203)+SUMIFS('Renew &amp; Vac'!$H$75:$H$89,'Renew &amp; Vac'!$A$75:$A$89,$B218,'Renew &amp; Vac'!$D$75:$D$89,"&lt;="&amp;E$203,'Renew &amp; Vac'!$E$75:$E$89,"&gt;="&amp;E$203)</f>
        <v>0</v>
      </c>
      <c r="F218" s="34">
        <f>SUMIFS('Renew &amp; Vac'!$S$75:$S$89,'Renew &amp; Vac'!$L$75:$L$89,$B218,'Renew &amp; Vac'!$O$75:$O$89,"&lt;="&amp;F$203,'Renew &amp; Vac'!$P$75:$P$89,"&gt;="&amp;F$203)+SUMIFS('Renew &amp; Vac'!$H$75:$H$89,'Renew &amp; Vac'!$A$75:$A$89,$B218,'Renew &amp; Vac'!$D$75:$D$89,"&lt;="&amp;F$203,'Renew &amp; Vac'!$E$75:$E$89,"&gt;="&amp;F$203)</f>
        <v>0</v>
      </c>
      <c r="G218" s="34">
        <f>SUMIFS('Renew &amp; Vac'!$S$75:$S$89,'Renew &amp; Vac'!$L$75:$L$89,$B218,'Renew &amp; Vac'!$O$75:$O$89,"&lt;="&amp;G$203,'Renew &amp; Vac'!$P$75:$P$89,"&gt;="&amp;G$203)+SUMIFS('Renew &amp; Vac'!$H$75:$H$89,'Renew &amp; Vac'!$A$75:$A$89,$B218,'Renew &amp; Vac'!$D$75:$D$89,"&lt;="&amp;G$203,'Renew &amp; Vac'!$E$75:$E$89,"&gt;="&amp;G$203)</f>
        <v>0</v>
      </c>
      <c r="H218" s="34">
        <f>SUMIFS('Renew &amp; Vac'!$S$75:$S$89,'Renew &amp; Vac'!$L$75:$L$89,$B218,'Renew &amp; Vac'!$O$75:$O$89,"&lt;="&amp;H$203,'Renew &amp; Vac'!$P$75:$P$89,"&gt;="&amp;H$203)+SUMIFS('Renew &amp; Vac'!$H$75:$H$89,'Renew &amp; Vac'!$A$75:$A$89,$B218,'Renew &amp; Vac'!$D$75:$D$89,"&lt;="&amp;H$203,'Renew &amp; Vac'!$E$75:$E$89,"&gt;="&amp;H$203)</f>
        <v>0</v>
      </c>
      <c r="I218" s="34">
        <f>SUMIFS('Renew &amp; Vac'!$S$75:$S$89,'Renew &amp; Vac'!$L$75:$L$89,$B218,'Renew &amp; Vac'!$O$75:$O$89,"&lt;="&amp;I$203,'Renew &amp; Vac'!$P$75:$P$89,"&gt;="&amp;I$203)+SUMIFS('Renew &amp; Vac'!$H$75:$H$89,'Renew &amp; Vac'!$A$75:$A$89,$B218,'Renew &amp; Vac'!$D$75:$D$89,"&lt;="&amp;I$203,'Renew &amp; Vac'!$E$75:$E$89,"&gt;="&amp;I$203)</f>
        <v>0</v>
      </c>
      <c r="J218" s="34">
        <f>SUMIFS('Renew &amp; Vac'!$S$75:$S$89,'Renew &amp; Vac'!$L$75:$L$89,$B218,'Renew &amp; Vac'!$O$75:$O$89,"&lt;="&amp;J$203,'Renew &amp; Vac'!$P$75:$P$89,"&gt;="&amp;J$203)+SUMIFS('Renew &amp; Vac'!$H$75:$H$89,'Renew &amp; Vac'!$A$75:$A$89,$B218,'Renew &amp; Vac'!$D$75:$D$89,"&lt;="&amp;J$203,'Renew &amp; Vac'!$E$75:$E$89,"&gt;="&amp;J$203)</f>
        <v>0</v>
      </c>
      <c r="K218" s="34">
        <f>SUMIFS('Renew &amp; Vac'!$S$75:$S$89,'Renew &amp; Vac'!$L$75:$L$89,$B218,'Renew &amp; Vac'!$O$75:$O$89,"&lt;="&amp;K$203,'Renew &amp; Vac'!$P$75:$P$89,"&gt;="&amp;K$203)+SUMIFS('Renew &amp; Vac'!$H$75:$H$89,'Renew &amp; Vac'!$A$75:$A$89,$B218,'Renew &amp; Vac'!$D$75:$D$89,"&lt;="&amp;K$203,'Renew &amp; Vac'!$E$75:$E$89,"&gt;="&amp;K$203)</f>
        <v>0</v>
      </c>
      <c r="L218" s="34">
        <f>SUMIFS('Renew &amp; Vac'!$S$75:$S$89,'Renew &amp; Vac'!$L$75:$L$89,$B218,'Renew &amp; Vac'!$O$75:$O$89,"&lt;="&amp;L$203,'Renew &amp; Vac'!$P$75:$P$89,"&gt;="&amp;L$203)+SUMIFS('Renew &amp; Vac'!$H$75:$H$89,'Renew &amp; Vac'!$A$75:$A$89,$B218,'Renew &amp; Vac'!$D$75:$D$89,"&lt;="&amp;L$203,'Renew &amp; Vac'!$E$75:$E$89,"&gt;="&amp;L$203)</f>
        <v>0</v>
      </c>
      <c r="M218" s="34">
        <f>SUMIFS('Renew &amp; Vac'!$S$75:$S$89,'Renew &amp; Vac'!$L$75:$L$89,$B218,'Renew &amp; Vac'!$O$75:$O$89,"&lt;="&amp;M$203,'Renew &amp; Vac'!$P$75:$P$89,"&gt;="&amp;M$203)+SUMIFS('Renew &amp; Vac'!$H$75:$H$89,'Renew &amp; Vac'!$A$75:$A$89,$B218,'Renew &amp; Vac'!$D$75:$D$89,"&lt;="&amp;M$203,'Renew &amp; Vac'!$E$75:$E$89,"&gt;="&amp;M$203)</f>
        <v>0</v>
      </c>
      <c r="N218" s="34">
        <f>SUMIFS('Renew &amp; Vac'!$S$75:$S$89,'Renew &amp; Vac'!$L$75:$L$89,$B218,'Renew &amp; Vac'!$O$75:$O$89,"&lt;="&amp;N$203,'Renew &amp; Vac'!$P$75:$P$89,"&gt;="&amp;N$203)+SUMIFS('Renew &amp; Vac'!$H$75:$H$89,'Renew &amp; Vac'!$A$75:$A$89,$B218,'Renew &amp; Vac'!$D$75:$D$89,"&lt;="&amp;N$203,'Renew &amp; Vac'!$E$75:$E$89,"&gt;="&amp;N$203)</f>
        <v>0</v>
      </c>
      <c r="O218" s="34">
        <f>SUMIFS('Renew &amp; Vac'!$S$75:$S$89,'Renew &amp; Vac'!$L$75:$L$89,$B218,'Renew &amp; Vac'!$O$75:$O$89,"&lt;="&amp;O$203,'Renew &amp; Vac'!$P$75:$P$89,"&gt;="&amp;O$203)+SUMIFS('Renew &amp; Vac'!$H$75:$H$89,'Renew &amp; Vac'!$A$75:$A$89,$B218,'Renew &amp; Vac'!$D$75:$D$89,"&lt;="&amp;O$203,'Renew &amp; Vac'!$E$75:$E$89,"&gt;="&amp;O$203)</f>
        <v>0</v>
      </c>
      <c r="P218" s="34">
        <f>SUMIFS('Renew &amp; Vac'!$S$75:$S$89,'Renew &amp; Vac'!$L$75:$L$89,$B218,'Renew &amp; Vac'!$O$75:$O$89,"&lt;="&amp;P$203,'Renew &amp; Vac'!$P$75:$P$89,"&gt;="&amp;P$203)+SUMIFS('Renew &amp; Vac'!$H$75:$H$89,'Renew &amp; Vac'!$A$75:$A$89,$B218,'Renew &amp; Vac'!$D$75:$D$89,"&lt;="&amp;P$203,'Renew &amp; Vac'!$E$75:$E$89,"&gt;="&amp;P$203)</f>
        <v>0</v>
      </c>
      <c r="Q218" s="36">
        <f t="shared" si="49"/>
        <v>0</v>
      </c>
    </row>
    <row r="219" spans="2:17" outlineLevel="1" x14ac:dyDescent="0.35">
      <c r="B219" s="127" t="str">
        <f t="shared" si="48"/>
        <v>4080-210</v>
      </c>
      <c r="D219" s="34" t="str">
        <f>IFERROR(VLOOKUP(B219,'Renew &amp; Vac'!$A$75:$B$89,2,FALSE),IFERROR(VLOOKUP(B219,'Renew &amp; Vac'!$L$75:$M$89,2,FALSE),VLOOKUP(B219,$B$172:$D$196,3,FALSE)))</f>
        <v>Karpf, Karpf &amp; Cerutti, P.C.</v>
      </c>
      <c r="E219" s="34">
        <f>SUMIFS('Renew &amp; Vac'!$S$75:$S$89,'Renew &amp; Vac'!$L$75:$L$89,$B219,'Renew &amp; Vac'!$O$75:$O$89,"&lt;="&amp;E$203,'Renew &amp; Vac'!$P$75:$P$89,"&gt;="&amp;E$203)+SUMIFS('Renew &amp; Vac'!$H$75:$H$89,'Renew &amp; Vac'!$A$75:$A$89,$B219,'Renew &amp; Vac'!$D$75:$D$89,"&lt;="&amp;E$203,'Renew &amp; Vac'!$E$75:$E$89,"&gt;="&amp;E$203)</f>
        <v>0</v>
      </c>
      <c r="F219" s="34">
        <f>SUMIFS('Renew &amp; Vac'!$S$75:$S$89,'Renew &amp; Vac'!$L$75:$L$89,$B219,'Renew &amp; Vac'!$O$75:$O$89,"&lt;="&amp;F$203,'Renew &amp; Vac'!$P$75:$P$89,"&gt;="&amp;F$203)+SUMIFS('Renew &amp; Vac'!$H$75:$H$89,'Renew &amp; Vac'!$A$75:$A$89,$B219,'Renew &amp; Vac'!$D$75:$D$89,"&lt;="&amp;F$203,'Renew &amp; Vac'!$E$75:$E$89,"&gt;="&amp;F$203)</f>
        <v>0</v>
      </c>
      <c r="G219" s="34">
        <f>SUMIFS('Renew &amp; Vac'!$S$75:$S$89,'Renew &amp; Vac'!$L$75:$L$89,$B219,'Renew &amp; Vac'!$O$75:$O$89,"&lt;="&amp;G$203,'Renew &amp; Vac'!$P$75:$P$89,"&gt;="&amp;G$203)+SUMIFS('Renew &amp; Vac'!$H$75:$H$89,'Renew &amp; Vac'!$A$75:$A$89,$B219,'Renew &amp; Vac'!$D$75:$D$89,"&lt;="&amp;G$203,'Renew &amp; Vac'!$E$75:$E$89,"&gt;="&amp;G$203)</f>
        <v>0</v>
      </c>
      <c r="H219" s="34">
        <f>SUMIFS('Renew &amp; Vac'!$S$75:$S$89,'Renew &amp; Vac'!$L$75:$L$89,$B219,'Renew &amp; Vac'!$O$75:$O$89,"&lt;="&amp;H$203,'Renew &amp; Vac'!$P$75:$P$89,"&gt;="&amp;H$203)+SUMIFS('Renew &amp; Vac'!$H$75:$H$89,'Renew &amp; Vac'!$A$75:$A$89,$B219,'Renew &amp; Vac'!$D$75:$D$89,"&lt;="&amp;H$203,'Renew &amp; Vac'!$E$75:$E$89,"&gt;="&amp;H$203)</f>
        <v>0</v>
      </c>
      <c r="I219" s="34">
        <f>SUMIFS('Renew &amp; Vac'!$S$75:$S$89,'Renew &amp; Vac'!$L$75:$L$89,$B219,'Renew &amp; Vac'!$O$75:$O$89,"&lt;="&amp;I$203,'Renew &amp; Vac'!$P$75:$P$89,"&gt;="&amp;I$203)+SUMIFS('Renew &amp; Vac'!$H$75:$H$89,'Renew &amp; Vac'!$A$75:$A$89,$B219,'Renew &amp; Vac'!$D$75:$D$89,"&lt;="&amp;I$203,'Renew &amp; Vac'!$E$75:$E$89,"&gt;="&amp;I$203)</f>
        <v>0</v>
      </c>
      <c r="J219" s="34">
        <f>SUMIFS('Renew &amp; Vac'!$S$75:$S$89,'Renew &amp; Vac'!$L$75:$L$89,$B219,'Renew &amp; Vac'!$O$75:$O$89,"&lt;="&amp;J$203,'Renew &amp; Vac'!$P$75:$P$89,"&gt;="&amp;J$203)+SUMIFS('Renew &amp; Vac'!$H$75:$H$89,'Renew &amp; Vac'!$A$75:$A$89,$B219,'Renew &amp; Vac'!$D$75:$D$89,"&lt;="&amp;J$203,'Renew &amp; Vac'!$E$75:$E$89,"&gt;="&amp;J$203)</f>
        <v>0</v>
      </c>
      <c r="K219" s="34">
        <f>SUMIFS('Renew &amp; Vac'!$S$75:$S$89,'Renew &amp; Vac'!$L$75:$L$89,$B219,'Renew &amp; Vac'!$O$75:$O$89,"&lt;="&amp;K$203,'Renew &amp; Vac'!$P$75:$P$89,"&gt;="&amp;K$203)+SUMIFS('Renew &amp; Vac'!$H$75:$H$89,'Renew &amp; Vac'!$A$75:$A$89,$B219,'Renew &amp; Vac'!$D$75:$D$89,"&lt;="&amp;K$203,'Renew &amp; Vac'!$E$75:$E$89,"&gt;="&amp;K$203)</f>
        <v>0</v>
      </c>
      <c r="L219" s="34">
        <f>SUMIFS('Renew &amp; Vac'!$S$75:$S$89,'Renew &amp; Vac'!$L$75:$L$89,$B219,'Renew &amp; Vac'!$O$75:$O$89,"&lt;="&amp;L$203,'Renew &amp; Vac'!$P$75:$P$89,"&gt;="&amp;L$203)+SUMIFS('Renew &amp; Vac'!$H$75:$H$89,'Renew &amp; Vac'!$A$75:$A$89,$B219,'Renew &amp; Vac'!$D$75:$D$89,"&lt;="&amp;L$203,'Renew &amp; Vac'!$E$75:$E$89,"&gt;="&amp;L$203)</f>
        <v>0</v>
      </c>
      <c r="M219" s="34">
        <f>SUMIFS('Renew &amp; Vac'!$S$75:$S$89,'Renew &amp; Vac'!$L$75:$L$89,$B219,'Renew &amp; Vac'!$O$75:$O$89,"&lt;="&amp;M$203,'Renew &amp; Vac'!$P$75:$P$89,"&gt;="&amp;M$203)+SUMIFS('Renew &amp; Vac'!$H$75:$H$89,'Renew &amp; Vac'!$A$75:$A$89,$B219,'Renew &amp; Vac'!$D$75:$D$89,"&lt;="&amp;M$203,'Renew &amp; Vac'!$E$75:$E$89,"&gt;="&amp;M$203)</f>
        <v>0</v>
      </c>
      <c r="N219" s="34">
        <f>SUMIFS('Renew &amp; Vac'!$S$75:$S$89,'Renew &amp; Vac'!$L$75:$L$89,$B219,'Renew &amp; Vac'!$O$75:$O$89,"&lt;="&amp;N$203,'Renew &amp; Vac'!$P$75:$P$89,"&gt;="&amp;N$203)+SUMIFS('Renew &amp; Vac'!$H$75:$H$89,'Renew &amp; Vac'!$A$75:$A$89,$B219,'Renew &amp; Vac'!$D$75:$D$89,"&lt;="&amp;N$203,'Renew &amp; Vac'!$E$75:$E$89,"&gt;="&amp;N$203)</f>
        <v>0</v>
      </c>
      <c r="O219" s="34">
        <f>SUMIFS('Renew &amp; Vac'!$S$75:$S$89,'Renew &amp; Vac'!$L$75:$L$89,$B219,'Renew &amp; Vac'!$O$75:$O$89,"&lt;="&amp;O$203,'Renew &amp; Vac'!$P$75:$P$89,"&gt;="&amp;O$203)+SUMIFS('Renew &amp; Vac'!$H$75:$H$89,'Renew &amp; Vac'!$A$75:$A$89,$B219,'Renew &amp; Vac'!$D$75:$D$89,"&lt;="&amp;O$203,'Renew &amp; Vac'!$E$75:$E$89,"&gt;="&amp;O$203)</f>
        <v>0</v>
      </c>
      <c r="P219" s="34">
        <f>SUMIFS('Renew &amp; Vac'!$S$75:$S$89,'Renew &amp; Vac'!$L$75:$L$89,$B219,'Renew &amp; Vac'!$O$75:$O$89,"&lt;="&amp;P$203,'Renew &amp; Vac'!$P$75:$P$89,"&gt;="&amp;P$203)+SUMIFS('Renew &amp; Vac'!$H$75:$H$89,'Renew &amp; Vac'!$A$75:$A$89,$B219,'Renew &amp; Vac'!$D$75:$D$89,"&lt;="&amp;P$203,'Renew &amp; Vac'!$E$75:$E$89,"&gt;="&amp;P$203)</f>
        <v>0</v>
      </c>
      <c r="Q219" s="36">
        <f t="shared" si="49"/>
        <v>0</v>
      </c>
    </row>
    <row r="220" spans="2:17" outlineLevel="1" x14ac:dyDescent="0.35">
      <c r="B220" s="127" t="str">
        <f t="shared" si="48"/>
        <v>4080-215</v>
      </c>
      <c r="D220" s="34" t="str">
        <f>IFERROR(VLOOKUP(B220,'Renew &amp; Vac'!$A$75:$B$89,2,FALSE),IFERROR(VLOOKUP(B220,'Renew &amp; Vac'!$L$75:$M$89,2,FALSE),VLOOKUP(B220,$B$172:$D$196,3,FALSE)))</f>
        <v>Powers Kirn</v>
      </c>
      <c r="E220" s="34">
        <f>SUMIFS('Renew &amp; Vac'!$S$75:$S$89,'Renew &amp; Vac'!$L$75:$L$89,$B220,'Renew &amp; Vac'!$O$75:$O$89,"&lt;="&amp;E$203,'Renew &amp; Vac'!$P$75:$P$89,"&gt;="&amp;E$203)+SUMIFS('Renew &amp; Vac'!$H$75:$H$89,'Renew &amp; Vac'!$A$75:$A$89,$B220,'Renew &amp; Vac'!$D$75:$D$89,"&lt;="&amp;E$203,'Renew &amp; Vac'!$E$75:$E$89,"&gt;="&amp;E$203)</f>
        <v>6732.375</v>
      </c>
      <c r="F220" s="34">
        <f>SUMIFS('Renew &amp; Vac'!$S$75:$S$89,'Renew &amp; Vac'!$L$75:$L$89,$B220,'Renew &amp; Vac'!$O$75:$O$89,"&lt;="&amp;F$203,'Renew &amp; Vac'!$P$75:$P$89,"&gt;="&amp;F$203)+SUMIFS('Renew &amp; Vac'!$H$75:$H$89,'Renew &amp; Vac'!$A$75:$A$89,$B220,'Renew &amp; Vac'!$D$75:$D$89,"&lt;="&amp;F$203,'Renew &amp; Vac'!$E$75:$E$89,"&gt;="&amp;F$203)</f>
        <v>6732.375</v>
      </c>
      <c r="G220" s="34">
        <f>SUMIFS('Renew &amp; Vac'!$S$75:$S$89,'Renew &amp; Vac'!$L$75:$L$89,$B220,'Renew &amp; Vac'!$O$75:$O$89,"&lt;="&amp;G$203,'Renew &amp; Vac'!$P$75:$P$89,"&gt;="&amp;G$203)+SUMIFS('Renew &amp; Vac'!$H$75:$H$89,'Renew &amp; Vac'!$A$75:$A$89,$B220,'Renew &amp; Vac'!$D$75:$D$89,"&lt;="&amp;G$203,'Renew &amp; Vac'!$E$75:$E$89,"&gt;="&amp;G$203)</f>
        <v>6732.375</v>
      </c>
      <c r="H220" s="34">
        <f>SUMIFS('Renew &amp; Vac'!$S$75:$S$89,'Renew &amp; Vac'!$L$75:$L$89,$B220,'Renew &amp; Vac'!$O$75:$O$89,"&lt;="&amp;H$203,'Renew &amp; Vac'!$P$75:$P$89,"&gt;="&amp;H$203)+SUMIFS('Renew &amp; Vac'!$H$75:$H$89,'Renew &amp; Vac'!$A$75:$A$89,$B220,'Renew &amp; Vac'!$D$75:$D$89,"&lt;="&amp;H$203,'Renew &amp; Vac'!$E$75:$E$89,"&gt;="&amp;H$203)</f>
        <v>6732.375</v>
      </c>
      <c r="I220" s="34">
        <f>SUMIFS('Renew &amp; Vac'!$S$75:$S$89,'Renew &amp; Vac'!$L$75:$L$89,$B220,'Renew &amp; Vac'!$O$75:$O$89,"&lt;="&amp;I$203,'Renew &amp; Vac'!$P$75:$P$89,"&gt;="&amp;I$203)+SUMIFS('Renew &amp; Vac'!$H$75:$H$89,'Renew &amp; Vac'!$A$75:$A$89,$B220,'Renew &amp; Vac'!$D$75:$D$89,"&lt;="&amp;I$203,'Renew &amp; Vac'!$E$75:$E$89,"&gt;="&amp;I$203)</f>
        <v>6732.375</v>
      </c>
      <c r="J220" s="34">
        <f>SUMIFS('Renew &amp; Vac'!$S$75:$S$89,'Renew &amp; Vac'!$L$75:$L$89,$B220,'Renew &amp; Vac'!$O$75:$O$89,"&lt;="&amp;J$203,'Renew &amp; Vac'!$P$75:$P$89,"&gt;="&amp;J$203)+SUMIFS('Renew &amp; Vac'!$H$75:$H$89,'Renew &amp; Vac'!$A$75:$A$89,$B220,'Renew &amp; Vac'!$D$75:$D$89,"&lt;="&amp;J$203,'Renew &amp; Vac'!$E$75:$E$89,"&gt;="&amp;J$203)</f>
        <v>6732.375</v>
      </c>
      <c r="K220" s="34">
        <f>SUMIFS('Renew &amp; Vac'!$S$75:$S$89,'Renew &amp; Vac'!$L$75:$L$89,$B220,'Renew &amp; Vac'!$O$75:$O$89,"&lt;="&amp;K$203,'Renew &amp; Vac'!$P$75:$P$89,"&gt;="&amp;K$203)+SUMIFS('Renew &amp; Vac'!$H$75:$H$89,'Renew &amp; Vac'!$A$75:$A$89,$B220,'Renew &amp; Vac'!$D$75:$D$89,"&lt;="&amp;K$203,'Renew &amp; Vac'!$E$75:$E$89,"&gt;="&amp;K$203)</f>
        <v>6732.375</v>
      </c>
      <c r="L220" s="34">
        <f>SUMIFS('Renew &amp; Vac'!$S$75:$S$89,'Renew &amp; Vac'!$L$75:$L$89,$B220,'Renew &amp; Vac'!$O$75:$O$89,"&lt;="&amp;L$203,'Renew &amp; Vac'!$P$75:$P$89,"&gt;="&amp;L$203)+SUMIFS('Renew &amp; Vac'!$H$75:$H$89,'Renew &amp; Vac'!$A$75:$A$89,$B220,'Renew &amp; Vac'!$D$75:$D$89,"&lt;="&amp;L$203,'Renew &amp; Vac'!$E$75:$E$89,"&gt;="&amp;L$203)</f>
        <v>6732.375</v>
      </c>
      <c r="M220" s="34">
        <f>SUMIFS('Renew &amp; Vac'!$S$75:$S$89,'Renew &amp; Vac'!$L$75:$L$89,$B220,'Renew &amp; Vac'!$O$75:$O$89,"&lt;="&amp;M$203,'Renew &amp; Vac'!$P$75:$P$89,"&gt;="&amp;M$203)+SUMIFS('Renew &amp; Vac'!$H$75:$H$89,'Renew &amp; Vac'!$A$75:$A$89,$B220,'Renew &amp; Vac'!$D$75:$D$89,"&lt;="&amp;M$203,'Renew &amp; Vac'!$E$75:$E$89,"&gt;="&amp;M$203)</f>
        <v>6732.375</v>
      </c>
      <c r="N220" s="34">
        <f>SUMIFS('Renew &amp; Vac'!$S$75:$S$89,'Renew &amp; Vac'!$L$75:$L$89,$B220,'Renew &amp; Vac'!$O$75:$O$89,"&lt;="&amp;N$203,'Renew &amp; Vac'!$P$75:$P$89,"&gt;="&amp;N$203)+SUMIFS('Renew &amp; Vac'!$H$75:$H$89,'Renew &amp; Vac'!$A$75:$A$89,$B220,'Renew &amp; Vac'!$D$75:$D$89,"&lt;="&amp;N$203,'Renew &amp; Vac'!$E$75:$E$89,"&gt;="&amp;N$203)</f>
        <v>6732.375</v>
      </c>
      <c r="O220" s="34">
        <f>SUMIFS('Renew &amp; Vac'!$S$75:$S$89,'Renew &amp; Vac'!$L$75:$L$89,$B220,'Renew &amp; Vac'!$O$75:$O$89,"&lt;="&amp;O$203,'Renew &amp; Vac'!$P$75:$P$89,"&gt;="&amp;O$203)+SUMIFS('Renew &amp; Vac'!$H$75:$H$89,'Renew &amp; Vac'!$A$75:$A$89,$B220,'Renew &amp; Vac'!$D$75:$D$89,"&lt;="&amp;O$203,'Renew &amp; Vac'!$E$75:$E$89,"&gt;="&amp;O$203)</f>
        <v>6732.375</v>
      </c>
      <c r="P220" s="34">
        <f>SUMIFS('Renew &amp; Vac'!$S$75:$S$89,'Renew &amp; Vac'!$L$75:$L$89,$B220,'Renew &amp; Vac'!$O$75:$O$89,"&lt;="&amp;P$203,'Renew &amp; Vac'!$P$75:$P$89,"&gt;="&amp;P$203)+SUMIFS('Renew &amp; Vac'!$H$75:$H$89,'Renew &amp; Vac'!$A$75:$A$89,$B220,'Renew &amp; Vac'!$D$75:$D$89,"&lt;="&amp;P$203,'Renew &amp; Vac'!$E$75:$E$89,"&gt;="&amp;P$203)</f>
        <v>6732.375</v>
      </c>
      <c r="Q220" s="36">
        <f t="shared" si="49"/>
        <v>80788.5</v>
      </c>
    </row>
    <row r="221" spans="2:17" outlineLevel="1" x14ac:dyDescent="0.35">
      <c r="B221" s="127" t="str">
        <f t="shared" si="48"/>
        <v>4080-217</v>
      </c>
      <c r="D221" s="34" t="str">
        <f>IFERROR(VLOOKUP(B221,'Renew &amp; Vac'!$A$75:$B$89,2,FALSE),IFERROR(VLOOKUP(B221,'Renew &amp; Vac'!$L$75:$M$89,2,FALSE),VLOOKUP(B221,$B$172:$D$196,3,FALSE)))</f>
        <v>BEK Trans Group, Inc.</v>
      </c>
      <c r="E221" s="34">
        <f>SUMIFS('Renew &amp; Vac'!$S$75:$S$89,'Renew &amp; Vac'!$L$75:$L$89,$B221,'Renew &amp; Vac'!$O$75:$O$89,"&lt;="&amp;E$203,'Renew &amp; Vac'!$P$75:$P$89,"&gt;="&amp;E$203)+SUMIFS('Renew &amp; Vac'!$H$75:$H$89,'Renew &amp; Vac'!$A$75:$A$89,$B221,'Renew &amp; Vac'!$D$75:$D$89,"&lt;="&amp;E$203,'Renew &amp; Vac'!$E$75:$E$89,"&gt;="&amp;E$203)</f>
        <v>0</v>
      </c>
      <c r="F221" s="34">
        <f>SUMIFS('Renew &amp; Vac'!$S$75:$S$89,'Renew &amp; Vac'!$L$75:$L$89,$B221,'Renew &amp; Vac'!$O$75:$O$89,"&lt;="&amp;F$203,'Renew &amp; Vac'!$P$75:$P$89,"&gt;="&amp;F$203)+SUMIFS('Renew &amp; Vac'!$H$75:$H$89,'Renew &amp; Vac'!$A$75:$A$89,$B221,'Renew &amp; Vac'!$D$75:$D$89,"&lt;="&amp;F$203,'Renew &amp; Vac'!$E$75:$E$89,"&gt;="&amp;F$203)</f>
        <v>0</v>
      </c>
      <c r="G221" s="34">
        <f>SUMIFS('Renew &amp; Vac'!$S$75:$S$89,'Renew &amp; Vac'!$L$75:$L$89,$B221,'Renew &amp; Vac'!$O$75:$O$89,"&lt;="&amp;G$203,'Renew &amp; Vac'!$P$75:$P$89,"&gt;="&amp;G$203)+SUMIFS('Renew &amp; Vac'!$H$75:$H$89,'Renew &amp; Vac'!$A$75:$A$89,$B221,'Renew &amp; Vac'!$D$75:$D$89,"&lt;="&amp;G$203,'Renew &amp; Vac'!$E$75:$E$89,"&gt;="&amp;G$203)</f>
        <v>0</v>
      </c>
      <c r="H221" s="34">
        <f>SUMIFS('Renew &amp; Vac'!$S$75:$S$89,'Renew &amp; Vac'!$L$75:$L$89,$B221,'Renew &amp; Vac'!$O$75:$O$89,"&lt;="&amp;H$203,'Renew &amp; Vac'!$P$75:$P$89,"&gt;="&amp;H$203)+SUMIFS('Renew &amp; Vac'!$H$75:$H$89,'Renew &amp; Vac'!$A$75:$A$89,$B221,'Renew &amp; Vac'!$D$75:$D$89,"&lt;="&amp;H$203,'Renew &amp; Vac'!$E$75:$E$89,"&gt;="&amp;H$203)</f>
        <v>0</v>
      </c>
      <c r="I221" s="34">
        <f>SUMIFS('Renew &amp; Vac'!$S$75:$S$89,'Renew &amp; Vac'!$L$75:$L$89,$B221,'Renew &amp; Vac'!$O$75:$O$89,"&lt;="&amp;I$203,'Renew &amp; Vac'!$P$75:$P$89,"&gt;="&amp;I$203)+SUMIFS('Renew &amp; Vac'!$H$75:$H$89,'Renew &amp; Vac'!$A$75:$A$89,$B221,'Renew &amp; Vac'!$D$75:$D$89,"&lt;="&amp;I$203,'Renew &amp; Vac'!$E$75:$E$89,"&gt;="&amp;I$203)</f>
        <v>0</v>
      </c>
      <c r="J221" s="34">
        <f>SUMIFS('Renew &amp; Vac'!$S$75:$S$89,'Renew &amp; Vac'!$L$75:$L$89,$B221,'Renew &amp; Vac'!$O$75:$O$89,"&lt;="&amp;J$203,'Renew &amp; Vac'!$P$75:$P$89,"&gt;="&amp;J$203)+SUMIFS('Renew &amp; Vac'!$H$75:$H$89,'Renew &amp; Vac'!$A$75:$A$89,$B221,'Renew &amp; Vac'!$D$75:$D$89,"&lt;="&amp;J$203,'Renew &amp; Vac'!$E$75:$E$89,"&gt;="&amp;J$203)</f>
        <v>0</v>
      </c>
      <c r="K221" s="34">
        <f>SUMIFS('Renew &amp; Vac'!$S$75:$S$89,'Renew &amp; Vac'!$L$75:$L$89,$B221,'Renew &amp; Vac'!$O$75:$O$89,"&lt;="&amp;K$203,'Renew &amp; Vac'!$P$75:$P$89,"&gt;="&amp;K$203)+SUMIFS('Renew &amp; Vac'!$H$75:$H$89,'Renew &amp; Vac'!$A$75:$A$89,$B221,'Renew &amp; Vac'!$D$75:$D$89,"&lt;="&amp;K$203,'Renew &amp; Vac'!$E$75:$E$89,"&gt;="&amp;K$203)</f>
        <v>0</v>
      </c>
      <c r="L221" s="34">
        <f>SUMIFS('Renew &amp; Vac'!$S$75:$S$89,'Renew &amp; Vac'!$L$75:$L$89,$B221,'Renew &amp; Vac'!$O$75:$O$89,"&lt;="&amp;L$203,'Renew &amp; Vac'!$P$75:$P$89,"&gt;="&amp;L$203)+SUMIFS('Renew &amp; Vac'!$H$75:$H$89,'Renew &amp; Vac'!$A$75:$A$89,$B221,'Renew &amp; Vac'!$D$75:$D$89,"&lt;="&amp;L$203,'Renew &amp; Vac'!$E$75:$E$89,"&gt;="&amp;L$203)</f>
        <v>0</v>
      </c>
      <c r="M221" s="34">
        <f>SUMIFS('Renew &amp; Vac'!$S$75:$S$89,'Renew &amp; Vac'!$L$75:$L$89,$B221,'Renew &amp; Vac'!$O$75:$O$89,"&lt;="&amp;M$203,'Renew &amp; Vac'!$P$75:$P$89,"&gt;="&amp;M$203)+SUMIFS('Renew &amp; Vac'!$H$75:$H$89,'Renew &amp; Vac'!$A$75:$A$89,$B221,'Renew &amp; Vac'!$D$75:$D$89,"&lt;="&amp;M$203,'Renew &amp; Vac'!$E$75:$E$89,"&gt;="&amp;M$203)</f>
        <v>0</v>
      </c>
      <c r="N221" s="34">
        <f>SUMIFS('Renew &amp; Vac'!$S$75:$S$89,'Renew &amp; Vac'!$L$75:$L$89,$B221,'Renew &amp; Vac'!$O$75:$O$89,"&lt;="&amp;N$203,'Renew &amp; Vac'!$P$75:$P$89,"&gt;="&amp;N$203)+SUMIFS('Renew &amp; Vac'!$H$75:$H$89,'Renew &amp; Vac'!$A$75:$A$89,$B221,'Renew &amp; Vac'!$D$75:$D$89,"&lt;="&amp;N$203,'Renew &amp; Vac'!$E$75:$E$89,"&gt;="&amp;N$203)</f>
        <v>0</v>
      </c>
      <c r="O221" s="34">
        <f>SUMIFS('Renew &amp; Vac'!$S$75:$S$89,'Renew &amp; Vac'!$L$75:$L$89,$B221,'Renew &amp; Vac'!$O$75:$O$89,"&lt;="&amp;O$203,'Renew &amp; Vac'!$P$75:$P$89,"&gt;="&amp;O$203)+SUMIFS('Renew &amp; Vac'!$H$75:$H$89,'Renew &amp; Vac'!$A$75:$A$89,$B221,'Renew &amp; Vac'!$D$75:$D$89,"&lt;="&amp;O$203,'Renew &amp; Vac'!$E$75:$E$89,"&gt;="&amp;O$203)</f>
        <v>0</v>
      </c>
      <c r="P221" s="34">
        <f>SUMIFS('Renew &amp; Vac'!$S$75:$S$89,'Renew &amp; Vac'!$L$75:$L$89,$B221,'Renew &amp; Vac'!$O$75:$O$89,"&lt;="&amp;P$203,'Renew &amp; Vac'!$P$75:$P$89,"&gt;="&amp;P$203)+SUMIFS('Renew &amp; Vac'!$H$75:$H$89,'Renew &amp; Vac'!$A$75:$A$89,$B221,'Renew &amp; Vac'!$D$75:$D$89,"&lt;="&amp;P$203,'Renew &amp; Vac'!$E$75:$E$89,"&gt;="&amp;P$203)</f>
        <v>0</v>
      </c>
      <c r="Q221" s="36">
        <f t="shared" si="49"/>
        <v>0</v>
      </c>
    </row>
    <row r="222" spans="2:17" outlineLevel="1" x14ac:dyDescent="0.35">
      <c r="B222" s="127" t="str">
        <f t="shared" si="48"/>
        <v>4080-218</v>
      </c>
      <c r="D222" s="34" t="str">
        <f>IFERROR(VLOOKUP(B222,'Renew &amp; Vac'!$A$75:$B$89,2,FALSE),IFERROR(VLOOKUP(B222,'Renew &amp; Vac'!$L$75:$M$89,2,FALSE),VLOOKUP(B222,$B$172:$D$196,3,FALSE)))</f>
        <v>VACANT</v>
      </c>
      <c r="E222" s="34">
        <f>SUMIFS('Renew &amp; Vac'!$S$75:$S$89,'Renew &amp; Vac'!$L$75:$L$89,$B222,'Renew &amp; Vac'!$O$75:$O$89,"&lt;="&amp;E$203,'Renew &amp; Vac'!$P$75:$P$89,"&gt;="&amp;E$203)+SUMIFS('Renew &amp; Vac'!$H$75:$H$89,'Renew &amp; Vac'!$A$75:$A$89,$B222,'Renew &amp; Vac'!$D$75:$D$89,"&lt;="&amp;E$203,'Renew &amp; Vac'!$E$75:$E$89,"&gt;="&amp;E$203)</f>
        <v>0</v>
      </c>
      <c r="F222" s="34">
        <f>SUMIFS('Renew &amp; Vac'!$S$75:$S$89,'Renew &amp; Vac'!$L$75:$L$89,$B222,'Renew &amp; Vac'!$O$75:$O$89,"&lt;="&amp;F$203,'Renew &amp; Vac'!$P$75:$P$89,"&gt;="&amp;F$203)+SUMIFS('Renew &amp; Vac'!$H$75:$H$89,'Renew &amp; Vac'!$A$75:$A$89,$B222,'Renew &amp; Vac'!$D$75:$D$89,"&lt;="&amp;F$203,'Renew &amp; Vac'!$E$75:$E$89,"&gt;="&amp;F$203)</f>
        <v>0</v>
      </c>
      <c r="G222" s="34">
        <f>SUMIFS('Renew &amp; Vac'!$S$75:$S$89,'Renew &amp; Vac'!$L$75:$L$89,$B222,'Renew &amp; Vac'!$O$75:$O$89,"&lt;="&amp;G$203,'Renew &amp; Vac'!$P$75:$P$89,"&gt;="&amp;G$203)+SUMIFS('Renew &amp; Vac'!$H$75:$H$89,'Renew &amp; Vac'!$A$75:$A$89,$B222,'Renew &amp; Vac'!$D$75:$D$89,"&lt;="&amp;G$203,'Renew &amp; Vac'!$E$75:$E$89,"&gt;="&amp;G$203)</f>
        <v>0</v>
      </c>
      <c r="H222" s="34">
        <f>SUMIFS('Renew &amp; Vac'!$S$75:$S$89,'Renew &amp; Vac'!$L$75:$L$89,$B222,'Renew &amp; Vac'!$O$75:$O$89,"&lt;="&amp;H$203,'Renew &amp; Vac'!$P$75:$P$89,"&gt;="&amp;H$203)+SUMIFS('Renew &amp; Vac'!$H$75:$H$89,'Renew &amp; Vac'!$A$75:$A$89,$B222,'Renew &amp; Vac'!$D$75:$D$89,"&lt;="&amp;H$203,'Renew &amp; Vac'!$E$75:$E$89,"&gt;="&amp;H$203)</f>
        <v>0</v>
      </c>
      <c r="I222" s="34">
        <f>SUMIFS('Renew &amp; Vac'!$S$75:$S$89,'Renew &amp; Vac'!$L$75:$L$89,$B222,'Renew &amp; Vac'!$O$75:$O$89,"&lt;="&amp;I$203,'Renew &amp; Vac'!$P$75:$P$89,"&gt;="&amp;I$203)+SUMIFS('Renew &amp; Vac'!$H$75:$H$89,'Renew &amp; Vac'!$A$75:$A$89,$B222,'Renew &amp; Vac'!$D$75:$D$89,"&lt;="&amp;I$203,'Renew &amp; Vac'!$E$75:$E$89,"&gt;="&amp;I$203)</f>
        <v>0</v>
      </c>
      <c r="J222" s="34">
        <f>SUMIFS('Renew &amp; Vac'!$S$75:$S$89,'Renew &amp; Vac'!$L$75:$L$89,$B222,'Renew &amp; Vac'!$O$75:$O$89,"&lt;="&amp;J$203,'Renew &amp; Vac'!$P$75:$P$89,"&gt;="&amp;J$203)+SUMIFS('Renew &amp; Vac'!$H$75:$H$89,'Renew &amp; Vac'!$A$75:$A$89,$B222,'Renew &amp; Vac'!$D$75:$D$89,"&lt;="&amp;J$203,'Renew &amp; Vac'!$E$75:$E$89,"&gt;="&amp;J$203)</f>
        <v>0</v>
      </c>
      <c r="K222" s="34">
        <f>SUMIFS('Renew &amp; Vac'!$S$75:$S$89,'Renew &amp; Vac'!$L$75:$L$89,$B222,'Renew &amp; Vac'!$O$75:$O$89,"&lt;="&amp;K$203,'Renew &amp; Vac'!$P$75:$P$89,"&gt;="&amp;K$203)+SUMIFS('Renew &amp; Vac'!$H$75:$H$89,'Renew &amp; Vac'!$A$75:$A$89,$B222,'Renew &amp; Vac'!$D$75:$D$89,"&lt;="&amp;K$203,'Renew &amp; Vac'!$E$75:$E$89,"&gt;="&amp;K$203)</f>
        <v>0</v>
      </c>
      <c r="L222" s="34">
        <f>SUMIFS('Renew &amp; Vac'!$S$75:$S$89,'Renew &amp; Vac'!$L$75:$L$89,$B222,'Renew &amp; Vac'!$O$75:$O$89,"&lt;="&amp;L$203,'Renew &amp; Vac'!$P$75:$P$89,"&gt;="&amp;L$203)+SUMIFS('Renew &amp; Vac'!$H$75:$H$89,'Renew &amp; Vac'!$A$75:$A$89,$B222,'Renew &amp; Vac'!$D$75:$D$89,"&lt;="&amp;L$203,'Renew &amp; Vac'!$E$75:$E$89,"&gt;="&amp;L$203)</f>
        <v>0</v>
      </c>
      <c r="M222" s="34">
        <f>SUMIFS('Renew &amp; Vac'!$S$75:$S$89,'Renew &amp; Vac'!$L$75:$L$89,$B222,'Renew &amp; Vac'!$O$75:$O$89,"&lt;="&amp;M$203,'Renew &amp; Vac'!$P$75:$P$89,"&gt;="&amp;M$203)+SUMIFS('Renew &amp; Vac'!$H$75:$H$89,'Renew &amp; Vac'!$A$75:$A$89,$B222,'Renew &amp; Vac'!$D$75:$D$89,"&lt;="&amp;M$203,'Renew &amp; Vac'!$E$75:$E$89,"&gt;="&amp;M$203)</f>
        <v>0</v>
      </c>
      <c r="N222" s="34">
        <f>SUMIFS('Renew &amp; Vac'!$S$75:$S$89,'Renew &amp; Vac'!$L$75:$L$89,$B222,'Renew &amp; Vac'!$O$75:$O$89,"&lt;="&amp;N$203,'Renew &amp; Vac'!$P$75:$P$89,"&gt;="&amp;N$203)+SUMIFS('Renew &amp; Vac'!$H$75:$H$89,'Renew &amp; Vac'!$A$75:$A$89,$B222,'Renew &amp; Vac'!$D$75:$D$89,"&lt;="&amp;N$203,'Renew &amp; Vac'!$E$75:$E$89,"&gt;="&amp;N$203)</f>
        <v>0</v>
      </c>
      <c r="O222" s="34">
        <f>SUMIFS('Renew &amp; Vac'!$S$75:$S$89,'Renew &amp; Vac'!$L$75:$L$89,$B222,'Renew &amp; Vac'!$O$75:$O$89,"&lt;="&amp;O$203,'Renew &amp; Vac'!$P$75:$P$89,"&gt;="&amp;O$203)+SUMIFS('Renew &amp; Vac'!$H$75:$H$89,'Renew &amp; Vac'!$A$75:$A$89,$B222,'Renew &amp; Vac'!$D$75:$D$89,"&lt;="&amp;O$203,'Renew &amp; Vac'!$E$75:$E$89,"&gt;="&amp;O$203)</f>
        <v>0</v>
      </c>
      <c r="P222" s="34">
        <f>SUMIFS('Renew &amp; Vac'!$S$75:$S$89,'Renew &amp; Vac'!$L$75:$L$89,$B222,'Renew &amp; Vac'!$O$75:$O$89,"&lt;="&amp;P$203,'Renew &amp; Vac'!$P$75:$P$89,"&gt;="&amp;P$203)+SUMIFS('Renew &amp; Vac'!$H$75:$H$89,'Renew &amp; Vac'!$A$75:$A$89,$B222,'Renew &amp; Vac'!$D$75:$D$89,"&lt;="&amp;P$203,'Renew &amp; Vac'!$E$75:$E$89,"&gt;="&amp;P$203)</f>
        <v>0</v>
      </c>
      <c r="Q222" s="36">
        <f t="shared" si="49"/>
        <v>0</v>
      </c>
    </row>
    <row r="223" spans="2:17" outlineLevel="1" x14ac:dyDescent="0.35">
      <c r="B223" s="127" t="str">
        <f t="shared" si="48"/>
        <v>4080-219</v>
      </c>
      <c r="D223" s="34" t="str">
        <f>IFERROR(VLOOKUP(B223,'Renew &amp; Vac'!$A$75:$B$89,2,FALSE),IFERROR(VLOOKUP(B223,'Renew &amp; Vac'!$L$75:$M$89,2,FALSE),VLOOKUP(B223,$B$172:$D$196,3,FALSE)))</f>
        <v>D&amp;B/Guarino Engineers, LLC</v>
      </c>
      <c r="E223" s="34">
        <f>SUMIFS('Renew &amp; Vac'!$S$75:$S$89,'Renew &amp; Vac'!$L$75:$L$89,$B223,'Renew &amp; Vac'!$O$75:$O$89,"&lt;="&amp;E$203,'Renew &amp; Vac'!$P$75:$P$89,"&gt;="&amp;E$203)+SUMIFS('Renew &amp; Vac'!$H$75:$H$89,'Renew &amp; Vac'!$A$75:$A$89,$B223,'Renew &amp; Vac'!$D$75:$D$89,"&lt;="&amp;E$203,'Renew &amp; Vac'!$E$75:$E$89,"&gt;="&amp;E$203)</f>
        <v>0</v>
      </c>
      <c r="F223" s="34">
        <f>SUMIFS('Renew &amp; Vac'!$S$75:$S$89,'Renew &amp; Vac'!$L$75:$L$89,$B223,'Renew &amp; Vac'!$O$75:$O$89,"&lt;="&amp;F$203,'Renew &amp; Vac'!$P$75:$P$89,"&gt;="&amp;F$203)+SUMIFS('Renew &amp; Vac'!$H$75:$H$89,'Renew &amp; Vac'!$A$75:$A$89,$B223,'Renew &amp; Vac'!$D$75:$D$89,"&lt;="&amp;F$203,'Renew &amp; Vac'!$E$75:$E$89,"&gt;="&amp;F$203)</f>
        <v>0</v>
      </c>
      <c r="G223" s="34">
        <f>SUMIFS('Renew &amp; Vac'!$S$75:$S$89,'Renew &amp; Vac'!$L$75:$L$89,$B223,'Renew &amp; Vac'!$O$75:$O$89,"&lt;="&amp;G$203,'Renew &amp; Vac'!$P$75:$P$89,"&gt;="&amp;G$203)+SUMIFS('Renew &amp; Vac'!$H$75:$H$89,'Renew &amp; Vac'!$A$75:$A$89,$B223,'Renew &amp; Vac'!$D$75:$D$89,"&lt;="&amp;G$203,'Renew &amp; Vac'!$E$75:$E$89,"&gt;="&amp;G$203)</f>
        <v>0</v>
      </c>
      <c r="H223" s="34">
        <f>SUMIFS('Renew &amp; Vac'!$S$75:$S$89,'Renew &amp; Vac'!$L$75:$L$89,$B223,'Renew &amp; Vac'!$O$75:$O$89,"&lt;="&amp;H$203,'Renew &amp; Vac'!$P$75:$P$89,"&gt;="&amp;H$203)+SUMIFS('Renew &amp; Vac'!$H$75:$H$89,'Renew &amp; Vac'!$A$75:$A$89,$B223,'Renew &amp; Vac'!$D$75:$D$89,"&lt;="&amp;H$203,'Renew &amp; Vac'!$E$75:$E$89,"&gt;="&amp;H$203)</f>
        <v>0</v>
      </c>
      <c r="I223" s="34">
        <f>SUMIFS('Renew &amp; Vac'!$S$75:$S$89,'Renew &amp; Vac'!$L$75:$L$89,$B223,'Renew &amp; Vac'!$O$75:$O$89,"&lt;="&amp;I$203,'Renew &amp; Vac'!$P$75:$P$89,"&gt;="&amp;I$203)+SUMIFS('Renew &amp; Vac'!$H$75:$H$89,'Renew &amp; Vac'!$A$75:$A$89,$B223,'Renew &amp; Vac'!$D$75:$D$89,"&lt;="&amp;I$203,'Renew &amp; Vac'!$E$75:$E$89,"&gt;="&amp;I$203)</f>
        <v>0</v>
      </c>
      <c r="J223" s="34">
        <f>SUMIFS('Renew &amp; Vac'!$S$75:$S$89,'Renew &amp; Vac'!$L$75:$L$89,$B223,'Renew &amp; Vac'!$O$75:$O$89,"&lt;="&amp;J$203,'Renew &amp; Vac'!$P$75:$P$89,"&gt;="&amp;J$203)+SUMIFS('Renew &amp; Vac'!$H$75:$H$89,'Renew &amp; Vac'!$A$75:$A$89,$B223,'Renew &amp; Vac'!$D$75:$D$89,"&lt;="&amp;J$203,'Renew &amp; Vac'!$E$75:$E$89,"&gt;="&amp;J$203)</f>
        <v>0</v>
      </c>
      <c r="K223" s="34">
        <f>SUMIFS('Renew &amp; Vac'!$S$75:$S$89,'Renew &amp; Vac'!$L$75:$L$89,$B223,'Renew &amp; Vac'!$O$75:$O$89,"&lt;="&amp;K$203,'Renew &amp; Vac'!$P$75:$P$89,"&gt;="&amp;K$203)+SUMIFS('Renew &amp; Vac'!$H$75:$H$89,'Renew &amp; Vac'!$A$75:$A$89,$B223,'Renew &amp; Vac'!$D$75:$D$89,"&lt;="&amp;K$203,'Renew &amp; Vac'!$E$75:$E$89,"&gt;="&amp;K$203)</f>
        <v>0</v>
      </c>
      <c r="L223" s="34">
        <f>SUMIFS('Renew &amp; Vac'!$S$75:$S$89,'Renew &amp; Vac'!$L$75:$L$89,$B223,'Renew &amp; Vac'!$O$75:$O$89,"&lt;="&amp;L$203,'Renew &amp; Vac'!$P$75:$P$89,"&gt;="&amp;L$203)+SUMIFS('Renew &amp; Vac'!$H$75:$H$89,'Renew &amp; Vac'!$A$75:$A$89,$B223,'Renew &amp; Vac'!$D$75:$D$89,"&lt;="&amp;L$203,'Renew &amp; Vac'!$E$75:$E$89,"&gt;="&amp;L$203)</f>
        <v>0</v>
      </c>
      <c r="M223" s="34">
        <f>SUMIFS('Renew &amp; Vac'!$S$75:$S$89,'Renew &amp; Vac'!$L$75:$L$89,$B223,'Renew &amp; Vac'!$O$75:$O$89,"&lt;="&amp;M$203,'Renew &amp; Vac'!$P$75:$P$89,"&gt;="&amp;M$203)+SUMIFS('Renew &amp; Vac'!$H$75:$H$89,'Renew &amp; Vac'!$A$75:$A$89,$B223,'Renew &amp; Vac'!$D$75:$D$89,"&lt;="&amp;M$203,'Renew &amp; Vac'!$E$75:$E$89,"&gt;="&amp;M$203)</f>
        <v>0</v>
      </c>
      <c r="N223" s="34">
        <f>SUMIFS('Renew &amp; Vac'!$S$75:$S$89,'Renew &amp; Vac'!$L$75:$L$89,$B223,'Renew &amp; Vac'!$O$75:$O$89,"&lt;="&amp;N$203,'Renew &amp; Vac'!$P$75:$P$89,"&gt;="&amp;N$203)+SUMIFS('Renew &amp; Vac'!$H$75:$H$89,'Renew &amp; Vac'!$A$75:$A$89,$B223,'Renew &amp; Vac'!$D$75:$D$89,"&lt;="&amp;N$203,'Renew &amp; Vac'!$E$75:$E$89,"&gt;="&amp;N$203)</f>
        <v>0</v>
      </c>
      <c r="O223" s="34">
        <f>SUMIFS('Renew &amp; Vac'!$S$75:$S$89,'Renew &amp; Vac'!$L$75:$L$89,$B223,'Renew &amp; Vac'!$O$75:$O$89,"&lt;="&amp;O$203,'Renew &amp; Vac'!$P$75:$P$89,"&gt;="&amp;O$203)+SUMIFS('Renew &amp; Vac'!$H$75:$H$89,'Renew &amp; Vac'!$A$75:$A$89,$B223,'Renew &amp; Vac'!$D$75:$D$89,"&lt;="&amp;O$203,'Renew &amp; Vac'!$E$75:$E$89,"&gt;="&amp;O$203)</f>
        <v>0</v>
      </c>
      <c r="P223" s="34">
        <f>SUMIFS('Renew &amp; Vac'!$S$75:$S$89,'Renew &amp; Vac'!$L$75:$L$89,$B223,'Renew &amp; Vac'!$O$75:$O$89,"&lt;="&amp;P$203,'Renew &amp; Vac'!$P$75:$P$89,"&gt;="&amp;P$203)+SUMIFS('Renew &amp; Vac'!$H$75:$H$89,'Renew &amp; Vac'!$A$75:$A$89,$B223,'Renew &amp; Vac'!$D$75:$D$89,"&lt;="&amp;P$203,'Renew &amp; Vac'!$E$75:$E$89,"&gt;="&amp;P$203)</f>
        <v>0</v>
      </c>
      <c r="Q223" s="36">
        <f t="shared" si="49"/>
        <v>0</v>
      </c>
    </row>
    <row r="224" spans="2:17" outlineLevel="1" x14ac:dyDescent="0.35">
      <c r="B224" s="127" t="str">
        <f t="shared" si="48"/>
        <v>4080-221</v>
      </c>
      <c r="D224" s="34" t="str">
        <f>IFERROR(VLOOKUP(B224,'Renew &amp; Vac'!$A$75:$B$89,2,FALSE),IFERROR(VLOOKUP(B224,'Renew &amp; Vac'!$L$75:$M$89,2,FALSE),VLOOKUP(B224,$B$172:$D$196,3,FALSE)))</f>
        <v>Lease Out - System One</v>
      </c>
      <c r="E224" s="34">
        <f>SUMIFS('Renew &amp; Vac'!$S$75:$S$89,'Renew &amp; Vac'!$L$75:$L$89,$B224,'Renew &amp; Vac'!$O$75:$O$89,"&lt;="&amp;E$203,'Renew &amp; Vac'!$P$75:$P$89,"&gt;="&amp;E$203)+SUMIFS('Renew &amp; Vac'!$H$75:$H$89,'Renew &amp; Vac'!$A$75:$A$89,$B224,'Renew &amp; Vac'!$D$75:$D$89,"&lt;="&amp;E$203,'Renew &amp; Vac'!$E$75:$E$89,"&gt;="&amp;E$203)</f>
        <v>5748.333333333333</v>
      </c>
      <c r="F224" s="34">
        <f>SUMIFS('Renew &amp; Vac'!$S$75:$S$89,'Renew &amp; Vac'!$L$75:$L$89,$B224,'Renew &amp; Vac'!$O$75:$O$89,"&lt;="&amp;F$203,'Renew &amp; Vac'!$P$75:$P$89,"&gt;="&amp;F$203)+SUMIFS('Renew &amp; Vac'!$H$75:$H$89,'Renew &amp; Vac'!$A$75:$A$89,$B224,'Renew &amp; Vac'!$D$75:$D$89,"&lt;="&amp;F$203,'Renew &amp; Vac'!$E$75:$E$89,"&gt;="&amp;F$203)</f>
        <v>5748.333333333333</v>
      </c>
      <c r="G224" s="34">
        <f>SUMIFS('Renew &amp; Vac'!$S$75:$S$89,'Renew &amp; Vac'!$L$75:$L$89,$B224,'Renew &amp; Vac'!$O$75:$O$89,"&lt;="&amp;G$203,'Renew &amp; Vac'!$P$75:$P$89,"&gt;="&amp;G$203)+SUMIFS('Renew &amp; Vac'!$H$75:$H$89,'Renew &amp; Vac'!$A$75:$A$89,$B224,'Renew &amp; Vac'!$D$75:$D$89,"&lt;="&amp;G$203,'Renew &amp; Vac'!$E$75:$E$89,"&gt;="&amp;G$203)</f>
        <v>5748.333333333333</v>
      </c>
      <c r="H224" s="34">
        <f>SUMIFS('Renew &amp; Vac'!$S$75:$S$89,'Renew &amp; Vac'!$L$75:$L$89,$B224,'Renew &amp; Vac'!$O$75:$O$89,"&lt;="&amp;H$203,'Renew &amp; Vac'!$P$75:$P$89,"&gt;="&amp;H$203)+SUMIFS('Renew &amp; Vac'!$H$75:$H$89,'Renew &amp; Vac'!$A$75:$A$89,$B224,'Renew &amp; Vac'!$D$75:$D$89,"&lt;="&amp;H$203,'Renew &amp; Vac'!$E$75:$E$89,"&gt;="&amp;H$203)</f>
        <v>5748.333333333333</v>
      </c>
      <c r="I224" s="34">
        <f>SUMIFS('Renew &amp; Vac'!$S$75:$S$89,'Renew &amp; Vac'!$L$75:$L$89,$B224,'Renew &amp; Vac'!$O$75:$O$89,"&lt;="&amp;I$203,'Renew &amp; Vac'!$P$75:$P$89,"&gt;="&amp;I$203)+SUMIFS('Renew &amp; Vac'!$H$75:$H$89,'Renew &amp; Vac'!$A$75:$A$89,$B224,'Renew &amp; Vac'!$D$75:$D$89,"&lt;="&amp;I$203,'Renew &amp; Vac'!$E$75:$E$89,"&gt;="&amp;I$203)</f>
        <v>5748.333333333333</v>
      </c>
      <c r="J224" s="34">
        <f>SUMIFS('Renew &amp; Vac'!$S$75:$S$89,'Renew &amp; Vac'!$L$75:$L$89,$B224,'Renew &amp; Vac'!$O$75:$O$89,"&lt;="&amp;J$203,'Renew &amp; Vac'!$P$75:$P$89,"&gt;="&amp;J$203)+SUMIFS('Renew &amp; Vac'!$H$75:$H$89,'Renew &amp; Vac'!$A$75:$A$89,$B224,'Renew &amp; Vac'!$D$75:$D$89,"&lt;="&amp;J$203,'Renew &amp; Vac'!$E$75:$E$89,"&gt;="&amp;J$203)</f>
        <v>5748.333333333333</v>
      </c>
      <c r="K224" s="34">
        <f>SUMIFS('Renew &amp; Vac'!$S$75:$S$89,'Renew &amp; Vac'!$L$75:$L$89,$B224,'Renew &amp; Vac'!$O$75:$O$89,"&lt;="&amp;K$203,'Renew &amp; Vac'!$P$75:$P$89,"&gt;="&amp;K$203)+SUMIFS('Renew &amp; Vac'!$H$75:$H$89,'Renew &amp; Vac'!$A$75:$A$89,$B224,'Renew &amp; Vac'!$D$75:$D$89,"&lt;="&amp;K$203,'Renew &amp; Vac'!$E$75:$E$89,"&gt;="&amp;K$203)</f>
        <v>5748.333333333333</v>
      </c>
      <c r="L224" s="34">
        <f>SUMIFS('Renew &amp; Vac'!$S$75:$S$89,'Renew &amp; Vac'!$L$75:$L$89,$B224,'Renew &amp; Vac'!$O$75:$O$89,"&lt;="&amp;L$203,'Renew &amp; Vac'!$P$75:$P$89,"&gt;="&amp;L$203)+SUMIFS('Renew &amp; Vac'!$H$75:$H$89,'Renew &amp; Vac'!$A$75:$A$89,$B224,'Renew &amp; Vac'!$D$75:$D$89,"&lt;="&amp;L$203,'Renew &amp; Vac'!$E$75:$E$89,"&gt;="&amp;L$203)</f>
        <v>5748.333333333333</v>
      </c>
      <c r="M224" s="34">
        <f>SUMIFS('Renew &amp; Vac'!$S$75:$S$89,'Renew &amp; Vac'!$L$75:$L$89,$B224,'Renew &amp; Vac'!$O$75:$O$89,"&lt;="&amp;M$203,'Renew &amp; Vac'!$P$75:$P$89,"&gt;="&amp;M$203)+SUMIFS('Renew &amp; Vac'!$H$75:$H$89,'Renew &amp; Vac'!$A$75:$A$89,$B224,'Renew &amp; Vac'!$D$75:$D$89,"&lt;="&amp;M$203,'Renew &amp; Vac'!$E$75:$E$89,"&gt;="&amp;M$203)</f>
        <v>5748.333333333333</v>
      </c>
      <c r="N224" s="34">
        <f>SUMIFS('Renew &amp; Vac'!$S$75:$S$89,'Renew &amp; Vac'!$L$75:$L$89,$B224,'Renew &amp; Vac'!$O$75:$O$89,"&lt;="&amp;N$203,'Renew &amp; Vac'!$P$75:$P$89,"&gt;="&amp;N$203)+SUMIFS('Renew &amp; Vac'!$H$75:$H$89,'Renew &amp; Vac'!$A$75:$A$89,$B224,'Renew &amp; Vac'!$D$75:$D$89,"&lt;="&amp;N$203,'Renew &amp; Vac'!$E$75:$E$89,"&gt;="&amp;N$203)</f>
        <v>5748.333333333333</v>
      </c>
      <c r="O224" s="34">
        <f>SUMIFS('Renew &amp; Vac'!$S$75:$S$89,'Renew &amp; Vac'!$L$75:$L$89,$B224,'Renew &amp; Vac'!$O$75:$O$89,"&lt;="&amp;O$203,'Renew &amp; Vac'!$P$75:$P$89,"&gt;="&amp;O$203)+SUMIFS('Renew &amp; Vac'!$H$75:$H$89,'Renew &amp; Vac'!$A$75:$A$89,$B224,'Renew &amp; Vac'!$D$75:$D$89,"&lt;="&amp;O$203,'Renew &amp; Vac'!$E$75:$E$89,"&gt;="&amp;O$203)</f>
        <v>5748.333333333333</v>
      </c>
      <c r="P224" s="34">
        <f>SUMIFS('Renew &amp; Vac'!$S$75:$S$89,'Renew &amp; Vac'!$L$75:$L$89,$B224,'Renew &amp; Vac'!$O$75:$O$89,"&lt;="&amp;P$203,'Renew &amp; Vac'!$P$75:$P$89,"&gt;="&amp;P$203)+SUMIFS('Renew &amp; Vac'!$H$75:$H$89,'Renew &amp; Vac'!$A$75:$A$89,$B224,'Renew &amp; Vac'!$D$75:$D$89,"&lt;="&amp;P$203,'Renew &amp; Vac'!$E$75:$E$89,"&gt;="&amp;P$203)</f>
        <v>5748.333333333333</v>
      </c>
      <c r="Q224" s="36">
        <f t="shared" si="49"/>
        <v>68980.000000000015</v>
      </c>
    </row>
    <row r="225" spans="1:20" outlineLevel="1" x14ac:dyDescent="0.35">
      <c r="B225" s="127" t="str">
        <f t="shared" si="48"/>
        <v>4080-300</v>
      </c>
      <c r="D225" s="34" t="str">
        <f>IFERROR(VLOOKUP(B225,'Renew &amp; Vac'!$A$75:$B$89,2,FALSE),IFERROR(VLOOKUP(B225,'Renew &amp; Vac'!$L$75:$M$89,2,FALSE),VLOOKUP(B225,$B$172:$D$196,3,FALSE)))</f>
        <v>VACANT</v>
      </c>
      <c r="E225" s="34">
        <f>SUMIFS('Renew &amp; Vac'!$S$75:$S$89,'Renew &amp; Vac'!$L$75:$L$89,$B225,'Renew &amp; Vac'!$O$75:$O$89,"&lt;="&amp;E$203,'Renew &amp; Vac'!$P$75:$P$89,"&gt;="&amp;E$203)+SUMIFS('Renew &amp; Vac'!$H$75:$H$89,'Renew &amp; Vac'!$A$75:$A$89,$B225,'Renew &amp; Vac'!$D$75:$D$89,"&lt;="&amp;E$203,'Renew &amp; Vac'!$E$75:$E$89,"&gt;="&amp;E$203)</f>
        <v>0</v>
      </c>
      <c r="F225" s="34">
        <f>SUMIFS('Renew &amp; Vac'!$S$75:$S$89,'Renew &amp; Vac'!$L$75:$L$89,$B225,'Renew &amp; Vac'!$O$75:$O$89,"&lt;="&amp;F$203,'Renew &amp; Vac'!$P$75:$P$89,"&gt;="&amp;F$203)+SUMIFS('Renew &amp; Vac'!$H$75:$H$89,'Renew &amp; Vac'!$A$75:$A$89,$B225,'Renew &amp; Vac'!$D$75:$D$89,"&lt;="&amp;F$203,'Renew &amp; Vac'!$E$75:$E$89,"&gt;="&amp;F$203)</f>
        <v>0</v>
      </c>
      <c r="G225" s="34">
        <f>SUMIFS('Renew &amp; Vac'!$S$75:$S$89,'Renew &amp; Vac'!$L$75:$L$89,$B225,'Renew &amp; Vac'!$O$75:$O$89,"&lt;="&amp;G$203,'Renew &amp; Vac'!$P$75:$P$89,"&gt;="&amp;G$203)+SUMIFS('Renew &amp; Vac'!$H$75:$H$89,'Renew &amp; Vac'!$A$75:$A$89,$B225,'Renew &amp; Vac'!$D$75:$D$89,"&lt;="&amp;G$203,'Renew &amp; Vac'!$E$75:$E$89,"&gt;="&amp;G$203)</f>
        <v>0</v>
      </c>
      <c r="H225" s="34">
        <f>SUMIFS('Renew &amp; Vac'!$S$75:$S$89,'Renew &amp; Vac'!$L$75:$L$89,$B225,'Renew &amp; Vac'!$O$75:$O$89,"&lt;="&amp;H$203,'Renew &amp; Vac'!$P$75:$P$89,"&gt;="&amp;H$203)+SUMIFS('Renew &amp; Vac'!$H$75:$H$89,'Renew &amp; Vac'!$A$75:$A$89,$B225,'Renew &amp; Vac'!$D$75:$D$89,"&lt;="&amp;H$203,'Renew &amp; Vac'!$E$75:$E$89,"&gt;="&amp;H$203)</f>
        <v>0</v>
      </c>
      <c r="I225" s="34">
        <f>SUMIFS('Renew &amp; Vac'!$S$75:$S$89,'Renew &amp; Vac'!$L$75:$L$89,$B225,'Renew &amp; Vac'!$O$75:$O$89,"&lt;="&amp;I$203,'Renew &amp; Vac'!$P$75:$P$89,"&gt;="&amp;I$203)+SUMIFS('Renew &amp; Vac'!$H$75:$H$89,'Renew &amp; Vac'!$A$75:$A$89,$B225,'Renew &amp; Vac'!$D$75:$D$89,"&lt;="&amp;I$203,'Renew &amp; Vac'!$E$75:$E$89,"&gt;="&amp;I$203)</f>
        <v>0</v>
      </c>
      <c r="J225" s="34">
        <f>SUMIFS('Renew &amp; Vac'!$S$75:$S$89,'Renew &amp; Vac'!$L$75:$L$89,$B225,'Renew &amp; Vac'!$O$75:$O$89,"&lt;="&amp;J$203,'Renew &amp; Vac'!$P$75:$P$89,"&gt;="&amp;J$203)+SUMIFS('Renew &amp; Vac'!$H$75:$H$89,'Renew &amp; Vac'!$A$75:$A$89,$B225,'Renew &amp; Vac'!$D$75:$D$89,"&lt;="&amp;J$203,'Renew &amp; Vac'!$E$75:$E$89,"&gt;="&amp;J$203)</f>
        <v>0</v>
      </c>
      <c r="K225" s="34">
        <f>SUMIFS('Renew &amp; Vac'!$S$75:$S$89,'Renew &amp; Vac'!$L$75:$L$89,$B225,'Renew &amp; Vac'!$O$75:$O$89,"&lt;="&amp;K$203,'Renew &amp; Vac'!$P$75:$P$89,"&gt;="&amp;K$203)+SUMIFS('Renew &amp; Vac'!$H$75:$H$89,'Renew &amp; Vac'!$A$75:$A$89,$B225,'Renew &amp; Vac'!$D$75:$D$89,"&lt;="&amp;K$203,'Renew &amp; Vac'!$E$75:$E$89,"&gt;="&amp;K$203)</f>
        <v>0</v>
      </c>
      <c r="L225" s="34">
        <f>SUMIFS('Renew &amp; Vac'!$S$75:$S$89,'Renew &amp; Vac'!$L$75:$L$89,$B225,'Renew &amp; Vac'!$O$75:$O$89,"&lt;="&amp;L$203,'Renew &amp; Vac'!$P$75:$P$89,"&gt;="&amp;L$203)+SUMIFS('Renew &amp; Vac'!$H$75:$H$89,'Renew &amp; Vac'!$A$75:$A$89,$B225,'Renew &amp; Vac'!$D$75:$D$89,"&lt;="&amp;L$203,'Renew &amp; Vac'!$E$75:$E$89,"&gt;="&amp;L$203)</f>
        <v>0</v>
      </c>
      <c r="M225" s="34">
        <f>SUMIFS('Renew &amp; Vac'!$S$75:$S$89,'Renew &amp; Vac'!$L$75:$L$89,$B225,'Renew &amp; Vac'!$O$75:$O$89,"&lt;="&amp;M$203,'Renew &amp; Vac'!$P$75:$P$89,"&gt;="&amp;M$203)+SUMIFS('Renew &amp; Vac'!$H$75:$H$89,'Renew &amp; Vac'!$A$75:$A$89,$B225,'Renew &amp; Vac'!$D$75:$D$89,"&lt;="&amp;M$203,'Renew &amp; Vac'!$E$75:$E$89,"&gt;="&amp;M$203)</f>
        <v>0</v>
      </c>
      <c r="N225" s="34">
        <f>SUMIFS('Renew &amp; Vac'!$S$75:$S$89,'Renew &amp; Vac'!$L$75:$L$89,$B225,'Renew &amp; Vac'!$O$75:$O$89,"&lt;="&amp;N$203,'Renew &amp; Vac'!$P$75:$P$89,"&gt;="&amp;N$203)+SUMIFS('Renew &amp; Vac'!$H$75:$H$89,'Renew &amp; Vac'!$A$75:$A$89,$B225,'Renew &amp; Vac'!$D$75:$D$89,"&lt;="&amp;N$203,'Renew &amp; Vac'!$E$75:$E$89,"&gt;="&amp;N$203)</f>
        <v>0</v>
      </c>
      <c r="O225" s="34">
        <f>SUMIFS('Renew &amp; Vac'!$S$75:$S$89,'Renew &amp; Vac'!$L$75:$L$89,$B225,'Renew &amp; Vac'!$O$75:$O$89,"&lt;="&amp;O$203,'Renew &amp; Vac'!$P$75:$P$89,"&gt;="&amp;O$203)+SUMIFS('Renew &amp; Vac'!$H$75:$H$89,'Renew &amp; Vac'!$A$75:$A$89,$B225,'Renew &amp; Vac'!$D$75:$D$89,"&lt;="&amp;O$203,'Renew &amp; Vac'!$E$75:$E$89,"&gt;="&amp;O$203)</f>
        <v>0</v>
      </c>
      <c r="P225" s="34">
        <f>SUMIFS('Renew &amp; Vac'!$S$75:$S$89,'Renew &amp; Vac'!$L$75:$L$89,$B225,'Renew &amp; Vac'!$O$75:$O$89,"&lt;="&amp;P$203,'Renew &amp; Vac'!$P$75:$P$89,"&gt;="&amp;P$203)+SUMIFS('Renew &amp; Vac'!$H$75:$H$89,'Renew &amp; Vac'!$A$75:$A$89,$B225,'Renew &amp; Vac'!$D$75:$D$89,"&lt;="&amp;P$203,'Renew &amp; Vac'!$E$75:$E$89,"&gt;="&amp;P$203)</f>
        <v>0</v>
      </c>
      <c r="Q225" s="36">
        <f t="shared" si="49"/>
        <v>0</v>
      </c>
    </row>
    <row r="226" spans="1:20" outlineLevel="1" x14ac:dyDescent="0.35">
      <c r="B226" s="127" t="str">
        <f t="shared" si="48"/>
        <v>4080-301</v>
      </c>
      <c r="D226" s="34" t="str">
        <f>IFERROR(VLOOKUP(B226,'Renew &amp; Vac'!$A$75:$B$89,2,FALSE),IFERROR(VLOOKUP(B226,'Renew &amp; Vac'!$L$75:$M$89,2,FALSE),VLOOKUP(B226,$B$172:$D$196,3,FALSE)))</f>
        <v>VACANT</v>
      </c>
      <c r="E226" s="34">
        <f>SUMIFS('Renew &amp; Vac'!$S$75:$S$89,'Renew &amp; Vac'!$L$75:$L$89,$B226,'Renew &amp; Vac'!$O$75:$O$89,"&lt;="&amp;E$203,'Renew &amp; Vac'!$P$75:$P$89,"&gt;="&amp;E$203)+SUMIFS('Renew &amp; Vac'!$H$75:$H$89,'Renew &amp; Vac'!$A$75:$A$89,$B226,'Renew &amp; Vac'!$D$75:$D$89,"&lt;="&amp;E$203,'Renew &amp; Vac'!$E$75:$E$89,"&gt;="&amp;E$203)</f>
        <v>0</v>
      </c>
      <c r="F226" s="34">
        <f>SUMIFS('Renew &amp; Vac'!$S$75:$S$89,'Renew &amp; Vac'!$L$75:$L$89,$B226,'Renew &amp; Vac'!$O$75:$O$89,"&lt;="&amp;F$203,'Renew &amp; Vac'!$P$75:$P$89,"&gt;="&amp;F$203)+SUMIFS('Renew &amp; Vac'!$H$75:$H$89,'Renew &amp; Vac'!$A$75:$A$89,$B226,'Renew &amp; Vac'!$D$75:$D$89,"&lt;="&amp;F$203,'Renew &amp; Vac'!$E$75:$E$89,"&gt;="&amp;F$203)</f>
        <v>0</v>
      </c>
      <c r="G226" s="34">
        <f>SUMIFS('Renew &amp; Vac'!$S$75:$S$89,'Renew &amp; Vac'!$L$75:$L$89,$B226,'Renew &amp; Vac'!$O$75:$O$89,"&lt;="&amp;G$203,'Renew &amp; Vac'!$P$75:$P$89,"&gt;="&amp;G$203)+SUMIFS('Renew &amp; Vac'!$H$75:$H$89,'Renew &amp; Vac'!$A$75:$A$89,$B226,'Renew &amp; Vac'!$D$75:$D$89,"&lt;="&amp;G$203,'Renew &amp; Vac'!$E$75:$E$89,"&gt;="&amp;G$203)</f>
        <v>0</v>
      </c>
      <c r="H226" s="34">
        <f>SUMIFS('Renew &amp; Vac'!$S$75:$S$89,'Renew &amp; Vac'!$L$75:$L$89,$B226,'Renew &amp; Vac'!$O$75:$O$89,"&lt;="&amp;H$203,'Renew &amp; Vac'!$P$75:$P$89,"&gt;="&amp;H$203)+SUMIFS('Renew &amp; Vac'!$H$75:$H$89,'Renew &amp; Vac'!$A$75:$A$89,$B226,'Renew &amp; Vac'!$D$75:$D$89,"&lt;="&amp;H$203,'Renew &amp; Vac'!$E$75:$E$89,"&gt;="&amp;H$203)</f>
        <v>0</v>
      </c>
      <c r="I226" s="34">
        <f>SUMIFS('Renew &amp; Vac'!$S$75:$S$89,'Renew &amp; Vac'!$L$75:$L$89,$B226,'Renew &amp; Vac'!$O$75:$O$89,"&lt;="&amp;I$203,'Renew &amp; Vac'!$P$75:$P$89,"&gt;="&amp;I$203)+SUMIFS('Renew &amp; Vac'!$H$75:$H$89,'Renew &amp; Vac'!$A$75:$A$89,$B226,'Renew &amp; Vac'!$D$75:$D$89,"&lt;="&amp;I$203,'Renew &amp; Vac'!$E$75:$E$89,"&gt;="&amp;I$203)</f>
        <v>0</v>
      </c>
      <c r="J226" s="34">
        <f>SUMIFS('Renew &amp; Vac'!$S$75:$S$89,'Renew &amp; Vac'!$L$75:$L$89,$B226,'Renew &amp; Vac'!$O$75:$O$89,"&lt;="&amp;J$203,'Renew &amp; Vac'!$P$75:$P$89,"&gt;="&amp;J$203)+SUMIFS('Renew &amp; Vac'!$H$75:$H$89,'Renew &amp; Vac'!$A$75:$A$89,$B226,'Renew &amp; Vac'!$D$75:$D$89,"&lt;="&amp;J$203,'Renew &amp; Vac'!$E$75:$E$89,"&gt;="&amp;J$203)</f>
        <v>0</v>
      </c>
      <c r="K226" s="34">
        <f>SUMIFS('Renew &amp; Vac'!$S$75:$S$89,'Renew &amp; Vac'!$L$75:$L$89,$B226,'Renew &amp; Vac'!$O$75:$O$89,"&lt;="&amp;K$203,'Renew &amp; Vac'!$P$75:$P$89,"&gt;="&amp;K$203)+SUMIFS('Renew &amp; Vac'!$H$75:$H$89,'Renew &amp; Vac'!$A$75:$A$89,$B226,'Renew &amp; Vac'!$D$75:$D$89,"&lt;="&amp;K$203,'Renew &amp; Vac'!$E$75:$E$89,"&gt;="&amp;K$203)</f>
        <v>0</v>
      </c>
      <c r="L226" s="34">
        <f>SUMIFS('Renew &amp; Vac'!$S$75:$S$89,'Renew &amp; Vac'!$L$75:$L$89,$B226,'Renew &amp; Vac'!$O$75:$O$89,"&lt;="&amp;L$203,'Renew &amp; Vac'!$P$75:$P$89,"&gt;="&amp;L$203)+SUMIFS('Renew &amp; Vac'!$H$75:$H$89,'Renew &amp; Vac'!$A$75:$A$89,$B226,'Renew &amp; Vac'!$D$75:$D$89,"&lt;="&amp;L$203,'Renew &amp; Vac'!$E$75:$E$89,"&gt;="&amp;L$203)</f>
        <v>0</v>
      </c>
      <c r="M226" s="34">
        <f>SUMIFS('Renew &amp; Vac'!$S$75:$S$89,'Renew &amp; Vac'!$L$75:$L$89,$B226,'Renew &amp; Vac'!$O$75:$O$89,"&lt;="&amp;M$203,'Renew &amp; Vac'!$P$75:$P$89,"&gt;="&amp;M$203)+SUMIFS('Renew &amp; Vac'!$H$75:$H$89,'Renew &amp; Vac'!$A$75:$A$89,$B226,'Renew &amp; Vac'!$D$75:$D$89,"&lt;="&amp;M$203,'Renew &amp; Vac'!$E$75:$E$89,"&gt;="&amp;M$203)</f>
        <v>0</v>
      </c>
      <c r="N226" s="34">
        <f>SUMIFS('Renew &amp; Vac'!$S$75:$S$89,'Renew &amp; Vac'!$L$75:$L$89,$B226,'Renew &amp; Vac'!$O$75:$O$89,"&lt;="&amp;N$203,'Renew &amp; Vac'!$P$75:$P$89,"&gt;="&amp;N$203)+SUMIFS('Renew &amp; Vac'!$H$75:$H$89,'Renew &amp; Vac'!$A$75:$A$89,$B226,'Renew &amp; Vac'!$D$75:$D$89,"&lt;="&amp;N$203,'Renew &amp; Vac'!$E$75:$E$89,"&gt;="&amp;N$203)</f>
        <v>0</v>
      </c>
      <c r="O226" s="34">
        <f>SUMIFS('Renew &amp; Vac'!$S$75:$S$89,'Renew &amp; Vac'!$L$75:$L$89,$B226,'Renew &amp; Vac'!$O$75:$O$89,"&lt;="&amp;O$203,'Renew &amp; Vac'!$P$75:$P$89,"&gt;="&amp;O$203)+SUMIFS('Renew &amp; Vac'!$H$75:$H$89,'Renew &amp; Vac'!$A$75:$A$89,$B226,'Renew &amp; Vac'!$D$75:$D$89,"&lt;="&amp;O$203,'Renew &amp; Vac'!$E$75:$E$89,"&gt;="&amp;O$203)</f>
        <v>0</v>
      </c>
      <c r="P226" s="34">
        <f>SUMIFS('Renew &amp; Vac'!$S$75:$S$89,'Renew &amp; Vac'!$L$75:$L$89,$B226,'Renew &amp; Vac'!$O$75:$O$89,"&lt;="&amp;P$203,'Renew &amp; Vac'!$P$75:$P$89,"&gt;="&amp;P$203)+SUMIFS('Renew &amp; Vac'!$H$75:$H$89,'Renew &amp; Vac'!$A$75:$A$89,$B226,'Renew &amp; Vac'!$D$75:$D$89,"&lt;="&amp;P$203,'Renew &amp; Vac'!$E$75:$E$89,"&gt;="&amp;P$203)</f>
        <v>0</v>
      </c>
      <c r="Q226" s="36">
        <f t="shared" si="49"/>
        <v>0</v>
      </c>
    </row>
    <row r="227" spans="1:20" outlineLevel="1" x14ac:dyDescent="0.35">
      <c r="B227" s="127" t="str">
        <f t="shared" si="48"/>
        <v>4080-305</v>
      </c>
      <c r="D227" s="34" t="str">
        <f>IFERROR(VLOOKUP(B227,'Renew &amp; Vac'!$A$75:$B$89,2,FALSE),IFERROR(VLOOKUP(B227,'Renew &amp; Vac'!$L$75:$M$89,2,FALSE),VLOOKUP(B227,$B$172:$D$196,3,FALSE)))</f>
        <v>Partnership for Community Supp</v>
      </c>
      <c r="E227" s="34">
        <f>SUMIFS('Renew &amp; Vac'!$S$75:$S$89,'Renew &amp; Vac'!$L$75:$L$89,$B227,'Renew &amp; Vac'!$O$75:$O$89,"&lt;="&amp;E$203,'Renew &amp; Vac'!$P$75:$P$89,"&gt;="&amp;E$203)+SUMIFS('Renew &amp; Vac'!$H$75:$H$89,'Renew &amp; Vac'!$A$75:$A$89,$B227,'Renew &amp; Vac'!$D$75:$D$89,"&lt;="&amp;E$203,'Renew &amp; Vac'!$E$75:$E$89,"&gt;="&amp;E$203)</f>
        <v>0</v>
      </c>
      <c r="F227" s="34">
        <f>SUMIFS('Renew &amp; Vac'!$S$75:$S$89,'Renew &amp; Vac'!$L$75:$L$89,$B227,'Renew &amp; Vac'!$O$75:$O$89,"&lt;="&amp;F$203,'Renew &amp; Vac'!$P$75:$P$89,"&gt;="&amp;F$203)+SUMIFS('Renew &amp; Vac'!$H$75:$H$89,'Renew &amp; Vac'!$A$75:$A$89,$B227,'Renew &amp; Vac'!$D$75:$D$89,"&lt;="&amp;F$203,'Renew &amp; Vac'!$E$75:$E$89,"&gt;="&amp;F$203)</f>
        <v>0</v>
      </c>
      <c r="G227" s="34">
        <f>SUMIFS('Renew &amp; Vac'!$S$75:$S$89,'Renew &amp; Vac'!$L$75:$L$89,$B227,'Renew &amp; Vac'!$O$75:$O$89,"&lt;="&amp;G$203,'Renew &amp; Vac'!$P$75:$P$89,"&gt;="&amp;G$203)+SUMIFS('Renew &amp; Vac'!$H$75:$H$89,'Renew &amp; Vac'!$A$75:$A$89,$B227,'Renew &amp; Vac'!$D$75:$D$89,"&lt;="&amp;G$203,'Renew &amp; Vac'!$E$75:$E$89,"&gt;="&amp;G$203)</f>
        <v>0</v>
      </c>
      <c r="H227" s="34">
        <f>SUMIFS('Renew &amp; Vac'!$S$75:$S$89,'Renew &amp; Vac'!$L$75:$L$89,$B227,'Renew &amp; Vac'!$O$75:$O$89,"&lt;="&amp;H$203,'Renew &amp; Vac'!$P$75:$P$89,"&gt;="&amp;H$203)+SUMIFS('Renew &amp; Vac'!$H$75:$H$89,'Renew &amp; Vac'!$A$75:$A$89,$B227,'Renew &amp; Vac'!$D$75:$D$89,"&lt;="&amp;H$203,'Renew &amp; Vac'!$E$75:$E$89,"&gt;="&amp;H$203)</f>
        <v>0</v>
      </c>
      <c r="I227" s="34">
        <f>SUMIFS('Renew &amp; Vac'!$S$75:$S$89,'Renew &amp; Vac'!$L$75:$L$89,$B227,'Renew &amp; Vac'!$O$75:$O$89,"&lt;="&amp;I$203,'Renew &amp; Vac'!$P$75:$P$89,"&gt;="&amp;I$203)+SUMIFS('Renew &amp; Vac'!$H$75:$H$89,'Renew &amp; Vac'!$A$75:$A$89,$B227,'Renew &amp; Vac'!$D$75:$D$89,"&lt;="&amp;I$203,'Renew &amp; Vac'!$E$75:$E$89,"&gt;="&amp;I$203)</f>
        <v>0</v>
      </c>
      <c r="J227" s="34">
        <f>SUMIFS('Renew &amp; Vac'!$S$75:$S$89,'Renew &amp; Vac'!$L$75:$L$89,$B227,'Renew &amp; Vac'!$O$75:$O$89,"&lt;="&amp;J$203,'Renew &amp; Vac'!$P$75:$P$89,"&gt;="&amp;J$203)+SUMIFS('Renew &amp; Vac'!$H$75:$H$89,'Renew &amp; Vac'!$A$75:$A$89,$B227,'Renew &amp; Vac'!$D$75:$D$89,"&lt;="&amp;J$203,'Renew &amp; Vac'!$E$75:$E$89,"&gt;="&amp;J$203)</f>
        <v>0</v>
      </c>
      <c r="K227" s="34">
        <f>SUMIFS('Renew &amp; Vac'!$S$75:$S$89,'Renew &amp; Vac'!$L$75:$L$89,$B227,'Renew &amp; Vac'!$O$75:$O$89,"&lt;="&amp;K$203,'Renew &amp; Vac'!$P$75:$P$89,"&gt;="&amp;K$203)+SUMIFS('Renew &amp; Vac'!$H$75:$H$89,'Renew &amp; Vac'!$A$75:$A$89,$B227,'Renew &amp; Vac'!$D$75:$D$89,"&lt;="&amp;K$203,'Renew &amp; Vac'!$E$75:$E$89,"&gt;="&amp;K$203)</f>
        <v>0</v>
      </c>
      <c r="L227" s="34">
        <f>SUMIFS('Renew &amp; Vac'!$S$75:$S$89,'Renew &amp; Vac'!$L$75:$L$89,$B227,'Renew &amp; Vac'!$O$75:$O$89,"&lt;="&amp;L$203,'Renew &amp; Vac'!$P$75:$P$89,"&gt;="&amp;L$203)+SUMIFS('Renew &amp; Vac'!$H$75:$H$89,'Renew &amp; Vac'!$A$75:$A$89,$B227,'Renew &amp; Vac'!$D$75:$D$89,"&lt;="&amp;L$203,'Renew &amp; Vac'!$E$75:$E$89,"&gt;="&amp;L$203)</f>
        <v>0</v>
      </c>
      <c r="M227" s="34">
        <f>SUMIFS('Renew &amp; Vac'!$S$75:$S$89,'Renew &amp; Vac'!$L$75:$L$89,$B227,'Renew &amp; Vac'!$O$75:$O$89,"&lt;="&amp;M$203,'Renew &amp; Vac'!$P$75:$P$89,"&gt;="&amp;M$203)+SUMIFS('Renew &amp; Vac'!$H$75:$H$89,'Renew &amp; Vac'!$A$75:$A$89,$B227,'Renew &amp; Vac'!$D$75:$D$89,"&lt;="&amp;M$203,'Renew &amp; Vac'!$E$75:$E$89,"&gt;="&amp;M$203)</f>
        <v>0</v>
      </c>
      <c r="N227" s="34">
        <f>SUMIFS('Renew &amp; Vac'!$S$75:$S$89,'Renew &amp; Vac'!$L$75:$L$89,$B227,'Renew &amp; Vac'!$O$75:$O$89,"&lt;="&amp;N$203,'Renew &amp; Vac'!$P$75:$P$89,"&gt;="&amp;N$203)+SUMIFS('Renew &amp; Vac'!$H$75:$H$89,'Renew &amp; Vac'!$A$75:$A$89,$B227,'Renew &amp; Vac'!$D$75:$D$89,"&lt;="&amp;N$203,'Renew &amp; Vac'!$E$75:$E$89,"&gt;="&amp;N$203)</f>
        <v>0</v>
      </c>
      <c r="O227" s="34">
        <f>SUMIFS('Renew &amp; Vac'!$S$75:$S$89,'Renew &amp; Vac'!$L$75:$L$89,$B227,'Renew &amp; Vac'!$O$75:$O$89,"&lt;="&amp;O$203,'Renew &amp; Vac'!$P$75:$P$89,"&gt;="&amp;O$203)+SUMIFS('Renew &amp; Vac'!$H$75:$H$89,'Renew &amp; Vac'!$A$75:$A$89,$B227,'Renew &amp; Vac'!$D$75:$D$89,"&lt;="&amp;O$203,'Renew &amp; Vac'!$E$75:$E$89,"&gt;="&amp;O$203)</f>
        <v>0</v>
      </c>
      <c r="P227" s="34">
        <f>SUMIFS('Renew &amp; Vac'!$S$75:$S$89,'Renew &amp; Vac'!$L$75:$L$89,$B227,'Renew &amp; Vac'!$O$75:$O$89,"&lt;="&amp;P$203,'Renew &amp; Vac'!$P$75:$P$89,"&gt;="&amp;P$203)+SUMIFS('Renew &amp; Vac'!$H$75:$H$89,'Renew &amp; Vac'!$A$75:$A$89,$B227,'Renew &amp; Vac'!$D$75:$D$89,"&lt;="&amp;P$203,'Renew &amp; Vac'!$E$75:$E$89,"&gt;="&amp;P$203)</f>
        <v>0</v>
      </c>
      <c r="Q227" s="36">
        <f t="shared" si="49"/>
        <v>0</v>
      </c>
    </row>
    <row r="228" spans="1:20" outlineLevel="1" x14ac:dyDescent="0.35">
      <c r="B228" s="127" t="str">
        <f t="shared" si="48"/>
        <v>4080-317</v>
      </c>
      <c r="D228" s="34" t="str">
        <f>IFERROR(VLOOKUP(B228,'Renew &amp; Vac'!$A$75:$B$89,2,FALSE),IFERROR(VLOOKUP(B228,'Renew &amp; Vac'!$L$75:$M$89,2,FALSE),VLOOKUP(B228,$B$172:$D$196,3,FALSE)))</f>
        <v>VACANT</v>
      </c>
      <c r="E228" s="34">
        <f>SUMIFS('Renew &amp; Vac'!$S$75:$S$89,'Renew &amp; Vac'!$L$75:$L$89,$B228,'Renew &amp; Vac'!$O$75:$O$89,"&lt;="&amp;E$203,'Renew &amp; Vac'!$P$75:$P$89,"&gt;="&amp;E$203)+SUMIFS('Renew &amp; Vac'!$H$75:$H$89,'Renew &amp; Vac'!$A$75:$A$89,$B228,'Renew &amp; Vac'!$D$75:$D$89,"&lt;="&amp;E$203,'Renew &amp; Vac'!$E$75:$E$89,"&gt;="&amp;E$203)</f>
        <v>0</v>
      </c>
      <c r="F228" s="34">
        <f>SUMIFS('Renew &amp; Vac'!$S$75:$S$89,'Renew &amp; Vac'!$L$75:$L$89,$B228,'Renew &amp; Vac'!$O$75:$O$89,"&lt;="&amp;F$203,'Renew &amp; Vac'!$P$75:$P$89,"&gt;="&amp;F$203)+SUMIFS('Renew &amp; Vac'!$H$75:$H$89,'Renew &amp; Vac'!$A$75:$A$89,$B228,'Renew &amp; Vac'!$D$75:$D$89,"&lt;="&amp;F$203,'Renew &amp; Vac'!$E$75:$E$89,"&gt;="&amp;F$203)</f>
        <v>0</v>
      </c>
      <c r="G228" s="34">
        <f>SUMIFS('Renew &amp; Vac'!$S$75:$S$89,'Renew &amp; Vac'!$L$75:$L$89,$B228,'Renew &amp; Vac'!$O$75:$O$89,"&lt;="&amp;G$203,'Renew &amp; Vac'!$P$75:$P$89,"&gt;="&amp;G$203)+SUMIFS('Renew &amp; Vac'!$H$75:$H$89,'Renew &amp; Vac'!$A$75:$A$89,$B228,'Renew &amp; Vac'!$D$75:$D$89,"&lt;="&amp;G$203,'Renew &amp; Vac'!$E$75:$E$89,"&gt;="&amp;G$203)</f>
        <v>0</v>
      </c>
      <c r="H228" s="34">
        <f>SUMIFS('Renew &amp; Vac'!$S$75:$S$89,'Renew &amp; Vac'!$L$75:$L$89,$B228,'Renew &amp; Vac'!$O$75:$O$89,"&lt;="&amp;H$203,'Renew &amp; Vac'!$P$75:$P$89,"&gt;="&amp;H$203)+SUMIFS('Renew &amp; Vac'!$H$75:$H$89,'Renew &amp; Vac'!$A$75:$A$89,$B228,'Renew &amp; Vac'!$D$75:$D$89,"&lt;="&amp;H$203,'Renew &amp; Vac'!$E$75:$E$89,"&gt;="&amp;H$203)</f>
        <v>0</v>
      </c>
      <c r="I228" s="34">
        <f>SUMIFS('Renew &amp; Vac'!$S$75:$S$89,'Renew &amp; Vac'!$L$75:$L$89,$B228,'Renew &amp; Vac'!$O$75:$O$89,"&lt;="&amp;I$203,'Renew &amp; Vac'!$P$75:$P$89,"&gt;="&amp;I$203)+SUMIFS('Renew &amp; Vac'!$H$75:$H$89,'Renew &amp; Vac'!$A$75:$A$89,$B228,'Renew &amp; Vac'!$D$75:$D$89,"&lt;="&amp;I$203,'Renew &amp; Vac'!$E$75:$E$89,"&gt;="&amp;I$203)</f>
        <v>0</v>
      </c>
      <c r="J228" s="34">
        <f>SUMIFS('Renew &amp; Vac'!$S$75:$S$89,'Renew &amp; Vac'!$L$75:$L$89,$B228,'Renew &amp; Vac'!$O$75:$O$89,"&lt;="&amp;J$203,'Renew &amp; Vac'!$P$75:$P$89,"&gt;="&amp;J$203)+SUMIFS('Renew &amp; Vac'!$H$75:$H$89,'Renew &amp; Vac'!$A$75:$A$89,$B228,'Renew &amp; Vac'!$D$75:$D$89,"&lt;="&amp;J$203,'Renew &amp; Vac'!$E$75:$E$89,"&gt;="&amp;J$203)</f>
        <v>0</v>
      </c>
      <c r="K228" s="34">
        <f>SUMIFS('Renew &amp; Vac'!$S$75:$S$89,'Renew &amp; Vac'!$L$75:$L$89,$B228,'Renew &amp; Vac'!$O$75:$O$89,"&lt;="&amp;K$203,'Renew &amp; Vac'!$P$75:$P$89,"&gt;="&amp;K$203)+SUMIFS('Renew &amp; Vac'!$H$75:$H$89,'Renew &amp; Vac'!$A$75:$A$89,$B228,'Renew &amp; Vac'!$D$75:$D$89,"&lt;="&amp;K$203,'Renew &amp; Vac'!$E$75:$E$89,"&gt;="&amp;K$203)</f>
        <v>0</v>
      </c>
      <c r="L228" s="34">
        <f>SUMIFS('Renew &amp; Vac'!$S$75:$S$89,'Renew &amp; Vac'!$L$75:$L$89,$B228,'Renew &amp; Vac'!$O$75:$O$89,"&lt;="&amp;L$203,'Renew &amp; Vac'!$P$75:$P$89,"&gt;="&amp;L$203)+SUMIFS('Renew &amp; Vac'!$H$75:$H$89,'Renew &amp; Vac'!$A$75:$A$89,$B228,'Renew &amp; Vac'!$D$75:$D$89,"&lt;="&amp;L$203,'Renew &amp; Vac'!$E$75:$E$89,"&gt;="&amp;L$203)</f>
        <v>0</v>
      </c>
      <c r="M228" s="34">
        <f>SUMIFS('Renew &amp; Vac'!$S$75:$S$89,'Renew &amp; Vac'!$L$75:$L$89,$B228,'Renew &amp; Vac'!$O$75:$O$89,"&lt;="&amp;M$203,'Renew &amp; Vac'!$P$75:$P$89,"&gt;="&amp;M$203)+SUMIFS('Renew &amp; Vac'!$H$75:$H$89,'Renew &amp; Vac'!$A$75:$A$89,$B228,'Renew &amp; Vac'!$D$75:$D$89,"&lt;="&amp;M$203,'Renew &amp; Vac'!$E$75:$E$89,"&gt;="&amp;M$203)</f>
        <v>0</v>
      </c>
      <c r="N228" s="34">
        <f>SUMIFS('Renew &amp; Vac'!$S$75:$S$89,'Renew &amp; Vac'!$L$75:$L$89,$B228,'Renew &amp; Vac'!$O$75:$O$89,"&lt;="&amp;N$203,'Renew &amp; Vac'!$P$75:$P$89,"&gt;="&amp;N$203)+SUMIFS('Renew &amp; Vac'!$H$75:$H$89,'Renew &amp; Vac'!$A$75:$A$89,$B228,'Renew &amp; Vac'!$D$75:$D$89,"&lt;="&amp;N$203,'Renew &amp; Vac'!$E$75:$E$89,"&gt;="&amp;N$203)</f>
        <v>0</v>
      </c>
      <c r="O228" s="34">
        <f>SUMIFS('Renew &amp; Vac'!$S$75:$S$89,'Renew &amp; Vac'!$L$75:$L$89,$B228,'Renew &amp; Vac'!$O$75:$O$89,"&lt;="&amp;O$203,'Renew &amp; Vac'!$P$75:$P$89,"&gt;="&amp;O$203)+SUMIFS('Renew &amp; Vac'!$H$75:$H$89,'Renew &amp; Vac'!$A$75:$A$89,$B228,'Renew &amp; Vac'!$D$75:$D$89,"&lt;="&amp;O$203,'Renew &amp; Vac'!$E$75:$E$89,"&gt;="&amp;O$203)</f>
        <v>0</v>
      </c>
      <c r="P228" s="34">
        <f>SUMIFS('Renew &amp; Vac'!$S$75:$S$89,'Renew &amp; Vac'!$L$75:$L$89,$B228,'Renew &amp; Vac'!$O$75:$O$89,"&lt;="&amp;P$203,'Renew &amp; Vac'!$P$75:$P$89,"&gt;="&amp;P$203)+SUMIFS('Renew &amp; Vac'!$H$75:$H$89,'Renew &amp; Vac'!$A$75:$A$89,$B228,'Renew &amp; Vac'!$D$75:$D$89,"&lt;="&amp;P$203,'Renew &amp; Vac'!$E$75:$E$89,"&gt;="&amp;P$203)</f>
        <v>0</v>
      </c>
      <c r="Q228" s="36">
        <f t="shared" si="49"/>
        <v>0</v>
      </c>
    </row>
    <row r="229" spans="1:20" outlineLevel="1" x14ac:dyDescent="0.35">
      <c r="B229" s="127" t="str">
        <f t="shared" ref="B229:B230" si="50">B197</f>
        <v>4080-400</v>
      </c>
      <c r="D229" s="34" t="str">
        <f>IFERROR(VLOOKUP(B229,'Renew &amp; Vac'!$A$75:$B$89,2,FALSE),IFERROR(VLOOKUP(B229,'Renew &amp; Vac'!$L$75:$M$89,2,FALSE),VLOOKUP(B229,$B$172:$D$196,3,FALSE)))</f>
        <v>Korman Commercial Properties</v>
      </c>
      <c r="E229" s="34">
        <f>SUMIFS('Renew &amp; Vac'!$S$75:$S$89,'Renew &amp; Vac'!$L$75:$L$89,$B229,'Renew &amp; Vac'!$O$75:$O$89,"&lt;="&amp;E$203,'Renew &amp; Vac'!$P$75:$P$89,"&gt;="&amp;E$203)+SUMIFS('Renew &amp; Vac'!$H$75:$H$89,'Renew &amp; Vac'!$A$75:$A$89,$B229,'Renew &amp; Vac'!$D$75:$D$89,"&lt;="&amp;E$203,'Renew &amp; Vac'!$E$75:$E$89,"&gt;="&amp;E$203)</f>
        <v>0</v>
      </c>
      <c r="F229" s="34">
        <f>SUMIFS('Renew &amp; Vac'!$S$75:$S$89,'Renew &amp; Vac'!$L$75:$L$89,$B229,'Renew &amp; Vac'!$O$75:$O$89,"&lt;="&amp;F$203,'Renew &amp; Vac'!$P$75:$P$89,"&gt;="&amp;F$203)+SUMIFS('Renew &amp; Vac'!$H$75:$H$89,'Renew &amp; Vac'!$A$75:$A$89,$B229,'Renew &amp; Vac'!$D$75:$D$89,"&lt;="&amp;F$203,'Renew &amp; Vac'!$E$75:$E$89,"&gt;="&amp;F$203)</f>
        <v>0</v>
      </c>
      <c r="G229" s="34">
        <f>SUMIFS('Renew &amp; Vac'!$S$75:$S$89,'Renew &amp; Vac'!$L$75:$L$89,$B229,'Renew &amp; Vac'!$O$75:$O$89,"&lt;="&amp;G$203,'Renew &amp; Vac'!$P$75:$P$89,"&gt;="&amp;G$203)+SUMIFS('Renew &amp; Vac'!$H$75:$H$89,'Renew &amp; Vac'!$A$75:$A$89,$B229,'Renew &amp; Vac'!$D$75:$D$89,"&lt;="&amp;G$203,'Renew &amp; Vac'!$E$75:$E$89,"&gt;="&amp;G$203)</f>
        <v>0</v>
      </c>
      <c r="H229" s="34">
        <f>SUMIFS('Renew &amp; Vac'!$S$75:$S$89,'Renew &amp; Vac'!$L$75:$L$89,$B229,'Renew &amp; Vac'!$O$75:$O$89,"&lt;="&amp;H$203,'Renew &amp; Vac'!$P$75:$P$89,"&gt;="&amp;H$203)+SUMIFS('Renew &amp; Vac'!$H$75:$H$89,'Renew &amp; Vac'!$A$75:$A$89,$B229,'Renew &amp; Vac'!$D$75:$D$89,"&lt;="&amp;H$203,'Renew &amp; Vac'!$E$75:$E$89,"&gt;="&amp;H$203)</f>
        <v>0</v>
      </c>
      <c r="I229" s="34">
        <f>SUMIFS('Renew &amp; Vac'!$S$75:$S$89,'Renew &amp; Vac'!$L$75:$L$89,$B229,'Renew &amp; Vac'!$O$75:$O$89,"&lt;="&amp;I$203,'Renew &amp; Vac'!$P$75:$P$89,"&gt;="&amp;I$203)+SUMIFS('Renew &amp; Vac'!$H$75:$H$89,'Renew &amp; Vac'!$A$75:$A$89,$B229,'Renew &amp; Vac'!$D$75:$D$89,"&lt;="&amp;I$203,'Renew &amp; Vac'!$E$75:$E$89,"&gt;="&amp;I$203)</f>
        <v>0</v>
      </c>
      <c r="J229" s="34">
        <f>SUMIFS('Renew &amp; Vac'!$S$75:$S$89,'Renew &amp; Vac'!$L$75:$L$89,$B229,'Renew &amp; Vac'!$O$75:$O$89,"&lt;="&amp;J$203,'Renew &amp; Vac'!$P$75:$P$89,"&gt;="&amp;J$203)+SUMIFS('Renew &amp; Vac'!$H$75:$H$89,'Renew &amp; Vac'!$A$75:$A$89,$B229,'Renew &amp; Vac'!$D$75:$D$89,"&lt;="&amp;J$203,'Renew &amp; Vac'!$E$75:$E$89,"&gt;="&amp;J$203)</f>
        <v>0</v>
      </c>
      <c r="K229" s="34">
        <f>SUMIFS('Renew &amp; Vac'!$S$75:$S$89,'Renew &amp; Vac'!$L$75:$L$89,$B229,'Renew &amp; Vac'!$O$75:$O$89,"&lt;="&amp;K$203,'Renew &amp; Vac'!$P$75:$P$89,"&gt;="&amp;K$203)+SUMIFS('Renew &amp; Vac'!$H$75:$H$89,'Renew &amp; Vac'!$A$75:$A$89,$B229,'Renew &amp; Vac'!$D$75:$D$89,"&lt;="&amp;K$203,'Renew &amp; Vac'!$E$75:$E$89,"&gt;="&amp;K$203)</f>
        <v>0</v>
      </c>
      <c r="L229" s="34">
        <f>SUMIFS('Renew &amp; Vac'!$S$75:$S$89,'Renew &amp; Vac'!$L$75:$L$89,$B229,'Renew &amp; Vac'!$O$75:$O$89,"&lt;="&amp;L$203,'Renew &amp; Vac'!$P$75:$P$89,"&gt;="&amp;L$203)+SUMIFS('Renew &amp; Vac'!$H$75:$H$89,'Renew &amp; Vac'!$A$75:$A$89,$B229,'Renew &amp; Vac'!$D$75:$D$89,"&lt;="&amp;L$203,'Renew &amp; Vac'!$E$75:$E$89,"&gt;="&amp;L$203)</f>
        <v>0</v>
      </c>
      <c r="M229" s="34">
        <f>SUMIFS('Renew &amp; Vac'!$S$75:$S$89,'Renew &amp; Vac'!$L$75:$L$89,$B229,'Renew &amp; Vac'!$O$75:$O$89,"&lt;="&amp;M$203,'Renew &amp; Vac'!$P$75:$P$89,"&gt;="&amp;M$203)+SUMIFS('Renew &amp; Vac'!$H$75:$H$89,'Renew &amp; Vac'!$A$75:$A$89,$B229,'Renew &amp; Vac'!$D$75:$D$89,"&lt;="&amp;M$203,'Renew &amp; Vac'!$E$75:$E$89,"&gt;="&amp;M$203)</f>
        <v>6109.125</v>
      </c>
      <c r="N229" s="34">
        <f>SUMIFS('Renew &amp; Vac'!$S$75:$S$89,'Renew &amp; Vac'!$L$75:$L$89,$B229,'Renew &amp; Vac'!$O$75:$O$89,"&lt;="&amp;N$203,'Renew &amp; Vac'!$P$75:$P$89,"&gt;="&amp;N$203)+SUMIFS('Renew &amp; Vac'!$H$75:$H$89,'Renew &amp; Vac'!$A$75:$A$89,$B229,'Renew &amp; Vac'!$D$75:$D$89,"&lt;="&amp;N$203,'Renew &amp; Vac'!$E$75:$E$89,"&gt;="&amp;N$203)</f>
        <v>6109.125</v>
      </c>
      <c r="O229" s="34">
        <f>SUMIFS('Renew &amp; Vac'!$S$75:$S$89,'Renew &amp; Vac'!$L$75:$L$89,$B229,'Renew &amp; Vac'!$O$75:$O$89,"&lt;="&amp;O$203,'Renew &amp; Vac'!$P$75:$P$89,"&gt;="&amp;O$203)+SUMIFS('Renew &amp; Vac'!$H$75:$H$89,'Renew &amp; Vac'!$A$75:$A$89,$B229,'Renew &amp; Vac'!$D$75:$D$89,"&lt;="&amp;O$203,'Renew &amp; Vac'!$E$75:$E$89,"&gt;="&amp;O$203)</f>
        <v>6109.125</v>
      </c>
      <c r="P229" s="34">
        <f>SUMIFS('Renew &amp; Vac'!$S$75:$S$89,'Renew &amp; Vac'!$L$75:$L$89,$B229,'Renew &amp; Vac'!$O$75:$O$89,"&lt;="&amp;P$203,'Renew &amp; Vac'!$P$75:$P$89,"&gt;="&amp;P$203)+SUMIFS('Renew &amp; Vac'!$H$75:$H$89,'Renew &amp; Vac'!$A$75:$A$89,$B229,'Renew &amp; Vac'!$D$75:$D$89,"&lt;="&amp;P$203,'Renew &amp; Vac'!$E$75:$E$89,"&gt;="&amp;P$203)</f>
        <v>6109.125</v>
      </c>
      <c r="Q229" s="36">
        <f t="shared" ref="Q229:Q230" si="51">SUM(E229:P229)</f>
        <v>24436.5</v>
      </c>
    </row>
    <row r="230" spans="1:20" outlineLevel="1" x14ac:dyDescent="0.35">
      <c r="B230" s="520" t="str">
        <f t="shared" si="50"/>
        <v>4080-401</v>
      </c>
      <c r="C230" s="43"/>
      <c r="D230" s="43" t="str">
        <f>IFERROR(VLOOKUP(B230,'Renew &amp; Vac'!$A$75:$B$89,2,FALSE),IFERROR(VLOOKUP(B230,'Renew &amp; Vac'!$L$75:$M$89,2,FALSE),VLOOKUP(B230,$B$172:$D$196,3,FALSE)))</f>
        <v>Spectrum Control</v>
      </c>
      <c r="E230" s="43">
        <f>SUMIFS('Renew &amp; Vac'!$S$75:$S$89,'Renew &amp; Vac'!$L$75:$L$89,$B230,'Renew &amp; Vac'!$O$75:$O$89,"&lt;="&amp;E$203,'Renew &amp; Vac'!$P$75:$P$89,"&gt;="&amp;E$203)+SUMIFS('Renew &amp; Vac'!$H$75:$H$89,'Renew &amp; Vac'!$A$75:$A$89,$B230,'Renew &amp; Vac'!$D$75:$D$89,"&lt;="&amp;E$203,'Renew &amp; Vac'!$E$75:$E$89,"&gt;="&amp;E$203)</f>
        <v>0</v>
      </c>
      <c r="F230" s="43">
        <f>SUMIFS('Renew &amp; Vac'!$S$75:$S$89,'Renew &amp; Vac'!$L$75:$L$89,$B230,'Renew &amp; Vac'!$O$75:$O$89,"&lt;="&amp;F$203,'Renew &amp; Vac'!$P$75:$P$89,"&gt;="&amp;F$203)+SUMIFS('Renew &amp; Vac'!$H$75:$H$89,'Renew &amp; Vac'!$A$75:$A$89,$B230,'Renew &amp; Vac'!$D$75:$D$89,"&lt;="&amp;F$203,'Renew &amp; Vac'!$E$75:$E$89,"&gt;="&amp;F$203)</f>
        <v>0</v>
      </c>
      <c r="G230" s="43">
        <f>SUMIFS('Renew &amp; Vac'!$S$75:$S$89,'Renew &amp; Vac'!$L$75:$L$89,$B230,'Renew &amp; Vac'!$O$75:$O$89,"&lt;="&amp;G$203,'Renew &amp; Vac'!$P$75:$P$89,"&gt;="&amp;G$203)+SUMIFS('Renew &amp; Vac'!$H$75:$H$89,'Renew &amp; Vac'!$A$75:$A$89,$B230,'Renew &amp; Vac'!$D$75:$D$89,"&lt;="&amp;G$203,'Renew &amp; Vac'!$E$75:$E$89,"&gt;="&amp;G$203)</f>
        <v>0</v>
      </c>
      <c r="H230" s="43">
        <f>SUMIFS('Renew &amp; Vac'!$S$75:$S$89,'Renew &amp; Vac'!$L$75:$L$89,$B230,'Renew &amp; Vac'!$O$75:$O$89,"&lt;="&amp;H$203,'Renew &amp; Vac'!$P$75:$P$89,"&gt;="&amp;H$203)+SUMIFS('Renew &amp; Vac'!$H$75:$H$89,'Renew &amp; Vac'!$A$75:$A$89,$B230,'Renew &amp; Vac'!$D$75:$D$89,"&lt;="&amp;H$203,'Renew &amp; Vac'!$E$75:$E$89,"&gt;="&amp;H$203)</f>
        <v>0</v>
      </c>
      <c r="I230" s="43">
        <f>SUMIFS('Renew &amp; Vac'!$S$75:$S$89,'Renew &amp; Vac'!$L$75:$L$89,$B230,'Renew &amp; Vac'!$O$75:$O$89,"&lt;="&amp;I$203,'Renew &amp; Vac'!$P$75:$P$89,"&gt;="&amp;I$203)+SUMIFS('Renew &amp; Vac'!$H$75:$H$89,'Renew &amp; Vac'!$A$75:$A$89,$B230,'Renew &amp; Vac'!$D$75:$D$89,"&lt;="&amp;I$203,'Renew &amp; Vac'!$E$75:$E$89,"&gt;="&amp;I$203)</f>
        <v>0</v>
      </c>
      <c r="J230" s="43">
        <f>SUMIFS('Renew &amp; Vac'!$S$75:$S$89,'Renew &amp; Vac'!$L$75:$L$89,$B230,'Renew &amp; Vac'!$O$75:$O$89,"&lt;="&amp;J$203,'Renew &amp; Vac'!$P$75:$P$89,"&gt;="&amp;J$203)+SUMIFS('Renew &amp; Vac'!$H$75:$H$89,'Renew &amp; Vac'!$A$75:$A$89,$B230,'Renew &amp; Vac'!$D$75:$D$89,"&lt;="&amp;J$203,'Renew &amp; Vac'!$E$75:$E$89,"&gt;="&amp;J$203)</f>
        <v>0</v>
      </c>
      <c r="K230" s="43">
        <f>SUMIFS('Renew &amp; Vac'!$S$75:$S$89,'Renew &amp; Vac'!$L$75:$L$89,$B230,'Renew &amp; Vac'!$O$75:$O$89,"&lt;="&amp;K$203,'Renew &amp; Vac'!$P$75:$P$89,"&gt;="&amp;K$203)+SUMIFS('Renew &amp; Vac'!$H$75:$H$89,'Renew &amp; Vac'!$A$75:$A$89,$B230,'Renew &amp; Vac'!$D$75:$D$89,"&lt;="&amp;K$203,'Renew &amp; Vac'!$E$75:$E$89,"&gt;="&amp;K$203)</f>
        <v>14574</v>
      </c>
      <c r="L230" s="43">
        <f>SUMIFS('Renew &amp; Vac'!$S$75:$S$89,'Renew &amp; Vac'!$L$75:$L$89,$B230,'Renew &amp; Vac'!$O$75:$O$89,"&lt;="&amp;L$203,'Renew &amp; Vac'!$P$75:$P$89,"&gt;="&amp;L$203)+SUMIFS('Renew &amp; Vac'!$H$75:$H$89,'Renew &amp; Vac'!$A$75:$A$89,$B230,'Renew &amp; Vac'!$D$75:$D$89,"&lt;="&amp;L$203,'Renew &amp; Vac'!$E$75:$E$89,"&gt;="&amp;L$203)</f>
        <v>14574</v>
      </c>
      <c r="M230" s="43">
        <f>SUMIFS('Renew &amp; Vac'!$S$75:$S$89,'Renew &amp; Vac'!$L$75:$L$89,$B230,'Renew &amp; Vac'!$O$75:$O$89,"&lt;="&amp;M$203,'Renew &amp; Vac'!$P$75:$P$89,"&gt;="&amp;M$203)+SUMIFS('Renew &amp; Vac'!$H$75:$H$89,'Renew &amp; Vac'!$A$75:$A$89,$B230,'Renew &amp; Vac'!$D$75:$D$89,"&lt;="&amp;M$203,'Renew &amp; Vac'!$E$75:$E$89,"&gt;="&amp;M$203)</f>
        <v>14574</v>
      </c>
      <c r="N230" s="43">
        <f>SUMIFS('Renew &amp; Vac'!$S$75:$S$89,'Renew &amp; Vac'!$L$75:$L$89,$B230,'Renew &amp; Vac'!$O$75:$O$89,"&lt;="&amp;N$203,'Renew &amp; Vac'!$P$75:$P$89,"&gt;="&amp;N$203)+SUMIFS('Renew &amp; Vac'!$H$75:$H$89,'Renew &amp; Vac'!$A$75:$A$89,$B230,'Renew &amp; Vac'!$D$75:$D$89,"&lt;="&amp;N$203,'Renew &amp; Vac'!$E$75:$E$89,"&gt;="&amp;N$203)</f>
        <v>14574</v>
      </c>
      <c r="O230" s="43">
        <f>SUMIFS('Renew &amp; Vac'!$S$75:$S$89,'Renew &amp; Vac'!$L$75:$L$89,$B230,'Renew &amp; Vac'!$O$75:$O$89,"&lt;="&amp;O$203,'Renew &amp; Vac'!$P$75:$P$89,"&gt;="&amp;O$203)+SUMIFS('Renew &amp; Vac'!$H$75:$H$89,'Renew &amp; Vac'!$A$75:$A$89,$B230,'Renew &amp; Vac'!$D$75:$D$89,"&lt;="&amp;O$203,'Renew &amp; Vac'!$E$75:$E$89,"&gt;="&amp;O$203)</f>
        <v>14574</v>
      </c>
      <c r="P230" s="43">
        <f>SUMIFS('Renew &amp; Vac'!$S$75:$S$89,'Renew &amp; Vac'!$L$75:$L$89,$B230,'Renew &amp; Vac'!$O$75:$O$89,"&lt;="&amp;P$203,'Renew &amp; Vac'!$P$75:$P$89,"&gt;="&amp;P$203)+SUMIFS('Renew &amp; Vac'!$H$75:$H$89,'Renew &amp; Vac'!$A$75:$A$89,$B230,'Renew &amp; Vac'!$D$75:$D$89,"&lt;="&amp;P$203,'Renew &amp; Vac'!$E$75:$E$89,"&gt;="&amp;P$203)</f>
        <v>14574</v>
      </c>
      <c r="Q230" s="87">
        <f t="shared" si="51"/>
        <v>87444</v>
      </c>
    </row>
    <row r="231" spans="1:20" outlineLevel="1" x14ac:dyDescent="0.35">
      <c r="B231" s="10"/>
      <c r="D231" s="44"/>
      <c r="E231" s="36">
        <f>SUM(E204:E230)</f>
        <v>14152.833333333332</v>
      </c>
      <c r="F231" s="36">
        <f t="shared" ref="F231:Q231" si="52">SUM(F204:F230)</f>
        <v>14152.833333333332</v>
      </c>
      <c r="G231" s="36">
        <f t="shared" si="52"/>
        <v>17660.043333333335</v>
      </c>
      <c r="H231" s="36">
        <f t="shared" si="52"/>
        <v>21501.71</v>
      </c>
      <c r="I231" s="36">
        <f t="shared" si="52"/>
        <v>21501.71</v>
      </c>
      <c r="J231" s="36">
        <f t="shared" si="52"/>
        <v>21501.71</v>
      </c>
      <c r="K231" s="36">
        <f t="shared" si="52"/>
        <v>40758.959999999999</v>
      </c>
      <c r="L231" s="36">
        <f t="shared" si="52"/>
        <v>40758.959999999999</v>
      </c>
      <c r="M231" s="36">
        <f t="shared" si="52"/>
        <v>46868.084999999999</v>
      </c>
      <c r="N231" s="36">
        <f t="shared" si="52"/>
        <v>53018.084999999999</v>
      </c>
      <c r="O231" s="36">
        <f t="shared" si="52"/>
        <v>51345.96</v>
      </c>
      <c r="P231" s="36">
        <f t="shared" si="52"/>
        <v>51345.96</v>
      </c>
      <c r="Q231" s="36">
        <f t="shared" si="52"/>
        <v>394566.85000000003</v>
      </c>
    </row>
    <row r="232" spans="1:20" outlineLevel="1" x14ac:dyDescent="0.35">
      <c r="B232" s="10"/>
      <c r="E232" s="95">
        <f t="shared" ref="E232:Q232" si="53">E11-E231</f>
        <v>0</v>
      </c>
      <c r="F232" s="95">
        <f t="shared" si="53"/>
        <v>0</v>
      </c>
      <c r="G232" s="95">
        <f t="shared" si="53"/>
        <v>0</v>
      </c>
      <c r="H232" s="95">
        <f t="shared" si="53"/>
        <v>0</v>
      </c>
      <c r="I232" s="95">
        <f t="shared" si="53"/>
        <v>0</v>
      </c>
      <c r="J232" s="95">
        <f t="shared" si="53"/>
        <v>0</v>
      </c>
      <c r="K232" s="95">
        <f t="shared" si="53"/>
        <v>0</v>
      </c>
      <c r="L232" s="95">
        <f t="shared" si="53"/>
        <v>0</v>
      </c>
      <c r="M232" s="95">
        <f t="shared" si="53"/>
        <v>0</v>
      </c>
      <c r="N232" s="95">
        <f t="shared" si="53"/>
        <v>0</v>
      </c>
      <c r="O232" s="95">
        <f t="shared" si="53"/>
        <v>0</v>
      </c>
      <c r="P232" s="95">
        <f t="shared" si="53"/>
        <v>0</v>
      </c>
      <c r="Q232" s="95">
        <f t="shared" si="53"/>
        <v>0</v>
      </c>
    </row>
    <row r="233" spans="1:20" ht="17.149999999999999" customHeight="1" x14ac:dyDescent="0.35">
      <c r="B233" s="10"/>
    </row>
    <row r="234" spans="1:20" x14ac:dyDescent="0.35">
      <c r="A234" s="80"/>
      <c r="Q234" s="391"/>
      <c r="R234" s="391"/>
      <c r="S234" s="391"/>
      <c r="T234" s="388"/>
    </row>
    <row r="235" spans="1:20" x14ac:dyDescent="0.35">
      <c r="A235" s="80"/>
      <c r="Q235" s="391"/>
      <c r="R235" s="391"/>
      <c r="S235" s="391"/>
      <c r="T235" s="388"/>
    </row>
    <row r="236" spans="1:20" x14ac:dyDescent="0.35">
      <c r="A236" s="80"/>
      <c r="Q236" s="391"/>
      <c r="R236" s="391"/>
      <c r="S236" s="391"/>
      <c r="T236" s="388"/>
    </row>
    <row r="237" spans="1:20" x14ac:dyDescent="0.35">
      <c r="A237" s="80"/>
      <c r="Q237" s="391"/>
      <c r="R237" s="391"/>
      <c r="S237" s="391"/>
      <c r="T237" s="388"/>
    </row>
    <row r="238" spans="1:20" x14ac:dyDescent="0.35">
      <c r="A238" s="80"/>
      <c r="Q238" s="391"/>
      <c r="R238" s="391"/>
      <c r="S238" s="391"/>
      <c r="T238" s="388"/>
    </row>
    <row r="239" spans="1:20" ht="18" x14ac:dyDescent="0.35">
      <c r="A239" s="80"/>
      <c r="D239" s="35" t="str">
        <f>"Budget Import - "&amp;B1</f>
        <v>Budget Import - 4080</v>
      </c>
      <c r="E239" s="532">
        <v>5</v>
      </c>
      <c r="F239" s="533">
        <f>E239+1</f>
        <v>6</v>
      </c>
      <c r="G239" s="533">
        <f t="shared" ref="G239:P239" si="54">F239+1</f>
        <v>7</v>
      </c>
      <c r="H239" s="533">
        <f t="shared" si="54"/>
        <v>8</v>
      </c>
      <c r="I239" s="533">
        <f t="shared" si="54"/>
        <v>9</v>
      </c>
      <c r="J239" s="533">
        <f t="shared" si="54"/>
        <v>10</v>
      </c>
      <c r="K239" s="533">
        <f t="shared" si="54"/>
        <v>11</v>
      </c>
      <c r="L239" s="533">
        <f t="shared" si="54"/>
        <v>12</v>
      </c>
      <c r="M239" s="533">
        <f t="shared" si="54"/>
        <v>13</v>
      </c>
      <c r="N239" s="533">
        <f t="shared" si="54"/>
        <v>14</v>
      </c>
      <c r="O239" s="533">
        <f t="shared" si="54"/>
        <v>15</v>
      </c>
      <c r="P239" s="533">
        <f t="shared" si="54"/>
        <v>16</v>
      </c>
      <c r="Q239" s="533" t="s">
        <v>664</v>
      </c>
      <c r="R239" s="391"/>
      <c r="S239" s="391"/>
      <c r="T239" s="388"/>
    </row>
    <row r="240" spans="1:20" ht="16.5" thickBot="1" x14ac:dyDescent="0.4">
      <c r="A240" s="80"/>
      <c r="D240" s="34" t="s">
        <v>100</v>
      </c>
      <c r="E240" s="34">
        <v>1</v>
      </c>
      <c r="F240" s="34">
        <v>2</v>
      </c>
      <c r="G240" s="34">
        <v>3</v>
      </c>
      <c r="H240" s="34">
        <v>4</v>
      </c>
      <c r="I240" s="34">
        <v>5</v>
      </c>
      <c r="J240" s="34">
        <v>6</v>
      </c>
      <c r="K240" s="34">
        <v>7</v>
      </c>
      <c r="L240" s="34">
        <v>8</v>
      </c>
      <c r="M240" s="34">
        <v>9</v>
      </c>
      <c r="N240" s="34">
        <v>10</v>
      </c>
      <c r="O240" s="34">
        <v>11</v>
      </c>
      <c r="P240" s="34">
        <v>12</v>
      </c>
      <c r="Q240" s="456" t="s">
        <v>12</v>
      </c>
      <c r="R240" s="391"/>
      <c r="S240" s="391"/>
      <c r="T240" s="388"/>
    </row>
    <row r="241" spans="1:20" x14ac:dyDescent="0.35">
      <c r="A241" s="534" t="str">
        <f>VLOOKUP($D241,$A$10:$D$130,3,FALSE)</f>
        <v>Rental Income - In Place</v>
      </c>
      <c r="D241" s="101" t="s">
        <v>136</v>
      </c>
      <c r="E241" s="102">
        <f>-(VLOOKUP($D241,$A$10:$P$131,E$239,FALSE)+E11)</f>
        <v>-114485.65333333334</v>
      </c>
      <c r="F241" s="102">
        <f t="shared" ref="F241:P241" si="55">-(VLOOKUP($D241,$A$10:$P$131,F$239,FALSE)+F11)</f>
        <v>-114485.65333333334</v>
      </c>
      <c r="G241" s="102">
        <f t="shared" si="55"/>
        <v>-118257.91333333333</v>
      </c>
      <c r="H241" s="102">
        <f t="shared" si="55"/>
        <v>-117734.2</v>
      </c>
      <c r="I241" s="102">
        <f t="shared" si="55"/>
        <v>-117734.2</v>
      </c>
      <c r="J241" s="102">
        <f t="shared" si="55"/>
        <v>-117734.2</v>
      </c>
      <c r="K241" s="102">
        <f t="shared" si="55"/>
        <v>-108093.69999999998</v>
      </c>
      <c r="L241" s="102">
        <f t="shared" si="55"/>
        <v>-108373.87</v>
      </c>
      <c r="M241" s="102">
        <f t="shared" si="55"/>
        <v>-108558.995</v>
      </c>
      <c r="N241" s="102">
        <f t="shared" si="55"/>
        <v>-107983.995</v>
      </c>
      <c r="O241" s="102">
        <f t="shared" si="55"/>
        <v>-106311.87</v>
      </c>
      <c r="P241" s="103">
        <f t="shared" si="55"/>
        <v>-106311.87</v>
      </c>
      <c r="Q241" s="456">
        <f t="shared" ref="Q241:Q275" si="56">SUM(E241:P241)</f>
        <v>-1346066.12</v>
      </c>
      <c r="R241" s="456"/>
      <c r="S241" s="391"/>
      <c r="T241" s="388"/>
    </row>
    <row r="242" spans="1:20" x14ac:dyDescent="0.35">
      <c r="A242" s="534" t="str">
        <f t="shared" ref="A242:A265" si="57">VLOOKUP($D242,$A$10:$D$130,3,FALSE)</f>
        <v>Miscellaneous</v>
      </c>
      <c r="D242" s="104" t="s">
        <v>137</v>
      </c>
      <c r="E242" s="105">
        <f t="shared" ref="E242:P245" si="58">-VLOOKUP($D242,$A$10:$P$131,E$239,FALSE)</f>
        <v>-200</v>
      </c>
      <c r="F242" s="105">
        <f t="shared" si="58"/>
        <v>-200</v>
      </c>
      <c r="G242" s="105">
        <f t="shared" si="58"/>
        <v>-5200</v>
      </c>
      <c r="H242" s="105">
        <f t="shared" si="58"/>
        <v>-200</v>
      </c>
      <c r="I242" s="105">
        <f t="shared" si="58"/>
        <v>-200</v>
      </c>
      <c r="J242" s="105">
        <f t="shared" si="58"/>
        <v>-5200</v>
      </c>
      <c r="K242" s="105">
        <f t="shared" si="58"/>
        <v>-200</v>
      </c>
      <c r="L242" s="105">
        <f t="shared" si="58"/>
        <v>-200</v>
      </c>
      <c r="M242" s="105">
        <f t="shared" si="58"/>
        <v>-5200</v>
      </c>
      <c r="N242" s="105">
        <f t="shared" si="58"/>
        <v>-200</v>
      </c>
      <c r="O242" s="105">
        <f t="shared" si="58"/>
        <v>-200</v>
      </c>
      <c r="P242" s="106">
        <f t="shared" si="58"/>
        <v>-5200</v>
      </c>
      <c r="Q242" s="456">
        <f t="shared" ref="Q242" si="59">SUM(E242:P242)</f>
        <v>-22400</v>
      </c>
      <c r="R242" s="456"/>
      <c r="S242" s="391"/>
      <c r="T242" s="388"/>
    </row>
    <row r="243" spans="1:20" x14ac:dyDescent="0.35">
      <c r="A243" s="534" t="str">
        <f t="shared" si="57"/>
        <v>Electric</v>
      </c>
      <c r="D243" s="104" t="s">
        <v>102</v>
      </c>
      <c r="E243" s="105">
        <f t="shared" si="58"/>
        <v>-20254.502099999998</v>
      </c>
      <c r="F243" s="105">
        <f t="shared" si="58"/>
        <v>-18335.445199999998</v>
      </c>
      <c r="G243" s="105">
        <f t="shared" si="58"/>
        <v>-17856.945299999999</v>
      </c>
      <c r="H243" s="105">
        <f t="shared" si="58"/>
        <v>-18407.203000000001</v>
      </c>
      <c r="I243" s="105">
        <f t="shared" si="58"/>
        <v>-20648.601999999999</v>
      </c>
      <c r="J243" s="105">
        <f t="shared" si="58"/>
        <v>-22142.867999999999</v>
      </c>
      <c r="K243" s="105">
        <f t="shared" si="58"/>
        <v>-24715.070499999998</v>
      </c>
      <c r="L243" s="105">
        <f t="shared" si="58"/>
        <v>-24554.054</v>
      </c>
      <c r="M243" s="105">
        <f t="shared" si="58"/>
        <v>-23088.867999999999</v>
      </c>
      <c r="N243" s="105">
        <f t="shared" si="58"/>
        <v>-22251.069</v>
      </c>
      <c r="O243" s="105">
        <f t="shared" si="58"/>
        <v>-18989.965399999997</v>
      </c>
      <c r="P243" s="106">
        <f t="shared" si="58"/>
        <v>-22842.937599999997</v>
      </c>
      <c r="Q243" s="456">
        <f t="shared" si="56"/>
        <v>-254087.53009999997</v>
      </c>
      <c r="R243" s="456"/>
      <c r="S243" s="391"/>
      <c r="T243" s="388"/>
    </row>
    <row r="244" spans="1:20" x14ac:dyDescent="0.35">
      <c r="A244" s="534" t="str">
        <f t="shared" si="57"/>
        <v>Common Area Maintenance</v>
      </c>
      <c r="D244" s="104" t="s">
        <v>103</v>
      </c>
      <c r="E244" s="105">
        <f t="shared" si="58"/>
        <v>-16300</v>
      </c>
      <c r="F244" s="105">
        <f t="shared" si="58"/>
        <v>-16300</v>
      </c>
      <c r="G244" s="105">
        <f t="shared" si="58"/>
        <v>-16300</v>
      </c>
      <c r="H244" s="105">
        <f t="shared" si="58"/>
        <v>-16300</v>
      </c>
      <c r="I244" s="105">
        <f t="shared" si="58"/>
        <v>-16300</v>
      </c>
      <c r="J244" s="105">
        <f t="shared" si="58"/>
        <v>-16300</v>
      </c>
      <c r="K244" s="105">
        <f t="shared" si="58"/>
        <v>-16300</v>
      </c>
      <c r="L244" s="105">
        <f t="shared" si="58"/>
        <v>-16300</v>
      </c>
      <c r="M244" s="105">
        <f t="shared" si="58"/>
        <v>-16300</v>
      </c>
      <c r="N244" s="105">
        <f t="shared" si="58"/>
        <v>-16300</v>
      </c>
      <c r="O244" s="105">
        <f t="shared" si="58"/>
        <v>-16300</v>
      </c>
      <c r="P244" s="106">
        <f t="shared" si="58"/>
        <v>-16300</v>
      </c>
      <c r="Q244" s="456">
        <f t="shared" si="56"/>
        <v>-195600</v>
      </c>
      <c r="R244" s="456"/>
      <c r="S244" s="391"/>
      <c r="T244" s="388"/>
    </row>
    <row r="245" spans="1:20" x14ac:dyDescent="0.35">
      <c r="A245" s="534" t="str">
        <f t="shared" si="57"/>
        <v>Real Estate Taxes</v>
      </c>
      <c r="D245" s="104" t="s">
        <v>104</v>
      </c>
      <c r="E245" s="105">
        <f t="shared" si="58"/>
        <v>-2300</v>
      </c>
      <c r="F245" s="105">
        <f t="shared" si="58"/>
        <v>-2300</v>
      </c>
      <c r="G245" s="105">
        <f t="shared" si="58"/>
        <v>-2300</v>
      </c>
      <c r="H245" s="105">
        <f t="shared" si="58"/>
        <v>-2300</v>
      </c>
      <c r="I245" s="105">
        <f t="shared" si="58"/>
        <v>-2300</v>
      </c>
      <c r="J245" s="105">
        <f t="shared" si="58"/>
        <v>-2300</v>
      </c>
      <c r="K245" s="105">
        <f t="shared" si="58"/>
        <v>-2300</v>
      </c>
      <c r="L245" s="105">
        <f t="shared" si="58"/>
        <v>-2300</v>
      </c>
      <c r="M245" s="105">
        <f t="shared" si="58"/>
        <v>-2300</v>
      </c>
      <c r="N245" s="105">
        <f t="shared" si="58"/>
        <v>-2300</v>
      </c>
      <c r="O245" s="105">
        <f t="shared" si="58"/>
        <v>-2300</v>
      </c>
      <c r="P245" s="106">
        <f t="shared" si="58"/>
        <v>-2300</v>
      </c>
      <c r="Q245" s="456">
        <f t="shared" si="56"/>
        <v>-27600</v>
      </c>
      <c r="R245" s="456"/>
      <c r="S245" s="391"/>
      <c r="T245" s="388"/>
    </row>
    <row r="246" spans="1:20" x14ac:dyDescent="0.35">
      <c r="A246" s="534" t="str">
        <f t="shared" si="57"/>
        <v>Insurance</v>
      </c>
      <c r="D246" s="104" t="s">
        <v>139</v>
      </c>
      <c r="E246" s="105">
        <f>-VLOOKUP($D246,$A$10:$P$131,E$239,FALSE)</f>
        <v>0</v>
      </c>
      <c r="F246" s="105">
        <f t="shared" ref="F246:P246" si="60">-VLOOKUP($D246,$A$10:$P$131,F$239,FALSE)</f>
        <v>0</v>
      </c>
      <c r="G246" s="105">
        <f t="shared" si="60"/>
        <v>0</v>
      </c>
      <c r="H246" s="105">
        <f t="shared" si="60"/>
        <v>0</v>
      </c>
      <c r="I246" s="105">
        <f t="shared" si="60"/>
        <v>0</v>
      </c>
      <c r="J246" s="105">
        <f t="shared" si="60"/>
        <v>0</v>
      </c>
      <c r="K246" s="105">
        <f t="shared" si="60"/>
        <v>0</v>
      </c>
      <c r="L246" s="105">
        <f t="shared" si="60"/>
        <v>0</v>
      </c>
      <c r="M246" s="105">
        <f t="shared" si="60"/>
        <v>0</v>
      </c>
      <c r="N246" s="105">
        <f t="shared" si="60"/>
        <v>0</v>
      </c>
      <c r="O246" s="105">
        <f t="shared" si="60"/>
        <v>0</v>
      </c>
      <c r="P246" s="106">
        <f t="shared" si="60"/>
        <v>0</v>
      </c>
      <c r="Q246" s="456">
        <f t="shared" si="56"/>
        <v>0</v>
      </c>
      <c r="R246" s="456"/>
      <c r="S246" s="391"/>
      <c r="T246" s="388"/>
    </row>
    <row r="247" spans="1:20" x14ac:dyDescent="0.35">
      <c r="A247" s="534" t="str">
        <f t="shared" si="57"/>
        <v>Maintenance Salaries</v>
      </c>
      <c r="D247" s="104" t="s">
        <v>105</v>
      </c>
      <c r="E247" s="105">
        <f>VLOOKUP($D247,$A$10:$P$131,E$239,FALSE)</f>
        <v>2615.6151215030895</v>
      </c>
      <c r="F247" s="105">
        <f t="shared" ref="F247:P262" si="61">VLOOKUP($D247,$A$10:$P$131,F$239,FALSE)</f>
        <v>2615.6151215030895</v>
      </c>
      <c r="G247" s="105">
        <f t="shared" si="61"/>
        <v>2615.6151215030895</v>
      </c>
      <c r="H247" s="105">
        <f t="shared" si="61"/>
        <v>2615.6151215030895</v>
      </c>
      <c r="I247" s="105">
        <f t="shared" si="61"/>
        <v>2615.6151215030895</v>
      </c>
      <c r="J247" s="105">
        <f t="shared" si="61"/>
        <v>2615.6151215030895</v>
      </c>
      <c r="K247" s="105">
        <f t="shared" si="61"/>
        <v>2615.6151215030895</v>
      </c>
      <c r="L247" s="105">
        <f t="shared" si="61"/>
        <v>2615.6151215030895</v>
      </c>
      <c r="M247" s="105">
        <f t="shared" si="61"/>
        <v>2615.6151215030895</v>
      </c>
      <c r="N247" s="105">
        <f t="shared" si="61"/>
        <v>2615.6151215030895</v>
      </c>
      <c r="O247" s="105">
        <f t="shared" si="61"/>
        <v>2615.6151215030895</v>
      </c>
      <c r="P247" s="106">
        <f t="shared" si="61"/>
        <v>2615.6151215030895</v>
      </c>
      <c r="Q247" s="456">
        <f t="shared" si="56"/>
        <v>31387.381458037082</v>
      </c>
      <c r="R247" s="456"/>
      <c r="S247" s="391"/>
      <c r="T247" s="388"/>
    </row>
    <row r="248" spans="1:20" x14ac:dyDescent="0.35">
      <c r="A248" s="534" t="str">
        <f t="shared" si="57"/>
        <v>Electric</v>
      </c>
      <c r="D248" s="104" t="s">
        <v>106</v>
      </c>
      <c r="E248" s="105">
        <f t="shared" ref="E248:P275" si="62">VLOOKUP($D248,$A$10:$P$131,E$239,FALSE)</f>
        <v>34629</v>
      </c>
      <c r="F248" s="105">
        <f t="shared" si="61"/>
        <v>31348</v>
      </c>
      <c r="G248" s="105">
        <f t="shared" si="61"/>
        <v>29717</v>
      </c>
      <c r="H248" s="105">
        <f t="shared" si="61"/>
        <v>29737</v>
      </c>
      <c r="I248" s="105">
        <f t="shared" si="61"/>
        <v>33358</v>
      </c>
      <c r="J248" s="105">
        <f t="shared" si="61"/>
        <v>35772</v>
      </c>
      <c r="K248" s="105">
        <f t="shared" si="61"/>
        <v>38527</v>
      </c>
      <c r="L248" s="105">
        <f t="shared" si="61"/>
        <v>38276</v>
      </c>
      <c r="M248" s="105">
        <f t="shared" si="61"/>
        <v>35992</v>
      </c>
      <c r="N248" s="105">
        <f t="shared" si="61"/>
        <v>34686</v>
      </c>
      <c r="O248" s="105">
        <f t="shared" si="61"/>
        <v>29981</v>
      </c>
      <c r="P248" s="106">
        <f t="shared" si="61"/>
        <v>36064</v>
      </c>
      <c r="Q248" s="456">
        <f t="shared" si="56"/>
        <v>408087</v>
      </c>
      <c r="R248" s="456"/>
      <c r="S248" s="391"/>
      <c r="T248" s="388"/>
    </row>
    <row r="249" spans="1:20" x14ac:dyDescent="0.35">
      <c r="A249" s="534" t="str">
        <f t="shared" si="57"/>
        <v>Water &amp; Sewer</v>
      </c>
      <c r="D249" s="104" t="s">
        <v>107</v>
      </c>
      <c r="E249" s="105">
        <f t="shared" si="62"/>
        <v>1369.8999999999999</v>
      </c>
      <c r="F249" s="105">
        <f t="shared" si="61"/>
        <v>1398.74</v>
      </c>
      <c r="G249" s="105">
        <f t="shared" si="61"/>
        <v>1527.49</v>
      </c>
      <c r="H249" s="105">
        <f t="shared" si="61"/>
        <v>1465.69</v>
      </c>
      <c r="I249" s="105">
        <f t="shared" si="61"/>
        <v>2235.1000000000004</v>
      </c>
      <c r="J249" s="105">
        <f t="shared" si="61"/>
        <v>3033.3500000000004</v>
      </c>
      <c r="K249" s="105">
        <f t="shared" si="61"/>
        <v>3197.12</v>
      </c>
      <c r="L249" s="105">
        <f t="shared" si="61"/>
        <v>2433.8900000000003</v>
      </c>
      <c r="M249" s="105">
        <f t="shared" si="61"/>
        <v>4120</v>
      </c>
      <c r="N249" s="105">
        <f t="shared" si="61"/>
        <v>3198.15</v>
      </c>
      <c r="O249" s="105">
        <f t="shared" si="61"/>
        <v>2494.66</v>
      </c>
      <c r="P249" s="106">
        <f t="shared" si="61"/>
        <v>1435.82</v>
      </c>
      <c r="Q249" s="456">
        <f t="shared" si="56"/>
        <v>27909.91</v>
      </c>
      <c r="R249" s="456"/>
      <c r="S249" s="391"/>
      <c r="T249" s="388"/>
    </row>
    <row r="250" spans="1:20" x14ac:dyDescent="0.35">
      <c r="A250" s="534" t="str">
        <f t="shared" si="57"/>
        <v>Building Maintenance</v>
      </c>
      <c r="D250" s="104" t="s">
        <v>108</v>
      </c>
      <c r="E250" s="105">
        <f t="shared" si="62"/>
        <v>10404</v>
      </c>
      <c r="F250" s="105">
        <f t="shared" si="61"/>
        <v>16492</v>
      </c>
      <c r="G250" s="105">
        <f t="shared" si="61"/>
        <v>16332</v>
      </c>
      <c r="H250" s="105">
        <f t="shared" si="61"/>
        <v>38251</v>
      </c>
      <c r="I250" s="105">
        <f t="shared" si="61"/>
        <v>9810</v>
      </c>
      <c r="J250" s="105">
        <f t="shared" si="61"/>
        <v>31832</v>
      </c>
      <c r="K250" s="105">
        <f t="shared" si="61"/>
        <v>12869</v>
      </c>
      <c r="L250" s="105">
        <f t="shared" si="61"/>
        <v>6192</v>
      </c>
      <c r="M250" s="105">
        <f t="shared" si="61"/>
        <v>16332</v>
      </c>
      <c r="N250" s="105">
        <f t="shared" si="61"/>
        <v>14046</v>
      </c>
      <c r="O250" s="105">
        <f t="shared" si="61"/>
        <v>17117</v>
      </c>
      <c r="P250" s="106">
        <f t="shared" si="61"/>
        <v>16057</v>
      </c>
      <c r="Q250" s="456">
        <f t="shared" si="56"/>
        <v>205734</v>
      </c>
      <c r="R250" s="456"/>
      <c r="S250" s="391"/>
      <c r="T250" s="388"/>
    </row>
    <row r="251" spans="1:20" x14ac:dyDescent="0.35">
      <c r="A251" s="534" t="str">
        <f t="shared" si="57"/>
        <v>Parking Lot Maintenance</v>
      </c>
      <c r="D251" s="104" t="s">
        <v>140</v>
      </c>
      <c r="E251" s="105">
        <f t="shared" si="62"/>
        <v>978.5</v>
      </c>
      <c r="F251" s="105">
        <f t="shared" si="61"/>
        <v>978.5</v>
      </c>
      <c r="G251" s="105">
        <f t="shared" si="61"/>
        <v>2111.5</v>
      </c>
      <c r="H251" s="105">
        <f t="shared" si="61"/>
        <v>978.5</v>
      </c>
      <c r="I251" s="105">
        <f t="shared" si="61"/>
        <v>20978.5</v>
      </c>
      <c r="J251" s="105">
        <f t="shared" si="61"/>
        <v>2111.5</v>
      </c>
      <c r="K251" s="105">
        <f t="shared" si="61"/>
        <v>978.5</v>
      </c>
      <c r="L251" s="105">
        <f t="shared" si="61"/>
        <v>978.5</v>
      </c>
      <c r="M251" s="105">
        <f t="shared" si="61"/>
        <v>2111.5</v>
      </c>
      <c r="N251" s="105">
        <f t="shared" si="61"/>
        <v>20978.5</v>
      </c>
      <c r="O251" s="105">
        <f t="shared" si="61"/>
        <v>978.5</v>
      </c>
      <c r="P251" s="106">
        <f t="shared" si="61"/>
        <v>2111.5</v>
      </c>
      <c r="Q251" s="456">
        <f t="shared" si="56"/>
        <v>56274</v>
      </c>
      <c r="R251" s="456"/>
      <c r="S251" s="391"/>
      <c r="T251" s="388"/>
    </row>
    <row r="252" spans="1:20" x14ac:dyDescent="0.35">
      <c r="A252" s="534" t="str">
        <f t="shared" si="57"/>
        <v>Snow Removal</v>
      </c>
      <c r="D252" s="104" t="s">
        <v>110</v>
      </c>
      <c r="E252" s="105">
        <f t="shared" si="62"/>
        <v>8240</v>
      </c>
      <c r="F252" s="105">
        <f t="shared" si="61"/>
        <v>8240</v>
      </c>
      <c r="G252" s="105">
        <f t="shared" si="61"/>
        <v>8240</v>
      </c>
      <c r="H252" s="105">
        <f t="shared" si="61"/>
        <v>0</v>
      </c>
      <c r="I252" s="105">
        <f t="shared" si="61"/>
        <v>0</v>
      </c>
      <c r="J252" s="105">
        <f t="shared" si="61"/>
        <v>0</v>
      </c>
      <c r="K252" s="105">
        <f t="shared" si="61"/>
        <v>0</v>
      </c>
      <c r="L252" s="105">
        <f t="shared" si="61"/>
        <v>0</v>
      </c>
      <c r="M252" s="105">
        <f t="shared" si="61"/>
        <v>0</v>
      </c>
      <c r="N252" s="105">
        <f t="shared" si="61"/>
        <v>0</v>
      </c>
      <c r="O252" s="105">
        <f t="shared" si="61"/>
        <v>1030</v>
      </c>
      <c r="P252" s="106">
        <f t="shared" si="61"/>
        <v>8240</v>
      </c>
      <c r="Q252" s="456">
        <f t="shared" si="56"/>
        <v>33990</v>
      </c>
      <c r="R252" s="456"/>
      <c r="S252" s="391"/>
      <c r="T252" s="388"/>
    </row>
    <row r="253" spans="1:20" x14ac:dyDescent="0.35">
      <c r="A253" s="534" t="str">
        <f t="shared" si="57"/>
        <v>Landscaping</v>
      </c>
      <c r="D253" s="104" t="s">
        <v>111</v>
      </c>
      <c r="E253" s="105">
        <f t="shared" si="62"/>
        <v>1340.749782917836</v>
      </c>
      <c r="F253" s="105">
        <f t="shared" si="61"/>
        <v>1340.749782917836</v>
      </c>
      <c r="G253" s="105">
        <f t="shared" si="61"/>
        <v>6570.121674473392</v>
      </c>
      <c r="H253" s="105">
        <f t="shared" si="61"/>
        <v>6570.121674473392</v>
      </c>
      <c r="I253" s="105">
        <f t="shared" si="61"/>
        <v>8424.121674473392</v>
      </c>
      <c r="J253" s="105">
        <f t="shared" si="61"/>
        <v>6570.121674473392</v>
      </c>
      <c r="K253" s="105">
        <f t="shared" si="61"/>
        <v>6570.121674473392</v>
      </c>
      <c r="L253" s="105">
        <f t="shared" si="61"/>
        <v>6570.121674473392</v>
      </c>
      <c r="M253" s="105">
        <f t="shared" si="61"/>
        <v>6570.121674473392</v>
      </c>
      <c r="N253" s="105">
        <f t="shared" si="61"/>
        <v>8424.121674473392</v>
      </c>
      <c r="O253" s="105">
        <f t="shared" si="61"/>
        <v>5797.621674473392</v>
      </c>
      <c r="P253" s="106">
        <f t="shared" si="61"/>
        <v>1340.749782917836</v>
      </c>
      <c r="Q253" s="456">
        <f t="shared" si="56"/>
        <v>66088.844419014029</v>
      </c>
      <c r="R253" s="456"/>
      <c r="S253" s="391"/>
      <c r="T253" s="388"/>
    </row>
    <row r="254" spans="1:20" x14ac:dyDescent="0.35">
      <c r="A254" s="534" t="str">
        <f t="shared" si="57"/>
        <v>Security</v>
      </c>
      <c r="D254" s="104" t="s">
        <v>112</v>
      </c>
      <c r="E254" s="105">
        <f t="shared" si="62"/>
        <v>675.84</v>
      </c>
      <c r="F254" s="105">
        <f t="shared" si="61"/>
        <v>675.84</v>
      </c>
      <c r="G254" s="105">
        <f t="shared" si="61"/>
        <v>675.84</v>
      </c>
      <c r="H254" s="105">
        <f t="shared" si="61"/>
        <v>675.84</v>
      </c>
      <c r="I254" s="105">
        <f t="shared" si="61"/>
        <v>675.84</v>
      </c>
      <c r="J254" s="105">
        <f t="shared" si="61"/>
        <v>675.84</v>
      </c>
      <c r="K254" s="105">
        <f t="shared" si="61"/>
        <v>675.84</v>
      </c>
      <c r="L254" s="105">
        <f t="shared" si="61"/>
        <v>675.84</v>
      </c>
      <c r="M254" s="105">
        <f t="shared" si="61"/>
        <v>675.84</v>
      </c>
      <c r="N254" s="105">
        <f t="shared" si="61"/>
        <v>675.84</v>
      </c>
      <c r="O254" s="105">
        <f t="shared" si="61"/>
        <v>675.84</v>
      </c>
      <c r="P254" s="106">
        <f t="shared" si="61"/>
        <v>675.84</v>
      </c>
      <c r="Q254" s="456">
        <f t="shared" si="56"/>
        <v>8110.0800000000008</v>
      </c>
      <c r="R254" s="456"/>
      <c r="S254" s="391"/>
      <c r="T254" s="388"/>
    </row>
    <row r="255" spans="1:20" x14ac:dyDescent="0.35">
      <c r="A255" s="534" t="str">
        <f t="shared" si="57"/>
        <v>Management Fee</v>
      </c>
      <c r="D255" s="104" t="s">
        <v>113</v>
      </c>
      <c r="E255" s="105">
        <f t="shared" si="62"/>
        <v>6142</v>
      </c>
      <c r="F255" s="105">
        <f t="shared" si="61"/>
        <v>6065</v>
      </c>
      <c r="G255" s="105">
        <f t="shared" si="61"/>
        <v>6397</v>
      </c>
      <c r="H255" s="105">
        <f t="shared" si="61"/>
        <v>6198</v>
      </c>
      <c r="I255" s="105">
        <f t="shared" si="61"/>
        <v>6287</v>
      </c>
      <c r="J255" s="105">
        <f t="shared" si="61"/>
        <v>6547</v>
      </c>
      <c r="K255" s="105">
        <f t="shared" si="61"/>
        <v>6064</v>
      </c>
      <c r="L255" s="105">
        <f t="shared" si="61"/>
        <v>6069</v>
      </c>
      <c r="M255" s="105">
        <f t="shared" si="61"/>
        <v>6218</v>
      </c>
      <c r="N255" s="105">
        <f t="shared" si="61"/>
        <v>5961</v>
      </c>
      <c r="O255" s="105">
        <f t="shared" si="61"/>
        <v>5764</v>
      </c>
      <c r="P255" s="106">
        <f t="shared" si="61"/>
        <v>6118</v>
      </c>
      <c r="Q255" s="456">
        <f t="shared" si="56"/>
        <v>73830</v>
      </c>
      <c r="R255" s="456"/>
      <c r="S255" s="391"/>
      <c r="T255" s="388"/>
    </row>
    <row r="256" spans="1:20" x14ac:dyDescent="0.35">
      <c r="A256" s="534" t="str">
        <f t="shared" si="57"/>
        <v>Trash Removal</v>
      </c>
      <c r="D256" s="104" t="s">
        <v>114</v>
      </c>
      <c r="E256" s="105">
        <f t="shared" si="62"/>
        <v>1725.25</v>
      </c>
      <c r="F256" s="105">
        <f t="shared" si="61"/>
        <v>1725.25</v>
      </c>
      <c r="G256" s="105">
        <f t="shared" si="61"/>
        <v>1725.25</v>
      </c>
      <c r="H256" s="105">
        <f t="shared" si="61"/>
        <v>1725.25</v>
      </c>
      <c r="I256" s="105">
        <f t="shared" si="61"/>
        <v>1725.25</v>
      </c>
      <c r="J256" s="105">
        <f t="shared" si="61"/>
        <v>2475.25</v>
      </c>
      <c r="K256" s="105">
        <f t="shared" si="61"/>
        <v>1725.25</v>
      </c>
      <c r="L256" s="105">
        <f t="shared" si="61"/>
        <v>1725.25</v>
      </c>
      <c r="M256" s="105">
        <f t="shared" si="61"/>
        <v>1725.25</v>
      </c>
      <c r="N256" s="105">
        <f t="shared" si="61"/>
        <v>1725.25</v>
      </c>
      <c r="O256" s="105">
        <f t="shared" si="61"/>
        <v>1725.25</v>
      </c>
      <c r="P256" s="106">
        <f t="shared" si="61"/>
        <v>2475.25</v>
      </c>
      <c r="Q256" s="456">
        <f t="shared" si="56"/>
        <v>22203</v>
      </c>
      <c r="R256" s="456"/>
      <c r="S256" s="391"/>
      <c r="T256" s="388"/>
    </row>
    <row r="257" spans="1:20" x14ac:dyDescent="0.35">
      <c r="A257" s="534" t="str">
        <f t="shared" si="57"/>
        <v>Real Estate Taxes</v>
      </c>
      <c r="D257" s="104" t="s">
        <v>115</v>
      </c>
      <c r="E257" s="105">
        <f t="shared" si="62"/>
        <v>13138.1171208</v>
      </c>
      <c r="F257" s="105">
        <f t="shared" si="61"/>
        <v>13138.1171208</v>
      </c>
      <c r="G257" s="105">
        <f t="shared" si="61"/>
        <v>13138.1171208</v>
      </c>
      <c r="H257" s="105">
        <f t="shared" si="61"/>
        <v>13138.1171208</v>
      </c>
      <c r="I257" s="105">
        <f t="shared" si="61"/>
        <v>13138.1171208</v>
      </c>
      <c r="J257" s="105">
        <f t="shared" si="61"/>
        <v>13138.1171208</v>
      </c>
      <c r="K257" s="105">
        <f t="shared" si="61"/>
        <v>13138.1171208</v>
      </c>
      <c r="L257" s="105">
        <f t="shared" si="61"/>
        <v>13138.1171208</v>
      </c>
      <c r="M257" s="105">
        <f t="shared" si="61"/>
        <v>13138.1171208</v>
      </c>
      <c r="N257" s="105">
        <f t="shared" si="61"/>
        <v>13138.1171208</v>
      </c>
      <c r="O257" s="105">
        <f t="shared" si="61"/>
        <v>13138.1171208</v>
      </c>
      <c r="P257" s="106">
        <f t="shared" si="61"/>
        <v>13138.1171208</v>
      </c>
      <c r="Q257" s="456">
        <f t="shared" si="56"/>
        <v>157657.40544959996</v>
      </c>
      <c r="R257" s="456"/>
      <c r="S257" s="391"/>
      <c r="T257" s="388"/>
    </row>
    <row r="258" spans="1:20" x14ac:dyDescent="0.35">
      <c r="A258" s="534" t="str">
        <f t="shared" si="57"/>
        <v>Insurance</v>
      </c>
      <c r="D258" s="104" t="s">
        <v>116</v>
      </c>
      <c r="E258" s="105">
        <f t="shared" si="62"/>
        <v>5907</v>
      </c>
      <c r="F258" s="105">
        <f t="shared" si="61"/>
        <v>5907</v>
      </c>
      <c r="G258" s="105">
        <f t="shared" si="61"/>
        <v>5907</v>
      </c>
      <c r="H258" s="105">
        <f t="shared" si="61"/>
        <v>5907</v>
      </c>
      <c r="I258" s="105">
        <f t="shared" si="61"/>
        <v>5907</v>
      </c>
      <c r="J258" s="105">
        <f t="shared" si="61"/>
        <v>5907</v>
      </c>
      <c r="K258" s="105">
        <f t="shared" si="61"/>
        <v>5907</v>
      </c>
      <c r="L258" s="105">
        <f t="shared" si="61"/>
        <v>5907</v>
      </c>
      <c r="M258" s="105">
        <f t="shared" si="61"/>
        <v>5907</v>
      </c>
      <c r="N258" s="105">
        <f t="shared" si="61"/>
        <v>5907</v>
      </c>
      <c r="O258" s="105">
        <f t="shared" si="61"/>
        <v>6025.1399999999994</v>
      </c>
      <c r="P258" s="106">
        <f t="shared" si="61"/>
        <v>6025.1399999999994</v>
      </c>
      <c r="Q258" s="456">
        <f t="shared" si="56"/>
        <v>71120.28</v>
      </c>
      <c r="R258" s="456"/>
      <c r="S258" s="391"/>
      <c r="T258" s="388"/>
    </row>
    <row r="259" spans="1:20" x14ac:dyDescent="0.35">
      <c r="A259" s="534" t="str">
        <f t="shared" si="57"/>
        <v>Cleaning &amp; Supplies</v>
      </c>
      <c r="D259" s="104" t="s">
        <v>117</v>
      </c>
      <c r="E259" s="105">
        <f t="shared" si="62"/>
        <v>12126.358136345534</v>
      </c>
      <c r="F259" s="105">
        <f t="shared" si="61"/>
        <v>12126.358136345534</v>
      </c>
      <c r="G259" s="105">
        <f t="shared" si="61"/>
        <v>12393.306805913537</v>
      </c>
      <c r="H259" s="105">
        <f t="shared" si="61"/>
        <v>12695.292488362336</v>
      </c>
      <c r="I259" s="105">
        <f t="shared" si="61"/>
        <v>12695.292488362336</v>
      </c>
      <c r="J259" s="105">
        <f t="shared" si="61"/>
        <v>12695.292488362336</v>
      </c>
      <c r="K259" s="105">
        <f t="shared" si="61"/>
        <v>13070.689054942337</v>
      </c>
      <c r="L259" s="105">
        <f t="shared" si="61"/>
        <v>13070.689054942337</v>
      </c>
      <c r="M259" s="105">
        <f t="shared" si="61"/>
        <v>13070.689054942337</v>
      </c>
      <c r="N259" s="105">
        <f t="shared" si="61"/>
        <v>13070.689054942337</v>
      </c>
      <c r="O259" s="105">
        <f t="shared" si="61"/>
        <v>12935.546290973536</v>
      </c>
      <c r="P259" s="106">
        <f t="shared" si="61"/>
        <v>12935.546290973536</v>
      </c>
      <c r="Q259" s="456">
        <f t="shared" si="56"/>
        <v>152885.74934540805</v>
      </c>
      <c r="R259" s="456"/>
      <c r="S259" s="391"/>
      <c r="T259" s="388"/>
    </row>
    <row r="260" spans="1:20" x14ac:dyDescent="0.35">
      <c r="A260" s="534" t="str">
        <f>VLOOKUP($D260,$A$10:$D$130,4,FALSE)</f>
        <v>Salaries &amp; Wages</v>
      </c>
      <c r="D260" s="104" t="s">
        <v>118</v>
      </c>
      <c r="E260" s="105">
        <f t="shared" si="62"/>
        <v>3240.5117803254343</v>
      </c>
      <c r="F260" s="105">
        <f t="shared" si="61"/>
        <v>3240.5117803254343</v>
      </c>
      <c r="G260" s="105">
        <f t="shared" si="61"/>
        <v>3240.5117803254343</v>
      </c>
      <c r="H260" s="105">
        <f t="shared" si="61"/>
        <v>3240.5117803254343</v>
      </c>
      <c r="I260" s="105">
        <f t="shared" si="61"/>
        <v>3240.5117803254343</v>
      </c>
      <c r="J260" s="105">
        <f t="shared" si="61"/>
        <v>3240.5117803254343</v>
      </c>
      <c r="K260" s="105">
        <f t="shared" si="61"/>
        <v>3240.5117803254343</v>
      </c>
      <c r="L260" s="105">
        <f t="shared" si="61"/>
        <v>3240.5117803254343</v>
      </c>
      <c r="M260" s="105">
        <f t="shared" si="61"/>
        <v>3240.5117803254343</v>
      </c>
      <c r="N260" s="105">
        <f t="shared" si="61"/>
        <v>3240.5117803254343</v>
      </c>
      <c r="O260" s="105">
        <f t="shared" si="61"/>
        <v>3240.5117803254343</v>
      </c>
      <c r="P260" s="106">
        <f t="shared" si="61"/>
        <v>3240.5117803254343</v>
      </c>
      <c r="Q260" s="456">
        <f t="shared" si="56"/>
        <v>38886.141363905204</v>
      </c>
      <c r="R260" s="456"/>
      <c r="S260" s="391"/>
      <c r="T260" s="388"/>
    </row>
    <row r="261" spans="1:20" x14ac:dyDescent="0.35">
      <c r="A261" s="534" t="str">
        <f>VLOOKUP($D261,$A$10:$D$130,4,FALSE)</f>
        <v>Commissions-Internal Broker</v>
      </c>
      <c r="D261" s="104" t="s">
        <v>119</v>
      </c>
      <c r="E261" s="105">
        <f t="shared" si="62"/>
        <v>2048.2580803644464</v>
      </c>
      <c r="F261" s="105">
        <f t="shared" si="61"/>
        <v>0</v>
      </c>
      <c r="G261" s="105">
        <f t="shared" si="61"/>
        <v>0</v>
      </c>
      <c r="H261" s="105">
        <f t="shared" si="61"/>
        <v>2048.2580803644464</v>
      </c>
      <c r="I261" s="105">
        <f t="shared" si="61"/>
        <v>0</v>
      </c>
      <c r="J261" s="105">
        <f t="shared" si="61"/>
        <v>0</v>
      </c>
      <c r="K261" s="105">
        <f t="shared" si="61"/>
        <v>2048.2580803644464</v>
      </c>
      <c r="L261" s="105">
        <f t="shared" si="61"/>
        <v>0</v>
      </c>
      <c r="M261" s="105">
        <f t="shared" si="61"/>
        <v>0</v>
      </c>
      <c r="N261" s="105">
        <f t="shared" si="61"/>
        <v>2048.2580803644464</v>
      </c>
      <c r="O261" s="105">
        <f t="shared" si="61"/>
        <v>0</v>
      </c>
      <c r="P261" s="106">
        <f t="shared" si="61"/>
        <v>0</v>
      </c>
      <c r="Q261" s="456">
        <f t="shared" si="56"/>
        <v>8193.0323214577857</v>
      </c>
      <c r="R261" s="456"/>
      <c r="S261" s="391"/>
      <c r="T261" s="388"/>
    </row>
    <row r="262" spans="1:20" x14ac:dyDescent="0.35">
      <c r="A262" s="534" t="str">
        <f>VLOOKUP($D262,$A$10:$D$130,3,FALSE)</f>
        <v>Building Maintenance</v>
      </c>
      <c r="D262" s="104" t="s">
        <v>120</v>
      </c>
      <c r="E262" s="105">
        <f t="shared" si="62"/>
        <v>1380.2</v>
      </c>
      <c r="F262" s="105">
        <f t="shared" si="61"/>
        <v>1380.2</v>
      </c>
      <c r="G262" s="105">
        <f t="shared" si="61"/>
        <v>1380.2</v>
      </c>
      <c r="H262" s="105">
        <f t="shared" si="61"/>
        <v>1380.2</v>
      </c>
      <c r="I262" s="105">
        <f t="shared" si="61"/>
        <v>1380.2</v>
      </c>
      <c r="J262" s="105">
        <f t="shared" si="61"/>
        <v>1380.2</v>
      </c>
      <c r="K262" s="105">
        <f t="shared" si="61"/>
        <v>1380.2</v>
      </c>
      <c r="L262" s="105">
        <f t="shared" si="61"/>
        <v>1380.2</v>
      </c>
      <c r="M262" s="105">
        <f t="shared" si="61"/>
        <v>1380.2</v>
      </c>
      <c r="N262" s="105">
        <f t="shared" si="61"/>
        <v>1380.2</v>
      </c>
      <c r="O262" s="105">
        <f t="shared" si="61"/>
        <v>1380.2</v>
      </c>
      <c r="P262" s="106">
        <f t="shared" si="61"/>
        <v>1380.2</v>
      </c>
      <c r="Q262" s="456">
        <f t="shared" si="56"/>
        <v>16562.400000000005</v>
      </c>
      <c r="R262" s="456"/>
      <c r="S262" s="391"/>
      <c r="T262" s="388"/>
    </row>
    <row r="263" spans="1:20" x14ac:dyDescent="0.35">
      <c r="A263" s="534" t="str">
        <f>VLOOKUP($D263,$A$10:$D$130,3,FALSE)</f>
        <v>Marketing</v>
      </c>
      <c r="D263" s="104" t="s">
        <v>121</v>
      </c>
      <c r="E263" s="105">
        <f t="shared" si="62"/>
        <v>1243.1163837257591</v>
      </c>
      <c r="F263" s="105">
        <f t="shared" si="62"/>
        <v>1243.1163837257591</v>
      </c>
      <c r="G263" s="105">
        <f t="shared" si="62"/>
        <v>1243.1163837257591</v>
      </c>
      <c r="H263" s="105">
        <f t="shared" si="62"/>
        <v>1243.1163837257591</v>
      </c>
      <c r="I263" s="105">
        <f t="shared" si="62"/>
        <v>1243.1163837257591</v>
      </c>
      <c r="J263" s="105">
        <f t="shared" si="62"/>
        <v>1243.1163837257591</v>
      </c>
      <c r="K263" s="105">
        <f t="shared" si="62"/>
        <v>1243.1163837257591</v>
      </c>
      <c r="L263" s="105">
        <f t="shared" si="62"/>
        <v>1243.1163837257591</v>
      </c>
      <c r="M263" s="105">
        <f t="shared" si="62"/>
        <v>1243.1163837257591</v>
      </c>
      <c r="N263" s="105">
        <f t="shared" si="62"/>
        <v>1243.1163837257591</v>
      </c>
      <c r="O263" s="105">
        <f t="shared" si="62"/>
        <v>1243.1163837257591</v>
      </c>
      <c r="P263" s="106">
        <f t="shared" si="62"/>
        <v>1243.1163837257591</v>
      </c>
      <c r="Q263" s="456">
        <f t="shared" si="56"/>
        <v>14917.396604709109</v>
      </c>
      <c r="R263" s="456"/>
      <c r="S263" s="391"/>
      <c r="T263" s="388"/>
    </row>
    <row r="264" spans="1:20" x14ac:dyDescent="0.35">
      <c r="A264" s="534" t="str">
        <f>VLOOKUP($D264,$A$10:$D$130,3,FALSE)</f>
        <v>Business Taxes</v>
      </c>
      <c r="D264" s="104" t="s">
        <v>122</v>
      </c>
      <c r="E264" s="105">
        <f t="shared" si="62"/>
        <v>0</v>
      </c>
      <c r="F264" s="105">
        <f t="shared" si="62"/>
        <v>0</v>
      </c>
      <c r="G264" s="105">
        <f t="shared" si="62"/>
        <v>0</v>
      </c>
      <c r="H264" s="105">
        <f t="shared" si="62"/>
        <v>4292.2352663548008</v>
      </c>
      <c r="I264" s="105">
        <f t="shared" si="62"/>
        <v>0</v>
      </c>
      <c r="J264" s="105">
        <f t="shared" si="62"/>
        <v>0</v>
      </c>
      <c r="K264" s="105">
        <f t="shared" si="62"/>
        <v>0</v>
      </c>
      <c r="L264" s="105">
        <f t="shared" si="62"/>
        <v>0</v>
      </c>
      <c r="M264" s="105">
        <f t="shared" si="62"/>
        <v>0</v>
      </c>
      <c r="N264" s="105">
        <f t="shared" si="62"/>
        <v>0</v>
      </c>
      <c r="O264" s="105">
        <f t="shared" si="62"/>
        <v>0</v>
      </c>
      <c r="P264" s="106">
        <f t="shared" si="62"/>
        <v>0</v>
      </c>
      <c r="Q264" s="456">
        <f t="shared" si="56"/>
        <v>4292.2352663548008</v>
      </c>
      <c r="R264" s="456"/>
      <c r="S264" s="391"/>
      <c r="T264" s="388"/>
    </row>
    <row r="265" spans="1:20" x14ac:dyDescent="0.35">
      <c r="A265" s="534" t="str">
        <f t="shared" si="57"/>
        <v>Legal &amp; Accounting</v>
      </c>
      <c r="D265" s="104" t="s">
        <v>123</v>
      </c>
      <c r="E265" s="105">
        <f t="shared" si="62"/>
        <v>1136.0977360532574</v>
      </c>
      <c r="F265" s="105">
        <f t="shared" si="62"/>
        <v>1136.0977360532574</v>
      </c>
      <c r="G265" s="105">
        <f t="shared" si="62"/>
        <v>1136.0977360532574</v>
      </c>
      <c r="H265" s="105">
        <f t="shared" si="62"/>
        <v>1136.0977360532574</v>
      </c>
      <c r="I265" s="105">
        <f t="shared" si="62"/>
        <v>1136.0977360532574</v>
      </c>
      <c r="J265" s="105">
        <f t="shared" si="62"/>
        <v>1136.0977360532574</v>
      </c>
      <c r="K265" s="105">
        <f t="shared" si="62"/>
        <v>1136.0977360532574</v>
      </c>
      <c r="L265" s="105">
        <f t="shared" si="62"/>
        <v>1136.0977360532574</v>
      </c>
      <c r="M265" s="105">
        <f t="shared" si="62"/>
        <v>1136.0977360532574</v>
      </c>
      <c r="N265" s="105">
        <f t="shared" si="62"/>
        <v>1136.0977360532574</v>
      </c>
      <c r="O265" s="105">
        <f t="shared" si="62"/>
        <v>1136.0977360532574</v>
      </c>
      <c r="P265" s="106">
        <f t="shared" si="62"/>
        <v>1136.0977360532574</v>
      </c>
      <c r="Q265" s="456">
        <f t="shared" si="56"/>
        <v>13633.172832639093</v>
      </c>
      <c r="R265" s="456"/>
      <c r="S265" s="391"/>
      <c r="T265" s="388"/>
    </row>
    <row r="266" spans="1:20" x14ac:dyDescent="0.35">
      <c r="A266" s="534" t="str">
        <f>VLOOKUP($D266,$A$10:$D$130,4,FALSE)</f>
        <v>Bank Fees</v>
      </c>
      <c r="D266" s="104" t="s">
        <v>130</v>
      </c>
      <c r="E266" s="105">
        <f t="shared" si="62"/>
        <v>51.372168682279806</v>
      </c>
      <c r="F266" s="105">
        <f t="shared" si="62"/>
        <v>51.372168682279806</v>
      </c>
      <c r="G266" s="105">
        <f t="shared" si="62"/>
        <v>51.372168682279806</v>
      </c>
      <c r="H266" s="105">
        <f t="shared" si="62"/>
        <v>51.372168682279806</v>
      </c>
      <c r="I266" s="105">
        <f t="shared" si="62"/>
        <v>51.372168682279806</v>
      </c>
      <c r="J266" s="105">
        <f t="shared" si="62"/>
        <v>51.372168682279806</v>
      </c>
      <c r="K266" s="105">
        <f t="shared" si="62"/>
        <v>51.372168682279806</v>
      </c>
      <c r="L266" s="105">
        <f t="shared" si="62"/>
        <v>51.372168682279806</v>
      </c>
      <c r="M266" s="105">
        <f t="shared" si="62"/>
        <v>51.372168682279806</v>
      </c>
      <c r="N266" s="105">
        <f t="shared" si="62"/>
        <v>51.372168682279806</v>
      </c>
      <c r="O266" s="105">
        <f t="shared" si="62"/>
        <v>51.372168682279806</v>
      </c>
      <c r="P266" s="106">
        <f t="shared" si="62"/>
        <v>51.372168682279806</v>
      </c>
      <c r="Q266" s="456">
        <f t="shared" si="56"/>
        <v>616.4660241873579</v>
      </c>
      <c r="R266" s="456"/>
      <c r="S266" s="391"/>
      <c r="T266" s="388"/>
    </row>
    <row r="267" spans="1:20" x14ac:dyDescent="0.35">
      <c r="A267" s="534" t="str">
        <f>VLOOKUP($D267,$A$10:$D$130,4,FALSE)</f>
        <v>Other G&amp;A Expense</v>
      </c>
      <c r="D267" s="104" t="s">
        <v>131</v>
      </c>
      <c r="E267" s="105">
        <f t="shared" si="62"/>
        <v>49.715001950593354</v>
      </c>
      <c r="F267" s="105">
        <f t="shared" si="62"/>
        <v>49.715001950593354</v>
      </c>
      <c r="G267" s="105">
        <f t="shared" si="62"/>
        <v>49.715001950593354</v>
      </c>
      <c r="H267" s="105">
        <f t="shared" si="62"/>
        <v>49.715001950593354</v>
      </c>
      <c r="I267" s="105">
        <f t="shared" si="62"/>
        <v>49.715001950593354</v>
      </c>
      <c r="J267" s="105">
        <f t="shared" si="62"/>
        <v>49.715001950593354</v>
      </c>
      <c r="K267" s="105">
        <f t="shared" si="62"/>
        <v>49.715001950593354</v>
      </c>
      <c r="L267" s="105">
        <f t="shared" si="62"/>
        <v>49.715001950593354</v>
      </c>
      <c r="M267" s="105">
        <f t="shared" si="62"/>
        <v>49.715001950593354</v>
      </c>
      <c r="N267" s="105">
        <f t="shared" si="62"/>
        <v>49.715001950593354</v>
      </c>
      <c r="O267" s="105">
        <f t="shared" si="62"/>
        <v>49.715001950593354</v>
      </c>
      <c r="P267" s="106">
        <f t="shared" si="62"/>
        <v>49.715001950593354</v>
      </c>
      <c r="Q267" s="456">
        <f t="shared" si="56"/>
        <v>596.58002340712028</v>
      </c>
      <c r="R267" s="456"/>
      <c r="S267" s="391"/>
      <c r="T267" s="388"/>
    </row>
    <row r="268" spans="1:20" x14ac:dyDescent="0.35">
      <c r="A268" s="534" t="str">
        <f>VLOOKUP($D268,$A$10:$D$130,4,FALSE)</f>
        <v>Other G&amp;A-allocated from LIK</v>
      </c>
      <c r="D268" s="104" t="s">
        <v>124</v>
      </c>
      <c r="E268" s="105">
        <f t="shared" si="62"/>
        <v>2940</v>
      </c>
      <c r="F268" s="105">
        <f t="shared" si="62"/>
        <v>2940</v>
      </c>
      <c r="G268" s="105">
        <f t="shared" si="62"/>
        <v>2940</v>
      </c>
      <c r="H268" s="105">
        <f t="shared" si="62"/>
        <v>2940</v>
      </c>
      <c r="I268" s="105">
        <f t="shared" si="62"/>
        <v>2940</v>
      </c>
      <c r="J268" s="105">
        <f t="shared" si="62"/>
        <v>2940</v>
      </c>
      <c r="K268" s="105">
        <f t="shared" si="62"/>
        <v>2940</v>
      </c>
      <c r="L268" s="105">
        <f t="shared" si="62"/>
        <v>2940</v>
      </c>
      <c r="M268" s="105">
        <f t="shared" si="62"/>
        <v>2940</v>
      </c>
      <c r="N268" s="105">
        <f t="shared" si="62"/>
        <v>2940</v>
      </c>
      <c r="O268" s="105">
        <f t="shared" si="62"/>
        <v>2940</v>
      </c>
      <c r="P268" s="106">
        <f t="shared" si="62"/>
        <v>2940</v>
      </c>
      <c r="Q268" s="456">
        <f t="shared" si="56"/>
        <v>35280</v>
      </c>
      <c r="R268" s="456"/>
      <c r="S268" s="391"/>
      <c r="T268" s="388"/>
    </row>
    <row r="269" spans="1:20" x14ac:dyDescent="0.35">
      <c r="A269" s="534" t="str">
        <f>VLOOKUP($D269,$A$10:$D$130,4,FALSE)</f>
        <v>Land Improvements</v>
      </c>
      <c r="D269" s="104" t="s">
        <v>125</v>
      </c>
      <c r="E269" s="105">
        <f t="shared" si="62"/>
        <v>0</v>
      </c>
      <c r="F269" s="105">
        <f t="shared" si="62"/>
        <v>0</v>
      </c>
      <c r="G269" s="105">
        <f t="shared" si="62"/>
        <v>0</v>
      </c>
      <c r="H269" s="105">
        <f t="shared" si="62"/>
        <v>0</v>
      </c>
      <c r="I269" s="105">
        <f t="shared" si="62"/>
        <v>0</v>
      </c>
      <c r="J269" s="105">
        <f t="shared" si="62"/>
        <v>0</v>
      </c>
      <c r="K269" s="105">
        <f t="shared" si="62"/>
        <v>0</v>
      </c>
      <c r="L269" s="105">
        <f t="shared" si="62"/>
        <v>0</v>
      </c>
      <c r="M269" s="105">
        <f t="shared" si="62"/>
        <v>0</v>
      </c>
      <c r="N269" s="105">
        <f t="shared" si="62"/>
        <v>0</v>
      </c>
      <c r="O269" s="105">
        <f t="shared" si="62"/>
        <v>0</v>
      </c>
      <c r="P269" s="106">
        <f t="shared" si="62"/>
        <v>0</v>
      </c>
      <c r="Q269" s="456">
        <f t="shared" si="56"/>
        <v>0</v>
      </c>
      <c r="R269" s="456"/>
      <c r="S269" s="391"/>
      <c r="T269" s="388"/>
    </row>
    <row r="270" spans="1:20" x14ac:dyDescent="0.35">
      <c r="A270" s="534" t="str">
        <f t="shared" ref="A270:A271" si="63">VLOOKUP($D270,$A$10:$D$130,4,FALSE)</f>
        <v>Buildings</v>
      </c>
      <c r="D270" s="104" t="s">
        <v>126</v>
      </c>
      <c r="E270" s="105">
        <f t="shared" si="62"/>
        <v>0</v>
      </c>
      <c r="F270" s="105">
        <f t="shared" si="62"/>
        <v>0</v>
      </c>
      <c r="G270" s="105">
        <f t="shared" si="62"/>
        <v>0</v>
      </c>
      <c r="H270" s="105">
        <f t="shared" si="62"/>
        <v>0</v>
      </c>
      <c r="I270" s="105">
        <f t="shared" si="62"/>
        <v>0</v>
      </c>
      <c r="J270" s="105">
        <f t="shared" si="62"/>
        <v>0</v>
      </c>
      <c r="K270" s="105">
        <f t="shared" si="62"/>
        <v>0</v>
      </c>
      <c r="L270" s="105">
        <f t="shared" si="62"/>
        <v>0</v>
      </c>
      <c r="M270" s="105">
        <f t="shared" si="62"/>
        <v>0</v>
      </c>
      <c r="N270" s="105">
        <f t="shared" si="62"/>
        <v>0</v>
      </c>
      <c r="O270" s="105">
        <f t="shared" si="62"/>
        <v>0</v>
      </c>
      <c r="P270" s="106">
        <f t="shared" si="62"/>
        <v>0</v>
      </c>
      <c r="Q270" s="456">
        <f t="shared" si="56"/>
        <v>0</v>
      </c>
      <c r="R270" s="456"/>
      <c r="S270" s="391"/>
      <c r="T270" s="388"/>
    </row>
    <row r="271" spans="1:20" x14ac:dyDescent="0.35">
      <c r="A271" s="534" t="str">
        <f t="shared" si="63"/>
        <v>Equipment</v>
      </c>
      <c r="D271" s="104" t="s">
        <v>127</v>
      </c>
      <c r="E271" s="105">
        <f t="shared" si="62"/>
        <v>0</v>
      </c>
      <c r="F271" s="105">
        <f t="shared" si="62"/>
        <v>0</v>
      </c>
      <c r="G271" s="105">
        <f t="shared" si="62"/>
        <v>0</v>
      </c>
      <c r="H271" s="105">
        <f t="shared" si="62"/>
        <v>0</v>
      </c>
      <c r="I271" s="105">
        <f t="shared" si="62"/>
        <v>0</v>
      </c>
      <c r="J271" s="105">
        <f t="shared" si="62"/>
        <v>0</v>
      </c>
      <c r="K271" s="105">
        <f t="shared" si="62"/>
        <v>0</v>
      </c>
      <c r="L271" s="105">
        <f t="shared" si="62"/>
        <v>0</v>
      </c>
      <c r="M271" s="105">
        <f t="shared" si="62"/>
        <v>0</v>
      </c>
      <c r="N271" s="105">
        <f t="shared" si="62"/>
        <v>0</v>
      </c>
      <c r="O271" s="105">
        <f t="shared" si="62"/>
        <v>0</v>
      </c>
      <c r="P271" s="106">
        <f t="shared" si="62"/>
        <v>0</v>
      </c>
      <c r="Q271" s="456">
        <f t="shared" si="56"/>
        <v>0</v>
      </c>
      <c r="R271" s="456"/>
      <c r="S271" s="391"/>
      <c r="T271" s="388"/>
    </row>
    <row r="272" spans="1:20" x14ac:dyDescent="0.35">
      <c r="A272" s="534" t="str">
        <f>VLOOKUP($D272,$A$10:$D$130,3,FALSE)</f>
        <v>Tenant Improvements</v>
      </c>
      <c r="D272" s="104" t="s">
        <v>128</v>
      </c>
      <c r="E272" s="105">
        <f t="shared" si="62"/>
        <v>13796</v>
      </c>
      <c r="F272" s="105">
        <f t="shared" si="62"/>
        <v>0</v>
      </c>
      <c r="G272" s="105">
        <f t="shared" si="62"/>
        <v>0</v>
      </c>
      <c r="H272" s="105">
        <f t="shared" si="62"/>
        <v>11525</v>
      </c>
      <c r="I272" s="105">
        <f t="shared" si="62"/>
        <v>0</v>
      </c>
      <c r="J272" s="105">
        <f t="shared" si="62"/>
        <v>0</v>
      </c>
      <c r="K272" s="105">
        <f t="shared" si="62"/>
        <v>7226</v>
      </c>
      <c r="L272" s="105">
        <f t="shared" si="62"/>
        <v>0</v>
      </c>
      <c r="M272" s="105">
        <f t="shared" si="62"/>
        <v>0</v>
      </c>
      <c r="N272" s="105">
        <f t="shared" si="62"/>
        <v>10800</v>
      </c>
      <c r="O272" s="105">
        <f t="shared" si="62"/>
        <v>0</v>
      </c>
      <c r="P272" s="106">
        <f t="shared" si="62"/>
        <v>0</v>
      </c>
      <c r="Q272" s="456">
        <f t="shared" si="56"/>
        <v>43347</v>
      </c>
      <c r="R272" s="456"/>
      <c r="S272" s="391"/>
      <c r="T272" s="388"/>
    </row>
    <row r="273" spans="1:21" x14ac:dyDescent="0.35">
      <c r="A273" s="534" t="str">
        <f>VLOOKUP($D273,$A$10:$D$130,3,FALSE)</f>
        <v>Outside Leasing Commissions</v>
      </c>
      <c r="D273" s="104" t="s">
        <v>129</v>
      </c>
      <c r="E273" s="105">
        <f t="shared" si="62"/>
        <v>10347.000000000002</v>
      </c>
      <c r="F273" s="105">
        <f t="shared" si="62"/>
        <v>0</v>
      </c>
      <c r="G273" s="105">
        <f t="shared" si="62"/>
        <v>0</v>
      </c>
      <c r="H273" s="105">
        <f t="shared" si="62"/>
        <v>0</v>
      </c>
      <c r="I273" s="105">
        <f t="shared" si="62"/>
        <v>0</v>
      </c>
      <c r="J273" s="105">
        <f t="shared" si="62"/>
        <v>0</v>
      </c>
      <c r="K273" s="105">
        <f t="shared" si="62"/>
        <v>11428.529999999999</v>
      </c>
      <c r="L273" s="105">
        <f t="shared" si="62"/>
        <v>0</v>
      </c>
      <c r="M273" s="105">
        <f t="shared" si="62"/>
        <v>0</v>
      </c>
      <c r="N273" s="105">
        <f t="shared" si="62"/>
        <v>0</v>
      </c>
      <c r="O273" s="105">
        <f t="shared" si="62"/>
        <v>0</v>
      </c>
      <c r="P273" s="106">
        <f t="shared" si="62"/>
        <v>0</v>
      </c>
      <c r="Q273" s="456">
        <f t="shared" si="56"/>
        <v>21775.53</v>
      </c>
      <c r="R273" s="456"/>
      <c r="S273" s="391"/>
      <c r="T273" s="388"/>
    </row>
    <row r="274" spans="1:21" x14ac:dyDescent="0.35">
      <c r="A274" s="534" t="str">
        <f>VLOOKUP($D274,$A$10:$D$130,3,FALSE)</f>
        <v>Interest</v>
      </c>
      <c r="D274" s="104" t="s">
        <v>132</v>
      </c>
      <c r="E274" s="105">
        <f t="shared" si="62"/>
        <v>29944.198391704314</v>
      </c>
      <c r="F274" s="105">
        <f t="shared" si="62"/>
        <v>29944.198391704314</v>
      </c>
      <c r="G274" s="105">
        <f t="shared" si="62"/>
        <v>29944.198391704314</v>
      </c>
      <c r="H274" s="105">
        <f t="shared" si="62"/>
        <v>29944.198391704314</v>
      </c>
      <c r="I274" s="105">
        <f t="shared" si="62"/>
        <v>29944.198391704314</v>
      </c>
      <c r="J274" s="105">
        <f t="shared" si="62"/>
        <v>29944.198391704314</v>
      </c>
      <c r="K274" s="105">
        <f t="shared" si="62"/>
        <v>29944.198391704314</v>
      </c>
      <c r="L274" s="105">
        <f t="shared" si="62"/>
        <v>29944.198391704314</v>
      </c>
      <c r="M274" s="105">
        <f t="shared" si="62"/>
        <v>29944.198391704314</v>
      </c>
      <c r="N274" s="105">
        <f t="shared" si="62"/>
        <v>29944.198391704314</v>
      </c>
      <c r="O274" s="105">
        <f t="shared" si="62"/>
        <v>29944.198391704314</v>
      </c>
      <c r="P274" s="106">
        <f t="shared" si="62"/>
        <v>29944.198391704314</v>
      </c>
      <c r="Q274" s="456">
        <f t="shared" si="56"/>
        <v>359330.38070045173</v>
      </c>
      <c r="R274" s="456"/>
      <c r="S274" s="391"/>
      <c r="T274" s="388"/>
    </row>
    <row r="275" spans="1:21" ht="16.5" thickBot="1" x14ac:dyDescent="0.4">
      <c r="A275" s="534" t="str">
        <f>VLOOKUP($D275,$A$10:$D$130,3,FALSE)</f>
        <v>Mortgage Amortization</v>
      </c>
      <c r="D275" s="107" t="s">
        <v>149</v>
      </c>
      <c r="E275" s="108">
        <f t="shared" si="62"/>
        <v>0</v>
      </c>
      <c r="F275" s="108">
        <f t="shared" si="62"/>
        <v>0</v>
      </c>
      <c r="G275" s="108">
        <f t="shared" si="62"/>
        <v>0</v>
      </c>
      <c r="H275" s="108">
        <f t="shared" si="62"/>
        <v>0</v>
      </c>
      <c r="I275" s="108">
        <f t="shared" si="62"/>
        <v>0</v>
      </c>
      <c r="J275" s="108">
        <f t="shared" si="62"/>
        <v>0</v>
      </c>
      <c r="K275" s="108">
        <f t="shared" si="62"/>
        <v>0</v>
      </c>
      <c r="L275" s="108">
        <f t="shared" si="62"/>
        <v>0</v>
      </c>
      <c r="M275" s="108">
        <f t="shared" si="62"/>
        <v>0</v>
      </c>
      <c r="N275" s="108">
        <f t="shared" si="62"/>
        <v>0</v>
      </c>
      <c r="O275" s="108">
        <f t="shared" si="62"/>
        <v>0</v>
      </c>
      <c r="P275" s="109">
        <f t="shared" si="62"/>
        <v>0</v>
      </c>
      <c r="Q275" s="391">
        <f t="shared" si="56"/>
        <v>0</v>
      </c>
      <c r="R275" s="456"/>
      <c r="S275" s="391"/>
      <c r="T275" s="388"/>
    </row>
    <row r="276" spans="1:21" x14ac:dyDescent="0.35">
      <c r="E276" s="34">
        <f t="shared" ref="E276:Q276" si="64">SUM(E241:E275)</f>
        <v>11928.644271039204</v>
      </c>
      <c r="F276" s="34">
        <f t="shared" si="64"/>
        <v>-9584.7169093252414</v>
      </c>
      <c r="G276" s="34">
        <f t="shared" si="64"/>
        <v>-12579.406448201651</v>
      </c>
      <c r="H276" s="34">
        <f t="shared" si="64"/>
        <v>22866.728214299721</v>
      </c>
      <c r="I276" s="34">
        <f t="shared" si="64"/>
        <v>652.24586758046644</v>
      </c>
      <c r="J276" s="34">
        <f t="shared" si="64"/>
        <v>-318.77013241953318</v>
      </c>
      <c r="K276" s="34">
        <f t="shared" si="64"/>
        <v>14417.482014524929</v>
      </c>
      <c r="L276" s="34">
        <f t="shared" si="64"/>
        <v>-14090.689565839533</v>
      </c>
      <c r="M276" s="34">
        <f t="shared" si="64"/>
        <v>-6986.5185658395167</v>
      </c>
      <c r="N276" s="34">
        <f t="shared" si="64"/>
        <v>28224.688514524889</v>
      </c>
      <c r="O276" s="34">
        <f t="shared" si="64"/>
        <v>-3838.333729808317</v>
      </c>
      <c r="P276" s="34">
        <f t="shared" si="64"/>
        <v>-3737.0178213638974</v>
      </c>
      <c r="Q276" s="391">
        <f t="shared" si="64"/>
        <v>26954.335709171079</v>
      </c>
      <c r="R276" s="391"/>
      <c r="S276" s="391"/>
      <c r="T276" s="388"/>
    </row>
    <row r="277" spans="1:21" x14ac:dyDescent="0.35">
      <c r="E277" s="62">
        <f>E131+E276</f>
        <v>-1.4551915228366852E-11</v>
      </c>
      <c r="F277" s="62">
        <f t="shared" ref="F277:Q277" si="65">F131+F276</f>
        <v>0</v>
      </c>
      <c r="G277" s="62">
        <f t="shared" si="65"/>
        <v>1.4551915228366852E-11</v>
      </c>
      <c r="H277" s="62">
        <f t="shared" si="65"/>
        <v>0</v>
      </c>
      <c r="I277" s="62">
        <f t="shared" si="65"/>
        <v>1.0913936421275139E-11</v>
      </c>
      <c r="J277" s="62">
        <f t="shared" si="65"/>
        <v>1.4551915228366852E-11</v>
      </c>
      <c r="K277" s="62">
        <f t="shared" si="65"/>
        <v>0</v>
      </c>
      <c r="L277" s="62">
        <f t="shared" si="65"/>
        <v>1.4551915228366852E-11</v>
      </c>
      <c r="M277" s="62">
        <f t="shared" si="65"/>
        <v>4.3655745685100555E-11</v>
      </c>
      <c r="N277" s="62">
        <f t="shared" si="65"/>
        <v>0</v>
      </c>
      <c r="O277" s="62">
        <f t="shared" si="65"/>
        <v>2.9103830456733704E-11</v>
      </c>
      <c r="P277" s="62">
        <f t="shared" si="65"/>
        <v>1.4551915228366852E-11</v>
      </c>
      <c r="Q277" s="62">
        <f t="shared" si="65"/>
        <v>0</v>
      </c>
      <c r="R277" s="391"/>
      <c r="S277" s="391"/>
      <c r="T277" s="388"/>
    </row>
    <row r="278" spans="1:21" hidden="1" x14ac:dyDescent="0.35">
      <c r="R278" s="391"/>
      <c r="S278" s="391"/>
      <c r="T278" s="388"/>
    </row>
    <row r="279" spans="1:21" ht="17.5" hidden="1" x14ac:dyDescent="0.5">
      <c r="D279" s="67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91"/>
      <c r="S279" s="391"/>
      <c r="T279" s="388"/>
      <c r="U279" s="294"/>
    </row>
    <row r="280" spans="1:21" hidden="1" x14ac:dyDescent="0.35"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R280" s="416"/>
      <c r="S280" s="391"/>
      <c r="T280" s="388"/>
      <c r="U280" s="294"/>
    </row>
    <row r="281" spans="1:21" ht="17.5" hidden="1" x14ac:dyDescent="0.5">
      <c r="D281" s="6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R281" s="416"/>
      <c r="S281" s="391"/>
      <c r="T281" s="388"/>
      <c r="U281" s="294"/>
    </row>
    <row r="282" spans="1:21" hidden="1" x14ac:dyDescent="0.35"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R282" s="416"/>
      <c r="S282" s="391"/>
      <c r="T282" s="388"/>
      <c r="U282" s="294"/>
    </row>
    <row r="283" spans="1:21" hidden="1" x14ac:dyDescent="0.35">
      <c r="D283" s="38"/>
      <c r="R283" s="416"/>
      <c r="S283" s="391"/>
      <c r="T283" s="388"/>
      <c r="U283" s="294"/>
    </row>
    <row r="284" spans="1:21" hidden="1" x14ac:dyDescent="0.35">
      <c r="D284" s="38"/>
      <c r="R284" s="416"/>
      <c r="S284" s="391"/>
      <c r="T284" s="388"/>
      <c r="U284" s="294"/>
    </row>
    <row r="285" spans="1:21" hidden="1" x14ac:dyDescent="0.35">
      <c r="D285" s="38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59"/>
      <c r="R285" s="457"/>
      <c r="S285" s="391"/>
      <c r="T285" s="388"/>
      <c r="U285" s="294"/>
    </row>
    <row r="286" spans="1:21" ht="17.5" hidden="1" x14ac:dyDescent="0.5">
      <c r="D286" s="67"/>
      <c r="E286" s="38" t="s">
        <v>0</v>
      </c>
      <c r="F286" s="38" t="s">
        <v>1</v>
      </c>
      <c r="G286" s="38" t="s">
        <v>2</v>
      </c>
      <c r="H286" s="38" t="s">
        <v>3</v>
      </c>
      <c r="I286" s="38" t="s">
        <v>4</v>
      </c>
      <c r="J286" s="38" t="s">
        <v>5</v>
      </c>
      <c r="K286" s="38" t="s">
        <v>6</v>
      </c>
      <c r="L286" s="38" t="s">
        <v>7</v>
      </c>
      <c r="M286" s="38" t="s">
        <v>8</v>
      </c>
      <c r="N286" s="38" t="s">
        <v>9</v>
      </c>
      <c r="O286" s="38" t="s">
        <v>10</v>
      </c>
      <c r="P286" s="38" t="s">
        <v>11</v>
      </c>
      <c r="R286" s="416"/>
      <c r="S286" s="391"/>
      <c r="T286" s="388"/>
      <c r="U286" s="294"/>
    </row>
    <row r="287" spans="1:21" hidden="1" x14ac:dyDescent="0.35"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R287" s="416"/>
      <c r="S287" s="391"/>
      <c r="T287" s="388"/>
      <c r="U287" s="294"/>
    </row>
    <row r="288" spans="1:21" hidden="1" x14ac:dyDescent="0.35">
      <c r="D288" s="38" t="s">
        <v>152</v>
      </c>
      <c r="E288" s="34">
        <v>54008</v>
      </c>
      <c r="F288" s="34">
        <v>54008</v>
      </c>
      <c r="G288" s="34">
        <v>54008</v>
      </c>
      <c r="H288" s="34">
        <v>54008</v>
      </c>
      <c r="I288" s="34">
        <v>54008</v>
      </c>
      <c r="J288" s="34">
        <v>54008</v>
      </c>
      <c r="K288" s="34">
        <v>54008</v>
      </c>
      <c r="L288" s="34">
        <v>54008</v>
      </c>
      <c r="M288" s="34">
        <v>54008</v>
      </c>
      <c r="N288" s="34">
        <v>54008</v>
      </c>
      <c r="O288" s="34">
        <v>54008</v>
      </c>
      <c r="P288" s="34">
        <v>54008</v>
      </c>
      <c r="R288" s="416"/>
      <c r="S288" s="391"/>
      <c r="T288" s="388"/>
      <c r="U288" s="294"/>
    </row>
    <row r="289" spans="4:21" hidden="1" x14ac:dyDescent="0.35"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R289" s="416"/>
      <c r="S289" s="391"/>
      <c r="T289" s="388"/>
      <c r="U289" s="294"/>
    </row>
    <row r="290" spans="4:21" hidden="1" x14ac:dyDescent="0.35">
      <c r="D290" s="38" t="s">
        <v>151</v>
      </c>
      <c r="E290" s="69">
        <v>41069</v>
      </c>
      <c r="F290" s="69">
        <v>41069</v>
      </c>
      <c r="G290" s="69">
        <v>41069</v>
      </c>
      <c r="H290" s="69">
        <v>41069</v>
      </c>
      <c r="I290" s="69">
        <v>41069</v>
      </c>
      <c r="J290" s="69">
        <v>41069</v>
      </c>
      <c r="K290" s="69">
        <v>41069</v>
      </c>
      <c r="L290" s="69">
        <v>44709</v>
      </c>
      <c r="M290" s="69">
        <v>47586</v>
      </c>
      <c r="N290" s="69">
        <v>47586</v>
      </c>
      <c r="O290" s="69">
        <v>47586</v>
      </c>
      <c r="P290" s="69">
        <v>47586</v>
      </c>
      <c r="Q290" s="59"/>
      <c r="R290" s="457"/>
      <c r="S290" s="391"/>
      <c r="T290" s="388"/>
      <c r="U290" s="294"/>
    </row>
    <row r="291" spans="4:21" ht="17.5" hidden="1" x14ac:dyDescent="0.5">
      <c r="D291" s="67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R291" s="416"/>
      <c r="S291" s="391"/>
      <c r="T291" s="388"/>
      <c r="U291" s="294"/>
    </row>
    <row r="292" spans="4:21" hidden="1" x14ac:dyDescent="0.35">
      <c r="D292" s="38" t="s">
        <v>153</v>
      </c>
      <c r="E292" s="38">
        <f>E290/E288</f>
        <v>0.76042438157310033</v>
      </c>
      <c r="F292" s="38">
        <f t="shared" ref="F292:P292" si="66">F290/F288</f>
        <v>0.76042438157310033</v>
      </c>
      <c r="G292" s="38">
        <f t="shared" si="66"/>
        <v>0.76042438157310033</v>
      </c>
      <c r="H292" s="38">
        <f t="shared" si="66"/>
        <v>0.76042438157310033</v>
      </c>
      <c r="I292" s="38">
        <f t="shared" si="66"/>
        <v>0.76042438157310033</v>
      </c>
      <c r="J292" s="38">
        <f t="shared" si="66"/>
        <v>0.76042438157310033</v>
      </c>
      <c r="K292" s="38">
        <f t="shared" si="66"/>
        <v>0.76042438157310033</v>
      </c>
      <c r="L292" s="38">
        <f t="shared" si="66"/>
        <v>0.82782180417715889</v>
      </c>
      <c r="M292" s="38">
        <f t="shared" si="66"/>
        <v>0.88109169011998223</v>
      </c>
      <c r="N292" s="38">
        <f t="shared" si="66"/>
        <v>0.88109169011998223</v>
      </c>
      <c r="O292" s="38">
        <f t="shared" si="66"/>
        <v>0.88109169011998223</v>
      </c>
      <c r="P292" s="38">
        <f t="shared" si="66"/>
        <v>0.88109169011998223</v>
      </c>
      <c r="R292" s="416"/>
      <c r="S292" s="391"/>
      <c r="T292" s="388"/>
      <c r="U292" s="294"/>
    </row>
    <row r="293" spans="4:21" hidden="1" x14ac:dyDescent="0.35"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R293" s="416"/>
      <c r="S293" s="391"/>
      <c r="T293" s="388"/>
      <c r="U293" s="294"/>
    </row>
    <row r="294" spans="4:21" hidden="1" x14ac:dyDescent="0.35"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R294" s="416"/>
      <c r="S294" s="391"/>
      <c r="T294" s="388"/>
      <c r="U294" s="294"/>
    </row>
    <row r="295" spans="4:21" hidden="1" x14ac:dyDescent="0.35">
      <c r="D295" s="38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59"/>
      <c r="R295" s="457"/>
      <c r="S295" s="391"/>
      <c r="T295" s="388"/>
      <c r="U295" s="294"/>
    </row>
    <row r="296" spans="4:21" hidden="1" x14ac:dyDescent="0.35"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R296" s="416"/>
      <c r="S296" s="391"/>
      <c r="T296" s="388"/>
      <c r="U296" s="294"/>
    </row>
    <row r="297" spans="4:21" hidden="1" x14ac:dyDescent="0.35"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R297" s="416"/>
      <c r="S297" s="391"/>
      <c r="T297" s="388"/>
      <c r="U297" s="294"/>
    </row>
    <row r="298" spans="4:21" hidden="1" x14ac:dyDescent="0.35"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R298" s="416"/>
      <c r="S298" s="391"/>
      <c r="T298" s="388"/>
      <c r="U298" s="294"/>
    </row>
    <row r="299" spans="4:21" hidden="1" x14ac:dyDescent="0.35"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R299" s="416"/>
      <c r="S299" s="391"/>
      <c r="T299" s="388"/>
      <c r="U299" s="294"/>
    </row>
    <row r="300" spans="4:21" ht="17.5" hidden="1" x14ac:dyDescent="0.5">
      <c r="D300" s="6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R300" s="416"/>
      <c r="S300" s="391"/>
      <c r="T300" s="388"/>
      <c r="U300" s="294"/>
    </row>
    <row r="301" spans="4:21" hidden="1" x14ac:dyDescent="0.35"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R301" s="416"/>
      <c r="S301" s="391"/>
      <c r="T301" s="388"/>
      <c r="U301" s="294"/>
    </row>
    <row r="302" spans="4:21" hidden="1" x14ac:dyDescent="0.35">
      <c r="F302" s="70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R302" s="416"/>
      <c r="S302" s="391"/>
      <c r="T302" s="388"/>
      <c r="U302" s="294"/>
    </row>
    <row r="303" spans="4:21" hidden="1" x14ac:dyDescent="0.35">
      <c r="F303" s="70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R303" s="416"/>
      <c r="S303" s="391"/>
      <c r="T303" s="388"/>
      <c r="U303" s="294"/>
    </row>
    <row r="304" spans="4:21" hidden="1" x14ac:dyDescent="0.35">
      <c r="F304" s="70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R304" s="416"/>
      <c r="S304" s="391"/>
      <c r="T304" s="388"/>
      <c r="U304" s="294"/>
    </row>
    <row r="305" spans="4:21" hidden="1" x14ac:dyDescent="0.35">
      <c r="F305" s="70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R305" s="416"/>
      <c r="S305" s="391"/>
      <c r="T305" s="388"/>
      <c r="U305" s="294"/>
    </row>
    <row r="306" spans="4:21" hidden="1" x14ac:dyDescent="0.35">
      <c r="F306" s="70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R306" s="416"/>
      <c r="S306" s="391"/>
      <c r="T306" s="388"/>
      <c r="U306" s="294"/>
    </row>
    <row r="307" spans="4:21" hidden="1" x14ac:dyDescent="0.35">
      <c r="F307" s="70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R307" s="416"/>
      <c r="S307" s="391"/>
      <c r="T307" s="388"/>
      <c r="U307" s="294"/>
    </row>
    <row r="308" spans="4:21" hidden="1" x14ac:dyDescent="0.35">
      <c r="F308" s="70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R308" s="416"/>
      <c r="S308" s="391"/>
      <c r="T308" s="388"/>
      <c r="U308" s="294"/>
    </row>
    <row r="309" spans="4:21" hidden="1" x14ac:dyDescent="0.35">
      <c r="D309" s="38"/>
      <c r="E309" s="59"/>
      <c r="F309" s="71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R309" s="416"/>
      <c r="S309" s="391"/>
      <c r="T309" s="388"/>
      <c r="U309" s="294"/>
    </row>
    <row r="310" spans="4:21" hidden="1" x14ac:dyDescent="0.35"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R310" s="416"/>
      <c r="S310" s="391"/>
      <c r="T310" s="388"/>
      <c r="U310" s="294"/>
    </row>
    <row r="311" spans="4:21" hidden="1" x14ac:dyDescent="0.35"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R311" s="416"/>
      <c r="S311" s="391"/>
      <c r="T311" s="388"/>
      <c r="U311" s="294"/>
    </row>
    <row r="312" spans="4:21" hidden="1" x14ac:dyDescent="0.35"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R312" s="416"/>
      <c r="S312" s="391"/>
      <c r="T312" s="388"/>
      <c r="U312" s="294"/>
    </row>
    <row r="313" spans="4:21" hidden="1" x14ac:dyDescent="0.35"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R313" s="416"/>
      <c r="S313" s="416"/>
      <c r="T313" s="417"/>
      <c r="U313" s="294"/>
    </row>
    <row r="314" spans="4:21" hidden="1" x14ac:dyDescent="0.35"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R314" s="416"/>
      <c r="S314" s="416"/>
      <c r="T314" s="417"/>
      <c r="U314" s="294"/>
    </row>
    <row r="315" spans="4:21" ht="17.5" hidden="1" x14ac:dyDescent="0.5">
      <c r="D315" s="67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R315" s="416"/>
      <c r="S315" s="416"/>
      <c r="T315" s="417"/>
      <c r="U315" s="294"/>
    </row>
    <row r="316" spans="4:21" hidden="1" x14ac:dyDescent="0.35"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R316" s="416"/>
      <c r="S316" s="416"/>
      <c r="T316" s="417"/>
      <c r="U316" s="294"/>
    </row>
    <row r="317" spans="4:21" ht="17.5" hidden="1" x14ac:dyDescent="0.5">
      <c r="D317" s="6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R317" s="416"/>
      <c r="S317" s="416"/>
      <c r="T317" s="417"/>
      <c r="U317" s="294"/>
    </row>
    <row r="318" spans="4:21" hidden="1" x14ac:dyDescent="0.35"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R318" s="416"/>
      <c r="S318" s="416"/>
      <c r="T318" s="417"/>
      <c r="U318" s="294"/>
    </row>
    <row r="319" spans="4:21" hidden="1" x14ac:dyDescent="0.35"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R319" s="416"/>
      <c r="S319" s="416"/>
      <c r="T319" s="417"/>
      <c r="U319" s="294"/>
    </row>
    <row r="320" spans="4:21" hidden="1" x14ac:dyDescent="0.35"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R320" s="416"/>
      <c r="S320" s="416"/>
      <c r="T320" s="417"/>
      <c r="U320" s="294"/>
    </row>
    <row r="321" spans="4:21" hidden="1" x14ac:dyDescent="0.35">
      <c r="D321" s="38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59"/>
      <c r="R321" s="457"/>
      <c r="S321" s="416"/>
      <c r="T321" s="417"/>
      <c r="U321" s="294"/>
    </row>
    <row r="322" spans="4:21" ht="17.5" hidden="1" x14ac:dyDescent="0.5">
      <c r="D322" s="67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R322" s="416"/>
      <c r="S322" s="416"/>
      <c r="T322" s="417"/>
      <c r="U322" s="294"/>
    </row>
    <row r="323" spans="4:21" hidden="1" x14ac:dyDescent="0.35"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R323" s="416"/>
      <c r="S323" s="416"/>
      <c r="T323" s="417"/>
      <c r="U323" s="294"/>
    </row>
    <row r="324" spans="4:21" hidden="1" x14ac:dyDescent="0.35"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R324" s="416"/>
      <c r="S324" s="416"/>
      <c r="T324" s="417"/>
      <c r="U324" s="294"/>
    </row>
    <row r="325" spans="4:21" hidden="1" x14ac:dyDescent="0.35"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R325" s="416"/>
      <c r="S325" s="416"/>
      <c r="T325" s="417"/>
      <c r="U325" s="294"/>
    </row>
    <row r="326" spans="4:21" hidden="1" x14ac:dyDescent="0.35">
      <c r="D326" s="38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59"/>
      <c r="R326" s="457"/>
      <c r="S326" s="416"/>
      <c r="T326" s="417"/>
      <c r="U326" s="294"/>
    </row>
    <row r="327" spans="4:21" ht="17.5" hidden="1" x14ac:dyDescent="0.5">
      <c r="D327" s="67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R327" s="416"/>
      <c r="S327" s="416"/>
      <c r="T327" s="417"/>
      <c r="U327" s="294"/>
    </row>
    <row r="328" spans="4:21" hidden="1" x14ac:dyDescent="0.35"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R328" s="416"/>
      <c r="S328" s="416"/>
      <c r="T328" s="417"/>
      <c r="U328" s="294"/>
    </row>
    <row r="329" spans="4:21" hidden="1" x14ac:dyDescent="0.35"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R329" s="416"/>
      <c r="S329" s="416"/>
      <c r="T329" s="417"/>
      <c r="U329" s="294"/>
    </row>
    <row r="330" spans="4:21" hidden="1" x14ac:dyDescent="0.35"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R330" s="416"/>
      <c r="S330" s="416"/>
      <c r="T330" s="417"/>
      <c r="U330" s="294"/>
    </row>
    <row r="331" spans="4:21" hidden="1" x14ac:dyDescent="0.35"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59"/>
      <c r="R331" s="457"/>
      <c r="S331" s="416"/>
      <c r="T331" s="417"/>
    </row>
    <row r="332" spans="4:21" hidden="1" x14ac:dyDescent="0.35">
      <c r="R332" s="391"/>
      <c r="S332" s="416"/>
      <c r="T332" s="417"/>
    </row>
    <row r="333" spans="4:21" hidden="1" x14ac:dyDescent="0.35">
      <c r="R333" s="391"/>
      <c r="S333" s="416"/>
      <c r="T333" s="417"/>
    </row>
    <row r="334" spans="4:21" hidden="1" x14ac:dyDescent="0.35">
      <c r="R334" s="391"/>
      <c r="S334" s="416"/>
      <c r="T334" s="417"/>
    </row>
    <row r="335" spans="4:21" hidden="1" x14ac:dyDescent="0.35">
      <c r="R335" s="391"/>
      <c r="S335" s="416"/>
      <c r="T335" s="417"/>
    </row>
    <row r="336" spans="4:21" hidden="1" x14ac:dyDescent="0.35">
      <c r="R336" s="391"/>
      <c r="S336" s="416"/>
      <c r="T336" s="417"/>
    </row>
    <row r="337" spans="1:21" hidden="1" x14ac:dyDescent="0.35">
      <c r="R337" s="391"/>
      <c r="S337" s="416"/>
      <c r="T337" s="417"/>
    </row>
    <row r="338" spans="1:21" hidden="1" x14ac:dyDescent="0.35">
      <c r="R338" s="391"/>
      <c r="S338" s="416"/>
      <c r="T338" s="417"/>
    </row>
    <row r="339" spans="1:21" hidden="1" x14ac:dyDescent="0.35">
      <c r="R339" s="391"/>
      <c r="S339" s="416"/>
      <c r="T339" s="417"/>
    </row>
    <row r="340" spans="1:21" hidden="1" x14ac:dyDescent="0.35">
      <c r="R340" s="391"/>
      <c r="S340" s="416"/>
      <c r="T340" s="417"/>
    </row>
    <row r="341" spans="1:21" hidden="1" x14ac:dyDescent="0.35">
      <c r="A341" s="38"/>
      <c r="B341" s="38"/>
      <c r="C341" s="38"/>
      <c r="D341" s="38"/>
      <c r="R341" s="391"/>
      <c r="S341" s="416"/>
      <c r="T341" s="417"/>
      <c r="U341" s="294"/>
    </row>
    <row r="342" spans="1:21" ht="16.5" hidden="1" thickTop="1" x14ac:dyDescent="0.35">
      <c r="A342" s="72"/>
      <c r="B342" s="72"/>
      <c r="C342" s="72"/>
      <c r="D342" s="72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R342" s="416"/>
      <c r="S342" s="416"/>
      <c r="T342" s="417"/>
      <c r="U342" s="294"/>
    </row>
    <row r="343" spans="1:21" ht="16.5" hidden="1" thickTop="1" x14ac:dyDescent="0.35">
      <c r="A343" s="38"/>
      <c r="B343" s="38"/>
      <c r="C343" s="38"/>
      <c r="D343" s="74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2"/>
      <c r="R343" s="458"/>
      <c r="S343" s="416"/>
      <c r="T343" s="417"/>
      <c r="U343" s="294"/>
    </row>
    <row r="344" spans="1:21" hidden="1" x14ac:dyDescent="0.35">
      <c r="A344" s="38"/>
      <c r="B344" s="38"/>
      <c r="C344" s="38"/>
      <c r="D344" s="75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R344" s="416"/>
      <c r="S344" s="416"/>
      <c r="T344" s="417"/>
      <c r="U344" s="294"/>
    </row>
    <row r="345" spans="1:21" hidden="1" x14ac:dyDescent="0.35">
      <c r="A345" s="38"/>
      <c r="B345" s="38"/>
      <c r="C345" s="38"/>
      <c r="D345" s="75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41"/>
      <c r="R345" s="418"/>
      <c r="S345" s="416"/>
      <c r="T345" s="417"/>
      <c r="U345" s="295"/>
    </row>
    <row r="346" spans="1:21" hidden="1" x14ac:dyDescent="0.35">
      <c r="A346" s="38"/>
      <c r="B346" s="38"/>
      <c r="C346" s="38"/>
      <c r="D346" s="75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6"/>
      <c r="R346" s="420"/>
      <c r="S346" s="416"/>
      <c r="T346" s="417"/>
      <c r="U346" s="294"/>
    </row>
    <row r="347" spans="1:21" hidden="1" x14ac:dyDescent="0.35">
      <c r="A347" s="38"/>
      <c r="B347" s="38"/>
      <c r="C347" s="38"/>
      <c r="D347" s="75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R347" s="416"/>
      <c r="S347" s="416"/>
      <c r="T347" s="417"/>
      <c r="U347" s="294"/>
    </row>
    <row r="348" spans="1:21" hidden="1" x14ac:dyDescent="0.35">
      <c r="A348" s="38"/>
      <c r="B348" s="38"/>
      <c r="C348" s="38"/>
      <c r="D348" s="75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R348" s="416"/>
      <c r="S348" s="416"/>
      <c r="T348" s="417"/>
      <c r="U348" s="294"/>
    </row>
    <row r="349" spans="1:21" hidden="1" x14ac:dyDescent="0.35">
      <c r="A349" s="38"/>
      <c r="B349" s="38"/>
      <c r="C349" s="38"/>
      <c r="D349" s="75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R349" s="416"/>
      <c r="S349" s="416"/>
      <c r="T349" s="417"/>
      <c r="U349" s="294"/>
    </row>
    <row r="350" spans="1:21" hidden="1" x14ac:dyDescent="0.35">
      <c r="A350" s="38"/>
      <c r="B350" s="38"/>
      <c r="C350" s="38"/>
      <c r="D350" s="75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R350" s="416"/>
      <c r="S350" s="416"/>
      <c r="T350" s="417"/>
      <c r="U350" s="294"/>
    </row>
    <row r="351" spans="1:21" hidden="1" x14ac:dyDescent="0.35">
      <c r="A351" s="38"/>
      <c r="B351" s="38"/>
      <c r="C351" s="38"/>
      <c r="D351" s="75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R351" s="416"/>
      <c r="S351" s="416"/>
      <c r="T351" s="417"/>
      <c r="U351" s="294"/>
    </row>
    <row r="352" spans="1:21" hidden="1" x14ac:dyDescent="0.35">
      <c r="A352" s="38"/>
      <c r="B352" s="38"/>
      <c r="C352" s="38"/>
      <c r="D352" s="75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R352" s="416"/>
      <c r="S352" s="416"/>
      <c r="T352" s="417"/>
      <c r="U352" s="294"/>
    </row>
    <row r="353" spans="1:21" hidden="1" x14ac:dyDescent="0.35">
      <c r="A353" s="38"/>
      <c r="B353" s="38"/>
      <c r="C353" s="38"/>
      <c r="D353" s="75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R353" s="416"/>
      <c r="S353" s="416"/>
      <c r="T353" s="417"/>
      <c r="U353" s="294"/>
    </row>
    <row r="354" spans="1:21" hidden="1" x14ac:dyDescent="0.35">
      <c r="A354" s="38"/>
      <c r="B354" s="38"/>
      <c r="C354" s="38"/>
      <c r="D354" s="75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R354" s="416"/>
      <c r="S354" s="416"/>
      <c r="T354" s="417"/>
      <c r="U354" s="294"/>
    </row>
    <row r="355" spans="1:21" hidden="1" x14ac:dyDescent="0.35">
      <c r="A355" s="38"/>
      <c r="B355" s="38"/>
      <c r="C355" s="38"/>
      <c r="D355" s="75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R355" s="416"/>
      <c r="S355" s="416"/>
      <c r="T355" s="417"/>
      <c r="U355" s="294"/>
    </row>
    <row r="356" spans="1:21" hidden="1" x14ac:dyDescent="0.35">
      <c r="A356" s="38"/>
      <c r="B356" s="38"/>
      <c r="C356" s="38"/>
      <c r="D356" s="75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R356" s="416"/>
      <c r="S356" s="416"/>
      <c r="T356" s="417"/>
      <c r="U356" s="294"/>
    </row>
    <row r="357" spans="1:21" hidden="1" x14ac:dyDescent="0.35">
      <c r="A357" s="38"/>
      <c r="B357" s="38"/>
      <c r="C357" s="38"/>
      <c r="D357" s="75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R357" s="416"/>
      <c r="S357" s="416"/>
      <c r="T357" s="417"/>
      <c r="U357" s="294"/>
    </row>
    <row r="358" spans="1:21" hidden="1" x14ac:dyDescent="0.35">
      <c r="A358" s="38"/>
      <c r="B358" s="38"/>
      <c r="C358" s="38"/>
      <c r="D358" s="75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R358" s="416"/>
      <c r="S358" s="416"/>
      <c r="T358" s="417"/>
      <c r="U358" s="294"/>
    </row>
    <row r="359" spans="1:21" hidden="1" x14ac:dyDescent="0.35">
      <c r="A359" s="38"/>
      <c r="B359" s="38"/>
      <c r="C359" s="38"/>
      <c r="D359" s="75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R359" s="416"/>
      <c r="S359" s="416"/>
      <c r="T359" s="417"/>
      <c r="U359" s="294"/>
    </row>
    <row r="360" spans="1:21" hidden="1" x14ac:dyDescent="0.35">
      <c r="A360" s="38"/>
      <c r="B360" s="38"/>
      <c r="C360" s="38"/>
      <c r="D360" s="75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R360" s="416"/>
      <c r="S360" s="416"/>
      <c r="T360" s="417"/>
      <c r="U360" s="294"/>
    </row>
    <row r="361" spans="1:21" hidden="1" x14ac:dyDescent="0.35">
      <c r="D361" s="75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R361" s="416"/>
      <c r="S361" s="416"/>
      <c r="T361" s="417"/>
      <c r="U361" s="294"/>
    </row>
    <row r="362" spans="1:21" hidden="1" x14ac:dyDescent="0.35">
      <c r="D362" s="75"/>
      <c r="R362" s="416"/>
      <c r="S362" s="416"/>
      <c r="T362" s="417"/>
      <c r="U362" s="294"/>
    </row>
    <row r="363" spans="1:21" hidden="1" x14ac:dyDescent="0.35">
      <c r="D363" s="75"/>
      <c r="R363" s="416"/>
      <c r="S363" s="416"/>
      <c r="T363" s="417"/>
      <c r="U363" s="294"/>
    </row>
    <row r="364" spans="1:21" hidden="1" x14ac:dyDescent="0.35">
      <c r="D364" s="75"/>
      <c r="R364" s="416"/>
      <c r="S364" s="416"/>
      <c r="T364" s="417"/>
      <c r="U364" s="294"/>
    </row>
    <row r="365" spans="1:21" hidden="1" x14ac:dyDescent="0.35">
      <c r="D365" s="75"/>
      <c r="R365" s="416"/>
      <c r="S365" s="391"/>
      <c r="T365" s="388"/>
      <c r="U365" s="294"/>
    </row>
    <row r="366" spans="1:21" hidden="1" x14ac:dyDescent="0.35">
      <c r="D366" s="75"/>
      <c r="R366" s="416"/>
      <c r="S366" s="391"/>
      <c r="T366" s="388"/>
      <c r="U366" s="294"/>
    </row>
    <row r="367" spans="1:21" hidden="1" x14ac:dyDescent="0.35">
      <c r="D367" s="75"/>
      <c r="R367" s="416"/>
      <c r="S367" s="391"/>
      <c r="T367" s="388"/>
      <c r="U367" s="294"/>
    </row>
    <row r="368" spans="1:21" hidden="1" x14ac:dyDescent="0.35">
      <c r="D368" s="75"/>
      <c r="R368" s="416"/>
      <c r="S368" s="391"/>
      <c r="T368" s="388"/>
      <c r="U368" s="294"/>
    </row>
    <row r="369" spans="1:21" hidden="1" x14ac:dyDescent="0.35">
      <c r="D369" s="75"/>
      <c r="R369" s="416"/>
      <c r="S369" s="391"/>
      <c r="T369" s="388"/>
      <c r="U369" s="294"/>
    </row>
    <row r="370" spans="1:21" hidden="1" x14ac:dyDescent="0.35">
      <c r="D370" s="75"/>
      <c r="R370" s="416"/>
      <c r="S370" s="391"/>
      <c r="T370" s="388"/>
      <c r="U370" s="294"/>
    </row>
    <row r="371" spans="1:21" hidden="1" x14ac:dyDescent="0.35">
      <c r="D371" s="75"/>
      <c r="R371" s="416"/>
      <c r="S371" s="391"/>
      <c r="T371" s="388"/>
      <c r="U371" s="294"/>
    </row>
    <row r="372" spans="1:21" hidden="1" x14ac:dyDescent="0.35">
      <c r="D372" s="75"/>
      <c r="R372" s="416"/>
      <c r="S372" s="391"/>
      <c r="T372" s="388"/>
      <c r="U372" s="294"/>
    </row>
    <row r="373" spans="1:21" hidden="1" x14ac:dyDescent="0.35">
      <c r="D373" s="75"/>
      <c r="R373" s="416"/>
      <c r="S373" s="391"/>
      <c r="T373" s="388"/>
      <c r="U373" s="294"/>
    </row>
    <row r="374" spans="1:21" hidden="1" x14ac:dyDescent="0.35">
      <c r="D374" s="75"/>
      <c r="R374" s="416"/>
      <c r="S374" s="391"/>
      <c r="T374" s="388"/>
      <c r="U374" s="294"/>
    </row>
    <row r="375" spans="1:21" hidden="1" x14ac:dyDescent="0.35">
      <c r="D375" s="75"/>
      <c r="R375" s="416"/>
      <c r="S375" s="416"/>
      <c r="T375" s="417"/>
      <c r="U375" s="294"/>
    </row>
    <row r="376" spans="1:21" hidden="1" x14ac:dyDescent="0.35">
      <c r="D376" s="75"/>
      <c r="R376" s="416"/>
      <c r="S376" s="416"/>
      <c r="T376" s="417"/>
      <c r="U376" s="294"/>
    </row>
    <row r="377" spans="1:21" hidden="1" x14ac:dyDescent="0.35">
      <c r="D377" s="75"/>
      <c r="R377" s="416"/>
      <c r="S377" s="416"/>
      <c r="T377" s="417"/>
      <c r="U377" s="294"/>
    </row>
    <row r="378" spans="1:21" hidden="1" x14ac:dyDescent="0.35">
      <c r="D378" s="75"/>
      <c r="R378" s="416"/>
      <c r="S378" s="418"/>
      <c r="T378" s="419"/>
      <c r="U378" s="294"/>
    </row>
    <row r="379" spans="1:21" hidden="1" x14ac:dyDescent="0.35">
      <c r="D379" s="75"/>
      <c r="R379" s="416"/>
      <c r="S379" s="420"/>
      <c r="T379" s="421"/>
      <c r="U379" s="294"/>
    </row>
    <row r="380" spans="1:21" hidden="1" x14ac:dyDescent="0.35">
      <c r="R380" s="416"/>
      <c r="S380" s="416"/>
      <c r="T380" s="417"/>
    </row>
    <row r="381" spans="1:21" hidden="1" x14ac:dyDescent="0.35"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459"/>
      <c r="S381" s="416"/>
      <c r="T381" s="417"/>
      <c r="U381" s="296"/>
    </row>
    <row r="382" spans="1:21" hidden="1" x14ac:dyDescent="0.35">
      <c r="Q382" s="78"/>
      <c r="R382" s="422"/>
      <c r="S382" s="416"/>
      <c r="T382" s="417"/>
    </row>
    <row r="383" spans="1:21" hidden="1" x14ac:dyDescent="0.35">
      <c r="R383" s="391"/>
      <c r="S383" s="416"/>
      <c r="T383" s="417"/>
    </row>
    <row r="384" spans="1:21" hidden="1" x14ac:dyDescent="0.35">
      <c r="A384" s="38"/>
      <c r="B384" s="38"/>
      <c r="C384" s="38"/>
      <c r="D384" s="38"/>
      <c r="R384" s="391"/>
      <c r="S384" s="416"/>
      <c r="T384" s="417"/>
      <c r="U384" s="294"/>
    </row>
    <row r="385" spans="1:21" ht="16.5" hidden="1" thickTop="1" x14ac:dyDescent="0.35">
      <c r="A385" s="72"/>
      <c r="B385" s="72"/>
      <c r="C385" s="72"/>
      <c r="D385" s="72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R385" s="416"/>
      <c r="S385" s="416"/>
      <c r="T385" s="417"/>
      <c r="U385" s="294"/>
    </row>
    <row r="386" spans="1:21" ht="16.5" hidden="1" thickTop="1" x14ac:dyDescent="0.35"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2"/>
      <c r="R386" s="458"/>
      <c r="S386" s="416"/>
      <c r="T386" s="417"/>
    </row>
    <row r="387" spans="1:21" hidden="1" x14ac:dyDescent="0.35">
      <c r="R387" s="391"/>
      <c r="S387" s="416"/>
      <c r="T387" s="417"/>
    </row>
    <row r="388" spans="1:21" hidden="1" x14ac:dyDescent="0.35"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R388" s="391"/>
      <c r="S388" s="416"/>
      <c r="T388" s="417"/>
    </row>
    <row r="389" spans="1:21" hidden="1" x14ac:dyDescent="0.35">
      <c r="R389" s="391"/>
      <c r="S389" s="416"/>
      <c r="T389" s="417"/>
    </row>
    <row r="390" spans="1:21" hidden="1" x14ac:dyDescent="0.35">
      <c r="R390" s="391"/>
      <c r="S390" s="416"/>
      <c r="T390" s="417"/>
    </row>
    <row r="391" spans="1:21" hidden="1" x14ac:dyDescent="0.35">
      <c r="R391" s="391"/>
      <c r="S391" s="416"/>
      <c r="T391" s="417"/>
    </row>
    <row r="392" spans="1:21" hidden="1" x14ac:dyDescent="0.35">
      <c r="R392" s="391"/>
      <c r="S392" s="416"/>
      <c r="T392" s="417"/>
    </row>
    <row r="393" spans="1:21" hidden="1" x14ac:dyDescent="0.35">
      <c r="R393" s="391"/>
      <c r="S393" s="416"/>
      <c r="T393" s="417"/>
    </row>
    <row r="394" spans="1:21" x14ac:dyDescent="0.35"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R394" s="391"/>
      <c r="S394" s="416"/>
      <c r="T394" s="417"/>
    </row>
    <row r="395" spans="1:21" x14ac:dyDescent="0.35">
      <c r="Q395" s="391"/>
      <c r="R395" s="391"/>
      <c r="S395" s="416"/>
      <c r="T395" s="417"/>
    </row>
    <row r="396" spans="1:21" x14ac:dyDescent="0.35">
      <c r="Q396" s="391"/>
      <c r="R396" s="391"/>
      <c r="S396" s="416"/>
      <c r="T396" s="417"/>
    </row>
    <row r="397" spans="1:21" x14ac:dyDescent="0.35">
      <c r="Q397" s="391"/>
      <c r="R397" s="391"/>
      <c r="S397" s="416"/>
      <c r="T397" s="417"/>
    </row>
    <row r="398" spans="1:21" x14ac:dyDescent="0.35">
      <c r="Q398" s="391"/>
      <c r="R398" s="391"/>
      <c r="S398" s="416"/>
      <c r="T398" s="417"/>
    </row>
    <row r="399" spans="1:21" x14ac:dyDescent="0.35">
      <c r="Q399" s="391"/>
      <c r="R399" s="391"/>
      <c r="S399" s="416"/>
      <c r="T399" s="417"/>
    </row>
    <row r="400" spans="1:21" x14ac:dyDescent="0.35">
      <c r="Q400" s="391"/>
      <c r="R400" s="391"/>
      <c r="S400" s="416"/>
      <c r="T400" s="417"/>
    </row>
    <row r="401" spans="17:20" x14ac:dyDescent="0.35">
      <c r="Q401" s="391"/>
      <c r="R401" s="391"/>
      <c r="S401" s="416"/>
      <c r="T401" s="417"/>
    </row>
    <row r="402" spans="17:20" x14ac:dyDescent="0.35">
      <c r="Q402" s="391"/>
      <c r="R402" s="391"/>
      <c r="S402" s="416"/>
      <c r="T402" s="417"/>
    </row>
    <row r="403" spans="17:20" x14ac:dyDescent="0.35">
      <c r="Q403" s="391"/>
      <c r="R403" s="391"/>
      <c r="S403" s="416"/>
      <c r="T403" s="417"/>
    </row>
    <row r="404" spans="17:20" x14ac:dyDescent="0.35">
      <c r="Q404" s="391"/>
      <c r="R404" s="391"/>
      <c r="S404" s="416"/>
      <c r="T404" s="417"/>
    </row>
    <row r="405" spans="17:20" x14ac:dyDescent="0.35">
      <c r="Q405" s="391"/>
      <c r="R405" s="391"/>
      <c r="S405" s="416"/>
      <c r="T405" s="417"/>
    </row>
    <row r="406" spans="17:20" x14ac:dyDescent="0.35">
      <c r="Q406" s="391"/>
      <c r="R406" s="391"/>
      <c r="S406" s="416"/>
      <c r="T406" s="417"/>
    </row>
    <row r="407" spans="17:20" x14ac:dyDescent="0.35">
      <c r="Q407" s="391"/>
      <c r="R407" s="391"/>
      <c r="S407" s="416"/>
      <c r="T407" s="417"/>
    </row>
    <row r="408" spans="17:20" x14ac:dyDescent="0.35">
      <c r="Q408" s="391"/>
      <c r="R408" s="391"/>
      <c r="S408" s="416"/>
      <c r="T408" s="417"/>
    </row>
    <row r="409" spans="17:20" x14ac:dyDescent="0.35">
      <c r="Q409" s="391"/>
      <c r="R409" s="391"/>
      <c r="S409" s="416"/>
      <c r="T409" s="417"/>
    </row>
    <row r="410" spans="17:20" x14ac:dyDescent="0.35">
      <c r="Q410" s="391"/>
      <c r="R410" s="391"/>
      <c r="S410" s="416"/>
      <c r="T410" s="417"/>
    </row>
    <row r="411" spans="17:20" x14ac:dyDescent="0.35">
      <c r="Q411" s="391"/>
      <c r="R411" s="391"/>
      <c r="S411" s="416"/>
      <c r="T411" s="417"/>
    </row>
    <row r="412" spans="17:20" x14ac:dyDescent="0.35">
      <c r="Q412" s="391"/>
      <c r="R412" s="391"/>
      <c r="S412" s="416"/>
      <c r="T412" s="417"/>
    </row>
    <row r="413" spans="17:20" x14ac:dyDescent="0.35">
      <c r="Q413" s="391"/>
      <c r="R413" s="391"/>
      <c r="S413" s="416"/>
      <c r="T413" s="417"/>
    </row>
    <row r="414" spans="17:20" x14ac:dyDescent="0.35">
      <c r="Q414" s="391"/>
      <c r="R414" s="391"/>
      <c r="S414" s="391"/>
      <c r="T414" s="388"/>
    </row>
    <row r="415" spans="17:20" x14ac:dyDescent="0.35">
      <c r="Q415" s="391"/>
      <c r="R415" s="391"/>
      <c r="S415" s="422"/>
      <c r="T415" s="423"/>
    </row>
    <row r="416" spans="17:20" x14ac:dyDescent="0.35">
      <c r="Q416" s="391"/>
      <c r="R416" s="391"/>
      <c r="S416" s="391"/>
      <c r="T416" s="388"/>
    </row>
    <row r="417" spans="17:20" x14ac:dyDescent="0.35">
      <c r="Q417" s="391"/>
      <c r="R417" s="391"/>
      <c r="S417" s="391"/>
      <c r="T417" s="388"/>
    </row>
    <row r="418" spans="17:20" x14ac:dyDescent="0.35">
      <c r="Q418" s="391"/>
      <c r="R418" s="391"/>
      <c r="S418" s="416"/>
      <c r="T418" s="417"/>
    </row>
    <row r="419" spans="17:20" x14ac:dyDescent="0.35">
      <c r="R419" s="391"/>
      <c r="S419" s="416"/>
      <c r="T419" s="417"/>
    </row>
  </sheetData>
  <sheetProtection formatColumns="0" selectLockedCells="1"/>
  <phoneticPr fontId="0" type="noConversion"/>
  <conditionalFormatting sqref="E140:P166">
    <cfRule type="expression" dxfId="71" priority="428">
      <formula>E204&gt;0</formula>
    </cfRule>
    <cfRule type="expression" dxfId="70" priority="429">
      <formula>E172&gt;0</formula>
    </cfRule>
  </conditionalFormatting>
  <conditionalFormatting sqref="E168:Q168">
    <cfRule type="expression" dxfId="69" priority="3">
      <formula>ABS(E168)&lt;1</formula>
    </cfRule>
  </conditionalFormatting>
  <conditionalFormatting sqref="E200:Q201">
    <cfRule type="expression" dxfId="68" priority="2">
      <formula>ABS(E200)&lt;1</formula>
    </cfRule>
  </conditionalFormatting>
  <conditionalFormatting sqref="E232:Q232">
    <cfRule type="expression" dxfId="67" priority="4">
      <formula>ABS(E232)&lt;1</formula>
    </cfRule>
  </conditionalFormatting>
  <conditionalFormatting sqref="E277:Q277">
    <cfRule type="cellIs" dxfId="66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F05A3260-14EE-43DD-87BD-E5FD1D65D156}"/>
  </dataValidations>
  <printOptions horizontalCentered="1" verticalCentered="1"/>
  <pageMargins left="0.25" right="0.25" top="0.75" bottom="0.75" header="0.3" footer="0.3"/>
  <pageSetup scale="45" fitToHeight="2" orientation="landscape" r:id="rId1"/>
  <headerFooter>
    <oddHeader>&amp;R&amp;D</oddHeader>
    <oddFooter>Page &amp;P of &amp;N</oddFooter>
  </headerFooter>
  <rowBreaks count="1" manualBreakCount="1">
    <brk id="72" min="1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tabColor theme="0"/>
  </sheetPr>
  <dimension ref="A1:V203"/>
  <sheetViews>
    <sheetView tabSelected="1" view="pageBreakPreview" topLeftCell="A11" zoomScale="60" zoomScaleNormal="77" workbookViewId="0">
      <selection activeCell="A11" sqref="A11"/>
    </sheetView>
  </sheetViews>
  <sheetFormatPr defaultColWidth="10.81640625" defaultRowHeight="16" outlineLevelCol="1" x14ac:dyDescent="0.35"/>
  <cols>
    <col min="1" max="1" width="15.54296875" style="34" bestFit="1" customWidth="1"/>
    <col min="2" max="2" width="9.1796875" style="34" customWidth="1"/>
    <col min="3" max="3" width="2.81640625" style="34" customWidth="1"/>
    <col min="4" max="4" width="37.81640625" style="34" customWidth="1"/>
    <col min="5" max="5" width="14" style="34" customWidth="1"/>
    <col min="6" max="6" width="12.81640625" style="34" customWidth="1"/>
    <col min="7" max="8" width="15.81640625" style="34" customWidth="1"/>
    <col min="9" max="9" width="13.81640625" style="34" customWidth="1"/>
    <col min="10" max="10" width="13.1796875" style="34" customWidth="1"/>
    <col min="11" max="16" width="12.81640625" style="34" customWidth="1"/>
    <col min="17" max="17" width="13.1796875" style="34" bestFit="1" customWidth="1"/>
    <col min="18" max="18" width="13.81640625" style="34" bestFit="1" customWidth="1"/>
    <col min="19" max="19" width="13.1796875" style="34" customWidth="1" outlineLevel="1"/>
    <col min="20" max="20" width="11.1796875" style="330" customWidth="1" outlineLevel="1"/>
    <col min="21" max="21" width="9.81640625" style="54" bestFit="1" customWidth="1"/>
    <col min="22" max="22" width="47.1796875" style="34" bestFit="1" customWidth="1"/>
    <col min="23" max="16384" width="10.81640625" style="34"/>
  </cols>
  <sheetData>
    <row r="1" spans="1:22" s="51" customFormat="1" ht="29" x14ac:dyDescent="0.25">
      <c r="B1" s="280" t="s">
        <v>205</v>
      </c>
      <c r="C1" s="280"/>
      <c r="J1" s="52" t="str">
        <f>+'4080'!J1</f>
        <v>Operating Budget</v>
      </c>
      <c r="Q1" s="389">
        <f>'NI LLC-Consolidated'!Q1</f>
        <v>46023</v>
      </c>
      <c r="R1" s="389"/>
      <c r="S1" s="389"/>
      <c r="T1" s="390"/>
      <c r="U1" s="291"/>
    </row>
    <row r="2" spans="1:22" ht="18" x14ac:dyDescent="0.35">
      <c r="J2" s="120" t="str">
        <f>+'4080'!J2</f>
        <v>Neshaminy Interplex LLC</v>
      </c>
      <c r="Q2" s="391"/>
      <c r="R2" s="391"/>
      <c r="S2" s="391"/>
      <c r="T2" s="388"/>
    </row>
    <row r="3" spans="1:22" ht="18" x14ac:dyDescent="0.35">
      <c r="Q3" s="468">
        <f>Q1</f>
        <v>46023</v>
      </c>
      <c r="R3" s="469"/>
      <c r="S3" s="392" t="s">
        <v>504</v>
      </c>
      <c r="T3" s="393"/>
    </row>
    <row r="4" spans="1:22" s="39" customFormat="1" ht="18" x14ac:dyDescent="0.35">
      <c r="B4" s="281">
        <v>15083</v>
      </c>
      <c r="C4" s="281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29" t="s">
        <v>12</v>
      </c>
      <c r="R4" s="429" t="s">
        <v>442</v>
      </c>
      <c r="S4" s="394" t="s">
        <v>12</v>
      </c>
      <c r="T4" s="395" t="s">
        <v>503</v>
      </c>
      <c r="U4" s="292" t="s">
        <v>449</v>
      </c>
      <c r="V4" s="297" t="s">
        <v>370</v>
      </c>
    </row>
    <row r="5" spans="1:22" x14ac:dyDescent="0.35">
      <c r="Q5" s="430"/>
      <c r="R5" s="430"/>
      <c r="S5" s="396"/>
      <c r="T5" s="397"/>
      <c r="U5" s="294"/>
      <c r="V5" s="38"/>
    </row>
    <row r="6" spans="1:22" s="56" customFormat="1" x14ac:dyDescent="0.35">
      <c r="B6" s="57"/>
      <c r="D6" s="276" t="s">
        <v>13</v>
      </c>
      <c r="E6" s="277">
        <f>'Renew &amp; Vac'!AJ97</f>
        <v>0.95760000000000001</v>
      </c>
      <c r="F6" s="277">
        <f>'Renew &amp; Vac'!AK97</f>
        <v>1</v>
      </c>
      <c r="G6" s="277">
        <f>'Renew &amp; Vac'!AL97</f>
        <v>1</v>
      </c>
      <c r="H6" s="277">
        <f>'Renew &amp; Vac'!AM97</f>
        <v>1</v>
      </c>
      <c r="I6" s="277">
        <f>'Renew &amp; Vac'!AN97</f>
        <v>1</v>
      </c>
      <c r="J6" s="277">
        <f>'Renew &amp; Vac'!AO97</f>
        <v>1</v>
      </c>
      <c r="K6" s="277">
        <f>'Renew &amp; Vac'!AP97</f>
        <v>1</v>
      </c>
      <c r="L6" s="277">
        <f>'Renew &amp; Vac'!AQ97</f>
        <v>1</v>
      </c>
      <c r="M6" s="277">
        <f>'Renew &amp; Vac'!AR97</f>
        <v>0.96840000000000004</v>
      </c>
      <c r="N6" s="277">
        <f>'Renew &amp; Vac'!AS97</f>
        <v>0.96840000000000004</v>
      </c>
      <c r="O6" s="277">
        <f>'Renew &amp; Vac'!AT97</f>
        <v>0.96840000000000004</v>
      </c>
      <c r="P6" s="277">
        <f>'Renew &amp; Vac'!AU97</f>
        <v>0.96840000000000004</v>
      </c>
      <c r="Q6" s="431"/>
      <c r="R6" s="431"/>
      <c r="S6" s="398"/>
      <c r="T6" s="399"/>
      <c r="U6" s="298"/>
      <c r="V6" s="299"/>
    </row>
    <row r="7" spans="1:22" s="56" customFormat="1" x14ac:dyDescent="0.35">
      <c r="B7" s="57"/>
      <c r="D7" s="276" t="s">
        <v>447</v>
      </c>
      <c r="E7" s="278">
        <f>$B$4*E6</f>
        <v>14443.480799999999</v>
      </c>
      <c r="F7" s="278">
        <f t="shared" ref="F7:P7" si="0">$B$4*F6</f>
        <v>15083</v>
      </c>
      <c r="G7" s="278">
        <f t="shared" si="0"/>
        <v>15083</v>
      </c>
      <c r="H7" s="278">
        <f t="shared" si="0"/>
        <v>15083</v>
      </c>
      <c r="I7" s="278">
        <f t="shared" si="0"/>
        <v>15083</v>
      </c>
      <c r="J7" s="278">
        <f t="shared" si="0"/>
        <v>15083</v>
      </c>
      <c r="K7" s="278">
        <f t="shared" si="0"/>
        <v>15083</v>
      </c>
      <c r="L7" s="278">
        <f t="shared" si="0"/>
        <v>15083</v>
      </c>
      <c r="M7" s="278">
        <f t="shared" si="0"/>
        <v>14606.377200000001</v>
      </c>
      <c r="N7" s="278">
        <f t="shared" si="0"/>
        <v>14606.377200000001</v>
      </c>
      <c r="O7" s="278">
        <f t="shared" si="0"/>
        <v>14606.377200000001</v>
      </c>
      <c r="P7" s="278">
        <f t="shared" si="0"/>
        <v>14606.377200000001</v>
      </c>
      <c r="Q7" s="431"/>
      <c r="R7" s="431"/>
      <c r="S7" s="398"/>
      <c r="T7" s="399"/>
      <c r="U7" s="298"/>
      <c r="V7" s="299"/>
    </row>
    <row r="8" spans="1:22" ht="18" x14ac:dyDescent="0.35">
      <c r="B8" s="35" t="s">
        <v>14</v>
      </c>
      <c r="Q8" s="430"/>
      <c r="R8" s="430"/>
      <c r="S8" s="396"/>
      <c r="T8" s="397"/>
      <c r="U8" s="294"/>
      <c r="V8" s="38"/>
    </row>
    <row r="9" spans="1:22" x14ac:dyDescent="0.35">
      <c r="A9" s="110"/>
      <c r="Q9" s="430"/>
      <c r="R9" s="430"/>
      <c r="S9" s="396"/>
      <c r="T9" s="397"/>
      <c r="U9" s="294"/>
      <c r="V9" s="38"/>
    </row>
    <row r="10" spans="1:22" x14ac:dyDescent="0.35">
      <c r="A10" s="110" t="s">
        <v>136</v>
      </c>
      <c r="C10" s="34" t="s">
        <v>163</v>
      </c>
      <c r="E10" s="34">
        <f>SUMIFS('In Place Revenue'!$G:$G,'In Place Revenue'!$A:$A,"40A0",'In Place Revenue'!$H:$H,1)</f>
        <v>10689.75</v>
      </c>
      <c r="F10" s="34">
        <f>SUMIFS('In Place Revenue'!$G:$G,'In Place Revenue'!$A:$A,"40A0",'In Place Revenue'!$H:$H,2)</f>
        <v>8322.19</v>
      </c>
      <c r="G10" s="34">
        <f>SUMIFS('In Place Revenue'!$G:$G,'In Place Revenue'!$A:$A,"40A0",'In Place Revenue'!$H:$H,3)</f>
        <v>8322.19</v>
      </c>
      <c r="H10" s="34">
        <f>SUMIFS('In Place Revenue'!$G:$G,'In Place Revenue'!$A:$A,"40A0",'In Place Revenue'!$H:$H,4)</f>
        <v>8322.19</v>
      </c>
      <c r="I10" s="34">
        <f>SUMIFS('In Place Revenue'!$G:$G,'In Place Revenue'!$A:$A,"40A0",'In Place Revenue'!$H:$H,5)</f>
        <v>8322.19</v>
      </c>
      <c r="J10" s="34">
        <f>SUMIFS('In Place Revenue'!$G:$G,'In Place Revenue'!$A:$A,"40A0",'In Place Revenue'!$H:$H,6)</f>
        <v>8322.19</v>
      </c>
      <c r="K10" s="34">
        <f>SUMIFS('In Place Revenue'!$G:$G,'In Place Revenue'!$A:$A,"40A0",'In Place Revenue'!$H:$H,7)</f>
        <v>8322.19</v>
      </c>
      <c r="L10" s="34">
        <f>SUMIFS('In Place Revenue'!$G:$G,'In Place Revenue'!$A:$A,"40A0",'In Place Revenue'!$H:$H,8)</f>
        <v>8322.19</v>
      </c>
      <c r="M10" s="34">
        <f>SUMIFS('In Place Revenue'!$G:$G,'In Place Revenue'!$A:$A,"40A0",'In Place Revenue'!$H:$H,9)</f>
        <v>8322.19</v>
      </c>
      <c r="N10" s="34">
        <f>SUMIFS('In Place Revenue'!$G:$G,'In Place Revenue'!$A:$A,"40A0",'In Place Revenue'!$H:$H,10)</f>
        <v>8322.19</v>
      </c>
      <c r="O10" s="34">
        <f>SUMIFS('In Place Revenue'!$G:$G,'In Place Revenue'!$A:$A,"40A0",'In Place Revenue'!$H:$H,11)</f>
        <v>8322.19</v>
      </c>
      <c r="P10" s="34">
        <f>SUMIFS('In Place Revenue'!$G:$G,'In Place Revenue'!$A:$A,"40A0",'In Place Revenue'!$H:$H,12)</f>
        <v>8322.19</v>
      </c>
      <c r="Q10" s="430">
        <f>SUM(E10:P10)</f>
        <v>102233.84000000003</v>
      </c>
      <c r="R10" s="432">
        <f>Q10/$B$4</f>
        <v>6.7780839355565883</v>
      </c>
      <c r="S10" s="396">
        <v>147293.41</v>
      </c>
      <c r="T10" s="460">
        <f>IFERROR((Q11+Q10)/S10-1,"-")</f>
        <v>-1.9655263825675062E-2</v>
      </c>
      <c r="U10" s="300"/>
      <c r="V10" s="38"/>
    </row>
    <row r="11" spans="1:22" x14ac:dyDescent="0.35">
      <c r="A11" s="110" t="s">
        <v>136</v>
      </c>
      <c r="C11" s="34" t="s">
        <v>164</v>
      </c>
      <c r="E11" s="34">
        <f>'Renew &amp; Vac'!AJ98</f>
        <v>733.83333333333337</v>
      </c>
      <c r="F11" s="34">
        <f>'Renew &amp; Vac'!AK98</f>
        <v>4033.2708333333335</v>
      </c>
      <c r="G11" s="34">
        <f>'Renew &amp; Vac'!AL98</f>
        <v>4033.2708333333335</v>
      </c>
      <c r="H11" s="34">
        <f>'Renew &amp; Vac'!AM98</f>
        <v>4033.2708333333335</v>
      </c>
      <c r="I11" s="34">
        <f>'Renew &amp; Vac'!AN98</f>
        <v>4033.2708333333335</v>
      </c>
      <c r="J11" s="34">
        <f>'Renew &amp; Vac'!AO98</f>
        <v>4033.2708333333335</v>
      </c>
      <c r="K11" s="34">
        <f>'Renew &amp; Vac'!AP98</f>
        <v>4033.2708333333335</v>
      </c>
      <c r="L11" s="34">
        <f>'Renew &amp; Vac'!AQ98</f>
        <v>4033.2708333333335</v>
      </c>
      <c r="M11" s="34">
        <f>'Renew &amp; Vac'!AR98</f>
        <v>3299.4375</v>
      </c>
      <c r="N11" s="34">
        <f>'Renew &amp; Vac'!AS98</f>
        <v>3299.4375</v>
      </c>
      <c r="O11" s="34">
        <f>'Renew &amp; Vac'!AT98</f>
        <v>3299.4375</v>
      </c>
      <c r="P11" s="34">
        <f>'Renew &amp; Vac'!AU98</f>
        <v>3299.4375</v>
      </c>
      <c r="Q11" s="430">
        <f>SUM(E11:P11)</f>
        <v>42164.479166666664</v>
      </c>
      <c r="R11" s="432">
        <f t="shared" ref="R11:R73" si="1">Q11/$B$4</f>
        <v>2.7954968618091005</v>
      </c>
      <c r="S11" s="396"/>
      <c r="T11" s="460" t="str">
        <f>IFERROR(Q11/S11-1,"-")</f>
        <v>-</v>
      </c>
      <c r="U11" s="300"/>
      <c r="V11" s="38"/>
    </row>
    <row r="12" spans="1:22" hidden="1" x14ac:dyDescent="0.35">
      <c r="A12" s="110" t="s">
        <v>101</v>
      </c>
      <c r="C12" s="34" t="s">
        <v>16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30">
        <f>SUM(E12:P12)</f>
        <v>0</v>
      </c>
      <c r="R12" s="432">
        <f t="shared" si="1"/>
        <v>0</v>
      </c>
      <c r="S12" s="396"/>
      <c r="T12" s="399" t="e">
        <f>R12/S12-1</f>
        <v>#DIV/0!</v>
      </c>
      <c r="U12" s="300"/>
      <c r="V12" s="38"/>
    </row>
    <row r="13" spans="1:22" x14ac:dyDescent="0.35">
      <c r="A13" s="110" t="s">
        <v>137</v>
      </c>
      <c r="C13" s="34" t="s">
        <v>17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30">
        <f>SUM(E13:P13)</f>
        <v>0</v>
      </c>
      <c r="R13" s="432">
        <f t="shared" si="1"/>
        <v>0</v>
      </c>
      <c r="S13" s="396"/>
      <c r="T13" s="460" t="str">
        <f>IFERROR(Q13/S13-1,"-")</f>
        <v>-</v>
      </c>
      <c r="U13" s="300"/>
      <c r="V13" s="38"/>
    </row>
    <row r="14" spans="1:22" x14ac:dyDescent="0.35">
      <c r="A14" s="110" t="s">
        <v>138</v>
      </c>
      <c r="C14" s="34" t="s">
        <v>18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30">
        <f>SUM(E14:P14)</f>
        <v>0</v>
      </c>
      <c r="R14" s="432">
        <f t="shared" si="1"/>
        <v>0</v>
      </c>
      <c r="S14" s="396"/>
      <c r="T14" s="460" t="str">
        <f>IFERROR(Q14/S14-1,"-")</f>
        <v>-</v>
      </c>
      <c r="U14" s="300"/>
      <c r="V14" s="38"/>
    </row>
    <row r="15" spans="1:22" x14ac:dyDescent="0.35">
      <c r="A15" s="110"/>
      <c r="C15" s="34" t="s">
        <v>19</v>
      </c>
      <c r="D15" s="44"/>
      <c r="E15" s="59">
        <f t="shared" ref="E15:P15" si="2">SUM(E10:E14)</f>
        <v>11423.583333333334</v>
      </c>
      <c r="F15" s="59">
        <f t="shared" si="2"/>
        <v>12355.460833333334</v>
      </c>
      <c r="G15" s="59">
        <f t="shared" si="2"/>
        <v>12355.460833333334</v>
      </c>
      <c r="H15" s="59">
        <f t="shared" si="2"/>
        <v>12355.460833333334</v>
      </c>
      <c r="I15" s="59">
        <f t="shared" si="2"/>
        <v>12355.460833333334</v>
      </c>
      <c r="J15" s="59">
        <f t="shared" si="2"/>
        <v>12355.460833333334</v>
      </c>
      <c r="K15" s="59">
        <f t="shared" si="2"/>
        <v>12355.460833333334</v>
      </c>
      <c r="L15" s="59">
        <f t="shared" si="2"/>
        <v>12355.460833333334</v>
      </c>
      <c r="M15" s="59">
        <f t="shared" si="2"/>
        <v>11621.627500000001</v>
      </c>
      <c r="N15" s="59">
        <f t="shared" si="2"/>
        <v>11621.627500000001</v>
      </c>
      <c r="O15" s="59">
        <f t="shared" si="2"/>
        <v>11621.627500000001</v>
      </c>
      <c r="P15" s="59">
        <f t="shared" si="2"/>
        <v>11621.627500000001</v>
      </c>
      <c r="Q15" s="433">
        <f>SUM(Q10:Q14)</f>
        <v>144398.31916666668</v>
      </c>
      <c r="R15" s="434">
        <f t="shared" si="1"/>
        <v>9.5735807973656879</v>
      </c>
      <c r="S15" s="400">
        <f>SUM(S10:S14)</f>
        <v>147293.41</v>
      </c>
      <c r="T15" s="461">
        <f>IFERROR(Q15/S15-1,"-")</f>
        <v>-1.9655263825675062E-2</v>
      </c>
      <c r="U15" s="300"/>
      <c r="V15" s="38"/>
    </row>
    <row r="16" spans="1:22" ht="18" x14ac:dyDescent="0.35">
      <c r="A16" s="110"/>
      <c r="Q16" s="435"/>
      <c r="R16" s="436"/>
      <c r="S16" s="402"/>
      <c r="T16" s="403"/>
      <c r="U16" s="301"/>
      <c r="V16" s="38"/>
    </row>
    <row r="17" spans="1:22" ht="18" x14ac:dyDescent="0.35">
      <c r="A17" s="110"/>
      <c r="B17" s="35" t="s">
        <v>20</v>
      </c>
      <c r="Q17" s="430"/>
      <c r="R17" s="432"/>
      <c r="S17" s="396"/>
      <c r="T17" s="399"/>
      <c r="U17" s="300"/>
      <c r="V17" s="38"/>
    </row>
    <row r="18" spans="1:22" x14ac:dyDescent="0.35">
      <c r="A18" s="110" t="s">
        <v>102</v>
      </c>
      <c r="C18" s="34" t="s">
        <v>21</v>
      </c>
      <c r="E18" s="34">
        <f>E6*E29</f>
        <v>3711.6576</v>
      </c>
      <c r="F18" s="34">
        <f t="shared" ref="F18:P18" si="3">F6*F29</f>
        <v>3593</v>
      </c>
      <c r="G18" s="34">
        <f t="shared" si="3"/>
        <v>3143</v>
      </c>
      <c r="H18" s="34">
        <f t="shared" si="3"/>
        <v>2064</v>
      </c>
      <c r="I18" s="34">
        <f t="shared" si="3"/>
        <v>1669</v>
      </c>
      <c r="J18" s="34">
        <f t="shared" si="3"/>
        <v>1748</v>
      </c>
      <c r="K18" s="34">
        <f t="shared" si="3"/>
        <v>2119</v>
      </c>
      <c r="L18" s="34">
        <f t="shared" si="3"/>
        <v>2027</v>
      </c>
      <c r="M18" s="34">
        <f t="shared" si="3"/>
        <v>1647.2484000000002</v>
      </c>
      <c r="N18" s="34">
        <f t="shared" si="3"/>
        <v>1719.8784000000001</v>
      </c>
      <c r="O18" s="34">
        <f t="shared" si="3"/>
        <v>2275.7400000000002</v>
      </c>
      <c r="P18" s="34">
        <f t="shared" si="3"/>
        <v>3238.3296</v>
      </c>
      <c r="Q18" s="430">
        <f>SUM(E18:P18)</f>
        <v>28955.854000000003</v>
      </c>
      <c r="R18" s="432">
        <f t="shared" ref="R18" si="4">Q18/$B$4</f>
        <v>1.9197675528740969</v>
      </c>
      <c r="S18" s="396">
        <v>29367.23</v>
      </c>
      <c r="T18" s="460">
        <f>IFERROR(Q18/S18-1,"-")</f>
        <v>-1.4007994625301667E-2</v>
      </c>
      <c r="U18" s="300" t="s">
        <v>371</v>
      </c>
      <c r="V18" s="316" t="str">
        <f>Q18/Q29*100&amp;"% Set to occupancy"</f>
        <v>98.4558109486569% Set to occupancy</v>
      </c>
    </row>
    <row r="19" spans="1:22" x14ac:dyDescent="0.35">
      <c r="A19" s="110" t="s">
        <v>103</v>
      </c>
      <c r="C19" s="34" t="s">
        <v>22</v>
      </c>
      <c r="E19" s="34">
        <f>+'Tenant Recoveries'!J21</f>
        <v>11400</v>
      </c>
      <c r="F19" s="34">
        <f>+E19</f>
        <v>11400</v>
      </c>
      <c r="G19" s="34">
        <f t="shared" ref="G19:P20" si="5">+F19</f>
        <v>11400</v>
      </c>
      <c r="H19" s="34">
        <f t="shared" si="5"/>
        <v>11400</v>
      </c>
      <c r="I19" s="34">
        <f t="shared" si="5"/>
        <v>11400</v>
      </c>
      <c r="J19" s="34">
        <f t="shared" si="5"/>
        <v>11400</v>
      </c>
      <c r="K19" s="34">
        <f t="shared" si="5"/>
        <v>11400</v>
      </c>
      <c r="L19" s="34">
        <f t="shared" si="5"/>
        <v>11400</v>
      </c>
      <c r="M19" s="34">
        <f t="shared" si="5"/>
        <v>11400</v>
      </c>
      <c r="N19" s="34">
        <f t="shared" si="5"/>
        <v>11400</v>
      </c>
      <c r="O19" s="34">
        <f t="shared" si="5"/>
        <v>11400</v>
      </c>
      <c r="P19" s="34">
        <f t="shared" si="5"/>
        <v>11400</v>
      </c>
      <c r="Q19" s="430">
        <f>SUM(E19:P19)</f>
        <v>136800</v>
      </c>
      <c r="R19" s="432">
        <f t="shared" si="1"/>
        <v>9.0698136975402779</v>
      </c>
      <c r="S19" s="396">
        <v>103700</v>
      </c>
      <c r="T19" s="460">
        <f>IFERROR(Q19/S19-1,"-")</f>
        <v>0.31918997107039537</v>
      </c>
      <c r="U19" s="300"/>
      <c r="V19" s="316">
        <f>Q19/(Q71-Q63-Q58-Q29)</f>
        <v>1.0218450279632934</v>
      </c>
    </row>
    <row r="20" spans="1:22" x14ac:dyDescent="0.35">
      <c r="A20" s="110" t="s">
        <v>104</v>
      </c>
      <c r="C20" s="34" t="s">
        <v>23</v>
      </c>
      <c r="E20" s="34">
        <f>+'Tenant Recoveries'!J22</f>
        <v>1600</v>
      </c>
      <c r="F20" s="34">
        <f>+E20</f>
        <v>1600</v>
      </c>
      <c r="G20" s="34">
        <f t="shared" si="5"/>
        <v>1600</v>
      </c>
      <c r="H20" s="34">
        <f t="shared" si="5"/>
        <v>1600</v>
      </c>
      <c r="I20" s="34">
        <f t="shared" si="5"/>
        <v>1600</v>
      </c>
      <c r="J20" s="34">
        <f t="shared" si="5"/>
        <v>1600</v>
      </c>
      <c r="K20" s="34">
        <f t="shared" si="5"/>
        <v>1600</v>
      </c>
      <c r="L20" s="34">
        <f t="shared" si="5"/>
        <v>1600</v>
      </c>
      <c r="M20" s="34">
        <f t="shared" si="5"/>
        <v>1600</v>
      </c>
      <c r="N20" s="34">
        <f t="shared" si="5"/>
        <v>1600</v>
      </c>
      <c r="O20" s="34">
        <f t="shared" si="5"/>
        <v>1600</v>
      </c>
      <c r="P20" s="34">
        <f t="shared" si="5"/>
        <v>1600</v>
      </c>
      <c r="Q20" s="430">
        <f>SUM(E20:P20)</f>
        <v>19200</v>
      </c>
      <c r="R20" s="432">
        <f t="shared" si="1"/>
        <v>1.2729563084267055</v>
      </c>
      <c r="S20" s="396">
        <v>24440</v>
      </c>
      <c r="T20" s="460">
        <f>IFERROR(Q20/S20-1,"-")</f>
        <v>-0.21440261865793786</v>
      </c>
      <c r="U20" s="300"/>
      <c r="V20" s="316">
        <f>Q20/Q58</f>
        <v>0.95022619021692745</v>
      </c>
    </row>
    <row r="21" spans="1:22" x14ac:dyDescent="0.35">
      <c r="A21" s="110" t="s">
        <v>139</v>
      </c>
      <c r="C21" s="34" t="s">
        <v>24</v>
      </c>
      <c r="Q21" s="430">
        <f>SUM(E21:P21)</f>
        <v>0</v>
      </c>
      <c r="R21" s="432">
        <f t="shared" si="1"/>
        <v>0</v>
      </c>
      <c r="S21" s="396">
        <v>0</v>
      </c>
      <c r="T21" s="464" t="str">
        <f>IFERROR(Q21/S21-1,"-")</f>
        <v>-</v>
      </c>
      <c r="U21" s="300"/>
      <c r="V21" s="38"/>
    </row>
    <row r="22" spans="1:22" x14ac:dyDescent="0.35">
      <c r="A22" s="110"/>
      <c r="C22" s="34" t="s">
        <v>25</v>
      </c>
      <c r="D22" s="44"/>
      <c r="E22" s="59">
        <f t="shared" ref="E22:Q22" si="6">SUM(E18:E21)</f>
        <v>16711.657599999999</v>
      </c>
      <c r="F22" s="59">
        <f t="shared" si="6"/>
        <v>16593</v>
      </c>
      <c r="G22" s="59">
        <f t="shared" si="6"/>
        <v>16143</v>
      </c>
      <c r="H22" s="59">
        <f t="shared" si="6"/>
        <v>15064</v>
      </c>
      <c r="I22" s="59">
        <f t="shared" si="6"/>
        <v>14669</v>
      </c>
      <c r="J22" s="59">
        <f t="shared" si="6"/>
        <v>14748</v>
      </c>
      <c r="K22" s="59">
        <f t="shared" si="6"/>
        <v>15119</v>
      </c>
      <c r="L22" s="59">
        <f t="shared" si="6"/>
        <v>15027</v>
      </c>
      <c r="M22" s="59">
        <f t="shared" si="6"/>
        <v>14647.2484</v>
      </c>
      <c r="N22" s="59">
        <f t="shared" si="6"/>
        <v>14719.8784</v>
      </c>
      <c r="O22" s="59">
        <f t="shared" si="6"/>
        <v>15275.74</v>
      </c>
      <c r="P22" s="59">
        <f t="shared" si="6"/>
        <v>16238.329600000001</v>
      </c>
      <c r="Q22" s="433">
        <f t="shared" si="6"/>
        <v>184955.85399999999</v>
      </c>
      <c r="R22" s="434">
        <f t="shared" si="1"/>
        <v>12.262537558841078</v>
      </c>
      <c r="S22" s="400">
        <f>SUM(S18:S21)</f>
        <v>157507.23000000001</v>
      </c>
      <c r="T22" s="461">
        <f>IFERROR(Q22/S22-1,"-")</f>
        <v>0.17426897800183516</v>
      </c>
      <c r="U22" s="300"/>
      <c r="V22" s="38"/>
    </row>
    <row r="23" spans="1:22" ht="16.5" thickBot="1" x14ac:dyDescent="0.4">
      <c r="A23" s="110"/>
      <c r="Q23" s="430"/>
      <c r="R23" s="432">
        <f t="shared" si="1"/>
        <v>0</v>
      </c>
      <c r="S23" s="396"/>
      <c r="T23" s="399"/>
      <c r="U23" s="300"/>
      <c r="V23" s="38"/>
    </row>
    <row r="24" spans="1:22" s="37" customFormat="1" ht="18" thickBot="1" x14ac:dyDescent="0.4">
      <c r="A24" s="285"/>
      <c r="B24" s="286" t="s">
        <v>26</v>
      </c>
      <c r="C24" s="287"/>
      <c r="D24" s="287"/>
      <c r="E24" s="287">
        <f t="shared" ref="E24:Q24" si="7">+E15+E22</f>
        <v>28135.240933333334</v>
      </c>
      <c r="F24" s="287">
        <f t="shared" si="7"/>
        <v>28948.460833333334</v>
      </c>
      <c r="G24" s="287">
        <f t="shared" si="7"/>
        <v>28498.460833333334</v>
      </c>
      <c r="H24" s="287">
        <f t="shared" si="7"/>
        <v>27419.460833333334</v>
      </c>
      <c r="I24" s="287">
        <f t="shared" si="7"/>
        <v>27024.460833333334</v>
      </c>
      <c r="J24" s="287">
        <f t="shared" si="7"/>
        <v>27103.460833333334</v>
      </c>
      <c r="K24" s="287">
        <f t="shared" si="7"/>
        <v>27474.460833333334</v>
      </c>
      <c r="L24" s="287">
        <f t="shared" si="7"/>
        <v>27382.460833333334</v>
      </c>
      <c r="M24" s="287">
        <f t="shared" si="7"/>
        <v>26268.875899999999</v>
      </c>
      <c r="N24" s="287">
        <f t="shared" si="7"/>
        <v>26341.5059</v>
      </c>
      <c r="O24" s="287">
        <f t="shared" si="7"/>
        <v>26897.3675</v>
      </c>
      <c r="P24" s="287">
        <f t="shared" si="7"/>
        <v>27859.9571</v>
      </c>
      <c r="Q24" s="426">
        <f t="shared" si="7"/>
        <v>329354.17316666665</v>
      </c>
      <c r="R24" s="428">
        <f t="shared" si="1"/>
        <v>21.836118356206764</v>
      </c>
      <c r="S24" s="427">
        <f>+S15+S22</f>
        <v>304800.64000000001</v>
      </c>
      <c r="T24" s="405">
        <f>IFERROR(Q24/S24-1,"-")</f>
        <v>8.055604203018274E-2</v>
      </c>
      <c r="U24" s="302"/>
      <c r="V24" s="303"/>
    </row>
    <row r="25" spans="1:22" ht="18" x14ac:dyDescent="0.35">
      <c r="A25" s="110"/>
      <c r="Q25" s="435"/>
      <c r="R25" s="436"/>
      <c r="S25" s="402"/>
      <c r="T25" s="403"/>
      <c r="U25" s="301"/>
      <c r="V25" s="38"/>
    </row>
    <row r="26" spans="1:22" ht="18" x14ac:dyDescent="0.35">
      <c r="A26" s="110"/>
      <c r="B26" s="35" t="s">
        <v>27</v>
      </c>
      <c r="Q26" s="430"/>
      <c r="R26" s="432"/>
      <c r="S26" s="396"/>
      <c r="T26" s="399"/>
      <c r="U26" s="300"/>
      <c r="V26" s="38"/>
    </row>
    <row r="27" spans="1:22" x14ac:dyDescent="0.35">
      <c r="A27" s="110" t="s">
        <v>105</v>
      </c>
      <c r="C27" s="34" t="s">
        <v>28</v>
      </c>
      <c r="E27" s="34">
        <f>'Allocated Expenses'!F10</f>
        <v>308.5798986110936</v>
      </c>
      <c r="F27" s="34">
        <f>'Allocated Expenses'!G10</f>
        <v>308.5798986110936</v>
      </c>
      <c r="G27" s="34">
        <f>'Allocated Expenses'!H10</f>
        <v>308.5798986110936</v>
      </c>
      <c r="H27" s="34">
        <f>'Allocated Expenses'!I10</f>
        <v>308.5798986110936</v>
      </c>
      <c r="I27" s="34">
        <f>'Allocated Expenses'!J10</f>
        <v>308.5798986110936</v>
      </c>
      <c r="J27" s="34">
        <f>'Allocated Expenses'!K10</f>
        <v>308.5798986110936</v>
      </c>
      <c r="K27" s="34">
        <f>'Allocated Expenses'!L10</f>
        <v>308.5798986110936</v>
      </c>
      <c r="L27" s="34">
        <f>'Allocated Expenses'!M10</f>
        <v>308.5798986110936</v>
      </c>
      <c r="M27" s="34">
        <f>'Allocated Expenses'!N10</f>
        <v>308.5798986110936</v>
      </c>
      <c r="N27" s="34">
        <f>'Allocated Expenses'!O10</f>
        <v>308.5798986110936</v>
      </c>
      <c r="O27" s="34">
        <f>'Allocated Expenses'!P10</f>
        <v>308.5798986110936</v>
      </c>
      <c r="P27" s="34">
        <f>'Allocated Expenses'!Q10</f>
        <v>308.5798986110936</v>
      </c>
      <c r="Q27" s="430">
        <f>SUM(E27:P27)</f>
        <v>3702.9587833331229</v>
      </c>
      <c r="R27" s="432">
        <f t="shared" si="1"/>
        <v>0.24550545536916549</v>
      </c>
      <c r="S27" s="396">
        <v>2604</v>
      </c>
      <c r="T27" s="460">
        <f>IFERROR(Q27/S27-1,"-")</f>
        <v>0.42202718253960181</v>
      </c>
      <c r="U27" s="300"/>
      <c r="V27" s="38"/>
    </row>
    <row r="28" spans="1:22" x14ac:dyDescent="0.35">
      <c r="A28" s="110"/>
      <c r="Q28" s="430"/>
      <c r="R28" s="432"/>
      <c r="S28" s="396"/>
      <c r="T28" s="399"/>
      <c r="U28" s="300"/>
      <c r="V28" s="38"/>
    </row>
    <row r="29" spans="1:22" x14ac:dyDescent="0.35">
      <c r="A29" s="110" t="s">
        <v>106</v>
      </c>
      <c r="C29" s="34" t="s">
        <v>21</v>
      </c>
      <c r="E29" s="40">
        <v>3876</v>
      </c>
      <c r="F29" s="40">
        <v>3593</v>
      </c>
      <c r="G29" s="40">
        <v>3143</v>
      </c>
      <c r="H29" s="40">
        <v>2064</v>
      </c>
      <c r="I29" s="40">
        <v>1669</v>
      </c>
      <c r="J29" s="40">
        <v>1748</v>
      </c>
      <c r="K29" s="40">
        <v>2119</v>
      </c>
      <c r="L29" s="40">
        <v>2027</v>
      </c>
      <c r="M29" s="40">
        <v>1701</v>
      </c>
      <c r="N29" s="40">
        <v>1776</v>
      </c>
      <c r="O29" s="40">
        <v>2350</v>
      </c>
      <c r="P29" s="40">
        <v>3344</v>
      </c>
      <c r="Q29" s="430">
        <f>SUM(E29:P29)</f>
        <v>29410</v>
      </c>
      <c r="R29" s="432">
        <f t="shared" si="1"/>
        <v>1.9498773453556986</v>
      </c>
      <c r="S29" s="396">
        <v>34059.440000000002</v>
      </c>
      <c r="T29" s="460">
        <f>IFERROR(Q29/S29-1,"-")</f>
        <v>-0.1365095844206482</v>
      </c>
      <c r="U29" s="300" t="s">
        <v>371</v>
      </c>
      <c r="V29" s="38" t="s">
        <v>535</v>
      </c>
    </row>
    <row r="30" spans="1:22" x14ac:dyDescent="0.35">
      <c r="A30" s="110"/>
      <c r="Q30" s="430"/>
      <c r="R30" s="432"/>
      <c r="S30" s="396"/>
      <c r="T30" s="399"/>
      <c r="U30" s="300"/>
      <c r="V30" s="38"/>
    </row>
    <row r="31" spans="1:22" x14ac:dyDescent="0.35">
      <c r="A31" s="110" t="s">
        <v>107</v>
      </c>
      <c r="C31" s="34" t="s">
        <v>29</v>
      </c>
      <c r="E31" s="34">
        <f>'Water Sewer'!D33</f>
        <v>111.24000000000001</v>
      </c>
      <c r="F31" s="34">
        <f>'Water Sewer'!E33</f>
        <v>125.66</v>
      </c>
      <c r="G31" s="34">
        <f>'Water Sewer'!F33</f>
        <v>125.66</v>
      </c>
      <c r="H31" s="34">
        <f>'Water Sewer'!G33</f>
        <v>128.75</v>
      </c>
      <c r="I31" s="34">
        <f>'Water Sewer'!H33</f>
        <v>145.23000000000002</v>
      </c>
      <c r="J31" s="34">
        <f>'Water Sewer'!I33</f>
        <v>133.9</v>
      </c>
      <c r="K31" s="34">
        <f>'Water Sewer'!J33</f>
        <v>141.11000000000001</v>
      </c>
      <c r="L31" s="34">
        <f>'Water Sewer'!K33</f>
        <v>143.17000000000002</v>
      </c>
      <c r="M31" s="34">
        <f>'Water Sewer'!L33</f>
        <v>129.78</v>
      </c>
      <c r="N31" s="34">
        <f>'Water Sewer'!M33</f>
        <v>151.41000000000003</v>
      </c>
      <c r="O31" s="34">
        <f>'Water Sewer'!N33</f>
        <v>153.47000000000003</v>
      </c>
      <c r="P31" s="34">
        <f>'Water Sewer'!O33</f>
        <v>154.5</v>
      </c>
      <c r="Q31" s="430">
        <f>SUM(E31:P31)</f>
        <v>1643.88</v>
      </c>
      <c r="R31" s="432">
        <f t="shared" si="1"/>
        <v>0.108988927932109</v>
      </c>
      <c r="S31" s="357">
        <v>1887.5900000000001</v>
      </c>
      <c r="T31" s="460">
        <f>IFERROR(Q31/S31-1,"-")</f>
        <v>-0.12911172447406483</v>
      </c>
      <c r="U31" s="300" t="s">
        <v>371</v>
      </c>
      <c r="V31" s="38" t="s">
        <v>450</v>
      </c>
    </row>
    <row r="32" spans="1:22" x14ac:dyDescent="0.35">
      <c r="A32" s="110"/>
      <c r="Q32" s="430"/>
      <c r="R32" s="432"/>
      <c r="S32" s="396"/>
      <c r="T32" s="399"/>
      <c r="U32" s="300"/>
      <c r="V32" s="38"/>
    </row>
    <row r="33" spans="1:22" x14ac:dyDescent="0.35">
      <c r="A33" s="110"/>
      <c r="D33" s="88" t="s">
        <v>30</v>
      </c>
      <c r="E33" s="77">
        <f>'Building Maint'!C21</f>
        <v>105</v>
      </c>
      <c r="F33" s="77">
        <f>'Building Maint'!D21</f>
        <v>930</v>
      </c>
      <c r="G33" s="77">
        <f>'Building Maint'!E21</f>
        <v>105</v>
      </c>
      <c r="H33" s="77">
        <f>'Building Maint'!F21</f>
        <v>264</v>
      </c>
      <c r="I33" s="77">
        <f>'Building Maint'!G21</f>
        <v>930</v>
      </c>
      <c r="J33" s="77">
        <f>'Building Maint'!H21</f>
        <v>105</v>
      </c>
      <c r="K33" s="77">
        <f>'Building Maint'!I21</f>
        <v>105</v>
      </c>
      <c r="L33" s="77">
        <f>'Building Maint'!J21</f>
        <v>930</v>
      </c>
      <c r="M33" s="77">
        <f>'Building Maint'!K21</f>
        <v>105</v>
      </c>
      <c r="N33" s="77">
        <f>'Building Maint'!L21</f>
        <v>264</v>
      </c>
      <c r="O33" s="77">
        <f>'Building Maint'!M21</f>
        <v>930</v>
      </c>
      <c r="P33" s="77">
        <f>'Building Maint'!N21</f>
        <v>105</v>
      </c>
      <c r="Q33" s="437">
        <f>SUM(E33:P33)</f>
        <v>4878</v>
      </c>
      <c r="R33" s="438">
        <f t="shared" si="1"/>
        <v>0.3234104621096599</v>
      </c>
      <c r="S33" s="396"/>
      <c r="T33" s="399"/>
      <c r="U33" s="300" t="s">
        <v>371</v>
      </c>
      <c r="V33" s="38" t="s">
        <v>450</v>
      </c>
    </row>
    <row r="34" spans="1:22" x14ac:dyDescent="0.35">
      <c r="A34" s="110"/>
      <c r="D34" s="89" t="s">
        <v>31</v>
      </c>
      <c r="E34" s="34">
        <f>'Building Maint'!C10</f>
        <v>1280</v>
      </c>
      <c r="F34" s="34">
        <f>'Building Maint'!D10</f>
        <v>855</v>
      </c>
      <c r="G34" s="34">
        <f>'Building Maint'!E10</f>
        <v>855</v>
      </c>
      <c r="H34" s="34">
        <f>'Building Maint'!F10</f>
        <v>955</v>
      </c>
      <c r="I34" s="34">
        <f>'Building Maint'!G10</f>
        <v>1802</v>
      </c>
      <c r="J34" s="34">
        <f>'Building Maint'!H10</f>
        <v>1055</v>
      </c>
      <c r="K34" s="34">
        <f>'Building Maint'!I10</f>
        <v>1560</v>
      </c>
      <c r="L34" s="34">
        <f>'Building Maint'!J10</f>
        <v>855</v>
      </c>
      <c r="M34" s="34">
        <f>'Building Maint'!K10</f>
        <v>855</v>
      </c>
      <c r="N34" s="34">
        <f>'Building Maint'!L10</f>
        <v>955</v>
      </c>
      <c r="O34" s="34">
        <f>'Building Maint'!M10</f>
        <v>1690</v>
      </c>
      <c r="P34" s="34">
        <f>'Building Maint'!N10</f>
        <v>855</v>
      </c>
      <c r="Q34" s="439">
        <f>SUM(E34:P34)</f>
        <v>13572</v>
      </c>
      <c r="R34" s="440">
        <f t="shared" si="1"/>
        <v>0.89982099051912745</v>
      </c>
      <c r="S34" s="396"/>
      <c r="T34" s="399"/>
      <c r="U34" s="300" t="s">
        <v>371</v>
      </c>
      <c r="V34" s="38" t="s">
        <v>450</v>
      </c>
    </row>
    <row r="35" spans="1:22" x14ac:dyDescent="0.35">
      <c r="A35" s="110"/>
      <c r="D35" s="90" t="s">
        <v>32</v>
      </c>
      <c r="E35" s="42"/>
      <c r="F35" s="42">
        <v>10000</v>
      </c>
      <c r="G35" s="42"/>
      <c r="H35" s="42"/>
      <c r="I35" s="42"/>
      <c r="J35" s="42"/>
      <c r="K35" s="42"/>
      <c r="L35" s="42"/>
      <c r="M35" s="42">
        <v>10000</v>
      </c>
      <c r="N35" s="42"/>
      <c r="O35" s="42"/>
      <c r="P35" s="42"/>
      <c r="Q35" s="441">
        <f>SUM(E35:P35)</f>
        <v>20000</v>
      </c>
      <c r="R35" s="442">
        <f t="shared" si="1"/>
        <v>1.3259961546111516</v>
      </c>
      <c r="S35" s="396"/>
      <c r="T35" s="399"/>
      <c r="U35" s="300" t="s">
        <v>464</v>
      </c>
      <c r="V35" s="38" t="s">
        <v>465</v>
      </c>
    </row>
    <row r="36" spans="1:22" x14ac:dyDescent="0.35">
      <c r="A36" s="110" t="s">
        <v>108</v>
      </c>
      <c r="C36" s="34" t="s">
        <v>33</v>
      </c>
      <c r="E36" s="43">
        <f t="shared" ref="E36:Q36" si="8">SUM(E33:E35)</f>
        <v>1385</v>
      </c>
      <c r="F36" s="43">
        <f t="shared" si="8"/>
        <v>11785</v>
      </c>
      <c r="G36" s="43">
        <f t="shared" si="8"/>
        <v>960</v>
      </c>
      <c r="H36" s="43">
        <f t="shared" si="8"/>
        <v>1219</v>
      </c>
      <c r="I36" s="43">
        <f t="shared" si="8"/>
        <v>2732</v>
      </c>
      <c r="J36" s="43">
        <f t="shared" si="8"/>
        <v>1160</v>
      </c>
      <c r="K36" s="43">
        <f>SUM(K33:K35)</f>
        <v>1665</v>
      </c>
      <c r="L36" s="43">
        <f>SUM(L33:L35)</f>
        <v>1785</v>
      </c>
      <c r="M36" s="43">
        <f>SUM(M33:M35)</f>
        <v>10960</v>
      </c>
      <c r="N36" s="43">
        <f t="shared" si="8"/>
        <v>1219</v>
      </c>
      <c r="O36" s="43">
        <f t="shared" si="8"/>
        <v>2620</v>
      </c>
      <c r="P36" s="43">
        <f t="shared" si="8"/>
        <v>960</v>
      </c>
      <c r="Q36" s="443">
        <f t="shared" si="8"/>
        <v>38450</v>
      </c>
      <c r="R36" s="444">
        <f t="shared" si="1"/>
        <v>2.5492276072399389</v>
      </c>
      <c r="S36" s="364">
        <v>24218.35</v>
      </c>
      <c r="T36" s="461">
        <f>IFERROR(Q36/S36-1,"-")</f>
        <v>0.5876391248784496</v>
      </c>
      <c r="U36" s="300"/>
      <c r="V36" s="38"/>
    </row>
    <row r="37" spans="1:22" x14ac:dyDescent="0.35">
      <c r="A37" s="110"/>
      <c r="Q37" s="430"/>
      <c r="R37" s="432"/>
      <c r="S37" s="396"/>
      <c r="T37" s="399"/>
      <c r="U37" s="300"/>
      <c r="V37" s="38"/>
    </row>
    <row r="38" spans="1:22" hidden="1" x14ac:dyDescent="0.35">
      <c r="A38" s="110" t="s">
        <v>303</v>
      </c>
      <c r="B38" s="34" t="s">
        <v>34</v>
      </c>
      <c r="C38" s="34" t="s">
        <v>35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30">
        <f>SUM(E38:P38)</f>
        <v>0</v>
      </c>
      <c r="R38" s="432">
        <f t="shared" si="1"/>
        <v>0</v>
      </c>
      <c r="S38" s="396"/>
      <c r="T38" s="399"/>
      <c r="U38" s="300"/>
      <c r="V38" s="38"/>
    </row>
    <row r="39" spans="1:22" hidden="1" x14ac:dyDescent="0.35">
      <c r="A39" s="110"/>
      <c r="Q39" s="430"/>
      <c r="R39" s="432"/>
      <c r="S39" s="396"/>
      <c r="T39" s="399"/>
      <c r="U39" s="300"/>
      <c r="V39" s="38"/>
    </row>
    <row r="40" spans="1:22" x14ac:dyDescent="0.35">
      <c r="A40" s="110"/>
      <c r="D40" s="88" t="s">
        <v>36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437">
        <f>SUM(E40:P40)</f>
        <v>0</v>
      </c>
      <c r="R40" s="438">
        <f t="shared" si="1"/>
        <v>0</v>
      </c>
      <c r="S40" s="396"/>
      <c r="T40" s="399"/>
      <c r="U40" s="300"/>
      <c r="V40" s="38"/>
    </row>
    <row r="41" spans="1:22" x14ac:dyDescent="0.35">
      <c r="A41" s="110"/>
      <c r="D41" s="89" t="s">
        <v>37</v>
      </c>
      <c r="E41" s="34">
        <f>'Parking Lot Maint'!C10</f>
        <v>473.8</v>
      </c>
      <c r="F41" s="34">
        <f>'Parking Lot Maint'!D10</f>
        <v>473.8</v>
      </c>
      <c r="G41" s="34">
        <f>'Parking Lot Maint'!E10</f>
        <v>654.04999999999995</v>
      </c>
      <c r="H41" s="34">
        <f>'Parking Lot Maint'!F10</f>
        <v>473.8</v>
      </c>
      <c r="I41" s="34">
        <f>'Parking Lot Maint'!G10</f>
        <v>473.8</v>
      </c>
      <c r="J41" s="34">
        <f>'Parking Lot Maint'!H10</f>
        <v>654.04999999999995</v>
      </c>
      <c r="K41" s="34">
        <f>'Parking Lot Maint'!I10</f>
        <v>473.8</v>
      </c>
      <c r="L41" s="34">
        <f>'Parking Lot Maint'!J10</f>
        <v>473.8</v>
      </c>
      <c r="M41" s="34">
        <f>'Parking Lot Maint'!K10</f>
        <v>654.04999999999995</v>
      </c>
      <c r="N41" s="34">
        <f>'Parking Lot Maint'!L10</f>
        <v>473.8</v>
      </c>
      <c r="O41" s="34">
        <f>'Parking Lot Maint'!M10</f>
        <v>473.8</v>
      </c>
      <c r="P41" s="34">
        <f>'Parking Lot Maint'!N10</f>
        <v>654.04999999999995</v>
      </c>
      <c r="Q41" s="439">
        <f>SUM(E41:P41)</f>
        <v>6406.6000000000013</v>
      </c>
      <c r="R41" s="440">
        <f t="shared" si="1"/>
        <v>0.42475634820659031</v>
      </c>
      <c r="S41" s="396"/>
      <c r="T41" s="399"/>
      <c r="U41" s="300" t="s">
        <v>371</v>
      </c>
      <c r="V41" s="38" t="s">
        <v>450</v>
      </c>
    </row>
    <row r="42" spans="1:22" x14ac:dyDescent="0.35">
      <c r="A42" s="110"/>
      <c r="D42" s="90" t="s">
        <v>38</v>
      </c>
      <c r="E42" s="42"/>
      <c r="F42" s="42"/>
      <c r="G42" s="42"/>
      <c r="H42" s="42"/>
      <c r="I42" s="42"/>
      <c r="J42" s="42">
        <f>1.03*5000</f>
        <v>5150</v>
      </c>
      <c r="K42" s="42"/>
      <c r="L42" s="42"/>
      <c r="M42" s="42"/>
      <c r="N42" s="42"/>
      <c r="O42" s="42"/>
      <c r="P42" s="42"/>
      <c r="Q42" s="441">
        <f>SUM(E42:P42)</f>
        <v>5150</v>
      </c>
      <c r="R42" s="442">
        <f t="shared" si="1"/>
        <v>0.34144400981237155</v>
      </c>
      <c r="S42" s="396"/>
      <c r="T42" s="399"/>
      <c r="U42" s="300" t="s">
        <v>371</v>
      </c>
      <c r="V42" s="38" t="s">
        <v>450</v>
      </c>
    </row>
    <row r="43" spans="1:22" x14ac:dyDescent="0.35">
      <c r="A43" s="110" t="s">
        <v>140</v>
      </c>
      <c r="C43" s="34" t="s">
        <v>39</v>
      </c>
      <c r="E43" s="43">
        <f t="shared" ref="E43:Q43" si="9">SUM(E40:E42)</f>
        <v>473.8</v>
      </c>
      <c r="F43" s="43">
        <f t="shared" si="9"/>
        <v>473.8</v>
      </c>
      <c r="G43" s="43">
        <f t="shared" si="9"/>
        <v>654.04999999999995</v>
      </c>
      <c r="H43" s="43">
        <f t="shared" si="9"/>
        <v>473.8</v>
      </c>
      <c r="I43" s="43">
        <f t="shared" si="9"/>
        <v>473.8</v>
      </c>
      <c r="J43" s="43">
        <f t="shared" si="9"/>
        <v>5804.05</v>
      </c>
      <c r="K43" s="43">
        <f t="shared" si="9"/>
        <v>473.8</v>
      </c>
      <c r="L43" s="43">
        <f t="shared" si="9"/>
        <v>473.8</v>
      </c>
      <c r="M43" s="43">
        <f t="shared" si="9"/>
        <v>654.04999999999995</v>
      </c>
      <c r="N43" s="43">
        <f t="shared" si="9"/>
        <v>473.8</v>
      </c>
      <c r="O43" s="43">
        <f t="shared" si="9"/>
        <v>473.8</v>
      </c>
      <c r="P43" s="43">
        <f t="shared" si="9"/>
        <v>654.04999999999995</v>
      </c>
      <c r="Q43" s="443">
        <f t="shared" si="9"/>
        <v>11556.600000000002</v>
      </c>
      <c r="R43" s="444">
        <f t="shared" si="1"/>
        <v>0.76620035801896191</v>
      </c>
      <c r="S43" s="364">
        <v>4429.5599999999995</v>
      </c>
      <c r="T43" s="461">
        <f>IFERROR(Q43/S43-1,"-")</f>
        <v>1.6089724487308001</v>
      </c>
      <c r="U43" s="300"/>
      <c r="V43" s="38"/>
    </row>
    <row r="44" spans="1:22" x14ac:dyDescent="0.35">
      <c r="A44" s="110"/>
      <c r="Q44" s="430"/>
      <c r="R44" s="432"/>
      <c r="S44" s="396"/>
      <c r="T44" s="399"/>
      <c r="U44" s="300"/>
      <c r="V44" s="38"/>
    </row>
    <row r="45" spans="1:22" x14ac:dyDescent="0.35">
      <c r="A45" s="110" t="s">
        <v>110</v>
      </c>
      <c r="C45" s="34" t="s">
        <v>40</v>
      </c>
      <c r="E45" s="40">
        <f>1.03*1500</f>
        <v>1545</v>
      </c>
      <c r="F45" s="40">
        <f>1.03*1500</f>
        <v>1545</v>
      </c>
      <c r="G45" s="40">
        <f>1.03*500</f>
        <v>515</v>
      </c>
      <c r="H45" s="40"/>
      <c r="I45" s="40"/>
      <c r="J45" s="40"/>
      <c r="K45" s="40"/>
      <c r="L45" s="40"/>
      <c r="M45" s="40"/>
      <c r="N45" s="40"/>
      <c r="O45" s="40">
        <f>1.03*500</f>
        <v>515</v>
      </c>
      <c r="P45" s="40">
        <f>1.03*1000</f>
        <v>1030</v>
      </c>
      <c r="Q45" s="430">
        <f>SUM(E45:P45)</f>
        <v>5150</v>
      </c>
      <c r="R45" s="432">
        <f t="shared" si="1"/>
        <v>0.34144400981237155</v>
      </c>
      <c r="S45" s="396">
        <v>3428</v>
      </c>
      <c r="T45" s="460">
        <f>IFERROR(Q45/S45-1,"-")</f>
        <v>0.50233372228704787</v>
      </c>
      <c r="U45" s="300" t="s">
        <v>371</v>
      </c>
      <c r="V45" s="38" t="s">
        <v>450</v>
      </c>
    </row>
    <row r="46" spans="1:22" x14ac:dyDescent="0.35">
      <c r="A46" s="110"/>
      <c r="Q46" s="430"/>
      <c r="R46" s="432"/>
      <c r="S46" s="396"/>
      <c r="T46" s="399"/>
      <c r="U46" s="300"/>
      <c r="V46" s="38"/>
    </row>
    <row r="47" spans="1:22" x14ac:dyDescent="0.35">
      <c r="A47" s="110"/>
      <c r="D47" s="88" t="s">
        <v>41</v>
      </c>
      <c r="E47" s="77">
        <f>'Allocated Expenses'!F21</f>
        <v>0</v>
      </c>
      <c r="F47" s="77">
        <f>'Allocated Expenses'!G21</f>
        <v>0</v>
      </c>
      <c r="G47" s="77">
        <f>'Allocated Expenses'!H21</f>
        <v>281.37384355555554</v>
      </c>
      <c r="H47" s="77">
        <f>'Allocated Expenses'!I21</f>
        <v>281.37384355555554</v>
      </c>
      <c r="I47" s="77">
        <f>'Allocated Expenses'!J21</f>
        <v>281.37384355555554</v>
      </c>
      <c r="J47" s="77">
        <f>'Allocated Expenses'!K21</f>
        <v>281.37384355555554</v>
      </c>
      <c r="K47" s="77">
        <f>'Allocated Expenses'!L21</f>
        <v>281.37384355555554</v>
      </c>
      <c r="L47" s="77">
        <f>'Allocated Expenses'!M21</f>
        <v>281.37384355555554</v>
      </c>
      <c r="M47" s="77">
        <f>'Allocated Expenses'!N21</f>
        <v>281.37384355555554</v>
      </c>
      <c r="N47" s="77">
        <f>'Allocated Expenses'!O21</f>
        <v>281.37384355555554</v>
      </c>
      <c r="O47" s="77">
        <f>'Allocated Expenses'!P21</f>
        <v>281.37384355555554</v>
      </c>
      <c r="P47" s="77">
        <f>'Allocated Expenses'!Q21</f>
        <v>0</v>
      </c>
      <c r="Q47" s="437">
        <f>SUM(E47:P47)</f>
        <v>2532.3645919999999</v>
      </c>
      <c r="R47" s="438">
        <f t="shared" si="1"/>
        <v>0.16789528555327188</v>
      </c>
      <c r="S47" s="396"/>
      <c r="T47" s="399"/>
      <c r="U47" s="300" t="s">
        <v>371</v>
      </c>
      <c r="V47" s="38" t="s">
        <v>450</v>
      </c>
    </row>
    <row r="48" spans="1:22" x14ac:dyDescent="0.35">
      <c r="A48" s="110"/>
      <c r="D48" s="89" t="s">
        <v>42</v>
      </c>
      <c r="E48" s="34">
        <f>Landscaping!C10</f>
        <v>0</v>
      </c>
      <c r="F48" s="34">
        <f>Landscaping!D10</f>
        <v>0</v>
      </c>
      <c r="G48" s="34">
        <f>Landscaping!E10</f>
        <v>154.5</v>
      </c>
      <c r="H48" s="34">
        <f>Landscaping!F10</f>
        <v>154.5</v>
      </c>
      <c r="I48" s="34">
        <f>Landscaping!G10</f>
        <v>669.5</v>
      </c>
      <c r="J48" s="34">
        <f>Landscaping!H10</f>
        <v>154.5</v>
      </c>
      <c r="K48" s="34">
        <f>Landscaping!I10</f>
        <v>154.5</v>
      </c>
      <c r="L48" s="34">
        <f>Landscaping!J10</f>
        <v>154.5</v>
      </c>
      <c r="M48" s="34">
        <f>Landscaping!K10</f>
        <v>669.5</v>
      </c>
      <c r="N48" s="34">
        <f>Landscaping!L10</f>
        <v>154.5</v>
      </c>
      <c r="O48" s="34">
        <f>Landscaping!M10</f>
        <v>154.5</v>
      </c>
      <c r="P48" s="34">
        <f>Landscaping!N10</f>
        <v>0</v>
      </c>
      <c r="Q48" s="439">
        <f>SUM(E48:P48)</f>
        <v>2420.5</v>
      </c>
      <c r="R48" s="440">
        <f t="shared" si="1"/>
        <v>0.16047868461181464</v>
      </c>
      <c r="S48" s="396"/>
      <c r="T48" s="399"/>
      <c r="U48" s="300" t="s">
        <v>371</v>
      </c>
      <c r="V48" s="38" t="s">
        <v>450</v>
      </c>
    </row>
    <row r="49" spans="1:22" x14ac:dyDescent="0.35">
      <c r="A49" s="110"/>
      <c r="D49" s="90" t="s">
        <v>43</v>
      </c>
      <c r="E49" s="43">
        <f>'Allocated Expenses'!F32</f>
        <v>158.17634202920436</v>
      </c>
      <c r="F49" s="43">
        <f>'Allocated Expenses'!G32</f>
        <v>158.17634202920436</v>
      </c>
      <c r="G49" s="43">
        <f>'Allocated Expenses'!H32</f>
        <v>158.17634202920436</v>
      </c>
      <c r="H49" s="43">
        <f>'Allocated Expenses'!I32</f>
        <v>158.17634202920436</v>
      </c>
      <c r="I49" s="43">
        <f>'Allocated Expenses'!J32</f>
        <v>158.17634202920436</v>
      </c>
      <c r="J49" s="43">
        <f>'Allocated Expenses'!K32</f>
        <v>158.17634202920436</v>
      </c>
      <c r="K49" s="43">
        <f>'Allocated Expenses'!L32</f>
        <v>158.17634202920436</v>
      </c>
      <c r="L49" s="43">
        <f>'Allocated Expenses'!M32</f>
        <v>158.17634202920436</v>
      </c>
      <c r="M49" s="43">
        <f>'Allocated Expenses'!N32</f>
        <v>158.17634202920436</v>
      </c>
      <c r="N49" s="43">
        <f>'Allocated Expenses'!O32</f>
        <v>158.17634202920436</v>
      </c>
      <c r="O49" s="43">
        <f>'Allocated Expenses'!P32</f>
        <v>158.17634202920436</v>
      </c>
      <c r="P49" s="43">
        <f>'Allocated Expenses'!Q32</f>
        <v>158.17634202920436</v>
      </c>
      <c r="Q49" s="441">
        <f>SUM(E49:P49)</f>
        <v>1898.1161043504519</v>
      </c>
      <c r="R49" s="442">
        <f t="shared" si="1"/>
        <v>0.12584473276870994</v>
      </c>
      <c r="S49" s="396"/>
      <c r="T49" s="399"/>
      <c r="U49" s="300" t="s">
        <v>371</v>
      </c>
      <c r="V49" s="38" t="s">
        <v>589</v>
      </c>
    </row>
    <row r="50" spans="1:22" x14ac:dyDescent="0.35">
      <c r="A50" s="110" t="s">
        <v>111</v>
      </c>
      <c r="C50" s="34" t="s">
        <v>44</v>
      </c>
      <c r="E50" s="43">
        <f t="shared" ref="E50:Q50" si="10">SUM(E47:E49)</f>
        <v>158.17634202920436</v>
      </c>
      <c r="F50" s="43">
        <f t="shared" si="10"/>
        <v>158.17634202920436</v>
      </c>
      <c r="G50" s="43">
        <f t="shared" si="10"/>
        <v>594.0501855847599</v>
      </c>
      <c r="H50" s="43">
        <f>SUM(H47:H49)</f>
        <v>594.0501855847599</v>
      </c>
      <c r="I50" s="43">
        <f t="shared" si="10"/>
        <v>1109.0501855847599</v>
      </c>
      <c r="J50" s="43">
        <f t="shared" si="10"/>
        <v>594.0501855847599</v>
      </c>
      <c r="K50" s="43">
        <f t="shared" si="10"/>
        <v>594.0501855847599</v>
      </c>
      <c r="L50" s="43">
        <f t="shared" si="10"/>
        <v>594.0501855847599</v>
      </c>
      <c r="M50" s="43">
        <f t="shared" si="10"/>
        <v>1109.0501855847599</v>
      </c>
      <c r="N50" s="43">
        <f t="shared" si="10"/>
        <v>594.0501855847599</v>
      </c>
      <c r="O50" s="43">
        <f t="shared" si="10"/>
        <v>594.0501855847599</v>
      </c>
      <c r="P50" s="43">
        <f t="shared" si="10"/>
        <v>158.17634202920436</v>
      </c>
      <c r="Q50" s="443">
        <f t="shared" si="10"/>
        <v>6850.9806963504516</v>
      </c>
      <c r="R50" s="444">
        <f t="shared" si="1"/>
        <v>0.45421870293379646</v>
      </c>
      <c r="S50" s="400">
        <v>4023.3</v>
      </c>
      <c r="T50" s="461">
        <f>IFERROR(Q50/S50-1,"-")</f>
        <v>0.70282621140617185</v>
      </c>
      <c r="U50" s="300"/>
      <c r="V50" s="38"/>
    </row>
    <row r="51" spans="1:22" x14ac:dyDescent="0.35">
      <c r="A51" s="110"/>
      <c r="Q51" s="430"/>
      <c r="R51" s="432"/>
      <c r="S51" s="396"/>
      <c r="T51" s="399"/>
      <c r="U51" s="300"/>
      <c r="V51" s="38"/>
    </row>
    <row r="52" spans="1:22" x14ac:dyDescent="0.35">
      <c r="A52" s="110" t="s">
        <v>112</v>
      </c>
      <c r="C52" s="34" t="s">
        <v>45</v>
      </c>
      <c r="E52" s="34">
        <f>'Allocated Expenses'!F43</f>
        <v>84.48</v>
      </c>
      <c r="F52" s="34">
        <f>'Allocated Expenses'!G43</f>
        <v>84.48</v>
      </c>
      <c r="G52" s="34">
        <f>'Allocated Expenses'!H43</f>
        <v>84.48</v>
      </c>
      <c r="H52" s="34">
        <f>'Allocated Expenses'!I43</f>
        <v>84.48</v>
      </c>
      <c r="I52" s="34">
        <f>'Allocated Expenses'!J43</f>
        <v>84.48</v>
      </c>
      <c r="J52" s="34">
        <f>'Allocated Expenses'!K43</f>
        <v>84.48</v>
      </c>
      <c r="K52" s="34">
        <f>'Allocated Expenses'!L43</f>
        <v>84.48</v>
      </c>
      <c r="L52" s="34">
        <f>'Allocated Expenses'!M43</f>
        <v>84.48</v>
      </c>
      <c r="M52" s="34">
        <f>'Allocated Expenses'!N43</f>
        <v>84.48</v>
      </c>
      <c r="N52" s="34">
        <f>'Allocated Expenses'!O43</f>
        <v>84.48</v>
      </c>
      <c r="O52" s="34">
        <f>'Allocated Expenses'!P43</f>
        <v>84.48</v>
      </c>
      <c r="P52" s="34">
        <f>'Allocated Expenses'!Q43</f>
        <v>84.48</v>
      </c>
      <c r="Q52" s="430">
        <f>SUM(E52:P52)</f>
        <v>1013.7600000000001</v>
      </c>
      <c r="R52" s="432">
        <f t="shared" si="1"/>
        <v>6.7212093084930064E-2</v>
      </c>
      <c r="S52" s="396">
        <v>1137.3400000000001</v>
      </c>
      <c r="T52" s="460">
        <f>IFERROR(Q52/S52-1,"-")</f>
        <v>-0.10865704186962566</v>
      </c>
      <c r="U52" s="300" t="s">
        <v>371</v>
      </c>
      <c r="V52" s="38" t="s">
        <v>450</v>
      </c>
    </row>
    <row r="53" spans="1:22" x14ac:dyDescent="0.35">
      <c r="A53" s="110"/>
      <c r="Q53" s="430"/>
      <c r="R53" s="432"/>
      <c r="S53" s="396"/>
      <c r="T53" s="399"/>
      <c r="U53" s="300"/>
      <c r="V53" s="38"/>
    </row>
    <row r="54" spans="1:22" x14ac:dyDescent="0.35">
      <c r="A54" s="110" t="s">
        <v>113</v>
      </c>
      <c r="B54" s="34" t="s">
        <v>46</v>
      </c>
      <c r="C54" s="34" t="s">
        <v>47</v>
      </c>
      <c r="E54" s="34">
        <f t="shared" ref="E54:P54" si="11">ROUND(E$24*0.06,0)</f>
        <v>1688</v>
      </c>
      <c r="F54" s="34">
        <f t="shared" si="11"/>
        <v>1737</v>
      </c>
      <c r="G54" s="34">
        <f t="shared" si="11"/>
        <v>1710</v>
      </c>
      <c r="H54" s="34">
        <f t="shared" si="11"/>
        <v>1645</v>
      </c>
      <c r="I54" s="34">
        <f t="shared" si="11"/>
        <v>1621</v>
      </c>
      <c r="J54" s="34">
        <f t="shared" si="11"/>
        <v>1626</v>
      </c>
      <c r="K54" s="34">
        <f t="shared" si="11"/>
        <v>1648</v>
      </c>
      <c r="L54" s="34">
        <f t="shared" si="11"/>
        <v>1643</v>
      </c>
      <c r="M54" s="34">
        <f t="shared" si="11"/>
        <v>1576</v>
      </c>
      <c r="N54" s="34">
        <f t="shared" si="11"/>
        <v>1580</v>
      </c>
      <c r="O54" s="34">
        <f t="shared" si="11"/>
        <v>1614</v>
      </c>
      <c r="P54" s="34">
        <f t="shared" si="11"/>
        <v>1672</v>
      </c>
      <c r="Q54" s="430">
        <f>SUM(E54:P54)</f>
        <v>19760</v>
      </c>
      <c r="R54" s="432">
        <f t="shared" si="1"/>
        <v>1.3100842007558178</v>
      </c>
      <c r="S54" s="396">
        <v>18067.11</v>
      </c>
      <c r="T54" s="460">
        <f>IFERROR(Q54/S54-1,"-")</f>
        <v>9.3700099241107226E-2</v>
      </c>
      <c r="U54" s="300"/>
      <c r="V54" s="38"/>
    </row>
    <row r="55" spans="1:22" x14ac:dyDescent="0.35">
      <c r="A55" s="110"/>
      <c r="Q55" s="430"/>
      <c r="R55" s="432"/>
      <c r="S55" s="396"/>
      <c r="T55" s="399"/>
      <c r="U55" s="300"/>
      <c r="V55" s="38"/>
    </row>
    <row r="56" spans="1:22" x14ac:dyDescent="0.35">
      <c r="A56" s="110" t="s">
        <v>114</v>
      </c>
      <c r="C56" s="34" t="s">
        <v>48</v>
      </c>
      <c r="E56" s="34">
        <f>Trash!C10</f>
        <v>1508.95</v>
      </c>
      <c r="F56" s="34">
        <f>Trash!D10</f>
        <v>1508.95</v>
      </c>
      <c r="G56" s="34">
        <f>Trash!E10</f>
        <v>1508.95</v>
      </c>
      <c r="H56" s="34">
        <f>Trash!F10</f>
        <v>1508.95</v>
      </c>
      <c r="I56" s="34">
        <f>Trash!G10</f>
        <v>1508.95</v>
      </c>
      <c r="J56" s="34">
        <f>Trash!H10</f>
        <v>2008.95</v>
      </c>
      <c r="K56" s="34">
        <f>Trash!I10</f>
        <v>1508.95</v>
      </c>
      <c r="L56" s="34">
        <f>Trash!J10</f>
        <v>1508.95</v>
      </c>
      <c r="M56" s="34">
        <f>Trash!K10</f>
        <v>1508.95</v>
      </c>
      <c r="N56" s="34">
        <f>Trash!L10</f>
        <v>1508.95</v>
      </c>
      <c r="O56" s="34">
        <f>Trash!M10</f>
        <v>1508.95</v>
      </c>
      <c r="P56" s="34">
        <f>Trash!N10</f>
        <v>2008.95</v>
      </c>
      <c r="Q56" s="430">
        <f>SUM(E56:P56)</f>
        <v>19107.400000000005</v>
      </c>
      <c r="R56" s="432">
        <f t="shared" si="1"/>
        <v>1.2668169462308563</v>
      </c>
      <c r="S56" s="396">
        <v>19961.07</v>
      </c>
      <c r="T56" s="460">
        <f>IFERROR(Q56/S56-1,"-")</f>
        <v>-4.276674547005721E-2</v>
      </c>
      <c r="U56" s="300" t="s">
        <v>371</v>
      </c>
      <c r="V56" s="38" t="s">
        <v>450</v>
      </c>
    </row>
    <row r="57" spans="1:22" x14ac:dyDescent="0.35">
      <c r="A57" s="110"/>
      <c r="Q57" s="430"/>
      <c r="R57" s="432"/>
      <c r="S57" s="396"/>
      <c r="T57" s="399"/>
      <c r="U57" s="300"/>
      <c r="V57" s="38"/>
    </row>
    <row r="58" spans="1:22" x14ac:dyDescent="0.35">
      <c r="A58" s="110" t="s">
        <v>115</v>
      </c>
      <c r="C58" s="34" t="s">
        <v>23</v>
      </c>
      <c r="E58" s="34">
        <f>+'INS RET'!E63</f>
        <v>1683.809619723</v>
      </c>
      <c r="F58" s="34">
        <f>+'INS RET'!F63</f>
        <v>1683.809619723</v>
      </c>
      <c r="G58" s="34">
        <f>+'INS RET'!G63</f>
        <v>1683.809619723</v>
      </c>
      <c r="H58" s="34">
        <f>+'INS RET'!H63</f>
        <v>1683.809619723</v>
      </c>
      <c r="I58" s="34">
        <f>+'INS RET'!I63</f>
        <v>1683.809619723</v>
      </c>
      <c r="J58" s="34">
        <f>+'INS RET'!J63</f>
        <v>1683.809619723</v>
      </c>
      <c r="K58" s="34">
        <f>+'INS RET'!K63</f>
        <v>1683.809619723</v>
      </c>
      <c r="L58" s="34">
        <f>+'INS RET'!L63</f>
        <v>1683.809619723</v>
      </c>
      <c r="M58" s="34">
        <f>+'INS RET'!M63</f>
        <v>1683.809619723</v>
      </c>
      <c r="N58" s="34">
        <f>+'INS RET'!N63</f>
        <v>1683.809619723</v>
      </c>
      <c r="O58" s="34">
        <f>+'INS RET'!O63</f>
        <v>1683.809619723</v>
      </c>
      <c r="P58" s="34">
        <f>+'INS RET'!P63</f>
        <v>1683.809619723</v>
      </c>
      <c r="Q58" s="430">
        <f>SUM(E58:P58)</f>
        <v>20205.715436676004</v>
      </c>
      <c r="R58" s="432">
        <f t="shared" si="1"/>
        <v>1.3396350485099784</v>
      </c>
      <c r="S58" s="396">
        <v>27329.15</v>
      </c>
      <c r="T58" s="460">
        <f>IFERROR(Q58/S58-1,"-")</f>
        <v>-0.2606533523115061</v>
      </c>
      <c r="U58" s="300"/>
      <c r="V58" s="38"/>
    </row>
    <row r="59" spans="1:22" x14ac:dyDescent="0.35">
      <c r="A59" s="110"/>
      <c r="Q59" s="430"/>
      <c r="R59" s="432"/>
      <c r="S59" s="396"/>
      <c r="T59" s="399"/>
      <c r="U59" s="300"/>
      <c r="V59" s="38"/>
    </row>
    <row r="60" spans="1:22" x14ac:dyDescent="0.35">
      <c r="A60" s="110"/>
      <c r="D60" s="88" t="s">
        <v>49</v>
      </c>
      <c r="E60" s="77">
        <f>+'INS RET'!E34+'INS RET'!E35</f>
        <v>415</v>
      </c>
      <c r="F60" s="77">
        <f>+'INS RET'!F34+'INS RET'!F35</f>
        <v>415</v>
      </c>
      <c r="G60" s="77">
        <f>+'INS RET'!G34+'INS RET'!G35</f>
        <v>415</v>
      </c>
      <c r="H60" s="77">
        <f>+'INS RET'!H34+'INS RET'!H35</f>
        <v>415</v>
      </c>
      <c r="I60" s="77">
        <f>+'INS RET'!I34+'INS RET'!I35</f>
        <v>415</v>
      </c>
      <c r="J60" s="77">
        <f>+'INS RET'!J34+'INS RET'!J35</f>
        <v>415</v>
      </c>
      <c r="K60" s="77">
        <f>+'INS RET'!K34+'INS RET'!K35</f>
        <v>415</v>
      </c>
      <c r="L60" s="77">
        <f>+'INS RET'!L34+'INS RET'!L35</f>
        <v>415</v>
      </c>
      <c r="M60" s="77">
        <f>+'INS RET'!M34+'INS RET'!M35</f>
        <v>415</v>
      </c>
      <c r="N60" s="77">
        <f>+'INS RET'!N34+'INS RET'!N35</f>
        <v>415</v>
      </c>
      <c r="O60" s="77">
        <f>+'INS RET'!O34+'INS RET'!O35</f>
        <v>423.3</v>
      </c>
      <c r="P60" s="77">
        <f>+'INS RET'!P34+'INS RET'!P35</f>
        <v>423.3</v>
      </c>
      <c r="Q60" s="437">
        <f>SUM(E60:P60)</f>
        <v>4996.6000000000004</v>
      </c>
      <c r="R60" s="438">
        <f t="shared" si="1"/>
        <v>0.33127361930650401</v>
      </c>
      <c r="S60" s="396"/>
      <c r="T60" s="399"/>
      <c r="U60" s="300"/>
      <c r="V60" s="38"/>
    </row>
    <row r="61" spans="1:22" x14ac:dyDescent="0.35">
      <c r="A61" s="110"/>
      <c r="D61" s="89" t="s">
        <v>50</v>
      </c>
      <c r="E61" s="34">
        <f>+'INS RET'!E37</f>
        <v>298</v>
      </c>
      <c r="F61" s="34">
        <f>+'INS RET'!F37</f>
        <v>298</v>
      </c>
      <c r="G61" s="34">
        <f>+'INS RET'!G37</f>
        <v>298</v>
      </c>
      <c r="H61" s="34">
        <f>+'INS RET'!H37</f>
        <v>298</v>
      </c>
      <c r="I61" s="34">
        <f>+'INS RET'!I37</f>
        <v>298</v>
      </c>
      <c r="J61" s="34">
        <f>+'INS RET'!J37</f>
        <v>298</v>
      </c>
      <c r="K61" s="34">
        <f>+'INS RET'!K37</f>
        <v>298</v>
      </c>
      <c r="L61" s="34">
        <f>+'INS RET'!L37</f>
        <v>298</v>
      </c>
      <c r="M61" s="34">
        <f>+'INS RET'!M37</f>
        <v>298</v>
      </c>
      <c r="N61" s="34">
        <f>+'INS RET'!N37</f>
        <v>298</v>
      </c>
      <c r="O61" s="34">
        <f>+'INS RET'!O37</f>
        <v>303.95999999999998</v>
      </c>
      <c r="P61" s="34">
        <f>+'INS RET'!P37</f>
        <v>303.95999999999998</v>
      </c>
      <c r="Q61" s="439">
        <f>SUM(E61:P61)</f>
        <v>3587.92</v>
      </c>
      <c r="R61" s="440">
        <f t="shared" si="1"/>
        <v>0.23787840615262215</v>
      </c>
      <c r="S61" s="396"/>
      <c r="T61" s="399"/>
      <c r="U61" s="300"/>
      <c r="V61" s="38"/>
    </row>
    <row r="62" spans="1:22" x14ac:dyDescent="0.35">
      <c r="A62" s="110"/>
      <c r="D62" s="90" t="s">
        <v>51</v>
      </c>
      <c r="E62" s="43">
        <f>+'INS RET'!E38</f>
        <v>23</v>
      </c>
      <c r="F62" s="43">
        <f>+'INS RET'!F38</f>
        <v>23</v>
      </c>
      <c r="G62" s="43">
        <f>+'INS RET'!G38</f>
        <v>23</v>
      </c>
      <c r="H62" s="43">
        <f>+'INS RET'!H38</f>
        <v>23</v>
      </c>
      <c r="I62" s="43">
        <f>+'INS RET'!I38</f>
        <v>23</v>
      </c>
      <c r="J62" s="43">
        <f>+'INS RET'!J38</f>
        <v>23</v>
      </c>
      <c r="K62" s="43">
        <f>+'INS RET'!K38</f>
        <v>23</v>
      </c>
      <c r="L62" s="43">
        <f>+'INS RET'!L38</f>
        <v>23</v>
      </c>
      <c r="M62" s="43">
        <f>+'INS RET'!M38</f>
        <v>23</v>
      </c>
      <c r="N62" s="43">
        <f>+'INS RET'!N38</f>
        <v>23</v>
      </c>
      <c r="O62" s="43">
        <f>+'INS RET'!O38</f>
        <v>23.46</v>
      </c>
      <c r="P62" s="43">
        <f>+'INS RET'!P38</f>
        <v>23.46</v>
      </c>
      <c r="Q62" s="441">
        <f>SUM(E62:P62)</f>
        <v>276.92</v>
      </c>
      <c r="R62" s="442">
        <f t="shared" si="1"/>
        <v>1.8359742756746008E-2</v>
      </c>
      <c r="S62" s="396"/>
      <c r="T62" s="399"/>
      <c r="U62" s="300"/>
      <c r="V62" s="38"/>
    </row>
    <row r="63" spans="1:22" x14ac:dyDescent="0.35">
      <c r="A63" s="110" t="s">
        <v>116</v>
      </c>
      <c r="C63" s="34" t="s">
        <v>24</v>
      </c>
      <c r="E63" s="43">
        <f t="shared" ref="E63:Q63" si="12">SUM(E60:E62)</f>
        <v>736</v>
      </c>
      <c r="F63" s="43">
        <f t="shared" si="12"/>
        <v>736</v>
      </c>
      <c r="G63" s="43">
        <f t="shared" si="12"/>
        <v>736</v>
      </c>
      <c r="H63" s="43">
        <f t="shared" si="12"/>
        <v>736</v>
      </c>
      <c r="I63" s="43">
        <f t="shared" si="12"/>
        <v>736</v>
      </c>
      <c r="J63" s="43">
        <f t="shared" si="12"/>
        <v>736</v>
      </c>
      <c r="K63" s="43">
        <f t="shared" si="12"/>
        <v>736</v>
      </c>
      <c r="L63" s="43">
        <f t="shared" si="12"/>
        <v>736</v>
      </c>
      <c r="M63" s="43">
        <f t="shared" si="12"/>
        <v>736</v>
      </c>
      <c r="N63" s="43">
        <f t="shared" si="12"/>
        <v>736</v>
      </c>
      <c r="O63" s="43">
        <f t="shared" si="12"/>
        <v>750.72</v>
      </c>
      <c r="P63" s="43">
        <f t="shared" si="12"/>
        <v>750.72</v>
      </c>
      <c r="Q63" s="443">
        <f t="shared" si="12"/>
        <v>8861.44</v>
      </c>
      <c r="R63" s="444">
        <f t="shared" si="1"/>
        <v>0.58751176821587225</v>
      </c>
      <c r="S63" s="400">
        <v>8684</v>
      </c>
      <c r="T63" s="461">
        <f>IFERROR(Q63/S63-1,"-")</f>
        <v>2.0432980193459294E-2</v>
      </c>
      <c r="U63" s="300"/>
      <c r="V63" s="38"/>
    </row>
    <row r="64" spans="1:22" x14ac:dyDescent="0.35">
      <c r="A64" s="110"/>
      <c r="Q64" s="430"/>
      <c r="R64" s="432"/>
      <c r="S64" s="396"/>
      <c r="T64" s="399"/>
      <c r="U64" s="300"/>
      <c r="V64" s="38"/>
    </row>
    <row r="65" spans="1:22" x14ac:dyDescent="0.35">
      <c r="A65" s="110"/>
      <c r="D65" s="88" t="s">
        <v>52</v>
      </c>
      <c r="E65" s="77">
        <f>'Allocated Expenses'!F54+'Allocated Expenses'!F65</f>
        <v>2159.2821259439615</v>
      </c>
      <c r="F65" s="77">
        <f>'Allocated Expenses'!G54+'Allocated Expenses'!G65</f>
        <v>2247.6803068831614</v>
      </c>
      <c r="G65" s="77">
        <f>'Allocated Expenses'!H54+'Allocated Expenses'!H65</f>
        <v>2247.6803068831614</v>
      </c>
      <c r="H65" s="77">
        <f>'Allocated Expenses'!I54+'Allocated Expenses'!I65</f>
        <v>2247.6803068831614</v>
      </c>
      <c r="I65" s="77">
        <f>'Allocated Expenses'!J54+'Allocated Expenses'!J65</f>
        <v>2247.6803068831614</v>
      </c>
      <c r="J65" s="77">
        <f>'Allocated Expenses'!K54+'Allocated Expenses'!K65</f>
        <v>2247.6803068831614</v>
      </c>
      <c r="K65" s="77">
        <f>'Allocated Expenses'!L54+'Allocated Expenses'!L65</f>
        <v>2247.6803068831614</v>
      </c>
      <c r="L65" s="77">
        <f>'Allocated Expenses'!M54+'Allocated Expenses'!M65</f>
        <v>2247.6803068831614</v>
      </c>
      <c r="M65" s="77">
        <f>'Allocated Expenses'!N54+'Allocated Expenses'!N65</f>
        <v>2181.7986437303616</v>
      </c>
      <c r="N65" s="77">
        <f>'Allocated Expenses'!O54+'Allocated Expenses'!O65</f>
        <v>2181.7986437303616</v>
      </c>
      <c r="O65" s="77">
        <f>'Allocated Expenses'!P54+'Allocated Expenses'!P65</f>
        <v>2181.7986437303616</v>
      </c>
      <c r="P65" s="77">
        <f>'Allocated Expenses'!Q54+'Allocated Expenses'!Q65</f>
        <v>2181.7986437303616</v>
      </c>
      <c r="Q65" s="445">
        <f>SUM(E65:P65)</f>
        <v>26620.238849047542</v>
      </c>
      <c r="R65" s="438">
        <f t="shared" si="1"/>
        <v>1.7649167174333715</v>
      </c>
      <c r="S65" s="396"/>
      <c r="T65" s="399"/>
      <c r="U65" s="300" t="s">
        <v>371</v>
      </c>
      <c r="V65" s="38" t="s">
        <v>592</v>
      </c>
    </row>
    <row r="66" spans="1:22" x14ac:dyDescent="0.35">
      <c r="A66" s="110"/>
      <c r="D66" s="90" t="s">
        <v>53</v>
      </c>
      <c r="E66" s="43">
        <f>'Allocated Expenses'!F78</f>
        <v>4.940285820000005</v>
      </c>
      <c r="F66" s="43">
        <f>'Allocated Expenses'!G78</f>
        <v>0</v>
      </c>
      <c r="G66" s="43">
        <f>'Allocated Expenses'!H78</f>
        <v>0</v>
      </c>
      <c r="H66" s="43">
        <f>'Allocated Expenses'!I78</f>
        <v>0</v>
      </c>
      <c r="I66" s="43">
        <f>'Allocated Expenses'!J78</f>
        <v>0</v>
      </c>
      <c r="J66" s="43">
        <f>'Allocated Expenses'!K78</f>
        <v>0</v>
      </c>
      <c r="K66" s="43">
        <f>'Allocated Expenses'!L78</f>
        <v>0</v>
      </c>
      <c r="L66" s="43">
        <f>'Allocated Expenses'!M78</f>
        <v>0</v>
      </c>
      <c r="M66" s="43">
        <f>'Allocated Expenses'!N78</f>
        <v>3.6819111299999938</v>
      </c>
      <c r="N66" s="43">
        <f>'Allocated Expenses'!O78</f>
        <v>3.6819111299999938</v>
      </c>
      <c r="O66" s="43">
        <f>'Allocated Expenses'!P78</f>
        <v>3.6819111299999938</v>
      </c>
      <c r="P66" s="43">
        <f>'Allocated Expenses'!Q78</f>
        <v>3.6819111299999938</v>
      </c>
      <c r="Q66" s="443">
        <f>SUM(E66:P66)</f>
        <v>19.66793033999998</v>
      </c>
      <c r="R66" s="442">
        <f t="shared" si="1"/>
        <v>1.3039799999999986E-3</v>
      </c>
      <c r="S66" s="396"/>
      <c r="T66" s="399"/>
      <c r="U66" s="300" t="s">
        <v>371</v>
      </c>
      <c r="V66" s="38" t="s">
        <v>593</v>
      </c>
    </row>
    <row r="67" spans="1:22" x14ac:dyDescent="0.35">
      <c r="A67" s="110" t="s">
        <v>117</v>
      </c>
      <c r="B67" s="34" t="s">
        <v>46</v>
      </c>
      <c r="C67" s="34" t="s">
        <v>52</v>
      </c>
      <c r="E67" s="43">
        <f>SUM(E65:E66)</f>
        <v>2164.2224117639616</v>
      </c>
      <c r="F67" s="43">
        <f t="shared" ref="F67:P67" si="13">SUM(F65:F66)</f>
        <v>2247.6803068831614</v>
      </c>
      <c r="G67" s="43">
        <f t="shared" si="13"/>
        <v>2247.6803068831614</v>
      </c>
      <c r="H67" s="43">
        <f t="shared" si="13"/>
        <v>2247.6803068831614</v>
      </c>
      <c r="I67" s="43">
        <f t="shared" si="13"/>
        <v>2247.6803068831614</v>
      </c>
      <c r="J67" s="43">
        <f t="shared" si="13"/>
        <v>2247.6803068831614</v>
      </c>
      <c r="K67" s="43">
        <f t="shared" si="13"/>
        <v>2247.6803068831614</v>
      </c>
      <c r="L67" s="43">
        <f t="shared" si="13"/>
        <v>2247.6803068831614</v>
      </c>
      <c r="M67" s="43">
        <f t="shared" si="13"/>
        <v>2185.4805548603617</v>
      </c>
      <c r="N67" s="43">
        <f t="shared" si="13"/>
        <v>2185.4805548603617</v>
      </c>
      <c r="O67" s="43">
        <f t="shared" si="13"/>
        <v>2185.4805548603617</v>
      </c>
      <c r="P67" s="43">
        <f t="shared" si="13"/>
        <v>2185.4805548603617</v>
      </c>
      <c r="Q67" s="443">
        <f>SUM(Q65:Q66)</f>
        <v>26639.906779387544</v>
      </c>
      <c r="R67" s="444">
        <f t="shared" si="1"/>
        <v>1.7662206974333716</v>
      </c>
      <c r="S67" s="400">
        <v>26564.6</v>
      </c>
      <c r="T67" s="461">
        <f>IFERROR(Q67/S67-1,"-")</f>
        <v>2.8348546331413704E-3</v>
      </c>
      <c r="U67" s="300"/>
      <c r="V67" s="38"/>
    </row>
    <row r="68" spans="1:22" x14ac:dyDescent="0.35">
      <c r="A68" s="110"/>
      <c r="Q68" s="430"/>
      <c r="R68" s="432"/>
      <c r="S68" s="396"/>
      <c r="T68" s="399"/>
      <c r="U68" s="300"/>
      <c r="V68" s="38"/>
    </row>
    <row r="69" spans="1:22" hidden="1" x14ac:dyDescent="0.35">
      <c r="A69" s="110"/>
      <c r="B69" s="34" t="s">
        <v>34</v>
      </c>
      <c r="C69" s="34" t="s">
        <v>54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30">
        <f>SUM(E69:P69)</f>
        <v>0</v>
      </c>
      <c r="R69" s="432">
        <f t="shared" si="1"/>
        <v>0</v>
      </c>
      <c r="S69" s="396"/>
      <c r="T69" s="460" t="str">
        <f>IFERROR(Q69/S69-1,"-")</f>
        <v>-</v>
      </c>
      <c r="U69" s="300"/>
      <c r="V69" s="38"/>
    </row>
    <row r="70" spans="1:22" hidden="1" x14ac:dyDescent="0.35">
      <c r="A70" s="110"/>
      <c r="Q70" s="430"/>
      <c r="R70" s="432"/>
      <c r="S70" s="396"/>
      <c r="T70" s="399"/>
      <c r="U70" s="300"/>
      <c r="V70" s="38"/>
    </row>
    <row r="71" spans="1:22" ht="18" x14ac:dyDescent="0.35">
      <c r="A71" s="110"/>
      <c r="C71" s="91" t="s">
        <v>55</v>
      </c>
      <c r="D71" s="92"/>
      <c r="E71" s="92">
        <f t="shared" ref="E71:P71" si="14">+E27+E29+E31+E36+E38+E43+E45+E50+E52+E54+E56+E58+E63+E67+E69</f>
        <v>15723.258272127261</v>
      </c>
      <c r="F71" s="92">
        <f t="shared" si="14"/>
        <v>25987.136167246459</v>
      </c>
      <c r="G71" s="92">
        <f t="shared" si="14"/>
        <v>14271.260010802014</v>
      </c>
      <c r="H71" s="92">
        <f t="shared" si="14"/>
        <v>12694.100010802014</v>
      </c>
      <c r="I71" s="92">
        <f t="shared" si="14"/>
        <v>14319.580010802016</v>
      </c>
      <c r="J71" s="92">
        <f t="shared" si="14"/>
        <v>18135.500010802018</v>
      </c>
      <c r="K71" s="92">
        <f t="shared" si="14"/>
        <v>13210.460010802015</v>
      </c>
      <c r="L71" s="92">
        <f t="shared" si="14"/>
        <v>13235.520010802014</v>
      </c>
      <c r="M71" s="92">
        <f t="shared" si="14"/>
        <v>22637.180258779215</v>
      </c>
      <c r="N71" s="92">
        <f t="shared" si="14"/>
        <v>12301.560258779215</v>
      </c>
      <c r="O71" s="92">
        <f t="shared" si="14"/>
        <v>14842.340258779215</v>
      </c>
      <c r="P71" s="92">
        <f t="shared" si="14"/>
        <v>14994.746415223659</v>
      </c>
      <c r="Q71" s="446">
        <f>+Q27+Q29+Q31+Q36+Q38+Q43+Q45+Q50+Q52+Q54+Q56+Q58+Q63+Q67+Q69</f>
        <v>192352.64169574709</v>
      </c>
      <c r="R71" s="447">
        <f t="shared" si="1"/>
        <v>12.752943160892865</v>
      </c>
      <c r="S71" s="406">
        <f>+S27+S29+S31+S36+S38+S43+S45+S50+S52+S54+S56+S58+S63+S67+S69</f>
        <v>176393.51</v>
      </c>
      <c r="T71" s="465">
        <f>IFERROR(Q71/S71-1,"-")</f>
        <v>9.0474596802042617E-2</v>
      </c>
      <c r="U71" s="304"/>
      <c r="V71" s="38">
        <f>Q71-Q58-Q29</f>
        <v>142736.9262590711</v>
      </c>
    </row>
    <row r="72" spans="1:22" ht="18" x14ac:dyDescent="0.35">
      <c r="A72" s="110"/>
      <c r="G72" s="34" t="s">
        <v>91</v>
      </c>
      <c r="Q72" s="435"/>
      <c r="R72" s="436"/>
      <c r="S72" s="402"/>
      <c r="T72" s="403"/>
      <c r="U72" s="301"/>
      <c r="V72" s="38"/>
    </row>
    <row r="73" spans="1:22" ht="18" x14ac:dyDescent="0.35">
      <c r="A73" s="110"/>
      <c r="B73" s="35" t="s">
        <v>56</v>
      </c>
      <c r="Q73" s="430"/>
      <c r="R73" s="432">
        <f t="shared" si="1"/>
        <v>0</v>
      </c>
      <c r="S73" s="396"/>
      <c r="T73" s="399"/>
      <c r="U73" s="300"/>
      <c r="V73" s="38"/>
    </row>
    <row r="74" spans="1:22" x14ac:dyDescent="0.35">
      <c r="A74" s="110"/>
      <c r="Q74" s="430"/>
      <c r="R74" s="432"/>
      <c r="S74" s="396"/>
      <c r="T74" s="399"/>
      <c r="U74" s="300"/>
      <c r="V74" s="38"/>
    </row>
    <row r="75" spans="1:22" x14ac:dyDescent="0.35">
      <c r="A75" s="110" t="s">
        <v>141</v>
      </c>
      <c r="C75" s="34" t="s">
        <v>57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30">
        <f>SUM(E75:P75)</f>
        <v>0</v>
      </c>
      <c r="R75" s="432">
        <f t="shared" ref="R75:R131" si="15">Q75/$B$4</f>
        <v>0</v>
      </c>
      <c r="S75" s="396"/>
      <c r="T75" s="460" t="str">
        <f>IFERROR(Q75/S75-1,"-")</f>
        <v>-</v>
      </c>
      <c r="U75" s="300"/>
      <c r="V75" s="38"/>
    </row>
    <row r="76" spans="1:22" x14ac:dyDescent="0.35">
      <c r="A76" s="110"/>
      <c r="Q76" s="430"/>
      <c r="R76" s="432"/>
      <c r="S76" s="396"/>
      <c r="T76" s="399"/>
      <c r="U76" s="300"/>
      <c r="V76" s="38"/>
    </row>
    <row r="77" spans="1:22" x14ac:dyDescent="0.35">
      <c r="A77" s="110" t="s">
        <v>118</v>
      </c>
      <c r="D77" s="34" t="s">
        <v>58</v>
      </c>
      <c r="E77" s="34">
        <f>'Allocated Expenses'!F89</f>
        <v>382.30272810406518</v>
      </c>
      <c r="F77" s="34">
        <f>'Allocated Expenses'!G89</f>
        <v>382.30272810406518</v>
      </c>
      <c r="G77" s="34">
        <f>'Allocated Expenses'!H89</f>
        <v>382.30272810406518</v>
      </c>
      <c r="H77" s="34">
        <f>'Allocated Expenses'!I89</f>
        <v>382.30272810406518</v>
      </c>
      <c r="I77" s="34">
        <f>'Allocated Expenses'!J89</f>
        <v>382.30272810406518</v>
      </c>
      <c r="J77" s="34">
        <f>'Allocated Expenses'!K89</f>
        <v>382.30272810406518</v>
      </c>
      <c r="K77" s="34">
        <f>'Allocated Expenses'!L89</f>
        <v>382.30272810406518</v>
      </c>
      <c r="L77" s="34">
        <f>'Allocated Expenses'!M89</f>
        <v>382.30272810406518</v>
      </c>
      <c r="M77" s="34">
        <f>'Allocated Expenses'!N89</f>
        <v>382.30272810406518</v>
      </c>
      <c r="N77" s="34">
        <f>'Allocated Expenses'!O89</f>
        <v>382.30272810406518</v>
      </c>
      <c r="O77" s="34">
        <f>'Allocated Expenses'!P89</f>
        <v>382.30272810406518</v>
      </c>
      <c r="P77" s="34">
        <f>'Allocated Expenses'!Q89</f>
        <v>382.30272810406518</v>
      </c>
      <c r="Q77" s="430">
        <f>SUM(E77:P77)</f>
        <v>4587.6327372487813</v>
      </c>
      <c r="R77" s="432">
        <f t="shared" si="15"/>
        <v>0.30415916841800578</v>
      </c>
      <c r="S77" s="396"/>
      <c r="T77" s="399"/>
      <c r="U77" s="300"/>
      <c r="V77" s="38"/>
    </row>
    <row r="78" spans="1:22" x14ac:dyDescent="0.35">
      <c r="A78" s="110" t="s">
        <v>119</v>
      </c>
      <c r="D78" s="34" t="s">
        <v>59</v>
      </c>
      <c r="E78" s="43">
        <f>'Allocated Expenses'!F100</f>
        <v>241.6453650126474</v>
      </c>
      <c r="F78" s="43">
        <f>'Allocated Expenses'!G100</f>
        <v>0</v>
      </c>
      <c r="G78" s="43">
        <f>'Allocated Expenses'!H100</f>
        <v>0</v>
      </c>
      <c r="H78" s="43">
        <f>'Allocated Expenses'!I100</f>
        <v>241.6453650126474</v>
      </c>
      <c r="I78" s="43">
        <f>'Allocated Expenses'!J100</f>
        <v>0</v>
      </c>
      <c r="J78" s="43">
        <f>'Allocated Expenses'!K100</f>
        <v>0</v>
      </c>
      <c r="K78" s="43">
        <f>'Allocated Expenses'!L100</f>
        <v>241.6453650126474</v>
      </c>
      <c r="L78" s="43">
        <f>'Allocated Expenses'!M100</f>
        <v>0</v>
      </c>
      <c r="M78" s="43">
        <f>'Allocated Expenses'!N100</f>
        <v>0</v>
      </c>
      <c r="N78" s="43">
        <f>'Allocated Expenses'!O100</f>
        <v>241.6453650126474</v>
      </c>
      <c r="O78" s="43">
        <f>'Allocated Expenses'!P100</f>
        <v>0</v>
      </c>
      <c r="P78" s="43">
        <f>'Allocated Expenses'!Q100</f>
        <v>0</v>
      </c>
      <c r="Q78" s="443">
        <f>SUM(E78:P78)</f>
        <v>966.58146005058961</v>
      </c>
      <c r="R78" s="444">
        <f t="shared" si="15"/>
        <v>6.4084164957275716E-2</v>
      </c>
      <c r="S78" s="396"/>
      <c r="T78" s="399"/>
      <c r="U78" s="300"/>
      <c r="V78" s="38"/>
    </row>
    <row r="79" spans="1:22" x14ac:dyDescent="0.35">
      <c r="A79" s="110"/>
      <c r="C79" s="34" t="s">
        <v>60</v>
      </c>
      <c r="E79" s="43">
        <f t="shared" ref="E79:Q79" si="16">SUM(E77:E78)</f>
        <v>623.94809311671258</v>
      </c>
      <c r="F79" s="43">
        <f t="shared" si="16"/>
        <v>382.30272810406518</v>
      </c>
      <c r="G79" s="43">
        <f t="shared" si="16"/>
        <v>382.30272810406518</v>
      </c>
      <c r="H79" s="43">
        <f t="shared" si="16"/>
        <v>623.94809311671258</v>
      </c>
      <c r="I79" s="43">
        <f t="shared" si="16"/>
        <v>382.30272810406518</v>
      </c>
      <c r="J79" s="43">
        <f t="shared" si="16"/>
        <v>382.30272810406518</v>
      </c>
      <c r="K79" s="43">
        <f t="shared" si="16"/>
        <v>623.94809311671258</v>
      </c>
      <c r="L79" s="43">
        <f t="shared" si="16"/>
        <v>382.30272810406518</v>
      </c>
      <c r="M79" s="43">
        <f t="shared" si="16"/>
        <v>382.30272810406518</v>
      </c>
      <c r="N79" s="43">
        <f t="shared" si="16"/>
        <v>623.94809311671258</v>
      </c>
      <c r="O79" s="43">
        <f t="shared" si="16"/>
        <v>382.30272810406518</v>
      </c>
      <c r="P79" s="43">
        <f t="shared" si="16"/>
        <v>382.30272810406518</v>
      </c>
      <c r="Q79" s="443">
        <f t="shared" si="16"/>
        <v>5554.2141972993704</v>
      </c>
      <c r="R79" s="444">
        <f t="shared" si="15"/>
        <v>0.36824333337528148</v>
      </c>
      <c r="S79" s="400">
        <v>4447</v>
      </c>
      <c r="T79" s="461">
        <f>IFERROR(Q79/S79-1,"-")</f>
        <v>0.24898003087460552</v>
      </c>
      <c r="U79" s="300"/>
      <c r="V79" s="38"/>
    </row>
    <row r="80" spans="1:22" x14ac:dyDescent="0.35">
      <c r="A80" s="110"/>
      <c r="Q80" s="430"/>
      <c r="R80" s="432"/>
      <c r="S80" s="396"/>
      <c r="T80" s="399"/>
      <c r="U80" s="300"/>
      <c r="V80" s="38"/>
    </row>
    <row r="81" spans="1:22" x14ac:dyDescent="0.35">
      <c r="A81" s="110" t="s">
        <v>142</v>
      </c>
      <c r="D81" s="34" t="s">
        <v>61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30">
        <f>SUM(E81:P81)</f>
        <v>0</v>
      </c>
      <c r="R81" s="432">
        <f t="shared" si="15"/>
        <v>0</v>
      </c>
      <c r="S81" s="396"/>
      <c r="T81" s="399"/>
      <c r="U81" s="300"/>
      <c r="V81" s="38"/>
    </row>
    <row r="82" spans="1:22" x14ac:dyDescent="0.35">
      <c r="A82" s="110" t="s">
        <v>143</v>
      </c>
      <c r="D82" s="34" t="s">
        <v>21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30">
        <f>SUM(E82:P82)</f>
        <v>0</v>
      </c>
      <c r="R82" s="432">
        <f t="shared" si="15"/>
        <v>0</v>
      </c>
      <c r="S82" s="396"/>
      <c r="T82" s="399"/>
      <c r="U82" s="300"/>
      <c r="V82" s="38"/>
    </row>
    <row r="83" spans="1:22" x14ac:dyDescent="0.35">
      <c r="A83" s="110" t="s">
        <v>144</v>
      </c>
      <c r="D83" s="34" t="s">
        <v>29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43">
        <f>SUM(E83:P83)</f>
        <v>0</v>
      </c>
      <c r="R83" s="444">
        <f t="shared" si="15"/>
        <v>0</v>
      </c>
      <c r="S83" s="396"/>
      <c r="T83" s="399"/>
      <c r="U83" s="300"/>
      <c r="V83" s="38"/>
    </row>
    <row r="84" spans="1:22" x14ac:dyDescent="0.35">
      <c r="A84" s="110"/>
      <c r="C84" s="34" t="s">
        <v>62</v>
      </c>
      <c r="E84" s="43">
        <f t="shared" ref="E84:Q84" si="17">SUM(E81:E83)</f>
        <v>0</v>
      </c>
      <c r="F84" s="43">
        <f t="shared" si="17"/>
        <v>0</v>
      </c>
      <c r="G84" s="43">
        <f t="shared" si="17"/>
        <v>0</v>
      </c>
      <c r="H84" s="43">
        <f t="shared" si="17"/>
        <v>0</v>
      </c>
      <c r="I84" s="43">
        <f t="shared" si="17"/>
        <v>0</v>
      </c>
      <c r="J84" s="43">
        <f t="shared" si="17"/>
        <v>0</v>
      </c>
      <c r="K84" s="43">
        <f t="shared" si="17"/>
        <v>0</v>
      </c>
      <c r="L84" s="43">
        <f t="shared" si="17"/>
        <v>0</v>
      </c>
      <c r="M84" s="43">
        <f t="shared" si="17"/>
        <v>0</v>
      </c>
      <c r="N84" s="43">
        <f t="shared" si="17"/>
        <v>0</v>
      </c>
      <c r="O84" s="43">
        <f t="shared" si="17"/>
        <v>0</v>
      </c>
      <c r="P84" s="43">
        <f t="shared" si="17"/>
        <v>0</v>
      </c>
      <c r="Q84" s="443">
        <f t="shared" si="17"/>
        <v>0</v>
      </c>
      <c r="R84" s="444">
        <f t="shared" si="15"/>
        <v>0</v>
      </c>
      <c r="S84" s="400">
        <v>158.08000000000001</v>
      </c>
      <c r="T84" s="461">
        <f>IFERROR(Q84/S84-1,"-")</f>
        <v>-1</v>
      </c>
      <c r="U84" s="300"/>
      <c r="V84" s="38"/>
    </row>
    <row r="85" spans="1:22" x14ac:dyDescent="0.35">
      <c r="A85" s="110"/>
      <c r="Q85" s="430"/>
      <c r="R85" s="432"/>
      <c r="S85" s="396"/>
      <c r="T85" s="399"/>
      <c r="U85" s="300"/>
      <c r="V85" s="38"/>
    </row>
    <row r="86" spans="1:22" x14ac:dyDescent="0.35">
      <c r="A86" s="110"/>
      <c r="D86" s="88" t="s">
        <v>31</v>
      </c>
      <c r="E86" s="117">
        <f>1.03*440</f>
        <v>453.2</v>
      </c>
      <c r="F86" s="117">
        <f t="shared" ref="F86:P86" si="18">1.03*440</f>
        <v>453.2</v>
      </c>
      <c r="G86" s="117">
        <f t="shared" si="18"/>
        <v>453.2</v>
      </c>
      <c r="H86" s="117">
        <f t="shared" si="18"/>
        <v>453.2</v>
      </c>
      <c r="I86" s="117">
        <f>1.03*590</f>
        <v>607.70000000000005</v>
      </c>
      <c r="J86" s="117">
        <f t="shared" si="18"/>
        <v>453.2</v>
      </c>
      <c r="K86" s="117">
        <f t="shared" si="18"/>
        <v>453.2</v>
      </c>
      <c r="L86" s="117">
        <f t="shared" si="18"/>
        <v>453.2</v>
      </c>
      <c r="M86" s="117">
        <f t="shared" si="18"/>
        <v>453.2</v>
      </c>
      <c r="N86" s="117">
        <f t="shared" si="18"/>
        <v>453.2</v>
      </c>
      <c r="O86" s="117">
        <f t="shared" si="18"/>
        <v>453.2</v>
      </c>
      <c r="P86" s="117">
        <f t="shared" si="18"/>
        <v>453.2</v>
      </c>
      <c r="Q86" s="445">
        <f>SUM(E86:P86)</f>
        <v>5592.8999999999987</v>
      </c>
      <c r="R86" s="438">
        <f t="shared" si="15"/>
        <v>0.37080819465623543</v>
      </c>
      <c r="S86" s="396"/>
      <c r="T86" s="399"/>
      <c r="U86" s="300" t="s">
        <v>371</v>
      </c>
      <c r="V86" s="38" t="s">
        <v>461</v>
      </c>
    </row>
    <row r="87" spans="1:22" x14ac:dyDescent="0.35">
      <c r="A87" s="110"/>
      <c r="D87" s="90" t="s">
        <v>32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3">
        <f>SUM(E87:P87)</f>
        <v>0</v>
      </c>
      <c r="R87" s="442">
        <f t="shared" si="15"/>
        <v>0</v>
      </c>
      <c r="S87" s="396"/>
      <c r="T87" s="399"/>
      <c r="U87" s="300"/>
      <c r="V87" s="38"/>
    </row>
    <row r="88" spans="1:22" x14ac:dyDescent="0.35">
      <c r="A88" s="110" t="s">
        <v>120</v>
      </c>
      <c r="C88" s="34" t="s">
        <v>33</v>
      </c>
      <c r="E88" s="43">
        <f t="shared" ref="E88:Q88" si="19">SUM(E86:E87)</f>
        <v>453.2</v>
      </c>
      <c r="F88" s="43">
        <f t="shared" si="19"/>
        <v>453.2</v>
      </c>
      <c r="G88" s="43">
        <f t="shared" si="19"/>
        <v>453.2</v>
      </c>
      <c r="H88" s="43">
        <f t="shared" si="19"/>
        <v>453.2</v>
      </c>
      <c r="I88" s="43">
        <f t="shared" si="19"/>
        <v>607.70000000000005</v>
      </c>
      <c r="J88" s="43">
        <f t="shared" si="19"/>
        <v>453.2</v>
      </c>
      <c r="K88" s="43">
        <f t="shared" si="19"/>
        <v>453.2</v>
      </c>
      <c r="L88" s="43">
        <f t="shared" si="19"/>
        <v>453.2</v>
      </c>
      <c r="M88" s="43">
        <f t="shared" si="19"/>
        <v>453.2</v>
      </c>
      <c r="N88" s="43">
        <f t="shared" si="19"/>
        <v>453.2</v>
      </c>
      <c r="O88" s="43">
        <f t="shared" si="19"/>
        <v>453.2</v>
      </c>
      <c r="P88" s="43">
        <f t="shared" si="19"/>
        <v>453.2</v>
      </c>
      <c r="Q88" s="443">
        <f t="shared" si="19"/>
        <v>5592.8999999999987</v>
      </c>
      <c r="R88" s="444">
        <f t="shared" si="15"/>
        <v>0.37080819465623543</v>
      </c>
      <c r="S88" s="400">
        <v>1675.5500000000002</v>
      </c>
      <c r="T88" s="461">
        <f>IFERROR(Q88/S88-1,"-")</f>
        <v>2.3379487332517668</v>
      </c>
      <c r="U88" s="300"/>
      <c r="V88" s="38"/>
    </row>
    <row r="89" spans="1:22" x14ac:dyDescent="0.35">
      <c r="A89" s="110"/>
      <c r="Q89" s="430"/>
      <c r="R89" s="432"/>
      <c r="S89" s="396"/>
      <c r="T89" s="399"/>
      <c r="U89" s="300"/>
      <c r="V89" s="38"/>
    </row>
    <row r="90" spans="1:22" s="95" customFormat="1" hidden="1" x14ac:dyDescent="0.35">
      <c r="A90" s="111" t="s">
        <v>145</v>
      </c>
      <c r="B90" s="95" t="s">
        <v>34</v>
      </c>
      <c r="C90" s="95" t="s">
        <v>63</v>
      </c>
      <c r="Q90" s="448">
        <f>SUM(E90:P90)</f>
        <v>0</v>
      </c>
      <c r="R90" s="449">
        <f t="shared" si="15"/>
        <v>0</v>
      </c>
      <c r="S90" s="396"/>
      <c r="T90" s="399" t="e">
        <f>R90/S90-1</f>
        <v>#DIV/0!</v>
      </c>
      <c r="U90" s="300"/>
      <c r="V90" s="305"/>
    </row>
    <row r="91" spans="1:22" hidden="1" x14ac:dyDescent="0.35">
      <c r="A91" s="110"/>
      <c r="Q91" s="430"/>
      <c r="R91" s="432"/>
      <c r="S91" s="396"/>
      <c r="T91" s="399" t="e">
        <f>R91/S91-1</f>
        <v>#DIV/0!</v>
      </c>
      <c r="U91" s="300"/>
      <c r="V91" s="38"/>
    </row>
    <row r="92" spans="1:22" x14ac:dyDescent="0.35">
      <c r="A92" s="110" t="s">
        <v>121</v>
      </c>
      <c r="C92" s="34" t="s">
        <v>64</v>
      </c>
      <c r="E92" s="34">
        <f>'Allocated Expenses'!F111+'Allocated Expenses'!F122</f>
        <v>146.65794080263768</v>
      </c>
      <c r="F92" s="34">
        <f>'Allocated Expenses'!G111+'Allocated Expenses'!G122</f>
        <v>146.65794080263768</v>
      </c>
      <c r="G92" s="34">
        <f>'Allocated Expenses'!H111+'Allocated Expenses'!H122</f>
        <v>146.65794080263768</v>
      </c>
      <c r="H92" s="34">
        <f>'Allocated Expenses'!I111+'Allocated Expenses'!I122</f>
        <v>146.65794080263768</v>
      </c>
      <c r="I92" s="34">
        <f>'Allocated Expenses'!J111+'Allocated Expenses'!J122</f>
        <v>146.65794080263768</v>
      </c>
      <c r="J92" s="34">
        <f>'Allocated Expenses'!K111+'Allocated Expenses'!K122</f>
        <v>146.65794080263768</v>
      </c>
      <c r="K92" s="34">
        <f>'Allocated Expenses'!L111+'Allocated Expenses'!L122</f>
        <v>146.65794080263768</v>
      </c>
      <c r="L92" s="34">
        <f>'Allocated Expenses'!M111+'Allocated Expenses'!M122</f>
        <v>146.65794080263768</v>
      </c>
      <c r="M92" s="34">
        <f>'Allocated Expenses'!N111+'Allocated Expenses'!N122</f>
        <v>146.65794080263768</v>
      </c>
      <c r="N92" s="34">
        <f>'Allocated Expenses'!O111+'Allocated Expenses'!O122</f>
        <v>146.65794080263768</v>
      </c>
      <c r="O92" s="34">
        <f>'Allocated Expenses'!P111+'Allocated Expenses'!P122</f>
        <v>146.65794080263768</v>
      </c>
      <c r="P92" s="34">
        <f>'Allocated Expenses'!Q111+'Allocated Expenses'!Q122</f>
        <v>146.65794080263768</v>
      </c>
      <c r="Q92" s="430">
        <f>SUM(E92:P92)</f>
        <v>1759.8952896316525</v>
      </c>
      <c r="R92" s="432">
        <f t="shared" si="15"/>
        <v>0.11668071932849251</v>
      </c>
      <c r="S92" s="396">
        <v>1800</v>
      </c>
      <c r="T92" s="460">
        <f>IFERROR(Q92/S92-1,"-")</f>
        <v>-2.2280394649081936E-2</v>
      </c>
      <c r="U92" s="300"/>
      <c r="V92" s="38"/>
    </row>
    <row r="93" spans="1:22" x14ac:dyDescent="0.35">
      <c r="A93" s="110"/>
      <c r="Q93" s="430"/>
      <c r="R93" s="432"/>
      <c r="S93" s="396"/>
      <c r="T93" s="399"/>
      <c r="U93" s="300"/>
      <c r="V93" s="38"/>
    </row>
    <row r="94" spans="1:22" x14ac:dyDescent="0.35">
      <c r="A94" s="110" t="s">
        <v>122</v>
      </c>
      <c r="C94" s="34" t="s">
        <v>65</v>
      </c>
      <c r="E94" s="34">
        <f>'Allocated Expenses'!F133</f>
        <v>0</v>
      </c>
      <c r="F94" s="34">
        <f>'Allocated Expenses'!G133</f>
        <v>0</v>
      </c>
      <c r="G94" s="34">
        <f>'Allocated Expenses'!H133</f>
        <v>0</v>
      </c>
      <c r="H94" s="34">
        <f>'Allocated Expenses'!I133</f>
        <v>766.66414677821115</v>
      </c>
      <c r="I94" s="34">
        <f>'Allocated Expenses'!J133</f>
        <v>0</v>
      </c>
      <c r="J94" s="34">
        <f>'Allocated Expenses'!K133</f>
        <v>0</v>
      </c>
      <c r="K94" s="34">
        <f>'Allocated Expenses'!L133</f>
        <v>0</v>
      </c>
      <c r="L94" s="34">
        <f>'Allocated Expenses'!M133</f>
        <v>0</v>
      </c>
      <c r="M94" s="34">
        <f>'Allocated Expenses'!N133</f>
        <v>0</v>
      </c>
      <c r="N94" s="34">
        <f>'Allocated Expenses'!O133</f>
        <v>0</v>
      </c>
      <c r="O94" s="34">
        <f>'Allocated Expenses'!P133</f>
        <v>0</v>
      </c>
      <c r="P94" s="34">
        <f>'Allocated Expenses'!Q133</f>
        <v>0</v>
      </c>
      <c r="Q94" s="430">
        <f>SUM(E94:P94)</f>
        <v>766.66414677821115</v>
      </c>
      <c r="R94" s="432">
        <f t="shared" si="15"/>
        <v>5.0829685525307373E-2</v>
      </c>
      <c r="S94" s="396">
        <v>0</v>
      </c>
      <c r="T94" s="460" t="str">
        <f>IFERROR(Q94/S94-1,"-")</f>
        <v>-</v>
      </c>
      <c r="U94" s="300"/>
      <c r="V94" s="38"/>
    </row>
    <row r="95" spans="1:22" x14ac:dyDescent="0.35">
      <c r="A95" s="110"/>
      <c r="Q95" s="430"/>
      <c r="R95" s="432"/>
      <c r="S95" s="396"/>
      <c r="T95" s="399"/>
      <c r="U95" s="300"/>
      <c r="V95" s="38"/>
    </row>
    <row r="96" spans="1:22" x14ac:dyDescent="0.35">
      <c r="A96" s="110" t="s">
        <v>123</v>
      </c>
      <c r="C96" s="34" t="s">
        <v>66</v>
      </c>
      <c r="E96" s="34">
        <f>'Allocated Expenses'!F145</f>
        <v>134.0323051818666</v>
      </c>
      <c r="F96" s="34">
        <f>'Allocated Expenses'!G145</f>
        <v>134.0323051818666</v>
      </c>
      <c r="G96" s="34">
        <f>'Allocated Expenses'!H145</f>
        <v>134.0323051818666</v>
      </c>
      <c r="H96" s="34">
        <f>'Allocated Expenses'!I145</f>
        <v>134.0323051818666</v>
      </c>
      <c r="I96" s="34">
        <f>'Allocated Expenses'!J145</f>
        <v>134.0323051818666</v>
      </c>
      <c r="J96" s="34">
        <f>'Allocated Expenses'!K145</f>
        <v>134.0323051818666</v>
      </c>
      <c r="K96" s="34">
        <f>'Allocated Expenses'!L145</f>
        <v>134.0323051818666</v>
      </c>
      <c r="L96" s="34">
        <f>'Allocated Expenses'!M145</f>
        <v>134.0323051818666</v>
      </c>
      <c r="M96" s="34">
        <f>'Allocated Expenses'!N145</f>
        <v>134.0323051818666</v>
      </c>
      <c r="N96" s="34">
        <f>'Allocated Expenses'!O145</f>
        <v>134.0323051818666</v>
      </c>
      <c r="O96" s="34">
        <f>'Allocated Expenses'!P145</f>
        <v>134.0323051818666</v>
      </c>
      <c r="P96" s="34">
        <f>'Allocated Expenses'!Q145</f>
        <v>134.0323051818666</v>
      </c>
      <c r="Q96" s="430">
        <f>SUM(E96:P96)</f>
        <v>1608.3876621823993</v>
      </c>
      <c r="R96" s="432">
        <f t="shared" si="15"/>
        <v>0.10663579275889407</v>
      </c>
      <c r="S96" s="396">
        <v>1592.85</v>
      </c>
      <c r="T96" s="460">
        <f>IFERROR(Q96/S96-1,"-")</f>
        <v>9.7546298662143371E-3</v>
      </c>
      <c r="U96" s="300"/>
      <c r="V96" s="38"/>
    </row>
    <row r="97" spans="1:22" x14ac:dyDescent="0.35">
      <c r="A97" s="110"/>
      <c r="Q97" s="430"/>
      <c r="R97" s="432"/>
      <c r="S97" s="396"/>
      <c r="T97" s="399"/>
      <c r="U97" s="300"/>
      <c r="V97" s="38"/>
    </row>
    <row r="98" spans="1:22" x14ac:dyDescent="0.35">
      <c r="A98" s="110" t="s">
        <v>130</v>
      </c>
      <c r="D98" s="34" t="s">
        <v>67</v>
      </c>
      <c r="E98" s="34">
        <f>'Allocated Expenses'!F156</f>
        <v>6.0606847211909942</v>
      </c>
      <c r="F98" s="34">
        <f>'Allocated Expenses'!G156</f>
        <v>6.0606847211909942</v>
      </c>
      <c r="G98" s="34">
        <f>'Allocated Expenses'!H156</f>
        <v>6.0606847211909942</v>
      </c>
      <c r="H98" s="34">
        <f>'Allocated Expenses'!I156</f>
        <v>6.0606847211909942</v>
      </c>
      <c r="I98" s="34">
        <f>'Allocated Expenses'!J156</f>
        <v>6.0606847211909942</v>
      </c>
      <c r="J98" s="34">
        <f>'Allocated Expenses'!K156</f>
        <v>6.0606847211909942</v>
      </c>
      <c r="K98" s="34">
        <f>'Allocated Expenses'!L156</f>
        <v>6.0606847211909942</v>
      </c>
      <c r="L98" s="34">
        <f>'Allocated Expenses'!M156</f>
        <v>6.0606847211909942</v>
      </c>
      <c r="M98" s="34">
        <f>'Allocated Expenses'!N156</f>
        <v>6.0606847211909942</v>
      </c>
      <c r="N98" s="34">
        <f>'Allocated Expenses'!O156</f>
        <v>6.0606847211909942</v>
      </c>
      <c r="O98" s="34">
        <f>'Allocated Expenses'!P156</f>
        <v>6.0606847211909942</v>
      </c>
      <c r="P98" s="34">
        <f>'Allocated Expenses'!Q156</f>
        <v>6.0606847211909942</v>
      </c>
      <c r="Q98" s="430">
        <f>SUM(E98:P98)</f>
        <v>72.728216654291927</v>
      </c>
      <c r="R98" s="432">
        <f t="shared" si="15"/>
        <v>4.8218667807658905E-3</v>
      </c>
      <c r="S98" s="396"/>
      <c r="T98" s="399"/>
      <c r="U98" s="300"/>
      <c r="V98" s="38"/>
    </row>
    <row r="99" spans="1:22" x14ac:dyDescent="0.35">
      <c r="A99" s="110" t="s">
        <v>146</v>
      </c>
      <c r="D99" s="34" t="s">
        <v>68</v>
      </c>
      <c r="E99" s="34">
        <f>'Allocated Expenses'!F167</f>
        <v>0</v>
      </c>
      <c r="F99" s="34">
        <f>'Allocated Expenses'!G167</f>
        <v>0</v>
      </c>
      <c r="G99" s="34">
        <f>'Allocated Expenses'!H167</f>
        <v>0</v>
      </c>
      <c r="H99" s="34">
        <f>'Allocated Expenses'!I167</f>
        <v>0</v>
      </c>
      <c r="I99" s="34">
        <f>'Allocated Expenses'!J167</f>
        <v>0</v>
      </c>
      <c r="J99" s="34">
        <f>'Allocated Expenses'!K167</f>
        <v>0</v>
      </c>
      <c r="K99" s="34">
        <f>'Allocated Expenses'!L167</f>
        <v>0</v>
      </c>
      <c r="L99" s="34">
        <f>'Allocated Expenses'!M167</f>
        <v>0</v>
      </c>
      <c r="M99" s="34">
        <f>'Allocated Expenses'!N167</f>
        <v>0</v>
      </c>
      <c r="N99" s="34">
        <f>'Allocated Expenses'!O167</f>
        <v>0</v>
      </c>
      <c r="O99" s="34">
        <f>'Allocated Expenses'!P167</f>
        <v>0</v>
      </c>
      <c r="P99" s="34">
        <f>'Allocated Expenses'!Q167</f>
        <v>0</v>
      </c>
      <c r="Q99" s="430">
        <f>SUM(E99:P99)</f>
        <v>0</v>
      </c>
      <c r="R99" s="432">
        <f t="shared" si="15"/>
        <v>0</v>
      </c>
      <c r="S99" s="396"/>
      <c r="T99" s="399"/>
      <c r="U99" s="300"/>
      <c r="V99" s="38"/>
    </row>
    <row r="100" spans="1:22" x14ac:dyDescent="0.35">
      <c r="A100" s="110" t="s">
        <v>147</v>
      </c>
      <c r="D100" s="34" t="s">
        <v>69</v>
      </c>
      <c r="E100" s="34">
        <f>'Allocated Expenses'!F178</f>
        <v>0</v>
      </c>
      <c r="F100" s="34">
        <f>'Allocated Expenses'!G178</f>
        <v>0</v>
      </c>
      <c r="G100" s="34">
        <f>'Allocated Expenses'!H178</f>
        <v>0</v>
      </c>
      <c r="H100" s="34">
        <f>'Allocated Expenses'!I178</f>
        <v>0</v>
      </c>
      <c r="I100" s="34">
        <f>'Allocated Expenses'!J178</f>
        <v>0</v>
      </c>
      <c r="J100" s="34">
        <f>'Allocated Expenses'!K178</f>
        <v>0</v>
      </c>
      <c r="K100" s="34">
        <f>'Allocated Expenses'!L178</f>
        <v>0</v>
      </c>
      <c r="L100" s="34">
        <f>'Allocated Expenses'!M178</f>
        <v>0</v>
      </c>
      <c r="M100" s="34">
        <f>'Allocated Expenses'!N178</f>
        <v>0</v>
      </c>
      <c r="N100" s="34">
        <f>'Allocated Expenses'!O178</f>
        <v>0</v>
      </c>
      <c r="O100" s="34">
        <f>'Allocated Expenses'!P178</f>
        <v>0</v>
      </c>
      <c r="P100" s="34">
        <f>'Allocated Expenses'!Q178</f>
        <v>0</v>
      </c>
      <c r="Q100" s="430">
        <f>SUM(E100:P100)</f>
        <v>0</v>
      </c>
      <c r="R100" s="432">
        <f t="shared" si="15"/>
        <v>0</v>
      </c>
      <c r="S100" s="396"/>
      <c r="T100" s="399"/>
      <c r="U100" s="300"/>
      <c r="V100" s="38"/>
    </row>
    <row r="101" spans="1:22" x14ac:dyDescent="0.35">
      <c r="A101" s="110" t="s">
        <v>131</v>
      </c>
      <c r="D101" s="34" t="s">
        <v>70</v>
      </c>
      <c r="E101" s="34">
        <f>'Allocated Expenses'!F189</f>
        <v>5.8651787624428975</v>
      </c>
      <c r="F101" s="34">
        <f>'Allocated Expenses'!G189</f>
        <v>5.8651787624428975</v>
      </c>
      <c r="G101" s="34">
        <f>'Allocated Expenses'!H189</f>
        <v>5.8651787624428975</v>
      </c>
      <c r="H101" s="34">
        <f>'Allocated Expenses'!I189</f>
        <v>5.8651787624428975</v>
      </c>
      <c r="I101" s="34">
        <f>'Allocated Expenses'!J189</f>
        <v>5.8651787624428975</v>
      </c>
      <c r="J101" s="34">
        <f>'Allocated Expenses'!K189</f>
        <v>5.8651787624428975</v>
      </c>
      <c r="K101" s="34">
        <f>'Allocated Expenses'!L189</f>
        <v>5.8651787624428975</v>
      </c>
      <c r="L101" s="34">
        <f>'Allocated Expenses'!M189</f>
        <v>5.8651787624428975</v>
      </c>
      <c r="M101" s="34">
        <f>'Allocated Expenses'!N189</f>
        <v>5.8651787624428975</v>
      </c>
      <c r="N101" s="34">
        <f>'Allocated Expenses'!O189</f>
        <v>5.8651787624428975</v>
      </c>
      <c r="O101" s="34">
        <f>'Allocated Expenses'!P189</f>
        <v>5.8651787624428975</v>
      </c>
      <c r="P101" s="34">
        <f>'Allocated Expenses'!Q189</f>
        <v>5.8651787624428975</v>
      </c>
      <c r="Q101" s="430">
        <f>SUM(E101:P101)</f>
        <v>70.382145149314752</v>
      </c>
      <c r="R101" s="432">
        <f t="shared" si="15"/>
        <v>4.666322691063764E-3</v>
      </c>
      <c r="S101" s="396"/>
      <c r="T101" s="399"/>
      <c r="U101" s="300"/>
      <c r="V101" s="38"/>
    </row>
    <row r="102" spans="1:22" x14ac:dyDescent="0.35">
      <c r="A102" s="110" t="s">
        <v>124</v>
      </c>
      <c r="D102" s="34" t="s">
        <v>71</v>
      </c>
      <c r="E102" s="43">
        <f>'Allocated Expenses'!F200</f>
        <v>200</v>
      </c>
      <c r="F102" s="43">
        <f>'Allocated Expenses'!G200</f>
        <v>200</v>
      </c>
      <c r="G102" s="43">
        <f>'Allocated Expenses'!H200</f>
        <v>200</v>
      </c>
      <c r="H102" s="43">
        <f>'Allocated Expenses'!I200</f>
        <v>200</v>
      </c>
      <c r="I102" s="43">
        <f>'Allocated Expenses'!J200</f>
        <v>200</v>
      </c>
      <c r="J102" s="43">
        <f>'Allocated Expenses'!K200</f>
        <v>200</v>
      </c>
      <c r="K102" s="43">
        <f>'Allocated Expenses'!L200</f>
        <v>200</v>
      </c>
      <c r="L102" s="43">
        <f>'Allocated Expenses'!M200</f>
        <v>200</v>
      </c>
      <c r="M102" s="43">
        <f>'Allocated Expenses'!N200</f>
        <v>200</v>
      </c>
      <c r="N102" s="43">
        <f>'Allocated Expenses'!O200</f>
        <v>200</v>
      </c>
      <c r="O102" s="43">
        <f>'Allocated Expenses'!P200</f>
        <v>200</v>
      </c>
      <c r="P102" s="43">
        <f>'Allocated Expenses'!Q200</f>
        <v>200</v>
      </c>
      <c r="Q102" s="443">
        <f>SUM(E102:P102)</f>
        <v>2400</v>
      </c>
      <c r="R102" s="444">
        <f t="shared" si="15"/>
        <v>0.15911953855333819</v>
      </c>
      <c r="S102" s="396"/>
      <c r="T102" s="399"/>
      <c r="U102" s="300"/>
      <c r="V102" s="38"/>
    </row>
    <row r="103" spans="1:22" x14ac:dyDescent="0.35">
      <c r="A103" s="110"/>
      <c r="C103" s="34" t="s">
        <v>72</v>
      </c>
      <c r="E103" s="43">
        <f t="shared" ref="E103:Q103" si="20">SUM(E98:E102)</f>
        <v>211.92586348363389</v>
      </c>
      <c r="F103" s="43">
        <f t="shared" si="20"/>
        <v>211.92586348363389</v>
      </c>
      <c r="G103" s="43">
        <f t="shared" si="20"/>
        <v>211.92586348363389</v>
      </c>
      <c r="H103" s="43">
        <f t="shared" si="20"/>
        <v>211.92586348363389</v>
      </c>
      <c r="I103" s="43">
        <f t="shared" si="20"/>
        <v>211.92586348363389</v>
      </c>
      <c r="J103" s="43">
        <f t="shared" si="20"/>
        <v>211.92586348363389</v>
      </c>
      <c r="K103" s="43">
        <f t="shared" si="20"/>
        <v>211.92586348363389</v>
      </c>
      <c r="L103" s="43">
        <f t="shared" si="20"/>
        <v>211.92586348363389</v>
      </c>
      <c r="M103" s="43">
        <f t="shared" si="20"/>
        <v>211.92586348363389</v>
      </c>
      <c r="N103" s="43">
        <f t="shared" si="20"/>
        <v>211.92586348363389</v>
      </c>
      <c r="O103" s="43">
        <f t="shared" si="20"/>
        <v>211.92586348363389</v>
      </c>
      <c r="P103" s="43">
        <f t="shared" si="20"/>
        <v>211.92586348363389</v>
      </c>
      <c r="Q103" s="443">
        <f t="shared" si="20"/>
        <v>2543.1103618036068</v>
      </c>
      <c r="R103" s="444">
        <f t="shared" si="15"/>
        <v>0.16860772802516785</v>
      </c>
      <c r="S103" s="400">
        <v>2472</v>
      </c>
      <c r="T103" s="461">
        <f>IFERROR(Q103/S103-1,"-")</f>
        <v>2.876632759045572E-2</v>
      </c>
      <c r="U103" s="300"/>
      <c r="V103" s="38"/>
    </row>
    <row r="104" spans="1:22" x14ac:dyDescent="0.35">
      <c r="A104" s="110"/>
      <c r="Q104" s="430"/>
      <c r="R104" s="432"/>
      <c r="S104" s="396"/>
      <c r="T104" s="399"/>
      <c r="U104" s="300"/>
      <c r="V104" s="38"/>
    </row>
    <row r="105" spans="1:22" ht="18" x14ac:dyDescent="0.35">
      <c r="A105" s="110"/>
      <c r="C105" s="60" t="s">
        <v>73</v>
      </c>
      <c r="D105" s="92"/>
      <c r="E105" s="92">
        <f t="shared" ref="E105:Q105" si="21">+E75+E79+E84+E88+E90+E92+E94+E96+E103</f>
        <v>1569.7642025848509</v>
      </c>
      <c r="F105" s="92">
        <f t="shared" si="21"/>
        <v>1328.1188375722033</v>
      </c>
      <c r="G105" s="92">
        <f t="shared" si="21"/>
        <v>1328.1188375722033</v>
      </c>
      <c r="H105" s="92">
        <f t="shared" si="21"/>
        <v>2336.4283493630614</v>
      </c>
      <c r="I105" s="92">
        <f t="shared" si="21"/>
        <v>1482.6188375722036</v>
      </c>
      <c r="J105" s="92">
        <f t="shared" si="21"/>
        <v>1328.1188375722033</v>
      </c>
      <c r="K105" s="92">
        <f t="shared" si="21"/>
        <v>1569.7642025848509</v>
      </c>
      <c r="L105" s="92">
        <f t="shared" si="21"/>
        <v>1328.1188375722033</v>
      </c>
      <c r="M105" s="92">
        <f t="shared" si="21"/>
        <v>1328.1188375722033</v>
      </c>
      <c r="N105" s="92">
        <f t="shared" si="21"/>
        <v>1569.7642025848509</v>
      </c>
      <c r="O105" s="92">
        <f t="shared" si="21"/>
        <v>1328.1188375722033</v>
      </c>
      <c r="P105" s="92">
        <f t="shared" si="21"/>
        <v>1328.1188375722033</v>
      </c>
      <c r="Q105" s="446">
        <f t="shared" si="21"/>
        <v>17825.171657695239</v>
      </c>
      <c r="R105" s="447">
        <f t="shared" si="15"/>
        <v>1.1818054536693787</v>
      </c>
      <c r="S105" s="406">
        <f t="shared" ref="S105" si="22">+S75+S79+S84+S88+S90+S92+S94+S96+S103</f>
        <v>12145.48</v>
      </c>
      <c r="T105" s="465">
        <f>IFERROR(Q105/S105-1,"-")</f>
        <v>0.46763830311319432</v>
      </c>
      <c r="U105" s="304"/>
      <c r="V105" s="38"/>
    </row>
    <row r="106" spans="1:22" ht="18.5" thickBot="1" x14ac:dyDescent="0.4">
      <c r="A106" s="110"/>
      <c r="Q106" s="435"/>
      <c r="R106" s="436"/>
      <c r="S106" s="402"/>
      <c r="T106" s="403"/>
      <c r="U106" s="301"/>
      <c r="V106" s="38"/>
    </row>
    <row r="107" spans="1:22" s="36" customFormat="1" ht="18" thickBot="1" x14ac:dyDescent="0.4">
      <c r="A107" s="285"/>
      <c r="B107" s="286" t="s">
        <v>74</v>
      </c>
      <c r="C107" s="287"/>
      <c r="D107" s="287"/>
      <c r="E107" s="287">
        <f t="shared" ref="E107:Q107" si="23">+E71+E105</f>
        <v>17293.02247471211</v>
      </c>
      <c r="F107" s="287">
        <f t="shared" si="23"/>
        <v>27315.255004818664</v>
      </c>
      <c r="G107" s="287">
        <f t="shared" si="23"/>
        <v>15599.378848374217</v>
      </c>
      <c r="H107" s="287">
        <f t="shared" si="23"/>
        <v>15030.528360165075</v>
      </c>
      <c r="I107" s="287">
        <f t="shared" si="23"/>
        <v>15802.198848374219</v>
      </c>
      <c r="J107" s="287">
        <f t="shared" si="23"/>
        <v>19463.618848374223</v>
      </c>
      <c r="K107" s="287">
        <f t="shared" si="23"/>
        <v>14780.224213386866</v>
      </c>
      <c r="L107" s="287">
        <f t="shared" si="23"/>
        <v>14563.638848374218</v>
      </c>
      <c r="M107" s="287">
        <f t="shared" si="23"/>
        <v>23965.29909635142</v>
      </c>
      <c r="N107" s="287">
        <f t="shared" si="23"/>
        <v>13871.324461364065</v>
      </c>
      <c r="O107" s="287">
        <f t="shared" si="23"/>
        <v>16170.459096351418</v>
      </c>
      <c r="P107" s="287">
        <f t="shared" si="23"/>
        <v>16322.865252795862</v>
      </c>
      <c r="Q107" s="426">
        <f t="shared" si="23"/>
        <v>210177.81335344233</v>
      </c>
      <c r="R107" s="428">
        <f t="shared" si="15"/>
        <v>13.934748614562244</v>
      </c>
      <c r="S107" s="427">
        <f>+S71+S105</f>
        <v>188538.99000000002</v>
      </c>
      <c r="T107" s="405">
        <f>IFERROR(Q107/S107-1,"-")</f>
        <v>0.1147710791992802</v>
      </c>
      <c r="U107" s="302"/>
      <c r="V107" s="74"/>
    </row>
    <row r="108" spans="1:22" ht="18.5" thickBot="1" x14ac:dyDescent="0.4">
      <c r="A108" s="110"/>
      <c r="Q108" s="435"/>
      <c r="R108" s="436"/>
      <c r="S108" s="402"/>
      <c r="T108" s="403"/>
      <c r="U108" s="301"/>
      <c r="V108" s="38"/>
    </row>
    <row r="109" spans="1:22" s="36" customFormat="1" ht="18" thickBot="1" x14ac:dyDescent="0.4">
      <c r="A109" s="285"/>
      <c r="B109" s="286" t="s">
        <v>75</v>
      </c>
      <c r="C109" s="287"/>
      <c r="D109" s="287"/>
      <c r="E109" s="287">
        <f t="shared" ref="E109:Q109" si="24">+E24-E107</f>
        <v>10842.218458621224</v>
      </c>
      <c r="F109" s="287">
        <f t="shared" si="24"/>
        <v>1633.2058285146704</v>
      </c>
      <c r="G109" s="287">
        <f t="shared" si="24"/>
        <v>12899.081984959117</v>
      </c>
      <c r="H109" s="287">
        <f t="shared" si="24"/>
        <v>12388.932473168259</v>
      </c>
      <c r="I109" s="287">
        <f t="shared" si="24"/>
        <v>11222.261984959116</v>
      </c>
      <c r="J109" s="287">
        <f t="shared" si="24"/>
        <v>7639.8419849591119</v>
      </c>
      <c r="K109" s="287">
        <f t="shared" si="24"/>
        <v>12694.236619946469</v>
      </c>
      <c r="L109" s="287">
        <f t="shared" si="24"/>
        <v>12818.821984959117</v>
      </c>
      <c r="M109" s="287">
        <f t="shared" si="24"/>
        <v>2303.5768036485788</v>
      </c>
      <c r="N109" s="287">
        <f t="shared" si="24"/>
        <v>12470.181438635935</v>
      </c>
      <c r="O109" s="287">
        <f t="shared" si="24"/>
        <v>10726.908403648582</v>
      </c>
      <c r="P109" s="287">
        <f t="shared" si="24"/>
        <v>11537.091847204138</v>
      </c>
      <c r="Q109" s="426">
        <f t="shared" si="24"/>
        <v>119176.35981322432</v>
      </c>
      <c r="R109" s="428">
        <f t="shared" si="15"/>
        <v>7.9013697416445217</v>
      </c>
      <c r="S109" s="427">
        <f>+S24-S107</f>
        <v>116261.65</v>
      </c>
      <c r="T109" s="405">
        <f>IFERROR(Q109/S109-1,"-")</f>
        <v>2.5070260169405278E-2</v>
      </c>
      <c r="U109" s="302"/>
      <c r="V109" s="74"/>
    </row>
    <row r="110" spans="1:22" ht="18" x14ac:dyDescent="0.35">
      <c r="A110" s="110"/>
      <c r="Q110" s="435"/>
      <c r="R110" s="436"/>
      <c r="S110" s="402"/>
      <c r="T110" s="403"/>
      <c r="U110" s="301"/>
      <c r="V110" s="38"/>
    </row>
    <row r="111" spans="1:22" x14ac:dyDescent="0.35">
      <c r="A111" s="110" t="s">
        <v>125</v>
      </c>
      <c r="D111" s="34" t="s">
        <v>76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30">
        <f>SUM(E111:P111)</f>
        <v>0</v>
      </c>
      <c r="R111" s="432">
        <f t="shared" si="15"/>
        <v>0</v>
      </c>
      <c r="S111" s="396"/>
      <c r="T111" s="399"/>
      <c r="U111" s="300"/>
      <c r="V111" s="38"/>
    </row>
    <row r="112" spans="1:22" x14ac:dyDescent="0.35">
      <c r="A112" s="110" t="s">
        <v>126</v>
      </c>
      <c r="D112" s="34" t="s">
        <v>77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30">
        <f>SUM(E112:P112)</f>
        <v>0</v>
      </c>
      <c r="R112" s="432">
        <f t="shared" si="15"/>
        <v>0</v>
      </c>
      <c r="S112" s="396"/>
      <c r="T112" s="399"/>
      <c r="U112" s="300"/>
      <c r="V112" s="38"/>
    </row>
    <row r="113" spans="1:22" x14ac:dyDescent="0.35">
      <c r="A113" s="110" t="s">
        <v>127</v>
      </c>
      <c r="D113" s="34" t="s">
        <v>78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30">
        <f>SUM(E113:P113)</f>
        <v>0</v>
      </c>
      <c r="R113" s="432">
        <f t="shared" si="15"/>
        <v>0</v>
      </c>
      <c r="S113" s="396"/>
      <c r="T113" s="399"/>
      <c r="U113" s="300"/>
      <c r="V113" s="38"/>
    </row>
    <row r="114" spans="1:22" x14ac:dyDescent="0.35">
      <c r="A114" s="110" t="s">
        <v>133</v>
      </c>
      <c r="D114" s="34" t="s">
        <v>79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43">
        <f>SUM(E114:P114)</f>
        <v>0</v>
      </c>
      <c r="R114" s="444">
        <f t="shared" si="15"/>
        <v>0</v>
      </c>
      <c r="S114" s="396"/>
      <c r="T114" s="399"/>
      <c r="U114" s="300"/>
      <c r="V114" s="38"/>
    </row>
    <row r="115" spans="1:22" x14ac:dyDescent="0.35">
      <c r="A115" s="110"/>
      <c r="C115" s="34" t="s">
        <v>79</v>
      </c>
      <c r="E115" s="43">
        <f t="shared" ref="E115:Q115" si="25">SUM(E111:E114)</f>
        <v>0</v>
      </c>
      <c r="F115" s="43">
        <f t="shared" si="25"/>
        <v>0</v>
      </c>
      <c r="G115" s="43">
        <f t="shared" si="25"/>
        <v>0</v>
      </c>
      <c r="H115" s="43">
        <f t="shared" si="25"/>
        <v>0</v>
      </c>
      <c r="I115" s="43">
        <f t="shared" si="25"/>
        <v>0</v>
      </c>
      <c r="J115" s="43">
        <f t="shared" si="25"/>
        <v>0</v>
      </c>
      <c r="K115" s="43">
        <f t="shared" si="25"/>
        <v>0</v>
      </c>
      <c r="L115" s="43">
        <f t="shared" si="25"/>
        <v>0</v>
      </c>
      <c r="M115" s="43">
        <f t="shared" si="25"/>
        <v>0</v>
      </c>
      <c r="N115" s="43">
        <f t="shared" si="25"/>
        <v>0</v>
      </c>
      <c r="O115" s="43">
        <f t="shared" si="25"/>
        <v>0</v>
      </c>
      <c r="P115" s="43">
        <f t="shared" si="25"/>
        <v>0</v>
      </c>
      <c r="Q115" s="443">
        <f t="shared" si="25"/>
        <v>0</v>
      </c>
      <c r="R115" s="444">
        <f t="shared" si="15"/>
        <v>0</v>
      </c>
      <c r="S115" s="400">
        <v>0</v>
      </c>
      <c r="T115" s="461" t="str">
        <f>IFERROR(Q115/S115-1,"-")</f>
        <v>-</v>
      </c>
      <c r="U115" s="300"/>
      <c r="V115" s="38"/>
    </row>
    <row r="116" spans="1:22" x14ac:dyDescent="0.35">
      <c r="A116" s="110"/>
      <c r="Q116" s="430"/>
      <c r="R116" s="432"/>
      <c r="S116" s="396"/>
      <c r="T116" s="399"/>
      <c r="U116" s="300"/>
      <c r="V116" s="38"/>
    </row>
    <row r="117" spans="1:22" x14ac:dyDescent="0.35">
      <c r="A117" s="110" t="s">
        <v>128</v>
      </c>
      <c r="C117" s="34" t="s">
        <v>80</v>
      </c>
      <c r="E117" s="34">
        <f>'Renew &amp; Vac'!AJ99</f>
        <v>0</v>
      </c>
      <c r="F117" s="34">
        <f>'Renew &amp; Vac'!AK99</f>
        <v>639</v>
      </c>
      <c r="G117" s="34">
        <f>'Renew &amp; Vac'!AL99</f>
        <v>0</v>
      </c>
      <c r="H117" s="34">
        <f>'Renew &amp; Vac'!AM99</f>
        <v>0</v>
      </c>
      <c r="I117" s="34">
        <f>'Renew &amp; Vac'!AN99</f>
        <v>0</v>
      </c>
      <c r="J117" s="34">
        <f>'Renew &amp; Vac'!AO99</f>
        <v>0</v>
      </c>
      <c r="K117" s="34">
        <f>'Renew &amp; Vac'!AP99</f>
        <v>0</v>
      </c>
      <c r="L117" s="34">
        <f>'Renew &amp; Vac'!AQ99</f>
        <v>0</v>
      </c>
      <c r="M117" s="34">
        <f>'Renew &amp; Vac'!AR99</f>
        <v>0</v>
      </c>
      <c r="N117" s="34">
        <f>'Renew &amp; Vac'!AS99</f>
        <v>0</v>
      </c>
      <c r="O117" s="34">
        <f>'Renew &amp; Vac'!AT99</f>
        <v>0</v>
      </c>
      <c r="P117" s="34">
        <f>'Renew &amp; Vac'!AU99</f>
        <v>0</v>
      </c>
      <c r="Q117" s="430">
        <f>SUM(E117:P117)</f>
        <v>639</v>
      </c>
      <c r="R117" s="432">
        <f t="shared" si="15"/>
        <v>4.2365577139826298E-2</v>
      </c>
      <c r="S117" s="396">
        <v>0</v>
      </c>
      <c r="T117" s="460" t="str">
        <f>IFERROR(Q117/S117-1,"-")</f>
        <v>-</v>
      </c>
      <c r="U117" s="300"/>
      <c r="V117" s="38"/>
    </row>
    <row r="118" spans="1:22" ht="18" x14ac:dyDescent="0.35">
      <c r="A118" s="11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450"/>
      <c r="R118" s="451"/>
      <c r="S118" s="407"/>
      <c r="T118" s="408"/>
      <c r="U118" s="304"/>
      <c r="V118" s="38"/>
    </row>
    <row r="119" spans="1:22" ht="18" x14ac:dyDescent="0.35">
      <c r="A119" s="110"/>
      <c r="D119" s="34" t="s">
        <v>81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35">
        <f>SUM(E119:P119)</f>
        <v>0</v>
      </c>
      <c r="R119" s="436">
        <f t="shared" si="15"/>
        <v>0</v>
      </c>
      <c r="S119" s="402">
        <v>0</v>
      </c>
      <c r="T119" s="403"/>
      <c r="U119" s="301"/>
      <c r="V119" s="38"/>
    </row>
    <row r="120" spans="1:22" x14ac:dyDescent="0.35">
      <c r="A120" s="110"/>
      <c r="B120" s="36"/>
      <c r="D120" s="34" t="s">
        <v>82</v>
      </c>
      <c r="E120" s="43">
        <f>'Renew &amp; Vac'!AJ100</f>
        <v>0</v>
      </c>
      <c r="F120" s="43">
        <f>'Renew &amp; Vac'!AK100</f>
        <v>670.94999999999993</v>
      </c>
      <c r="G120" s="43">
        <f>'Renew &amp; Vac'!AL100</f>
        <v>0</v>
      </c>
      <c r="H120" s="43">
        <f>'Renew &amp; Vac'!AM100</f>
        <v>0</v>
      </c>
      <c r="I120" s="43">
        <f>'Renew &amp; Vac'!AN100</f>
        <v>0</v>
      </c>
      <c r="J120" s="43">
        <f>'Renew &amp; Vac'!AO100</f>
        <v>0</v>
      </c>
      <c r="K120" s="43">
        <f>'Renew &amp; Vac'!AP100</f>
        <v>0</v>
      </c>
      <c r="L120" s="43">
        <f>'Renew &amp; Vac'!AQ100</f>
        <v>0</v>
      </c>
      <c r="M120" s="43">
        <f>'Renew &amp; Vac'!AR100</f>
        <v>0</v>
      </c>
      <c r="N120" s="43">
        <f>'Renew &amp; Vac'!AS100</f>
        <v>0</v>
      </c>
      <c r="O120" s="43">
        <f>'Renew &amp; Vac'!AT100</f>
        <v>0</v>
      </c>
      <c r="P120" s="43">
        <f>'Renew &amp; Vac'!AU100</f>
        <v>0</v>
      </c>
      <c r="Q120" s="443">
        <f>SUM(E120:P120)</f>
        <v>670.94999999999993</v>
      </c>
      <c r="R120" s="444">
        <f t="shared" si="15"/>
        <v>4.4483855996817603E-2</v>
      </c>
      <c r="S120" s="409">
        <v>0</v>
      </c>
      <c r="T120" s="404"/>
      <c r="U120" s="300"/>
      <c r="V120" s="38"/>
    </row>
    <row r="121" spans="1:22" x14ac:dyDescent="0.35">
      <c r="A121" s="110" t="s">
        <v>129</v>
      </c>
      <c r="C121" s="34" t="s">
        <v>82</v>
      </c>
      <c r="D121" s="61"/>
      <c r="E121" s="34">
        <f>SUM(E119:E120)</f>
        <v>0</v>
      </c>
      <c r="F121" s="34">
        <f>SUM(F119:F120)</f>
        <v>670.94999999999993</v>
      </c>
      <c r="G121" s="34">
        <f t="shared" ref="G121:Q121" si="26">SUM(G119:G120)</f>
        <v>0</v>
      </c>
      <c r="H121" s="34">
        <f t="shared" si="26"/>
        <v>0</v>
      </c>
      <c r="I121" s="34">
        <f t="shared" si="26"/>
        <v>0</v>
      </c>
      <c r="J121" s="34">
        <f t="shared" si="26"/>
        <v>0</v>
      </c>
      <c r="K121" s="34">
        <f t="shared" si="26"/>
        <v>0</v>
      </c>
      <c r="L121" s="34">
        <f t="shared" si="26"/>
        <v>0</v>
      </c>
      <c r="M121" s="34">
        <f t="shared" si="26"/>
        <v>0</v>
      </c>
      <c r="N121" s="34">
        <f t="shared" si="26"/>
        <v>0</v>
      </c>
      <c r="O121" s="34">
        <f t="shared" si="26"/>
        <v>0</v>
      </c>
      <c r="P121" s="34">
        <f t="shared" si="26"/>
        <v>0</v>
      </c>
      <c r="Q121" s="430">
        <f t="shared" si="26"/>
        <v>670.94999999999993</v>
      </c>
      <c r="R121" s="432">
        <f t="shared" si="15"/>
        <v>4.4483855996817603E-2</v>
      </c>
      <c r="S121" s="396"/>
      <c r="T121" s="460" t="str">
        <f>IFERROR(Q121/S121-1,"-")</f>
        <v>-</v>
      </c>
      <c r="U121" s="300"/>
      <c r="V121" s="38"/>
    </row>
    <row r="122" spans="1:22" s="36" customFormat="1" ht="18.5" thickBot="1" x14ac:dyDescent="0.4">
      <c r="A122" s="112"/>
      <c r="Q122" s="452"/>
      <c r="R122" s="453"/>
      <c r="S122" s="410"/>
      <c r="T122" s="411"/>
      <c r="U122" s="306"/>
      <c r="V122" s="74"/>
    </row>
    <row r="123" spans="1:22" s="36" customFormat="1" ht="18" thickBot="1" x14ac:dyDescent="0.4">
      <c r="A123" s="285"/>
      <c r="B123" s="286" t="s">
        <v>83</v>
      </c>
      <c r="C123" s="287"/>
      <c r="D123" s="287"/>
      <c r="E123" s="287">
        <f t="shared" ref="E123:Q123" si="27">+E109-E115-E117-E121</f>
        <v>10842.218458621224</v>
      </c>
      <c r="F123" s="287">
        <f t="shared" si="27"/>
        <v>323.2558285146705</v>
      </c>
      <c r="G123" s="287">
        <f t="shared" si="27"/>
        <v>12899.081984959117</v>
      </c>
      <c r="H123" s="287">
        <f t="shared" si="27"/>
        <v>12388.932473168259</v>
      </c>
      <c r="I123" s="287">
        <f t="shared" si="27"/>
        <v>11222.261984959116</v>
      </c>
      <c r="J123" s="287">
        <f t="shared" si="27"/>
        <v>7639.8419849591119</v>
      </c>
      <c r="K123" s="287">
        <f t="shared" si="27"/>
        <v>12694.236619946469</v>
      </c>
      <c r="L123" s="287">
        <f t="shared" si="27"/>
        <v>12818.821984959117</v>
      </c>
      <c r="M123" s="287">
        <f t="shared" si="27"/>
        <v>2303.5768036485788</v>
      </c>
      <c r="N123" s="287">
        <f t="shared" si="27"/>
        <v>12470.181438635935</v>
      </c>
      <c r="O123" s="287">
        <f t="shared" si="27"/>
        <v>10726.908403648582</v>
      </c>
      <c r="P123" s="287">
        <f t="shared" si="27"/>
        <v>11537.091847204138</v>
      </c>
      <c r="Q123" s="426">
        <f t="shared" si="27"/>
        <v>117866.40981322432</v>
      </c>
      <c r="R123" s="428">
        <f t="shared" si="15"/>
        <v>7.8145203085078778</v>
      </c>
      <c r="S123" s="427">
        <f>+S109-S115-S117-S121</f>
        <v>116261.65</v>
      </c>
      <c r="T123" s="405">
        <f>IFERROR(Q123/S123-1,"-")</f>
        <v>1.3803002221492111E-2</v>
      </c>
      <c r="U123" s="302"/>
      <c r="V123" s="74"/>
    </row>
    <row r="124" spans="1:22" ht="18" x14ac:dyDescent="0.35">
      <c r="A124" s="110"/>
      <c r="Q124" s="430"/>
      <c r="R124" s="432"/>
      <c r="S124" s="402"/>
      <c r="T124" s="403"/>
      <c r="U124" s="300"/>
      <c r="V124" s="38"/>
    </row>
    <row r="125" spans="1:22" x14ac:dyDescent="0.35">
      <c r="A125" s="110"/>
      <c r="B125" s="34" t="s">
        <v>84</v>
      </c>
      <c r="Q125" s="430"/>
      <c r="R125" s="432"/>
      <c r="S125" s="396"/>
      <c r="T125" s="399"/>
      <c r="U125" s="300"/>
      <c r="V125" s="38"/>
    </row>
    <row r="126" spans="1:22" x14ac:dyDescent="0.35">
      <c r="A126" s="110" t="s">
        <v>132</v>
      </c>
      <c r="C126" s="34" t="s">
        <v>85</v>
      </c>
      <c r="E126" s="34">
        <f>+'Allocated Expenses'!F212</f>
        <v>3532.6977687728877</v>
      </c>
      <c r="F126" s="34">
        <f>+'Allocated Expenses'!G212</f>
        <v>3532.6977687728877</v>
      </c>
      <c r="G126" s="34">
        <f>+'Allocated Expenses'!H212</f>
        <v>3532.6977687728877</v>
      </c>
      <c r="H126" s="34">
        <f>+'Allocated Expenses'!I212</f>
        <v>3532.6977687728877</v>
      </c>
      <c r="I126" s="34">
        <f>+'Allocated Expenses'!J212</f>
        <v>3532.6977687728877</v>
      </c>
      <c r="J126" s="34">
        <f>+'Allocated Expenses'!K212</f>
        <v>3532.6977687728877</v>
      </c>
      <c r="K126" s="34">
        <f>+'Allocated Expenses'!L212</f>
        <v>3532.6977687728877</v>
      </c>
      <c r="L126" s="34">
        <f>+'Allocated Expenses'!M212</f>
        <v>3532.6977687728877</v>
      </c>
      <c r="M126" s="34">
        <f>+'Allocated Expenses'!N212</f>
        <v>3532.6977687728877</v>
      </c>
      <c r="N126" s="34">
        <f>+'Allocated Expenses'!O212</f>
        <v>3532.6977687728877</v>
      </c>
      <c r="O126" s="34">
        <f>+'Allocated Expenses'!P212</f>
        <v>3532.6977687728877</v>
      </c>
      <c r="P126" s="34">
        <f>+'Allocated Expenses'!Q212</f>
        <v>3532.6977687728877</v>
      </c>
      <c r="Q126" s="430">
        <f>SUM(E126:P126)</f>
        <v>42392.373225274649</v>
      </c>
      <c r="R126" s="432">
        <f t="shared" si="15"/>
        <v>2.8106061940777463</v>
      </c>
      <c r="S126" s="396">
        <v>44851.259999999995</v>
      </c>
      <c r="T126" s="460">
        <f>IFERROR(Q126/S126-1,"-")</f>
        <v>-5.4823137069624051E-2</v>
      </c>
      <c r="U126" s="300"/>
      <c r="V126" s="38"/>
    </row>
    <row r="127" spans="1:22" x14ac:dyDescent="0.35">
      <c r="A127" s="110" t="s">
        <v>149</v>
      </c>
      <c r="C127" s="34" t="s">
        <v>86</v>
      </c>
      <c r="E127" s="34">
        <f>+'Allocated Expenses'!E228</f>
        <v>0</v>
      </c>
      <c r="F127" s="34">
        <f>+'Allocated Expenses'!F228</f>
        <v>0</v>
      </c>
      <c r="G127" s="34">
        <f>+'Allocated Expenses'!G228</f>
        <v>0</v>
      </c>
      <c r="H127" s="34">
        <f>+'Allocated Expenses'!H228</f>
        <v>0</v>
      </c>
      <c r="I127" s="34">
        <f>+'Allocated Expenses'!I228</f>
        <v>0</v>
      </c>
      <c r="J127" s="34">
        <f>+'Allocated Expenses'!J228</f>
        <v>0</v>
      </c>
      <c r="K127" s="34">
        <f>+'Allocated Expenses'!K228</f>
        <v>0</v>
      </c>
      <c r="L127" s="34">
        <f>+'Allocated Expenses'!L228</f>
        <v>0</v>
      </c>
      <c r="M127" s="34">
        <f>+'Allocated Expenses'!M228</f>
        <v>0</v>
      </c>
      <c r="N127" s="34">
        <f>+'Allocated Expenses'!N228</f>
        <v>0</v>
      </c>
      <c r="O127" s="34">
        <f>+'Allocated Expenses'!O228</f>
        <v>0</v>
      </c>
      <c r="P127" s="34">
        <f>+'Allocated Expenses'!P228</f>
        <v>0</v>
      </c>
      <c r="Q127" s="430">
        <f>SUM(E127:P127)</f>
        <v>0</v>
      </c>
      <c r="R127" s="432">
        <f t="shared" si="15"/>
        <v>0</v>
      </c>
      <c r="S127" s="396">
        <v>4769.8999999999942</v>
      </c>
      <c r="T127" s="460">
        <f>IFERROR(Q127/S127-1,"-")</f>
        <v>-1</v>
      </c>
      <c r="U127" s="300"/>
      <c r="V127" s="38"/>
    </row>
    <row r="128" spans="1:22" x14ac:dyDescent="0.35">
      <c r="A128" s="110" t="s">
        <v>150</v>
      </c>
      <c r="C128" s="34" t="s">
        <v>87</v>
      </c>
      <c r="Q128" s="430">
        <f>SUM(E128:P128)</f>
        <v>0</v>
      </c>
      <c r="R128" s="432">
        <f t="shared" si="15"/>
        <v>0</v>
      </c>
      <c r="S128" s="396"/>
      <c r="T128" s="460" t="str">
        <f>IFERROR(Q128/S128-1,"-")</f>
        <v>-</v>
      </c>
      <c r="U128" s="300"/>
      <c r="V128" s="38"/>
    </row>
    <row r="129" spans="1:22" x14ac:dyDescent="0.35">
      <c r="A129" s="110"/>
      <c r="C129" s="34" t="s">
        <v>88</v>
      </c>
      <c r="E129" s="59">
        <f t="shared" ref="E129:Q129" si="28">SUM(E126:E128)</f>
        <v>3532.6977687728877</v>
      </c>
      <c r="F129" s="59">
        <f t="shared" si="28"/>
        <v>3532.6977687728877</v>
      </c>
      <c r="G129" s="59">
        <f t="shared" si="28"/>
        <v>3532.6977687728877</v>
      </c>
      <c r="H129" s="59">
        <f t="shared" si="28"/>
        <v>3532.6977687728877</v>
      </c>
      <c r="I129" s="59">
        <f t="shared" si="28"/>
        <v>3532.6977687728877</v>
      </c>
      <c r="J129" s="59">
        <f t="shared" si="28"/>
        <v>3532.6977687728877</v>
      </c>
      <c r="K129" s="59">
        <f t="shared" si="28"/>
        <v>3532.6977687728877</v>
      </c>
      <c r="L129" s="59">
        <f t="shared" si="28"/>
        <v>3532.6977687728877</v>
      </c>
      <c r="M129" s="59">
        <f t="shared" si="28"/>
        <v>3532.6977687728877</v>
      </c>
      <c r="N129" s="59">
        <f t="shared" si="28"/>
        <v>3532.6977687728877</v>
      </c>
      <c r="O129" s="59">
        <f t="shared" si="28"/>
        <v>3532.6977687728877</v>
      </c>
      <c r="P129" s="59">
        <f t="shared" si="28"/>
        <v>3532.6977687728877</v>
      </c>
      <c r="Q129" s="433">
        <f t="shared" si="28"/>
        <v>42392.373225274649</v>
      </c>
      <c r="R129" s="434">
        <f t="shared" si="15"/>
        <v>2.8106061940777463</v>
      </c>
      <c r="S129" s="400">
        <f t="shared" ref="S129" si="29">SUM(S126:S128)</f>
        <v>49621.159999999989</v>
      </c>
      <c r="T129" s="401">
        <f>Q129/S129-1</f>
        <v>-0.14567952008226615</v>
      </c>
      <c r="U129" s="300"/>
      <c r="V129" s="38"/>
    </row>
    <row r="130" spans="1:22" ht="18.5" thickBot="1" x14ac:dyDescent="0.4">
      <c r="A130" s="110"/>
      <c r="Q130" s="430"/>
      <c r="R130" s="432"/>
      <c r="S130" s="402"/>
      <c r="T130" s="403"/>
      <c r="U130" s="300"/>
      <c r="V130" s="38"/>
    </row>
    <row r="131" spans="1:22" s="36" customFormat="1" ht="18" thickBot="1" x14ac:dyDescent="0.4">
      <c r="A131" s="285"/>
      <c r="B131" s="286" t="s">
        <v>89</v>
      </c>
      <c r="C131" s="287"/>
      <c r="D131" s="287"/>
      <c r="E131" s="287">
        <f t="shared" ref="E131:Q131" si="30">+E123-E129</f>
        <v>7309.5206898483366</v>
      </c>
      <c r="F131" s="287">
        <f t="shared" si="30"/>
        <v>-3209.4419402582171</v>
      </c>
      <c r="G131" s="287">
        <f t="shared" si="30"/>
        <v>9366.3842161862303</v>
      </c>
      <c r="H131" s="287">
        <f t="shared" si="30"/>
        <v>8856.2347043953705</v>
      </c>
      <c r="I131" s="287">
        <f t="shared" si="30"/>
        <v>7689.5642161862279</v>
      </c>
      <c r="J131" s="287">
        <f t="shared" si="30"/>
        <v>4107.1442161862242</v>
      </c>
      <c r="K131" s="287">
        <f t="shared" si="30"/>
        <v>9161.53885117358</v>
      </c>
      <c r="L131" s="287">
        <f t="shared" si="30"/>
        <v>9286.1242161862283</v>
      </c>
      <c r="M131" s="287">
        <f t="shared" si="30"/>
        <v>-1229.1209651243089</v>
      </c>
      <c r="N131" s="287">
        <f t="shared" si="30"/>
        <v>8937.4836698630461</v>
      </c>
      <c r="O131" s="287">
        <f t="shared" si="30"/>
        <v>7194.2106348756943</v>
      </c>
      <c r="P131" s="287">
        <f t="shared" si="30"/>
        <v>8004.3940784312499</v>
      </c>
      <c r="Q131" s="426">
        <f t="shared" si="30"/>
        <v>75474.036587949668</v>
      </c>
      <c r="R131" s="428">
        <f t="shared" si="15"/>
        <v>5.0039141144301311</v>
      </c>
      <c r="S131" s="427">
        <f>+S123-S129</f>
        <v>66640.490000000005</v>
      </c>
      <c r="T131" s="405">
        <f>IFERROR(Q131/S131-1,"-")</f>
        <v>0.13255524663683693</v>
      </c>
      <c r="U131" s="302"/>
      <c r="V131" s="74"/>
    </row>
    <row r="132" spans="1:22" ht="18" x14ac:dyDescent="0.35">
      <c r="A132" s="113"/>
      <c r="B132" s="36"/>
      <c r="C132" s="63"/>
      <c r="Q132" s="391"/>
      <c r="R132" s="391"/>
      <c r="S132" s="412"/>
      <c r="T132" s="413"/>
    </row>
    <row r="133" spans="1:22" s="36" customFormat="1" ht="17.5" x14ac:dyDescent="0.3">
      <c r="A133" s="113"/>
      <c r="C133" s="63"/>
      <c r="D133" s="64"/>
      <c r="Q133" s="415"/>
      <c r="R133" s="415"/>
      <c r="S133" s="412"/>
      <c r="T133" s="413"/>
      <c r="U133" s="293"/>
    </row>
    <row r="134" spans="1:22" ht="18" x14ac:dyDescent="0.35">
      <c r="A134" s="110"/>
      <c r="Q134" s="391"/>
      <c r="R134" s="391"/>
      <c r="S134" s="412"/>
      <c r="T134" s="413"/>
    </row>
    <row r="135" spans="1:22" x14ac:dyDescent="0.35">
      <c r="A135" s="114"/>
      <c r="Q135" s="391"/>
      <c r="R135" s="391"/>
      <c r="S135" s="391"/>
      <c r="T135" s="388"/>
    </row>
    <row r="136" spans="1:22" x14ac:dyDescent="0.35">
      <c r="A136" s="114"/>
      <c r="Q136" s="391"/>
      <c r="R136" s="391"/>
      <c r="S136" s="414"/>
      <c r="T136" s="388"/>
    </row>
    <row r="137" spans="1:22" x14ac:dyDescent="0.35">
      <c r="A137" s="80"/>
      <c r="Q137" s="391"/>
      <c r="R137" s="391"/>
      <c r="S137" s="391"/>
      <c r="T137" s="388"/>
    </row>
    <row r="138" spans="1:22" x14ac:dyDescent="0.35">
      <c r="A138" s="80"/>
      <c r="Q138" s="391"/>
      <c r="R138" s="391"/>
      <c r="S138" s="391"/>
      <c r="T138" s="388"/>
    </row>
    <row r="139" spans="1:22" x14ac:dyDescent="0.35">
      <c r="A139" s="80"/>
      <c r="Q139" s="391"/>
      <c r="R139" s="391"/>
      <c r="S139" s="391"/>
      <c r="T139" s="388"/>
    </row>
    <row r="140" spans="1:22" x14ac:dyDescent="0.35">
      <c r="A140" s="80"/>
      <c r="Q140" s="391"/>
      <c r="R140" s="391"/>
      <c r="S140" s="391"/>
      <c r="T140" s="388"/>
    </row>
    <row r="141" spans="1:22" x14ac:dyDescent="0.35">
      <c r="A141" s="80"/>
      <c r="Q141" s="391"/>
      <c r="R141" s="391"/>
      <c r="S141" s="391"/>
      <c r="T141" s="388"/>
    </row>
    <row r="142" spans="1:22" ht="18" x14ac:dyDescent="0.35">
      <c r="A142" s="80"/>
      <c r="D142" s="35" t="str">
        <f>"Budget Import - "&amp;B1</f>
        <v>Budget Import - 40A0</v>
      </c>
      <c r="E142" s="532">
        <v>5</v>
      </c>
      <c r="F142" s="533">
        <f>E142+1</f>
        <v>6</v>
      </c>
      <c r="G142" s="533">
        <f t="shared" ref="G142:P142" si="31">F142+1</f>
        <v>7</v>
      </c>
      <c r="H142" s="533">
        <f t="shared" si="31"/>
        <v>8</v>
      </c>
      <c r="I142" s="533">
        <f t="shared" si="31"/>
        <v>9</v>
      </c>
      <c r="J142" s="533">
        <f t="shared" si="31"/>
        <v>10</v>
      </c>
      <c r="K142" s="533">
        <f t="shared" si="31"/>
        <v>11</v>
      </c>
      <c r="L142" s="533">
        <f t="shared" si="31"/>
        <v>12</v>
      </c>
      <c r="M142" s="533">
        <f t="shared" si="31"/>
        <v>13</v>
      </c>
      <c r="N142" s="533">
        <f t="shared" si="31"/>
        <v>14</v>
      </c>
      <c r="O142" s="533">
        <f t="shared" si="31"/>
        <v>15</v>
      </c>
      <c r="P142" s="533">
        <f t="shared" si="31"/>
        <v>16</v>
      </c>
      <c r="Q142" s="533" t="s">
        <v>664</v>
      </c>
      <c r="R142" s="391"/>
      <c r="S142" s="391"/>
      <c r="T142" s="388"/>
    </row>
    <row r="143" spans="1:22" ht="16.5" thickBot="1" x14ac:dyDescent="0.4">
      <c r="A143" s="80"/>
      <c r="D143" s="34" t="s">
        <v>100</v>
      </c>
      <c r="E143" s="34">
        <v>1</v>
      </c>
      <c r="F143" s="34">
        <v>2</v>
      </c>
      <c r="G143" s="34">
        <v>3</v>
      </c>
      <c r="H143" s="34">
        <v>4</v>
      </c>
      <c r="I143" s="34">
        <v>5</v>
      </c>
      <c r="J143" s="34">
        <v>6</v>
      </c>
      <c r="K143" s="34">
        <v>7</v>
      </c>
      <c r="L143" s="34">
        <v>8</v>
      </c>
      <c r="M143" s="34">
        <v>9</v>
      </c>
      <c r="N143" s="34">
        <v>10</v>
      </c>
      <c r="O143" s="34">
        <v>11</v>
      </c>
      <c r="P143" s="34">
        <v>12</v>
      </c>
      <c r="Q143" s="391" t="s">
        <v>12</v>
      </c>
      <c r="R143" s="391"/>
      <c r="S143" s="391"/>
      <c r="T143" s="388"/>
    </row>
    <row r="144" spans="1:22" x14ac:dyDescent="0.35">
      <c r="A144" s="534" t="str">
        <f>VLOOKUP($D144,$A$10:$D$130,3,FALSE)</f>
        <v>Rental Income - In Place</v>
      </c>
      <c r="D144" s="101" t="s">
        <v>136</v>
      </c>
      <c r="E144" s="102">
        <f t="shared" ref="E144:P144" si="32">-(VLOOKUP($D144,$A$10:$P$131,E$142,FALSE)+E11)</f>
        <v>-11423.583333333334</v>
      </c>
      <c r="F144" s="102">
        <f t="shared" si="32"/>
        <v>-12355.460833333334</v>
      </c>
      <c r="G144" s="102">
        <f t="shared" si="32"/>
        <v>-12355.460833333334</v>
      </c>
      <c r="H144" s="102">
        <f t="shared" si="32"/>
        <v>-12355.460833333334</v>
      </c>
      <c r="I144" s="102">
        <f t="shared" si="32"/>
        <v>-12355.460833333334</v>
      </c>
      <c r="J144" s="102">
        <f t="shared" si="32"/>
        <v>-12355.460833333334</v>
      </c>
      <c r="K144" s="102">
        <f t="shared" si="32"/>
        <v>-12355.460833333334</v>
      </c>
      <c r="L144" s="102">
        <f t="shared" si="32"/>
        <v>-12355.460833333334</v>
      </c>
      <c r="M144" s="102">
        <f t="shared" si="32"/>
        <v>-11621.627500000001</v>
      </c>
      <c r="N144" s="102">
        <f t="shared" si="32"/>
        <v>-11621.627500000001</v>
      </c>
      <c r="O144" s="102">
        <f t="shared" si="32"/>
        <v>-11621.627500000001</v>
      </c>
      <c r="P144" s="103">
        <f t="shared" si="32"/>
        <v>-11621.627500000001</v>
      </c>
      <c r="Q144" s="456">
        <f>SUM(E144:P144)</f>
        <v>-144398.31916666665</v>
      </c>
      <c r="R144" s="456"/>
      <c r="S144" s="391"/>
      <c r="T144" s="388"/>
    </row>
    <row r="145" spans="1:20" x14ac:dyDescent="0.35">
      <c r="A145" s="534" t="str">
        <f t="shared" ref="A145:A167" si="33">VLOOKUP($D145,$A$10:$D$130,3,FALSE)</f>
        <v>Electric</v>
      </c>
      <c r="D145" s="104" t="s">
        <v>102</v>
      </c>
      <c r="E145" s="105">
        <f t="shared" ref="E145:P148" si="34">-VLOOKUP($D145,$A$10:$P$131,E$142,FALSE)</f>
        <v>-3711.6576</v>
      </c>
      <c r="F145" s="105">
        <f t="shared" si="34"/>
        <v>-3593</v>
      </c>
      <c r="G145" s="105">
        <f t="shared" si="34"/>
        <v>-3143</v>
      </c>
      <c r="H145" s="105">
        <f t="shared" si="34"/>
        <v>-2064</v>
      </c>
      <c r="I145" s="105">
        <f t="shared" si="34"/>
        <v>-1669</v>
      </c>
      <c r="J145" s="105">
        <f t="shared" si="34"/>
        <v>-1748</v>
      </c>
      <c r="K145" s="105">
        <f t="shared" si="34"/>
        <v>-2119</v>
      </c>
      <c r="L145" s="105">
        <f t="shared" si="34"/>
        <v>-2027</v>
      </c>
      <c r="M145" s="105">
        <f t="shared" si="34"/>
        <v>-1647.2484000000002</v>
      </c>
      <c r="N145" s="105">
        <f t="shared" si="34"/>
        <v>-1719.8784000000001</v>
      </c>
      <c r="O145" s="105">
        <f t="shared" si="34"/>
        <v>-2275.7400000000002</v>
      </c>
      <c r="P145" s="106">
        <f t="shared" si="34"/>
        <v>-3238.3296</v>
      </c>
      <c r="Q145" s="456">
        <f t="shared" ref="Q145:Q177" si="35">SUM(E145:P145)</f>
        <v>-28955.854000000003</v>
      </c>
      <c r="R145" s="456"/>
      <c r="S145" s="391"/>
      <c r="T145" s="388"/>
    </row>
    <row r="146" spans="1:20" x14ac:dyDescent="0.35">
      <c r="A146" s="534" t="str">
        <f t="shared" si="33"/>
        <v>Common Area Maintenance</v>
      </c>
      <c r="D146" s="104" t="s">
        <v>103</v>
      </c>
      <c r="E146" s="105">
        <f t="shared" si="34"/>
        <v>-11400</v>
      </c>
      <c r="F146" s="105">
        <f t="shared" si="34"/>
        <v>-11400</v>
      </c>
      <c r="G146" s="105">
        <f t="shared" si="34"/>
        <v>-11400</v>
      </c>
      <c r="H146" s="105">
        <f t="shared" si="34"/>
        <v>-11400</v>
      </c>
      <c r="I146" s="105">
        <f t="shared" si="34"/>
        <v>-11400</v>
      </c>
      <c r="J146" s="105">
        <f t="shared" si="34"/>
        <v>-11400</v>
      </c>
      <c r="K146" s="105">
        <f t="shared" si="34"/>
        <v>-11400</v>
      </c>
      <c r="L146" s="105">
        <f t="shared" si="34"/>
        <v>-11400</v>
      </c>
      <c r="M146" s="105">
        <f t="shared" si="34"/>
        <v>-11400</v>
      </c>
      <c r="N146" s="105">
        <f t="shared" si="34"/>
        <v>-11400</v>
      </c>
      <c r="O146" s="105">
        <f t="shared" si="34"/>
        <v>-11400</v>
      </c>
      <c r="P146" s="106">
        <f t="shared" si="34"/>
        <v>-11400</v>
      </c>
      <c r="Q146" s="456">
        <f t="shared" si="35"/>
        <v>-136800</v>
      </c>
      <c r="R146" s="456"/>
      <c r="S146" s="391"/>
      <c r="T146" s="388"/>
    </row>
    <row r="147" spans="1:20" x14ac:dyDescent="0.35">
      <c r="A147" s="534" t="str">
        <f t="shared" si="33"/>
        <v>Real Estate Taxes</v>
      </c>
      <c r="D147" s="104" t="s">
        <v>104</v>
      </c>
      <c r="E147" s="105">
        <f t="shared" si="34"/>
        <v>-1600</v>
      </c>
      <c r="F147" s="105">
        <f t="shared" si="34"/>
        <v>-1600</v>
      </c>
      <c r="G147" s="105">
        <f t="shared" si="34"/>
        <v>-1600</v>
      </c>
      <c r="H147" s="105">
        <f t="shared" si="34"/>
        <v>-1600</v>
      </c>
      <c r="I147" s="105">
        <f t="shared" si="34"/>
        <v>-1600</v>
      </c>
      <c r="J147" s="105">
        <f t="shared" si="34"/>
        <v>-1600</v>
      </c>
      <c r="K147" s="105">
        <f t="shared" si="34"/>
        <v>-1600</v>
      </c>
      <c r="L147" s="105">
        <f t="shared" si="34"/>
        <v>-1600</v>
      </c>
      <c r="M147" s="105">
        <f t="shared" si="34"/>
        <v>-1600</v>
      </c>
      <c r="N147" s="105">
        <f t="shared" si="34"/>
        <v>-1600</v>
      </c>
      <c r="O147" s="105">
        <f t="shared" si="34"/>
        <v>-1600</v>
      </c>
      <c r="P147" s="106">
        <f t="shared" si="34"/>
        <v>-1600</v>
      </c>
      <c r="Q147" s="456">
        <f t="shared" si="35"/>
        <v>-19200</v>
      </c>
      <c r="R147" s="456"/>
      <c r="S147" s="391"/>
      <c r="T147" s="388"/>
    </row>
    <row r="148" spans="1:20" x14ac:dyDescent="0.35">
      <c r="A148" s="534" t="str">
        <f t="shared" si="33"/>
        <v>Insurance</v>
      </c>
      <c r="D148" s="104" t="s">
        <v>139</v>
      </c>
      <c r="E148" s="105">
        <f t="shared" si="34"/>
        <v>0</v>
      </c>
      <c r="F148" s="105">
        <f t="shared" si="34"/>
        <v>0</v>
      </c>
      <c r="G148" s="105">
        <f t="shared" si="34"/>
        <v>0</v>
      </c>
      <c r="H148" s="105">
        <f t="shared" si="34"/>
        <v>0</v>
      </c>
      <c r="I148" s="105">
        <f t="shared" si="34"/>
        <v>0</v>
      </c>
      <c r="J148" s="105">
        <f t="shared" si="34"/>
        <v>0</v>
      </c>
      <c r="K148" s="105">
        <f t="shared" si="34"/>
        <v>0</v>
      </c>
      <c r="L148" s="105">
        <f t="shared" si="34"/>
        <v>0</v>
      </c>
      <c r="M148" s="105">
        <f t="shared" si="34"/>
        <v>0</v>
      </c>
      <c r="N148" s="105">
        <f t="shared" si="34"/>
        <v>0</v>
      </c>
      <c r="O148" s="105">
        <f t="shared" si="34"/>
        <v>0</v>
      </c>
      <c r="P148" s="106">
        <f t="shared" si="34"/>
        <v>0</v>
      </c>
      <c r="Q148" s="456">
        <f>SUM(E148:P148)</f>
        <v>0</v>
      </c>
      <c r="R148" s="456"/>
      <c r="S148" s="391"/>
      <c r="T148" s="388"/>
    </row>
    <row r="149" spans="1:20" x14ac:dyDescent="0.35">
      <c r="A149" s="534" t="str">
        <f t="shared" si="33"/>
        <v>Maintenance Salaries</v>
      </c>
      <c r="D149" s="104" t="s">
        <v>105</v>
      </c>
      <c r="E149" s="105">
        <f t="shared" ref="E149:P158" si="36">VLOOKUP($D149,$A$10:$P$131,E$142,FALSE)</f>
        <v>308.5798986110936</v>
      </c>
      <c r="F149" s="105">
        <f t="shared" si="36"/>
        <v>308.5798986110936</v>
      </c>
      <c r="G149" s="105">
        <f t="shared" si="36"/>
        <v>308.5798986110936</v>
      </c>
      <c r="H149" s="105">
        <f t="shared" si="36"/>
        <v>308.5798986110936</v>
      </c>
      <c r="I149" s="105">
        <f t="shared" si="36"/>
        <v>308.5798986110936</v>
      </c>
      <c r="J149" s="105">
        <f t="shared" si="36"/>
        <v>308.5798986110936</v>
      </c>
      <c r="K149" s="105">
        <f t="shared" si="36"/>
        <v>308.5798986110936</v>
      </c>
      <c r="L149" s="105">
        <f t="shared" si="36"/>
        <v>308.5798986110936</v>
      </c>
      <c r="M149" s="105">
        <f t="shared" si="36"/>
        <v>308.5798986110936</v>
      </c>
      <c r="N149" s="105">
        <f t="shared" si="36"/>
        <v>308.5798986110936</v>
      </c>
      <c r="O149" s="105">
        <f t="shared" si="36"/>
        <v>308.5798986110936</v>
      </c>
      <c r="P149" s="106">
        <f t="shared" si="36"/>
        <v>308.5798986110936</v>
      </c>
      <c r="Q149" s="456">
        <f t="shared" si="35"/>
        <v>3702.9587833331229</v>
      </c>
      <c r="R149" s="456"/>
      <c r="S149" s="391"/>
      <c r="T149" s="388"/>
    </row>
    <row r="150" spans="1:20" x14ac:dyDescent="0.35">
      <c r="A150" s="534" t="str">
        <f t="shared" si="33"/>
        <v>Electric</v>
      </c>
      <c r="D150" s="104" t="s">
        <v>106</v>
      </c>
      <c r="E150" s="105">
        <f t="shared" si="36"/>
        <v>3876</v>
      </c>
      <c r="F150" s="105">
        <f t="shared" si="36"/>
        <v>3593</v>
      </c>
      <c r="G150" s="105">
        <f t="shared" si="36"/>
        <v>3143</v>
      </c>
      <c r="H150" s="105">
        <f t="shared" si="36"/>
        <v>2064</v>
      </c>
      <c r="I150" s="105">
        <f t="shared" si="36"/>
        <v>1669</v>
      </c>
      <c r="J150" s="105">
        <f t="shared" si="36"/>
        <v>1748</v>
      </c>
      <c r="K150" s="105">
        <f t="shared" si="36"/>
        <v>2119</v>
      </c>
      <c r="L150" s="105">
        <f t="shared" si="36"/>
        <v>2027</v>
      </c>
      <c r="M150" s="105">
        <f t="shared" si="36"/>
        <v>1701</v>
      </c>
      <c r="N150" s="105">
        <f t="shared" si="36"/>
        <v>1776</v>
      </c>
      <c r="O150" s="105">
        <f t="shared" si="36"/>
        <v>2350</v>
      </c>
      <c r="P150" s="106">
        <f t="shared" si="36"/>
        <v>3344</v>
      </c>
      <c r="Q150" s="456">
        <f t="shared" si="35"/>
        <v>29410</v>
      </c>
      <c r="R150" s="456"/>
      <c r="S150" s="391"/>
      <c r="T150" s="388"/>
    </row>
    <row r="151" spans="1:20" x14ac:dyDescent="0.35">
      <c r="A151" s="534" t="str">
        <f t="shared" si="33"/>
        <v>Water &amp; Sewer</v>
      </c>
      <c r="D151" s="104" t="s">
        <v>107</v>
      </c>
      <c r="E151" s="105">
        <f t="shared" si="36"/>
        <v>111.24000000000001</v>
      </c>
      <c r="F151" s="105">
        <f t="shared" si="36"/>
        <v>125.66</v>
      </c>
      <c r="G151" s="105">
        <f t="shared" si="36"/>
        <v>125.66</v>
      </c>
      <c r="H151" s="105">
        <f t="shared" si="36"/>
        <v>128.75</v>
      </c>
      <c r="I151" s="105">
        <f t="shared" si="36"/>
        <v>145.23000000000002</v>
      </c>
      <c r="J151" s="105">
        <f t="shared" si="36"/>
        <v>133.9</v>
      </c>
      <c r="K151" s="105">
        <f t="shared" si="36"/>
        <v>141.11000000000001</v>
      </c>
      <c r="L151" s="105">
        <f t="shared" si="36"/>
        <v>143.17000000000002</v>
      </c>
      <c r="M151" s="105">
        <f t="shared" si="36"/>
        <v>129.78</v>
      </c>
      <c r="N151" s="105">
        <f t="shared" si="36"/>
        <v>151.41000000000003</v>
      </c>
      <c r="O151" s="105">
        <f t="shared" si="36"/>
        <v>153.47000000000003</v>
      </c>
      <c r="P151" s="106">
        <f t="shared" si="36"/>
        <v>154.5</v>
      </c>
      <c r="Q151" s="456">
        <f t="shared" si="35"/>
        <v>1643.88</v>
      </c>
      <c r="R151" s="456"/>
      <c r="S151" s="391"/>
      <c r="T151" s="388"/>
    </row>
    <row r="152" spans="1:20" x14ac:dyDescent="0.35">
      <c r="A152" s="534" t="str">
        <f t="shared" si="33"/>
        <v>Building Maintenance</v>
      </c>
      <c r="D152" s="104" t="s">
        <v>108</v>
      </c>
      <c r="E152" s="105">
        <f t="shared" si="36"/>
        <v>1385</v>
      </c>
      <c r="F152" s="105">
        <f t="shared" si="36"/>
        <v>11785</v>
      </c>
      <c r="G152" s="105">
        <f t="shared" si="36"/>
        <v>960</v>
      </c>
      <c r="H152" s="105">
        <f t="shared" si="36"/>
        <v>1219</v>
      </c>
      <c r="I152" s="105">
        <f t="shared" si="36"/>
        <v>2732</v>
      </c>
      <c r="J152" s="105">
        <f t="shared" si="36"/>
        <v>1160</v>
      </c>
      <c r="K152" s="105">
        <f t="shared" si="36"/>
        <v>1665</v>
      </c>
      <c r="L152" s="105">
        <f t="shared" si="36"/>
        <v>1785</v>
      </c>
      <c r="M152" s="105">
        <f t="shared" si="36"/>
        <v>10960</v>
      </c>
      <c r="N152" s="105">
        <f t="shared" si="36"/>
        <v>1219</v>
      </c>
      <c r="O152" s="105">
        <f t="shared" si="36"/>
        <v>2620</v>
      </c>
      <c r="P152" s="106">
        <f t="shared" si="36"/>
        <v>960</v>
      </c>
      <c r="Q152" s="456">
        <f t="shared" si="35"/>
        <v>38450</v>
      </c>
      <c r="R152" s="456"/>
      <c r="S152" s="391"/>
      <c r="T152" s="388"/>
    </row>
    <row r="153" spans="1:20" x14ac:dyDescent="0.35">
      <c r="A153" s="534" t="str">
        <f t="shared" si="33"/>
        <v>Parking Lot Maintenance</v>
      </c>
      <c r="D153" s="104" t="s">
        <v>140</v>
      </c>
      <c r="E153" s="105">
        <f t="shared" si="36"/>
        <v>473.8</v>
      </c>
      <c r="F153" s="105">
        <f t="shared" si="36"/>
        <v>473.8</v>
      </c>
      <c r="G153" s="105">
        <f t="shared" si="36"/>
        <v>654.04999999999995</v>
      </c>
      <c r="H153" s="105">
        <f t="shared" si="36"/>
        <v>473.8</v>
      </c>
      <c r="I153" s="105">
        <f t="shared" si="36"/>
        <v>473.8</v>
      </c>
      <c r="J153" s="105">
        <f t="shared" si="36"/>
        <v>5804.05</v>
      </c>
      <c r="K153" s="105">
        <f t="shared" si="36"/>
        <v>473.8</v>
      </c>
      <c r="L153" s="105">
        <f t="shared" si="36"/>
        <v>473.8</v>
      </c>
      <c r="M153" s="105">
        <f t="shared" si="36"/>
        <v>654.04999999999995</v>
      </c>
      <c r="N153" s="105">
        <f t="shared" si="36"/>
        <v>473.8</v>
      </c>
      <c r="O153" s="105">
        <f t="shared" si="36"/>
        <v>473.8</v>
      </c>
      <c r="P153" s="106">
        <f t="shared" si="36"/>
        <v>654.04999999999995</v>
      </c>
      <c r="Q153" s="456">
        <f t="shared" si="35"/>
        <v>11556.599999999997</v>
      </c>
      <c r="R153" s="456"/>
      <c r="S153" s="391"/>
      <c r="T153" s="388"/>
    </row>
    <row r="154" spans="1:20" x14ac:dyDescent="0.35">
      <c r="A154" s="534" t="str">
        <f t="shared" si="33"/>
        <v>Snow Removal</v>
      </c>
      <c r="D154" s="104" t="s">
        <v>110</v>
      </c>
      <c r="E154" s="105">
        <f t="shared" si="36"/>
        <v>1545</v>
      </c>
      <c r="F154" s="105">
        <f t="shared" si="36"/>
        <v>1545</v>
      </c>
      <c r="G154" s="105">
        <f t="shared" si="36"/>
        <v>515</v>
      </c>
      <c r="H154" s="105">
        <f t="shared" si="36"/>
        <v>0</v>
      </c>
      <c r="I154" s="105">
        <f t="shared" si="36"/>
        <v>0</v>
      </c>
      <c r="J154" s="105">
        <f t="shared" si="36"/>
        <v>0</v>
      </c>
      <c r="K154" s="105">
        <f t="shared" si="36"/>
        <v>0</v>
      </c>
      <c r="L154" s="105">
        <f t="shared" si="36"/>
        <v>0</v>
      </c>
      <c r="M154" s="105">
        <f t="shared" si="36"/>
        <v>0</v>
      </c>
      <c r="N154" s="105">
        <f t="shared" si="36"/>
        <v>0</v>
      </c>
      <c r="O154" s="105">
        <f t="shared" si="36"/>
        <v>515</v>
      </c>
      <c r="P154" s="106">
        <f t="shared" si="36"/>
        <v>1030</v>
      </c>
      <c r="Q154" s="456">
        <f t="shared" si="35"/>
        <v>5150</v>
      </c>
      <c r="R154" s="456"/>
      <c r="S154" s="391"/>
      <c r="T154" s="388"/>
    </row>
    <row r="155" spans="1:20" x14ac:dyDescent="0.35">
      <c r="A155" s="534" t="str">
        <f t="shared" si="33"/>
        <v>Landscaping</v>
      </c>
      <c r="D155" s="104" t="s">
        <v>111</v>
      </c>
      <c r="E155" s="105">
        <f t="shared" si="36"/>
        <v>158.17634202920436</v>
      </c>
      <c r="F155" s="105">
        <f t="shared" si="36"/>
        <v>158.17634202920436</v>
      </c>
      <c r="G155" s="105">
        <f t="shared" si="36"/>
        <v>594.0501855847599</v>
      </c>
      <c r="H155" s="105">
        <f t="shared" si="36"/>
        <v>594.0501855847599</v>
      </c>
      <c r="I155" s="105">
        <f t="shared" si="36"/>
        <v>1109.0501855847599</v>
      </c>
      <c r="J155" s="105">
        <f t="shared" si="36"/>
        <v>594.0501855847599</v>
      </c>
      <c r="K155" s="105">
        <f t="shared" si="36"/>
        <v>594.0501855847599</v>
      </c>
      <c r="L155" s="105">
        <f t="shared" si="36"/>
        <v>594.0501855847599</v>
      </c>
      <c r="M155" s="105">
        <f t="shared" si="36"/>
        <v>1109.0501855847599</v>
      </c>
      <c r="N155" s="105">
        <f t="shared" si="36"/>
        <v>594.0501855847599</v>
      </c>
      <c r="O155" s="105">
        <f t="shared" si="36"/>
        <v>594.0501855847599</v>
      </c>
      <c r="P155" s="106">
        <f t="shared" si="36"/>
        <v>158.17634202920436</v>
      </c>
      <c r="Q155" s="456">
        <f t="shared" si="35"/>
        <v>6850.9806963504507</v>
      </c>
      <c r="R155" s="456"/>
      <c r="S155" s="391"/>
      <c r="T155" s="388"/>
    </row>
    <row r="156" spans="1:20" x14ac:dyDescent="0.35">
      <c r="A156" s="534" t="str">
        <f t="shared" si="33"/>
        <v>Security</v>
      </c>
      <c r="D156" s="104" t="s">
        <v>112</v>
      </c>
      <c r="E156" s="105">
        <f t="shared" si="36"/>
        <v>84.48</v>
      </c>
      <c r="F156" s="105">
        <f t="shared" si="36"/>
        <v>84.48</v>
      </c>
      <c r="G156" s="105">
        <f t="shared" si="36"/>
        <v>84.48</v>
      </c>
      <c r="H156" s="105">
        <f t="shared" si="36"/>
        <v>84.48</v>
      </c>
      <c r="I156" s="105">
        <f t="shared" si="36"/>
        <v>84.48</v>
      </c>
      <c r="J156" s="105">
        <f t="shared" si="36"/>
        <v>84.48</v>
      </c>
      <c r="K156" s="105">
        <f t="shared" si="36"/>
        <v>84.48</v>
      </c>
      <c r="L156" s="105">
        <f t="shared" si="36"/>
        <v>84.48</v>
      </c>
      <c r="M156" s="105">
        <f t="shared" si="36"/>
        <v>84.48</v>
      </c>
      <c r="N156" s="105">
        <f t="shared" si="36"/>
        <v>84.48</v>
      </c>
      <c r="O156" s="105">
        <f t="shared" si="36"/>
        <v>84.48</v>
      </c>
      <c r="P156" s="106">
        <f t="shared" si="36"/>
        <v>84.48</v>
      </c>
      <c r="Q156" s="456">
        <f t="shared" si="35"/>
        <v>1013.7600000000001</v>
      </c>
      <c r="R156" s="456"/>
      <c r="S156" s="391"/>
      <c r="T156" s="388"/>
    </row>
    <row r="157" spans="1:20" x14ac:dyDescent="0.35">
      <c r="A157" s="534" t="str">
        <f t="shared" si="33"/>
        <v>Management Fee</v>
      </c>
      <c r="D157" s="104" t="s">
        <v>113</v>
      </c>
      <c r="E157" s="105">
        <f t="shared" si="36"/>
        <v>1688</v>
      </c>
      <c r="F157" s="105">
        <f t="shared" si="36"/>
        <v>1737</v>
      </c>
      <c r="G157" s="105">
        <f t="shared" si="36"/>
        <v>1710</v>
      </c>
      <c r="H157" s="105">
        <f t="shared" si="36"/>
        <v>1645</v>
      </c>
      <c r="I157" s="105">
        <f t="shared" si="36"/>
        <v>1621</v>
      </c>
      <c r="J157" s="105">
        <f t="shared" si="36"/>
        <v>1626</v>
      </c>
      <c r="K157" s="105">
        <f t="shared" si="36"/>
        <v>1648</v>
      </c>
      <c r="L157" s="105">
        <f t="shared" si="36"/>
        <v>1643</v>
      </c>
      <c r="M157" s="105">
        <f t="shared" si="36"/>
        <v>1576</v>
      </c>
      <c r="N157" s="105">
        <f t="shared" si="36"/>
        <v>1580</v>
      </c>
      <c r="O157" s="105">
        <f t="shared" si="36"/>
        <v>1614</v>
      </c>
      <c r="P157" s="106">
        <f t="shared" si="36"/>
        <v>1672</v>
      </c>
      <c r="Q157" s="456">
        <f t="shared" si="35"/>
        <v>19760</v>
      </c>
      <c r="R157" s="456"/>
      <c r="S157" s="391"/>
      <c r="T157" s="388"/>
    </row>
    <row r="158" spans="1:20" x14ac:dyDescent="0.35">
      <c r="A158" s="534" t="str">
        <f t="shared" si="33"/>
        <v>Trash Removal</v>
      </c>
      <c r="D158" s="104" t="s">
        <v>114</v>
      </c>
      <c r="E158" s="105">
        <f t="shared" si="36"/>
        <v>1508.95</v>
      </c>
      <c r="F158" s="105">
        <f t="shared" si="36"/>
        <v>1508.95</v>
      </c>
      <c r="G158" s="105">
        <f t="shared" si="36"/>
        <v>1508.95</v>
      </c>
      <c r="H158" s="105">
        <f t="shared" si="36"/>
        <v>1508.95</v>
      </c>
      <c r="I158" s="105">
        <f t="shared" si="36"/>
        <v>1508.95</v>
      </c>
      <c r="J158" s="105">
        <f t="shared" si="36"/>
        <v>2008.95</v>
      </c>
      <c r="K158" s="105">
        <f t="shared" si="36"/>
        <v>1508.95</v>
      </c>
      <c r="L158" s="105">
        <f t="shared" si="36"/>
        <v>1508.95</v>
      </c>
      <c r="M158" s="105">
        <f t="shared" si="36"/>
        <v>1508.95</v>
      </c>
      <c r="N158" s="105">
        <f t="shared" si="36"/>
        <v>1508.95</v>
      </c>
      <c r="O158" s="105">
        <f t="shared" si="36"/>
        <v>1508.95</v>
      </c>
      <c r="P158" s="106">
        <f t="shared" si="36"/>
        <v>2008.95</v>
      </c>
      <c r="Q158" s="456">
        <f t="shared" si="35"/>
        <v>19107.400000000005</v>
      </c>
      <c r="R158" s="456"/>
      <c r="S158" s="391"/>
      <c r="T158" s="388"/>
    </row>
    <row r="159" spans="1:20" x14ac:dyDescent="0.35">
      <c r="A159" s="534" t="str">
        <f t="shared" si="33"/>
        <v>Real Estate Taxes</v>
      </c>
      <c r="D159" s="104" t="s">
        <v>115</v>
      </c>
      <c r="E159" s="105">
        <f t="shared" ref="E159:P168" si="37">VLOOKUP($D159,$A$10:$P$131,E$142,FALSE)</f>
        <v>1683.809619723</v>
      </c>
      <c r="F159" s="105">
        <f t="shared" si="37"/>
        <v>1683.809619723</v>
      </c>
      <c r="G159" s="105">
        <f t="shared" si="37"/>
        <v>1683.809619723</v>
      </c>
      <c r="H159" s="105">
        <f t="shared" si="37"/>
        <v>1683.809619723</v>
      </c>
      <c r="I159" s="105">
        <f t="shared" si="37"/>
        <v>1683.809619723</v>
      </c>
      <c r="J159" s="105">
        <f t="shared" si="37"/>
        <v>1683.809619723</v>
      </c>
      <c r="K159" s="105">
        <f t="shared" si="37"/>
        <v>1683.809619723</v>
      </c>
      <c r="L159" s="105">
        <f t="shared" si="37"/>
        <v>1683.809619723</v>
      </c>
      <c r="M159" s="105">
        <f t="shared" si="37"/>
        <v>1683.809619723</v>
      </c>
      <c r="N159" s="105">
        <f t="shared" si="37"/>
        <v>1683.809619723</v>
      </c>
      <c r="O159" s="105">
        <f t="shared" si="37"/>
        <v>1683.809619723</v>
      </c>
      <c r="P159" s="106">
        <f t="shared" si="37"/>
        <v>1683.809619723</v>
      </c>
      <c r="Q159" s="456">
        <f t="shared" si="35"/>
        <v>20205.715436676004</v>
      </c>
      <c r="R159" s="456"/>
      <c r="S159" s="391"/>
      <c r="T159" s="388"/>
    </row>
    <row r="160" spans="1:20" x14ac:dyDescent="0.35">
      <c r="A160" s="534" t="str">
        <f t="shared" si="33"/>
        <v>Insurance</v>
      </c>
      <c r="D160" s="104" t="s">
        <v>116</v>
      </c>
      <c r="E160" s="105">
        <f t="shared" si="37"/>
        <v>736</v>
      </c>
      <c r="F160" s="105">
        <f t="shared" si="37"/>
        <v>736</v>
      </c>
      <c r="G160" s="105">
        <f t="shared" si="37"/>
        <v>736</v>
      </c>
      <c r="H160" s="105">
        <f t="shared" si="37"/>
        <v>736</v>
      </c>
      <c r="I160" s="105">
        <f t="shared" si="37"/>
        <v>736</v>
      </c>
      <c r="J160" s="105">
        <f t="shared" si="37"/>
        <v>736</v>
      </c>
      <c r="K160" s="105">
        <f t="shared" si="37"/>
        <v>736</v>
      </c>
      <c r="L160" s="105">
        <f t="shared" si="37"/>
        <v>736</v>
      </c>
      <c r="M160" s="105">
        <f t="shared" si="37"/>
        <v>736</v>
      </c>
      <c r="N160" s="105">
        <f t="shared" si="37"/>
        <v>736</v>
      </c>
      <c r="O160" s="105">
        <f t="shared" si="37"/>
        <v>750.72</v>
      </c>
      <c r="P160" s="106">
        <f t="shared" si="37"/>
        <v>750.72</v>
      </c>
      <c r="Q160" s="456">
        <f t="shared" si="35"/>
        <v>8861.44</v>
      </c>
      <c r="R160" s="456"/>
      <c r="S160" s="391"/>
      <c r="T160" s="388"/>
    </row>
    <row r="161" spans="1:20" x14ac:dyDescent="0.35">
      <c r="A161" s="534" t="str">
        <f t="shared" si="33"/>
        <v>Cleaning &amp; Supplies</v>
      </c>
      <c r="D161" s="104" t="s">
        <v>117</v>
      </c>
      <c r="E161" s="105">
        <f t="shared" si="37"/>
        <v>2164.2224117639616</v>
      </c>
      <c r="F161" s="105">
        <f t="shared" si="37"/>
        <v>2247.6803068831614</v>
      </c>
      <c r="G161" s="105">
        <f t="shared" si="37"/>
        <v>2247.6803068831614</v>
      </c>
      <c r="H161" s="105">
        <f t="shared" si="37"/>
        <v>2247.6803068831614</v>
      </c>
      <c r="I161" s="105">
        <f t="shared" si="37"/>
        <v>2247.6803068831614</v>
      </c>
      <c r="J161" s="105">
        <f t="shared" si="37"/>
        <v>2247.6803068831614</v>
      </c>
      <c r="K161" s="105">
        <f t="shared" si="37"/>
        <v>2247.6803068831614</v>
      </c>
      <c r="L161" s="105">
        <f t="shared" si="37"/>
        <v>2247.6803068831614</v>
      </c>
      <c r="M161" s="105">
        <f t="shared" si="37"/>
        <v>2185.4805548603617</v>
      </c>
      <c r="N161" s="105">
        <f t="shared" si="37"/>
        <v>2185.4805548603617</v>
      </c>
      <c r="O161" s="105">
        <f t="shared" si="37"/>
        <v>2185.4805548603617</v>
      </c>
      <c r="P161" s="106">
        <f t="shared" si="37"/>
        <v>2185.4805548603617</v>
      </c>
      <c r="Q161" s="456">
        <f t="shared" si="35"/>
        <v>26639.906779387537</v>
      </c>
      <c r="R161" s="456"/>
      <c r="S161" s="391"/>
      <c r="T161" s="388"/>
    </row>
    <row r="162" spans="1:20" x14ac:dyDescent="0.35">
      <c r="A162" s="534" t="str">
        <f>VLOOKUP($D162,$A$10:$D$130,4,FALSE)</f>
        <v>Salaries &amp; Wages</v>
      </c>
      <c r="D162" s="104" t="s">
        <v>118</v>
      </c>
      <c r="E162" s="105">
        <f t="shared" si="37"/>
        <v>382.30272810406518</v>
      </c>
      <c r="F162" s="105">
        <f t="shared" si="37"/>
        <v>382.30272810406518</v>
      </c>
      <c r="G162" s="105">
        <f t="shared" si="37"/>
        <v>382.30272810406518</v>
      </c>
      <c r="H162" s="105">
        <f t="shared" si="37"/>
        <v>382.30272810406518</v>
      </c>
      <c r="I162" s="105">
        <f t="shared" si="37"/>
        <v>382.30272810406518</v>
      </c>
      <c r="J162" s="105">
        <f t="shared" si="37"/>
        <v>382.30272810406518</v>
      </c>
      <c r="K162" s="105">
        <f t="shared" si="37"/>
        <v>382.30272810406518</v>
      </c>
      <c r="L162" s="105">
        <f t="shared" si="37"/>
        <v>382.30272810406518</v>
      </c>
      <c r="M162" s="105">
        <f t="shared" si="37"/>
        <v>382.30272810406518</v>
      </c>
      <c r="N162" s="105">
        <f t="shared" si="37"/>
        <v>382.30272810406518</v>
      </c>
      <c r="O162" s="105">
        <f t="shared" si="37"/>
        <v>382.30272810406518</v>
      </c>
      <c r="P162" s="106">
        <f t="shared" si="37"/>
        <v>382.30272810406518</v>
      </c>
      <c r="Q162" s="456">
        <f t="shared" si="35"/>
        <v>4587.6327372487813</v>
      </c>
      <c r="R162" s="456"/>
      <c r="S162" s="391"/>
      <c r="T162" s="388"/>
    </row>
    <row r="163" spans="1:20" x14ac:dyDescent="0.35">
      <c r="A163" s="534" t="str">
        <f>VLOOKUP($D163,$A$10:$D$130,4,FALSE)</f>
        <v>Commissions-Internal Broker</v>
      </c>
      <c r="D163" s="104" t="s">
        <v>119</v>
      </c>
      <c r="E163" s="105">
        <f t="shared" si="37"/>
        <v>241.6453650126474</v>
      </c>
      <c r="F163" s="105">
        <f t="shared" si="37"/>
        <v>0</v>
      </c>
      <c r="G163" s="105">
        <f t="shared" si="37"/>
        <v>0</v>
      </c>
      <c r="H163" s="105">
        <f t="shared" si="37"/>
        <v>241.6453650126474</v>
      </c>
      <c r="I163" s="105">
        <f t="shared" si="37"/>
        <v>0</v>
      </c>
      <c r="J163" s="105">
        <f t="shared" si="37"/>
        <v>0</v>
      </c>
      <c r="K163" s="105">
        <f t="shared" si="37"/>
        <v>241.6453650126474</v>
      </c>
      <c r="L163" s="105">
        <f t="shared" si="37"/>
        <v>0</v>
      </c>
      <c r="M163" s="105">
        <f t="shared" si="37"/>
        <v>0</v>
      </c>
      <c r="N163" s="105">
        <f t="shared" si="37"/>
        <v>241.6453650126474</v>
      </c>
      <c r="O163" s="105">
        <f t="shared" si="37"/>
        <v>0</v>
      </c>
      <c r="P163" s="106">
        <f t="shared" si="37"/>
        <v>0</v>
      </c>
      <c r="Q163" s="456">
        <f t="shared" si="35"/>
        <v>966.58146005058961</v>
      </c>
      <c r="R163" s="456"/>
      <c r="S163" s="391"/>
      <c r="T163" s="388"/>
    </row>
    <row r="164" spans="1:20" x14ac:dyDescent="0.35">
      <c r="A164" s="534" t="str">
        <f>VLOOKUP($D164,$A$10:$D$130,3,FALSE)</f>
        <v>Building Maintenance</v>
      </c>
      <c r="D164" s="104" t="s">
        <v>120</v>
      </c>
      <c r="E164" s="105">
        <f t="shared" si="37"/>
        <v>453.2</v>
      </c>
      <c r="F164" s="105">
        <f t="shared" si="37"/>
        <v>453.2</v>
      </c>
      <c r="G164" s="105">
        <f t="shared" si="37"/>
        <v>453.2</v>
      </c>
      <c r="H164" s="105">
        <f t="shared" si="37"/>
        <v>453.2</v>
      </c>
      <c r="I164" s="105">
        <f t="shared" si="37"/>
        <v>607.70000000000005</v>
      </c>
      <c r="J164" s="105">
        <f t="shared" si="37"/>
        <v>453.2</v>
      </c>
      <c r="K164" s="105">
        <f t="shared" si="37"/>
        <v>453.2</v>
      </c>
      <c r="L164" s="105">
        <f t="shared" si="37"/>
        <v>453.2</v>
      </c>
      <c r="M164" s="105">
        <f t="shared" si="37"/>
        <v>453.2</v>
      </c>
      <c r="N164" s="105">
        <f t="shared" si="37"/>
        <v>453.2</v>
      </c>
      <c r="O164" s="105">
        <f t="shared" si="37"/>
        <v>453.2</v>
      </c>
      <c r="P164" s="106">
        <f t="shared" si="37"/>
        <v>453.2</v>
      </c>
      <c r="Q164" s="456">
        <f t="shared" si="35"/>
        <v>5592.8999999999987</v>
      </c>
      <c r="R164" s="456"/>
      <c r="S164" s="391"/>
      <c r="T164" s="388"/>
    </row>
    <row r="165" spans="1:20" x14ac:dyDescent="0.35">
      <c r="A165" s="534" t="str">
        <f>VLOOKUP($D165,$A$10:$D$130,3,FALSE)</f>
        <v>Marketing</v>
      </c>
      <c r="D165" s="104" t="s">
        <v>121</v>
      </c>
      <c r="E165" s="105">
        <f t="shared" si="37"/>
        <v>146.65794080263768</v>
      </c>
      <c r="F165" s="105">
        <f t="shared" si="37"/>
        <v>146.65794080263768</v>
      </c>
      <c r="G165" s="105">
        <f t="shared" si="37"/>
        <v>146.65794080263768</v>
      </c>
      <c r="H165" s="105">
        <f t="shared" si="37"/>
        <v>146.65794080263768</v>
      </c>
      <c r="I165" s="105">
        <f t="shared" si="37"/>
        <v>146.65794080263768</v>
      </c>
      <c r="J165" s="105">
        <f t="shared" si="37"/>
        <v>146.65794080263768</v>
      </c>
      <c r="K165" s="105">
        <f t="shared" si="37"/>
        <v>146.65794080263768</v>
      </c>
      <c r="L165" s="105">
        <f t="shared" si="37"/>
        <v>146.65794080263768</v>
      </c>
      <c r="M165" s="105">
        <f t="shared" si="37"/>
        <v>146.65794080263768</v>
      </c>
      <c r="N165" s="105">
        <f t="shared" si="37"/>
        <v>146.65794080263768</v>
      </c>
      <c r="O165" s="105">
        <f t="shared" si="37"/>
        <v>146.65794080263768</v>
      </c>
      <c r="P165" s="106">
        <f t="shared" si="37"/>
        <v>146.65794080263768</v>
      </c>
      <c r="Q165" s="456">
        <f t="shared" si="35"/>
        <v>1759.8952896316525</v>
      </c>
      <c r="R165" s="456"/>
      <c r="S165" s="391"/>
      <c r="T165" s="388"/>
    </row>
    <row r="166" spans="1:20" x14ac:dyDescent="0.35">
      <c r="A166" s="534" t="str">
        <f>VLOOKUP($D166,$A$10:$D$130,3,FALSE)</f>
        <v>Business Taxes</v>
      </c>
      <c r="D166" s="104" t="s">
        <v>122</v>
      </c>
      <c r="E166" s="105">
        <f t="shared" si="37"/>
        <v>0</v>
      </c>
      <c r="F166" s="105">
        <f t="shared" si="37"/>
        <v>0</v>
      </c>
      <c r="G166" s="105">
        <f t="shared" si="37"/>
        <v>0</v>
      </c>
      <c r="H166" s="105">
        <f t="shared" si="37"/>
        <v>766.66414677821115</v>
      </c>
      <c r="I166" s="105">
        <f t="shared" si="37"/>
        <v>0</v>
      </c>
      <c r="J166" s="105">
        <f t="shared" si="37"/>
        <v>0</v>
      </c>
      <c r="K166" s="105">
        <f t="shared" si="37"/>
        <v>0</v>
      </c>
      <c r="L166" s="105">
        <f t="shared" si="37"/>
        <v>0</v>
      </c>
      <c r="M166" s="105">
        <f t="shared" si="37"/>
        <v>0</v>
      </c>
      <c r="N166" s="105">
        <f t="shared" si="37"/>
        <v>0</v>
      </c>
      <c r="O166" s="105">
        <f t="shared" si="37"/>
        <v>0</v>
      </c>
      <c r="P166" s="106">
        <f t="shared" si="37"/>
        <v>0</v>
      </c>
      <c r="Q166" s="456">
        <f t="shared" si="35"/>
        <v>766.66414677821115</v>
      </c>
      <c r="R166" s="456"/>
      <c r="S166" s="391"/>
      <c r="T166" s="388"/>
    </row>
    <row r="167" spans="1:20" x14ac:dyDescent="0.35">
      <c r="A167" s="534" t="str">
        <f t="shared" si="33"/>
        <v>Legal &amp; Accounting</v>
      </c>
      <c r="D167" s="104" t="s">
        <v>123</v>
      </c>
      <c r="E167" s="105">
        <f t="shared" si="37"/>
        <v>134.0323051818666</v>
      </c>
      <c r="F167" s="105">
        <f t="shared" si="37"/>
        <v>134.0323051818666</v>
      </c>
      <c r="G167" s="105">
        <f t="shared" si="37"/>
        <v>134.0323051818666</v>
      </c>
      <c r="H167" s="105">
        <f t="shared" si="37"/>
        <v>134.0323051818666</v>
      </c>
      <c r="I167" s="105">
        <f t="shared" si="37"/>
        <v>134.0323051818666</v>
      </c>
      <c r="J167" s="105">
        <f t="shared" si="37"/>
        <v>134.0323051818666</v>
      </c>
      <c r="K167" s="105">
        <f t="shared" si="37"/>
        <v>134.0323051818666</v>
      </c>
      <c r="L167" s="105">
        <f t="shared" si="37"/>
        <v>134.0323051818666</v>
      </c>
      <c r="M167" s="105">
        <f t="shared" si="37"/>
        <v>134.0323051818666</v>
      </c>
      <c r="N167" s="105">
        <f t="shared" si="37"/>
        <v>134.0323051818666</v>
      </c>
      <c r="O167" s="105">
        <f t="shared" si="37"/>
        <v>134.0323051818666</v>
      </c>
      <c r="P167" s="106">
        <f t="shared" si="37"/>
        <v>134.0323051818666</v>
      </c>
      <c r="Q167" s="456">
        <f t="shared" si="35"/>
        <v>1608.3876621823993</v>
      </c>
      <c r="R167" s="456"/>
      <c r="S167" s="391"/>
      <c r="T167" s="388"/>
    </row>
    <row r="168" spans="1:20" x14ac:dyDescent="0.35">
      <c r="A168" s="534" t="str">
        <f>VLOOKUP($D168,$A$10:$D$130,4,FALSE)</f>
        <v>Bank Fees</v>
      </c>
      <c r="D168" s="104" t="s">
        <v>130</v>
      </c>
      <c r="E168" s="105">
        <f t="shared" si="37"/>
        <v>6.0606847211909942</v>
      </c>
      <c r="F168" s="105">
        <f t="shared" si="37"/>
        <v>6.0606847211909942</v>
      </c>
      <c r="G168" s="105">
        <f t="shared" si="37"/>
        <v>6.0606847211909942</v>
      </c>
      <c r="H168" s="105">
        <f t="shared" si="37"/>
        <v>6.0606847211909942</v>
      </c>
      <c r="I168" s="105">
        <f t="shared" si="37"/>
        <v>6.0606847211909942</v>
      </c>
      <c r="J168" s="105">
        <f t="shared" si="37"/>
        <v>6.0606847211909942</v>
      </c>
      <c r="K168" s="105">
        <f t="shared" si="37"/>
        <v>6.0606847211909942</v>
      </c>
      <c r="L168" s="105">
        <f t="shared" si="37"/>
        <v>6.0606847211909942</v>
      </c>
      <c r="M168" s="105">
        <f t="shared" si="37"/>
        <v>6.0606847211909942</v>
      </c>
      <c r="N168" s="105">
        <f t="shared" si="37"/>
        <v>6.0606847211909942</v>
      </c>
      <c r="O168" s="105">
        <f t="shared" si="37"/>
        <v>6.0606847211909942</v>
      </c>
      <c r="P168" s="106">
        <f t="shared" si="37"/>
        <v>6.0606847211909942</v>
      </c>
      <c r="Q168" s="456">
        <f t="shared" si="35"/>
        <v>72.728216654291927</v>
      </c>
      <c r="R168" s="456"/>
      <c r="S168" s="391"/>
      <c r="T168" s="388"/>
    </row>
    <row r="169" spans="1:20" x14ac:dyDescent="0.35">
      <c r="A169" s="534" t="str">
        <f>VLOOKUP($D169,$A$10:$D$130,4,FALSE)</f>
        <v>Other G&amp;A Expense</v>
      </c>
      <c r="D169" s="104" t="s">
        <v>131</v>
      </c>
      <c r="E169" s="105">
        <f t="shared" ref="E169:P177" si="38">VLOOKUP($D169,$A$10:$P$131,E$142,FALSE)</f>
        <v>5.8651787624428975</v>
      </c>
      <c r="F169" s="105">
        <f t="shared" si="38"/>
        <v>5.8651787624428975</v>
      </c>
      <c r="G169" s="105">
        <f t="shared" si="38"/>
        <v>5.8651787624428975</v>
      </c>
      <c r="H169" s="105">
        <f t="shared" si="38"/>
        <v>5.8651787624428975</v>
      </c>
      <c r="I169" s="105">
        <f t="shared" si="38"/>
        <v>5.8651787624428975</v>
      </c>
      <c r="J169" s="105">
        <f t="shared" si="38"/>
        <v>5.8651787624428975</v>
      </c>
      <c r="K169" s="105">
        <f t="shared" si="38"/>
        <v>5.8651787624428975</v>
      </c>
      <c r="L169" s="105">
        <f t="shared" si="38"/>
        <v>5.8651787624428975</v>
      </c>
      <c r="M169" s="105">
        <f t="shared" si="38"/>
        <v>5.8651787624428975</v>
      </c>
      <c r="N169" s="105">
        <f t="shared" si="38"/>
        <v>5.8651787624428975</v>
      </c>
      <c r="O169" s="105">
        <f t="shared" si="38"/>
        <v>5.8651787624428975</v>
      </c>
      <c r="P169" s="106">
        <f t="shared" si="38"/>
        <v>5.8651787624428975</v>
      </c>
      <c r="Q169" s="456">
        <f t="shared" si="35"/>
        <v>70.382145149314752</v>
      </c>
      <c r="R169" s="456"/>
      <c r="S169" s="391"/>
      <c r="T169" s="388"/>
    </row>
    <row r="170" spans="1:20" x14ac:dyDescent="0.35">
      <c r="A170" s="534" t="str">
        <f>VLOOKUP($D170,$A$10:$D$130,4,FALSE)</f>
        <v>Other G&amp;A-allocated from LIK</v>
      </c>
      <c r="D170" s="104" t="s">
        <v>124</v>
      </c>
      <c r="E170" s="105">
        <f t="shared" si="38"/>
        <v>200</v>
      </c>
      <c r="F170" s="105">
        <f t="shared" si="38"/>
        <v>200</v>
      </c>
      <c r="G170" s="105">
        <f t="shared" si="38"/>
        <v>200</v>
      </c>
      <c r="H170" s="105">
        <f t="shared" si="38"/>
        <v>200</v>
      </c>
      <c r="I170" s="105">
        <f t="shared" si="38"/>
        <v>200</v>
      </c>
      <c r="J170" s="105">
        <f t="shared" si="38"/>
        <v>200</v>
      </c>
      <c r="K170" s="105">
        <f t="shared" si="38"/>
        <v>200</v>
      </c>
      <c r="L170" s="105">
        <f t="shared" si="38"/>
        <v>200</v>
      </c>
      <c r="M170" s="105">
        <f t="shared" si="38"/>
        <v>200</v>
      </c>
      <c r="N170" s="105">
        <f t="shared" si="38"/>
        <v>200</v>
      </c>
      <c r="O170" s="105">
        <f t="shared" si="38"/>
        <v>200</v>
      </c>
      <c r="P170" s="106">
        <f t="shared" si="38"/>
        <v>200</v>
      </c>
      <c r="Q170" s="456">
        <f t="shared" si="35"/>
        <v>2400</v>
      </c>
      <c r="R170" s="456"/>
      <c r="S170" s="391"/>
      <c r="T170" s="388"/>
    </row>
    <row r="171" spans="1:20" x14ac:dyDescent="0.35">
      <c r="A171" s="534" t="str">
        <f>VLOOKUP($D171,$A$10:$D$130,4,FALSE)</f>
        <v>Land Improvements</v>
      </c>
      <c r="D171" s="104" t="s">
        <v>125</v>
      </c>
      <c r="E171" s="105">
        <f t="shared" si="38"/>
        <v>0</v>
      </c>
      <c r="F171" s="105">
        <f t="shared" si="38"/>
        <v>0</v>
      </c>
      <c r="G171" s="105">
        <f t="shared" si="38"/>
        <v>0</v>
      </c>
      <c r="H171" s="105">
        <f t="shared" si="38"/>
        <v>0</v>
      </c>
      <c r="I171" s="105">
        <f t="shared" si="38"/>
        <v>0</v>
      </c>
      <c r="J171" s="105">
        <f t="shared" si="38"/>
        <v>0</v>
      </c>
      <c r="K171" s="105">
        <f t="shared" si="38"/>
        <v>0</v>
      </c>
      <c r="L171" s="105">
        <f t="shared" si="38"/>
        <v>0</v>
      </c>
      <c r="M171" s="105">
        <f t="shared" si="38"/>
        <v>0</v>
      </c>
      <c r="N171" s="105">
        <f t="shared" si="38"/>
        <v>0</v>
      </c>
      <c r="O171" s="105">
        <f t="shared" si="38"/>
        <v>0</v>
      </c>
      <c r="P171" s="106">
        <f t="shared" si="38"/>
        <v>0</v>
      </c>
      <c r="Q171" s="456">
        <f t="shared" si="35"/>
        <v>0</v>
      </c>
      <c r="R171" s="456"/>
      <c r="S171" s="391"/>
      <c r="T171" s="388"/>
    </row>
    <row r="172" spans="1:20" x14ac:dyDescent="0.35">
      <c r="A172" s="534" t="str">
        <f t="shared" ref="A172:A173" si="39">VLOOKUP($D172,$A$10:$D$130,4,FALSE)</f>
        <v>Buildings</v>
      </c>
      <c r="D172" s="104" t="s">
        <v>126</v>
      </c>
      <c r="E172" s="105">
        <f t="shared" si="38"/>
        <v>0</v>
      </c>
      <c r="F172" s="105">
        <f t="shared" si="38"/>
        <v>0</v>
      </c>
      <c r="G172" s="105">
        <f t="shared" si="38"/>
        <v>0</v>
      </c>
      <c r="H172" s="105">
        <f t="shared" si="38"/>
        <v>0</v>
      </c>
      <c r="I172" s="105">
        <f t="shared" si="38"/>
        <v>0</v>
      </c>
      <c r="J172" s="105">
        <f t="shared" si="38"/>
        <v>0</v>
      </c>
      <c r="K172" s="105">
        <f t="shared" si="38"/>
        <v>0</v>
      </c>
      <c r="L172" s="105">
        <f t="shared" si="38"/>
        <v>0</v>
      </c>
      <c r="M172" s="105">
        <f t="shared" si="38"/>
        <v>0</v>
      </c>
      <c r="N172" s="105">
        <f t="shared" si="38"/>
        <v>0</v>
      </c>
      <c r="O172" s="105">
        <f t="shared" si="38"/>
        <v>0</v>
      </c>
      <c r="P172" s="106">
        <f t="shared" si="38"/>
        <v>0</v>
      </c>
      <c r="Q172" s="456">
        <f t="shared" si="35"/>
        <v>0</v>
      </c>
      <c r="R172" s="456"/>
      <c r="S172" s="391"/>
      <c r="T172" s="388"/>
    </row>
    <row r="173" spans="1:20" x14ac:dyDescent="0.35">
      <c r="A173" s="534" t="str">
        <f t="shared" si="39"/>
        <v>Equipment</v>
      </c>
      <c r="D173" s="104" t="s">
        <v>127</v>
      </c>
      <c r="E173" s="105">
        <f t="shared" si="38"/>
        <v>0</v>
      </c>
      <c r="F173" s="105">
        <f t="shared" si="38"/>
        <v>0</v>
      </c>
      <c r="G173" s="105">
        <f t="shared" si="38"/>
        <v>0</v>
      </c>
      <c r="H173" s="105">
        <f t="shared" si="38"/>
        <v>0</v>
      </c>
      <c r="I173" s="105">
        <f t="shared" si="38"/>
        <v>0</v>
      </c>
      <c r="J173" s="105">
        <f t="shared" si="38"/>
        <v>0</v>
      </c>
      <c r="K173" s="105">
        <f t="shared" si="38"/>
        <v>0</v>
      </c>
      <c r="L173" s="105">
        <f t="shared" si="38"/>
        <v>0</v>
      </c>
      <c r="M173" s="105">
        <f t="shared" si="38"/>
        <v>0</v>
      </c>
      <c r="N173" s="105">
        <f t="shared" si="38"/>
        <v>0</v>
      </c>
      <c r="O173" s="105">
        <f t="shared" si="38"/>
        <v>0</v>
      </c>
      <c r="P173" s="106">
        <f t="shared" si="38"/>
        <v>0</v>
      </c>
      <c r="Q173" s="456">
        <f t="shared" si="35"/>
        <v>0</v>
      </c>
      <c r="R173" s="456"/>
      <c r="S173" s="391"/>
      <c r="T173" s="388"/>
    </row>
    <row r="174" spans="1:20" x14ac:dyDescent="0.35">
      <c r="A174" s="534" t="str">
        <f>VLOOKUP($D174,$A$10:$D$130,3,FALSE)</f>
        <v>Tenant Improvements</v>
      </c>
      <c r="D174" s="104" t="s">
        <v>128</v>
      </c>
      <c r="E174" s="105">
        <f t="shared" si="38"/>
        <v>0</v>
      </c>
      <c r="F174" s="105">
        <f t="shared" si="38"/>
        <v>639</v>
      </c>
      <c r="G174" s="105">
        <f t="shared" si="38"/>
        <v>0</v>
      </c>
      <c r="H174" s="105">
        <f t="shared" si="38"/>
        <v>0</v>
      </c>
      <c r="I174" s="105">
        <f t="shared" si="38"/>
        <v>0</v>
      </c>
      <c r="J174" s="105">
        <f t="shared" si="38"/>
        <v>0</v>
      </c>
      <c r="K174" s="105">
        <f t="shared" si="38"/>
        <v>0</v>
      </c>
      <c r="L174" s="105">
        <f t="shared" si="38"/>
        <v>0</v>
      </c>
      <c r="M174" s="105">
        <f t="shared" si="38"/>
        <v>0</v>
      </c>
      <c r="N174" s="105">
        <f t="shared" si="38"/>
        <v>0</v>
      </c>
      <c r="O174" s="105">
        <f t="shared" si="38"/>
        <v>0</v>
      </c>
      <c r="P174" s="106">
        <f t="shared" si="38"/>
        <v>0</v>
      </c>
      <c r="Q174" s="456">
        <f t="shared" si="35"/>
        <v>639</v>
      </c>
      <c r="R174" s="456"/>
      <c r="S174" s="391"/>
      <c r="T174" s="388"/>
    </row>
    <row r="175" spans="1:20" x14ac:dyDescent="0.35">
      <c r="A175" s="534" t="str">
        <f>VLOOKUP($D175,$A$10:$D$130,3,FALSE)</f>
        <v>Outside Leasing Commissions</v>
      </c>
      <c r="D175" s="104" t="s">
        <v>129</v>
      </c>
      <c r="E175" s="105">
        <f t="shared" si="38"/>
        <v>0</v>
      </c>
      <c r="F175" s="105">
        <f t="shared" si="38"/>
        <v>670.94999999999993</v>
      </c>
      <c r="G175" s="105">
        <f t="shared" si="38"/>
        <v>0</v>
      </c>
      <c r="H175" s="105">
        <f t="shared" si="38"/>
        <v>0</v>
      </c>
      <c r="I175" s="105">
        <f t="shared" si="38"/>
        <v>0</v>
      </c>
      <c r="J175" s="105">
        <f t="shared" si="38"/>
        <v>0</v>
      </c>
      <c r="K175" s="105">
        <f t="shared" si="38"/>
        <v>0</v>
      </c>
      <c r="L175" s="105">
        <f t="shared" si="38"/>
        <v>0</v>
      </c>
      <c r="M175" s="105">
        <f t="shared" si="38"/>
        <v>0</v>
      </c>
      <c r="N175" s="105">
        <f t="shared" si="38"/>
        <v>0</v>
      </c>
      <c r="O175" s="105">
        <f t="shared" si="38"/>
        <v>0</v>
      </c>
      <c r="P175" s="106">
        <f t="shared" si="38"/>
        <v>0</v>
      </c>
      <c r="Q175" s="456">
        <f t="shared" si="35"/>
        <v>670.94999999999993</v>
      </c>
      <c r="R175" s="456"/>
      <c r="S175" s="391"/>
      <c r="T175" s="388"/>
    </row>
    <row r="176" spans="1:20" x14ac:dyDescent="0.35">
      <c r="A176" s="534" t="str">
        <f>VLOOKUP($D176,$A$10:$D$130,3,FALSE)</f>
        <v>Interest</v>
      </c>
      <c r="D176" s="104" t="s">
        <v>132</v>
      </c>
      <c r="E176" s="105">
        <f t="shared" si="38"/>
        <v>3532.6977687728877</v>
      </c>
      <c r="F176" s="105">
        <f t="shared" si="38"/>
        <v>3532.6977687728877</v>
      </c>
      <c r="G176" s="105">
        <f t="shared" si="38"/>
        <v>3532.6977687728877</v>
      </c>
      <c r="H176" s="105">
        <f t="shared" si="38"/>
        <v>3532.6977687728877</v>
      </c>
      <c r="I176" s="105">
        <f t="shared" si="38"/>
        <v>3532.6977687728877</v>
      </c>
      <c r="J176" s="105">
        <f t="shared" si="38"/>
        <v>3532.6977687728877</v>
      </c>
      <c r="K176" s="105">
        <f t="shared" si="38"/>
        <v>3532.6977687728877</v>
      </c>
      <c r="L176" s="105">
        <f t="shared" si="38"/>
        <v>3532.6977687728877</v>
      </c>
      <c r="M176" s="105">
        <f t="shared" si="38"/>
        <v>3532.6977687728877</v>
      </c>
      <c r="N176" s="105">
        <f t="shared" si="38"/>
        <v>3532.6977687728877</v>
      </c>
      <c r="O176" s="105">
        <f t="shared" si="38"/>
        <v>3532.6977687728877</v>
      </c>
      <c r="P176" s="106">
        <f t="shared" si="38"/>
        <v>3532.6977687728877</v>
      </c>
      <c r="Q176" s="456">
        <f t="shared" si="35"/>
        <v>42392.373225274649</v>
      </c>
      <c r="R176" s="456"/>
      <c r="S176" s="391"/>
      <c r="T176" s="388"/>
    </row>
    <row r="177" spans="1:20" ht="16.5" thickBot="1" x14ac:dyDescent="0.4">
      <c r="A177" s="534" t="str">
        <f>VLOOKUP($D177,$A$10:$D$130,3,FALSE)</f>
        <v>Mortgage Amortization</v>
      </c>
      <c r="D177" s="107" t="s">
        <v>149</v>
      </c>
      <c r="E177" s="108">
        <f t="shared" si="38"/>
        <v>0</v>
      </c>
      <c r="F177" s="108">
        <f t="shared" si="38"/>
        <v>0</v>
      </c>
      <c r="G177" s="108">
        <f t="shared" si="38"/>
        <v>0</v>
      </c>
      <c r="H177" s="108">
        <f t="shared" si="38"/>
        <v>0</v>
      </c>
      <c r="I177" s="108">
        <f t="shared" si="38"/>
        <v>0</v>
      </c>
      <c r="J177" s="108">
        <f t="shared" si="38"/>
        <v>0</v>
      </c>
      <c r="K177" s="108">
        <f t="shared" si="38"/>
        <v>0</v>
      </c>
      <c r="L177" s="108">
        <f t="shared" si="38"/>
        <v>0</v>
      </c>
      <c r="M177" s="108">
        <f t="shared" si="38"/>
        <v>0</v>
      </c>
      <c r="N177" s="108">
        <f t="shared" si="38"/>
        <v>0</v>
      </c>
      <c r="O177" s="108">
        <f t="shared" si="38"/>
        <v>0</v>
      </c>
      <c r="P177" s="109">
        <f t="shared" si="38"/>
        <v>0</v>
      </c>
      <c r="Q177" s="456">
        <f t="shared" si="35"/>
        <v>0</v>
      </c>
      <c r="R177" s="456"/>
      <c r="S177" s="391"/>
      <c r="T177" s="388"/>
    </row>
    <row r="178" spans="1:20" x14ac:dyDescent="0.35">
      <c r="E178" s="34">
        <f t="shared" ref="E178:Q178" si="40">SUM(E144:E177)</f>
        <v>-7309.5206898483348</v>
      </c>
      <c r="F178" s="34">
        <f t="shared" si="40"/>
        <v>3209.4419402582134</v>
      </c>
      <c r="G178" s="34">
        <f t="shared" si="40"/>
        <v>-9366.3842161862267</v>
      </c>
      <c r="H178" s="34">
        <f t="shared" si="40"/>
        <v>-8856.2347043953669</v>
      </c>
      <c r="I178" s="34">
        <f t="shared" si="40"/>
        <v>-7689.5642161862279</v>
      </c>
      <c r="J178" s="34">
        <f t="shared" si="40"/>
        <v>-4107.144216186226</v>
      </c>
      <c r="K178" s="34">
        <f t="shared" si="40"/>
        <v>-9161.53885117358</v>
      </c>
      <c r="L178" s="34">
        <f t="shared" si="40"/>
        <v>-9286.1242161862283</v>
      </c>
      <c r="M178" s="34">
        <f t="shared" si="40"/>
        <v>1229.1209651243043</v>
      </c>
      <c r="N178" s="34">
        <f t="shared" si="40"/>
        <v>-8937.4836698630461</v>
      </c>
      <c r="O178" s="34">
        <f t="shared" si="40"/>
        <v>-7194.2106348756924</v>
      </c>
      <c r="P178" s="34">
        <f t="shared" si="40"/>
        <v>-8004.3940784312499</v>
      </c>
      <c r="Q178" s="391">
        <f t="shared" si="40"/>
        <v>-75474.036587949638</v>
      </c>
      <c r="R178" s="391"/>
      <c r="S178" s="391"/>
      <c r="T178" s="388"/>
    </row>
    <row r="179" spans="1:20" x14ac:dyDescent="0.35">
      <c r="E179" s="62">
        <f>E131+E178</f>
        <v>0</v>
      </c>
      <c r="F179" s="62">
        <f t="shared" ref="F179:Q179" si="41">F131+F178</f>
        <v>-3.637978807091713E-12</v>
      </c>
      <c r="G179" s="62">
        <f t="shared" si="41"/>
        <v>0</v>
      </c>
      <c r="H179" s="62">
        <f t="shared" si="41"/>
        <v>0</v>
      </c>
      <c r="I179" s="62">
        <f t="shared" si="41"/>
        <v>0</v>
      </c>
      <c r="J179" s="62">
        <f t="shared" si="41"/>
        <v>0</v>
      </c>
      <c r="K179" s="62">
        <f t="shared" si="41"/>
        <v>0</v>
      </c>
      <c r="L179" s="62">
        <f t="shared" si="41"/>
        <v>0</v>
      </c>
      <c r="M179" s="62">
        <f t="shared" si="41"/>
        <v>-4.5474735088646412E-12</v>
      </c>
      <c r="N179" s="62">
        <f t="shared" si="41"/>
        <v>0</v>
      </c>
      <c r="O179" s="62">
        <f t="shared" si="41"/>
        <v>0</v>
      </c>
      <c r="P179" s="62">
        <f t="shared" si="41"/>
        <v>0</v>
      </c>
      <c r="Q179" s="62">
        <f t="shared" si="41"/>
        <v>0</v>
      </c>
      <c r="R179" s="391"/>
      <c r="S179" s="416"/>
      <c r="T179" s="417"/>
    </row>
    <row r="180" spans="1:20" x14ac:dyDescent="0.35">
      <c r="Q180" s="391"/>
      <c r="R180" s="391"/>
      <c r="S180" s="416"/>
      <c r="T180" s="417"/>
    </row>
    <row r="181" spans="1:20" x14ac:dyDescent="0.35">
      <c r="Q181" s="391"/>
      <c r="R181" s="391"/>
      <c r="S181" s="416"/>
      <c r="T181" s="417"/>
    </row>
    <row r="182" spans="1:20" x14ac:dyDescent="0.35">
      <c r="Q182" s="391"/>
      <c r="R182" s="391"/>
      <c r="S182" s="416"/>
      <c r="T182" s="417"/>
    </row>
    <row r="183" spans="1:20" x14ac:dyDescent="0.35">
      <c r="Q183" s="391"/>
      <c r="R183" s="391"/>
      <c r="S183" s="416"/>
      <c r="T183" s="417"/>
    </row>
    <row r="184" spans="1:20" x14ac:dyDescent="0.35">
      <c r="Q184" s="391"/>
      <c r="R184" s="391"/>
      <c r="S184" s="416"/>
      <c r="T184" s="417"/>
    </row>
    <row r="185" spans="1:20" x14ac:dyDescent="0.35">
      <c r="Q185" s="391"/>
      <c r="R185" s="391"/>
      <c r="S185" s="416"/>
      <c r="T185" s="417"/>
    </row>
    <row r="186" spans="1:20" x14ac:dyDescent="0.35">
      <c r="Q186" s="391"/>
      <c r="R186" s="391"/>
      <c r="S186" s="416"/>
      <c r="T186" s="417"/>
    </row>
    <row r="187" spans="1:20" x14ac:dyDescent="0.35">
      <c r="Q187" s="391"/>
      <c r="R187" s="391"/>
      <c r="S187" s="416"/>
      <c r="T187" s="417"/>
    </row>
    <row r="188" spans="1:20" x14ac:dyDescent="0.35">
      <c r="Q188" s="391"/>
      <c r="R188" s="391"/>
      <c r="S188" s="416"/>
      <c r="T188" s="417"/>
    </row>
    <row r="189" spans="1:20" x14ac:dyDescent="0.35">
      <c r="Q189" s="391"/>
      <c r="R189" s="391"/>
      <c r="S189" s="416"/>
      <c r="T189" s="417"/>
    </row>
    <row r="190" spans="1:20" x14ac:dyDescent="0.35">
      <c r="Q190" s="391"/>
      <c r="R190" s="391"/>
      <c r="S190" s="416"/>
      <c r="T190" s="417"/>
    </row>
    <row r="191" spans="1:20" x14ac:dyDescent="0.35">
      <c r="Q191" s="391"/>
      <c r="R191" s="391"/>
      <c r="S191" s="416"/>
      <c r="T191" s="417"/>
    </row>
    <row r="192" spans="1:20" x14ac:dyDescent="0.35">
      <c r="Q192" s="391"/>
      <c r="R192" s="391"/>
      <c r="S192" s="416"/>
      <c r="T192" s="417"/>
    </row>
    <row r="193" spans="17:20" x14ac:dyDescent="0.35">
      <c r="Q193" s="391"/>
      <c r="R193" s="391"/>
      <c r="S193" s="416"/>
      <c r="T193" s="417"/>
    </row>
    <row r="194" spans="17:20" x14ac:dyDescent="0.35">
      <c r="Q194" s="391"/>
      <c r="R194" s="391"/>
      <c r="S194" s="416"/>
      <c r="T194" s="417"/>
    </row>
    <row r="195" spans="17:20" x14ac:dyDescent="0.35">
      <c r="Q195" s="391"/>
      <c r="R195" s="391"/>
      <c r="S195" s="416"/>
      <c r="T195" s="417"/>
    </row>
    <row r="196" spans="17:20" x14ac:dyDescent="0.35">
      <c r="Q196" s="391"/>
      <c r="R196" s="391"/>
      <c r="S196" s="416"/>
      <c r="T196" s="417"/>
    </row>
    <row r="197" spans="17:20" x14ac:dyDescent="0.35">
      <c r="Q197" s="391"/>
      <c r="R197" s="391"/>
      <c r="S197" s="416"/>
      <c r="T197" s="417"/>
    </row>
    <row r="198" spans="17:20" x14ac:dyDescent="0.35">
      <c r="Q198" s="391"/>
      <c r="R198" s="391"/>
      <c r="S198" s="391"/>
      <c r="T198" s="388"/>
    </row>
    <row r="199" spans="17:20" x14ac:dyDescent="0.35">
      <c r="Q199" s="391"/>
      <c r="R199" s="391"/>
      <c r="S199" s="422"/>
      <c r="T199" s="423"/>
    </row>
    <row r="200" spans="17:20" x14ac:dyDescent="0.35">
      <c r="Q200" s="391"/>
      <c r="R200" s="391"/>
      <c r="S200" s="391"/>
      <c r="T200" s="388"/>
    </row>
    <row r="201" spans="17:20" x14ac:dyDescent="0.35">
      <c r="Q201" s="391"/>
      <c r="R201" s="391"/>
      <c r="S201" s="391"/>
      <c r="T201" s="388"/>
    </row>
    <row r="202" spans="17:20" x14ac:dyDescent="0.35">
      <c r="Q202" s="391"/>
      <c r="R202" s="391"/>
      <c r="S202" s="416"/>
      <c r="T202" s="417"/>
    </row>
    <row r="203" spans="17:20" x14ac:dyDescent="0.35">
      <c r="Q203" s="391"/>
      <c r="R203" s="391"/>
      <c r="S203" s="416"/>
      <c r="T203" s="417"/>
    </row>
  </sheetData>
  <sheetProtection formatColumns="0" selectLockedCells="1"/>
  <phoneticPr fontId="0" type="noConversion"/>
  <conditionalFormatting sqref="E179:Q179">
    <cfRule type="cellIs" dxfId="65" priority="1" operator="between">
      <formula>-1</formula>
      <formula>1</formula>
    </cfRule>
  </conditionalFormatting>
  <dataValidations count="1">
    <dataValidation operator="notEqual" showInputMessage="1" showErrorMessage="1" sqref="E18:P18" xr:uid="{D927F56D-C67C-4120-8BAB-1C43F8BCC915}"/>
  </dataValidations>
  <printOptions horizontalCentered="1" verticalCentered="1"/>
  <pageMargins left="0.25" right="0.25" top="0.75" bottom="0.75" header="0.3" footer="0.3"/>
  <pageSetup scale="44" fitToHeight="2" orientation="landscape" r:id="rId1"/>
  <headerFooter>
    <oddHeader>&amp;R&amp;D</oddHeader>
    <oddFooter>Page &amp;P of &amp;N</oddFooter>
  </headerFooter>
  <rowBreaks count="1" manualBreakCount="1">
    <brk id="72" max="1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>
    <tabColor theme="0"/>
  </sheetPr>
  <dimension ref="A1:V202"/>
  <sheetViews>
    <sheetView tabSelected="1" view="pageBreakPreview" topLeftCell="A63" zoomScale="60" zoomScaleNormal="100" workbookViewId="0">
      <selection activeCell="A11" sqref="A11"/>
    </sheetView>
  </sheetViews>
  <sheetFormatPr defaultColWidth="10.81640625" defaultRowHeight="16" outlineLevelCol="1" x14ac:dyDescent="0.35"/>
  <cols>
    <col min="1" max="1" width="15.54296875" style="34" bestFit="1" customWidth="1"/>
    <col min="2" max="2" width="9.1796875" style="34" customWidth="1"/>
    <col min="3" max="3" width="2.81640625" style="34" customWidth="1"/>
    <col min="4" max="4" width="37.81640625" style="34" customWidth="1"/>
    <col min="5" max="5" width="13.81640625" style="34" customWidth="1"/>
    <col min="6" max="6" width="12.81640625" style="34" customWidth="1"/>
    <col min="7" max="7" width="12.54296875" style="34" customWidth="1"/>
    <col min="8" max="9" width="11.1796875" style="34" customWidth="1"/>
    <col min="10" max="10" width="11.81640625" style="34" customWidth="1"/>
    <col min="11" max="11" width="11.1796875" style="34" customWidth="1"/>
    <col min="12" max="12" width="13.54296875" style="34" customWidth="1"/>
    <col min="13" max="16" width="11.1796875" style="34" customWidth="1"/>
    <col min="17" max="17" width="13.54296875" style="34" bestFit="1" customWidth="1"/>
    <col min="18" max="18" width="14.453125" style="34" bestFit="1" customWidth="1"/>
    <col min="19" max="19" width="13.54296875" style="34" hidden="1" customWidth="1" outlineLevel="1"/>
    <col min="20" max="20" width="11" style="330" hidden="1" customWidth="1" outlineLevel="1"/>
    <col min="21" max="21" width="9.81640625" style="54" bestFit="1" customWidth="1" collapsed="1"/>
    <col min="22" max="22" width="47.1796875" style="34" bestFit="1" customWidth="1"/>
    <col min="23" max="16384" width="10.81640625" style="34"/>
  </cols>
  <sheetData>
    <row r="1" spans="1:22" s="51" customFormat="1" ht="29" x14ac:dyDescent="0.25">
      <c r="B1" s="280" t="s">
        <v>210</v>
      </c>
      <c r="C1" s="280"/>
      <c r="J1" s="52" t="str">
        <f>+'40A0'!J1</f>
        <v>Operating Budget</v>
      </c>
      <c r="Q1" s="389">
        <f>'NI LLC-Consolidated'!Q1</f>
        <v>46023</v>
      </c>
      <c r="R1" s="389"/>
      <c r="S1" s="389"/>
      <c r="T1" s="390"/>
      <c r="U1" s="291"/>
    </row>
    <row r="2" spans="1:22" ht="18" x14ac:dyDescent="0.35">
      <c r="J2" s="120" t="str">
        <f>+'40A0'!J2</f>
        <v>Neshaminy Interplex LLC</v>
      </c>
      <c r="Q2" s="391"/>
      <c r="R2" s="391"/>
      <c r="S2" s="391"/>
      <c r="T2" s="388"/>
    </row>
    <row r="3" spans="1:22" ht="18" x14ac:dyDescent="0.35">
      <c r="Q3" s="468">
        <f>Q1</f>
        <v>46023</v>
      </c>
      <c r="R3" s="469"/>
      <c r="S3" s="392" t="s">
        <v>504</v>
      </c>
      <c r="T3" s="393"/>
    </row>
    <row r="4" spans="1:22" s="39" customFormat="1" ht="18" x14ac:dyDescent="0.35">
      <c r="B4" s="281">
        <v>12978</v>
      </c>
      <c r="C4" s="281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29" t="s">
        <v>12</v>
      </c>
      <c r="R4" s="429" t="s">
        <v>442</v>
      </c>
      <c r="S4" s="394" t="s">
        <v>12</v>
      </c>
      <c r="T4" s="395" t="s">
        <v>503</v>
      </c>
      <c r="U4" s="292" t="s">
        <v>449</v>
      </c>
      <c r="V4" s="297" t="s">
        <v>370</v>
      </c>
    </row>
    <row r="5" spans="1:22" x14ac:dyDescent="0.35">
      <c r="Q5" s="430"/>
      <c r="R5" s="430"/>
      <c r="S5" s="396"/>
      <c r="T5" s="397"/>
      <c r="U5" s="294"/>
      <c r="V5" s="38"/>
    </row>
    <row r="6" spans="1:22" s="56" customFormat="1" x14ac:dyDescent="0.35">
      <c r="B6" s="57"/>
      <c r="D6" s="276" t="s">
        <v>13</v>
      </c>
      <c r="E6" s="277">
        <f>'Renew &amp; Vac'!AJ119</f>
        <v>1</v>
      </c>
      <c r="F6" s="277">
        <f>'Renew &amp; Vac'!AK119</f>
        <v>1</v>
      </c>
      <c r="G6" s="277">
        <f>'Renew &amp; Vac'!AL119</f>
        <v>1</v>
      </c>
      <c r="H6" s="277">
        <f>'Renew &amp; Vac'!AM119</f>
        <v>1</v>
      </c>
      <c r="I6" s="277">
        <f>'Renew &amp; Vac'!AN119</f>
        <v>1</v>
      </c>
      <c r="J6" s="277">
        <f>'Renew &amp; Vac'!AO119</f>
        <v>1</v>
      </c>
      <c r="K6" s="277">
        <f>'Renew &amp; Vac'!AP119</f>
        <v>1</v>
      </c>
      <c r="L6" s="277">
        <f>'Renew &amp; Vac'!AQ119</f>
        <v>1</v>
      </c>
      <c r="M6" s="277">
        <f>'Renew &amp; Vac'!AR119</f>
        <v>1</v>
      </c>
      <c r="N6" s="277">
        <f>'Renew &amp; Vac'!AS119</f>
        <v>1</v>
      </c>
      <c r="O6" s="277">
        <f>'Renew &amp; Vac'!AT119</f>
        <v>1</v>
      </c>
      <c r="P6" s="277">
        <f>'Renew &amp; Vac'!AU119</f>
        <v>1</v>
      </c>
      <c r="Q6" s="431"/>
      <c r="R6" s="431"/>
      <c r="S6" s="398"/>
      <c r="T6" s="399"/>
      <c r="U6" s="298"/>
      <c r="V6" s="299"/>
    </row>
    <row r="7" spans="1:22" s="56" customFormat="1" x14ac:dyDescent="0.35">
      <c r="B7" s="57"/>
      <c r="D7" s="276" t="s">
        <v>447</v>
      </c>
      <c r="E7" s="278">
        <f>$B$4*E6</f>
        <v>12978</v>
      </c>
      <c r="F7" s="278">
        <f t="shared" ref="F7:P7" si="0">$B$4*F6</f>
        <v>12978</v>
      </c>
      <c r="G7" s="278">
        <f t="shared" si="0"/>
        <v>12978</v>
      </c>
      <c r="H7" s="278">
        <f t="shared" si="0"/>
        <v>12978</v>
      </c>
      <c r="I7" s="278">
        <f t="shared" si="0"/>
        <v>12978</v>
      </c>
      <c r="J7" s="278">
        <f t="shared" si="0"/>
        <v>12978</v>
      </c>
      <c r="K7" s="278">
        <f t="shared" si="0"/>
        <v>12978</v>
      </c>
      <c r="L7" s="278">
        <f t="shared" si="0"/>
        <v>12978</v>
      </c>
      <c r="M7" s="278">
        <f t="shared" si="0"/>
        <v>12978</v>
      </c>
      <c r="N7" s="278">
        <f t="shared" si="0"/>
        <v>12978</v>
      </c>
      <c r="O7" s="278">
        <f t="shared" si="0"/>
        <v>12978</v>
      </c>
      <c r="P7" s="278">
        <f t="shared" si="0"/>
        <v>12978</v>
      </c>
      <c r="Q7" s="431"/>
      <c r="R7" s="431"/>
      <c r="S7" s="398"/>
      <c r="T7" s="399"/>
      <c r="U7" s="298"/>
      <c r="V7" s="299"/>
    </row>
    <row r="8" spans="1:22" ht="18" x14ac:dyDescent="0.35">
      <c r="B8" s="35" t="s">
        <v>14</v>
      </c>
      <c r="Q8" s="430"/>
      <c r="R8" s="430"/>
      <c r="S8" s="396"/>
      <c r="T8" s="397"/>
      <c r="U8" s="294"/>
      <c r="V8" s="38"/>
    </row>
    <row r="9" spans="1:22" x14ac:dyDescent="0.35">
      <c r="A9" s="110"/>
      <c r="Q9" s="430"/>
      <c r="R9" s="430"/>
      <c r="S9" s="396"/>
      <c r="T9" s="397"/>
      <c r="U9" s="294"/>
      <c r="V9" s="38"/>
    </row>
    <row r="10" spans="1:22" x14ac:dyDescent="0.35">
      <c r="A10" s="110" t="s">
        <v>136</v>
      </c>
      <c r="C10" s="34" t="s">
        <v>163</v>
      </c>
      <c r="E10" s="34">
        <f>SUMIFS('In Place Revenue'!$G:$G,'In Place Revenue'!$A:$A,"40B0",'In Place Revenue'!$H:$H,1)</f>
        <v>10512.77</v>
      </c>
      <c r="F10" s="34">
        <f>SUMIFS('In Place Revenue'!$G:$G,'In Place Revenue'!$A:$A,"40B0",'In Place Revenue'!$H:$H,2)</f>
        <v>10512.77</v>
      </c>
      <c r="G10" s="34">
        <f>SUMIFS('In Place Revenue'!$G:$G,'In Place Revenue'!$A:$A,"40B0",'In Place Revenue'!$H:$H,3)</f>
        <v>10512.77</v>
      </c>
      <c r="H10" s="34">
        <f>SUMIFS('In Place Revenue'!$G:$G,'In Place Revenue'!$A:$A,"40B0",'In Place Revenue'!$H:$H,4)</f>
        <v>10512.77</v>
      </c>
      <c r="I10" s="34">
        <f>SUMIFS('In Place Revenue'!$G:$G,'In Place Revenue'!$A:$A,"40B0",'In Place Revenue'!$H:$H,5)</f>
        <v>10512.77</v>
      </c>
      <c r="J10" s="34">
        <f>SUMIFS('In Place Revenue'!$G:$G,'In Place Revenue'!$A:$A,"40B0",'In Place Revenue'!$H:$H,6)</f>
        <v>10512.77</v>
      </c>
      <c r="K10" s="34">
        <f>SUMIFS('In Place Revenue'!$G:$G,'In Place Revenue'!$A:$A,"40B0",'In Place Revenue'!$H:$H,7)</f>
        <v>10512.77</v>
      </c>
      <c r="L10" s="34">
        <f>SUMIFS('In Place Revenue'!$G:$G,'In Place Revenue'!$A:$A,"40B0",'In Place Revenue'!$H:$H,8)</f>
        <v>10512.77</v>
      </c>
      <c r="M10" s="34">
        <f>SUMIFS('In Place Revenue'!$G:$G,'In Place Revenue'!$A:$A,"40B0",'In Place Revenue'!$H:$H,9)</f>
        <v>10512.77</v>
      </c>
      <c r="N10" s="34">
        <f>SUMIFS('In Place Revenue'!$G:$G,'In Place Revenue'!$A:$A,"40B0",'In Place Revenue'!$H:$H,10)</f>
        <v>10512.77</v>
      </c>
      <c r="O10" s="34">
        <f>SUMIFS('In Place Revenue'!$G:$G,'In Place Revenue'!$A:$A,"40B0",'In Place Revenue'!$H:$H,11)</f>
        <v>10512.77</v>
      </c>
      <c r="P10" s="34">
        <f>SUMIFS('In Place Revenue'!$G:$G,'In Place Revenue'!$A:$A,"40B0",'In Place Revenue'!$H:$H,12)</f>
        <v>10512.77</v>
      </c>
      <c r="Q10" s="430">
        <f>SUM(E10:P10)</f>
        <v>126153.24000000003</v>
      </c>
      <c r="R10" s="432">
        <f>Q10/$B$4</f>
        <v>9.720545538603794</v>
      </c>
      <c r="S10" s="396">
        <v>161014.95000000001</v>
      </c>
      <c r="T10" s="460">
        <f>IFERROR(Q10/S10-1,"-")</f>
        <v>-0.21651225553900411</v>
      </c>
      <c r="U10" s="300"/>
      <c r="V10" s="38"/>
    </row>
    <row r="11" spans="1:22" x14ac:dyDescent="0.35">
      <c r="A11" s="110" t="s">
        <v>136</v>
      </c>
      <c r="C11" s="34" t="s">
        <v>164</v>
      </c>
      <c r="E11" s="34">
        <f>'Renew &amp; Vac'!AJ120</f>
        <v>5473.583333333333</v>
      </c>
      <c r="F11" s="34">
        <f>'Renew &amp; Vac'!AK120</f>
        <v>5473.583333333333</v>
      </c>
      <c r="G11" s="34">
        <f>'Renew &amp; Vac'!AL120</f>
        <v>5473.583333333333</v>
      </c>
      <c r="H11" s="34">
        <f>'Renew &amp; Vac'!AM120</f>
        <v>5473.583333333333</v>
      </c>
      <c r="I11" s="34">
        <f>'Renew &amp; Vac'!AN120</f>
        <v>5473.583333333333</v>
      </c>
      <c r="J11" s="34">
        <f>'Renew &amp; Vac'!AO120</f>
        <v>5473.583333333333</v>
      </c>
      <c r="K11" s="34">
        <f>'Renew &amp; Vac'!AP120</f>
        <v>5473.583333333333</v>
      </c>
      <c r="L11" s="34">
        <f>'Renew &amp; Vac'!AQ120</f>
        <v>5473.583333333333</v>
      </c>
      <c r="M11" s="34">
        <f>'Renew &amp; Vac'!AR120</f>
        <v>5473.583333333333</v>
      </c>
      <c r="N11" s="34">
        <f>'Renew &amp; Vac'!AS120</f>
        <v>5473.583333333333</v>
      </c>
      <c r="O11" s="34">
        <f>'Renew &amp; Vac'!AT120</f>
        <v>5473.583333333333</v>
      </c>
      <c r="P11" s="34">
        <f>'Renew &amp; Vac'!AU120</f>
        <v>5473.583333333333</v>
      </c>
      <c r="Q11" s="430">
        <f>SUM(E11:P11)</f>
        <v>65683.000000000015</v>
      </c>
      <c r="R11" s="432">
        <f t="shared" ref="R11:R71" si="1">Q11/$B$4</f>
        <v>5.0611034057636006</v>
      </c>
      <c r="S11" s="396"/>
      <c r="T11" s="460" t="str">
        <f>IFERROR(Q11/S11-1,"-")</f>
        <v>-</v>
      </c>
      <c r="U11" s="300"/>
      <c r="V11" s="38"/>
    </row>
    <row r="12" spans="1:22" hidden="1" x14ac:dyDescent="0.35">
      <c r="A12" s="110" t="s">
        <v>101</v>
      </c>
      <c r="C12" s="34" t="s">
        <v>16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30">
        <f>SUM(E12:P12)</f>
        <v>0</v>
      </c>
      <c r="R12" s="432">
        <f t="shared" si="1"/>
        <v>0</v>
      </c>
      <c r="S12" s="396"/>
      <c r="T12" s="399" t="e">
        <f>R12/S12-1</f>
        <v>#DIV/0!</v>
      </c>
      <c r="U12" s="300"/>
      <c r="V12" s="38"/>
    </row>
    <row r="13" spans="1:22" x14ac:dyDescent="0.35">
      <c r="A13" s="110" t="s">
        <v>137</v>
      </c>
      <c r="C13" s="34" t="s">
        <v>17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30">
        <f>SUM(E13:P13)</f>
        <v>0</v>
      </c>
      <c r="R13" s="432">
        <f t="shared" si="1"/>
        <v>0</v>
      </c>
      <c r="S13" s="396"/>
      <c r="T13" s="460" t="str">
        <f>IFERROR(Q13/S13-1,"-")</f>
        <v>-</v>
      </c>
      <c r="U13" s="300"/>
      <c r="V13" s="38"/>
    </row>
    <row r="14" spans="1:22" x14ac:dyDescent="0.35">
      <c r="A14" s="110" t="s">
        <v>138</v>
      </c>
      <c r="C14" s="34" t="s">
        <v>18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30">
        <f>SUM(E14:P14)</f>
        <v>0</v>
      </c>
      <c r="R14" s="432">
        <f t="shared" si="1"/>
        <v>0</v>
      </c>
      <c r="S14" s="396"/>
      <c r="T14" s="460" t="str">
        <f>IFERROR(Q14/S14-1,"-")</f>
        <v>-</v>
      </c>
      <c r="U14" s="300"/>
      <c r="V14" s="38"/>
    </row>
    <row r="15" spans="1:22" x14ac:dyDescent="0.35">
      <c r="A15" s="110"/>
      <c r="C15" s="34" t="s">
        <v>19</v>
      </c>
      <c r="D15" s="44"/>
      <c r="E15" s="59">
        <f t="shared" ref="E15:Q15" si="2">SUM(E10:E14)</f>
        <v>15986.353333333333</v>
      </c>
      <c r="F15" s="59">
        <f t="shared" si="2"/>
        <v>15986.353333333333</v>
      </c>
      <c r="G15" s="59">
        <f t="shared" si="2"/>
        <v>15986.353333333333</v>
      </c>
      <c r="H15" s="59">
        <f t="shared" si="2"/>
        <v>15986.353333333333</v>
      </c>
      <c r="I15" s="59">
        <f t="shared" si="2"/>
        <v>15986.353333333333</v>
      </c>
      <c r="J15" s="59">
        <f t="shared" si="2"/>
        <v>15986.353333333333</v>
      </c>
      <c r="K15" s="59">
        <f t="shared" si="2"/>
        <v>15986.353333333333</v>
      </c>
      <c r="L15" s="59">
        <f t="shared" si="2"/>
        <v>15986.353333333333</v>
      </c>
      <c r="M15" s="59">
        <f t="shared" si="2"/>
        <v>15986.353333333333</v>
      </c>
      <c r="N15" s="59">
        <f t="shared" si="2"/>
        <v>15986.353333333333</v>
      </c>
      <c r="O15" s="59">
        <f t="shared" si="2"/>
        <v>15986.353333333333</v>
      </c>
      <c r="P15" s="59">
        <f t="shared" si="2"/>
        <v>15986.353333333333</v>
      </c>
      <c r="Q15" s="433">
        <f t="shared" si="2"/>
        <v>191836.24000000005</v>
      </c>
      <c r="R15" s="434">
        <f t="shared" si="1"/>
        <v>14.781648944367396</v>
      </c>
      <c r="S15" s="400">
        <f>SUM(S10:S14)</f>
        <v>161014.95000000001</v>
      </c>
      <c r="T15" s="461">
        <f>IFERROR(Q15/S15-1,"-")</f>
        <v>0.19141880924721599</v>
      </c>
      <c r="U15" s="300"/>
      <c r="V15" s="38"/>
    </row>
    <row r="16" spans="1:22" ht="18" x14ac:dyDescent="0.35">
      <c r="A16" s="110"/>
      <c r="Q16" s="435"/>
      <c r="R16" s="436"/>
      <c r="S16" s="402"/>
      <c r="T16" s="403"/>
      <c r="U16" s="301"/>
      <c r="V16" s="38"/>
    </row>
    <row r="17" spans="1:22" ht="18" x14ac:dyDescent="0.35">
      <c r="A17" s="110"/>
      <c r="B17" s="35" t="s">
        <v>20</v>
      </c>
      <c r="Q17" s="430"/>
      <c r="R17" s="432"/>
      <c r="S17" s="396"/>
      <c r="T17" s="399"/>
      <c r="U17" s="300"/>
      <c r="V17" s="38"/>
    </row>
    <row r="18" spans="1:22" x14ac:dyDescent="0.35">
      <c r="A18" s="110" t="s">
        <v>102</v>
      </c>
      <c r="C18" s="34" t="s">
        <v>21</v>
      </c>
      <c r="E18" s="34">
        <f>E6*E29</f>
        <v>0</v>
      </c>
      <c r="F18" s="34">
        <f t="shared" ref="F18:P18" si="3">F6*F29</f>
        <v>0</v>
      </c>
      <c r="G18" s="34">
        <f t="shared" si="3"/>
        <v>0</v>
      </c>
      <c r="H18" s="34">
        <f t="shared" si="3"/>
        <v>0</v>
      </c>
      <c r="I18" s="34">
        <f t="shared" si="3"/>
        <v>0</v>
      </c>
      <c r="J18" s="34">
        <f t="shared" si="3"/>
        <v>0</v>
      </c>
      <c r="K18" s="34">
        <f t="shared" si="3"/>
        <v>0</v>
      </c>
      <c r="L18" s="34">
        <f t="shared" si="3"/>
        <v>0</v>
      </c>
      <c r="M18" s="34">
        <f t="shared" si="3"/>
        <v>0</v>
      </c>
      <c r="N18" s="34">
        <f t="shared" si="3"/>
        <v>0</v>
      </c>
      <c r="O18" s="34">
        <f t="shared" si="3"/>
        <v>0</v>
      </c>
      <c r="P18" s="34">
        <f t="shared" si="3"/>
        <v>0</v>
      </c>
      <c r="Q18" s="430">
        <f>SUM(E18:P18)</f>
        <v>0</v>
      </c>
      <c r="R18" s="432">
        <f t="shared" ref="R18" si="4">Q18/$B$4</f>
        <v>0</v>
      </c>
      <c r="S18" s="396">
        <v>2136</v>
      </c>
      <c r="T18" s="460">
        <f>IFERROR(Q18/S18-1,"-")</f>
        <v>-1</v>
      </c>
      <c r="U18" s="300" t="s">
        <v>371</v>
      </c>
      <c r="V18" s="316" t="e">
        <f>Q18/Q29*100&amp;"% Set to occupancy"</f>
        <v>#DIV/0!</v>
      </c>
    </row>
    <row r="19" spans="1:22" x14ac:dyDescent="0.35">
      <c r="A19" s="110" t="s">
        <v>103</v>
      </c>
      <c r="C19" s="34" t="s">
        <v>22</v>
      </c>
      <c r="E19" s="34">
        <f>+'Tenant Recoveries'!K21</f>
        <v>4200</v>
      </c>
      <c r="F19" s="34">
        <f>+E19</f>
        <v>4200</v>
      </c>
      <c r="G19" s="34">
        <f t="shared" ref="G19:P20" si="5">+F19</f>
        <v>4200</v>
      </c>
      <c r="H19" s="34">
        <f t="shared" si="5"/>
        <v>4200</v>
      </c>
      <c r="I19" s="34">
        <f t="shared" si="5"/>
        <v>4200</v>
      </c>
      <c r="J19" s="34">
        <f t="shared" si="5"/>
        <v>4200</v>
      </c>
      <c r="K19" s="34">
        <f t="shared" si="5"/>
        <v>4200</v>
      </c>
      <c r="L19" s="34">
        <f t="shared" si="5"/>
        <v>4200</v>
      </c>
      <c r="M19" s="34">
        <f t="shared" si="5"/>
        <v>4200</v>
      </c>
      <c r="N19" s="34">
        <f t="shared" si="5"/>
        <v>4200</v>
      </c>
      <c r="O19" s="34">
        <f t="shared" si="5"/>
        <v>4200</v>
      </c>
      <c r="P19" s="34">
        <f t="shared" si="5"/>
        <v>4200</v>
      </c>
      <c r="Q19" s="430">
        <f>SUM(E19:P19)</f>
        <v>50400</v>
      </c>
      <c r="R19" s="432">
        <f t="shared" si="1"/>
        <v>3.883495145631068</v>
      </c>
      <c r="S19" s="396">
        <v>48000</v>
      </c>
      <c r="T19" s="460">
        <f>IFERROR(Q19/S19-1,"-")</f>
        <v>5.0000000000000044E-2</v>
      </c>
      <c r="U19" s="300"/>
      <c r="V19" s="316">
        <f>Q19/(Q71-Q63-Q58-Q29)</f>
        <v>0.63237320497718952</v>
      </c>
    </row>
    <row r="20" spans="1:22" x14ac:dyDescent="0.35">
      <c r="A20" s="110" t="s">
        <v>104</v>
      </c>
      <c r="C20" s="34" t="s">
        <v>23</v>
      </c>
      <c r="E20" s="34">
        <f>+'Tenant Recoveries'!K22</f>
        <v>1200</v>
      </c>
      <c r="F20" s="34">
        <f>+E20</f>
        <v>1200</v>
      </c>
      <c r="G20" s="34">
        <f t="shared" si="5"/>
        <v>1200</v>
      </c>
      <c r="H20" s="34">
        <f t="shared" si="5"/>
        <v>1200</v>
      </c>
      <c r="I20" s="34">
        <f t="shared" si="5"/>
        <v>1200</v>
      </c>
      <c r="J20" s="34">
        <f t="shared" si="5"/>
        <v>1200</v>
      </c>
      <c r="K20" s="34">
        <f t="shared" si="5"/>
        <v>1200</v>
      </c>
      <c r="L20" s="34">
        <f t="shared" si="5"/>
        <v>1200</v>
      </c>
      <c r="M20" s="34">
        <f t="shared" si="5"/>
        <v>1200</v>
      </c>
      <c r="N20" s="34">
        <f t="shared" si="5"/>
        <v>1200</v>
      </c>
      <c r="O20" s="34">
        <f t="shared" si="5"/>
        <v>1200</v>
      </c>
      <c r="P20" s="34">
        <f t="shared" si="5"/>
        <v>1200</v>
      </c>
      <c r="Q20" s="430">
        <f>SUM(E20:P20)</f>
        <v>14400</v>
      </c>
      <c r="R20" s="432">
        <f t="shared" si="1"/>
        <v>1.1095700416088765</v>
      </c>
      <c r="S20" s="396">
        <v>18000</v>
      </c>
      <c r="T20" s="460">
        <f>IFERROR(Q20/S20-1,"-")</f>
        <v>-0.19999999999999996</v>
      </c>
      <c r="U20" s="300"/>
      <c r="V20" s="316">
        <f>Q20/Q58</f>
        <v>0.83993207885246279</v>
      </c>
    </row>
    <row r="21" spans="1:22" x14ac:dyDescent="0.35">
      <c r="A21" s="110" t="s">
        <v>139</v>
      </c>
      <c r="C21" s="34" t="s">
        <v>24</v>
      </c>
      <c r="Q21" s="430">
        <f>SUM(E21:P21)</f>
        <v>0</v>
      </c>
      <c r="R21" s="432">
        <f t="shared" si="1"/>
        <v>0</v>
      </c>
      <c r="S21" s="396"/>
      <c r="T21" s="464" t="str">
        <f>IFERROR(Q21/S21-1,"-")</f>
        <v>-</v>
      </c>
      <c r="U21" s="300"/>
      <c r="V21" s="38"/>
    </row>
    <row r="22" spans="1:22" x14ac:dyDescent="0.35">
      <c r="A22" s="110"/>
      <c r="C22" s="34" t="s">
        <v>25</v>
      </c>
      <c r="D22" s="44"/>
      <c r="E22" s="59">
        <f t="shared" ref="E22:Q22" si="6">SUM(E19:E21)</f>
        <v>5400</v>
      </c>
      <c r="F22" s="59">
        <f t="shared" si="6"/>
        <v>5400</v>
      </c>
      <c r="G22" s="59">
        <f t="shared" si="6"/>
        <v>5400</v>
      </c>
      <c r="H22" s="59">
        <f t="shared" si="6"/>
        <v>5400</v>
      </c>
      <c r="I22" s="59">
        <f t="shared" si="6"/>
        <v>5400</v>
      </c>
      <c r="J22" s="59">
        <f t="shared" si="6"/>
        <v>5400</v>
      </c>
      <c r="K22" s="59">
        <f t="shared" si="6"/>
        <v>5400</v>
      </c>
      <c r="L22" s="59">
        <f t="shared" si="6"/>
        <v>5400</v>
      </c>
      <c r="M22" s="59">
        <f t="shared" si="6"/>
        <v>5400</v>
      </c>
      <c r="N22" s="59">
        <f t="shared" si="6"/>
        <v>5400</v>
      </c>
      <c r="O22" s="59">
        <f t="shared" si="6"/>
        <v>5400</v>
      </c>
      <c r="P22" s="59">
        <f t="shared" si="6"/>
        <v>5400</v>
      </c>
      <c r="Q22" s="433">
        <f t="shared" si="6"/>
        <v>64800</v>
      </c>
      <c r="R22" s="434">
        <f t="shared" si="1"/>
        <v>4.9930651872399441</v>
      </c>
      <c r="S22" s="400">
        <f>SUM(S18:S21)</f>
        <v>68136</v>
      </c>
      <c r="T22" s="461">
        <f>IFERROR(Q22/S22-1,"-")</f>
        <v>-4.8960901725959793E-2</v>
      </c>
      <c r="U22" s="300"/>
      <c r="V22" s="38"/>
    </row>
    <row r="23" spans="1:22" ht="16.5" thickBot="1" x14ac:dyDescent="0.4">
      <c r="A23" s="110"/>
      <c r="Q23" s="430"/>
      <c r="R23" s="432">
        <f t="shared" si="1"/>
        <v>0</v>
      </c>
      <c r="S23" s="396"/>
      <c r="T23" s="399"/>
      <c r="U23" s="300"/>
      <c r="V23" s="38"/>
    </row>
    <row r="24" spans="1:22" s="37" customFormat="1" ht="18" thickBot="1" x14ac:dyDescent="0.4">
      <c r="A24" s="285"/>
      <c r="B24" s="286" t="s">
        <v>26</v>
      </c>
      <c r="C24" s="287"/>
      <c r="D24" s="287"/>
      <c r="E24" s="287">
        <f t="shared" ref="E24:Q24" si="7">+E15+E22</f>
        <v>21386.353333333333</v>
      </c>
      <c r="F24" s="287">
        <f t="shared" si="7"/>
        <v>21386.353333333333</v>
      </c>
      <c r="G24" s="287">
        <f t="shared" si="7"/>
        <v>21386.353333333333</v>
      </c>
      <c r="H24" s="287">
        <f t="shared" si="7"/>
        <v>21386.353333333333</v>
      </c>
      <c r="I24" s="287">
        <f t="shared" si="7"/>
        <v>21386.353333333333</v>
      </c>
      <c r="J24" s="287">
        <f t="shared" si="7"/>
        <v>21386.353333333333</v>
      </c>
      <c r="K24" s="287">
        <f t="shared" si="7"/>
        <v>21386.353333333333</v>
      </c>
      <c r="L24" s="287">
        <f t="shared" si="7"/>
        <v>21386.353333333333</v>
      </c>
      <c r="M24" s="287">
        <f t="shared" si="7"/>
        <v>21386.353333333333</v>
      </c>
      <c r="N24" s="287">
        <f t="shared" si="7"/>
        <v>21386.353333333333</v>
      </c>
      <c r="O24" s="287">
        <f t="shared" si="7"/>
        <v>21386.353333333333</v>
      </c>
      <c r="P24" s="287">
        <f t="shared" si="7"/>
        <v>21386.353333333333</v>
      </c>
      <c r="Q24" s="426">
        <f t="shared" si="7"/>
        <v>256636.24000000005</v>
      </c>
      <c r="R24" s="428">
        <f t="shared" si="1"/>
        <v>19.77471413160734</v>
      </c>
      <c r="S24" s="427">
        <f>+S15+S22</f>
        <v>229150.95</v>
      </c>
      <c r="T24" s="405">
        <f>IFERROR(Q24/S24-1,"-")</f>
        <v>0.11994403688922106</v>
      </c>
      <c r="U24" s="302"/>
      <c r="V24" s="303"/>
    </row>
    <row r="25" spans="1:22" ht="18" x14ac:dyDescent="0.35">
      <c r="A25" s="110"/>
      <c r="Q25" s="435"/>
      <c r="R25" s="436"/>
      <c r="S25" s="402"/>
      <c r="T25" s="403"/>
      <c r="U25" s="301"/>
      <c r="V25" s="38"/>
    </row>
    <row r="26" spans="1:22" ht="18" x14ac:dyDescent="0.35">
      <c r="A26" s="110"/>
      <c r="B26" s="35" t="s">
        <v>27</v>
      </c>
      <c r="Q26" s="430"/>
      <c r="R26" s="432"/>
      <c r="S26" s="396"/>
      <c r="T26" s="399"/>
      <c r="U26" s="300"/>
      <c r="V26" s="38"/>
    </row>
    <row r="27" spans="1:22" x14ac:dyDescent="0.35">
      <c r="A27" s="110" t="s">
        <v>105</v>
      </c>
      <c r="C27" s="34" t="s">
        <v>28</v>
      </c>
      <c r="E27" s="34">
        <f>'Allocated Expenses'!F11</f>
        <v>265.5141499817525</v>
      </c>
      <c r="F27" s="34">
        <f>'Allocated Expenses'!G11</f>
        <v>265.5141499817525</v>
      </c>
      <c r="G27" s="34">
        <f>'Allocated Expenses'!H11</f>
        <v>265.5141499817525</v>
      </c>
      <c r="H27" s="34">
        <f>'Allocated Expenses'!I11</f>
        <v>265.5141499817525</v>
      </c>
      <c r="I27" s="34">
        <f>'Allocated Expenses'!J11</f>
        <v>265.5141499817525</v>
      </c>
      <c r="J27" s="34">
        <f>'Allocated Expenses'!K11</f>
        <v>265.5141499817525</v>
      </c>
      <c r="K27" s="34">
        <f>'Allocated Expenses'!L11</f>
        <v>265.5141499817525</v>
      </c>
      <c r="L27" s="34">
        <f>'Allocated Expenses'!M11</f>
        <v>265.5141499817525</v>
      </c>
      <c r="M27" s="34">
        <f>'Allocated Expenses'!N11</f>
        <v>265.5141499817525</v>
      </c>
      <c r="N27" s="34">
        <f>'Allocated Expenses'!O11</f>
        <v>265.5141499817525</v>
      </c>
      <c r="O27" s="34">
        <f>'Allocated Expenses'!P11</f>
        <v>265.5141499817525</v>
      </c>
      <c r="P27" s="34">
        <f>'Allocated Expenses'!Q11</f>
        <v>265.5141499817525</v>
      </c>
      <c r="Q27" s="430">
        <f>SUM(E27:P27)</f>
        <v>3186.1697997810293</v>
      </c>
      <c r="R27" s="432">
        <f t="shared" si="1"/>
        <v>0.24550545536916546</v>
      </c>
      <c r="S27" s="396">
        <v>2232</v>
      </c>
      <c r="T27" s="460">
        <f>IFERROR(Q27/S27-1,"-")</f>
        <v>0.42749543000942181</v>
      </c>
      <c r="U27" s="300"/>
      <c r="V27" s="38"/>
    </row>
    <row r="28" spans="1:22" x14ac:dyDescent="0.35">
      <c r="A28" s="110"/>
      <c r="Q28" s="430"/>
      <c r="R28" s="432"/>
      <c r="S28" s="396"/>
      <c r="T28" s="399"/>
      <c r="U28" s="300"/>
      <c r="V28" s="38"/>
    </row>
    <row r="29" spans="1:22" x14ac:dyDescent="0.35">
      <c r="A29" s="110" t="s">
        <v>106</v>
      </c>
      <c r="C29" s="34" t="s">
        <v>21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30">
        <f>SUM(E29:P29)</f>
        <v>0</v>
      </c>
      <c r="R29" s="432">
        <f t="shared" si="1"/>
        <v>0</v>
      </c>
      <c r="S29" s="396">
        <v>0</v>
      </c>
      <c r="T29" s="460" t="str">
        <f>IFERROR(Q29/S29-1,"-")</f>
        <v>-</v>
      </c>
      <c r="U29" s="300"/>
      <c r="V29" s="38" t="s">
        <v>466</v>
      </c>
    </row>
    <row r="30" spans="1:22" x14ac:dyDescent="0.35">
      <c r="A30" s="110"/>
      <c r="Q30" s="430"/>
      <c r="R30" s="432"/>
      <c r="S30" s="396"/>
      <c r="T30" s="399"/>
      <c r="U30" s="300"/>
      <c r="V30" s="38"/>
    </row>
    <row r="31" spans="1:22" x14ac:dyDescent="0.35">
      <c r="A31" s="110" t="s">
        <v>107</v>
      </c>
      <c r="C31" s="34" t="s">
        <v>29</v>
      </c>
      <c r="E31" s="34">
        <f>'Water Sewer'!D37</f>
        <v>369.77</v>
      </c>
      <c r="F31" s="34">
        <f>'Water Sewer'!E37</f>
        <v>457.32000000000005</v>
      </c>
      <c r="G31" s="34">
        <f>'Water Sewer'!F37</f>
        <v>767.34999999999991</v>
      </c>
      <c r="H31" s="34">
        <f>'Water Sewer'!G37</f>
        <v>804.43000000000006</v>
      </c>
      <c r="I31" s="34">
        <f>'Water Sewer'!H37</f>
        <v>990.8599999999999</v>
      </c>
      <c r="J31" s="34">
        <f>'Water Sewer'!I37</f>
        <v>872.41</v>
      </c>
      <c r="K31" s="34">
        <f>'Water Sewer'!J37</f>
        <v>1443.03</v>
      </c>
      <c r="L31" s="34">
        <f>'Water Sewer'!K37</f>
        <v>1894.17</v>
      </c>
      <c r="M31" s="34">
        <f>'Water Sewer'!L37</f>
        <v>771.47</v>
      </c>
      <c r="N31" s="34">
        <f>'Water Sewer'!M37</f>
        <v>481.01000000000005</v>
      </c>
      <c r="O31" s="34">
        <f>'Water Sewer'!N37</f>
        <v>316.21000000000004</v>
      </c>
      <c r="P31" s="34">
        <f>'Water Sewer'!O37</f>
        <v>483.07000000000005</v>
      </c>
      <c r="Q31" s="430">
        <f>SUM(E31:P31)</f>
        <v>9651.0999999999985</v>
      </c>
      <c r="R31" s="432">
        <f t="shared" si="1"/>
        <v>0.74365079365079356</v>
      </c>
      <c r="S31" s="396">
        <v>5569.11</v>
      </c>
      <c r="T31" s="460">
        <f>IFERROR(Q31/S31-1,"-")</f>
        <v>0.73296990003788731</v>
      </c>
      <c r="U31" s="300" t="s">
        <v>371</v>
      </c>
      <c r="V31" s="38" t="s">
        <v>450</v>
      </c>
    </row>
    <row r="32" spans="1:22" x14ac:dyDescent="0.35">
      <c r="A32" s="110"/>
      <c r="Q32" s="430"/>
      <c r="R32" s="432"/>
      <c r="S32" s="396"/>
      <c r="T32" s="399"/>
      <c r="U32" s="300"/>
      <c r="V32" s="38"/>
    </row>
    <row r="33" spans="1:22" x14ac:dyDescent="0.35">
      <c r="A33" s="110"/>
      <c r="D33" s="88" t="s">
        <v>30</v>
      </c>
      <c r="E33" s="77">
        <f>'Building Maint'!C22</f>
        <v>0</v>
      </c>
      <c r="F33" s="77">
        <f>'Building Maint'!D22</f>
        <v>450</v>
      </c>
      <c r="G33" s="77">
        <f>'Building Maint'!E22</f>
        <v>0</v>
      </c>
      <c r="H33" s="77">
        <f>'Building Maint'!F22</f>
        <v>175</v>
      </c>
      <c r="I33" s="77">
        <f>'Building Maint'!G22</f>
        <v>450</v>
      </c>
      <c r="J33" s="77">
        <f>'Building Maint'!H22</f>
        <v>0</v>
      </c>
      <c r="K33" s="77">
        <f>'Building Maint'!I22</f>
        <v>0</v>
      </c>
      <c r="L33" s="77">
        <f>'Building Maint'!J22</f>
        <v>450</v>
      </c>
      <c r="M33" s="77">
        <f>'Building Maint'!K22</f>
        <v>0</v>
      </c>
      <c r="N33" s="77">
        <f>'Building Maint'!L22</f>
        <v>175</v>
      </c>
      <c r="O33" s="77">
        <f>'Building Maint'!M22</f>
        <v>450</v>
      </c>
      <c r="P33" s="77">
        <f>'Building Maint'!N22</f>
        <v>0</v>
      </c>
      <c r="Q33" s="437">
        <f>SUM(E33:P33)</f>
        <v>2150</v>
      </c>
      <c r="R33" s="438">
        <f t="shared" si="1"/>
        <v>0.1656649714902142</v>
      </c>
      <c r="S33" s="396"/>
      <c r="T33" s="399"/>
      <c r="U33" s="300" t="s">
        <v>371</v>
      </c>
      <c r="V33" s="38" t="s">
        <v>450</v>
      </c>
    </row>
    <row r="34" spans="1:22" x14ac:dyDescent="0.35">
      <c r="A34" s="110"/>
      <c r="D34" s="89" t="s">
        <v>31</v>
      </c>
      <c r="E34" s="34">
        <f>'Building Maint'!C11</f>
        <v>600</v>
      </c>
      <c r="F34" s="34">
        <f>'Building Maint'!D11</f>
        <v>400</v>
      </c>
      <c r="G34" s="34">
        <f>'Building Maint'!E11</f>
        <v>400</v>
      </c>
      <c r="H34" s="34">
        <f>'Building Maint'!F11</f>
        <v>400</v>
      </c>
      <c r="I34" s="34">
        <f>'Building Maint'!G11</f>
        <v>875</v>
      </c>
      <c r="J34" s="34">
        <f>'Building Maint'!H11</f>
        <v>625</v>
      </c>
      <c r="K34" s="34">
        <f>'Building Maint'!I11</f>
        <v>675</v>
      </c>
      <c r="L34" s="34">
        <f>'Building Maint'!J11</f>
        <v>400</v>
      </c>
      <c r="M34" s="34">
        <f>'Building Maint'!K11</f>
        <v>400</v>
      </c>
      <c r="N34" s="34">
        <f>'Building Maint'!L11</f>
        <v>400</v>
      </c>
      <c r="O34" s="34">
        <f>'Building Maint'!M11</f>
        <v>875</v>
      </c>
      <c r="P34" s="34">
        <f>'Building Maint'!N11</f>
        <v>875</v>
      </c>
      <c r="Q34" s="439">
        <f>SUM(E34:P34)</f>
        <v>6925</v>
      </c>
      <c r="R34" s="440">
        <f t="shared" si="1"/>
        <v>0.53359531514871317</v>
      </c>
      <c r="S34" s="396"/>
      <c r="T34" s="399"/>
      <c r="U34" s="300" t="s">
        <v>371</v>
      </c>
      <c r="V34" s="38" t="s">
        <v>450</v>
      </c>
    </row>
    <row r="35" spans="1:22" x14ac:dyDescent="0.35">
      <c r="A35" s="110"/>
      <c r="D35" s="90" t="s">
        <v>32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41">
        <f>SUM(E35:P35)</f>
        <v>0</v>
      </c>
      <c r="R35" s="442">
        <f t="shared" si="1"/>
        <v>0</v>
      </c>
      <c r="S35" s="396"/>
      <c r="T35" s="399"/>
      <c r="U35" s="300"/>
      <c r="V35" s="38"/>
    </row>
    <row r="36" spans="1:22" x14ac:dyDescent="0.35">
      <c r="A36" s="110" t="s">
        <v>108</v>
      </c>
      <c r="C36" s="34" t="s">
        <v>33</v>
      </c>
      <c r="E36" s="43">
        <f t="shared" ref="E36:P36" si="8">SUM(E33:E35)</f>
        <v>600</v>
      </c>
      <c r="F36" s="43">
        <f t="shared" si="8"/>
        <v>850</v>
      </c>
      <c r="G36" s="43">
        <f>SUM(G33:G35)</f>
        <v>400</v>
      </c>
      <c r="H36" s="43">
        <f t="shared" si="8"/>
        <v>575</v>
      </c>
      <c r="I36" s="43">
        <f t="shared" si="8"/>
        <v>1325</v>
      </c>
      <c r="J36" s="43">
        <f t="shared" si="8"/>
        <v>625</v>
      </c>
      <c r="K36" s="43">
        <f>SUM(K33:K35)</f>
        <v>675</v>
      </c>
      <c r="L36" s="43">
        <f t="shared" si="8"/>
        <v>850</v>
      </c>
      <c r="M36" s="43">
        <f t="shared" si="8"/>
        <v>400</v>
      </c>
      <c r="N36" s="43">
        <f t="shared" si="8"/>
        <v>575</v>
      </c>
      <c r="O36" s="43">
        <f t="shared" si="8"/>
        <v>1325</v>
      </c>
      <c r="P36" s="43">
        <f t="shared" si="8"/>
        <v>875</v>
      </c>
      <c r="Q36" s="443">
        <f>SUM(Q33:Q35)</f>
        <v>9075</v>
      </c>
      <c r="R36" s="444">
        <f t="shared" si="1"/>
        <v>0.69926028663892736</v>
      </c>
      <c r="S36" s="400">
        <v>6131.34</v>
      </c>
      <c r="T36" s="461">
        <f>IFERROR(Q36/S36-1,"-")</f>
        <v>0.48010059791171256</v>
      </c>
      <c r="U36" s="300"/>
      <c r="V36" s="38"/>
    </row>
    <row r="37" spans="1:22" x14ac:dyDescent="0.35">
      <c r="A37" s="110"/>
      <c r="Q37" s="430"/>
      <c r="R37" s="432"/>
      <c r="S37" s="396"/>
      <c r="T37" s="399"/>
      <c r="U37" s="300"/>
      <c r="V37" s="38"/>
    </row>
    <row r="38" spans="1:22" x14ac:dyDescent="0.35">
      <c r="A38" s="110" t="s">
        <v>303</v>
      </c>
      <c r="B38" s="34" t="s">
        <v>34</v>
      </c>
      <c r="C38" s="34" t="s">
        <v>35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30">
        <f>SUM(E38:P38)</f>
        <v>0</v>
      </c>
      <c r="R38" s="432">
        <f t="shared" si="1"/>
        <v>0</v>
      </c>
      <c r="S38" s="396"/>
      <c r="T38" s="399"/>
      <c r="U38" s="300"/>
      <c r="V38" s="38"/>
    </row>
    <row r="39" spans="1:22" x14ac:dyDescent="0.35">
      <c r="A39" s="110"/>
      <c r="Q39" s="430"/>
      <c r="R39" s="432"/>
      <c r="S39" s="396"/>
      <c r="T39" s="399"/>
      <c r="U39" s="300"/>
      <c r="V39" s="38"/>
    </row>
    <row r="40" spans="1:22" x14ac:dyDescent="0.35">
      <c r="A40" s="110"/>
      <c r="D40" s="88" t="s">
        <v>36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437">
        <f>SUM(E40:P40)</f>
        <v>0</v>
      </c>
      <c r="R40" s="438">
        <f t="shared" si="1"/>
        <v>0</v>
      </c>
      <c r="S40" s="396"/>
      <c r="T40" s="399"/>
      <c r="U40" s="300"/>
      <c r="V40" s="38"/>
    </row>
    <row r="41" spans="1:22" x14ac:dyDescent="0.35">
      <c r="A41" s="110"/>
      <c r="D41" s="89" t="s">
        <v>37</v>
      </c>
      <c r="E41" s="34">
        <f>'Parking Lot Maint'!C11</f>
        <v>309</v>
      </c>
      <c r="F41" s="34">
        <f>'Parking Lot Maint'!D11</f>
        <v>309</v>
      </c>
      <c r="G41" s="34">
        <f>'Parking Lot Maint'!E11</f>
        <v>458.35</v>
      </c>
      <c r="H41" s="34">
        <f>'Parking Lot Maint'!F11</f>
        <v>309</v>
      </c>
      <c r="I41" s="34">
        <f>'Parking Lot Maint'!G11</f>
        <v>309</v>
      </c>
      <c r="J41" s="34">
        <f>'Parking Lot Maint'!H11</f>
        <v>458.35</v>
      </c>
      <c r="K41" s="34">
        <f>'Parking Lot Maint'!I11</f>
        <v>309</v>
      </c>
      <c r="L41" s="34">
        <f>'Parking Lot Maint'!J11</f>
        <v>309</v>
      </c>
      <c r="M41" s="34">
        <f>'Parking Lot Maint'!K11</f>
        <v>458.35</v>
      </c>
      <c r="N41" s="34">
        <f>'Parking Lot Maint'!L11</f>
        <v>309</v>
      </c>
      <c r="O41" s="34">
        <f>'Parking Lot Maint'!M11</f>
        <v>309</v>
      </c>
      <c r="P41" s="34">
        <f>'Parking Lot Maint'!N11</f>
        <v>458.35</v>
      </c>
      <c r="Q41" s="439">
        <f>SUM(E41:P41)</f>
        <v>4305.3999999999996</v>
      </c>
      <c r="R41" s="440">
        <f t="shared" si="1"/>
        <v>0.33174603174603173</v>
      </c>
      <c r="S41" s="396"/>
      <c r="T41" s="399"/>
      <c r="U41" s="300" t="s">
        <v>371</v>
      </c>
      <c r="V41" s="38" t="s">
        <v>450</v>
      </c>
    </row>
    <row r="42" spans="1:22" x14ac:dyDescent="0.35">
      <c r="A42" s="110"/>
      <c r="D42" s="90" t="s">
        <v>38</v>
      </c>
      <c r="E42" s="42"/>
      <c r="F42" s="42"/>
      <c r="G42" s="42"/>
      <c r="H42" s="42"/>
      <c r="I42" s="42"/>
      <c r="J42" s="42">
        <f>1.03*5000</f>
        <v>5150</v>
      </c>
      <c r="K42" s="42"/>
      <c r="L42" s="42"/>
      <c r="M42" s="42"/>
      <c r="N42" s="42"/>
      <c r="O42" s="42"/>
      <c r="P42" s="42"/>
      <c r="Q42" s="441">
        <f>SUM(E42:P42)</f>
        <v>5150</v>
      </c>
      <c r="R42" s="442">
        <f t="shared" si="1"/>
        <v>0.3968253968253968</v>
      </c>
      <c r="S42" s="396"/>
      <c r="T42" s="399"/>
      <c r="U42" s="300" t="s">
        <v>371</v>
      </c>
      <c r="V42" s="38" t="s">
        <v>450</v>
      </c>
    </row>
    <row r="43" spans="1:22" x14ac:dyDescent="0.35">
      <c r="A43" s="110" t="s">
        <v>140</v>
      </c>
      <c r="C43" s="34" t="s">
        <v>39</v>
      </c>
      <c r="E43" s="43">
        <f t="shared" ref="E43:Q43" si="9">SUM(E40:E42)</f>
        <v>309</v>
      </c>
      <c r="F43" s="43">
        <f t="shared" si="9"/>
        <v>309</v>
      </c>
      <c r="G43" s="43">
        <f t="shared" si="9"/>
        <v>458.35</v>
      </c>
      <c r="H43" s="43">
        <f t="shared" si="9"/>
        <v>309</v>
      </c>
      <c r="I43" s="43">
        <f t="shared" si="9"/>
        <v>309</v>
      </c>
      <c r="J43" s="43">
        <f t="shared" si="9"/>
        <v>5608.35</v>
      </c>
      <c r="K43" s="43">
        <f t="shared" si="9"/>
        <v>309</v>
      </c>
      <c r="L43" s="43">
        <f t="shared" si="9"/>
        <v>309</v>
      </c>
      <c r="M43" s="43">
        <f t="shared" si="9"/>
        <v>458.35</v>
      </c>
      <c r="N43" s="43">
        <f t="shared" si="9"/>
        <v>309</v>
      </c>
      <c r="O43" s="43">
        <f t="shared" si="9"/>
        <v>309</v>
      </c>
      <c r="P43" s="43">
        <f t="shared" si="9"/>
        <v>458.35</v>
      </c>
      <c r="Q43" s="443">
        <f t="shared" si="9"/>
        <v>9455.4</v>
      </c>
      <c r="R43" s="444">
        <f t="shared" si="1"/>
        <v>0.72857142857142854</v>
      </c>
      <c r="S43" s="400">
        <v>3124.62</v>
      </c>
      <c r="T43" s="461">
        <f>IFERROR(Q43/S43-1,"-")</f>
        <v>2.0260959732703498</v>
      </c>
      <c r="U43" s="300"/>
      <c r="V43" s="38"/>
    </row>
    <row r="44" spans="1:22" x14ac:dyDescent="0.35">
      <c r="A44" s="110"/>
      <c r="Q44" s="430"/>
      <c r="R44" s="432"/>
      <c r="S44" s="396"/>
      <c r="T44" s="399"/>
      <c r="U44" s="300"/>
      <c r="V44" s="38"/>
    </row>
    <row r="45" spans="1:22" x14ac:dyDescent="0.35">
      <c r="A45" s="110" t="s">
        <v>110</v>
      </c>
      <c r="C45" s="34" t="s">
        <v>40</v>
      </c>
      <c r="E45" s="40">
        <f>1.03*875</f>
        <v>901.25</v>
      </c>
      <c r="F45" s="40">
        <f>1.03*875</f>
        <v>901.25</v>
      </c>
      <c r="G45" s="40">
        <f>1.03*875</f>
        <v>901.25</v>
      </c>
      <c r="H45" s="40"/>
      <c r="I45" s="40"/>
      <c r="J45" s="40"/>
      <c r="K45" s="40"/>
      <c r="L45" s="40"/>
      <c r="M45" s="40"/>
      <c r="N45" s="40"/>
      <c r="O45" s="40">
        <f>1.03*500</f>
        <v>515</v>
      </c>
      <c r="P45" s="40">
        <f>1.03*875</f>
        <v>901.25</v>
      </c>
      <c r="Q45" s="430">
        <f>SUM(E45:P45)</f>
        <v>4120</v>
      </c>
      <c r="R45" s="432">
        <f t="shared" si="1"/>
        <v>0.31746031746031744</v>
      </c>
      <c r="S45" s="396">
        <v>2820.82</v>
      </c>
      <c r="T45" s="460">
        <f>IFERROR(Q45/S45-1,"-")</f>
        <v>0.46056820357201089</v>
      </c>
      <c r="U45" s="300" t="s">
        <v>371</v>
      </c>
      <c r="V45" s="38" t="s">
        <v>450</v>
      </c>
    </row>
    <row r="46" spans="1:22" x14ac:dyDescent="0.35">
      <c r="A46" s="110"/>
      <c r="Q46" s="430"/>
      <c r="R46" s="432"/>
      <c r="S46" s="396"/>
      <c r="T46" s="399"/>
      <c r="U46" s="300"/>
      <c r="V46" s="38"/>
    </row>
    <row r="47" spans="1:22" x14ac:dyDescent="0.35">
      <c r="A47" s="110"/>
      <c r="D47" s="88" t="s">
        <v>41</v>
      </c>
      <c r="E47" s="77">
        <f>'Allocated Expenses'!F22</f>
        <v>0</v>
      </c>
      <c r="F47" s="77">
        <f>'Allocated Expenses'!G22</f>
        <v>0</v>
      </c>
      <c r="G47" s="77">
        <f>'Allocated Expenses'!H22</f>
        <v>208.11046542222221</v>
      </c>
      <c r="H47" s="77">
        <f>'Allocated Expenses'!I22</f>
        <v>208.11046542222221</v>
      </c>
      <c r="I47" s="77">
        <f>'Allocated Expenses'!J22</f>
        <v>208.11046542222221</v>
      </c>
      <c r="J47" s="77">
        <f>'Allocated Expenses'!K22</f>
        <v>208.11046542222221</v>
      </c>
      <c r="K47" s="77">
        <f>'Allocated Expenses'!L22</f>
        <v>208.11046542222221</v>
      </c>
      <c r="L47" s="77">
        <f>'Allocated Expenses'!M22</f>
        <v>208.11046542222221</v>
      </c>
      <c r="M47" s="77">
        <f>'Allocated Expenses'!N22</f>
        <v>208.11046542222221</v>
      </c>
      <c r="N47" s="77">
        <f>'Allocated Expenses'!O22</f>
        <v>208.11046542222221</v>
      </c>
      <c r="O47" s="77">
        <f>'Allocated Expenses'!P22</f>
        <v>208.11046542222221</v>
      </c>
      <c r="P47" s="77">
        <f>'Allocated Expenses'!Q22</f>
        <v>0</v>
      </c>
      <c r="Q47" s="437">
        <f>SUM(E47:P47)</f>
        <v>1872.9941887999998</v>
      </c>
      <c r="R47" s="438">
        <f t="shared" si="1"/>
        <v>0.14432071111111111</v>
      </c>
      <c r="S47" s="396"/>
      <c r="T47" s="399"/>
      <c r="U47" s="300" t="s">
        <v>371</v>
      </c>
      <c r="V47" s="38" t="s">
        <v>450</v>
      </c>
    </row>
    <row r="48" spans="1:22" x14ac:dyDescent="0.35">
      <c r="A48" s="110"/>
      <c r="D48" s="89" t="s">
        <v>42</v>
      </c>
      <c r="E48" s="34">
        <f>Landscaping!C11</f>
        <v>0</v>
      </c>
      <c r="F48" s="34">
        <f>Landscaping!D11</f>
        <v>0</v>
      </c>
      <c r="G48" s="34">
        <f>Landscaping!E11</f>
        <v>103</v>
      </c>
      <c r="H48" s="34">
        <f>Landscaping!F11</f>
        <v>103</v>
      </c>
      <c r="I48" s="34">
        <f>Landscaping!G11</f>
        <v>412</v>
      </c>
      <c r="J48" s="34">
        <f>Landscaping!H11</f>
        <v>103</v>
      </c>
      <c r="K48" s="34">
        <f>Landscaping!I11</f>
        <v>103</v>
      </c>
      <c r="L48" s="34">
        <f>Landscaping!J11</f>
        <v>103</v>
      </c>
      <c r="M48" s="34">
        <f>Landscaping!K11</f>
        <v>103</v>
      </c>
      <c r="N48" s="34">
        <f>Landscaping!L11</f>
        <v>412</v>
      </c>
      <c r="O48" s="34">
        <f>Landscaping!M11</f>
        <v>103</v>
      </c>
      <c r="P48" s="34">
        <f>Landscaping!N11</f>
        <v>0</v>
      </c>
      <c r="Q48" s="439">
        <f>SUM(E48:P48)</f>
        <v>1545</v>
      </c>
      <c r="R48" s="440">
        <f t="shared" si="1"/>
        <v>0.11904761904761904</v>
      </c>
      <c r="S48" s="396"/>
      <c r="T48" s="399"/>
      <c r="U48" s="300" t="s">
        <v>371</v>
      </c>
      <c r="V48" s="38" t="s">
        <v>450</v>
      </c>
    </row>
    <row r="49" spans="1:22" x14ac:dyDescent="0.35">
      <c r="A49" s="110"/>
      <c r="D49" s="90" t="s">
        <v>43</v>
      </c>
      <c r="E49" s="43">
        <f>'Allocated Expenses'!F33</f>
        <v>136.10107848935982</v>
      </c>
      <c r="F49" s="43">
        <f>'Allocated Expenses'!G33</f>
        <v>136.10107848935982</v>
      </c>
      <c r="G49" s="43">
        <f>'Allocated Expenses'!H33</f>
        <v>136.10107848935982</v>
      </c>
      <c r="H49" s="43">
        <f>'Allocated Expenses'!I33</f>
        <v>136.10107848935982</v>
      </c>
      <c r="I49" s="43">
        <f>'Allocated Expenses'!J33</f>
        <v>136.10107848935982</v>
      </c>
      <c r="J49" s="43">
        <f>'Allocated Expenses'!K33</f>
        <v>136.10107848935982</v>
      </c>
      <c r="K49" s="43">
        <f>'Allocated Expenses'!L33</f>
        <v>136.10107848935982</v>
      </c>
      <c r="L49" s="43">
        <f>'Allocated Expenses'!M33</f>
        <v>136.10107848935982</v>
      </c>
      <c r="M49" s="43">
        <f>'Allocated Expenses'!N33</f>
        <v>136.10107848935982</v>
      </c>
      <c r="N49" s="43">
        <f>'Allocated Expenses'!O33</f>
        <v>136.10107848935982</v>
      </c>
      <c r="O49" s="43">
        <f>'Allocated Expenses'!P33</f>
        <v>136.10107848935982</v>
      </c>
      <c r="P49" s="43">
        <f>'Allocated Expenses'!Q33</f>
        <v>136.10107848935982</v>
      </c>
      <c r="Q49" s="441">
        <f>SUM(E49:P49)</f>
        <v>1633.2129418723182</v>
      </c>
      <c r="R49" s="442">
        <f t="shared" si="1"/>
        <v>0.12584473276871</v>
      </c>
      <c r="S49" s="396"/>
      <c r="T49" s="399"/>
      <c r="U49" s="300" t="s">
        <v>371</v>
      </c>
      <c r="V49" s="38" t="s">
        <v>589</v>
      </c>
    </row>
    <row r="50" spans="1:22" x14ac:dyDescent="0.35">
      <c r="A50" s="110" t="s">
        <v>111</v>
      </c>
      <c r="C50" s="34" t="s">
        <v>44</v>
      </c>
      <c r="E50" s="43">
        <f t="shared" ref="E50:Q50" si="10">SUM(E47:E49)</f>
        <v>136.10107848935982</v>
      </c>
      <c r="F50" s="43">
        <f t="shared" si="10"/>
        <v>136.10107848935982</v>
      </c>
      <c r="G50" s="43">
        <f t="shared" si="10"/>
        <v>447.211543911582</v>
      </c>
      <c r="H50" s="43">
        <f t="shared" si="10"/>
        <v>447.211543911582</v>
      </c>
      <c r="I50" s="43">
        <f t="shared" si="10"/>
        <v>756.211543911582</v>
      </c>
      <c r="J50" s="43">
        <f t="shared" si="10"/>
        <v>447.211543911582</v>
      </c>
      <c r="K50" s="43">
        <f t="shared" si="10"/>
        <v>447.211543911582</v>
      </c>
      <c r="L50" s="43">
        <f t="shared" si="10"/>
        <v>447.211543911582</v>
      </c>
      <c r="M50" s="43">
        <f t="shared" si="10"/>
        <v>447.211543911582</v>
      </c>
      <c r="N50" s="43">
        <f t="shared" si="10"/>
        <v>756.211543911582</v>
      </c>
      <c r="O50" s="43">
        <f t="shared" si="10"/>
        <v>447.211543911582</v>
      </c>
      <c r="P50" s="43">
        <f t="shared" si="10"/>
        <v>136.10107848935982</v>
      </c>
      <c r="Q50" s="443">
        <f t="shared" si="10"/>
        <v>5051.2071306723183</v>
      </c>
      <c r="R50" s="444">
        <f t="shared" si="1"/>
        <v>0.38921306292744012</v>
      </c>
      <c r="S50" s="400">
        <v>5555.83</v>
      </c>
      <c r="T50" s="461">
        <f>IFERROR(Q50/S50-1,"-")</f>
        <v>-9.082762959408075E-2</v>
      </c>
      <c r="U50" s="300"/>
      <c r="V50" s="38"/>
    </row>
    <row r="51" spans="1:22" x14ac:dyDescent="0.35">
      <c r="A51" s="110"/>
      <c r="Q51" s="430"/>
      <c r="R51" s="432"/>
      <c r="S51" s="396"/>
      <c r="T51" s="399"/>
      <c r="U51" s="300"/>
      <c r="V51" s="38"/>
    </row>
    <row r="52" spans="1:22" x14ac:dyDescent="0.35">
      <c r="A52" s="110" t="s">
        <v>112</v>
      </c>
      <c r="C52" s="34" t="s">
        <v>45</v>
      </c>
      <c r="E52" s="34">
        <f>'Allocated Expenses'!F44</f>
        <v>63.36</v>
      </c>
      <c r="F52" s="34">
        <f>'Allocated Expenses'!G44</f>
        <v>63.36</v>
      </c>
      <c r="G52" s="34">
        <f>'Allocated Expenses'!H44</f>
        <v>63.36</v>
      </c>
      <c r="H52" s="34">
        <f>'Allocated Expenses'!I44</f>
        <v>63.36</v>
      </c>
      <c r="I52" s="34">
        <f>'Allocated Expenses'!J44</f>
        <v>63.36</v>
      </c>
      <c r="J52" s="34">
        <f>'Allocated Expenses'!K44</f>
        <v>63.36</v>
      </c>
      <c r="K52" s="34">
        <f>'Allocated Expenses'!L44</f>
        <v>63.36</v>
      </c>
      <c r="L52" s="34">
        <f>'Allocated Expenses'!M44</f>
        <v>63.36</v>
      </c>
      <c r="M52" s="34">
        <f>'Allocated Expenses'!N44</f>
        <v>63.36</v>
      </c>
      <c r="N52" s="34">
        <f>'Allocated Expenses'!O44</f>
        <v>63.36</v>
      </c>
      <c r="O52" s="34">
        <f>'Allocated Expenses'!P44</f>
        <v>63.36</v>
      </c>
      <c r="P52" s="34">
        <f>'Allocated Expenses'!Q44</f>
        <v>63.36</v>
      </c>
      <c r="Q52" s="430">
        <f>SUM(E52:P52)</f>
        <v>760.32</v>
      </c>
      <c r="R52" s="432">
        <f t="shared" si="1"/>
        <v>5.8585298196948687E-2</v>
      </c>
      <c r="S52" s="396">
        <v>855.54</v>
      </c>
      <c r="T52" s="460">
        <f>IFERROR(Q52/S52-1,"-")</f>
        <v>-0.11129812749842194</v>
      </c>
      <c r="U52" s="300" t="s">
        <v>371</v>
      </c>
      <c r="V52" s="38" t="s">
        <v>450</v>
      </c>
    </row>
    <row r="53" spans="1:22" x14ac:dyDescent="0.35">
      <c r="A53" s="110"/>
      <c r="Q53" s="430"/>
      <c r="R53" s="432"/>
      <c r="S53" s="396"/>
      <c r="T53" s="399"/>
      <c r="U53" s="300"/>
      <c r="V53" s="38"/>
    </row>
    <row r="54" spans="1:22" x14ac:dyDescent="0.35">
      <c r="A54" s="110" t="s">
        <v>113</v>
      </c>
      <c r="B54" s="34" t="s">
        <v>46</v>
      </c>
      <c r="C54" s="34" t="s">
        <v>47</v>
      </c>
      <c r="E54" s="34">
        <f>ROUND(E$24*0.06,0)</f>
        <v>1283</v>
      </c>
      <c r="F54" s="34">
        <f t="shared" ref="F54:P54" si="11">ROUND(F$24*0.06,0)</f>
        <v>1283</v>
      </c>
      <c r="G54" s="34">
        <f t="shared" si="11"/>
        <v>1283</v>
      </c>
      <c r="H54" s="34">
        <f t="shared" si="11"/>
        <v>1283</v>
      </c>
      <c r="I54" s="34">
        <f t="shared" si="11"/>
        <v>1283</v>
      </c>
      <c r="J54" s="34">
        <f t="shared" si="11"/>
        <v>1283</v>
      </c>
      <c r="K54" s="34">
        <f t="shared" si="11"/>
        <v>1283</v>
      </c>
      <c r="L54" s="34">
        <f t="shared" si="11"/>
        <v>1283</v>
      </c>
      <c r="M54" s="34">
        <f t="shared" si="11"/>
        <v>1283</v>
      </c>
      <c r="N54" s="34">
        <f t="shared" si="11"/>
        <v>1283</v>
      </c>
      <c r="O54" s="34">
        <f t="shared" si="11"/>
        <v>1283</v>
      </c>
      <c r="P54" s="34">
        <f t="shared" si="11"/>
        <v>1283</v>
      </c>
      <c r="Q54" s="430">
        <f>SUM(E54:P54)</f>
        <v>15396</v>
      </c>
      <c r="R54" s="432">
        <f t="shared" si="1"/>
        <v>1.1863153028201572</v>
      </c>
      <c r="S54" s="396">
        <v>13412.42</v>
      </c>
      <c r="T54" s="460">
        <f>IFERROR(Q54/S54-1,"-")</f>
        <v>0.14789128285574127</v>
      </c>
      <c r="U54" s="300"/>
      <c r="V54" s="38"/>
    </row>
    <row r="55" spans="1:22" x14ac:dyDescent="0.35">
      <c r="A55" s="110"/>
      <c r="Q55" s="430"/>
      <c r="R55" s="432"/>
      <c r="S55" s="396"/>
      <c r="T55" s="399"/>
      <c r="U55" s="300"/>
      <c r="V55" s="38"/>
    </row>
    <row r="56" spans="1:22" x14ac:dyDescent="0.35">
      <c r="A56" s="110" t="s">
        <v>114</v>
      </c>
      <c r="C56" s="34" t="s">
        <v>48</v>
      </c>
      <c r="E56" s="34">
        <f>Trash!C11</f>
        <v>77.25</v>
      </c>
      <c r="F56" s="34">
        <f>Trash!D11</f>
        <v>77.25</v>
      </c>
      <c r="G56" s="34">
        <f>Trash!E11</f>
        <v>77.25</v>
      </c>
      <c r="H56" s="34">
        <f>Trash!F11</f>
        <v>128.75</v>
      </c>
      <c r="I56" s="34">
        <f>Trash!G11</f>
        <v>77.25</v>
      </c>
      <c r="J56" s="34">
        <f>Trash!H11</f>
        <v>77.25</v>
      </c>
      <c r="K56" s="34">
        <f>Trash!I11</f>
        <v>77.25</v>
      </c>
      <c r="L56" s="34">
        <f>Trash!J11</f>
        <v>77.25</v>
      </c>
      <c r="M56" s="34">
        <f>Trash!K11</f>
        <v>77.25</v>
      </c>
      <c r="N56" s="34">
        <f>Trash!L11</f>
        <v>128.75</v>
      </c>
      <c r="O56" s="34">
        <f>Trash!M11</f>
        <v>77.25</v>
      </c>
      <c r="P56" s="34">
        <f>Trash!N11</f>
        <v>77.25</v>
      </c>
      <c r="Q56" s="430">
        <f>SUM(E56:P56)</f>
        <v>1030</v>
      </c>
      <c r="R56" s="432">
        <f t="shared" si="1"/>
        <v>7.9365079365079361E-2</v>
      </c>
      <c r="S56" s="396">
        <v>9.64</v>
      </c>
      <c r="T56" s="460">
        <f>IFERROR(Q56/S56-1,"-")</f>
        <v>105.84647302904564</v>
      </c>
      <c r="U56" s="300" t="s">
        <v>371</v>
      </c>
      <c r="V56" s="38" t="s">
        <v>450</v>
      </c>
    </row>
    <row r="57" spans="1:22" x14ac:dyDescent="0.35">
      <c r="A57" s="110"/>
      <c r="Q57" s="430"/>
      <c r="R57" s="432"/>
      <c r="S57" s="396"/>
      <c r="T57" s="399"/>
      <c r="U57" s="300"/>
      <c r="V57" s="38"/>
    </row>
    <row r="58" spans="1:22" x14ac:dyDescent="0.35">
      <c r="A58" s="110" t="s">
        <v>115</v>
      </c>
      <c r="C58" s="34" t="s">
        <v>23</v>
      </c>
      <c r="E58" s="34">
        <f>+'INS RET'!E64</f>
        <v>1428.6869500680002</v>
      </c>
      <c r="F58" s="34">
        <f>+'INS RET'!F64</f>
        <v>1428.6869500680002</v>
      </c>
      <c r="G58" s="34">
        <f>+'INS RET'!G64</f>
        <v>1428.6869500680002</v>
      </c>
      <c r="H58" s="34">
        <f>+'INS RET'!H64</f>
        <v>1428.6869500680002</v>
      </c>
      <c r="I58" s="34">
        <f>+'INS RET'!I64</f>
        <v>1428.6869500680002</v>
      </c>
      <c r="J58" s="34">
        <f>+'INS RET'!J64</f>
        <v>1428.6869500680002</v>
      </c>
      <c r="K58" s="34">
        <f>+'INS RET'!K64</f>
        <v>1428.6869500680002</v>
      </c>
      <c r="L58" s="34">
        <f>+'INS RET'!L64</f>
        <v>1428.6869500680002</v>
      </c>
      <c r="M58" s="34">
        <f>+'INS RET'!M64</f>
        <v>1428.6869500680002</v>
      </c>
      <c r="N58" s="34">
        <f>+'INS RET'!N64</f>
        <v>1428.6869500680002</v>
      </c>
      <c r="O58" s="34">
        <f>+'INS RET'!O64</f>
        <v>1428.6869500680002</v>
      </c>
      <c r="P58" s="34">
        <f>+'INS RET'!P64</f>
        <v>1428.6869500680002</v>
      </c>
      <c r="Q58" s="430">
        <f>SUM(E58:P58)</f>
        <v>17144.243400816002</v>
      </c>
      <c r="R58" s="432">
        <f t="shared" si="1"/>
        <v>1.3210235321941748</v>
      </c>
      <c r="S58" s="396">
        <v>23782.850000000002</v>
      </c>
      <c r="T58" s="460">
        <f>IFERROR(Q58/S58-1,"-")</f>
        <v>-0.2791341912001295</v>
      </c>
      <c r="U58" s="300"/>
      <c r="V58" s="38"/>
    </row>
    <row r="59" spans="1:22" x14ac:dyDescent="0.35">
      <c r="A59" s="110"/>
      <c r="Q59" s="430"/>
      <c r="R59" s="432"/>
      <c r="S59" s="396"/>
      <c r="T59" s="399"/>
      <c r="U59" s="300"/>
      <c r="V59" s="38"/>
    </row>
    <row r="60" spans="1:22" x14ac:dyDescent="0.35">
      <c r="A60" s="110"/>
      <c r="D60" s="88" t="s">
        <v>49</v>
      </c>
      <c r="E60" s="77">
        <f>+'INS RET'!E41+'INS RET'!E42</f>
        <v>358</v>
      </c>
      <c r="F60" s="77">
        <f>+'INS RET'!F41+'INS RET'!F42</f>
        <v>358</v>
      </c>
      <c r="G60" s="77">
        <f>+'INS RET'!G41+'INS RET'!G42</f>
        <v>358</v>
      </c>
      <c r="H60" s="77">
        <f>+'INS RET'!H41+'INS RET'!H42</f>
        <v>358</v>
      </c>
      <c r="I60" s="77">
        <f>+'INS RET'!I41+'INS RET'!I42</f>
        <v>358</v>
      </c>
      <c r="J60" s="77">
        <f>+'INS RET'!J41+'INS RET'!J42</f>
        <v>358</v>
      </c>
      <c r="K60" s="77">
        <f>+'INS RET'!K41+'INS RET'!K42</f>
        <v>358</v>
      </c>
      <c r="L60" s="77">
        <f>+'INS RET'!L41+'INS RET'!L42</f>
        <v>358</v>
      </c>
      <c r="M60" s="77">
        <f>+'INS RET'!M41+'INS RET'!M42</f>
        <v>358</v>
      </c>
      <c r="N60" s="77">
        <f>+'INS RET'!N41+'INS RET'!N42</f>
        <v>358</v>
      </c>
      <c r="O60" s="77">
        <f>+'INS RET'!O41+'INS RET'!O42</f>
        <v>365.16</v>
      </c>
      <c r="P60" s="77">
        <f>+'INS RET'!P41+'INS RET'!P42</f>
        <v>365.16</v>
      </c>
      <c r="Q60" s="437">
        <f>SUM(E60:P60)</f>
        <v>4310.32</v>
      </c>
      <c r="R60" s="438">
        <f t="shared" si="1"/>
        <v>0.33212513484358142</v>
      </c>
      <c r="S60" s="396"/>
      <c r="T60" s="399"/>
      <c r="U60" s="300"/>
      <c r="V60" s="38"/>
    </row>
    <row r="61" spans="1:22" x14ac:dyDescent="0.35">
      <c r="A61" s="110"/>
      <c r="D61" s="89" t="s">
        <v>50</v>
      </c>
      <c r="E61" s="34">
        <f>+'INS RET'!E44</f>
        <v>256</v>
      </c>
      <c r="F61" s="34">
        <f>+'INS RET'!F44</f>
        <v>256</v>
      </c>
      <c r="G61" s="34">
        <f>+'INS RET'!G44</f>
        <v>256</v>
      </c>
      <c r="H61" s="34">
        <f>+'INS RET'!H44</f>
        <v>256</v>
      </c>
      <c r="I61" s="34">
        <f>+'INS RET'!I44</f>
        <v>256</v>
      </c>
      <c r="J61" s="34">
        <f>+'INS RET'!J44</f>
        <v>256</v>
      </c>
      <c r="K61" s="34">
        <f>+'INS RET'!K44</f>
        <v>256</v>
      </c>
      <c r="L61" s="34">
        <f>+'INS RET'!L44</f>
        <v>256</v>
      </c>
      <c r="M61" s="34">
        <f>+'INS RET'!M44</f>
        <v>256</v>
      </c>
      <c r="N61" s="34">
        <f>+'INS RET'!N44</f>
        <v>256</v>
      </c>
      <c r="O61" s="34">
        <f>+'INS RET'!O44</f>
        <v>261.12</v>
      </c>
      <c r="P61" s="34">
        <f>+'INS RET'!P44</f>
        <v>261.12</v>
      </c>
      <c r="Q61" s="439">
        <f>SUM(E61:P61)</f>
        <v>3082.24</v>
      </c>
      <c r="R61" s="440">
        <f t="shared" si="1"/>
        <v>0.23749730312837108</v>
      </c>
      <c r="S61" s="396"/>
      <c r="T61" s="399"/>
      <c r="U61" s="300"/>
      <c r="V61" s="38"/>
    </row>
    <row r="62" spans="1:22" x14ac:dyDescent="0.35">
      <c r="A62" s="110"/>
      <c r="D62" s="90" t="s">
        <v>51</v>
      </c>
      <c r="E62" s="43">
        <f>+'INS RET'!E45</f>
        <v>20</v>
      </c>
      <c r="F62" s="43">
        <f>+'INS RET'!F45</f>
        <v>20</v>
      </c>
      <c r="G62" s="43">
        <f>+'INS RET'!G45</f>
        <v>20</v>
      </c>
      <c r="H62" s="43">
        <f>+'INS RET'!H45</f>
        <v>20</v>
      </c>
      <c r="I62" s="43">
        <f>+'INS RET'!I45</f>
        <v>20</v>
      </c>
      <c r="J62" s="43">
        <f>+'INS RET'!J45</f>
        <v>20</v>
      </c>
      <c r="K62" s="43">
        <f>+'INS RET'!K45</f>
        <v>20</v>
      </c>
      <c r="L62" s="43">
        <f>+'INS RET'!L45</f>
        <v>20</v>
      </c>
      <c r="M62" s="43">
        <f>+'INS RET'!M45</f>
        <v>20</v>
      </c>
      <c r="N62" s="43">
        <f>+'INS RET'!N45</f>
        <v>20</v>
      </c>
      <c r="O62" s="43">
        <f>+'INS RET'!O45</f>
        <v>20.399999999999999</v>
      </c>
      <c r="P62" s="43">
        <f>+'INS RET'!P45</f>
        <v>20.399999999999999</v>
      </c>
      <c r="Q62" s="441">
        <f>SUM(E62:P62)</f>
        <v>240.8</v>
      </c>
      <c r="R62" s="442">
        <f t="shared" si="1"/>
        <v>1.8554476806903992E-2</v>
      </c>
      <c r="S62" s="396"/>
      <c r="T62" s="399"/>
      <c r="U62" s="300"/>
      <c r="V62" s="38"/>
    </row>
    <row r="63" spans="1:22" x14ac:dyDescent="0.35">
      <c r="A63" s="110" t="s">
        <v>116</v>
      </c>
      <c r="C63" s="34" t="s">
        <v>24</v>
      </c>
      <c r="E63" s="43">
        <f t="shared" ref="E63:Q63" si="12">SUM(E60:E62)</f>
        <v>634</v>
      </c>
      <c r="F63" s="43">
        <f t="shared" si="12"/>
        <v>634</v>
      </c>
      <c r="G63" s="43">
        <f t="shared" si="12"/>
        <v>634</v>
      </c>
      <c r="H63" s="43">
        <f t="shared" si="12"/>
        <v>634</v>
      </c>
      <c r="I63" s="43">
        <f t="shared" si="12"/>
        <v>634</v>
      </c>
      <c r="J63" s="43">
        <f t="shared" si="12"/>
        <v>634</v>
      </c>
      <c r="K63" s="43">
        <f t="shared" si="12"/>
        <v>634</v>
      </c>
      <c r="L63" s="43">
        <f t="shared" si="12"/>
        <v>634</v>
      </c>
      <c r="M63" s="43">
        <f t="shared" si="12"/>
        <v>634</v>
      </c>
      <c r="N63" s="43">
        <f t="shared" si="12"/>
        <v>634</v>
      </c>
      <c r="O63" s="43">
        <f t="shared" si="12"/>
        <v>646.67999999999995</v>
      </c>
      <c r="P63" s="43">
        <f t="shared" si="12"/>
        <v>646.67999999999995</v>
      </c>
      <c r="Q63" s="443">
        <f t="shared" si="12"/>
        <v>7633.36</v>
      </c>
      <c r="R63" s="444">
        <f t="shared" si="1"/>
        <v>0.58817691477885647</v>
      </c>
      <c r="S63" s="400">
        <v>7478</v>
      </c>
      <c r="T63" s="461">
        <f>IFERROR(Q63/S63-1,"-")</f>
        <v>2.077560845145765E-2</v>
      </c>
      <c r="U63" s="300"/>
      <c r="V63" s="38"/>
    </row>
    <row r="64" spans="1:22" x14ac:dyDescent="0.35">
      <c r="A64" s="110"/>
      <c r="Q64" s="430"/>
      <c r="R64" s="432"/>
      <c r="S64" s="396"/>
      <c r="T64" s="399"/>
      <c r="U64" s="300"/>
      <c r="V64" s="38"/>
    </row>
    <row r="65" spans="1:22" x14ac:dyDescent="0.35">
      <c r="A65" s="110"/>
      <c r="D65" s="88" t="s">
        <v>52</v>
      </c>
      <c r="E65" s="77">
        <f>'Allocated Expenses'!F55+'Allocated Expenses'!F66</f>
        <v>1831.2145554473971</v>
      </c>
      <c r="F65" s="77">
        <f>'Allocated Expenses'!G55+'Allocated Expenses'!G66</f>
        <v>1831.2145554473971</v>
      </c>
      <c r="G65" s="77">
        <f>'Allocated Expenses'!H55+'Allocated Expenses'!H66</f>
        <v>1831.2145554473971</v>
      </c>
      <c r="H65" s="77">
        <f>'Allocated Expenses'!I55+'Allocated Expenses'!I66</f>
        <v>1831.2145554473971</v>
      </c>
      <c r="I65" s="77">
        <f>'Allocated Expenses'!J55+'Allocated Expenses'!J66</f>
        <v>1831.2145554473971</v>
      </c>
      <c r="J65" s="77">
        <f>'Allocated Expenses'!K55+'Allocated Expenses'!K66</f>
        <v>1831.2145554473971</v>
      </c>
      <c r="K65" s="77">
        <f>'Allocated Expenses'!L55+'Allocated Expenses'!L66</f>
        <v>1831.2145554473971</v>
      </c>
      <c r="L65" s="77">
        <f>'Allocated Expenses'!M55+'Allocated Expenses'!M66</f>
        <v>1831.2145554473971</v>
      </c>
      <c r="M65" s="77">
        <f>'Allocated Expenses'!N55+'Allocated Expenses'!N66</f>
        <v>1831.2145554473971</v>
      </c>
      <c r="N65" s="77">
        <f>'Allocated Expenses'!O55+'Allocated Expenses'!O66</f>
        <v>1831.2145554473971</v>
      </c>
      <c r="O65" s="77">
        <f>'Allocated Expenses'!P55+'Allocated Expenses'!P66</f>
        <v>1831.2145554473971</v>
      </c>
      <c r="P65" s="77">
        <f>'Allocated Expenses'!Q55+'Allocated Expenses'!Q66</f>
        <v>1831.2145554473971</v>
      </c>
      <c r="Q65" s="445">
        <f>SUM(E65:P65)</f>
        <v>21974.574665368764</v>
      </c>
      <c r="R65" s="438">
        <f t="shared" si="1"/>
        <v>1.6932173420687906</v>
      </c>
      <c r="S65" s="396"/>
      <c r="T65" s="399"/>
      <c r="U65" s="300" t="s">
        <v>371</v>
      </c>
      <c r="V65" s="38" t="s">
        <v>592</v>
      </c>
    </row>
    <row r="66" spans="1:22" x14ac:dyDescent="0.35">
      <c r="A66" s="110"/>
      <c r="D66" s="90" t="s">
        <v>53</v>
      </c>
      <c r="E66" s="43">
        <f>'Allocated Expenses'!F79</f>
        <v>0</v>
      </c>
      <c r="F66" s="43">
        <f>'Allocated Expenses'!G79</f>
        <v>0</v>
      </c>
      <c r="G66" s="43">
        <f>'Allocated Expenses'!H79</f>
        <v>0</v>
      </c>
      <c r="H66" s="43">
        <f>'Allocated Expenses'!I79</f>
        <v>0</v>
      </c>
      <c r="I66" s="43">
        <f>'Allocated Expenses'!J79</f>
        <v>0</v>
      </c>
      <c r="J66" s="43">
        <f>'Allocated Expenses'!K79</f>
        <v>0</v>
      </c>
      <c r="K66" s="43">
        <f>'Allocated Expenses'!L79</f>
        <v>0</v>
      </c>
      <c r="L66" s="43">
        <f>'Allocated Expenses'!M79</f>
        <v>0</v>
      </c>
      <c r="M66" s="43">
        <f>'Allocated Expenses'!N79</f>
        <v>0</v>
      </c>
      <c r="N66" s="43">
        <f>'Allocated Expenses'!O79</f>
        <v>0</v>
      </c>
      <c r="O66" s="43">
        <f>'Allocated Expenses'!P79</f>
        <v>0</v>
      </c>
      <c r="P66" s="43">
        <f>'Allocated Expenses'!Q79</f>
        <v>0</v>
      </c>
      <c r="Q66" s="443">
        <f>SUM(E66:P66)</f>
        <v>0</v>
      </c>
      <c r="R66" s="442">
        <f t="shared" si="1"/>
        <v>0</v>
      </c>
      <c r="S66" s="396"/>
      <c r="T66" s="399"/>
      <c r="U66" s="300" t="s">
        <v>371</v>
      </c>
      <c r="V66" s="38" t="s">
        <v>593</v>
      </c>
    </row>
    <row r="67" spans="1:22" x14ac:dyDescent="0.35">
      <c r="A67" s="110" t="s">
        <v>117</v>
      </c>
      <c r="B67" s="34" t="s">
        <v>46</v>
      </c>
      <c r="C67" s="34" t="s">
        <v>52</v>
      </c>
      <c r="E67" s="43">
        <f t="shared" ref="E67:Q67" si="13">SUM(E65:E66)</f>
        <v>1831.2145554473971</v>
      </c>
      <c r="F67" s="43">
        <f t="shared" si="13"/>
        <v>1831.2145554473971</v>
      </c>
      <c r="G67" s="43">
        <f t="shared" si="13"/>
        <v>1831.2145554473971</v>
      </c>
      <c r="H67" s="43">
        <f t="shared" si="13"/>
        <v>1831.2145554473971</v>
      </c>
      <c r="I67" s="43">
        <f t="shared" si="13"/>
        <v>1831.2145554473971</v>
      </c>
      <c r="J67" s="43">
        <f t="shared" si="13"/>
        <v>1831.2145554473971</v>
      </c>
      <c r="K67" s="43">
        <f t="shared" si="13"/>
        <v>1831.2145554473971</v>
      </c>
      <c r="L67" s="43">
        <f t="shared" si="13"/>
        <v>1831.2145554473971</v>
      </c>
      <c r="M67" s="43">
        <f t="shared" si="13"/>
        <v>1831.2145554473971</v>
      </c>
      <c r="N67" s="43">
        <f t="shared" si="13"/>
        <v>1831.2145554473971</v>
      </c>
      <c r="O67" s="43">
        <f t="shared" si="13"/>
        <v>1831.2145554473971</v>
      </c>
      <c r="P67" s="43">
        <f t="shared" si="13"/>
        <v>1831.2145554473971</v>
      </c>
      <c r="Q67" s="443">
        <f t="shared" si="13"/>
        <v>21974.574665368764</v>
      </c>
      <c r="R67" s="444">
        <f t="shared" si="1"/>
        <v>1.6932173420687906</v>
      </c>
      <c r="S67" s="400">
        <v>4445.8600000000006</v>
      </c>
      <c r="T67" s="461">
        <f>IFERROR(Q67/S67-1,"-")</f>
        <v>3.9427050481501356</v>
      </c>
      <c r="U67" s="300"/>
      <c r="V67" s="38"/>
    </row>
    <row r="68" spans="1:22" x14ac:dyDescent="0.35">
      <c r="A68" s="110"/>
      <c r="Q68" s="430"/>
      <c r="R68" s="432"/>
      <c r="S68" s="396"/>
      <c r="T68" s="399"/>
      <c r="U68" s="300"/>
      <c r="V68" s="38"/>
    </row>
    <row r="69" spans="1:22" x14ac:dyDescent="0.35">
      <c r="A69" s="110"/>
      <c r="B69" s="34" t="s">
        <v>34</v>
      </c>
      <c r="C69" s="34" t="s">
        <v>54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30">
        <f>SUM(E69:P69)</f>
        <v>0</v>
      </c>
      <c r="R69" s="432">
        <f t="shared" si="1"/>
        <v>0</v>
      </c>
      <c r="S69" s="396">
        <v>0</v>
      </c>
      <c r="T69" s="460" t="str">
        <f>IFERROR(Q69/S69-1,"-")</f>
        <v>-</v>
      </c>
      <c r="U69" s="300"/>
      <c r="V69" s="38"/>
    </row>
    <row r="70" spans="1:22" x14ac:dyDescent="0.35">
      <c r="A70" s="110"/>
      <c r="Q70" s="430"/>
      <c r="R70" s="432"/>
      <c r="S70" s="396"/>
      <c r="T70" s="399"/>
      <c r="U70" s="300"/>
      <c r="V70" s="38"/>
    </row>
    <row r="71" spans="1:22" ht="18" x14ac:dyDescent="0.35">
      <c r="A71" s="110"/>
      <c r="C71" s="91" t="s">
        <v>55</v>
      </c>
      <c r="D71" s="92"/>
      <c r="E71" s="92">
        <f t="shared" ref="E71:P71" si="14">+E27+E29+E31+E36+E38+E43+E45+E50+E52+E54+E56+E58+E63+E67+E69</f>
        <v>7899.1467339865094</v>
      </c>
      <c r="F71" s="92">
        <f>+F27+F29+F31+F36+F38+F43+F45+F50+F52+F54+F56+F58+F63+F67+F69</f>
        <v>8236.6967339865096</v>
      </c>
      <c r="G71" s="92">
        <f t="shared" si="14"/>
        <v>8557.1871994087323</v>
      </c>
      <c r="H71" s="92">
        <f t="shared" si="14"/>
        <v>7770.1671994087319</v>
      </c>
      <c r="I71" s="92">
        <f t="shared" si="14"/>
        <v>8964.0971994087322</v>
      </c>
      <c r="J71" s="92">
        <f t="shared" si="14"/>
        <v>13135.997199408732</v>
      </c>
      <c r="K71" s="92">
        <f t="shared" si="14"/>
        <v>8457.2671994087323</v>
      </c>
      <c r="L71" s="92">
        <f t="shared" si="14"/>
        <v>9083.4071994087317</v>
      </c>
      <c r="M71" s="92">
        <f t="shared" si="14"/>
        <v>7660.0571994087322</v>
      </c>
      <c r="N71" s="92">
        <f t="shared" si="14"/>
        <v>7755.7471994087318</v>
      </c>
      <c r="O71" s="92">
        <f t="shared" si="14"/>
        <v>8508.1271994087328</v>
      </c>
      <c r="P71" s="92">
        <f t="shared" si="14"/>
        <v>8449.4767339865102</v>
      </c>
      <c r="Q71" s="446">
        <f>+Q27+Q29+Q31+Q36+Q38+Q43+Q45+Q50+Q52+Q54+Q56+Q58+Q63+Q67+Q69</f>
        <v>104477.37499663811</v>
      </c>
      <c r="R71" s="447">
        <f t="shared" si="1"/>
        <v>8.0503448140420808</v>
      </c>
      <c r="S71" s="406">
        <f>+S27+S29+S31+S36+S38+S43+S45+S50+S52+S54+S56+S58+S63+S67+S69</f>
        <v>75418.03</v>
      </c>
      <c r="T71" s="465">
        <f>IFERROR(Q71/S71-1,"-")</f>
        <v>0.38531031633467649</v>
      </c>
      <c r="U71" s="304"/>
      <c r="V71" s="38"/>
    </row>
    <row r="72" spans="1:22" ht="18" x14ac:dyDescent="0.35">
      <c r="A72" s="110"/>
      <c r="Q72" s="435"/>
      <c r="R72" s="436"/>
      <c r="S72" s="402"/>
      <c r="T72" s="403"/>
      <c r="U72" s="301"/>
      <c r="V72" s="38"/>
    </row>
    <row r="73" spans="1:22" ht="18" x14ac:dyDescent="0.35">
      <c r="A73" s="110"/>
      <c r="B73" s="35" t="s">
        <v>56</v>
      </c>
      <c r="Q73" s="430"/>
      <c r="R73" s="432"/>
      <c r="S73" s="396"/>
      <c r="T73" s="399"/>
      <c r="U73" s="300"/>
      <c r="V73" s="38"/>
    </row>
    <row r="74" spans="1:22" x14ac:dyDescent="0.35">
      <c r="A74" s="110"/>
      <c r="Q74" s="430"/>
      <c r="R74" s="432"/>
      <c r="S74" s="396"/>
      <c r="T74" s="399"/>
      <c r="U74" s="300"/>
      <c r="V74" s="38"/>
    </row>
    <row r="75" spans="1:22" x14ac:dyDescent="0.35">
      <c r="A75" s="110" t="s">
        <v>141</v>
      </c>
      <c r="C75" s="34" t="s">
        <v>57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30">
        <f>SUM(E75:P75)</f>
        <v>0</v>
      </c>
      <c r="R75" s="432">
        <f t="shared" ref="R75:R131" si="15">Q75/$B$4</f>
        <v>0</v>
      </c>
      <c r="S75" s="396"/>
      <c r="T75" s="460" t="str">
        <f>IFERROR(Q75/S75-1,"-")</f>
        <v>-</v>
      </c>
      <c r="U75" s="300"/>
      <c r="V75" s="38"/>
    </row>
    <row r="76" spans="1:22" x14ac:dyDescent="0.35">
      <c r="A76" s="110"/>
      <c r="Q76" s="430"/>
      <c r="R76" s="432"/>
      <c r="S76" s="396"/>
      <c r="T76" s="399"/>
      <c r="U76" s="300"/>
      <c r="V76" s="38"/>
    </row>
    <row r="77" spans="1:22" x14ac:dyDescent="0.35">
      <c r="A77" s="110" t="s">
        <v>118</v>
      </c>
      <c r="D77" s="34" t="s">
        <v>58</v>
      </c>
      <c r="E77" s="34">
        <f>'Allocated Expenses'!F90</f>
        <v>328.94814064407331</v>
      </c>
      <c r="F77" s="34">
        <f>'Allocated Expenses'!G90</f>
        <v>328.94814064407331</v>
      </c>
      <c r="G77" s="34">
        <f>'Allocated Expenses'!H90</f>
        <v>328.94814064407331</v>
      </c>
      <c r="H77" s="34">
        <f>'Allocated Expenses'!I90</f>
        <v>328.94814064407331</v>
      </c>
      <c r="I77" s="34">
        <f>'Allocated Expenses'!J90</f>
        <v>328.94814064407331</v>
      </c>
      <c r="J77" s="34">
        <f>'Allocated Expenses'!K90</f>
        <v>328.94814064407331</v>
      </c>
      <c r="K77" s="34">
        <f>'Allocated Expenses'!L90</f>
        <v>328.94814064407331</v>
      </c>
      <c r="L77" s="34">
        <f>'Allocated Expenses'!M90</f>
        <v>328.94814064407331</v>
      </c>
      <c r="M77" s="34">
        <f>'Allocated Expenses'!N90</f>
        <v>328.94814064407331</v>
      </c>
      <c r="N77" s="34">
        <f>'Allocated Expenses'!O90</f>
        <v>328.94814064407331</v>
      </c>
      <c r="O77" s="34">
        <f>'Allocated Expenses'!P90</f>
        <v>328.94814064407331</v>
      </c>
      <c r="P77" s="34">
        <f>'Allocated Expenses'!Q90</f>
        <v>328.94814064407331</v>
      </c>
      <c r="Q77" s="430">
        <f>SUM(E77:P77)</f>
        <v>3947.3776877288788</v>
      </c>
      <c r="R77" s="432">
        <f t="shared" si="15"/>
        <v>0.30415916841800578</v>
      </c>
      <c r="S77" s="396"/>
      <c r="T77" s="399"/>
      <c r="U77" s="300"/>
      <c r="V77" s="38"/>
    </row>
    <row r="78" spans="1:22" x14ac:dyDescent="0.35">
      <c r="A78" s="110" t="s">
        <v>119</v>
      </c>
      <c r="D78" s="34" t="s">
        <v>59</v>
      </c>
      <c r="E78" s="43">
        <f>'Allocated Expenses'!F101</f>
        <v>207.92107320388106</v>
      </c>
      <c r="F78" s="43">
        <f>'Allocated Expenses'!G101</f>
        <v>0</v>
      </c>
      <c r="G78" s="43">
        <f>'Allocated Expenses'!H101</f>
        <v>0</v>
      </c>
      <c r="H78" s="43">
        <f>'Allocated Expenses'!I101</f>
        <v>207.92107320388106</v>
      </c>
      <c r="I78" s="43">
        <f>'Allocated Expenses'!J101</f>
        <v>0</v>
      </c>
      <c r="J78" s="43">
        <f>'Allocated Expenses'!K101</f>
        <v>0</v>
      </c>
      <c r="K78" s="43">
        <f>'Allocated Expenses'!L101</f>
        <v>207.92107320388106</v>
      </c>
      <c r="L78" s="43">
        <f>'Allocated Expenses'!M101</f>
        <v>0</v>
      </c>
      <c r="M78" s="43">
        <f>'Allocated Expenses'!N101</f>
        <v>0</v>
      </c>
      <c r="N78" s="43">
        <f>'Allocated Expenses'!O101</f>
        <v>207.92107320388106</v>
      </c>
      <c r="O78" s="43">
        <f>'Allocated Expenses'!P101</f>
        <v>0</v>
      </c>
      <c r="P78" s="43">
        <f>'Allocated Expenses'!Q101</f>
        <v>0</v>
      </c>
      <c r="Q78" s="443">
        <f>SUM(E78:P78)</f>
        <v>831.68429281552426</v>
      </c>
      <c r="R78" s="444">
        <f t="shared" si="15"/>
        <v>6.4084164957275716E-2</v>
      </c>
      <c r="S78" s="396"/>
      <c r="T78" s="399"/>
      <c r="U78" s="300"/>
      <c r="V78" s="38"/>
    </row>
    <row r="79" spans="1:22" x14ac:dyDescent="0.35">
      <c r="A79" s="110"/>
      <c r="C79" s="34" t="s">
        <v>60</v>
      </c>
      <c r="E79" s="43">
        <f t="shared" ref="E79:Q79" si="16">SUM(E77:E78)</f>
        <v>536.86921384795437</v>
      </c>
      <c r="F79" s="43">
        <f t="shared" si="16"/>
        <v>328.94814064407331</v>
      </c>
      <c r="G79" s="43">
        <f t="shared" si="16"/>
        <v>328.94814064407331</v>
      </c>
      <c r="H79" s="43">
        <f t="shared" si="16"/>
        <v>536.86921384795437</v>
      </c>
      <c r="I79" s="43">
        <f t="shared" si="16"/>
        <v>328.94814064407331</v>
      </c>
      <c r="J79" s="43">
        <f t="shared" si="16"/>
        <v>328.94814064407331</v>
      </c>
      <c r="K79" s="43">
        <f t="shared" si="16"/>
        <v>536.86921384795437</v>
      </c>
      <c r="L79" s="43">
        <f t="shared" si="16"/>
        <v>328.94814064407331</v>
      </c>
      <c r="M79" s="43">
        <f t="shared" si="16"/>
        <v>328.94814064407331</v>
      </c>
      <c r="N79" s="43">
        <f t="shared" si="16"/>
        <v>536.86921384795437</v>
      </c>
      <c r="O79" s="43">
        <f t="shared" si="16"/>
        <v>328.94814064407331</v>
      </c>
      <c r="P79" s="43">
        <f t="shared" si="16"/>
        <v>328.94814064407331</v>
      </c>
      <c r="Q79" s="443">
        <f t="shared" si="16"/>
        <v>4779.061980544403</v>
      </c>
      <c r="R79" s="444">
        <f t="shared" si="15"/>
        <v>0.36824333337528148</v>
      </c>
      <c r="S79" s="400">
        <v>3732</v>
      </c>
      <c r="T79" s="461">
        <f>IFERROR(Q79/S79-1,"-")</f>
        <v>0.28056323165712826</v>
      </c>
      <c r="U79" s="300"/>
      <c r="V79" s="38"/>
    </row>
    <row r="80" spans="1:22" x14ac:dyDescent="0.35">
      <c r="A80" s="110"/>
      <c r="Q80" s="430"/>
      <c r="R80" s="432"/>
      <c r="S80" s="396"/>
      <c r="T80" s="399"/>
      <c r="U80" s="300"/>
      <c r="V80" s="38"/>
    </row>
    <row r="81" spans="1:22" x14ac:dyDescent="0.35">
      <c r="A81" s="110" t="s">
        <v>142</v>
      </c>
      <c r="D81" s="34" t="s">
        <v>61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30">
        <f>SUM(E81:P81)</f>
        <v>0</v>
      </c>
      <c r="R81" s="432">
        <f t="shared" si="15"/>
        <v>0</v>
      </c>
      <c r="S81" s="396"/>
      <c r="T81" s="399"/>
      <c r="U81" s="300"/>
      <c r="V81" s="38"/>
    </row>
    <row r="82" spans="1:22" x14ac:dyDescent="0.35">
      <c r="A82" s="110" t="s">
        <v>143</v>
      </c>
      <c r="D82" s="34" t="s">
        <v>21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30">
        <f>SUM(E82:P82)</f>
        <v>0</v>
      </c>
      <c r="R82" s="432">
        <f t="shared" si="15"/>
        <v>0</v>
      </c>
      <c r="S82" s="396"/>
      <c r="T82" s="399"/>
      <c r="U82" s="300"/>
      <c r="V82" s="38"/>
    </row>
    <row r="83" spans="1:22" x14ac:dyDescent="0.35">
      <c r="A83" s="110" t="s">
        <v>144</v>
      </c>
      <c r="D83" s="34" t="s">
        <v>29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43">
        <f>SUM(E83:P83)</f>
        <v>0</v>
      </c>
      <c r="R83" s="444">
        <f t="shared" si="15"/>
        <v>0</v>
      </c>
      <c r="S83" s="396"/>
      <c r="T83" s="399"/>
      <c r="U83" s="300"/>
      <c r="V83" s="38"/>
    </row>
    <row r="84" spans="1:22" x14ac:dyDescent="0.35">
      <c r="A84" s="110"/>
      <c r="C84" s="34" t="s">
        <v>62</v>
      </c>
      <c r="E84" s="43">
        <f t="shared" ref="E84:Q84" si="17">SUM(E81:E83)</f>
        <v>0</v>
      </c>
      <c r="F84" s="43">
        <f t="shared" si="17"/>
        <v>0</v>
      </c>
      <c r="G84" s="43">
        <f t="shared" si="17"/>
        <v>0</v>
      </c>
      <c r="H84" s="43">
        <f t="shared" si="17"/>
        <v>0</v>
      </c>
      <c r="I84" s="43">
        <f t="shared" si="17"/>
        <v>0</v>
      </c>
      <c r="J84" s="43">
        <f t="shared" si="17"/>
        <v>0</v>
      </c>
      <c r="K84" s="43">
        <f t="shared" si="17"/>
        <v>0</v>
      </c>
      <c r="L84" s="43">
        <f t="shared" si="17"/>
        <v>0</v>
      </c>
      <c r="M84" s="43">
        <f t="shared" si="17"/>
        <v>0</v>
      </c>
      <c r="N84" s="43">
        <f t="shared" si="17"/>
        <v>0</v>
      </c>
      <c r="O84" s="43">
        <f t="shared" si="17"/>
        <v>0</v>
      </c>
      <c r="P84" s="43">
        <f t="shared" si="17"/>
        <v>0</v>
      </c>
      <c r="Q84" s="443">
        <f t="shared" si="17"/>
        <v>0</v>
      </c>
      <c r="R84" s="444">
        <f t="shared" si="15"/>
        <v>0</v>
      </c>
      <c r="S84" s="400">
        <v>2336.75</v>
      </c>
      <c r="T84" s="461">
        <f>IFERROR(Q84/S84-1,"-")</f>
        <v>-1</v>
      </c>
      <c r="U84" s="300"/>
      <c r="V84" s="38"/>
    </row>
    <row r="85" spans="1:22" x14ac:dyDescent="0.35">
      <c r="A85" s="110"/>
      <c r="Q85" s="430"/>
      <c r="R85" s="432"/>
      <c r="S85" s="396"/>
      <c r="T85" s="399"/>
      <c r="U85" s="300"/>
      <c r="V85" s="38"/>
    </row>
    <row r="86" spans="1:22" x14ac:dyDescent="0.35">
      <c r="A86" s="110"/>
      <c r="D86" s="88" t="s">
        <v>31</v>
      </c>
      <c r="E86" s="117">
        <f>1.03*200</f>
        <v>206</v>
      </c>
      <c r="F86" s="117">
        <f t="shared" ref="F86:P86" si="18">1.03*200</f>
        <v>206</v>
      </c>
      <c r="G86" s="117">
        <f t="shared" si="18"/>
        <v>206</v>
      </c>
      <c r="H86" s="117">
        <f t="shared" si="18"/>
        <v>206</v>
      </c>
      <c r="I86" s="117">
        <f t="shared" si="18"/>
        <v>206</v>
      </c>
      <c r="J86" s="117">
        <f t="shared" si="18"/>
        <v>206</v>
      </c>
      <c r="K86" s="117">
        <f t="shared" si="18"/>
        <v>206</v>
      </c>
      <c r="L86" s="117">
        <f t="shared" si="18"/>
        <v>206</v>
      </c>
      <c r="M86" s="117">
        <f t="shared" si="18"/>
        <v>206</v>
      </c>
      <c r="N86" s="117">
        <f t="shared" si="18"/>
        <v>206</v>
      </c>
      <c r="O86" s="117">
        <f t="shared" si="18"/>
        <v>206</v>
      </c>
      <c r="P86" s="117">
        <f t="shared" si="18"/>
        <v>206</v>
      </c>
      <c r="Q86" s="445">
        <f>SUM(E86:P86)</f>
        <v>2472</v>
      </c>
      <c r="R86" s="438">
        <f t="shared" si="15"/>
        <v>0.19047619047619047</v>
      </c>
      <c r="S86" s="396"/>
      <c r="T86" s="399"/>
      <c r="U86" s="300" t="s">
        <v>371</v>
      </c>
      <c r="V86" s="38" t="s">
        <v>461</v>
      </c>
    </row>
    <row r="87" spans="1:22" x14ac:dyDescent="0.35">
      <c r="A87" s="110"/>
      <c r="D87" s="90" t="s">
        <v>32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3">
        <f>SUM(E87:P87)</f>
        <v>0</v>
      </c>
      <c r="R87" s="442">
        <f t="shared" si="15"/>
        <v>0</v>
      </c>
      <c r="S87" s="396"/>
      <c r="T87" s="399"/>
      <c r="U87" s="300"/>
      <c r="V87" s="38"/>
    </row>
    <row r="88" spans="1:22" x14ac:dyDescent="0.35">
      <c r="A88" s="110" t="s">
        <v>120</v>
      </c>
      <c r="C88" s="34" t="s">
        <v>33</v>
      </c>
      <c r="E88" s="43">
        <f t="shared" ref="E88:Q88" si="19">SUM(E86:E87)</f>
        <v>206</v>
      </c>
      <c r="F88" s="43">
        <f t="shared" si="19"/>
        <v>206</v>
      </c>
      <c r="G88" s="43">
        <f t="shared" si="19"/>
        <v>206</v>
      </c>
      <c r="H88" s="43">
        <f t="shared" si="19"/>
        <v>206</v>
      </c>
      <c r="I88" s="43">
        <f t="shared" si="19"/>
        <v>206</v>
      </c>
      <c r="J88" s="43">
        <f t="shared" si="19"/>
        <v>206</v>
      </c>
      <c r="K88" s="43">
        <f t="shared" si="19"/>
        <v>206</v>
      </c>
      <c r="L88" s="43">
        <f t="shared" si="19"/>
        <v>206</v>
      </c>
      <c r="M88" s="43">
        <f t="shared" si="19"/>
        <v>206</v>
      </c>
      <c r="N88" s="43">
        <f t="shared" si="19"/>
        <v>206</v>
      </c>
      <c r="O88" s="43">
        <f t="shared" si="19"/>
        <v>206</v>
      </c>
      <c r="P88" s="43">
        <f t="shared" si="19"/>
        <v>206</v>
      </c>
      <c r="Q88" s="443">
        <f t="shared" si="19"/>
        <v>2472</v>
      </c>
      <c r="R88" s="444">
        <f t="shared" si="15"/>
        <v>0.19047619047619047</v>
      </c>
      <c r="S88" s="400">
        <v>4115</v>
      </c>
      <c r="T88" s="461">
        <f>IFERROR(Q88/S88-1,"-")</f>
        <v>-0.39927095990279471</v>
      </c>
      <c r="U88" s="300"/>
      <c r="V88" s="38"/>
    </row>
    <row r="89" spans="1:22" x14ac:dyDescent="0.35">
      <c r="A89" s="110"/>
      <c r="Q89" s="430"/>
      <c r="R89" s="432"/>
      <c r="S89" s="396"/>
      <c r="T89" s="399"/>
      <c r="U89" s="300"/>
      <c r="V89" s="38"/>
    </row>
    <row r="90" spans="1:22" s="95" customFormat="1" hidden="1" x14ac:dyDescent="0.35">
      <c r="A90" s="111" t="s">
        <v>145</v>
      </c>
      <c r="B90" s="95" t="s">
        <v>34</v>
      </c>
      <c r="C90" s="95" t="s">
        <v>63</v>
      </c>
      <c r="Q90" s="448">
        <f>SUM(E90:P90)</f>
        <v>0</v>
      </c>
      <c r="R90" s="449">
        <f t="shared" si="15"/>
        <v>0</v>
      </c>
      <c r="S90" s="396"/>
      <c r="T90" s="399" t="e">
        <f>R90/S90-1</f>
        <v>#DIV/0!</v>
      </c>
      <c r="U90" s="300"/>
      <c r="V90" s="305"/>
    </row>
    <row r="91" spans="1:22" hidden="1" x14ac:dyDescent="0.35">
      <c r="A91" s="110"/>
      <c r="Q91" s="430"/>
      <c r="R91" s="432"/>
      <c r="S91" s="396"/>
      <c r="T91" s="399" t="e">
        <f>R91/S91-1</f>
        <v>#DIV/0!</v>
      </c>
      <c r="U91" s="300"/>
      <c r="V91" s="38"/>
    </row>
    <row r="92" spans="1:22" x14ac:dyDescent="0.35">
      <c r="A92" s="110" t="s">
        <v>121</v>
      </c>
      <c r="C92" s="34" t="s">
        <v>64</v>
      </c>
      <c r="E92" s="34">
        <f>'Allocated Expenses'!F112+'Allocated Expenses'!F123</f>
        <v>126.19019795376465</v>
      </c>
      <c r="F92" s="34">
        <f>'Allocated Expenses'!G112+'Allocated Expenses'!G123</f>
        <v>126.19019795376465</v>
      </c>
      <c r="G92" s="34">
        <f>'Allocated Expenses'!H112+'Allocated Expenses'!H123</f>
        <v>126.19019795376465</v>
      </c>
      <c r="H92" s="34">
        <f>'Allocated Expenses'!I112+'Allocated Expenses'!I123</f>
        <v>126.19019795376465</v>
      </c>
      <c r="I92" s="34">
        <f>'Allocated Expenses'!J112+'Allocated Expenses'!J123</f>
        <v>126.19019795376465</v>
      </c>
      <c r="J92" s="34">
        <f>'Allocated Expenses'!K112+'Allocated Expenses'!K123</f>
        <v>126.19019795376465</v>
      </c>
      <c r="K92" s="34">
        <f>'Allocated Expenses'!L112+'Allocated Expenses'!L123</f>
        <v>126.19019795376465</v>
      </c>
      <c r="L92" s="34">
        <f>'Allocated Expenses'!M112+'Allocated Expenses'!M123</f>
        <v>126.19019795376465</v>
      </c>
      <c r="M92" s="34">
        <f>'Allocated Expenses'!N112+'Allocated Expenses'!N123</f>
        <v>126.19019795376465</v>
      </c>
      <c r="N92" s="34">
        <f>'Allocated Expenses'!O112+'Allocated Expenses'!O123</f>
        <v>126.19019795376465</v>
      </c>
      <c r="O92" s="34">
        <f>'Allocated Expenses'!P112+'Allocated Expenses'!P123</f>
        <v>126.19019795376465</v>
      </c>
      <c r="P92" s="34">
        <f>'Allocated Expenses'!Q112+'Allocated Expenses'!Q123</f>
        <v>126.19019795376465</v>
      </c>
      <c r="Q92" s="430">
        <f>SUM(E92:P92)</f>
        <v>1514.2823754451763</v>
      </c>
      <c r="R92" s="432">
        <f t="shared" si="15"/>
        <v>0.11668071932849254</v>
      </c>
      <c r="S92" s="396">
        <v>1500</v>
      </c>
      <c r="T92" s="460">
        <f>IFERROR(Q92/S92-1,"-")</f>
        <v>9.5215836301174583E-3</v>
      </c>
      <c r="U92" s="300"/>
      <c r="V92" s="38"/>
    </row>
    <row r="93" spans="1:22" x14ac:dyDescent="0.35">
      <c r="A93" s="110"/>
      <c r="Q93" s="430"/>
      <c r="R93" s="432"/>
      <c r="S93" s="396"/>
      <c r="T93" s="399"/>
      <c r="U93" s="300"/>
      <c r="V93" s="38"/>
    </row>
    <row r="94" spans="1:22" x14ac:dyDescent="0.35">
      <c r="A94" s="110" t="s">
        <v>122</v>
      </c>
      <c r="C94" s="34" t="s">
        <v>65</v>
      </c>
      <c r="E94" s="34">
        <f>'Allocated Expenses'!F134</f>
        <v>0</v>
      </c>
      <c r="F94" s="34">
        <f>'Allocated Expenses'!G134</f>
        <v>0</v>
      </c>
      <c r="G94" s="34">
        <f>'Allocated Expenses'!H134</f>
        <v>0</v>
      </c>
      <c r="H94" s="34">
        <f>'Allocated Expenses'!I134</f>
        <v>596.69074763503863</v>
      </c>
      <c r="I94" s="34">
        <f>'Allocated Expenses'!J134</f>
        <v>0</v>
      </c>
      <c r="J94" s="34">
        <f>'Allocated Expenses'!K134</f>
        <v>0</v>
      </c>
      <c r="K94" s="34">
        <f>'Allocated Expenses'!L134</f>
        <v>0</v>
      </c>
      <c r="L94" s="34">
        <f>'Allocated Expenses'!M134</f>
        <v>0</v>
      </c>
      <c r="M94" s="34">
        <f>'Allocated Expenses'!N134</f>
        <v>0</v>
      </c>
      <c r="N94" s="34">
        <f>'Allocated Expenses'!O134</f>
        <v>0</v>
      </c>
      <c r="O94" s="34">
        <f>'Allocated Expenses'!P134</f>
        <v>0</v>
      </c>
      <c r="P94" s="34">
        <f>'Allocated Expenses'!Q134</f>
        <v>0</v>
      </c>
      <c r="Q94" s="430">
        <f>SUM(E94:P94)</f>
        <v>596.69074763503863</v>
      </c>
      <c r="R94" s="432">
        <f t="shared" si="15"/>
        <v>4.5977095672294549E-2</v>
      </c>
      <c r="S94" s="396"/>
      <c r="T94" s="460" t="str">
        <f>IFERROR(Q94/S94-1,"-")</f>
        <v>-</v>
      </c>
      <c r="U94" s="300"/>
      <c r="V94" s="38"/>
    </row>
    <row r="95" spans="1:22" x14ac:dyDescent="0.35">
      <c r="A95" s="110"/>
      <c r="Q95" s="430"/>
      <c r="R95" s="432"/>
      <c r="S95" s="396"/>
      <c r="T95" s="399"/>
      <c r="U95" s="300"/>
      <c r="V95" s="38"/>
    </row>
    <row r="96" spans="1:22" x14ac:dyDescent="0.35">
      <c r="A96" s="110" t="s">
        <v>123</v>
      </c>
      <c r="C96" s="34" t="s">
        <v>66</v>
      </c>
      <c r="E96" s="34">
        <f>'Allocated Expenses'!F146</f>
        <v>115.32660986874394</v>
      </c>
      <c r="F96" s="34">
        <f>'Allocated Expenses'!G146</f>
        <v>115.32660986874394</v>
      </c>
      <c r="G96" s="34">
        <f>'Allocated Expenses'!H146</f>
        <v>115.32660986874394</v>
      </c>
      <c r="H96" s="34">
        <f>'Allocated Expenses'!I146</f>
        <v>115.32660986874394</v>
      </c>
      <c r="I96" s="34">
        <f>'Allocated Expenses'!J146</f>
        <v>115.32660986874394</v>
      </c>
      <c r="J96" s="34">
        <f>'Allocated Expenses'!K146</f>
        <v>115.32660986874394</v>
      </c>
      <c r="K96" s="34">
        <f>'Allocated Expenses'!L146</f>
        <v>115.32660986874394</v>
      </c>
      <c r="L96" s="34">
        <f>'Allocated Expenses'!M146</f>
        <v>115.32660986874394</v>
      </c>
      <c r="M96" s="34">
        <f>'Allocated Expenses'!N146</f>
        <v>115.32660986874394</v>
      </c>
      <c r="N96" s="34">
        <f>'Allocated Expenses'!O146</f>
        <v>115.32660986874394</v>
      </c>
      <c r="O96" s="34">
        <f>'Allocated Expenses'!P146</f>
        <v>115.32660986874394</v>
      </c>
      <c r="P96" s="34">
        <f>'Allocated Expenses'!Q146</f>
        <v>115.32660986874394</v>
      </c>
      <c r="Q96" s="430">
        <f>SUM(E96:P96)</f>
        <v>1383.919318424927</v>
      </c>
      <c r="R96" s="432">
        <f t="shared" si="15"/>
        <v>0.10663579275889405</v>
      </c>
      <c r="S96" s="396">
        <v>1312.12</v>
      </c>
      <c r="T96" s="460">
        <f>IFERROR(Q96/S96-1,"-")</f>
        <v>5.4720085377044203E-2</v>
      </c>
      <c r="U96" s="300"/>
      <c r="V96" s="38"/>
    </row>
    <row r="97" spans="1:22" x14ac:dyDescent="0.35">
      <c r="A97" s="110"/>
      <c r="Q97" s="430"/>
      <c r="R97" s="432"/>
      <c r="S97" s="396"/>
      <c r="T97" s="399"/>
      <c r="U97" s="300"/>
      <c r="V97" s="38"/>
    </row>
    <row r="98" spans="1:22" x14ac:dyDescent="0.35">
      <c r="A98" s="110" t="s">
        <v>130</v>
      </c>
      <c r="D98" s="34" t="s">
        <v>67</v>
      </c>
      <c r="E98" s="34">
        <f>'Allocated Expenses'!F157</f>
        <v>5.2148489233983106</v>
      </c>
      <c r="F98" s="34">
        <f>'Allocated Expenses'!G157</f>
        <v>5.2148489233983106</v>
      </c>
      <c r="G98" s="34">
        <f>'Allocated Expenses'!H157</f>
        <v>5.2148489233983106</v>
      </c>
      <c r="H98" s="34">
        <f>'Allocated Expenses'!I157</f>
        <v>5.2148489233983106</v>
      </c>
      <c r="I98" s="34">
        <f>'Allocated Expenses'!J157</f>
        <v>5.2148489233983106</v>
      </c>
      <c r="J98" s="34">
        <f>'Allocated Expenses'!K157</f>
        <v>5.2148489233983106</v>
      </c>
      <c r="K98" s="34">
        <f>'Allocated Expenses'!L157</f>
        <v>5.2148489233983106</v>
      </c>
      <c r="L98" s="34">
        <f>'Allocated Expenses'!M157</f>
        <v>5.2148489233983106</v>
      </c>
      <c r="M98" s="34">
        <f>'Allocated Expenses'!N157</f>
        <v>5.2148489233983106</v>
      </c>
      <c r="N98" s="34">
        <f>'Allocated Expenses'!O157</f>
        <v>5.2148489233983106</v>
      </c>
      <c r="O98" s="34">
        <f>'Allocated Expenses'!P157</f>
        <v>5.2148489233983106</v>
      </c>
      <c r="P98" s="34">
        <f>'Allocated Expenses'!Q157</f>
        <v>5.2148489233983106</v>
      </c>
      <c r="Q98" s="430">
        <f>SUM(E98:P98)</f>
        <v>62.578187080779713</v>
      </c>
      <c r="R98" s="432">
        <f t="shared" si="15"/>
        <v>4.8218667807658896E-3</v>
      </c>
      <c r="S98" s="396"/>
      <c r="T98" s="399"/>
      <c r="U98" s="300"/>
      <c r="V98" s="38"/>
    </row>
    <row r="99" spans="1:22" x14ac:dyDescent="0.35">
      <c r="A99" s="110" t="s">
        <v>146</v>
      </c>
      <c r="D99" s="34" t="s">
        <v>68</v>
      </c>
      <c r="E99" s="34">
        <f>'Allocated Expenses'!F168</f>
        <v>0</v>
      </c>
      <c r="F99" s="34">
        <f>'Allocated Expenses'!G168</f>
        <v>0</v>
      </c>
      <c r="G99" s="34">
        <f>'Allocated Expenses'!H168</f>
        <v>0</v>
      </c>
      <c r="H99" s="34">
        <f>'Allocated Expenses'!I168</f>
        <v>0</v>
      </c>
      <c r="I99" s="34">
        <f>'Allocated Expenses'!J168</f>
        <v>0</v>
      </c>
      <c r="J99" s="34">
        <f>'Allocated Expenses'!K168</f>
        <v>0</v>
      </c>
      <c r="K99" s="34">
        <f>'Allocated Expenses'!L168</f>
        <v>0</v>
      </c>
      <c r="L99" s="34">
        <f>'Allocated Expenses'!M168</f>
        <v>0</v>
      </c>
      <c r="M99" s="34">
        <f>'Allocated Expenses'!N168</f>
        <v>0</v>
      </c>
      <c r="N99" s="34">
        <f>'Allocated Expenses'!O168</f>
        <v>0</v>
      </c>
      <c r="O99" s="34">
        <f>'Allocated Expenses'!P168</f>
        <v>0</v>
      </c>
      <c r="P99" s="34">
        <f>'Allocated Expenses'!Q168</f>
        <v>0</v>
      </c>
      <c r="Q99" s="430">
        <f>SUM(E99:P99)</f>
        <v>0</v>
      </c>
      <c r="R99" s="432">
        <f t="shared" si="15"/>
        <v>0</v>
      </c>
      <c r="S99" s="396"/>
      <c r="T99" s="399"/>
      <c r="U99" s="300"/>
      <c r="V99" s="38"/>
    </row>
    <row r="100" spans="1:22" x14ac:dyDescent="0.35">
      <c r="A100" s="110" t="s">
        <v>147</v>
      </c>
      <c r="D100" s="34" t="s">
        <v>69</v>
      </c>
      <c r="E100" s="34">
        <f>'Allocated Expenses'!F179</f>
        <v>0</v>
      </c>
      <c r="F100" s="34">
        <f>'Allocated Expenses'!G179</f>
        <v>0</v>
      </c>
      <c r="G100" s="34">
        <f>'Allocated Expenses'!H179</f>
        <v>0</v>
      </c>
      <c r="H100" s="34">
        <f>'Allocated Expenses'!I179</f>
        <v>0</v>
      </c>
      <c r="I100" s="34">
        <f>'Allocated Expenses'!J179</f>
        <v>0</v>
      </c>
      <c r="J100" s="34">
        <f>'Allocated Expenses'!K179</f>
        <v>0</v>
      </c>
      <c r="K100" s="34">
        <f>'Allocated Expenses'!L179</f>
        <v>0</v>
      </c>
      <c r="L100" s="34">
        <f>'Allocated Expenses'!M179</f>
        <v>0</v>
      </c>
      <c r="M100" s="34">
        <f>'Allocated Expenses'!N179</f>
        <v>0</v>
      </c>
      <c r="N100" s="34">
        <f>'Allocated Expenses'!O179</f>
        <v>0</v>
      </c>
      <c r="O100" s="34">
        <f>'Allocated Expenses'!P179</f>
        <v>0</v>
      </c>
      <c r="P100" s="34">
        <f>'Allocated Expenses'!Q179</f>
        <v>0</v>
      </c>
      <c r="Q100" s="430">
        <f>SUM(E100:P100)</f>
        <v>0</v>
      </c>
      <c r="R100" s="432">
        <f t="shared" si="15"/>
        <v>0</v>
      </c>
      <c r="S100" s="396"/>
      <c r="T100" s="399"/>
      <c r="U100" s="300"/>
      <c r="V100" s="38"/>
    </row>
    <row r="101" spans="1:22" x14ac:dyDescent="0.35">
      <c r="A101" s="110" t="s">
        <v>131</v>
      </c>
      <c r="D101" s="34" t="s">
        <v>70</v>
      </c>
      <c r="E101" s="34">
        <f>'Allocated Expenses'!F190</f>
        <v>5.0466279903854625</v>
      </c>
      <c r="F101" s="34">
        <f>'Allocated Expenses'!G190</f>
        <v>5.0466279903854625</v>
      </c>
      <c r="G101" s="34">
        <f>'Allocated Expenses'!H190</f>
        <v>5.0466279903854625</v>
      </c>
      <c r="H101" s="34">
        <f>'Allocated Expenses'!I190</f>
        <v>5.0466279903854625</v>
      </c>
      <c r="I101" s="34">
        <f>'Allocated Expenses'!J190</f>
        <v>5.0466279903854625</v>
      </c>
      <c r="J101" s="34">
        <f>'Allocated Expenses'!K190</f>
        <v>5.0466279903854625</v>
      </c>
      <c r="K101" s="34">
        <f>'Allocated Expenses'!L190</f>
        <v>5.0466279903854625</v>
      </c>
      <c r="L101" s="34">
        <f>'Allocated Expenses'!M190</f>
        <v>5.0466279903854625</v>
      </c>
      <c r="M101" s="34">
        <f>'Allocated Expenses'!N190</f>
        <v>5.0466279903854625</v>
      </c>
      <c r="N101" s="34">
        <f>'Allocated Expenses'!O190</f>
        <v>5.0466279903854625</v>
      </c>
      <c r="O101" s="34">
        <f>'Allocated Expenses'!P190</f>
        <v>5.0466279903854625</v>
      </c>
      <c r="P101" s="34">
        <f>'Allocated Expenses'!Q190</f>
        <v>5.0466279903854625</v>
      </c>
      <c r="Q101" s="430">
        <f>SUM(E101:P101)</f>
        <v>60.559535884625539</v>
      </c>
      <c r="R101" s="432">
        <f t="shared" si="15"/>
        <v>4.6663226910637649E-3</v>
      </c>
      <c r="S101" s="396"/>
      <c r="T101" s="399"/>
      <c r="U101" s="300"/>
      <c r="V101" s="38"/>
    </row>
    <row r="102" spans="1:22" x14ac:dyDescent="0.35">
      <c r="A102" s="110" t="s">
        <v>124</v>
      </c>
      <c r="D102" s="34" t="s">
        <v>71</v>
      </c>
      <c r="E102" s="43">
        <f>'Allocated Expenses'!F201</f>
        <v>150</v>
      </c>
      <c r="F102" s="43">
        <f>'Allocated Expenses'!G201</f>
        <v>150</v>
      </c>
      <c r="G102" s="43">
        <f>'Allocated Expenses'!H201</f>
        <v>150</v>
      </c>
      <c r="H102" s="43">
        <f>'Allocated Expenses'!I201</f>
        <v>150</v>
      </c>
      <c r="I102" s="43">
        <f>'Allocated Expenses'!J201</f>
        <v>150</v>
      </c>
      <c r="J102" s="43">
        <f>'Allocated Expenses'!K201</f>
        <v>150</v>
      </c>
      <c r="K102" s="43">
        <f>'Allocated Expenses'!L201</f>
        <v>150</v>
      </c>
      <c r="L102" s="43">
        <f>'Allocated Expenses'!M201</f>
        <v>150</v>
      </c>
      <c r="M102" s="43">
        <f>'Allocated Expenses'!N201</f>
        <v>150</v>
      </c>
      <c r="N102" s="43">
        <f>'Allocated Expenses'!O201</f>
        <v>150</v>
      </c>
      <c r="O102" s="43">
        <f>'Allocated Expenses'!P201</f>
        <v>150</v>
      </c>
      <c r="P102" s="43">
        <f>'Allocated Expenses'!Q201</f>
        <v>150</v>
      </c>
      <c r="Q102" s="443">
        <f>SUM(E102:P102)</f>
        <v>1800</v>
      </c>
      <c r="R102" s="444">
        <f t="shared" si="15"/>
        <v>0.13869625520110956</v>
      </c>
      <c r="S102" s="396"/>
      <c r="T102" s="399"/>
      <c r="U102" s="300"/>
      <c r="V102" s="38"/>
    </row>
    <row r="103" spans="1:22" x14ac:dyDescent="0.35">
      <c r="A103" s="110"/>
      <c r="C103" s="34" t="s">
        <v>72</v>
      </c>
      <c r="E103" s="43">
        <f t="shared" ref="E103:Q103" si="20">SUM(E98:E102)</f>
        <v>160.26147691378378</v>
      </c>
      <c r="F103" s="43">
        <f t="shared" si="20"/>
        <v>160.26147691378378</v>
      </c>
      <c r="G103" s="43">
        <f t="shared" si="20"/>
        <v>160.26147691378378</v>
      </c>
      <c r="H103" s="43">
        <f t="shared" si="20"/>
        <v>160.26147691378378</v>
      </c>
      <c r="I103" s="43">
        <f t="shared" si="20"/>
        <v>160.26147691378378</v>
      </c>
      <c r="J103" s="43">
        <f t="shared" si="20"/>
        <v>160.26147691378378</v>
      </c>
      <c r="K103" s="43">
        <f t="shared" si="20"/>
        <v>160.26147691378378</v>
      </c>
      <c r="L103" s="43">
        <f t="shared" si="20"/>
        <v>160.26147691378378</v>
      </c>
      <c r="M103" s="43">
        <f t="shared" si="20"/>
        <v>160.26147691378378</v>
      </c>
      <c r="N103" s="43">
        <f t="shared" si="20"/>
        <v>160.26147691378378</v>
      </c>
      <c r="O103" s="43">
        <f t="shared" si="20"/>
        <v>160.26147691378378</v>
      </c>
      <c r="P103" s="43">
        <f t="shared" si="20"/>
        <v>160.26147691378378</v>
      </c>
      <c r="Q103" s="443">
        <f t="shared" si="20"/>
        <v>1923.1377229654054</v>
      </c>
      <c r="R103" s="444">
        <f t="shared" si="15"/>
        <v>0.14818444467293923</v>
      </c>
      <c r="S103" s="400">
        <v>1860</v>
      </c>
      <c r="T103" s="461">
        <f>IFERROR(Q103/S103-1,"-")</f>
        <v>3.3945012346992209E-2</v>
      </c>
      <c r="U103" s="300"/>
      <c r="V103" s="38"/>
    </row>
    <row r="104" spans="1:22" x14ac:dyDescent="0.35">
      <c r="A104" s="110"/>
      <c r="Q104" s="430"/>
      <c r="R104" s="432"/>
      <c r="S104" s="396"/>
      <c r="T104" s="399"/>
      <c r="U104" s="300"/>
      <c r="V104" s="38"/>
    </row>
    <row r="105" spans="1:22" ht="18" x14ac:dyDescent="0.35">
      <c r="A105" s="110"/>
      <c r="C105" s="60" t="s">
        <v>73</v>
      </c>
      <c r="D105" s="92"/>
      <c r="E105" s="92">
        <f t="shared" ref="E105:Q105" si="21">+E75+E79+E84+E88+E90+E92+E94+E96+E103</f>
        <v>1144.6474985842469</v>
      </c>
      <c r="F105" s="92">
        <f t="shared" si="21"/>
        <v>936.72642538036564</v>
      </c>
      <c r="G105" s="92">
        <f t="shared" si="21"/>
        <v>936.72642538036564</v>
      </c>
      <c r="H105" s="92">
        <f t="shared" si="21"/>
        <v>1741.3382462192853</v>
      </c>
      <c r="I105" s="92">
        <f t="shared" si="21"/>
        <v>936.72642538036564</v>
      </c>
      <c r="J105" s="92">
        <f t="shared" si="21"/>
        <v>936.72642538036564</v>
      </c>
      <c r="K105" s="92">
        <f t="shared" si="21"/>
        <v>1144.6474985842469</v>
      </c>
      <c r="L105" s="92">
        <f t="shared" si="21"/>
        <v>936.72642538036564</v>
      </c>
      <c r="M105" s="92">
        <f t="shared" si="21"/>
        <v>936.72642538036564</v>
      </c>
      <c r="N105" s="92">
        <f t="shared" si="21"/>
        <v>1144.6474985842469</v>
      </c>
      <c r="O105" s="92">
        <f t="shared" si="21"/>
        <v>936.72642538036564</v>
      </c>
      <c r="P105" s="92">
        <f t="shared" si="21"/>
        <v>936.72642538036564</v>
      </c>
      <c r="Q105" s="446">
        <f t="shared" si="21"/>
        <v>12669.092145014951</v>
      </c>
      <c r="R105" s="447">
        <f t="shared" si="15"/>
        <v>0.97619757628409232</v>
      </c>
      <c r="S105" s="406">
        <f>+S75+S79+S84+S88+S90+S92+S94+S96+S103</f>
        <v>14855.869999999999</v>
      </c>
      <c r="T105" s="465">
        <f>IFERROR(Q105/S105-1,"-")</f>
        <v>-0.14719958204972505</v>
      </c>
      <c r="U105" s="304"/>
      <c r="V105" s="38"/>
    </row>
    <row r="106" spans="1:22" ht="18.5" thickBot="1" x14ac:dyDescent="0.4">
      <c r="A106" s="110"/>
      <c r="Q106" s="435"/>
      <c r="R106" s="436"/>
      <c r="S106" s="402"/>
      <c r="T106" s="403"/>
      <c r="U106" s="301"/>
      <c r="V106" s="38"/>
    </row>
    <row r="107" spans="1:22" s="36" customFormat="1" ht="18" thickBot="1" x14ac:dyDescent="0.4">
      <c r="A107" s="285"/>
      <c r="B107" s="286" t="s">
        <v>74</v>
      </c>
      <c r="C107" s="287"/>
      <c r="D107" s="287"/>
      <c r="E107" s="287">
        <f t="shared" ref="E107:Q107" si="22">+E71+E105</f>
        <v>9043.7942325707554</v>
      </c>
      <c r="F107" s="287">
        <f t="shared" si="22"/>
        <v>9173.4231593668756</v>
      </c>
      <c r="G107" s="287">
        <f t="shared" si="22"/>
        <v>9493.9136247890983</v>
      </c>
      <c r="H107" s="287">
        <f t="shared" si="22"/>
        <v>9511.5054456280177</v>
      </c>
      <c r="I107" s="287">
        <f t="shared" si="22"/>
        <v>9900.8236247890982</v>
      </c>
      <c r="J107" s="287">
        <f t="shared" si="22"/>
        <v>14072.723624789098</v>
      </c>
      <c r="K107" s="287">
        <f t="shared" si="22"/>
        <v>9601.9146979929792</v>
      </c>
      <c r="L107" s="287">
        <f t="shared" si="22"/>
        <v>10020.133624789098</v>
      </c>
      <c r="M107" s="287">
        <f t="shared" si="22"/>
        <v>8596.7836247890973</v>
      </c>
      <c r="N107" s="287">
        <f t="shared" si="22"/>
        <v>8900.3946979929788</v>
      </c>
      <c r="O107" s="287">
        <f t="shared" si="22"/>
        <v>9444.8536247890988</v>
      </c>
      <c r="P107" s="287">
        <f t="shared" si="22"/>
        <v>9386.2031593668762</v>
      </c>
      <c r="Q107" s="426">
        <f t="shared" si="22"/>
        <v>117146.46714165306</v>
      </c>
      <c r="R107" s="428">
        <f t="shared" si="15"/>
        <v>9.0265423903261723</v>
      </c>
      <c r="S107" s="427">
        <f>+S71+S105</f>
        <v>90273.9</v>
      </c>
      <c r="T107" s="405">
        <f>IFERROR(Q107/S107-1,"-")</f>
        <v>0.297678145528808</v>
      </c>
      <c r="U107" s="302"/>
      <c r="V107" s="74"/>
    </row>
    <row r="108" spans="1:22" ht="18.5" thickBot="1" x14ac:dyDescent="0.4">
      <c r="A108" s="110"/>
      <c r="Q108" s="435"/>
      <c r="R108" s="436"/>
      <c r="S108" s="402"/>
      <c r="T108" s="403"/>
      <c r="U108" s="301"/>
      <c r="V108" s="38"/>
    </row>
    <row r="109" spans="1:22" s="36" customFormat="1" ht="18" thickBot="1" x14ac:dyDescent="0.4">
      <c r="A109" s="285"/>
      <c r="B109" s="286" t="s">
        <v>75</v>
      </c>
      <c r="C109" s="287"/>
      <c r="D109" s="287"/>
      <c r="E109" s="287">
        <f t="shared" ref="E109:Q109" si="23">+E24-E107</f>
        <v>12342.559100762577</v>
      </c>
      <c r="F109" s="287">
        <f t="shared" si="23"/>
        <v>12212.930173966457</v>
      </c>
      <c r="G109" s="287">
        <f t="shared" si="23"/>
        <v>11892.439708544234</v>
      </c>
      <c r="H109" s="287">
        <f t="shared" si="23"/>
        <v>11874.847887705315</v>
      </c>
      <c r="I109" s="287">
        <f t="shared" si="23"/>
        <v>11485.529708544234</v>
      </c>
      <c r="J109" s="287">
        <f t="shared" si="23"/>
        <v>7313.6297085442347</v>
      </c>
      <c r="K109" s="287">
        <f t="shared" si="23"/>
        <v>11784.438635340353</v>
      </c>
      <c r="L109" s="287">
        <f t="shared" si="23"/>
        <v>11366.219708544235</v>
      </c>
      <c r="M109" s="287">
        <f t="shared" si="23"/>
        <v>12789.569708544235</v>
      </c>
      <c r="N109" s="287">
        <f t="shared" si="23"/>
        <v>12485.958635340354</v>
      </c>
      <c r="O109" s="287">
        <f t="shared" si="23"/>
        <v>11941.499708544234</v>
      </c>
      <c r="P109" s="287">
        <f t="shared" si="23"/>
        <v>12000.150173966456</v>
      </c>
      <c r="Q109" s="426">
        <f t="shared" si="23"/>
        <v>139489.77285834699</v>
      </c>
      <c r="R109" s="428">
        <f t="shared" si="15"/>
        <v>10.748171741281167</v>
      </c>
      <c r="S109" s="427">
        <f>+S24-S107</f>
        <v>138877.05000000002</v>
      </c>
      <c r="T109" s="405">
        <f>IFERROR(Q109/S109-1,"-")</f>
        <v>4.4119806573295062E-3</v>
      </c>
      <c r="U109" s="302"/>
      <c r="V109" s="74"/>
    </row>
    <row r="110" spans="1:22" ht="18" x14ac:dyDescent="0.35">
      <c r="A110" s="110"/>
      <c r="Q110" s="435"/>
      <c r="R110" s="436"/>
      <c r="S110" s="402"/>
      <c r="T110" s="403"/>
      <c r="U110" s="301"/>
      <c r="V110" s="38"/>
    </row>
    <row r="111" spans="1:22" x14ac:dyDescent="0.35">
      <c r="A111" s="110" t="s">
        <v>125</v>
      </c>
      <c r="D111" s="34" t="s">
        <v>76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30">
        <f>SUM(E111:P111)</f>
        <v>0</v>
      </c>
      <c r="R111" s="432">
        <f t="shared" si="15"/>
        <v>0</v>
      </c>
      <c r="S111" s="396"/>
      <c r="T111" s="399"/>
      <c r="U111" s="300"/>
      <c r="V111" s="38"/>
    </row>
    <row r="112" spans="1:22" x14ac:dyDescent="0.35">
      <c r="A112" s="110" t="s">
        <v>126</v>
      </c>
      <c r="D112" s="34" t="s">
        <v>77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30">
        <f>SUM(E112:P112)</f>
        <v>0</v>
      </c>
      <c r="R112" s="432">
        <f t="shared" si="15"/>
        <v>0</v>
      </c>
      <c r="S112" s="396"/>
      <c r="T112" s="399"/>
      <c r="U112" s="300"/>
      <c r="V112" s="38"/>
    </row>
    <row r="113" spans="1:22" x14ac:dyDescent="0.35">
      <c r="A113" s="110" t="s">
        <v>127</v>
      </c>
      <c r="D113" s="34" t="s">
        <v>78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30">
        <f>SUM(E113:P113)</f>
        <v>0</v>
      </c>
      <c r="R113" s="432">
        <f t="shared" si="15"/>
        <v>0</v>
      </c>
      <c r="S113" s="396"/>
      <c r="T113" s="399"/>
      <c r="U113" s="300"/>
      <c r="V113" s="38"/>
    </row>
    <row r="114" spans="1:22" x14ac:dyDescent="0.35">
      <c r="A114" s="110" t="s">
        <v>133</v>
      </c>
      <c r="D114" s="34" t="s">
        <v>79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43">
        <f>SUM(E114:P114)</f>
        <v>0</v>
      </c>
      <c r="R114" s="444">
        <f t="shared" si="15"/>
        <v>0</v>
      </c>
      <c r="S114" s="396"/>
      <c r="T114" s="399"/>
      <c r="U114" s="300"/>
      <c r="V114" s="38"/>
    </row>
    <row r="115" spans="1:22" x14ac:dyDescent="0.35">
      <c r="A115" s="110"/>
      <c r="C115" s="34" t="s">
        <v>79</v>
      </c>
      <c r="E115" s="43">
        <f t="shared" ref="E115:Q115" si="24">SUM(E111:E114)</f>
        <v>0</v>
      </c>
      <c r="F115" s="43">
        <f t="shared" si="24"/>
        <v>0</v>
      </c>
      <c r="G115" s="43">
        <f t="shared" si="24"/>
        <v>0</v>
      </c>
      <c r="H115" s="43">
        <f t="shared" si="24"/>
        <v>0</v>
      </c>
      <c r="I115" s="43">
        <f t="shared" si="24"/>
        <v>0</v>
      </c>
      <c r="J115" s="43">
        <f t="shared" si="24"/>
        <v>0</v>
      </c>
      <c r="K115" s="43">
        <f t="shared" si="24"/>
        <v>0</v>
      </c>
      <c r="L115" s="43">
        <f t="shared" si="24"/>
        <v>0</v>
      </c>
      <c r="M115" s="43">
        <f t="shared" si="24"/>
        <v>0</v>
      </c>
      <c r="N115" s="43">
        <f t="shared" si="24"/>
        <v>0</v>
      </c>
      <c r="O115" s="43">
        <f t="shared" si="24"/>
        <v>0</v>
      </c>
      <c r="P115" s="43">
        <f t="shared" si="24"/>
        <v>0</v>
      </c>
      <c r="Q115" s="443">
        <f t="shared" si="24"/>
        <v>0</v>
      </c>
      <c r="R115" s="444">
        <f t="shared" si="15"/>
        <v>0</v>
      </c>
      <c r="S115" s="400"/>
      <c r="T115" s="461" t="str">
        <f>IFERROR(Q115/S115-1,"-")</f>
        <v>-</v>
      </c>
      <c r="U115" s="300"/>
      <c r="V115" s="38"/>
    </row>
    <row r="116" spans="1:22" x14ac:dyDescent="0.35">
      <c r="A116" s="110"/>
      <c r="Q116" s="430"/>
      <c r="R116" s="432"/>
      <c r="S116" s="396"/>
      <c r="T116" s="399"/>
      <c r="U116" s="300"/>
      <c r="V116" s="38"/>
    </row>
    <row r="117" spans="1:22" x14ac:dyDescent="0.35">
      <c r="A117" s="110" t="s">
        <v>128</v>
      </c>
      <c r="C117" s="34" t="s">
        <v>80</v>
      </c>
      <c r="E117" s="34">
        <f>'Renew &amp; Vac'!AJ121</f>
        <v>0</v>
      </c>
      <c r="F117" s="34">
        <f>'Renew &amp; Vac'!AK121</f>
        <v>0</v>
      </c>
      <c r="G117" s="34">
        <f>'Renew &amp; Vac'!AL121</f>
        <v>0</v>
      </c>
      <c r="H117" s="34">
        <f>'Renew &amp; Vac'!AM121</f>
        <v>0</v>
      </c>
      <c r="I117" s="34">
        <f>'Renew &amp; Vac'!AN121</f>
        <v>0</v>
      </c>
      <c r="J117" s="34">
        <f>'Renew &amp; Vac'!AO121</f>
        <v>0</v>
      </c>
      <c r="K117" s="34">
        <f>'Renew &amp; Vac'!AP121</f>
        <v>0</v>
      </c>
      <c r="L117" s="34">
        <f>'Renew &amp; Vac'!AQ121</f>
        <v>0</v>
      </c>
      <c r="M117" s="34">
        <f>'Renew &amp; Vac'!AR121</f>
        <v>0</v>
      </c>
      <c r="N117" s="34">
        <f>'Renew &amp; Vac'!AS121</f>
        <v>0</v>
      </c>
      <c r="O117" s="34">
        <f>'Renew &amp; Vac'!AT121</f>
        <v>0</v>
      </c>
      <c r="P117" s="34">
        <f>'Renew &amp; Vac'!AU121</f>
        <v>0</v>
      </c>
      <c r="Q117" s="430">
        <f>SUM(E117:P117)</f>
        <v>0</v>
      </c>
      <c r="R117" s="432">
        <f t="shared" si="15"/>
        <v>0</v>
      </c>
      <c r="S117" s="396">
        <v>6611</v>
      </c>
      <c r="T117" s="460">
        <f>IFERROR(Q117/S117-1,"-")</f>
        <v>-1</v>
      </c>
      <c r="U117" s="300"/>
      <c r="V117" s="38"/>
    </row>
    <row r="118" spans="1:22" ht="18" x14ac:dyDescent="0.35">
      <c r="A118" s="11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450"/>
      <c r="R118" s="451"/>
      <c r="S118" s="407"/>
      <c r="T118" s="408"/>
      <c r="U118" s="304"/>
      <c r="V118" s="38"/>
    </row>
    <row r="119" spans="1:22" ht="18" x14ac:dyDescent="0.35">
      <c r="A119" s="110"/>
      <c r="D119" s="34" t="s">
        <v>81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35">
        <f>SUM(E119:P119)</f>
        <v>0</v>
      </c>
      <c r="R119" s="436">
        <f t="shared" si="15"/>
        <v>0</v>
      </c>
      <c r="S119" s="402"/>
      <c r="T119" s="403"/>
      <c r="U119" s="301"/>
      <c r="V119" s="38"/>
    </row>
    <row r="120" spans="1:22" x14ac:dyDescent="0.35">
      <c r="A120" s="110"/>
      <c r="B120" s="36"/>
      <c r="D120" s="34" t="s">
        <v>82</v>
      </c>
      <c r="E120" s="43">
        <f>'Renew &amp; Vac'!AJ122</f>
        <v>5003.4599999999991</v>
      </c>
      <c r="F120" s="43">
        <f>'Renew &amp; Vac'!AK122</f>
        <v>0</v>
      </c>
      <c r="G120" s="43">
        <f>'Renew &amp; Vac'!AL122</f>
        <v>0</v>
      </c>
      <c r="H120" s="43">
        <f>'Renew &amp; Vac'!AM122</f>
        <v>0</v>
      </c>
      <c r="I120" s="43">
        <f>'Renew &amp; Vac'!AN122</f>
        <v>0</v>
      </c>
      <c r="J120" s="43">
        <f>'Renew &amp; Vac'!AO122</f>
        <v>0</v>
      </c>
      <c r="K120" s="43">
        <f>'Renew &amp; Vac'!AP122</f>
        <v>0</v>
      </c>
      <c r="L120" s="43">
        <f>'Renew &amp; Vac'!AQ122</f>
        <v>0</v>
      </c>
      <c r="M120" s="43">
        <f>'Renew &amp; Vac'!AR122</f>
        <v>0</v>
      </c>
      <c r="N120" s="43">
        <f>'Renew &amp; Vac'!AS122</f>
        <v>0</v>
      </c>
      <c r="O120" s="43">
        <f>'Renew &amp; Vac'!AT122</f>
        <v>0</v>
      </c>
      <c r="P120" s="43">
        <f>'Renew &amp; Vac'!AU122</f>
        <v>0</v>
      </c>
      <c r="Q120" s="443">
        <f>SUM(E120:P120)</f>
        <v>5003.4599999999991</v>
      </c>
      <c r="R120" s="444">
        <f t="shared" si="15"/>
        <v>0.38553398058252419</v>
      </c>
      <c r="S120" s="409"/>
      <c r="T120" s="404"/>
      <c r="U120" s="300"/>
      <c r="V120" s="38"/>
    </row>
    <row r="121" spans="1:22" x14ac:dyDescent="0.35">
      <c r="A121" s="110" t="s">
        <v>129</v>
      </c>
      <c r="C121" s="34" t="s">
        <v>82</v>
      </c>
      <c r="D121" s="61"/>
      <c r="E121" s="34">
        <f>SUM(E119:E120)</f>
        <v>5003.4599999999991</v>
      </c>
      <c r="F121" s="34">
        <f t="shared" ref="F121:P121" si="25">SUM(F119:F120)</f>
        <v>0</v>
      </c>
      <c r="G121" s="34">
        <f t="shared" si="25"/>
        <v>0</v>
      </c>
      <c r="H121" s="34">
        <f t="shared" si="25"/>
        <v>0</v>
      </c>
      <c r="I121" s="34">
        <f t="shared" si="25"/>
        <v>0</v>
      </c>
      <c r="J121" s="34">
        <f t="shared" si="25"/>
        <v>0</v>
      </c>
      <c r="K121" s="34">
        <f t="shared" si="25"/>
        <v>0</v>
      </c>
      <c r="L121" s="34">
        <f t="shared" si="25"/>
        <v>0</v>
      </c>
      <c r="M121" s="34">
        <f t="shared" si="25"/>
        <v>0</v>
      </c>
      <c r="N121" s="34">
        <f t="shared" si="25"/>
        <v>0</v>
      </c>
      <c r="O121" s="34">
        <f t="shared" si="25"/>
        <v>0</v>
      </c>
      <c r="P121" s="34">
        <f t="shared" si="25"/>
        <v>0</v>
      </c>
      <c r="Q121" s="430">
        <f>SUM(Q119:Q120)</f>
        <v>5003.4599999999991</v>
      </c>
      <c r="R121" s="432">
        <f t="shared" si="15"/>
        <v>0.38553398058252419</v>
      </c>
      <c r="S121" s="396">
        <v>1015</v>
      </c>
      <c r="T121" s="460">
        <f>IFERROR(Q121/S121-1,"-")</f>
        <v>3.9295172413793091</v>
      </c>
      <c r="U121" s="300"/>
      <c r="V121" s="38" t="s">
        <v>502</v>
      </c>
    </row>
    <row r="122" spans="1:22" s="36" customFormat="1" ht="18.5" thickBot="1" x14ac:dyDescent="0.4">
      <c r="A122" s="112"/>
      <c r="Q122" s="452"/>
      <c r="R122" s="453"/>
      <c r="S122" s="410"/>
      <c r="T122" s="411"/>
      <c r="U122" s="306"/>
      <c r="V122" s="74"/>
    </row>
    <row r="123" spans="1:22" s="36" customFormat="1" ht="18" thickBot="1" x14ac:dyDescent="0.4">
      <c r="A123" s="285"/>
      <c r="B123" s="286" t="s">
        <v>83</v>
      </c>
      <c r="C123" s="287"/>
      <c r="D123" s="287"/>
      <c r="E123" s="287">
        <f t="shared" ref="E123:Q123" si="26">+E109-E115-E117-E121</f>
        <v>7339.099100762578</v>
      </c>
      <c r="F123" s="287">
        <f t="shared" si="26"/>
        <v>12212.930173966457</v>
      </c>
      <c r="G123" s="287">
        <f t="shared" si="26"/>
        <v>11892.439708544234</v>
      </c>
      <c r="H123" s="287">
        <f t="shared" si="26"/>
        <v>11874.847887705315</v>
      </c>
      <c r="I123" s="287">
        <f t="shared" si="26"/>
        <v>11485.529708544234</v>
      </c>
      <c r="J123" s="287">
        <f t="shared" si="26"/>
        <v>7313.6297085442347</v>
      </c>
      <c r="K123" s="287">
        <f t="shared" si="26"/>
        <v>11784.438635340353</v>
      </c>
      <c r="L123" s="287">
        <f t="shared" si="26"/>
        <v>11366.219708544235</v>
      </c>
      <c r="M123" s="287">
        <f t="shared" si="26"/>
        <v>12789.569708544235</v>
      </c>
      <c r="N123" s="287">
        <f t="shared" si="26"/>
        <v>12485.958635340354</v>
      </c>
      <c r="O123" s="287">
        <f t="shared" si="26"/>
        <v>11941.499708544234</v>
      </c>
      <c r="P123" s="287">
        <f t="shared" si="26"/>
        <v>12000.150173966456</v>
      </c>
      <c r="Q123" s="426">
        <f t="shared" si="26"/>
        <v>134486.312858347</v>
      </c>
      <c r="R123" s="428">
        <f t="shared" si="15"/>
        <v>10.362637760698643</v>
      </c>
      <c r="S123" s="427">
        <f>+S109-S115-S117-S121</f>
        <v>131251.05000000002</v>
      </c>
      <c r="T123" s="405">
        <f>IFERROR(Q123/S123-1,"-")</f>
        <v>2.4649424582485091E-2</v>
      </c>
      <c r="U123" s="302"/>
      <c r="V123" s="74"/>
    </row>
    <row r="124" spans="1:22" ht="18" x14ac:dyDescent="0.35">
      <c r="A124" s="110"/>
      <c r="Q124" s="430"/>
      <c r="R124" s="432"/>
      <c r="S124" s="402"/>
      <c r="T124" s="403"/>
      <c r="U124" s="300"/>
      <c r="V124" s="38"/>
    </row>
    <row r="125" spans="1:22" x14ac:dyDescent="0.35">
      <c r="A125" s="110"/>
      <c r="B125" s="34" t="s">
        <v>84</v>
      </c>
      <c r="Q125" s="430"/>
      <c r="R125" s="432"/>
      <c r="S125" s="396"/>
      <c r="T125" s="399"/>
      <c r="U125" s="300"/>
      <c r="V125" s="38"/>
    </row>
    <row r="126" spans="1:22" x14ac:dyDescent="0.35">
      <c r="A126" s="110" t="s">
        <v>132</v>
      </c>
      <c r="C126" s="34" t="s">
        <v>85</v>
      </c>
      <c r="E126" s="34">
        <f>+'Allocated Expenses'!F213</f>
        <v>3039.670598895083</v>
      </c>
      <c r="F126" s="34">
        <f>+'Allocated Expenses'!G213</f>
        <v>3039.670598895083</v>
      </c>
      <c r="G126" s="34">
        <f>+'Allocated Expenses'!H213</f>
        <v>3039.670598895083</v>
      </c>
      <c r="H126" s="34">
        <f>+'Allocated Expenses'!I213</f>
        <v>3039.670598895083</v>
      </c>
      <c r="I126" s="34">
        <f>+'Allocated Expenses'!J213</f>
        <v>3039.670598895083</v>
      </c>
      <c r="J126" s="34">
        <f>+'Allocated Expenses'!K213</f>
        <v>3039.670598895083</v>
      </c>
      <c r="K126" s="34">
        <f>+'Allocated Expenses'!L213</f>
        <v>3039.670598895083</v>
      </c>
      <c r="L126" s="34">
        <f>+'Allocated Expenses'!M213</f>
        <v>3039.670598895083</v>
      </c>
      <c r="M126" s="34">
        <f>+'Allocated Expenses'!N213</f>
        <v>3039.670598895083</v>
      </c>
      <c r="N126" s="34">
        <f>+'Allocated Expenses'!O213</f>
        <v>3039.670598895083</v>
      </c>
      <c r="O126" s="34">
        <f>+'Allocated Expenses'!P213</f>
        <v>3039.670598895083</v>
      </c>
      <c r="P126" s="34">
        <f>+'Allocated Expenses'!Q213</f>
        <v>3039.670598895083</v>
      </c>
      <c r="Q126" s="430">
        <f>SUM(E126:P126)</f>
        <v>36476.047186740994</v>
      </c>
      <c r="R126" s="432">
        <f t="shared" si="15"/>
        <v>2.8106061940777467</v>
      </c>
      <c r="S126" s="396">
        <v>33635.949999999997</v>
      </c>
      <c r="T126" s="460">
        <f>IFERROR(Q126/S126-1,"-")</f>
        <v>8.443636010699862E-2</v>
      </c>
      <c r="U126" s="300"/>
      <c r="V126" s="38"/>
    </row>
    <row r="127" spans="1:22" x14ac:dyDescent="0.35">
      <c r="A127" s="110" t="s">
        <v>149</v>
      </c>
      <c r="C127" s="34" t="s">
        <v>86</v>
      </c>
      <c r="E127" s="34">
        <f>+'Allocated Expenses'!E229</f>
        <v>0</v>
      </c>
      <c r="F127" s="34">
        <f>+'Allocated Expenses'!F229</f>
        <v>0</v>
      </c>
      <c r="G127" s="34">
        <f>+'Allocated Expenses'!G229</f>
        <v>0</v>
      </c>
      <c r="H127" s="34">
        <f>+'Allocated Expenses'!H229</f>
        <v>0</v>
      </c>
      <c r="I127" s="34">
        <f>+'Allocated Expenses'!I229</f>
        <v>0</v>
      </c>
      <c r="J127" s="34">
        <f>+'Allocated Expenses'!J229</f>
        <v>0</v>
      </c>
      <c r="K127" s="34">
        <f>+'Allocated Expenses'!K229</f>
        <v>0</v>
      </c>
      <c r="L127" s="34">
        <f>+'Allocated Expenses'!L229</f>
        <v>0</v>
      </c>
      <c r="M127" s="34">
        <f>+'Allocated Expenses'!M229</f>
        <v>0</v>
      </c>
      <c r="N127" s="34">
        <f>+'Allocated Expenses'!N229</f>
        <v>0</v>
      </c>
      <c r="O127" s="34">
        <f>+'Allocated Expenses'!O229</f>
        <v>0</v>
      </c>
      <c r="P127" s="34">
        <f>+'Allocated Expenses'!P229</f>
        <v>0</v>
      </c>
      <c r="Q127" s="430">
        <f>SUM(E127:P127)</f>
        <v>0</v>
      </c>
      <c r="R127" s="432">
        <f t="shared" si="15"/>
        <v>0</v>
      </c>
      <c r="S127" s="396">
        <v>3577.4199999999983</v>
      </c>
      <c r="T127" s="460">
        <f>IFERROR(Q127/S127-1,"-")</f>
        <v>-1</v>
      </c>
      <c r="U127" s="300"/>
      <c r="V127" s="38"/>
    </row>
    <row r="128" spans="1:22" x14ac:dyDescent="0.35">
      <c r="A128" s="110" t="s">
        <v>150</v>
      </c>
      <c r="C128" s="34" t="s">
        <v>87</v>
      </c>
      <c r="Q128" s="430">
        <f>SUM(E128:P128)</f>
        <v>0</v>
      </c>
      <c r="R128" s="432">
        <f t="shared" si="15"/>
        <v>0</v>
      </c>
      <c r="S128" s="396"/>
      <c r="T128" s="460" t="str">
        <f>IFERROR(Q128/S128-1,"-")</f>
        <v>-</v>
      </c>
      <c r="U128" s="300"/>
      <c r="V128" s="38"/>
    </row>
    <row r="129" spans="1:22" x14ac:dyDescent="0.35">
      <c r="A129" s="110"/>
      <c r="C129" s="34" t="s">
        <v>88</v>
      </c>
      <c r="E129" s="59">
        <f t="shared" ref="E129:Q129" si="27">SUM(E126:E128)</f>
        <v>3039.670598895083</v>
      </c>
      <c r="F129" s="59">
        <f t="shared" si="27"/>
        <v>3039.670598895083</v>
      </c>
      <c r="G129" s="59">
        <f t="shared" si="27"/>
        <v>3039.670598895083</v>
      </c>
      <c r="H129" s="59">
        <f t="shared" si="27"/>
        <v>3039.670598895083</v>
      </c>
      <c r="I129" s="59">
        <f t="shared" si="27"/>
        <v>3039.670598895083</v>
      </c>
      <c r="J129" s="59">
        <f t="shared" si="27"/>
        <v>3039.670598895083</v>
      </c>
      <c r="K129" s="59">
        <f t="shared" si="27"/>
        <v>3039.670598895083</v>
      </c>
      <c r="L129" s="59">
        <f t="shared" si="27"/>
        <v>3039.670598895083</v>
      </c>
      <c r="M129" s="59">
        <f t="shared" si="27"/>
        <v>3039.670598895083</v>
      </c>
      <c r="N129" s="59">
        <f t="shared" si="27"/>
        <v>3039.670598895083</v>
      </c>
      <c r="O129" s="59">
        <f t="shared" si="27"/>
        <v>3039.670598895083</v>
      </c>
      <c r="P129" s="59">
        <f t="shared" si="27"/>
        <v>3039.670598895083</v>
      </c>
      <c r="Q129" s="433">
        <f t="shared" si="27"/>
        <v>36476.047186740994</v>
      </c>
      <c r="R129" s="434">
        <f t="shared" si="15"/>
        <v>2.8106061940777467</v>
      </c>
      <c r="S129" s="400">
        <f>SUM(S126:S128)</f>
        <v>37213.369999999995</v>
      </c>
      <c r="T129" s="401">
        <f>Q129/S129-1</f>
        <v>-1.9813384631894415E-2</v>
      </c>
      <c r="U129" s="300"/>
      <c r="V129" s="38"/>
    </row>
    <row r="130" spans="1:22" ht="18.5" thickBot="1" x14ac:dyDescent="0.4">
      <c r="A130" s="110"/>
      <c r="Q130" s="430"/>
      <c r="R130" s="432"/>
      <c r="S130" s="402"/>
      <c r="T130" s="403"/>
      <c r="U130" s="300"/>
      <c r="V130" s="38"/>
    </row>
    <row r="131" spans="1:22" s="36" customFormat="1" ht="18" thickBot="1" x14ac:dyDescent="0.4">
      <c r="A131" s="285"/>
      <c r="B131" s="286" t="s">
        <v>89</v>
      </c>
      <c r="C131" s="287"/>
      <c r="D131" s="287"/>
      <c r="E131" s="287">
        <f t="shared" ref="E131:Q131" si="28">+E123-E129</f>
        <v>4299.4285018674946</v>
      </c>
      <c r="F131" s="287">
        <f t="shared" si="28"/>
        <v>9173.2595750713735</v>
      </c>
      <c r="G131" s="287">
        <f t="shared" si="28"/>
        <v>8852.7691096491508</v>
      </c>
      <c r="H131" s="287">
        <f t="shared" si="28"/>
        <v>8835.1772888102314</v>
      </c>
      <c r="I131" s="287">
        <f t="shared" si="28"/>
        <v>8445.8591096491509</v>
      </c>
      <c r="J131" s="287">
        <f t="shared" si="28"/>
        <v>4273.9591096491513</v>
      </c>
      <c r="K131" s="287">
        <f t="shared" si="28"/>
        <v>8744.7680364452699</v>
      </c>
      <c r="L131" s="287">
        <f t="shared" si="28"/>
        <v>8326.5491096491514</v>
      </c>
      <c r="M131" s="287">
        <f t="shared" si="28"/>
        <v>9749.8991096491518</v>
      </c>
      <c r="N131" s="287">
        <f t="shared" si="28"/>
        <v>9446.2880364452703</v>
      </c>
      <c r="O131" s="287">
        <f t="shared" si="28"/>
        <v>8901.8291096491503</v>
      </c>
      <c r="P131" s="287">
        <f t="shared" si="28"/>
        <v>8960.4795750713729</v>
      </c>
      <c r="Q131" s="426">
        <f t="shared" si="28"/>
        <v>98010.265671606001</v>
      </c>
      <c r="R131" s="428">
        <f t="shared" si="15"/>
        <v>7.5520315666208973</v>
      </c>
      <c r="S131" s="427">
        <f>+S123-S129</f>
        <v>94037.680000000022</v>
      </c>
      <c r="T131" s="405">
        <f>IFERROR(Q131/S131-1,"-")</f>
        <v>4.2244615898711757E-2</v>
      </c>
      <c r="U131" s="302"/>
      <c r="V131" s="74"/>
    </row>
    <row r="132" spans="1:22" ht="18" x14ac:dyDescent="0.35">
      <c r="A132" s="113"/>
      <c r="B132" s="36"/>
      <c r="C132" s="63"/>
      <c r="Q132" s="391"/>
      <c r="R132" s="391"/>
      <c r="S132" s="412"/>
      <c r="T132" s="413"/>
    </row>
    <row r="133" spans="1:22" s="36" customFormat="1" ht="17.5" x14ac:dyDescent="0.3">
      <c r="A133" s="113"/>
      <c r="C133" s="63"/>
      <c r="D133" s="64"/>
      <c r="Q133" s="415"/>
      <c r="R133" s="415"/>
      <c r="S133" s="412"/>
      <c r="T133" s="413"/>
      <c r="U133" s="293"/>
    </row>
    <row r="134" spans="1:22" ht="18" x14ac:dyDescent="0.35">
      <c r="A134" s="110"/>
      <c r="Q134" s="391"/>
      <c r="R134" s="391"/>
      <c r="S134" s="412"/>
      <c r="T134" s="413"/>
    </row>
    <row r="135" spans="1:22" x14ac:dyDescent="0.35">
      <c r="A135" s="114"/>
      <c r="Q135" s="391"/>
      <c r="R135" s="391"/>
      <c r="S135" s="391"/>
      <c r="T135" s="388"/>
    </row>
    <row r="136" spans="1:22" x14ac:dyDescent="0.35">
      <c r="A136" s="80"/>
      <c r="Q136" s="391"/>
      <c r="R136" s="391"/>
      <c r="S136" s="391"/>
      <c r="T136" s="388"/>
    </row>
    <row r="137" spans="1:22" x14ac:dyDescent="0.35">
      <c r="A137" s="80"/>
      <c r="Q137" s="391"/>
      <c r="R137" s="391"/>
      <c r="S137" s="391"/>
      <c r="T137" s="388"/>
    </row>
    <row r="138" spans="1:22" x14ac:dyDescent="0.35">
      <c r="A138" s="80"/>
      <c r="Q138" s="391"/>
      <c r="R138" s="391"/>
      <c r="S138" s="391"/>
      <c r="T138" s="388"/>
    </row>
    <row r="139" spans="1:22" x14ac:dyDescent="0.35">
      <c r="A139" s="80"/>
      <c r="Q139" s="391"/>
      <c r="R139" s="391"/>
      <c r="S139" s="391"/>
      <c r="T139" s="388"/>
    </row>
    <row r="140" spans="1:22" x14ac:dyDescent="0.35">
      <c r="A140" s="80"/>
      <c r="Q140" s="391"/>
      <c r="R140" s="391"/>
      <c r="S140" s="391"/>
      <c r="T140" s="388"/>
    </row>
    <row r="141" spans="1:22" ht="18" x14ac:dyDescent="0.35">
      <c r="A141" s="80"/>
      <c r="D141" s="35" t="str">
        <f>"Budget Import - "&amp;B1</f>
        <v>Budget Import - 40B0</v>
      </c>
      <c r="E141" s="532">
        <v>5</v>
      </c>
      <c r="F141" s="533">
        <f>E141+1</f>
        <v>6</v>
      </c>
      <c r="G141" s="533">
        <f t="shared" ref="G141:P141" si="29">F141+1</f>
        <v>7</v>
      </c>
      <c r="H141" s="533">
        <f t="shared" si="29"/>
        <v>8</v>
      </c>
      <c r="I141" s="533">
        <f t="shared" si="29"/>
        <v>9</v>
      </c>
      <c r="J141" s="533">
        <f t="shared" si="29"/>
        <v>10</v>
      </c>
      <c r="K141" s="533">
        <f t="shared" si="29"/>
        <v>11</v>
      </c>
      <c r="L141" s="533">
        <f t="shared" si="29"/>
        <v>12</v>
      </c>
      <c r="M141" s="533">
        <f t="shared" si="29"/>
        <v>13</v>
      </c>
      <c r="N141" s="533">
        <f t="shared" si="29"/>
        <v>14</v>
      </c>
      <c r="O141" s="533">
        <f t="shared" si="29"/>
        <v>15</v>
      </c>
      <c r="P141" s="533">
        <f t="shared" si="29"/>
        <v>16</v>
      </c>
      <c r="Q141" s="533" t="s">
        <v>664</v>
      </c>
      <c r="R141" s="391"/>
      <c r="S141" s="391"/>
      <c r="T141" s="388"/>
    </row>
    <row r="142" spans="1:22" ht="16.5" thickBot="1" x14ac:dyDescent="0.4">
      <c r="A142" s="80"/>
      <c r="D142" s="34" t="s">
        <v>100</v>
      </c>
      <c r="E142" s="34">
        <v>1</v>
      </c>
      <c r="F142" s="34">
        <v>2</v>
      </c>
      <c r="G142" s="34">
        <v>3</v>
      </c>
      <c r="H142" s="34">
        <v>4</v>
      </c>
      <c r="I142" s="34">
        <v>5</v>
      </c>
      <c r="J142" s="34">
        <v>6</v>
      </c>
      <c r="K142" s="34">
        <v>7</v>
      </c>
      <c r="L142" s="34">
        <v>8</v>
      </c>
      <c r="M142" s="34">
        <v>9</v>
      </c>
      <c r="N142" s="34">
        <v>10</v>
      </c>
      <c r="O142" s="34">
        <v>11</v>
      </c>
      <c r="P142" s="34">
        <v>12</v>
      </c>
      <c r="Q142" s="391" t="s">
        <v>12</v>
      </c>
      <c r="R142" s="391"/>
      <c r="S142" s="391"/>
      <c r="T142" s="388"/>
    </row>
    <row r="143" spans="1:22" x14ac:dyDescent="0.35">
      <c r="A143" s="534" t="str">
        <f>VLOOKUP($D143,$A$10:$D$130,3,FALSE)</f>
        <v>Rental Income - In Place</v>
      </c>
      <c r="D143" s="101" t="s">
        <v>136</v>
      </c>
      <c r="E143" s="102">
        <f t="shared" ref="E143:P143" si="30">-(VLOOKUP($D143,$A$10:$P$131,E$141,FALSE)+E11)</f>
        <v>-15986.353333333333</v>
      </c>
      <c r="F143" s="102">
        <f t="shared" si="30"/>
        <v>-15986.353333333333</v>
      </c>
      <c r="G143" s="102">
        <f t="shared" si="30"/>
        <v>-15986.353333333333</v>
      </c>
      <c r="H143" s="102">
        <f t="shared" si="30"/>
        <v>-15986.353333333333</v>
      </c>
      <c r="I143" s="102">
        <f t="shared" si="30"/>
        <v>-15986.353333333333</v>
      </c>
      <c r="J143" s="102">
        <f t="shared" si="30"/>
        <v>-15986.353333333333</v>
      </c>
      <c r="K143" s="102">
        <f t="shared" si="30"/>
        <v>-15986.353333333333</v>
      </c>
      <c r="L143" s="102">
        <f t="shared" si="30"/>
        <v>-15986.353333333333</v>
      </c>
      <c r="M143" s="102">
        <f t="shared" si="30"/>
        <v>-15986.353333333333</v>
      </c>
      <c r="N143" s="102">
        <f t="shared" si="30"/>
        <v>-15986.353333333333</v>
      </c>
      <c r="O143" s="102">
        <f t="shared" si="30"/>
        <v>-15986.353333333333</v>
      </c>
      <c r="P143" s="103">
        <f t="shared" si="30"/>
        <v>-15986.353333333333</v>
      </c>
      <c r="Q143" s="456">
        <f>SUM(E143:P143)</f>
        <v>-191836.24</v>
      </c>
      <c r="R143" s="456"/>
      <c r="S143" s="391"/>
      <c r="T143" s="388"/>
    </row>
    <row r="144" spans="1:22" x14ac:dyDescent="0.35">
      <c r="A144" s="534" t="str">
        <f t="shared" ref="A144:A166" si="31">VLOOKUP($D144,$A$10:$D$130,3,FALSE)</f>
        <v>Electric</v>
      </c>
      <c r="D144" s="104" t="s">
        <v>102</v>
      </c>
      <c r="E144" s="105">
        <f t="shared" ref="E144:P147" si="32">-VLOOKUP($D144,$A$10:$P$131,E$141,FALSE)</f>
        <v>0</v>
      </c>
      <c r="F144" s="105">
        <f t="shared" si="32"/>
        <v>0</v>
      </c>
      <c r="G144" s="105">
        <f t="shared" si="32"/>
        <v>0</v>
      </c>
      <c r="H144" s="105">
        <f t="shared" si="32"/>
        <v>0</v>
      </c>
      <c r="I144" s="105">
        <f t="shared" si="32"/>
        <v>0</v>
      </c>
      <c r="J144" s="105">
        <f t="shared" si="32"/>
        <v>0</v>
      </c>
      <c r="K144" s="105">
        <f t="shared" si="32"/>
        <v>0</v>
      </c>
      <c r="L144" s="105">
        <f t="shared" si="32"/>
        <v>0</v>
      </c>
      <c r="M144" s="105">
        <f t="shared" si="32"/>
        <v>0</v>
      </c>
      <c r="N144" s="105">
        <f t="shared" si="32"/>
        <v>0</v>
      </c>
      <c r="O144" s="105">
        <f t="shared" si="32"/>
        <v>0</v>
      </c>
      <c r="P144" s="106">
        <f t="shared" si="32"/>
        <v>0</v>
      </c>
      <c r="Q144" s="456">
        <f t="shared" ref="Q144:Q176" si="33">SUM(E144:P144)</f>
        <v>0</v>
      </c>
      <c r="R144" s="456"/>
      <c r="S144" s="391"/>
      <c r="T144" s="388"/>
    </row>
    <row r="145" spans="1:20" x14ac:dyDescent="0.35">
      <c r="A145" s="534" t="str">
        <f t="shared" si="31"/>
        <v>Common Area Maintenance</v>
      </c>
      <c r="D145" s="104" t="s">
        <v>103</v>
      </c>
      <c r="E145" s="105">
        <f t="shared" si="32"/>
        <v>-4200</v>
      </c>
      <c r="F145" s="105">
        <f t="shared" si="32"/>
        <v>-4200</v>
      </c>
      <c r="G145" s="105">
        <f t="shared" si="32"/>
        <v>-4200</v>
      </c>
      <c r="H145" s="105">
        <f t="shared" si="32"/>
        <v>-4200</v>
      </c>
      <c r="I145" s="105">
        <f t="shared" si="32"/>
        <v>-4200</v>
      </c>
      <c r="J145" s="105">
        <f t="shared" si="32"/>
        <v>-4200</v>
      </c>
      <c r="K145" s="105">
        <f t="shared" si="32"/>
        <v>-4200</v>
      </c>
      <c r="L145" s="105">
        <f t="shared" si="32"/>
        <v>-4200</v>
      </c>
      <c r="M145" s="105">
        <f t="shared" si="32"/>
        <v>-4200</v>
      </c>
      <c r="N145" s="105">
        <f t="shared" si="32"/>
        <v>-4200</v>
      </c>
      <c r="O145" s="105">
        <f t="shared" si="32"/>
        <v>-4200</v>
      </c>
      <c r="P145" s="106">
        <f t="shared" si="32"/>
        <v>-4200</v>
      </c>
      <c r="Q145" s="456">
        <f t="shared" si="33"/>
        <v>-50400</v>
      </c>
      <c r="R145" s="456"/>
      <c r="S145" s="391"/>
      <c r="T145" s="388"/>
    </row>
    <row r="146" spans="1:20" x14ac:dyDescent="0.35">
      <c r="A146" s="534" t="str">
        <f t="shared" si="31"/>
        <v>Real Estate Taxes</v>
      </c>
      <c r="D146" s="104" t="s">
        <v>104</v>
      </c>
      <c r="E146" s="105">
        <f t="shared" si="32"/>
        <v>-1200</v>
      </c>
      <c r="F146" s="105">
        <f t="shared" si="32"/>
        <v>-1200</v>
      </c>
      <c r="G146" s="105">
        <f t="shared" si="32"/>
        <v>-1200</v>
      </c>
      <c r="H146" s="105">
        <f t="shared" si="32"/>
        <v>-1200</v>
      </c>
      <c r="I146" s="105">
        <f t="shared" si="32"/>
        <v>-1200</v>
      </c>
      <c r="J146" s="105">
        <f t="shared" si="32"/>
        <v>-1200</v>
      </c>
      <c r="K146" s="105">
        <f t="shared" si="32"/>
        <v>-1200</v>
      </c>
      <c r="L146" s="105">
        <f t="shared" si="32"/>
        <v>-1200</v>
      </c>
      <c r="M146" s="105">
        <f t="shared" si="32"/>
        <v>-1200</v>
      </c>
      <c r="N146" s="105">
        <f t="shared" si="32"/>
        <v>-1200</v>
      </c>
      <c r="O146" s="105">
        <f t="shared" si="32"/>
        <v>-1200</v>
      </c>
      <c r="P146" s="106">
        <f t="shared" si="32"/>
        <v>-1200</v>
      </c>
      <c r="Q146" s="456">
        <f t="shared" si="33"/>
        <v>-14400</v>
      </c>
      <c r="R146" s="456"/>
      <c r="S146" s="391"/>
      <c r="T146" s="388"/>
    </row>
    <row r="147" spans="1:20" x14ac:dyDescent="0.35">
      <c r="A147" s="534" t="str">
        <f t="shared" si="31"/>
        <v>Insurance</v>
      </c>
      <c r="D147" s="104" t="s">
        <v>139</v>
      </c>
      <c r="E147" s="105">
        <f t="shared" si="32"/>
        <v>0</v>
      </c>
      <c r="F147" s="105">
        <f t="shared" si="32"/>
        <v>0</v>
      </c>
      <c r="G147" s="105">
        <f t="shared" si="32"/>
        <v>0</v>
      </c>
      <c r="H147" s="105">
        <f t="shared" si="32"/>
        <v>0</v>
      </c>
      <c r="I147" s="105">
        <f t="shared" si="32"/>
        <v>0</v>
      </c>
      <c r="J147" s="105">
        <f t="shared" si="32"/>
        <v>0</v>
      </c>
      <c r="K147" s="105">
        <f t="shared" si="32"/>
        <v>0</v>
      </c>
      <c r="L147" s="105">
        <f t="shared" si="32"/>
        <v>0</v>
      </c>
      <c r="M147" s="105">
        <f t="shared" si="32"/>
        <v>0</v>
      </c>
      <c r="N147" s="105">
        <f t="shared" si="32"/>
        <v>0</v>
      </c>
      <c r="O147" s="105">
        <f t="shared" si="32"/>
        <v>0</v>
      </c>
      <c r="P147" s="106">
        <f t="shared" si="32"/>
        <v>0</v>
      </c>
      <c r="Q147" s="456">
        <f>SUM(E147:P147)</f>
        <v>0</v>
      </c>
      <c r="R147" s="456"/>
      <c r="S147" s="391"/>
      <c r="T147" s="388"/>
    </row>
    <row r="148" spans="1:20" x14ac:dyDescent="0.35">
      <c r="A148" s="534" t="str">
        <f t="shared" si="31"/>
        <v>Maintenance Salaries</v>
      </c>
      <c r="D148" s="104" t="s">
        <v>105</v>
      </c>
      <c r="E148" s="105">
        <f t="shared" ref="E148:P157" si="34">VLOOKUP($D148,$A$10:$P$131,E$141,FALSE)</f>
        <v>265.5141499817525</v>
      </c>
      <c r="F148" s="105">
        <f t="shared" si="34"/>
        <v>265.5141499817525</v>
      </c>
      <c r="G148" s="105">
        <f t="shared" si="34"/>
        <v>265.5141499817525</v>
      </c>
      <c r="H148" s="105">
        <f t="shared" si="34"/>
        <v>265.5141499817525</v>
      </c>
      <c r="I148" s="105">
        <f t="shared" si="34"/>
        <v>265.5141499817525</v>
      </c>
      <c r="J148" s="105">
        <f t="shared" si="34"/>
        <v>265.5141499817525</v>
      </c>
      <c r="K148" s="105">
        <f t="shared" si="34"/>
        <v>265.5141499817525</v>
      </c>
      <c r="L148" s="105">
        <f t="shared" si="34"/>
        <v>265.5141499817525</v>
      </c>
      <c r="M148" s="105">
        <f t="shared" si="34"/>
        <v>265.5141499817525</v>
      </c>
      <c r="N148" s="105">
        <f t="shared" si="34"/>
        <v>265.5141499817525</v>
      </c>
      <c r="O148" s="105">
        <f t="shared" si="34"/>
        <v>265.5141499817525</v>
      </c>
      <c r="P148" s="106">
        <f t="shared" si="34"/>
        <v>265.5141499817525</v>
      </c>
      <c r="Q148" s="456">
        <f t="shared" si="33"/>
        <v>3186.1697997810293</v>
      </c>
      <c r="R148" s="456"/>
      <c r="S148" s="391"/>
      <c r="T148" s="388"/>
    </row>
    <row r="149" spans="1:20" x14ac:dyDescent="0.35">
      <c r="A149" s="534" t="str">
        <f t="shared" si="31"/>
        <v>Electric</v>
      </c>
      <c r="D149" s="104" t="s">
        <v>106</v>
      </c>
      <c r="E149" s="105">
        <f t="shared" si="34"/>
        <v>0</v>
      </c>
      <c r="F149" s="105">
        <f t="shared" si="34"/>
        <v>0</v>
      </c>
      <c r="G149" s="105">
        <f t="shared" si="34"/>
        <v>0</v>
      </c>
      <c r="H149" s="105">
        <f t="shared" si="34"/>
        <v>0</v>
      </c>
      <c r="I149" s="105">
        <f t="shared" si="34"/>
        <v>0</v>
      </c>
      <c r="J149" s="105">
        <f t="shared" si="34"/>
        <v>0</v>
      </c>
      <c r="K149" s="105">
        <f t="shared" si="34"/>
        <v>0</v>
      </c>
      <c r="L149" s="105">
        <f t="shared" si="34"/>
        <v>0</v>
      </c>
      <c r="M149" s="105">
        <f t="shared" si="34"/>
        <v>0</v>
      </c>
      <c r="N149" s="105">
        <f t="shared" si="34"/>
        <v>0</v>
      </c>
      <c r="O149" s="105">
        <f t="shared" si="34"/>
        <v>0</v>
      </c>
      <c r="P149" s="106">
        <f t="shared" si="34"/>
        <v>0</v>
      </c>
      <c r="Q149" s="456">
        <f t="shared" si="33"/>
        <v>0</v>
      </c>
      <c r="R149" s="456"/>
      <c r="S149" s="391"/>
      <c r="T149" s="388"/>
    </row>
    <row r="150" spans="1:20" x14ac:dyDescent="0.35">
      <c r="A150" s="534" t="str">
        <f t="shared" si="31"/>
        <v>Water &amp; Sewer</v>
      </c>
      <c r="D150" s="104" t="s">
        <v>107</v>
      </c>
      <c r="E150" s="105">
        <f t="shared" si="34"/>
        <v>369.77</v>
      </c>
      <c r="F150" s="105">
        <f t="shared" si="34"/>
        <v>457.32000000000005</v>
      </c>
      <c r="G150" s="105">
        <f t="shared" si="34"/>
        <v>767.34999999999991</v>
      </c>
      <c r="H150" s="105">
        <f t="shared" si="34"/>
        <v>804.43000000000006</v>
      </c>
      <c r="I150" s="105">
        <f t="shared" si="34"/>
        <v>990.8599999999999</v>
      </c>
      <c r="J150" s="105">
        <f t="shared" si="34"/>
        <v>872.41</v>
      </c>
      <c r="K150" s="105">
        <f t="shared" si="34"/>
        <v>1443.03</v>
      </c>
      <c r="L150" s="105">
        <f t="shared" si="34"/>
        <v>1894.17</v>
      </c>
      <c r="M150" s="105">
        <f t="shared" si="34"/>
        <v>771.47</v>
      </c>
      <c r="N150" s="105">
        <f t="shared" si="34"/>
        <v>481.01000000000005</v>
      </c>
      <c r="O150" s="105">
        <f t="shared" si="34"/>
        <v>316.21000000000004</v>
      </c>
      <c r="P150" s="106">
        <f t="shared" si="34"/>
        <v>483.07000000000005</v>
      </c>
      <c r="Q150" s="456">
        <f t="shared" si="33"/>
        <v>9651.0999999999985</v>
      </c>
      <c r="R150" s="456"/>
      <c r="S150" s="391"/>
      <c r="T150" s="388"/>
    </row>
    <row r="151" spans="1:20" x14ac:dyDescent="0.35">
      <c r="A151" s="534" t="str">
        <f t="shared" si="31"/>
        <v>Building Maintenance</v>
      </c>
      <c r="D151" s="104" t="s">
        <v>108</v>
      </c>
      <c r="E151" s="105">
        <f t="shared" si="34"/>
        <v>600</v>
      </c>
      <c r="F151" s="105">
        <f t="shared" si="34"/>
        <v>850</v>
      </c>
      <c r="G151" s="105">
        <f t="shared" si="34"/>
        <v>400</v>
      </c>
      <c r="H151" s="105">
        <f t="shared" si="34"/>
        <v>575</v>
      </c>
      <c r="I151" s="105">
        <f t="shared" si="34"/>
        <v>1325</v>
      </c>
      <c r="J151" s="105">
        <f t="shared" si="34"/>
        <v>625</v>
      </c>
      <c r="K151" s="105">
        <f t="shared" si="34"/>
        <v>675</v>
      </c>
      <c r="L151" s="105">
        <f t="shared" si="34"/>
        <v>850</v>
      </c>
      <c r="M151" s="105">
        <f t="shared" si="34"/>
        <v>400</v>
      </c>
      <c r="N151" s="105">
        <f t="shared" si="34"/>
        <v>575</v>
      </c>
      <c r="O151" s="105">
        <f t="shared" si="34"/>
        <v>1325</v>
      </c>
      <c r="P151" s="106">
        <f t="shared" si="34"/>
        <v>875</v>
      </c>
      <c r="Q151" s="456">
        <f t="shared" si="33"/>
        <v>9075</v>
      </c>
      <c r="R151" s="456"/>
      <c r="S151" s="391"/>
      <c r="T151" s="388"/>
    </row>
    <row r="152" spans="1:20" x14ac:dyDescent="0.35">
      <c r="A152" s="534" t="str">
        <f t="shared" si="31"/>
        <v>Parking Lot Maintenance</v>
      </c>
      <c r="D152" s="104" t="s">
        <v>140</v>
      </c>
      <c r="E152" s="105">
        <f t="shared" si="34"/>
        <v>309</v>
      </c>
      <c r="F152" s="105">
        <f t="shared" si="34"/>
        <v>309</v>
      </c>
      <c r="G152" s="105">
        <f t="shared" si="34"/>
        <v>458.35</v>
      </c>
      <c r="H152" s="105">
        <f t="shared" si="34"/>
        <v>309</v>
      </c>
      <c r="I152" s="105">
        <f t="shared" si="34"/>
        <v>309</v>
      </c>
      <c r="J152" s="105">
        <f t="shared" si="34"/>
        <v>5608.35</v>
      </c>
      <c r="K152" s="105">
        <f t="shared" si="34"/>
        <v>309</v>
      </c>
      <c r="L152" s="105">
        <f t="shared" si="34"/>
        <v>309</v>
      </c>
      <c r="M152" s="105">
        <f t="shared" si="34"/>
        <v>458.35</v>
      </c>
      <c r="N152" s="105">
        <f t="shared" si="34"/>
        <v>309</v>
      </c>
      <c r="O152" s="105">
        <f t="shared" si="34"/>
        <v>309</v>
      </c>
      <c r="P152" s="106">
        <f t="shared" si="34"/>
        <v>458.35</v>
      </c>
      <c r="Q152" s="456">
        <f t="shared" si="33"/>
        <v>9455.4000000000015</v>
      </c>
      <c r="R152" s="456"/>
      <c r="S152" s="391"/>
      <c r="T152" s="388"/>
    </row>
    <row r="153" spans="1:20" x14ac:dyDescent="0.35">
      <c r="A153" s="534" t="str">
        <f t="shared" si="31"/>
        <v>Snow Removal</v>
      </c>
      <c r="D153" s="104" t="s">
        <v>110</v>
      </c>
      <c r="E153" s="105">
        <f t="shared" si="34"/>
        <v>901.25</v>
      </c>
      <c r="F153" s="105">
        <f t="shared" si="34"/>
        <v>901.25</v>
      </c>
      <c r="G153" s="105">
        <f t="shared" si="34"/>
        <v>901.25</v>
      </c>
      <c r="H153" s="105">
        <f t="shared" si="34"/>
        <v>0</v>
      </c>
      <c r="I153" s="105">
        <f t="shared" si="34"/>
        <v>0</v>
      </c>
      <c r="J153" s="105">
        <f t="shared" si="34"/>
        <v>0</v>
      </c>
      <c r="K153" s="105">
        <f t="shared" si="34"/>
        <v>0</v>
      </c>
      <c r="L153" s="105">
        <f t="shared" si="34"/>
        <v>0</v>
      </c>
      <c r="M153" s="105">
        <f t="shared" si="34"/>
        <v>0</v>
      </c>
      <c r="N153" s="105">
        <f t="shared" si="34"/>
        <v>0</v>
      </c>
      <c r="O153" s="105">
        <f t="shared" si="34"/>
        <v>515</v>
      </c>
      <c r="P153" s="106">
        <f t="shared" si="34"/>
        <v>901.25</v>
      </c>
      <c r="Q153" s="456">
        <f t="shared" si="33"/>
        <v>4120</v>
      </c>
      <c r="R153" s="456"/>
      <c r="S153" s="391"/>
      <c r="T153" s="388"/>
    </row>
    <row r="154" spans="1:20" x14ac:dyDescent="0.35">
      <c r="A154" s="534" t="str">
        <f t="shared" si="31"/>
        <v>Landscaping</v>
      </c>
      <c r="D154" s="104" t="s">
        <v>111</v>
      </c>
      <c r="E154" s="105">
        <f t="shared" si="34"/>
        <v>136.10107848935982</v>
      </c>
      <c r="F154" s="105">
        <f t="shared" si="34"/>
        <v>136.10107848935982</v>
      </c>
      <c r="G154" s="105">
        <f t="shared" si="34"/>
        <v>447.211543911582</v>
      </c>
      <c r="H154" s="105">
        <f t="shared" si="34"/>
        <v>447.211543911582</v>
      </c>
      <c r="I154" s="105">
        <f t="shared" si="34"/>
        <v>756.211543911582</v>
      </c>
      <c r="J154" s="105">
        <f t="shared" si="34"/>
        <v>447.211543911582</v>
      </c>
      <c r="K154" s="105">
        <f t="shared" si="34"/>
        <v>447.211543911582</v>
      </c>
      <c r="L154" s="105">
        <f t="shared" si="34"/>
        <v>447.211543911582</v>
      </c>
      <c r="M154" s="105">
        <f t="shared" si="34"/>
        <v>447.211543911582</v>
      </c>
      <c r="N154" s="105">
        <f t="shared" si="34"/>
        <v>756.211543911582</v>
      </c>
      <c r="O154" s="105">
        <f t="shared" si="34"/>
        <v>447.211543911582</v>
      </c>
      <c r="P154" s="106">
        <f t="shared" si="34"/>
        <v>136.10107848935982</v>
      </c>
      <c r="Q154" s="456">
        <f t="shared" si="33"/>
        <v>5051.2071306723174</v>
      </c>
      <c r="R154" s="456"/>
      <c r="S154" s="391"/>
      <c r="T154" s="388"/>
    </row>
    <row r="155" spans="1:20" x14ac:dyDescent="0.35">
      <c r="A155" s="534" t="str">
        <f t="shared" si="31"/>
        <v>Security</v>
      </c>
      <c r="D155" s="104" t="s">
        <v>112</v>
      </c>
      <c r="E155" s="105">
        <f t="shared" si="34"/>
        <v>63.36</v>
      </c>
      <c r="F155" s="105">
        <f t="shared" si="34"/>
        <v>63.36</v>
      </c>
      <c r="G155" s="105">
        <f t="shared" si="34"/>
        <v>63.36</v>
      </c>
      <c r="H155" s="105">
        <f t="shared" si="34"/>
        <v>63.36</v>
      </c>
      <c r="I155" s="105">
        <f t="shared" si="34"/>
        <v>63.36</v>
      </c>
      <c r="J155" s="105">
        <f t="shared" si="34"/>
        <v>63.36</v>
      </c>
      <c r="K155" s="105">
        <f t="shared" si="34"/>
        <v>63.36</v>
      </c>
      <c r="L155" s="105">
        <f t="shared" si="34"/>
        <v>63.36</v>
      </c>
      <c r="M155" s="105">
        <f t="shared" si="34"/>
        <v>63.36</v>
      </c>
      <c r="N155" s="105">
        <f t="shared" si="34"/>
        <v>63.36</v>
      </c>
      <c r="O155" s="105">
        <f t="shared" si="34"/>
        <v>63.36</v>
      </c>
      <c r="P155" s="106">
        <f t="shared" si="34"/>
        <v>63.36</v>
      </c>
      <c r="Q155" s="456">
        <f t="shared" si="33"/>
        <v>760.32</v>
      </c>
      <c r="R155" s="456"/>
      <c r="S155" s="391"/>
      <c r="T155" s="388"/>
    </row>
    <row r="156" spans="1:20" x14ac:dyDescent="0.35">
      <c r="A156" s="534" t="str">
        <f t="shared" si="31"/>
        <v>Management Fee</v>
      </c>
      <c r="D156" s="104" t="s">
        <v>113</v>
      </c>
      <c r="E156" s="105">
        <f t="shared" si="34"/>
        <v>1283</v>
      </c>
      <c r="F156" s="105">
        <f t="shared" si="34"/>
        <v>1283</v>
      </c>
      <c r="G156" s="105">
        <f t="shared" si="34"/>
        <v>1283</v>
      </c>
      <c r="H156" s="105">
        <f t="shared" si="34"/>
        <v>1283</v>
      </c>
      <c r="I156" s="105">
        <f t="shared" si="34"/>
        <v>1283</v>
      </c>
      <c r="J156" s="105">
        <f t="shared" si="34"/>
        <v>1283</v>
      </c>
      <c r="K156" s="105">
        <f t="shared" si="34"/>
        <v>1283</v>
      </c>
      <c r="L156" s="105">
        <f t="shared" si="34"/>
        <v>1283</v>
      </c>
      <c r="M156" s="105">
        <f t="shared" si="34"/>
        <v>1283</v>
      </c>
      <c r="N156" s="105">
        <f t="shared" si="34"/>
        <v>1283</v>
      </c>
      <c r="O156" s="105">
        <f t="shared" si="34"/>
        <v>1283</v>
      </c>
      <c r="P156" s="106">
        <f t="shared" si="34"/>
        <v>1283</v>
      </c>
      <c r="Q156" s="456">
        <f t="shared" si="33"/>
        <v>15396</v>
      </c>
      <c r="R156" s="456"/>
      <c r="S156" s="391"/>
      <c r="T156" s="388"/>
    </row>
    <row r="157" spans="1:20" x14ac:dyDescent="0.35">
      <c r="A157" s="534" t="str">
        <f t="shared" si="31"/>
        <v>Trash Removal</v>
      </c>
      <c r="D157" s="104" t="s">
        <v>114</v>
      </c>
      <c r="E157" s="105">
        <f t="shared" si="34"/>
        <v>77.25</v>
      </c>
      <c r="F157" s="105">
        <f t="shared" si="34"/>
        <v>77.25</v>
      </c>
      <c r="G157" s="105">
        <f t="shared" si="34"/>
        <v>77.25</v>
      </c>
      <c r="H157" s="105">
        <f t="shared" si="34"/>
        <v>128.75</v>
      </c>
      <c r="I157" s="105">
        <f t="shared" si="34"/>
        <v>77.25</v>
      </c>
      <c r="J157" s="105">
        <f t="shared" si="34"/>
        <v>77.25</v>
      </c>
      <c r="K157" s="105">
        <f t="shared" si="34"/>
        <v>77.25</v>
      </c>
      <c r="L157" s="105">
        <f t="shared" si="34"/>
        <v>77.25</v>
      </c>
      <c r="M157" s="105">
        <f t="shared" si="34"/>
        <v>77.25</v>
      </c>
      <c r="N157" s="105">
        <f t="shared" si="34"/>
        <v>128.75</v>
      </c>
      <c r="O157" s="105">
        <f t="shared" si="34"/>
        <v>77.25</v>
      </c>
      <c r="P157" s="106">
        <f t="shared" si="34"/>
        <v>77.25</v>
      </c>
      <c r="Q157" s="456">
        <f t="shared" si="33"/>
        <v>1030</v>
      </c>
      <c r="R157" s="456"/>
      <c r="S157" s="391"/>
      <c r="T157" s="388"/>
    </row>
    <row r="158" spans="1:20" x14ac:dyDescent="0.35">
      <c r="A158" s="534" t="str">
        <f t="shared" si="31"/>
        <v>Real Estate Taxes</v>
      </c>
      <c r="D158" s="104" t="s">
        <v>115</v>
      </c>
      <c r="E158" s="105">
        <f t="shared" ref="E158:P167" si="35">VLOOKUP($D158,$A$10:$P$131,E$141,FALSE)</f>
        <v>1428.6869500680002</v>
      </c>
      <c r="F158" s="105">
        <f t="shared" si="35"/>
        <v>1428.6869500680002</v>
      </c>
      <c r="G158" s="105">
        <f t="shared" si="35"/>
        <v>1428.6869500680002</v>
      </c>
      <c r="H158" s="105">
        <f t="shared" si="35"/>
        <v>1428.6869500680002</v>
      </c>
      <c r="I158" s="105">
        <f t="shared" si="35"/>
        <v>1428.6869500680002</v>
      </c>
      <c r="J158" s="105">
        <f t="shared" si="35"/>
        <v>1428.6869500680002</v>
      </c>
      <c r="K158" s="105">
        <f t="shared" si="35"/>
        <v>1428.6869500680002</v>
      </c>
      <c r="L158" s="105">
        <f t="shared" si="35"/>
        <v>1428.6869500680002</v>
      </c>
      <c r="M158" s="105">
        <f t="shared" si="35"/>
        <v>1428.6869500680002</v>
      </c>
      <c r="N158" s="105">
        <f t="shared" si="35"/>
        <v>1428.6869500680002</v>
      </c>
      <c r="O158" s="105">
        <f t="shared" si="35"/>
        <v>1428.6869500680002</v>
      </c>
      <c r="P158" s="106">
        <f t="shared" si="35"/>
        <v>1428.6869500680002</v>
      </c>
      <c r="Q158" s="456">
        <f t="shared" si="33"/>
        <v>17144.243400816002</v>
      </c>
      <c r="R158" s="456"/>
      <c r="S158" s="391"/>
      <c r="T158" s="388"/>
    </row>
    <row r="159" spans="1:20" x14ac:dyDescent="0.35">
      <c r="A159" s="534" t="str">
        <f t="shared" si="31"/>
        <v>Insurance</v>
      </c>
      <c r="D159" s="104" t="s">
        <v>116</v>
      </c>
      <c r="E159" s="105">
        <f t="shared" si="35"/>
        <v>634</v>
      </c>
      <c r="F159" s="105">
        <f t="shared" si="35"/>
        <v>634</v>
      </c>
      <c r="G159" s="105">
        <f t="shared" si="35"/>
        <v>634</v>
      </c>
      <c r="H159" s="105">
        <f t="shared" si="35"/>
        <v>634</v>
      </c>
      <c r="I159" s="105">
        <f t="shared" si="35"/>
        <v>634</v>
      </c>
      <c r="J159" s="105">
        <f t="shared" si="35"/>
        <v>634</v>
      </c>
      <c r="K159" s="105">
        <f t="shared" si="35"/>
        <v>634</v>
      </c>
      <c r="L159" s="105">
        <f t="shared" si="35"/>
        <v>634</v>
      </c>
      <c r="M159" s="105">
        <f t="shared" si="35"/>
        <v>634</v>
      </c>
      <c r="N159" s="105">
        <f t="shared" si="35"/>
        <v>634</v>
      </c>
      <c r="O159" s="105">
        <f t="shared" si="35"/>
        <v>646.67999999999995</v>
      </c>
      <c r="P159" s="106">
        <f t="shared" si="35"/>
        <v>646.67999999999995</v>
      </c>
      <c r="Q159" s="456">
        <f t="shared" si="33"/>
        <v>7633.3600000000006</v>
      </c>
      <c r="R159" s="456"/>
      <c r="S159" s="391"/>
      <c r="T159" s="388"/>
    </row>
    <row r="160" spans="1:20" x14ac:dyDescent="0.35">
      <c r="A160" s="534" t="str">
        <f t="shared" si="31"/>
        <v>Cleaning &amp; Supplies</v>
      </c>
      <c r="D160" s="104" t="s">
        <v>117</v>
      </c>
      <c r="E160" s="105">
        <f t="shared" si="35"/>
        <v>1831.2145554473971</v>
      </c>
      <c r="F160" s="105">
        <f t="shared" si="35"/>
        <v>1831.2145554473971</v>
      </c>
      <c r="G160" s="105">
        <f t="shared" si="35"/>
        <v>1831.2145554473971</v>
      </c>
      <c r="H160" s="105">
        <f t="shared" si="35"/>
        <v>1831.2145554473971</v>
      </c>
      <c r="I160" s="105">
        <f t="shared" si="35"/>
        <v>1831.2145554473971</v>
      </c>
      <c r="J160" s="105">
        <f t="shared" si="35"/>
        <v>1831.2145554473971</v>
      </c>
      <c r="K160" s="105">
        <f t="shared" si="35"/>
        <v>1831.2145554473971</v>
      </c>
      <c r="L160" s="105">
        <f t="shared" si="35"/>
        <v>1831.2145554473971</v>
      </c>
      <c r="M160" s="105">
        <f t="shared" si="35"/>
        <v>1831.2145554473971</v>
      </c>
      <c r="N160" s="105">
        <f t="shared" si="35"/>
        <v>1831.2145554473971</v>
      </c>
      <c r="O160" s="105">
        <f t="shared" si="35"/>
        <v>1831.2145554473971</v>
      </c>
      <c r="P160" s="106">
        <f t="shared" si="35"/>
        <v>1831.2145554473971</v>
      </c>
      <c r="Q160" s="456">
        <f t="shared" si="33"/>
        <v>21974.574665368764</v>
      </c>
      <c r="R160" s="456"/>
      <c r="S160" s="391"/>
      <c r="T160" s="388"/>
    </row>
    <row r="161" spans="1:20" x14ac:dyDescent="0.35">
      <c r="A161" s="534" t="str">
        <f>VLOOKUP($D161,$A$10:$D$130,4,FALSE)</f>
        <v>Salaries &amp; Wages</v>
      </c>
      <c r="D161" s="104" t="s">
        <v>118</v>
      </c>
      <c r="E161" s="105">
        <f t="shared" si="35"/>
        <v>328.94814064407331</v>
      </c>
      <c r="F161" s="105">
        <f t="shared" si="35"/>
        <v>328.94814064407331</v>
      </c>
      <c r="G161" s="105">
        <f t="shared" si="35"/>
        <v>328.94814064407331</v>
      </c>
      <c r="H161" s="105">
        <f t="shared" si="35"/>
        <v>328.94814064407331</v>
      </c>
      <c r="I161" s="105">
        <f t="shared" si="35"/>
        <v>328.94814064407331</v>
      </c>
      <c r="J161" s="105">
        <f t="shared" si="35"/>
        <v>328.94814064407331</v>
      </c>
      <c r="K161" s="105">
        <f t="shared" si="35"/>
        <v>328.94814064407331</v>
      </c>
      <c r="L161" s="105">
        <f t="shared" si="35"/>
        <v>328.94814064407331</v>
      </c>
      <c r="M161" s="105">
        <f t="shared" si="35"/>
        <v>328.94814064407331</v>
      </c>
      <c r="N161" s="105">
        <f t="shared" si="35"/>
        <v>328.94814064407331</v>
      </c>
      <c r="O161" s="105">
        <f t="shared" si="35"/>
        <v>328.94814064407331</v>
      </c>
      <c r="P161" s="106">
        <f t="shared" si="35"/>
        <v>328.94814064407331</v>
      </c>
      <c r="Q161" s="456">
        <f t="shared" si="33"/>
        <v>3947.3776877288788</v>
      </c>
      <c r="R161" s="456"/>
      <c r="S161" s="391"/>
      <c r="T161" s="388"/>
    </row>
    <row r="162" spans="1:20" x14ac:dyDescent="0.35">
      <c r="A162" s="534" t="str">
        <f>VLOOKUP($D162,$A$10:$D$130,4,FALSE)</f>
        <v>Commissions-Internal Broker</v>
      </c>
      <c r="D162" s="104" t="s">
        <v>119</v>
      </c>
      <c r="E162" s="105">
        <f t="shared" si="35"/>
        <v>207.92107320388106</v>
      </c>
      <c r="F162" s="105">
        <f t="shared" si="35"/>
        <v>0</v>
      </c>
      <c r="G162" s="105">
        <f t="shared" si="35"/>
        <v>0</v>
      </c>
      <c r="H162" s="105">
        <f t="shared" si="35"/>
        <v>207.92107320388106</v>
      </c>
      <c r="I162" s="105">
        <f t="shared" si="35"/>
        <v>0</v>
      </c>
      <c r="J162" s="105">
        <f t="shared" si="35"/>
        <v>0</v>
      </c>
      <c r="K162" s="105">
        <f t="shared" si="35"/>
        <v>207.92107320388106</v>
      </c>
      <c r="L162" s="105">
        <f t="shared" si="35"/>
        <v>0</v>
      </c>
      <c r="M162" s="105">
        <f t="shared" si="35"/>
        <v>0</v>
      </c>
      <c r="N162" s="105">
        <f t="shared" si="35"/>
        <v>207.92107320388106</v>
      </c>
      <c r="O162" s="105">
        <f t="shared" si="35"/>
        <v>0</v>
      </c>
      <c r="P162" s="106">
        <f t="shared" si="35"/>
        <v>0</v>
      </c>
      <c r="Q162" s="456">
        <f t="shared" si="33"/>
        <v>831.68429281552426</v>
      </c>
      <c r="R162" s="456"/>
      <c r="S162" s="391"/>
      <c r="T162" s="388"/>
    </row>
    <row r="163" spans="1:20" x14ac:dyDescent="0.35">
      <c r="A163" s="534" t="str">
        <f>VLOOKUP($D163,$A$10:$D$130,3,FALSE)</f>
        <v>Building Maintenance</v>
      </c>
      <c r="D163" s="104" t="s">
        <v>120</v>
      </c>
      <c r="E163" s="105">
        <f t="shared" si="35"/>
        <v>206</v>
      </c>
      <c r="F163" s="105">
        <f t="shared" si="35"/>
        <v>206</v>
      </c>
      <c r="G163" s="105">
        <f t="shared" si="35"/>
        <v>206</v>
      </c>
      <c r="H163" s="105">
        <f t="shared" si="35"/>
        <v>206</v>
      </c>
      <c r="I163" s="105">
        <f t="shared" si="35"/>
        <v>206</v>
      </c>
      <c r="J163" s="105">
        <f t="shared" si="35"/>
        <v>206</v>
      </c>
      <c r="K163" s="105">
        <f t="shared" si="35"/>
        <v>206</v>
      </c>
      <c r="L163" s="105">
        <f t="shared" si="35"/>
        <v>206</v>
      </c>
      <c r="M163" s="105">
        <f t="shared" si="35"/>
        <v>206</v>
      </c>
      <c r="N163" s="105">
        <f t="shared" si="35"/>
        <v>206</v>
      </c>
      <c r="O163" s="105">
        <f t="shared" si="35"/>
        <v>206</v>
      </c>
      <c r="P163" s="106">
        <f t="shared" si="35"/>
        <v>206</v>
      </c>
      <c r="Q163" s="456">
        <f t="shared" si="33"/>
        <v>2472</v>
      </c>
      <c r="R163" s="456"/>
      <c r="S163" s="391"/>
      <c r="T163" s="388"/>
    </row>
    <row r="164" spans="1:20" x14ac:dyDescent="0.35">
      <c r="A164" s="534" t="str">
        <f>VLOOKUP($D164,$A$10:$D$130,3,FALSE)</f>
        <v>Marketing</v>
      </c>
      <c r="D164" s="104" t="s">
        <v>121</v>
      </c>
      <c r="E164" s="105">
        <f t="shared" si="35"/>
        <v>126.19019795376465</v>
      </c>
      <c r="F164" s="105">
        <f t="shared" si="35"/>
        <v>126.19019795376465</v>
      </c>
      <c r="G164" s="105">
        <f t="shared" si="35"/>
        <v>126.19019795376465</v>
      </c>
      <c r="H164" s="105">
        <f t="shared" si="35"/>
        <v>126.19019795376465</v>
      </c>
      <c r="I164" s="105">
        <f t="shared" si="35"/>
        <v>126.19019795376465</v>
      </c>
      <c r="J164" s="105">
        <f t="shared" si="35"/>
        <v>126.19019795376465</v>
      </c>
      <c r="K164" s="105">
        <f t="shared" si="35"/>
        <v>126.19019795376465</v>
      </c>
      <c r="L164" s="105">
        <f t="shared" si="35"/>
        <v>126.19019795376465</v>
      </c>
      <c r="M164" s="105">
        <f t="shared" si="35"/>
        <v>126.19019795376465</v>
      </c>
      <c r="N164" s="105">
        <f t="shared" si="35"/>
        <v>126.19019795376465</v>
      </c>
      <c r="O164" s="105">
        <f t="shared" si="35"/>
        <v>126.19019795376465</v>
      </c>
      <c r="P164" s="106">
        <f t="shared" si="35"/>
        <v>126.19019795376465</v>
      </c>
      <c r="Q164" s="456">
        <f t="shared" si="33"/>
        <v>1514.2823754451763</v>
      </c>
      <c r="R164" s="456"/>
      <c r="S164" s="391"/>
      <c r="T164" s="388"/>
    </row>
    <row r="165" spans="1:20" x14ac:dyDescent="0.35">
      <c r="A165" s="534" t="str">
        <f>VLOOKUP($D165,$A$10:$D$130,3,FALSE)</f>
        <v>Business Taxes</v>
      </c>
      <c r="D165" s="104" t="s">
        <v>122</v>
      </c>
      <c r="E165" s="105">
        <f t="shared" si="35"/>
        <v>0</v>
      </c>
      <c r="F165" s="105">
        <f t="shared" si="35"/>
        <v>0</v>
      </c>
      <c r="G165" s="105">
        <f t="shared" si="35"/>
        <v>0</v>
      </c>
      <c r="H165" s="105">
        <f t="shared" si="35"/>
        <v>596.69074763503863</v>
      </c>
      <c r="I165" s="105">
        <f t="shared" si="35"/>
        <v>0</v>
      </c>
      <c r="J165" s="105">
        <f t="shared" si="35"/>
        <v>0</v>
      </c>
      <c r="K165" s="105">
        <f t="shared" si="35"/>
        <v>0</v>
      </c>
      <c r="L165" s="105">
        <f t="shared" si="35"/>
        <v>0</v>
      </c>
      <c r="M165" s="105">
        <f t="shared" si="35"/>
        <v>0</v>
      </c>
      <c r="N165" s="105">
        <f t="shared" si="35"/>
        <v>0</v>
      </c>
      <c r="O165" s="105">
        <f t="shared" si="35"/>
        <v>0</v>
      </c>
      <c r="P165" s="106">
        <f t="shared" si="35"/>
        <v>0</v>
      </c>
      <c r="Q165" s="456">
        <f t="shared" si="33"/>
        <v>596.69074763503863</v>
      </c>
      <c r="R165" s="456"/>
      <c r="S165" s="391"/>
      <c r="T165" s="388"/>
    </row>
    <row r="166" spans="1:20" x14ac:dyDescent="0.35">
      <c r="A166" s="534" t="str">
        <f t="shared" si="31"/>
        <v>Legal &amp; Accounting</v>
      </c>
      <c r="D166" s="104" t="s">
        <v>123</v>
      </c>
      <c r="E166" s="105">
        <f t="shared" si="35"/>
        <v>115.32660986874394</v>
      </c>
      <c r="F166" s="105">
        <f t="shared" si="35"/>
        <v>115.32660986874394</v>
      </c>
      <c r="G166" s="105">
        <f t="shared" si="35"/>
        <v>115.32660986874394</v>
      </c>
      <c r="H166" s="105">
        <f t="shared" si="35"/>
        <v>115.32660986874394</v>
      </c>
      <c r="I166" s="105">
        <f t="shared" si="35"/>
        <v>115.32660986874394</v>
      </c>
      <c r="J166" s="105">
        <f t="shared" si="35"/>
        <v>115.32660986874394</v>
      </c>
      <c r="K166" s="105">
        <f t="shared" si="35"/>
        <v>115.32660986874394</v>
      </c>
      <c r="L166" s="105">
        <f t="shared" si="35"/>
        <v>115.32660986874394</v>
      </c>
      <c r="M166" s="105">
        <f t="shared" si="35"/>
        <v>115.32660986874394</v>
      </c>
      <c r="N166" s="105">
        <f t="shared" si="35"/>
        <v>115.32660986874394</v>
      </c>
      <c r="O166" s="105">
        <f t="shared" si="35"/>
        <v>115.32660986874394</v>
      </c>
      <c r="P166" s="106">
        <f t="shared" si="35"/>
        <v>115.32660986874394</v>
      </c>
      <c r="Q166" s="456">
        <f t="shared" si="33"/>
        <v>1383.919318424927</v>
      </c>
      <c r="R166" s="456"/>
      <c r="S166" s="391"/>
      <c r="T166" s="388"/>
    </row>
    <row r="167" spans="1:20" x14ac:dyDescent="0.35">
      <c r="A167" s="534" t="str">
        <f>VLOOKUP($D167,$A$10:$D$130,4,FALSE)</f>
        <v>Bank Fees</v>
      </c>
      <c r="D167" s="104" t="s">
        <v>130</v>
      </c>
      <c r="E167" s="105">
        <f t="shared" si="35"/>
        <v>5.2148489233983106</v>
      </c>
      <c r="F167" s="105">
        <f t="shared" si="35"/>
        <v>5.2148489233983106</v>
      </c>
      <c r="G167" s="105">
        <f t="shared" si="35"/>
        <v>5.2148489233983106</v>
      </c>
      <c r="H167" s="105">
        <f t="shared" si="35"/>
        <v>5.2148489233983106</v>
      </c>
      <c r="I167" s="105">
        <f t="shared" si="35"/>
        <v>5.2148489233983106</v>
      </c>
      <c r="J167" s="105">
        <f t="shared" si="35"/>
        <v>5.2148489233983106</v>
      </c>
      <c r="K167" s="105">
        <f t="shared" si="35"/>
        <v>5.2148489233983106</v>
      </c>
      <c r="L167" s="105">
        <f t="shared" si="35"/>
        <v>5.2148489233983106</v>
      </c>
      <c r="M167" s="105">
        <f t="shared" si="35"/>
        <v>5.2148489233983106</v>
      </c>
      <c r="N167" s="105">
        <f t="shared" si="35"/>
        <v>5.2148489233983106</v>
      </c>
      <c r="O167" s="105">
        <f t="shared" si="35"/>
        <v>5.2148489233983106</v>
      </c>
      <c r="P167" s="106">
        <f t="shared" si="35"/>
        <v>5.2148489233983106</v>
      </c>
      <c r="Q167" s="456">
        <f t="shared" si="33"/>
        <v>62.578187080779713</v>
      </c>
      <c r="R167" s="456"/>
      <c r="S167" s="391"/>
      <c r="T167" s="388"/>
    </row>
    <row r="168" spans="1:20" x14ac:dyDescent="0.35">
      <c r="A168" s="534" t="str">
        <f>VLOOKUP($D168,$A$10:$D$130,4,FALSE)</f>
        <v>Other G&amp;A Expense</v>
      </c>
      <c r="D168" s="104" t="s">
        <v>131</v>
      </c>
      <c r="E168" s="105">
        <f t="shared" ref="E168:P176" si="36">VLOOKUP($D168,$A$10:$P$131,E$141,FALSE)</f>
        <v>5.0466279903854625</v>
      </c>
      <c r="F168" s="105">
        <f t="shared" si="36"/>
        <v>5.0466279903854625</v>
      </c>
      <c r="G168" s="105">
        <f t="shared" si="36"/>
        <v>5.0466279903854625</v>
      </c>
      <c r="H168" s="105">
        <f t="shared" si="36"/>
        <v>5.0466279903854625</v>
      </c>
      <c r="I168" s="105">
        <f t="shared" si="36"/>
        <v>5.0466279903854625</v>
      </c>
      <c r="J168" s="105">
        <f t="shared" si="36"/>
        <v>5.0466279903854625</v>
      </c>
      <c r="K168" s="105">
        <f t="shared" si="36"/>
        <v>5.0466279903854625</v>
      </c>
      <c r="L168" s="105">
        <f t="shared" si="36"/>
        <v>5.0466279903854625</v>
      </c>
      <c r="M168" s="105">
        <f t="shared" si="36"/>
        <v>5.0466279903854625</v>
      </c>
      <c r="N168" s="105">
        <f t="shared" si="36"/>
        <v>5.0466279903854625</v>
      </c>
      <c r="O168" s="105">
        <f t="shared" si="36"/>
        <v>5.0466279903854625</v>
      </c>
      <c r="P168" s="106">
        <f t="shared" si="36"/>
        <v>5.0466279903854625</v>
      </c>
      <c r="Q168" s="456">
        <f t="shared" si="33"/>
        <v>60.559535884625539</v>
      </c>
      <c r="R168" s="456"/>
      <c r="S168" s="391"/>
      <c r="T168" s="388"/>
    </row>
    <row r="169" spans="1:20" x14ac:dyDescent="0.35">
      <c r="A169" s="534" t="str">
        <f>VLOOKUP($D169,$A$10:$D$130,4,FALSE)</f>
        <v>Other G&amp;A-allocated from LIK</v>
      </c>
      <c r="D169" s="104" t="s">
        <v>124</v>
      </c>
      <c r="E169" s="105">
        <f t="shared" si="36"/>
        <v>150</v>
      </c>
      <c r="F169" s="105">
        <f t="shared" si="36"/>
        <v>150</v>
      </c>
      <c r="G169" s="105">
        <f t="shared" si="36"/>
        <v>150</v>
      </c>
      <c r="H169" s="105">
        <f t="shared" si="36"/>
        <v>150</v>
      </c>
      <c r="I169" s="105">
        <f t="shared" si="36"/>
        <v>150</v>
      </c>
      <c r="J169" s="105">
        <f t="shared" si="36"/>
        <v>150</v>
      </c>
      <c r="K169" s="105">
        <f t="shared" si="36"/>
        <v>150</v>
      </c>
      <c r="L169" s="105">
        <f t="shared" si="36"/>
        <v>150</v>
      </c>
      <c r="M169" s="105">
        <f t="shared" si="36"/>
        <v>150</v>
      </c>
      <c r="N169" s="105">
        <f t="shared" si="36"/>
        <v>150</v>
      </c>
      <c r="O169" s="105">
        <f t="shared" si="36"/>
        <v>150</v>
      </c>
      <c r="P169" s="106">
        <f t="shared" si="36"/>
        <v>150</v>
      </c>
      <c r="Q169" s="456">
        <f t="shared" si="33"/>
        <v>1800</v>
      </c>
      <c r="R169" s="456"/>
      <c r="S169" s="391"/>
      <c r="T169" s="388"/>
    </row>
    <row r="170" spans="1:20" x14ac:dyDescent="0.35">
      <c r="A170" s="534" t="str">
        <f>VLOOKUP($D170,$A$10:$D$130,4,FALSE)</f>
        <v>Land Improvements</v>
      </c>
      <c r="D170" s="104" t="s">
        <v>125</v>
      </c>
      <c r="E170" s="105">
        <f t="shared" si="36"/>
        <v>0</v>
      </c>
      <c r="F170" s="105">
        <f t="shared" si="36"/>
        <v>0</v>
      </c>
      <c r="G170" s="105">
        <f t="shared" si="36"/>
        <v>0</v>
      </c>
      <c r="H170" s="105">
        <f t="shared" si="36"/>
        <v>0</v>
      </c>
      <c r="I170" s="105">
        <f t="shared" si="36"/>
        <v>0</v>
      </c>
      <c r="J170" s="105">
        <f t="shared" si="36"/>
        <v>0</v>
      </c>
      <c r="K170" s="105">
        <f t="shared" si="36"/>
        <v>0</v>
      </c>
      <c r="L170" s="105">
        <f t="shared" si="36"/>
        <v>0</v>
      </c>
      <c r="M170" s="105">
        <f t="shared" si="36"/>
        <v>0</v>
      </c>
      <c r="N170" s="105">
        <f t="shared" si="36"/>
        <v>0</v>
      </c>
      <c r="O170" s="105">
        <f t="shared" si="36"/>
        <v>0</v>
      </c>
      <c r="P170" s="106">
        <f t="shared" si="36"/>
        <v>0</v>
      </c>
      <c r="Q170" s="456">
        <f t="shared" si="33"/>
        <v>0</v>
      </c>
      <c r="R170" s="456"/>
      <c r="S170" s="391"/>
      <c r="T170" s="388"/>
    </row>
    <row r="171" spans="1:20" x14ac:dyDescent="0.35">
      <c r="A171" s="534" t="str">
        <f t="shared" ref="A171:A172" si="37">VLOOKUP($D171,$A$10:$D$130,4,FALSE)</f>
        <v>Buildings</v>
      </c>
      <c r="D171" s="104" t="s">
        <v>126</v>
      </c>
      <c r="E171" s="105">
        <f t="shared" si="36"/>
        <v>0</v>
      </c>
      <c r="F171" s="105">
        <f t="shared" si="36"/>
        <v>0</v>
      </c>
      <c r="G171" s="105">
        <f t="shared" si="36"/>
        <v>0</v>
      </c>
      <c r="H171" s="105">
        <f t="shared" si="36"/>
        <v>0</v>
      </c>
      <c r="I171" s="105">
        <f t="shared" si="36"/>
        <v>0</v>
      </c>
      <c r="J171" s="105">
        <f t="shared" si="36"/>
        <v>0</v>
      </c>
      <c r="K171" s="105">
        <f t="shared" si="36"/>
        <v>0</v>
      </c>
      <c r="L171" s="105">
        <f t="shared" si="36"/>
        <v>0</v>
      </c>
      <c r="M171" s="105">
        <f t="shared" si="36"/>
        <v>0</v>
      </c>
      <c r="N171" s="105">
        <f t="shared" si="36"/>
        <v>0</v>
      </c>
      <c r="O171" s="105">
        <f t="shared" si="36"/>
        <v>0</v>
      </c>
      <c r="P171" s="106">
        <f t="shared" si="36"/>
        <v>0</v>
      </c>
      <c r="Q171" s="456">
        <f t="shared" si="33"/>
        <v>0</v>
      </c>
      <c r="R171" s="456"/>
      <c r="S171" s="391"/>
      <c r="T171" s="388"/>
    </row>
    <row r="172" spans="1:20" x14ac:dyDescent="0.35">
      <c r="A172" s="534" t="str">
        <f t="shared" si="37"/>
        <v>Equipment</v>
      </c>
      <c r="D172" s="104" t="s">
        <v>127</v>
      </c>
      <c r="E172" s="105">
        <f t="shared" si="36"/>
        <v>0</v>
      </c>
      <c r="F172" s="105">
        <f t="shared" si="36"/>
        <v>0</v>
      </c>
      <c r="G172" s="105">
        <f t="shared" si="36"/>
        <v>0</v>
      </c>
      <c r="H172" s="105">
        <f t="shared" si="36"/>
        <v>0</v>
      </c>
      <c r="I172" s="105">
        <f t="shared" si="36"/>
        <v>0</v>
      </c>
      <c r="J172" s="105">
        <f t="shared" si="36"/>
        <v>0</v>
      </c>
      <c r="K172" s="105">
        <f t="shared" si="36"/>
        <v>0</v>
      </c>
      <c r="L172" s="105">
        <f t="shared" si="36"/>
        <v>0</v>
      </c>
      <c r="M172" s="105">
        <f t="shared" si="36"/>
        <v>0</v>
      </c>
      <c r="N172" s="105">
        <f t="shared" si="36"/>
        <v>0</v>
      </c>
      <c r="O172" s="105">
        <f t="shared" si="36"/>
        <v>0</v>
      </c>
      <c r="P172" s="106">
        <f t="shared" si="36"/>
        <v>0</v>
      </c>
      <c r="Q172" s="456">
        <f t="shared" si="33"/>
        <v>0</v>
      </c>
      <c r="R172" s="456"/>
      <c r="S172" s="391"/>
      <c r="T172" s="388"/>
    </row>
    <row r="173" spans="1:20" x14ac:dyDescent="0.35">
      <c r="A173" s="534" t="str">
        <f>VLOOKUP($D173,$A$10:$D$130,3,FALSE)</f>
        <v>Tenant Improvements</v>
      </c>
      <c r="D173" s="104" t="s">
        <v>128</v>
      </c>
      <c r="E173" s="105">
        <f t="shared" si="36"/>
        <v>0</v>
      </c>
      <c r="F173" s="105">
        <f t="shared" si="36"/>
        <v>0</v>
      </c>
      <c r="G173" s="105">
        <f t="shared" si="36"/>
        <v>0</v>
      </c>
      <c r="H173" s="105">
        <f t="shared" si="36"/>
        <v>0</v>
      </c>
      <c r="I173" s="105">
        <f t="shared" si="36"/>
        <v>0</v>
      </c>
      <c r="J173" s="105">
        <f t="shared" si="36"/>
        <v>0</v>
      </c>
      <c r="K173" s="105">
        <f t="shared" si="36"/>
        <v>0</v>
      </c>
      <c r="L173" s="105">
        <f t="shared" si="36"/>
        <v>0</v>
      </c>
      <c r="M173" s="105">
        <f t="shared" si="36"/>
        <v>0</v>
      </c>
      <c r="N173" s="105">
        <f t="shared" si="36"/>
        <v>0</v>
      </c>
      <c r="O173" s="105">
        <f t="shared" si="36"/>
        <v>0</v>
      </c>
      <c r="P173" s="106">
        <f t="shared" si="36"/>
        <v>0</v>
      </c>
      <c r="Q173" s="456">
        <f t="shared" si="33"/>
        <v>0</v>
      </c>
      <c r="R173" s="456"/>
      <c r="S173" s="391"/>
      <c r="T173" s="388"/>
    </row>
    <row r="174" spans="1:20" x14ac:dyDescent="0.35">
      <c r="A174" s="534" t="str">
        <f>VLOOKUP($D174,$A$10:$D$130,3,FALSE)</f>
        <v>Outside Leasing Commissions</v>
      </c>
      <c r="D174" s="104" t="s">
        <v>129</v>
      </c>
      <c r="E174" s="105">
        <f t="shared" si="36"/>
        <v>5003.4599999999991</v>
      </c>
      <c r="F174" s="105">
        <f t="shared" si="36"/>
        <v>0</v>
      </c>
      <c r="G174" s="105">
        <f t="shared" si="36"/>
        <v>0</v>
      </c>
      <c r="H174" s="105">
        <f t="shared" si="36"/>
        <v>0</v>
      </c>
      <c r="I174" s="105">
        <f t="shared" si="36"/>
        <v>0</v>
      </c>
      <c r="J174" s="105">
        <f t="shared" si="36"/>
        <v>0</v>
      </c>
      <c r="K174" s="105">
        <f t="shared" si="36"/>
        <v>0</v>
      </c>
      <c r="L174" s="105">
        <f t="shared" si="36"/>
        <v>0</v>
      </c>
      <c r="M174" s="105">
        <f t="shared" si="36"/>
        <v>0</v>
      </c>
      <c r="N174" s="105">
        <f t="shared" si="36"/>
        <v>0</v>
      </c>
      <c r="O174" s="105">
        <f t="shared" si="36"/>
        <v>0</v>
      </c>
      <c r="P174" s="106">
        <f t="shared" si="36"/>
        <v>0</v>
      </c>
      <c r="Q174" s="456">
        <f t="shared" si="33"/>
        <v>5003.4599999999991</v>
      </c>
      <c r="R174" s="456"/>
      <c r="S174" s="391"/>
      <c r="T174" s="388"/>
    </row>
    <row r="175" spans="1:20" x14ac:dyDescent="0.35">
      <c r="A175" s="534" t="str">
        <f>VLOOKUP($D175,$A$10:$D$130,3,FALSE)</f>
        <v>Interest</v>
      </c>
      <c r="D175" s="104" t="s">
        <v>132</v>
      </c>
      <c r="E175" s="105">
        <f t="shared" si="36"/>
        <v>3039.670598895083</v>
      </c>
      <c r="F175" s="105">
        <f t="shared" si="36"/>
        <v>3039.670598895083</v>
      </c>
      <c r="G175" s="105">
        <f t="shared" si="36"/>
        <v>3039.670598895083</v>
      </c>
      <c r="H175" s="105">
        <f t="shared" si="36"/>
        <v>3039.670598895083</v>
      </c>
      <c r="I175" s="105">
        <f t="shared" si="36"/>
        <v>3039.670598895083</v>
      </c>
      <c r="J175" s="105">
        <f t="shared" si="36"/>
        <v>3039.670598895083</v>
      </c>
      <c r="K175" s="105">
        <f t="shared" si="36"/>
        <v>3039.670598895083</v>
      </c>
      <c r="L175" s="105">
        <f t="shared" si="36"/>
        <v>3039.670598895083</v>
      </c>
      <c r="M175" s="105">
        <f t="shared" si="36"/>
        <v>3039.670598895083</v>
      </c>
      <c r="N175" s="105">
        <f t="shared" si="36"/>
        <v>3039.670598895083</v>
      </c>
      <c r="O175" s="105">
        <f t="shared" si="36"/>
        <v>3039.670598895083</v>
      </c>
      <c r="P175" s="106">
        <f t="shared" si="36"/>
        <v>3039.670598895083</v>
      </c>
      <c r="Q175" s="456">
        <f t="shared" si="33"/>
        <v>36476.047186740994</v>
      </c>
      <c r="R175" s="456"/>
      <c r="S175" s="391"/>
      <c r="T175" s="388"/>
    </row>
    <row r="176" spans="1:20" ht="16.5" thickBot="1" x14ac:dyDescent="0.4">
      <c r="A176" s="534" t="str">
        <f>VLOOKUP($D176,$A$10:$D$130,3,FALSE)</f>
        <v>Mortgage Amortization</v>
      </c>
      <c r="D176" s="107" t="s">
        <v>149</v>
      </c>
      <c r="E176" s="108">
        <f t="shared" si="36"/>
        <v>0</v>
      </c>
      <c r="F176" s="108">
        <f t="shared" si="36"/>
        <v>0</v>
      </c>
      <c r="G176" s="108">
        <f t="shared" si="36"/>
        <v>0</v>
      </c>
      <c r="H176" s="108">
        <f t="shared" si="36"/>
        <v>0</v>
      </c>
      <c r="I176" s="108">
        <f t="shared" si="36"/>
        <v>0</v>
      </c>
      <c r="J176" s="108">
        <f t="shared" si="36"/>
        <v>0</v>
      </c>
      <c r="K176" s="108">
        <f t="shared" si="36"/>
        <v>0</v>
      </c>
      <c r="L176" s="108">
        <f t="shared" si="36"/>
        <v>0</v>
      </c>
      <c r="M176" s="108">
        <f t="shared" si="36"/>
        <v>0</v>
      </c>
      <c r="N176" s="108">
        <f t="shared" si="36"/>
        <v>0</v>
      </c>
      <c r="O176" s="108">
        <f t="shared" si="36"/>
        <v>0</v>
      </c>
      <c r="P176" s="109">
        <f t="shared" si="36"/>
        <v>0</v>
      </c>
      <c r="Q176" s="456">
        <f t="shared" si="33"/>
        <v>0</v>
      </c>
      <c r="R176" s="456"/>
      <c r="S176" s="391"/>
      <c r="T176" s="388"/>
    </row>
    <row r="177" spans="5:20" x14ac:dyDescent="0.35">
      <c r="E177" s="34">
        <f t="shared" ref="E177:Q177" si="38">SUM(E143:E176)</f>
        <v>-4299.4285018674946</v>
      </c>
      <c r="F177" s="34">
        <f t="shared" si="38"/>
        <v>-9173.2595750713754</v>
      </c>
      <c r="G177" s="34">
        <f t="shared" si="38"/>
        <v>-8852.7691096491562</v>
      </c>
      <c r="H177" s="34">
        <f t="shared" si="38"/>
        <v>-8835.1772888102332</v>
      </c>
      <c r="I177" s="34">
        <f t="shared" si="38"/>
        <v>-8445.8591096491527</v>
      </c>
      <c r="J177" s="34">
        <f t="shared" si="38"/>
        <v>-4273.9591096491513</v>
      </c>
      <c r="K177" s="34">
        <f t="shared" si="38"/>
        <v>-8744.7680364452735</v>
      </c>
      <c r="L177" s="34">
        <f t="shared" si="38"/>
        <v>-8326.5491096491514</v>
      </c>
      <c r="M177" s="34">
        <f t="shared" si="38"/>
        <v>-9749.8991096491536</v>
      </c>
      <c r="N177" s="34">
        <f t="shared" si="38"/>
        <v>-9446.288036445274</v>
      </c>
      <c r="O177" s="34">
        <f t="shared" si="38"/>
        <v>-8901.8291096491539</v>
      </c>
      <c r="P177" s="34">
        <f t="shared" si="38"/>
        <v>-8960.4795750713765</v>
      </c>
      <c r="Q177" s="391">
        <f t="shared" si="38"/>
        <v>-98010.265671605972</v>
      </c>
      <c r="R177" s="391"/>
      <c r="S177" s="391"/>
      <c r="T177" s="388"/>
    </row>
    <row r="178" spans="5:20" x14ac:dyDescent="0.35">
      <c r="E178" s="62">
        <f t="shared" ref="E178:Q178" si="39">E131+E177</f>
        <v>0</v>
      </c>
      <c r="F178" s="62">
        <f t="shared" si="39"/>
        <v>0</v>
      </c>
      <c r="G178" s="62">
        <f t="shared" si="39"/>
        <v>0</v>
      </c>
      <c r="H178" s="62">
        <f t="shared" si="39"/>
        <v>0</v>
      </c>
      <c r="I178" s="62">
        <f t="shared" si="39"/>
        <v>0</v>
      </c>
      <c r="J178" s="62">
        <f t="shared" si="39"/>
        <v>0</v>
      </c>
      <c r="K178" s="62">
        <f t="shared" si="39"/>
        <v>0</v>
      </c>
      <c r="L178" s="62">
        <f t="shared" si="39"/>
        <v>0</v>
      </c>
      <c r="M178" s="62">
        <f t="shared" si="39"/>
        <v>0</v>
      </c>
      <c r="N178" s="62">
        <f t="shared" si="39"/>
        <v>0</v>
      </c>
      <c r="O178" s="62">
        <f t="shared" si="39"/>
        <v>0</v>
      </c>
      <c r="P178" s="62">
        <f t="shared" si="39"/>
        <v>0</v>
      </c>
      <c r="Q178" s="62">
        <f t="shared" si="39"/>
        <v>0</v>
      </c>
      <c r="R178" s="391"/>
      <c r="S178" s="416"/>
      <c r="T178" s="417"/>
    </row>
    <row r="179" spans="5:20" x14ac:dyDescent="0.35">
      <c r="Q179" s="391"/>
      <c r="R179" s="391"/>
      <c r="S179" s="416"/>
      <c r="T179" s="417"/>
    </row>
    <row r="180" spans="5:20" x14ac:dyDescent="0.35">
      <c r="Q180" s="391"/>
      <c r="R180" s="391"/>
      <c r="S180" s="416"/>
      <c r="T180" s="417"/>
    </row>
    <row r="181" spans="5:20" x14ac:dyDescent="0.35">
      <c r="Q181" s="391"/>
      <c r="R181" s="391"/>
      <c r="S181" s="416"/>
      <c r="T181" s="417"/>
    </row>
    <row r="182" spans="5:20" x14ac:dyDescent="0.35">
      <c r="Q182" s="391"/>
      <c r="R182" s="391"/>
      <c r="S182" s="416"/>
      <c r="T182" s="417"/>
    </row>
    <row r="183" spans="5:20" x14ac:dyDescent="0.35">
      <c r="Q183" s="391"/>
      <c r="R183" s="391"/>
      <c r="S183" s="416"/>
      <c r="T183" s="417"/>
    </row>
    <row r="184" spans="5:20" x14ac:dyDescent="0.35">
      <c r="Q184" s="391"/>
      <c r="R184" s="391"/>
      <c r="S184" s="416"/>
      <c r="T184" s="417"/>
    </row>
    <row r="185" spans="5:20" x14ac:dyDescent="0.35">
      <c r="Q185" s="391"/>
      <c r="R185" s="391"/>
      <c r="S185" s="416"/>
      <c r="T185" s="417"/>
    </row>
    <row r="186" spans="5:20" x14ac:dyDescent="0.35">
      <c r="Q186" s="391"/>
      <c r="R186" s="391"/>
      <c r="S186" s="416"/>
      <c r="T186" s="417"/>
    </row>
    <row r="187" spans="5:20" x14ac:dyDescent="0.35">
      <c r="Q187" s="391"/>
      <c r="R187" s="391"/>
      <c r="S187" s="416"/>
      <c r="T187" s="417"/>
    </row>
    <row r="188" spans="5:20" x14ac:dyDescent="0.35">
      <c r="Q188" s="391"/>
      <c r="R188" s="391"/>
      <c r="S188" s="416"/>
      <c r="T188" s="417"/>
    </row>
    <row r="189" spans="5:20" x14ac:dyDescent="0.35">
      <c r="Q189" s="391"/>
      <c r="R189" s="391"/>
      <c r="S189" s="416"/>
      <c r="T189" s="417"/>
    </row>
    <row r="190" spans="5:20" x14ac:dyDescent="0.35">
      <c r="Q190" s="391"/>
      <c r="R190" s="391"/>
      <c r="S190" s="416"/>
      <c r="T190" s="417"/>
    </row>
    <row r="191" spans="5:20" x14ac:dyDescent="0.35">
      <c r="Q191" s="391"/>
      <c r="R191" s="391"/>
      <c r="S191" s="416"/>
      <c r="T191" s="417"/>
    </row>
    <row r="192" spans="5:20" x14ac:dyDescent="0.35">
      <c r="Q192" s="391"/>
      <c r="R192" s="391"/>
      <c r="S192" s="416"/>
      <c r="T192" s="417"/>
    </row>
    <row r="193" spans="17:20" x14ac:dyDescent="0.35">
      <c r="Q193" s="391"/>
      <c r="R193" s="391"/>
      <c r="S193" s="416"/>
      <c r="T193" s="417"/>
    </row>
    <row r="194" spans="17:20" x14ac:dyDescent="0.35">
      <c r="Q194" s="391"/>
      <c r="R194" s="391"/>
      <c r="S194" s="416"/>
      <c r="T194" s="417"/>
    </row>
    <row r="195" spans="17:20" x14ac:dyDescent="0.35">
      <c r="Q195" s="391"/>
      <c r="R195" s="391"/>
      <c r="S195" s="416"/>
      <c r="T195" s="417"/>
    </row>
    <row r="196" spans="17:20" x14ac:dyDescent="0.35">
      <c r="Q196" s="391"/>
      <c r="R196" s="391"/>
      <c r="S196" s="416"/>
      <c r="T196" s="417"/>
    </row>
    <row r="197" spans="17:20" x14ac:dyDescent="0.35">
      <c r="Q197" s="391"/>
      <c r="R197" s="391"/>
      <c r="S197" s="391"/>
      <c r="T197" s="388"/>
    </row>
    <row r="198" spans="17:20" x14ac:dyDescent="0.35">
      <c r="Q198" s="391"/>
      <c r="R198" s="391"/>
      <c r="S198" s="422"/>
      <c r="T198" s="423"/>
    </row>
    <row r="199" spans="17:20" x14ac:dyDescent="0.35">
      <c r="Q199" s="391"/>
      <c r="R199" s="391"/>
      <c r="S199" s="391"/>
      <c r="T199" s="388"/>
    </row>
    <row r="200" spans="17:20" x14ac:dyDescent="0.35">
      <c r="Q200" s="391"/>
      <c r="R200" s="391"/>
      <c r="S200" s="391"/>
      <c r="T200" s="388"/>
    </row>
    <row r="201" spans="17:20" x14ac:dyDescent="0.35">
      <c r="Q201" s="391"/>
      <c r="R201" s="391"/>
      <c r="S201" s="416"/>
      <c r="T201" s="417"/>
    </row>
    <row r="202" spans="17:20" x14ac:dyDescent="0.35">
      <c r="Q202" s="391"/>
      <c r="R202" s="391"/>
      <c r="S202" s="416"/>
      <c r="T202" s="417"/>
    </row>
  </sheetData>
  <sheetProtection formatColumns="0" selectLockedCells="1"/>
  <conditionalFormatting sqref="E178:Q178">
    <cfRule type="cellIs" dxfId="64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A101CA8D-A2B7-4853-BD83-CA6C01EB5AE6}"/>
  </dataValidations>
  <printOptions horizontalCentered="1" verticalCentered="1"/>
  <pageMargins left="0.25" right="0.25" top="0.75" bottom="0.75" header="0.3" footer="0.3"/>
  <pageSetup scale="40" fitToHeight="2" orientation="landscape" r:id="rId1"/>
  <headerFooter>
    <oddHeader>&amp;R&amp;D</oddHeader>
    <oddFooter>Page &amp;P of &amp;N</oddFooter>
  </headerFooter>
  <rowBreaks count="1" manualBreakCount="1">
    <brk id="72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>
    <tabColor theme="0"/>
  </sheetPr>
  <dimension ref="A1:V201"/>
  <sheetViews>
    <sheetView tabSelected="1" view="pageBreakPreview" topLeftCell="A72" zoomScale="60" zoomScaleNormal="100" workbookViewId="0">
      <selection activeCell="A11" sqref="A11"/>
    </sheetView>
  </sheetViews>
  <sheetFormatPr defaultColWidth="10.81640625" defaultRowHeight="16" outlineLevelCol="1" x14ac:dyDescent="0.35"/>
  <cols>
    <col min="1" max="1" width="15.54296875" style="34" bestFit="1" customWidth="1"/>
    <col min="2" max="2" width="9.1796875" style="34" customWidth="1"/>
    <col min="3" max="3" width="2.81640625" style="34" customWidth="1"/>
    <col min="4" max="4" width="37.81640625" style="34" customWidth="1"/>
    <col min="5" max="5" width="14" style="34" customWidth="1"/>
    <col min="6" max="6" width="12.81640625" style="34" customWidth="1"/>
    <col min="7" max="8" width="15.81640625" style="34" customWidth="1"/>
    <col min="9" max="9" width="13.81640625" style="34" customWidth="1"/>
    <col min="10" max="10" width="13.1796875" style="34" customWidth="1"/>
    <col min="11" max="16" width="12.81640625" style="34" customWidth="1"/>
    <col min="17" max="17" width="13.54296875" style="34" bestFit="1" customWidth="1"/>
    <col min="18" max="18" width="14.453125" style="34" bestFit="1" customWidth="1"/>
    <col min="19" max="19" width="12.54296875" style="34" hidden="1" customWidth="1" outlineLevel="1"/>
    <col min="20" max="20" width="11.1796875" style="388" hidden="1" customWidth="1" outlineLevel="1"/>
    <col min="21" max="21" width="9.81640625" style="54" bestFit="1" customWidth="1" collapsed="1"/>
    <col min="22" max="22" width="47.1796875" style="34" bestFit="1" customWidth="1"/>
    <col min="23" max="16384" width="10.81640625" style="34"/>
  </cols>
  <sheetData>
    <row r="1" spans="1:22" s="51" customFormat="1" ht="29" x14ac:dyDescent="0.25">
      <c r="B1" s="280" t="s">
        <v>212</v>
      </c>
      <c r="C1" s="280"/>
      <c r="J1" s="52" t="str">
        <f>+'40B0'!J1</f>
        <v>Operating Budget</v>
      </c>
      <c r="Q1" s="389">
        <f>'NI LLC-Consolidated'!Q1</f>
        <v>46023</v>
      </c>
      <c r="R1" s="389"/>
      <c r="S1" s="389"/>
      <c r="T1" s="390"/>
      <c r="U1" s="291"/>
    </row>
    <row r="2" spans="1:22" ht="18" x14ac:dyDescent="0.35">
      <c r="J2" s="120" t="str">
        <f>+'40B0'!J2</f>
        <v>Neshaminy Interplex LLC</v>
      </c>
      <c r="Q2" s="391"/>
      <c r="R2" s="391"/>
      <c r="S2" s="391"/>
    </row>
    <row r="3" spans="1:22" ht="18" x14ac:dyDescent="0.35">
      <c r="Q3" s="468">
        <f>Q1</f>
        <v>46023</v>
      </c>
      <c r="R3" s="469"/>
      <c r="S3" s="392" t="s">
        <v>504</v>
      </c>
      <c r="T3" s="393"/>
    </row>
    <row r="4" spans="1:22" s="39" customFormat="1" ht="18" x14ac:dyDescent="0.35">
      <c r="B4" s="281">
        <v>18000</v>
      </c>
      <c r="C4" s="281"/>
      <c r="D4" s="41"/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29" t="s">
        <v>12</v>
      </c>
      <c r="R4" s="429" t="s">
        <v>442</v>
      </c>
      <c r="S4" s="394" t="s">
        <v>12</v>
      </c>
      <c r="T4" s="395" t="s">
        <v>503</v>
      </c>
      <c r="U4" s="292" t="s">
        <v>449</v>
      </c>
      <c r="V4" s="297" t="s">
        <v>370</v>
      </c>
    </row>
    <row r="5" spans="1:22" x14ac:dyDescent="0.35">
      <c r="Q5" s="430"/>
      <c r="R5" s="430"/>
      <c r="S5" s="396"/>
      <c r="T5" s="470"/>
      <c r="U5" s="294"/>
      <c r="V5" s="38"/>
    </row>
    <row r="6" spans="1:22" s="56" customFormat="1" x14ac:dyDescent="0.35">
      <c r="B6" s="57"/>
      <c r="D6" s="276" t="s">
        <v>13</v>
      </c>
      <c r="E6" s="277">
        <f>'Renew &amp; Vac'!AJ141</f>
        <v>1</v>
      </c>
      <c r="F6" s="277">
        <f>'Renew &amp; Vac'!AK141</f>
        <v>1</v>
      </c>
      <c r="G6" s="277">
        <f>'Renew &amp; Vac'!AL141</f>
        <v>1</v>
      </c>
      <c r="H6" s="277">
        <f>'Renew &amp; Vac'!AM141</f>
        <v>1</v>
      </c>
      <c r="I6" s="277">
        <f>'Renew &amp; Vac'!AN141</f>
        <v>1</v>
      </c>
      <c r="J6" s="277">
        <f>'Renew &amp; Vac'!AO141</f>
        <v>1</v>
      </c>
      <c r="K6" s="277">
        <f>'Renew &amp; Vac'!AP141</f>
        <v>1</v>
      </c>
      <c r="L6" s="277">
        <f>'Renew &amp; Vac'!AQ141</f>
        <v>1</v>
      </c>
      <c r="M6" s="277">
        <f>'Renew &amp; Vac'!AR141</f>
        <v>1</v>
      </c>
      <c r="N6" s="277">
        <f>'Renew &amp; Vac'!AS141</f>
        <v>1</v>
      </c>
      <c r="O6" s="277">
        <f>'Renew &amp; Vac'!AT141</f>
        <v>1</v>
      </c>
      <c r="P6" s="277">
        <f>'Renew &amp; Vac'!AU141</f>
        <v>1</v>
      </c>
      <c r="Q6" s="431"/>
      <c r="R6" s="431"/>
      <c r="S6" s="398"/>
      <c r="T6" s="460"/>
      <c r="U6" s="298"/>
      <c r="V6" s="299"/>
    </row>
    <row r="7" spans="1:22" s="56" customFormat="1" x14ac:dyDescent="0.35">
      <c r="B7" s="57"/>
      <c r="D7" s="276" t="s">
        <v>447</v>
      </c>
      <c r="E7" s="278">
        <f>$B$4*E6</f>
        <v>18000</v>
      </c>
      <c r="F7" s="278">
        <f t="shared" ref="F7:P7" si="0">$B$4*F6</f>
        <v>18000</v>
      </c>
      <c r="G7" s="278">
        <f t="shared" si="0"/>
        <v>18000</v>
      </c>
      <c r="H7" s="278">
        <f t="shared" si="0"/>
        <v>18000</v>
      </c>
      <c r="I7" s="278">
        <f t="shared" si="0"/>
        <v>18000</v>
      </c>
      <c r="J7" s="278">
        <f t="shared" si="0"/>
        <v>18000</v>
      </c>
      <c r="K7" s="278">
        <f t="shared" si="0"/>
        <v>18000</v>
      </c>
      <c r="L7" s="278">
        <f t="shared" si="0"/>
        <v>18000</v>
      </c>
      <c r="M7" s="278">
        <f t="shared" si="0"/>
        <v>18000</v>
      </c>
      <c r="N7" s="278">
        <f t="shared" si="0"/>
        <v>18000</v>
      </c>
      <c r="O7" s="278">
        <f t="shared" si="0"/>
        <v>18000</v>
      </c>
      <c r="P7" s="278">
        <f t="shared" si="0"/>
        <v>18000</v>
      </c>
      <c r="Q7" s="431"/>
      <c r="R7" s="431"/>
      <c r="S7" s="398"/>
      <c r="T7" s="460"/>
      <c r="U7" s="298"/>
      <c r="V7" s="299"/>
    </row>
    <row r="8" spans="1:22" ht="18" x14ac:dyDescent="0.35">
      <c r="B8" s="35" t="s">
        <v>14</v>
      </c>
      <c r="Q8" s="430"/>
      <c r="R8" s="430"/>
      <c r="S8" s="396"/>
      <c r="T8" s="470"/>
      <c r="U8" s="294"/>
      <c r="V8" s="38"/>
    </row>
    <row r="9" spans="1:22" x14ac:dyDescent="0.35">
      <c r="A9" s="110"/>
      <c r="Q9" s="430"/>
      <c r="R9" s="430"/>
      <c r="S9" s="396"/>
      <c r="T9" s="470"/>
      <c r="U9" s="294"/>
      <c r="V9" s="38"/>
    </row>
    <row r="10" spans="1:22" x14ac:dyDescent="0.35">
      <c r="A10" s="110" t="s">
        <v>136</v>
      </c>
      <c r="C10" s="34" t="s">
        <v>163</v>
      </c>
      <c r="E10" s="34">
        <f>SUMIFS('In Place Revenue'!$G:$G,'In Place Revenue'!$A:$A,"40C0",'In Place Revenue'!$H:$H,1)</f>
        <v>12000</v>
      </c>
      <c r="F10" s="34">
        <f>SUMIFS('In Place Revenue'!$G:$G,'In Place Revenue'!$A:$A,"40C0",'In Place Revenue'!$H:$H,2)</f>
        <v>12000</v>
      </c>
      <c r="G10" s="34">
        <f>SUMIFS('In Place Revenue'!$G:$G,'In Place Revenue'!$A:$A,"40C0",'In Place Revenue'!$H:$H,3)</f>
        <v>12000</v>
      </c>
      <c r="H10" s="34">
        <f>SUMIFS('In Place Revenue'!$G:$G,'In Place Revenue'!$A:$A,"40C0",'In Place Revenue'!$H:$H,4)</f>
        <v>12000</v>
      </c>
      <c r="I10" s="34">
        <f>SUMIFS('In Place Revenue'!$G:$G,'In Place Revenue'!$A:$A,"40C0",'In Place Revenue'!$H:$H,5)</f>
        <v>12000</v>
      </c>
      <c r="J10" s="34">
        <f>SUMIFS('In Place Revenue'!$G:$G,'In Place Revenue'!$A:$A,"40C0",'In Place Revenue'!$H:$H,6)</f>
        <v>12000</v>
      </c>
      <c r="K10" s="34">
        <f>SUMIFS('In Place Revenue'!$G:$G,'In Place Revenue'!$A:$A,"40C0",'In Place Revenue'!$H:$H,7)</f>
        <v>12000</v>
      </c>
      <c r="L10" s="34">
        <f>SUMIFS('In Place Revenue'!$G:$G,'In Place Revenue'!$A:$A,"40C0",'In Place Revenue'!$H:$H,8)</f>
        <v>12000</v>
      </c>
      <c r="M10" s="34">
        <f>SUMIFS('In Place Revenue'!$G:$G,'In Place Revenue'!$A:$A,"40C0",'In Place Revenue'!$H:$H,9)</f>
        <v>12000</v>
      </c>
      <c r="N10" s="34">
        <f>SUMIFS('In Place Revenue'!$G:$G,'In Place Revenue'!$A:$A,"40C0",'In Place Revenue'!$H:$H,10)</f>
        <v>12000</v>
      </c>
      <c r="O10" s="34">
        <f>SUMIFS('In Place Revenue'!$G:$G,'In Place Revenue'!$A:$A,"40C0",'In Place Revenue'!$H:$H,11)</f>
        <v>12000</v>
      </c>
      <c r="P10" s="34">
        <f>SUMIFS('In Place Revenue'!$G:$G,'In Place Revenue'!$A:$A,"40C0",'In Place Revenue'!$H:$H,12)</f>
        <v>12000</v>
      </c>
      <c r="Q10" s="430">
        <f>SUM(E10:P10)</f>
        <v>144000</v>
      </c>
      <c r="R10" s="432">
        <f>Q10/$B$4</f>
        <v>8</v>
      </c>
      <c r="S10" s="396">
        <v>139500</v>
      </c>
      <c r="T10" s="460">
        <f>IFERROR(Q10/S10-1,"-")</f>
        <v>3.2258064516129004E-2</v>
      </c>
      <c r="U10" s="300"/>
      <c r="V10" s="38"/>
    </row>
    <row r="11" spans="1:22" x14ac:dyDescent="0.35">
      <c r="A11" s="110" t="s">
        <v>136</v>
      </c>
      <c r="C11" s="34" t="s">
        <v>164</v>
      </c>
      <c r="E11" s="34">
        <f>'Renew &amp; Vac'!AJ142</f>
        <v>0</v>
      </c>
      <c r="F11" s="34">
        <f>'Renew &amp; Vac'!AK142</f>
        <v>0</v>
      </c>
      <c r="G11" s="34">
        <f>'Renew &amp; Vac'!AL142</f>
        <v>0</v>
      </c>
      <c r="H11" s="34">
        <f>'Renew &amp; Vac'!AM142</f>
        <v>0</v>
      </c>
      <c r="I11" s="34">
        <f>'Renew &amp; Vac'!AN142</f>
        <v>0</v>
      </c>
      <c r="J11" s="34">
        <f>'Renew &amp; Vac'!AO142</f>
        <v>0</v>
      </c>
      <c r="K11" s="34">
        <f>'Renew &amp; Vac'!AP142</f>
        <v>0</v>
      </c>
      <c r="L11" s="34">
        <f>'Renew &amp; Vac'!AQ142</f>
        <v>0</v>
      </c>
      <c r="M11" s="34">
        <f>'Renew &amp; Vac'!AR142</f>
        <v>0</v>
      </c>
      <c r="N11" s="34">
        <f>'Renew &amp; Vac'!AS142</f>
        <v>0</v>
      </c>
      <c r="O11" s="34">
        <f>'Renew &amp; Vac'!AT142</f>
        <v>0</v>
      </c>
      <c r="P11" s="34">
        <f>'Renew &amp; Vac'!AU142</f>
        <v>0</v>
      </c>
      <c r="Q11" s="430">
        <f>SUM(E11:P11)</f>
        <v>0</v>
      </c>
      <c r="R11" s="432">
        <f t="shared" ref="R11:R71" si="1">Q11/$B$4</f>
        <v>0</v>
      </c>
      <c r="S11" s="396"/>
      <c r="T11" s="460" t="str">
        <f>IFERROR(Q11/S11-1,"-")</f>
        <v>-</v>
      </c>
      <c r="U11" s="300"/>
      <c r="V11" s="38"/>
    </row>
    <row r="12" spans="1:22" hidden="1" x14ac:dyDescent="0.35">
      <c r="A12" s="110" t="s">
        <v>101</v>
      </c>
      <c r="C12" s="34" t="s">
        <v>16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30">
        <f>SUM(E12:P12)</f>
        <v>0</v>
      </c>
      <c r="R12" s="432">
        <f t="shared" si="1"/>
        <v>0</v>
      </c>
      <c r="S12" s="396"/>
      <c r="T12" s="460" t="e">
        <f>R12/S12-1</f>
        <v>#DIV/0!</v>
      </c>
      <c r="U12" s="300"/>
      <c r="V12" s="38"/>
    </row>
    <row r="13" spans="1:22" x14ac:dyDescent="0.35">
      <c r="A13" s="110" t="s">
        <v>137</v>
      </c>
      <c r="C13" s="34" t="s">
        <v>17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30">
        <f>SUM(E13:P13)</f>
        <v>0</v>
      </c>
      <c r="R13" s="432">
        <f t="shared" si="1"/>
        <v>0</v>
      </c>
      <c r="S13" s="396"/>
      <c r="T13" s="460" t="str">
        <f>IFERROR(Q13/S13-1,"-")</f>
        <v>-</v>
      </c>
      <c r="U13" s="300"/>
      <c r="V13" s="38"/>
    </row>
    <row r="14" spans="1:22" x14ac:dyDescent="0.35">
      <c r="A14" s="110" t="s">
        <v>138</v>
      </c>
      <c r="C14" s="34" t="s">
        <v>18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30">
        <f>SUM(E14:P14)</f>
        <v>0</v>
      </c>
      <c r="R14" s="432">
        <f t="shared" si="1"/>
        <v>0</v>
      </c>
      <c r="S14" s="396"/>
      <c r="T14" s="460" t="str">
        <f>IFERROR(Q14/S14-1,"-")</f>
        <v>-</v>
      </c>
      <c r="U14" s="300"/>
      <c r="V14" s="38"/>
    </row>
    <row r="15" spans="1:22" x14ac:dyDescent="0.35">
      <c r="A15" s="110"/>
      <c r="C15" s="34" t="s">
        <v>19</v>
      </c>
      <c r="D15" s="44"/>
      <c r="E15" s="59">
        <f t="shared" ref="E15:Q15" si="2">SUM(E10:E14)</f>
        <v>12000</v>
      </c>
      <c r="F15" s="59">
        <f t="shared" si="2"/>
        <v>12000</v>
      </c>
      <c r="G15" s="59">
        <f t="shared" si="2"/>
        <v>12000</v>
      </c>
      <c r="H15" s="59">
        <f t="shared" si="2"/>
        <v>12000</v>
      </c>
      <c r="I15" s="59">
        <f t="shared" si="2"/>
        <v>12000</v>
      </c>
      <c r="J15" s="59">
        <f t="shared" si="2"/>
        <v>12000</v>
      </c>
      <c r="K15" s="59">
        <f t="shared" si="2"/>
        <v>12000</v>
      </c>
      <c r="L15" s="59">
        <f t="shared" si="2"/>
        <v>12000</v>
      </c>
      <c r="M15" s="59">
        <f t="shared" si="2"/>
        <v>12000</v>
      </c>
      <c r="N15" s="59">
        <f t="shared" si="2"/>
        <v>12000</v>
      </c>
      <c r="O15" s="59">
        <f t="shared" si="2"/>
        <v>12000</v>
      </c>
      <c r="P15" s="59">
        <f t="shared" si="2"/>
        <v>12000</v>
      </c>
      <c r="Q15" s="433">
        <f t="shared" si="2"/>
        <v>144000</v>
      </c>
      <c r="R15" s="434">
        <f t="shared" si="1"/>
        <v>8</v>
      </c>
      <c r="S15" s="400">
        <f>SUM(S10:S14)</f>
        <v>139500</v>
      </c>
      <c r="T15" s="461">
        <f>IFERROR(Q15/S15-1,"-")</f>
        <v>3.2258064516129004E-2</v>
      </c>
      <c r="U15" s="300"/>
      <c r="V15" s="38"/>
    </row>
    <row r="16" spans="1:22" ht="18" x14ac:dyDescent="0.35">
      <c r="A16" s="110"/>
      <c r="Q16" s="435"/>
      <c r="R16" s="436"/>
      <c r="S16" s="402"/>
      <c r="T16" s="471"/>
      <c r="U16" s="301"/>
      <c r="V16" s="38"/>
    </row>
    <row r="17" spans="1:22" ht="18" x14ac:dyDescent="0.35">
      <c r="A17" s="110"/>
      <c r="B17" s="35" t="s">
        <v>20</v>
      </c>
      <c r="Q17" s="430"/>
      <c r="R17" s="432"/>
      <c r="S17" s="396"/>
      <c r="T17" s="460"/>
      <c r="U17" s="300"/>
      <c r="V17" s="38"/>
    </row>
    <row r="18" spans="1:22" x14ac:dyDescent="0.35">
      <c r="A18" s="110" t="s">
        <v>102</v>
      </c>
      <c r="C18" s="34" t="s">
        <v>21</v>
      </c>
      <c r="E18" s="34">
        <f>E6*E29</f>
        <v>0</v>
      </c>
      <c r="F18" s="34">
        <f t="shared" ref="F18:P18" si="3">F6*F29</f>
        <v>0</v>
      </c>
      <c r="G18" s="34">
        <f t="shared" si="3"/>
        <v>0</v>
      </c>
      <c r="H18" s="34">
        <f t="shared" si="3"/>
        <v>0</v>
      </c>
      <c r="I18" s="34">
        <f t="shared" si="3"/>
        <v>0</v>
      </c>
      <c r="J18" s="34">
        <f t="shared" si="3"/>
        <v>0</v>
      </c>
      <c r="K18" s="34">
        <f t="shared" si="3"/>
        <v>0</v>
      </c>
      <c r="L18" s="34">
        <f t="shared" si="3"/>
        <v>0</v>
      </c>
      <c r="M18" s="34">
        <f t="shared" si="3"/>
        <v>0</v>
      </c>
      <c r="N18" s="34">
        <f t="shared" si="3"/>
        <v>0</v>
      </c>
      <c r="O18" s="34">
        <f t="shared" si="3"/>
        <v>0</v>
      </c>
      <c r="P18" s="34">
        <f t="shared" si="3"/>
        <v>0</v>
      </c>
      <c r="Q18" s="430">
        <f>SUM(E18:P18)</f>
        <v>0</v>
      </c>
      <c r="R18" s="432">
        <f t="shared" ref="R18" si="4">Q18/$B$4</f>
        <v>0</v>
      </c>
      <c r="S18" s="396"/>
      <c r="T18" s="463" t="str">
        <f>IFERROR(Q18/S18-1,"-")</f>
        <v>-</v>
      </c>
      <c r="U18" s="300" t="s">
        <v>371</v>
      </c>
      <c r="V18" s="316" t="e">
        <f>Q18/Q29*100&amp;"% Set to occupancy"</f>
        <v>#DIV/0!</v>
      </c>
    </row>
    <row r="19" spans="1:22" x14ac:dyDescent="0.35">
      <c r="A19" s="110" t="s">
        <v>103</v>
      </c>
      <c r="C19" s="34" t="s">
        <v>22</v>
      </c>
      <c r="E19" s="34">
        <f>+'Tenant Recoveries'!L21</f>
        <v>4300</v>
      </c>
      <c r="F19" s="34">
        <f>+E19</f>
        <v>4300</v>
      </c>
      <c r="G19" s="34">
        <f t="shared" ref="G19:P20" si="5">+F19</f>
        <v>4300</v>
      </c>
      <c r="H19" s="34">
        <f t="shared" si="5"/>
        <v>4300</v>
      </c>
      <c r="I19" s="34">
        <f t="shared" si="5"/>
        <v>4300</v>
      </c>
      <c r="J19" s="34">
        <f t="shared" si="5"/>
        <v>4300</v>
      </c>
      <c r="K19" s="34">
        <f t="shared" si="5"/>
        <v>4300</v>
      </c>
      <c r="L19" s="34">
        <f t="shared" si="5"/>
        <v>4300</v>
      </c>
      <c r="M19" s="34">
        <f t="shared" si="5"/>
        <v>4300</v>
      </c>
      <c r="N19" s="34">
        <f t="shared" si="5"/>
        <v>4300</v>
      </c>
      <c r="O19" s="34">
        <f t="shared" si="5"/>
        <v>4300</v>
      </c>
      <c r="P19" s="34">
        <f t="shared" si="5"/>
        <v>4300</v>
      </c>
      <c r="Q19" s="430">
        <f>SUM(E19:P19)</f>
        <v>51600</v>
      </c>
      <c r="R19" s="432">
        <f t="shared" si="1"/>
        <v>2.8666666666666667</v>
      </c>
      <c r="S19" s="396">
        <v>43150</v>
      </c>
      <c r="T19" s="463">
        <f>IFERROR(Q19/S19-1,"-")</f>
        <v>0.19582850521436845</v>
      </c>
      <c r="U19" s="300"/>
      <c r="V19" s="316">
        <f>Q19/(Q71-Q63-Q58-Q29)</f>
        <v>0.70935610412638206</v>
      </c>
    </row>
    <row r="20" spans="1:22" x14ac:dyDescent="0.35">
      <c r="A20" s="110" t="s">
        <v>104</v>
      </c>
      <c r="C20" s="34" t="s">
        <v>23</v>
      </c>
      <c r="E20" s="34">
        <f>+'Tenant Recoveries'!L22</f>
        <v>2600</v>
      </c>
      <c r="F20" s="34">
        <f>+E20</f>
        <v>2600</v>
      </c>
      <c r="G20" s="34">
        <f t="shared" si="5"/>
        <v>2600</v>
      </c>
      <c r="H20" s="34">
        <f t="shared" si="5"/>
        <v>2600</v>
      </c>
      <c r="I20" s="34">
        <f t="shared" si="5"/>
        <v>2600</v>
      </c>
      <c r="J20" s="34">
        <f t="shared" si="5"/>
        <v>2600</v>
      </c>
      <c r="K20" s="34">
        <f t="shared" si="5"/>
        <v>2600</v>
      </c>
      <c r="L20" s="34">
        <f t="shared" si="5"/>
        <v>2600</v>
      </c>
      <c r="M20" s="34">
        <f t="shared" si="5"/>
        <v>2600</v>
      </c>
      <c r="N20" s="34">
        <f t="shared" si="5"/>
        <v>2600</v>
      </c>
      <c r="O20" s="34">
        <f t="shared" si="5"/>
        <v>2600</v>
      </c>
      <c r="P20" s="34">
        <f t="shared" si="5"/>
        <v>2600</v>
      </c>
      <c r="Q20" s="430">
        <f>SUM(E20:P20)</f>
        <v>31200</v>
      </c>
      <c r="R20" s="432">
        <f t="shared" si="1"/>
        <v>1.7333333333333334</v>
      </c>
      <c r="S20" s="396">
        <v>32400</v>
      </c>
      <c r="T20" s="463">
        <f>IFERROR(Q20/S20-1,"-")</f>
        <v>-3.703703703703709E-2</v>
      </c>
      <c r="U20" s="300"/>
      <c r="V20" s="316">
        <f>Q20/Q58</f>
        <v>1.3065610115482758</v>
      </c>
    </row>
    <row r="21" spans="1:22" x14ac:dyDescent="0.35">
      <c r="A21" s="110" t="s">
        <v>139</v>
      </c>
      <c r="C21" s="34" t="s">
        <v>24</v>
      </c>
      <c r="Q21" s="430">
        <f>SUM(E21:P21)</f>
        <v>0</v>
      </c>
      <c r="R21" s="432">
        <f t="shared" si="1"/>
        <v>0</v>
      </c>
      <c r="S21" s="396">
        <v>2450</v>
      </c>
      <c r="T21" s="464">
        <f>IFERROR(Q21/S21-1,"-")</f>
        <v>-1</v>
      </c>
      <c r="U21" s="300"/>
      <c r="V21" s="38"/>
    </row>
    <row r="22" spans="1:22" x14ac:dyDescent="0.35">
      <c r="A22" s="110"/>
      <c r="C22" s="34" t="s">
        <v>25</v>
      </c>
      <c r="D22" s="44"/>
      <c r="E22" s="59">
        <f t="shared" ref="E22:Q22" si="6">SUM(E19:E21)</f>
        <v>6900</v>
      </c>
      <c r="F22" s="59">
        <f t="shared" si="6"/>
        <v>6900</v>
      </c>
      <c r="G22" s="59">
        <f t="shared" si="6"/>
        <v>6900</v>
      </c>
      <c r="H22" s="59">
        <f t="shared" si="6"/>
        <v>6900</v>
      </c>
      <c r="I22" s="59">
        <f t="shared" si="6"/>
        <v>6900</v>
      </c>
      <c r="J22" s="59">
        <f t="shared" si="6"/>
        <v>6900</v>
      </c>
      <c r="K22" s="59">
        <f t="shared" si="6"/>
        <v>6900</v>
      </c>
      <c r="L22" s="59">
        <f t="shared" si="6"/>
        <v>6900</v>
      </c>
      <c r="M22" s="59">
        <f t="shared" si="6"/>
        <v>6900</v>
      </c>
      <c r="N22" s="59">
        <f t="shared" si="6"/>
        <v>6900</v>
      </c>
      <c r="O22" s="59">
        <f t="shared" si="6"/>
        <v>6900</v>
      </c>
      <c r="P22" s="59">
        <f t="shared" si="6"/>
        <v>6900</v>
      </c>
      <c r="Q22" s="433">
        <f t="shared" si="6"/>
        <v>82800</v>
      </c>
      <c r="R22" s="434">
        <f t="shared" si="1"/>
        <v>4.5999999999999996</v>
      </c>
      <c r="S22" s="400">
        <f>SUM(S18:S21)</f>
        <v>78000</v>
      </c>
      <c r="T22" s="461">
        <f>IFERROR(Q22/S22-1,"-")</f>
        <v>6.1538461538461542E-2</v>
      </c>
      <c r="U22" s="300"/>
      <c r="V22" s="38"/>
    </row>
    <row r="23" spans="1:22" ht="16.5" thickBot="1" x14ac:dyDescent="0.4">
      <c r="A23" s="110"/>
      <c r="Q23" s="430"/>
      <c r="R23" s="432">
        <f t="shared" si="1"/>
        <v>0</v>
      </c>
      <c r="S23" s="396"/>
      <c r="T23" s="460"/>
      <c r="U23" s="300"/>
      <c r="V23" s="38"/>
    </row>
    <row r="24" spans="1:22" s="37" customFormat="1" ht="18" thickBot="1" x14ac:dyDescent="0.4">
      <c r="A24" s="285"/>
      <c r="B24" s="286" t="s">
        <v>26</v>
      </c>
      <c r="C24" s="287"/>
      <c r="D24" s="287"/>
      <c r="E24" s="287">
        <f t="shared" ref="E24:Q24" si="7">+E15+E22</f>
        <v>18900</v>
      </c>
      <c r="F24" s="287">
        <f t="shared" si="7"/>
        <v>18900</v>
      </c>
      <c r="G24" s="287">
        <f t="shared" si="7"/>
        <v>18900</v>
      </c>
      <c r="H24" s="287">
        <f t="shared" si="7"/>
        <v>18900</v>
      </c>
      <c r="I24" s="287">
        <f t="shared" si="7"/>
        <v>18900</v>
      </c>
      <c r="J24" s="287">
        <f t="shared" si="7"/>
        <v>18900</v>
      </c>
      <c r="K24" s="287">
        <f t="shared" si="7"/>
        <v>18900</v>
      </c>
      <c r="L24" s="287">
        <f t="shared" si="7"/>
        <v>18900</v>
      </c>
      <c r="M24" s="287">
        <f t="shared" si="7"/>
        <v>18900</v>
      </c>
      <c r="N24" s="287">
        <f t="shared" si="7"/>
        <v>18900</v>
      </c>
      <c r="O24" s="287">
        <f t="shared" si="7"/>
        <v>18900</v>
      </c>
      <c r="P24" s="287">
        <f t="shared" si="7"/>
        <v>18900</v>
      </c>
      <c r="Q24" s="426">
        <f t="shared" si="7"/>
        <v>226800</v>
      </c>
      <c r="R24" s="428">
        <f t="shared" si="1"/>
        <v>12.6</v>
      </c>
      <c r="S24" s="427">
        <f>+S15+S22</f>
        <v>217500</v>
      </c>
      <c r="T24" s="472">
        <f>IFERROR(Q24/S24-1,"-")</f>
        <v>4.275862068965508E-2</v>
      </c>
      <c r="U24" s="302"/>
      <c r="V24" s="303"/>
    </row>
    <row r="25" spans="1:22" ht="18" x14ac:dyDescent="0.35">
      <c r="A25" s="110"/>
      <c r="Q25" s="435"/>
      <c r="R25" s="436"/>
      <c r="S25" s="402"/>
      <c r="T25" s="471"/>
      <c r="U25" s="301"/>
      <c r="V25" s="38"/>
    </row>
    <row r="26" spans="1:22" ht="18" x14ac:dyDescent="0.35">
      <c r="A26" s="110"/>
      <c r="B26" s="35" t="s">
        <v>27</v>
      </c>
      <c r="Q26" s="430"/>
      <c r="R26" s="432"/>
      <c r="S26" s="396"/>
      <c r="T26" s="460"/>
      <c r="U26" s="300"/>
      <c r="V26" s="38"/>
    </row>
    <row r="27" spans="1:22" x14ac:dyDescent="0.35">
      <c r="A27" s="110" t="s">
        <v>105</v>
      </c>
      <c r="C27" s="34" t="s">
        <v>28</v>
      </c>
      <c r="E27" s="34">
        <f>'Allocated Expenses'!F12</f>
        <v>368.25818305374827</v>
      </c>
      <c r="F27" s="34">
        <f>'Allocated Expenses'!G12</f>
        <v>368.25818305374827</v>
      </c>
      <c r="G27" s="34">
        <f>'Allocated Expenses'!H12</f>
        <v>368.25818305374827</v>
      </c>
      <c r="H27" s="34">
        <f>'Allocated Expenses'!I12</f>
        <v>368.25818305374827</v>
      </c>
      <c r="I27" s="34">
        <f>'Allocated Expenses'!J12</f>
        <v>368.25818305374827</v>
      </c>
      <c r="J27" s="34">
        <f>'Allocated Expenses'!K12</f>
        <v>368.25818305374827</v>
      </c>
      <c r="K27" s="34">
        <f>'Allocated Expenses'!L12</f>
        <v>368.25818305374827</v>
      </c>
      <c r="L27" s="34">
        <f>'Allocated Expenses'!M12</f>
        <v>368.25818305374827</v>
      </c>
      <c r="M27" s="34">
        <f>'Allocated Expenses'!N12</f>
        <v>368.25818305374827</v>
      </c>
      <c r="N27" s="34">
        <f>'Allocated Expenses'!O12</f>
        <v>368.25818305374827</v>
      </c>
      <c r="O27" s="34">
        <f>'Allocated Expenses'!P12</f>
        <v>368.25818305374827</v>
      </c>
      <c r="P27" s="34">
        <f>'Allocated Expenses'!Q12</f>
        <v>368.25818305374827</v>
      </c>
      <c r="Q27" s="430">
        <f>SUM(E27:P27)</f>
        <v>4419.098196644979</v>
      </c>
      <c r="R27" s="432">
        <f t="shared" si="1"/>
        <v>0.24550545536916549</v>
      </c>
      <c r="S27" s="396"/>
      <c r="T27" s="460" t="str">
        <f>IFERROR(Q27/S27-1,"-")</f>
        <v>-</v>
      </c>
      <c r="U27" s="300"/>
      <c r="V27" s="38"/>
    </row>
    <row r="28" spans="1:22" x14ac:dyDescent="0.35">
      <c r="A28" s="110"/>
      <c r="Q28" s="430"/>
      <c r="R28" s="432"/>
      <c r="S28" s="396"/>
      <c r="T28" s="460"/>
      <c r="U28" s="300"/>
      <c r="V28" s="38"/>
    </row>
    <row r="29" spans="1:22" x14ac:dyDescent="0.35">
      <c r="A29" s="110" t="s">
        <v>106</v>
      </c>
      <c r="C29" s="34" t="s">
        <v>21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30">
        <f>SUM(E29:P29)</f>
        <v>0</v>
      </c>
      <c r="R29" s="432">
        <f t="shared" si="1"/>
        <v>0</v>
      </c>
      <c r="S29" s="396"/>
      <c r="T29" s="460" t="str">
        <f>IFERROR(Q29/S29-1,"-")</f>
        <v>-</v>
      </c>
      <c r="U29" s="300"/>
      <c r="V29" s="38"/>
    </row>
    <row r="30" spans="1:22" x14ac:dyDescent="0.35">
      <c r="A30" s="110"/>
      <c r="Q30" s="430"/>
      <c r="R30" s="432"/>
      <c r="S30" s="396"/>
      <c r="T30" s="460"/>
      <c r="U30" s="300"/>
      <c r="V30" s="38"/>
    </row>
    <row r="31" spans="1:22" x14ac:dyDescent="0.35">
      <c r="A31" s="110" t="s">
        <v>107</v>
      </c>
      <c r="C31" s="34" t="s">
        <v>29</v>
      </c>
      <c r="E31" s="34">
        <f>'Water Sewer'!D43</f>
        <v>0</v>
      </c>
      <c r="F31" s="34">
        <f>'Water Sewer'!E43</f>
        <v>0</v>
      </c>
      <c r="G31" s="34">
        <f>'Water Sewer'!F43</f>
        <v>0</v>
      </c>
      <c r="H31" s="34">
        <f>'Water Sewer'!G43</f>
        <v>0</v>
      </c>
      <c r="I31" s="34">
        <f>'Water Sewer'!H43</f>
        <v>0</v>
      </c>
      <c r="J31" s="34">
        <f>'Water Sewer'!I43</f>
        <v>0</v>
      </c>
      <c r="K31" s="34">
        <f>'Water Sewer'!J43</f>
        <v>0</v>
      </c>
      <c r="L31" s="34">
        <f>'Water Sewer'!K43</f>
        <v>0</v>
      </c>
      <c r="M31" s="34">
        <f>'Water Sewer'!L43</f>
        <v>0</v>
      </c>
      <c r="N31" s="34">
        <f>'Water Sewer'!M43</f>
        <v>0</v>
      </c>
      <c r="O31" s="34">
        <f>'Water Sewer'!N43</f>
        <v>0</v>
      </c>
      <c r="P31" s="34">
        <f>'Water Sewer'!O43</f>
        <v>0</v>
      </c>
      <c r="Q31" s="430">
        <f>SUM(E31:P31)</f>
        <v>0</v>
      </c>
      <c r="R31" s="432">
        <f t="shared" si="1"/>
        <v>0</v>
      </c>
      <c r="S31" s="396"/>
      <c r="T31" s="460" t="str">
        <f>IFERROR(Q31/S31-1,"-")</f>
        <v>-</v>
      </c>
      <c r="U31" s="300"/>
      <c r="V31" s="38"/>
    </row>
    <row r="32" spans="1:22" x14ac:dyDescent="0.35">
      <c r="A32" s="110"/>
      <c r="Q32" s="430"/>
      <c r="R32" s="432"/>
      <c r="S32" s="396"/>
      <c r="T32" s="460"/>
      <c r="U32" s="300"/>
      <c r="V32" s="38"/>
    </row>
    <row r="33" spans="1:22" x14ac:dyDescent="0.35">
      <c r="A33" s="110"/>
      <c r="D33" s="88" t="s">
        <v>30</v>
      </c>
      <c r="E33" s="77">
        <f>'Building Maint'!C23</f>
        <v>0</v>
      </c>
      <c r="F33" s="77">
        <f>'Building Maint'!D23</f>
        <v>0</v>
      </c>
      <c r="G33" s="77">
        <f>'Building Maint'!E23</f>
        <v>0</v>
      </c>
      <c r="H33" s="77">
        <f>'Building Maint'!F23</f>
        <v>30</v>
      </c>
      <c r="I33" s="77">
        <f>'Building Maint'!G23</f>
        <v>0</v>
      </c>
      <c r="J33" s="77">
        <f>'Building Maint'!H23</f>
        <v>0</v>
      </c>
      <c r="K33" s="77">
        <f>'Building Maint'!I23</f>
        <v>0</v>
      </c>
      <c r="L33" s="77">
        <f>'Building Maint'!J23</f>
        <v>0</v>
      </c>
      <c r="M33" s="77">
        <f>'Building Maint'!K23</f>
        <v>0</v>
      </c>
      <c r="N33" s="77">
        <f>'Building Maint'!L23</f>
        <v>30</v>
      </c>
      <c r="O33" s="77">
        <f>'Building Maint'!M23</f>
        <v>0</v>
      </c>
      <c r="P33" s="77">
        <f>'Building Maint'!N23</f>
        <v>0</v>
      </c>
      <c r="Q33" s="437">
        <f>SUM(E33:P33)</f>
        <v>60</v>
      </c>
      <c r="R33" s="438">
        <f t="shared" si="1"/>
        <v>3.3333333333333335E-3</v>
      </c>
      <c r="S33" s="396"/>
      <c r="T33" s="460"/>
      <c r="U33" s="300" t="s">
        <v>371</v>
      </c>
      <c r="V33" s="38" t="s">
        <v>450</v>
      </c>
    </row>
    <row r="34" spans="1:22" x14ac:dyDescent="0.35">
      <c r="A34" s="110"/>
      <c r="D34" s="89" t="s">
        <v>31</v>
      </c>
      <c r="E34" s="34">
        <f>'Building Maint'!C12</f>
        <v>675</v>
      </c>
      <c r="F34" s="34">
        <f>'Building Maint'!D12</f>
        <v>170</v>
      </c>
      <c r="G34" s="34">
        <f>'Building Maint'!E12</f>
        <v>150</v>
      </c>
      <c r="H34" s="34">
        <f>'Building Maint'!F12</f>
        <v>575</v>
      </c>
      <c r="I34" s="34">
        <f>'Building Maint'!G12</f>
        <v>825</v>
      </c>
      <c r="J34" s="34">
        <f>'Building Maint'!H12</f>
        <v>575</v>
      </c>
      <c r="K34" s="34">
        <f>'Building Maint'!I12</f>
        <v>955</v>
      </c>
      <c r="L34" s="34">
        <f>'Building Maint'!J12</f>
        <v>350</v>
      </c>
      <c r="M34" s="34">
        <f>'Building Maint'!K12</f>
        <v>350</v>
      </c>
      <c r="N34" s="34">
        <f>'Building Maint'!L12</f>
        <v>575</v>
      </c>
      <c r="O34" s="34">
        <f>'Building Maint'!M12</f>
        <v>825</v>
      </c>
      <c r="P34" s="34">
        <f>'Building Maint'!N12</f>
        <v>350</v>
      </c>
      <c r="Q34" s="439">
        <f>SUM(E34:P34)</f>
        <v>6375</v>
      </c>
      <c r="R34" s="440">
        <f t="shared" si="1"/>
        <v>0.35416666666666669</v>
      </c>
      <c r="S34" s="396"/>
      <c r="T34" s="460"/>
      <c r="U34" s="300" t="s">
        <v>371</v>
      </c>
      <c r="V34" s="38" t="s">
        <v>450</v>
      </c>
    </row>
    <row r="35" spans="1:22" x14ac:dyDescent="0.35">
      <c r="A35" s="110"/>
      <c r="D35" s="90" t="s">
        <v>32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41">
        <f>SUM(E35:P35)</f>
        <v>0</v>
      </c>
      <c r="R35" s="442">
        <f t="shared" si="1"/>
        <v>0</v>
      </c>
      <c r="S35" s="396"/>
      <c r="T35" s="460"/>
      <c r="U35" s="300"/>
      <c r="V35" s="38"/>
    </row>
    <row r="36" spans="1:22" x14ac:dyDescent="0.35">
      <c r="A36" s="110" t="s">
        <v>108</v>
      </c>
      <c r="C36" s="34" t="s">
        <v>33</v>
      </c>
      <c r="E36" s="43">
        <f t="shared" ref="E36:Q36" si="8">SUM(E33:E35)</f>
        <v>675</v>
      </c>
      <c r="F36" s="43">
        <f t="shared" si="8"/>
        <v>170</v>
      </c>
      <c r="G36" s="43">
        <f>SUM(G33:G35)</f>
        <v>150</v>
      </c>
      <c r="H36" s="43">
        <f t="shared" si="8"/>
        <v>605</v>
      </c>
      <c r="I36" s="43">
        <f t="shared" si="8"/>
        <v>825</v>
      </c>
      <c r="J36" s="43">
        <f t="shared" si="8"/>
        <v>575</v>
      </c>
      <c r="K36" s="43">
        <f>SUM(K33:K35)</f>
        <v>955</v>
      </c>
      <c r="L36" s="43">
        <f t="shared" si="8"/>
        <v>350</v>
      </c>
      <c r="M36" s="43">
        <f t="shared" si="8"/>
        <v>350</v>
      </c>
      <c r="N36" s="43">
        <f t="shared" si="8"/>
        <v>605</v>
      </c>
      <c r="O36" s="43">
        <f t="shared" si="8"/>
        <v>825</v>
      </c>
      <c r="P36" s="43">
        <f t="shared" si="8"/>
        <v>350</v>
      </c>
      <c r="Q36" s="443">
        <f t="shared" si="8"/>
        <v>6435</v>
      </c>
      <c r="R36" s="444">
        <f t="shared" si="1"/>
        <v>0.35749999999999998</v>
      </c>
      <c r="S36" s="400">
        <v>4878.43</v>
      </c>
      <c r="T36" s="461">
        <f>IFERROR(Q36/S36-1,"-")</f>
        <v>0.31907191452987949</v>
      </c>
      <c r="U36" s="300"/>
      <c r="V36" s="38"/>
    </row>
    <row r="37" spans="1:22" x14ac:dyDescent="0.35">
      <c r="A37" s="110"/>
      <c r="Q37" s="430"/>
      <c r="R37" s="432"/>
      <c r="S37" s="396"/>
      <c r="T37" s="460"/>
      <c r="U37" s="300"/>
      <c r="V37" s="38"/>
    </row>
    <row r="38" spans="1:22" x14ac:dyDescent="0.35">
      <c r="A38" s="110" t="s">
        <v>303</v>
      </c>
      <c r="B38" s="34" t="s">
        <v>34</v>
      </c>
      <c r="C38" s="34" t="s">
        <v>35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30">
        <f>SUM(E38:P38)</f>
        <v>0</v>
      </c>
      <c r="R38" s="432">
        <f t="shared" si="1"/>
        <v>0</v>
      </c>
      <c r="S38" s="396"/>
      <c r="T38" s="460"/>
      <c r="U38" s="300"/>
      <c r="V38" s="38"/>
    </row>
    <row r="39" spans="1:22" x14ac:dyDescent="0.35">
      <c r="A39" s="110"/>
      <c r="Q39" s="430"/>
      <c r="R39" s="432"/>
      <c r="S39" s="396"/>
      <c r="T39" s="460"/>
      <c r="U39" s="300"/>
      <c r="V39" s="38"/>
    </row>
    <row r="40" spans="1:22" x14ac:dyDescent="0.35">
      <c r="A40" s="110"/>
      <c r="D40" s="88" t="s">
        <v>36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437">
        <f>SUM(E40:P40)</f>
        <v>0</v>
      </c>
      <c r="R40" s="438">
        <f t="shared" si="1"/>
        <v>0</v>
      </c>
      <c r="S40" s="396"/>
      <c r="T40" s="460"/>
      <c r="U40" s="300"/>
      <c r="V40" s="38"/>
    </row>
    <row r="41" spans="1:22" x14ac:dyDescent="0.35">
      <c r="A41" s="110"/>
      <c r="D41" s="89" t="s">
        <v>37</v>
      </c>
      <c r="E41" s="38">
        <f>'Parking Lot Maint'!C12</f>
        <v>113.3</v>
      </c>
      <c r="F41" s="38">
        <f>'Parking Lot Maint'!D12</f>
        <v>319.3</v>
      </c>
      <c r="G41" s="38">
        <f>'Parking Lot Maint'!E12</f>
        <v>113.3</v>
      </c>
      <c r="H41" s="38">
        <f>'Parking Lot Maint'!F12</f>
        <v>113.3</v>
      </c>
      <c r="I41" s="38">
        <f>'Parking Lot Maint'!G12</f>
        <v>319.3</v>
      </c>
      <c r="J41" s="38">
        <f>'Parking Lot Maint'!H12</f>
        <v>113.3</v>
      </c>
      <c r="K41" s="38">
        <f>'Parking Lot Maint'!I12</f>
        <v>113.3</v>
      </c>
      <c r="L41" s="38">
        <f>'Parking Lot Maint'!J12</f>
        <v>319.3</v>
      </c>
      <c r="M41" s="38">
        <f>'Parking Lot Maint'!K12</f>
        <v>113.3</v>
      </c>
      <c r="N41" s="38">
        <f>'Parking Lot Maint'!L12</f>
        <v>113.3</v>
      </c>
      <c r="O41" s="38">
        <f>'Parking Lot Maint'!M12</f>
        <v>319.3</v>
      </c>
      <c r="P41" s="38">
        <f>'Parking Lot Maint'!N12</f>
        <v>113.3</v>
      </c>
      <c r="Q41" s="439">
        <f>SUM(E41:P41)</f>
        <v>2183.6</v>
      </c>
      <c r="R41" s="440">
        <f t="shared" si="1"/>
        <v>0.12131111111111111</v>
      </c>
      <c r="S41" s="396"/>
      <c r="T41" s="460"/>
      <c r="U41" s="300" t="s">
        <v>371</v>
      </c>
      <c r="V41" s="38" t="s">
        <v>450</v>
      </c>
    </row>
    <row r="42" spans="1:22" x14ac:dyDescent="0.35">
      <c r="A42" s="110"/>
      <c r="D42" s="90" t="s">
        <v>38</v>
      </c>
      <c r="E42" s="42"/>
      <c r="F42" s="42"/>
      <c r="G42" s="42"/>
      <c r="H42" s="42">
        <f>1.03*1500</f>
        <v>1545</v>
      </c>
      <c r="I42" s="42"/>
      <c r="J42" s="42"/>
      <c r="K42" s="42"/>
      <c r="L42" s="42"/>
      <c r="M42" s="42">
        <f>1.03*1500</f>
        <v>1545</v>
      </c>
      <c r="N42" s="42"/>
      <c r="O42" s="42"/>
      <c r="P42" s="42"/>
      <c r="Q42" s="441">
        <f>SUM(E42:P42)</f>
        <v>3090</v>
      </c>
      <c r="R42" s="442">
        <f t="shared" si="1"/>
        <v>0.17166666666666666</v>
      </c>
      <c r="S42" s="396"/>
      <c r="T42" s="460"/>
      <c r="U42" s="300" t="s">
        <v>371</v>
      </c>
      <c r="V42" s="38" t="s">
        <v>450</v>
      </c>
    </row>
    <row r="43" spans="1:22" x14ac:dyDescent="0.35">
      <c r="A43" s="110" t="s">
        <v>140</v>
      </c>
      <c r="C43" s="34" t="s">
        <v>39</v>
      </c>
      <c r="E43" s="43">
        <f t="shared" ref="E43:Q43" si="9">SUM(E40:E42)</f>
        <v>113.3</v>
      </c>
      <c r="F43" s="43">
        <f t="shared" si="9"/>
        <v>319.3</v>
      </c>
      <c r="G43" s="43">
        <f t="shared" si="9"/>
        <v>113.3</v>
      </c>
      <c r="H43" s="43">
        <f t="shared" si="9"/>
        <v>1658.3</v>
      </c>
      <c r="I43" s="43">
        <f t="shared" si="9"/>
        <v>319.3</v>
      </c>
      <c r="J43" s="43">
        <f t="shared" si="9"/>
        <v>113.3</v>
      </c>
      <c r="K43" s="43">
        <f t="shared" si="9"/>
        <v>113.3</v>
      </c>
      <c r="L43" s="43">
        <f t="shared" si="9"/>
        <v>319.3</v>
      </c>
      <c r="M43" s="43">
        <f t="shared" si="9"/>
        <v>1658.3</v>
      </c>
      <c r="N43" s="43">
        <f t="shared" si="9"/>
        <v>113.3</v>
      </c>
      <c r="O43" s="43">
        <f t="shared" si="9"/>
        <v>319.3</v>
      </c>
      <c r="P43" s="43">
        <f t="shared" si="9"/>
        <v>113.3</v>
      </c>
      <c r="Q43" s="443">
        <f t="shared" si="9"/>
        <v>5273.6</v>
      </c>
      <c r="R43" s="444">
        <f t="shared" si="1"/>
        <v>0.29297777777777778</v>
      </c>
      <c r="S43" s="400">
        <v>4674.51</v>
      </c>
      <c r="T43" s="461">
        <f>IFERROR(Q43/S43-1,"-")</f>
        <v>0.12816102650331263</v>
      </c>
      <c r="U43" s="300"/>
      <c r="V43" s="38"/>
    </row>
    <row r="44" spans="1:22" x14ac:dyDescent="0.35">
      <c r="A44" s="110"/>
      <c r="Q44" s="430"/>
      <c r="R44" s="432"/>
      <c r="S44" s="396"/>
      <c r="T44" s="460"/>
      <c r="U44" s="300"/>
      <c r="V44" s="38"/>
    </row>
    <row r="45" spans="1:22" x14ac:dyDescent="0.35">
      <c r="A45" s="110" t="s">
        <v>110</v>
      </c>
      <c r="C45" s="34" t="s">
        <v>40</v>
      </c>
      <c r="E45" s="40">
        <f>1.03*1250</f>
        <v>1287.5</v>
      </c>
      <c r="F45" s="40">
        <f>1.03*1250</f>
        <v>1287.5</v>
      </c>
      <c r="G45" s="40">
        <f>1.03*1250</f>
        <v>1287.5</v>
      </c>
      <c r="H45" s="40"/>
      <c r="I45" s="40"/>
      <c r="J45" s="40"/>
      <c r="K45" s="40"/>
      <c r="L45" s="40"/>
      <c r="M45" s="40"/>
      <c r="N45" s="40"/>
      <c r="O45" s="40">
        <f>1.03*1000</f>
        <v>1030</v>
      </c>
      <c r="P45" s="40">
        <f>1.03*1250</f>
        <v>1287.5</v>
      </c>
      <c r="Q45" s="430">
        <f>SUM(E45:P45)</f>
        <v>6180</v>
      </c>
      <c r="R45" s="432">
        <f t="shared" si="1"/>
        <v>0.34333333333333332</v>
      </c>
      <c r="S45" s="396">
        <v>4659.6900000000005</v>
      </c>
      <c r="T45" s="460">
        <f>IFERROR(Q45/S45-1,"-")</f>
        <v>0.32626848567179345</v>
      </c>
      <c r="U45" s="300" t="s">
        <v>371</v>
      </c>
      <c r="V45" s="38" t="s">
        <v>450</v>
      </c>
    </row>
    <row r="46" spans="1:22" x14ac:dyDescent="0.35">
      <c r="A46" s="110"/>
      <c r="Q46" s="430"/>
      <c r="R46" s="432"/>
      <c r="S46" s="396"/>
      <c r="T46" s="460"/>
      <c r="U46" s="300"/>
      <c r="V46" s="38"/>
    </row>
    <row r="47" spans="1:22" x14ac:dyDescent="0.35">
      <c r="A47" s="110"/>
      <c r="D47" s="88" t="s">
        <v>41</v>
      </c>
      <c r="E47" s="77">
        <f>'Allocated Expenses'!F23</f>
        <v>0</v>
      </c>
      <c r="F47" s="77">
        <f>'Allocated Expenses'!G23</f>
        <v>0</v>
      </c>
      <c r="G47" s="77">
        <f>'Allocated Expenses'!H23</f>
        <v>210.23404159999998</v>
      </c>
      <c r="H47" s="77">
        <f>'Allocated Expenses'!I23</f>
        <v>210.23404159999998</v>
      </c>
      <c r="I47" s="77">
        <f>'Allocated Expenses'!J23</f>
        <v>210.23404159999998</v>
      </c>
      <c r="J47" s="77">
        <f>'Allocated Expenses'!K23</f>
        <v>210.23404159999998</v>
      </c>
      <c r="K47" s="77">
        <f>'Allocated Expenses'!L23</f>
        <v>210.23404159999998</v>
      </c>
      <c r="L47" s="77">
        <f>'Allocated Expenses'!M23</f>
        <v>210.23404159999998</v>
      </c>
      <c r="M47" s="77">
        <f>'Allocated Expenses'!N23</f>
        <v>210.23404159999998</v>
      </c>
      <c r="N47" s="77">
        <f>'Allocated Expenses'!O23</f>
        <v>210.23404159999998</v>
      </c>
      <c r="O47" s="77">
        <f>'Allocated Expenses'!P23</f>
        <v>210.23404159999998</v>
      </c>
      <c r="P47" s="77">
        <f>'Allocated Expenses'!Q23</f>
        <v>0</v>
      </c>
      <c r="Q47" s="437">
        <f>SUM(E47:P47)</f>
        <v>1892.1063743999998</v>
      </c>
      <c r="R47" s="438">
        <f t="shared" si="1"/>
        <v>0.10511702079999999</v>
      </c>
      <c r="S47" s="396"/>
      <c r="T47" s="460"/>
      <c r="U47" s="300" t="s">
        <v>371</v>
      </c>
      <c r="V47" s="38" t="s">
        <v>450</v>
      </c>
    </row>
    <row r="48" spans="1:22" x14ac:dyDescent="0.35">
      <c r="A48" s="110"/>
      <c r="D48" s="89" t="s">
        <v>42</v>
      </c>
      <c r="E48" s="34">
        <f>Landscaping!C12</f>
        <v>0</v>
      </c>
      <c r="F48" s="34">
        <f>Landscaping!D12</f>
        <v>0</v>
      </c>
      <c r="G48" s="34">
        <f>Landscaping!E12</f>
        <v>103</v>
      </c>
      <c r="H48" s="34">
        <f>Landscaping!F12</f>
        <v>412</v>
      </c>
      <c r="I48" s="34">
        <f>Landscaping!G12</f>
        <v>103</v>
      </c>
      <c r="J48" s="34">
        <f>Landscaping!H12</f>
        <v>103</v>
      </c>
      <c r="K48" s="34">
        <f>Landscaping!I12</f>
        <v>103</v>
      </c>
      <c r="L48" s="34">
        <f>Landscaping!J12</f>
        <v>103</v>
      </c>
      <c r="M48" s="34">
        <f>Landscaping!K12</f>
        <v>103</v>
      </c>
      <c r="N48" s="34">
        <f>Landscaping!L12</f>
        <v>412</v>
      </c>
      <c r="O48" s="34">
        <f>Landscaping!M12</f>
        <v>103</v>
      </c>
      <c r="P48" s="34">
        <f>Landscaping!N12</f>
        <v>0</v>
      </c>
      <c r="Q48" s="439">
        <f>SUM(E48:P48)</f>
        <v>1545</v>
      </c>
      <c r="R48" s="440">
        <f t="shared" si="1"/>
        <v>8.5833333333333331E-2</v>
      </c>
      <c r="S48" s="396"/>
      <c r="T48" s="460"/>
      <c r="U48" s="300" t="s">
        <v>371</v>
      </c>
      <c r="V48" s="38" t="s">
        <v>450</v>
      </c>
    </row>
    <row r="49" spans="1:22" x14ac:dyDescent="0.35">
      <c r="A49" s="110"/>
      <c r="D49" s="90" t="s">
        <v>43</v>
      </c>
      <c r="E49" s="43">
        <f>'Allocated Expenses'!F34</f>
        <v>188.76709915306495</v>
      </c>
      <c r="F49" s="43">
        <f>'Allocated Expenses'!G34</f>
        <v>188.76709915306495</v>
      </c>
      <c r="G49" s="43">
        <f>'Allocated Expenses'!H34</f>
        <v>188.76709915306495</v>
      </c>
      <c r="H49" s="43">
        <f>'Allocated Expenses'!I34</f>
        <v>188.76709915306495</v>
      </c>
      <c r="I49" s="43">
        <f>'Allocated Expenses'!J34</f>
        <v>188.76709915306495</v>
      </c>
      <c r="J49" s="43">
        <f>'Allocated Expenses'!K34</f>
        <v>188.76709915306495</v>
      </c>
      <c r="K49" s="43">
        <f>'Allocated Expenses'!L34</f>
        <v>188.76709915306495</v>
      </c>
      <c r="L49" s="43">
        <f>'Allocated Expenses'!M34</f>
        <v>188.76709915306495</v>
      </c>
      <c r="M49" s="43">
        <f>'Allocated Expenses'!N34</f>
        <v>188.76709915306495</v>
      </c>
      <c r="N49" s="43">
        <f>'Allocated Expenses'!O34</f>
        <v>188.76709915306495</v>
      </c>
      <c r="O49" s="43">
        <f>'Allocated Expenses'!P34</f>
        <v>188.76709915306495</v>
      </c>
      <c r="P49" s="43">
        <f>'Allocated Expenses'!Q34</f>
        <v>188.76709915306495</v>
      </c>
      <c r="Q49" s="441">
        <f>SUM(E49:P49)</f>
        <v>2265.2051898367795</v>
      </c>
      <c r="R49" s="442">
        <f t="shared" si="1"/>
        <v>0.12584473276870997</v>
      </c>
      <c r="S49" s="396"/>
      <c r="T49" s="460"/>
      <c r="U49" s="300" t="s">
        <v>371</v>
      </c>
      <c r="V49" s="38" t="s">
        <v>589</v>
      </c>
    </row>
    <row r="50" spans="1:22" x14ac:dyDescent="0.35">
      <c r="A50" s="110" t="s">
        <v>111</v>
      </c>
      <c r="C50" s="34" t="s">
        <v>44</v>
      </c>
      <c r="E50" s="43">
        <f t="shared" ref="E50:Q50" si="10">SUM(E47:E49)</f>
        <v>188.76709915306495</v>
      </c>
      <c r="F50" s="43">
        <f t="shared" si="10"/>
        <v>188.76709915306495</v>
      </c>
      <c r="G50" s="43">
        <f t="shared" si="10"/>
        <v>502.00114075306487</v>
      </c>
      <c r="H50" s="43">
        <f t="shared" si="10"/>
        <v>811.00114075306487</v>
      </c>
      <c r="I50" s="43">
        <f t="shared" si="10"/>
        <v>502.00114075306487</v>
      </c>
      <c r="J50" s="43">
        <f t="shared" si="10"/>
        <v>502.00114075306487</v>
      </c>
      <c r="K50" s="43">
        <f t="shared" si="10"/>
        <v>502.00114075306487</v>
      </c>
      <c r="L50" s="43">
        <f t="shared" si="10"/>
        <v>502.00114075306487</v>
      </c>
      <c r="M50" s="43">
        <f t="shared" si="10"/>
        <v>502.00114075306487</v>
      </c>
      <c r="N50" s="43">
        <f t="shared" si="10"/>
        <v>811.00114075306487</v>
      </c>
      <c r="O50" s="43">
        <f t="shared" si="10"/>
        <v>502.00114075306487</v>
      </c>
      <c r="P50" s="43">
        <f t="shared" si="10"/>
        <v>188.76709915306495</v>
      </c>
      <c r="Q50" s="443">
        <f t="shared" si="10"/>
        <v>5702.3115642367793</v>
      </c>
      <c r="R50" s="444">
        <f t="shared" si="1"/>
        <v>0.31679508690204328</v>
      </c>
      <c r="S50" s="400">
        <v>3635.26</v>
      </c>
      <c r="T50" s="461">
        <f>IFERROR(Q50/S50-1,"-")</f>
        <v>0.56861175383240226</v>
      </c>
      <c r="U50" s="300"/>
      <c r="V50" s="38"/>
    </row>
    <row r="51" spans="1:22" x14ac:dyDescent="0.35">
      <c r="A51" s="110"/>
      <c r="Q51" s="430"/>
      <c r="R51" s="432"/>
      <c r="S51" s="396"/>
      <c r="T51" s="460"/>
      <c r="U51" s="300"/>
      <c r="V51" s="38"/>
    </row>
    <row r="52" spans="1:22" x14ac:dyDescent="0.35">
      <c r="A52" s="110" t="s">
        <v>112</v>
      </c>
      <c r="C52" s="34" t="s">
        <v>45</v>
      </c>
      <c r="E52" s="34">
        <f>'Allocated Expenses'!F45</f>
        <v>105.60000000000001</v>
      </c>
      <c r="F52" s="34">
        <f>'Allocated Expenses'!G45</f>
        <v>105.60000000000001</v>
      </c>
      <c r="G52" s="34">
        <f>'Allocated Expenses'!H45</f>
        <v>105.60000000000001</v>
      </c>
      <c r="H52" s="34">
        <f>'Allocated Expenses'!I45</f>
        <v>105.60000000000001</v>
      </c>
      <c r="I52" s="34">
        <f>'Allocated Expenses'!J45</f>
        <v>105.60000000000001</v>
      </c>
      <c r="J52" s="34">
        <f>'Allocated Expenses'!K45</f>
        <v>105.60000000000001</v>
      </c>
      <c r="K52" s="34">
        <f>'Allocated Expenses'!L45</f>
        <v>105.60000000000001</v>
      </c>
      <c r="L52" s="34">
        <f>'Allocated Expenses'!M45</f>
        <v>105.60000000000001</v>
      </c>
      <c r="M52" s="34">
        <f>'Allocated Expenses'!N45</f>
        <v>105.60000000000001</v>
      </c>
      <c r="N52" s="34">
        <f>'Allocated Expenses'!O45</f>
        <v>105.60000000000001</v>
      </c>
      <c r="O52" s="34">
        <f>'Allocated Expenses'!P45</f>
        <v>105.60000000000001</v>
      </c>
      <c r="P52" s="34">
        <f>'Allocated Expenses'!Q45</f>
        <v>105.60000000000001</v>
      </c>
      <c r="Q52" s="430">
        <f>SUM(E52:P52)</f>
        <v>1267.1999999999998</v>
      </c>
      <c r="R52" s="432">
        <f t="shared" si="1"/>
        <v>7.039999999999999E-2</v>
      </c>
      <c r="S52" s="396">
        <v>1424.24</v>
      </c>
      <c r="T52" s="460">
        <f>IFERROR(Q52/S52-1,"-")</f>
        <v>-0.11026231534011133</v>
      </c>
      <c r="U52" s="300" t="s">
        <v>371</v>
      </c>
      <c r="V52" s="38" t="s">
        <v>450</v>
      </c>
    </row>
    <row r="53" spans="1:22" x14ac:dyDescent="0.35">
      <c r="A53" s="110"/>
      <c r="Q53" s="430"/>
      <c r="R53" s="432"/>
      <c r="S53" s="396"/>
      <c r="T53" s="460"/>
      <c r="U53" s="300"/>
      <c r="V53" s="38"/>
    </row>
    <row r="54" spans="1:22" x14ac:dyDescent="0.35">
      <c r="A54" s="110" t="s">
        <v>113</v>
      </c>
      <c r="B54" s="34" t="s">
        <v>46</v>
      </c>
      <c r="C54" s="34" t="s">
        <v>47</v>
      </c>
      <c r="E54" s="34">
        <f t="shared" ref="E54:P54" si="11">ROUND(E$24*0.06,0)</f>
        <v>1134</v>
      </c>
      <c r="F54" s="34">
        <f t="shared" si="11"/>
        <v>1134</v>
      </c>
      <c r="G54" s="34">
        <f t="shared" si="11"/>
        <v>1134</v>
      </c>
      <c r="H54" s="34">
        <f t="shared" si="11"/>
        <v>1134</v>
      </c>
      <c r="I54" s="34">
        <f t="shared" si="11"/>
        <v>1134</v>
      </c>
      <c r="J54" s="34">
        <f t="shared" si="11"/>
        <v>1134</v>
      </c>
      <c r="K54" s="34">
        <f t="shared" si="11"/>
        <v>1134</v>
      </c>
      <c r="L54" s="34">
        <f t="shared" si="11"/>
        <v>1134</v>
      </c>
      <c r="M54" s="34">
        <f t="shared" si="11"/>
        <v>1134</v>
      </c>
      <c r="N54" s="34">
        <f t="shared" si="11"/>
        <v>1134</v>
      </c>
      <c r="O54" s="34">
        <f t="shared" si="11"/>
        <v>1134</v>
      </c>
      <c r="P54" s="34">
        <f t="shared" si="11"/>
        <v>1134</v>
      </c>
      <c r="Q54" s="430">
        <f>SUM(E54:P54)</f>
        <v>13608</v>
      </c>
      <c r="R54" s="432">
        <f t="shared" si="1"/>
        <v>0.75600000000000001</v>
      </c>
      <c r="S54" s="396">
        <v>12450.17</v>
      </c>
      <c r="T54" s="460">
        <f>IFERROR(Q54/S54-1,"-")</f>
        <v>9.2997123734053444E-2</v>
      </c>
      <c r="U54" s="300"/>
      <c r="V54" s="38"/>
    </row>
    <row r="55" spans="1:22" x14ac:dyDescent="0.35">
      <c r="A55" s="110"/>
      <c r="Q55" s="430"/>
      <c r="R55" s="432"/>
      <c r="S55" s="396"/>
      <c r="T55" s="460"/>
      <c r="U55" s="300"/>
      <c r="V55" s="38"/>
    </row>
    <row r="56" spans="1:22" x14ac:dyDescent="0.35">
      <c r="A56" s="110" t="s">
        <v>114</v>
      </c>
      <c r="C56" s="34" t="s">
        <v>48</v>
      </c>
      <c r="E56" s="34">
        <f>Trash!C24</f>
        <v>0</v>
      </c>
      <c r="F56" s="34">
        <f>Trash!D24</f>
        <v>0</v>
      </c>
      <c r="G56" s="34">
        <f>Trash!E24</f>
        <v>0</v>
      </c>
      <c r="H56" s="34">
        <f>Trash!F24</f>
        <v>0</v>
      </c>
      <c r="I56" s="34">
        <f>Trash!G24</f>
        <v>0</v>
      </c>
      <c r="J56" s="34">
        <f>Trash!H24</f>
        <v>0</v>
      </c>
      <c r="K56" s="34">
        <f>Trash!I24</f>
        <v>0</v>
      </c>
      <c r="L56" s="34">
        <f>Trash!J24</f>
        <v>0</v>
      </c>
      <c r="M56" s="34">
        <f>Trash!K24</f>
        <v>0</v>
      </c>
      <c r="N56" s="34">
        <f>Trash!L24</f>
        <v>0</v>
      </c>
      <c r="O56" s="34">
        <f>Trash!M24</f>
        <v>0</v>
      </c>
      <c r="P56" s="34">
        <f>Trash!N24</f>
        <v>0</v>
      </c>
      <c r="Q56" s="430">
        <f>SUM(E56:P56)</f>
        <v>0</v>
      </c>
      <c r="R56" s="432">
        <f t="shared" si="1"/>
        <v>0</v>
      </c>
      <c r="S56" s="396">
        <v>0</v>
      </c>
      <c r="T56" s="460" t="str">
        <f>IFERROR(Q56/S56-1,"-")</f>
        <v>-</v>
      </c>
      <c r="U56" s="300"/>
      <c r="V56" s="38"/>
    </row>
    <row r="57" spans="1:22" x14ac:dyDescent="0.35">
      <c r="A57" s="110"/>
      <c r="Q57" s="430"/>
      <c r="R57" s="432"/>
      <c r="S57" s="396"/>
      <c r="T57" s="460"/>
      <c r="U57" s="300"/>
      <c r="V57" s="38"/>
    </row>
    <row r="58" spans="1:22" x14ac:dyDescent="0.35">
      <c r="A58" s="110" t="s">
        <v>115</v>
      </c>
      <c r="C58" s="34" t="s">
        <v>23</v>
      </c>
      <c r="E58" s="34">
        <f>+'INS RET'!E65</f>
        <v>1989.9568233090001</v>
      </c>
      <c r="F58" s="34">
        <f>+'INS RET'!F65</f>
        <v>1989.9568233090001</v>
      </c>
      <c r="G58" s="34">
        <f>+'INS RET'!G65</f>
        <v>1989.9568233090001</v>
      </c>
      <c r="H58" s="34">
        <f>+'INS RET'!H65</f>
        <v>1989.9568233090001</v>
      </c>
      <c r="I58" s="34">
        <f>+'INS RET'!I65</f>
        <v>1989.9568233090001</v>
      </c>
      <c r="J58" s="34">
        <f>+'INS RET'!J65</f>
        <v>1989.9568233090001</v>
      </c>
      <c r="K58" s="34">
        <f>+'INS RET'!K65</f>
        <v>1989.9568233090001</v>
      </c>
      <c r="L58" s="34">
        <f>+'INS RET'!L65</f>
        <v>1989.9568233090001</v>
      </c>
      <c r="M58" s="34">
        <f>+'INS RET'!M65</f>
        <v>1989.9568233090001</v>
      </c>
      <c r="N58" s="34">
        <f>+'INS RET'!N65</f>
        <v>1989.9568233090001</v>
      </c>
      <c r="O58" s="34">
        <f>+'INS RET'!O65</f>
        <v>1989.9568233090001</v>
      </c>
      <c r="P58" s="34">
        <f>+'INS RET'!P65</f>
        <v>1989.9568233090001</v>
      </c>
      <c r="Q58" s="430">
        <f>SUM(E58:P58)</f>
        <v>23879.481879707997</v>
      </c>
      <c r="R58" s="432">
        <f t="shared" si="1"/>
        <v>1.3266378822059999</v>
      </c>
      <c r="S58" s="396">
        <v>32831.449999999997</v>
      </c>
      <c r="T58" s="460">
        <f>IFERROR(Q58/S58-1,"-")</f>
        <v>-0.27266441537891262</v>
      </c>
      <c r="U58" s="300"/>
      <c r="V58" s="38"/>
    </row>
    <row r="59" spans="1:22" x14ac:dyDescent="0.35">
      <c r="A59" s="110"/>
      <c r="Q59" s="430"/>
      <c r="R59" s="432"/>
      <c r="S59" s="396"/>
      <c r="T59" s="460"/>
      <c r="U59" s="300"/>
      <c r="V59" s="38"/>
    </row>
    <row r="60" spans="1:22" x14ac:dyDescent="0.35">
      <c r="A60" s="110"/>
      <c r="D60" s="88" t="s">
        <v>49</v>
      </c>
      <c r="E60" s="77">
        <f>+'INS RET'!E48+'INS RET'!E49</f>
        <v>483</v>
      </c>
      <c r="F60" s="77">
        <f>+'INS RET'!F48+'INS RET'!F49</f>
        <v>483</v>
      </c>
      <c r="G60" s="77">
        <f>+'INS RET'!G48+'INS RET'!G49</f>
        <v>483</v>
      </c>
      <c r="H60" s="77">
        <f>+'INS RET'!H48+'INS RET'!H49</f>
        <v>483</v>
      </c>
      <c r="I60" s="77">
        <f>+'INS RET'!I48+'INS RET'!I49</f>
        <v>483</v>
      </c>
      <c r="J60" s="77">
        <f>+'INS RET'!J48+'INS RET'!J49</f>
        <v>483</v>
      </c>
      <c r="K60" s="77">
        <f>+'INS RET'!K48+'INS RET'!K49</f>
        <v>483</v>
      </c>
      <c r="L60" s="77">
        <f>+'INS RET'!L48+'INS RET'!L49</f>
        <v>483</v>
      </c>
      <c r="M60" s="77">
        <f>+'INS RET'!M48+'INS RET'!M49</f>
        <v>483</v>
      </c>
      <c r="N60" s="77">
        <f>+'INS RET'!N48+'INS RET'!N49</f>
        <v>483</v>
      </c>
      <c r="O60" s="77">
        <f>+'INS RET'!O48+'INS RET'!O49</f>
        <v>492.65999999999997</v>
      </c>
      <c r="P60" s="77">
        <f>+'INS RET'!P48+'INS RET'!P49</f>
        <v>492.65999999999997</v>
      </c>
      <c r="Q60" s="437">
        <f>SUM(E60:P60)</f>
        <v>5815.32</v>
      </c>
      <c r="R60" s="438">
        <f t="shared" si="1"/>
        <v>0.32307333333333332</v>
      </c>
      <c r="S60" s="396"/>
      <c r="T60" s="460"/>
      <c r="U60" s="300"/>
      <c r="V60" s="38"/>
    </row>
    <row r="61" spans="1:22" x14ac:dyDescent="0.35">
      <c r="A61" s="110"/>
      <c r="D61" s="89" t="s">
        <v>50</v>
      </c>
      <c r="E61" s="34">
        <f>+'INS RET'!E51</f>
        <v>345</v>
      </c>
      <c r="F61" s="34">
        <f>+'INS RET'!F51</f>
        <v>345</v>
      </c>
      <c r="G61" s="34">
        <f>+'INS RET'!G51</f>
        <v>345</v>
      </c>
      <c r="H61" s="34">
        <f>+'INS RET'!H51</f>
        <v>345</v>
      </c>
      <c r="I61" s="34">
        <f>+'INS RET'!I51</f>
        <v>345</v>
      </c>
      <c r="J61" s="34">
        <f>+'INS RET'!J51</f>
        <v>345</v>
      </c>
      <c r="K61" s="34">
        <f>+'INS RET'!K51</f>
        <v>345</v>
      </c>
      <c r="L61" s="34">
        <f>+'INS RET'!L51</f>
        <v>345</v>
      </c>
      <c r="M61" s="34">
        <f>+'INS RET'!M51</f>
        <v>345</v>
      </c>
      <c r="N61" s="34">
        <f>+'INS RET'!N51</f>
        <v>345</v>
      </c>
      <c r="O61" s="34">
        <f>+'INS RET'!O51</f>
        <v>351.90000000000003</v>
      </c>
      <c r="P61" s="34">
        <f>+'INS RET'!P51</f>
        <v>351.90000000000003</v>
      </c>
      <c r="Q61" s="439">
        <f>SUM(E61:P61)</f>
        <v>4153.8</v>
      </c>
      <c r="R61" s="440">
        <f t="shared" si="1"/>
        <v>0.23076666666666668</v>
      </c>
      <c r="S61" s="396"/>
      <c r="T61" s="460"/>
      <c r="U61" s="300"/>
      <c r="V61" s="38"/>
    </row>
    <row r="62" spans="1:22" x14ac:dyDescent="0.35">
      <c r="A62" s="110"/>
      <c r="D62" s="90" t="s">
        <v>51</v>
      </c>
      <c r="E62" s="43">
        <f>+'INS RET'!E52</f>
        <v>16</v>
      </c>
      <c r="F62" s="43">
        <f>+'INS RET'!F52</f>
        <v>16</v>
      </c>
      <c r="G62" s="43">
        <f>+'INS RET'!G52</f>
        <v>16</v>
      </c>
      <c r="H62" s="43">
        <f>+'INS RET'!H52</f>
        <v>16</v>
      </c>
      <c r="I62" s="43">
        <f>+'INS RET'!I52</f>
        <v>16</v>
      </c>
      <c r="J62" s="43">
        <f>+'INS RET'!J52</f>
        <v>16</v>
      </c>
      <c r="K62" s="43">
        <f>+'INS RET'!K52</f>
        <v>16</v>
      </c>
      <c r="L62" s="43">
        <f>+'INS RET'!L52</f>
        <v>16</v>
      </c>
      <c r="M62" s="43">
        <f>+'INS RET'!M52</f>
        <v>16</v>
      </c>
      <c r="N62" s="43">
        <f>+'INS RET'!N52</f>
        <v>16</v>
      </c>
      <c r="O62" s="43">
        <f>+'INS RET'!O52</f>
        <v>16.32</v>
      </c>
      <c r="P62" s="43">
        <f>+'INS RET'!P52</f>
        <v>16.32</v>
      </c>
      <c r="Q62" s="441">
        <f>SUM(E62:P62)</f>
        <v>192.64</v>
      </c>
      <c r="R62" s="442">
        <f t="shared" si="1"/>
        <v>1.0702222222222221E-2</v>
      </c>
      <c r="S62" s="396"/>
      <c r="T62" s="460"/>
      <c r="U62" s="300"/>
      <c r="V62" s="38"/>
    </row>
    <row r="63" spans="1:22" x14ac:dyDescent="0.35">
      <c r="A63" s="110" t="s">
        <v>116</v>
      </c>
      <c r="C63" s="34" t="s">
        <v>24</v>
      </c>
      <c r="E63" s="43">
        <f t="shared" ref="E63:Q63" si="12">SUM(E60:E62)</f>
        <v>844</v>
      </c>
      <c r="F63" s="43">
        <f t="shared" si="12"/>
        <v>844</v>
      </c>
      <c r="G63" s="43">
        <f t="shared" si="12"/>
        <v>844</v>
      </c>
      <c r="H63" s="43">
        <f t="shared" si="12"/>
        <v>844</v>
      </c>
      <c r="I63" s="43">
        <f t="shared" si="12"/>
        <v>844</v>
      </c>
      <c r="J63" s="43">
        <f t="shared" si="12"/>
        <v>844</v>
      </c>
      <c r="K63" s="43">
        <f t="shared" si="12"/>
        <v>844</v>
      </c>
      <c r="L63" s="43">
        <f t="shared" si="12"/>
        <v>844</v>
      </c>
      <c r="M63" s="43">
        <f t="shared" si="12"/>
        <v>844</v>
      </c>
      <c r="N63" s="43">
        <f t="shared" si="12"/>
        <v>844</v>
      </c>
      <c r="O63" s="43">
        <f t="shared" si="12"/>
        <v>860.88</v>
      </c>
      <c r="P63" s="43">
        <f t="shared" si="12"/>
        <v>860.88</v>
      </c>
      <c r="Q63" s="443">
        <f t="shared" si="12"/>
        <v>10161.759999999998</v>
      </c>
      <c r="R63" s="444">
        <f t="shared" si="1"/>
        <v>0.56454222222222217</v>
      </c>
      <c r="S63" s="400">
        <v>10156</v>
      </c>
      <c r="T63" s="461">
        <f>IFERROR(Q63/S63-1,"-")</f>
        <v>5.6715242221327955E-4</v>
      </c>
      <c r="U63" s="300"/>
      <c r="V63" s="38"/>
    </row>
    <row r="64" spans="1:22" x14ac:dyDescent="0.35">
      <c r="A64" s="110"/>
      <c r="Q64" s="430"/>
      <c r="R64" s="432"/>
      <c r="S64" s="396"/>
      <c r="T64" s="460"/>
      <c r="U64" s="300"/>
      <c r="V64" s="38"/>
    </row>
    <row r="65" spans="1:22" x14ac:dyDescent="0.35">
      <c r="A65" s="110"/>
      <c r="D65" s="88" t="s">
        <v>52</v>
      </c>
      <c r="E65" s="77">
        <f>'Allocated Expenses'!F56+'Allocated Expenses'!F67</f>
        <v>2488.0680000000002</v>
      </c>
      <c r="F65" s="77">
        <f>'Allocated Expenses'!G56+'Allocated Expenses'!G67</f>
        <v>2488.0680000000002</v>
      </c>
      <c r="G65" s="77">
        <f>'Allocated Expenses'!H56+'Allocated Expenses'!H67</f>
        <v>2488.0680000000002</v>
      </c>
      <c r="H65" s="77">
        <f>'Allocated Expenses'!I56+'Allocated Expenses'!I67</f>
        <v>2488.0680000000002</v>
      </c>
      <c r="I65" s="77">
        <f>'Allocated Expenses'!J56+'Allocated Expenses'!J67</f>
        <v>2488.0680000000002</v>
      </c>
      <c r="J65" s="77">
        <f>'Allocated Expenses'!K56+'Allocated Expenses'!K67</f>
        <v>2488.0680000000002</v>
      </c>
      <c r="K65" s="77">
        <f>'Allocated Expenses'!L56+'Allocated Expenses'!L67</f>
        <v>2488.0680000000002</v>
      </c>
      <c r="L65" s="77">
        <f>'Allocated Expenses'!M56+'Allocated Expenses'!M67</f>
        <v>2488.0680000000002</v>
      </c>
      <c r="M65" s="77">
        <f>'Allocated Expenses'!N56+'Allocated Expenses'!N67</f>
        <v>2488.0680000000002</v>
      </c>
      <c r="N65" s="77">
        <f>'Allocated Expenses'!O56+'Allocated Expenses'!O67</f>
        <v>2488.0680000000002</v>
      </c>
      <c r="O65" s="77">
        <f>'Allocated Expenses'!P56+'Allocated Expenses'!P67</f>
        <v>2488.0680000000002</v>
      </c>
      <c r="P65" s="77">
        <f>'Allocated Expenses'!Q56+'Allocated Expenses'!Q67</f>
        <v>2488.0680000000002</v>
      </c>
      <c r="Q65" s="445">
        <f>SUM(E65:P65)</f>
        <v>29856.815999999995</v>
      </c>
      <c r="R65" s="438">
        <f t="shared" si="1"/>
        <v>1.6587119999999997</v>
      </c>
      <c r="S65" s="396"/>
      <c r="T65" s="460"/>
      <c r="U65" s="300"/>
      <c r="V65" s="38" t="s">
        <v>592</v>
      </c>
    </row>
    <row r="66" spans="1:22" x14ac:dyDescent="0.35">
      <c r="A66" s="110"/>
      <c r="D66" s="90" t="s">
        <v>53</v>
      </c>
      <c r="E66" s="43">
        <f>'Allocated Expenses'!F80</f>
        <v>0</v>
      </c>
      <c r="F66" s="43">
        <f>'Allocated Expenses'!G80</f>
        <v>0</v>
      </c>
      <c r="G66" s="43">
        <f>'Allocated Expenses'!H80</f>
        <v>0</v>
      </c>
      <c r="H66" s="43">
        <f>'Allocated Expenses'!I80</f>
        <v>0</v>
      </c>
      <c r="I66" s="43">
        <f>'Allocated Expenses'!J80</f>
        <v>0</v>
      </c>
      <c r="J66" s="43">
        <f>'Allocated Expenses'!K80</f>
        <v>0</v>
      </c>
      <c r="K66" s="43">
        <f>'Allocated Expenses'!L80</f>
        <v>0</v>
      </c>
      <c r="L66" s="43">
        <f>'Allocated Expenses'!M80</f>
        <v>0</v>
      </c>
      <c r="M66" s="43">
        <f>'Allocated Expenses'!N80</f>
        <v>0</v>
      </c>
      <c r="N66" s="43">
        <f>'Allocated Expenses'!O80</f>
        <v>0</v>
      </c>
      <c r="O66" s="43">
        <f>'Allocated Expenses'!P80</f>
        <v>0</v>
      </c>
      <c r="P66" s="43">
        <f>'Allocated Expenses'!Q80</f>
        <v>0</v>
      </c>
      <c r="Q66" s="443">
        <f>SUM(E66:P66)</f>
        <v>0</v>
      </c>
      <c r="R66" s="442">
        <f t="shared" si="1"/>
        <v>0</v>
      </c>
      <c r="S66" s="396"/>
      <c r="T66" s="460"/>
      <c r="U66" s="300"/>
      <c r="V66" s="38" t="s">
        <v>593</v>
      </c>
    </row>
    <row r="67" spans="1:22" x14ac:dyDescent="0.35">
      <c r="A67" s="110" t="s">
        <v>117</v>
      </c>
      <c r="B67" s="34" t="s">
        <v>46</v>
      </c>
      <c r="C67" s="34" t="s">
        <v>52</v>
      </c>
      <c r="E67" s="43">
        <f t="shared" ref="E67:Q67" si="13">SUM(E65:E66)</f>
        <v>2488.0680000000002</v>
      </c>
      <c r="F67" s="43">
        <f t="shared" si="13"/>
        <v>2488.0680000000002</v>
      </c>
      <c r="G67" s="43">
        <f t="shared" si="13"/>
        <v>2488.0680000000002</v>
      </c>
      <c r="H67" s="43">
        <f t="shared" si="13"/>
        <v>2488.0680000000002</v>
      </c>
      <c r="I67" s="43">
        <f t="shared" si="13"/>
        <v>2488.0680000000002</v>
      </c>
      <c r="J67" s="43">
        <f t="shared" si="13"/>
        <v>2488.0680000000002</v>
      </c>
      <c r="K67" s="43">
        <f t="shared" si="13"/>
        <v>2488.0680000000002</v>
      </c>
      <c r="L67" s="43">
        <f t="shared" si="13"/>
        <v>2488.0680000000002</v>
      </c>
      <c r="M67" s="43">
        <f t="shared" si="13"/>
        <v>2488.0680000000002</v>
      </c>
      <c r="N67" s="43">
        <f t="shared" si="13"/>
        <v>2488.0680000000002</v>
      </c>
      <c r="O67" s="43">
        <f t="shared" si="13"/>
        <v>2488.0680000000002</v>
      </c>
      <c r="P67" s="43">
        <f t="shared" si="13"/>
        <v>2488.0680000000002</v>
      </c>
      <c r="Q67" s="443">
        <f t="shared" si="13"/>
        <v>29856.815999999995</v>
      </c>
      <c r="R67" s="444">
        <f t="shared" si="1"/>
        <v>1.6587119999999997</v>
      </c>
      <c r="S67" s="400">
        <v>0</v>
      </c>
      <c r="T67" s="461" t="str">
        <f>IFERROR(Q67/S67-1,"-")</f>
        <v>-</v>
      </c>
      <c r="U67" s="300"/>
      <c r="V67" s="38"/>
    </row>
    <row r="68" spans="1:22" x14ac:dyDescent="0.35">
      <c r="A68" s="110"/>
      <c r="Q68" s="430"/>
      <c r="R68" s="432"/>
      <c r="S68" s="396"/>
      <c r="T68" s="460"/>
      <c r="U68" s="300"/>
      <c r="V68" s="38"/>
    </row>
    <row r="69" spans="1:22" x14ac:dyDescent="0.35">
      <c r="A69" s="110"/>
      <c r="B69" s="34" t="s">
        <v>34</v>
      </c>
      <c r="C69" s="34" t="s">
        <v>54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30">
        <f>SUM(E69:P69)</f>
        <v>0</v>
      </c>
      <c r="R69" s="432">
        <f t="shared" si="1"/>
        <v>0</v>
      </c>
      <c r="S69" s="396">
        <v>0</v>
      </c>
      <c r="T69" s="460" t="str">
        <f>IFERROR(Q69/S69-1,"-")</f>
        <v>-</v>
      </c>
      <c r="U69" s="300"/>
      <c r="V69" s="38"/>
    </row>
    <row r="70" spans="1:22" x14ac:dyDescent="0.35">
      <c r="A70" s="110"/>
      <c r="Q70" s="430"/>
      <c r="R70" s="432"/>
      <c r="S70" s="396"/>
      <c r="T70" s="460"/>
      <c r="U70" s="300"/>
      <c r="V70" s="38"/>
    </row>
    <row r="71" spans="1:22" ht="18" x14ac:dyDescent="0.35">
      <c r="A71" s="110"/>
      <c r="C71" s="91" t="s">
        <v>55</v>
      </c>
      <c r="D71" s="92"/>
      <c r="E71" s="92">
        <f>+E27+E29+E31+E36+E38+E43+E45+E50+E52+E54+E56+E58+E63+E67+E69</f>
        <v>9194.4501055158144</v>
      </c>
      <c r="F71" s="92">
        <f t="shared" ref="F71:P71" si="14">+F27+F29+F31+F36+F38+F43+F45+F50+F52+F54+F56+F58+F63+F67+F69</f>
        <v>8895.4501055158144</v>
      </c>
      <c r="G71" s="92">
        <f t="shared" si="14"/>
        <v>8982.6841471158132</v>
      </c>
      <c r="H71" s="92">
        <f t="shared" si="14"/>
        <v>10004.184147115813</v>
      </c>
      <c r="I71" s="92">
        <f t="shared" si="14"/>
        <v>8576.1841471158132</v>
      </c>
      <c r="J71" s="92">
        <f t="shared" si="14"/>
        <v>8120.1841471158132</v>
      </c>
      <c r="K71" s="92">
        <f t="shared" si="14"/>
        <v>8500.1841471158132</v>
      </c>
      <c r="L71" s="92">
        <f t="shared" si="14"/>
        <v>8101.1841471158132</v>
      </c>
      <c r="M71" s="92">
        <f t="shared" si="14"/>
        <v>9440.1841471158132</v>
      </c>
      <c r="N71" s="92">
        <f t="shared" si="14"/>
        <v>8459.1841471158132</v>
      </c>
      <c r="O71" s="92">
        <f t="shared" si="14"/>
        <v>9623.0641471158124</v>
      </c>
      <c r="P71" s="92">
        <f t="shared" si="14"/>
        <v>8886.3301055158136</v>
      </c>
      <c r="Q71" s="446">
        <f>+Q27+Q29+Q31+Q36+Q38+Q43+Q45+Q50+Q52+Q54+Q56+Q58+Q63+Q67+Q69</f>
        <v>106783.26764058974</v>
      </c>
      <c r="R71" s="447">
        <f t="shared" si="1"/>
        <v>5.9324037578105413</v>
      </c>
      <c r="S71" s="406">
        <f>+S27+S29+S31+S36+S38+S43+S45+S50+S52+S54+S56+S58+S63+S67+S69</f>
        <v>74709.75</v>
      </c>
      <c r="T71" s="462">
        <f>IFERROR(Q71/S71-1,"-")</f>
        <v>0.42930832509263839</v>
      </c>
      <c r="U71" s="304"/>
      <c r="V71" s="38"/>
    </row>
    <row r="72" spans="1:22" ht="18" x14ac:dyDescent="0.35">
      <c r="A72" s="110"/>
      <c r="Q72" s="435"/>
      <c r="R72" s="436"/>
      <c r="S72" s="402"/>
      <c r="T72" s="471"/>
      <c r="U72" s="301"/>
      <c r="V72" s="38"/>
    </row>
    <row r="73" spans="1:22" ht="18" x14ac:dyDescent="0.35">
      <c r="A73" s="110"/>
      <c r="B73" s="35" t="s">
        <v>56</v>
      </c>
      <c r="Q73" s="430"/>
      <c r="R73" s="432"/>
      <c r="S73" s="396"/>
      <c r="T73" s="460"/>
      <c r="U73" s="300"/>
      <c r="V73" s="38"/>
    </row>
    <row r="74" spans="1:22" x14ac:dyDescent="0.35">
      <c r="A74" s="110"/>
      <c r="Q74" s="430"/>
      <c r="R74" s="432"/>
      <c r="S74" s="396"/>
      <c r="T74" s="460"/>
      <c r="U74" s="300"/>
      <c r="V74" s="38"/>
    </row>
    <row r="75" spans="1:22" x14ac:dyDescent="0.35">
      <c r="A75" s="110" t="s">
        <v>141</v>
      </c>
      <c r="C75" s="34" t="s">
        <v>57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30">
        <f>SUM(E75:P75)</f>
        <v>0</v>
      </c>
      <c r="R75" s="432">
        <f t="shared" ref="R75:R131" si="15">Q75/$B$4</f>
        <v>0</v>
      </c>
      <c r="S75" s="396">
        <v>0</v>
      </c>
      <c r="T75" s="460" t="str">
        <f>IFERROR(Q75/S75-1,"-")</f>
        <v>-</v>
      </c>
      <c r="U75" s="300"/>
      <c r="V75" s="38"/>
    </row>
    <row r="76" spans="1:22" x14ac:dyDescent="0.35">
      <c r="A76" s="110"/>
      <c r="Q76" s="430"/>
      <c r="R76" s="432"/>
      <c r="S76" s="396"/>
      <c r="T76" s="460"/>
      <c r="U76" s="300"/>
      <c r="V76" s="38"/>
    </row>
    <row r="77" spans="1:22" x14ac:dyDescent="0.35">
      <c r="A77" s="110" t="s">
        <v>118</v>
      </c>
      <c r="D77" s="34" t="s">
        <v>58</v>
      </c>
      <c r="E77" s="34">
        <f>'Allocated Expenses'!F91</f>
        <v>456.23875262700881</v>
      </c>
      <c r="F77" s="34">
        <f>'Allocated Expenses'!G91</f>
        <v>456.23875262700881</v>
      </c>
      <c r="G77" s="34">
        <f>'Allocated Expenses'!H91</f>
        <v>456.23875262700881</v>
      </c>
      <c r="H77" s="34">
        <f>'Allocated Expenses'!I91</f>
        <v>456.23875262700881</v>
      </c>
      <c r="I77" s="34">
        <f>'Allocated Expenses'!J91</f>
        <v>456.23875262700881</v>
      </c>
      <c r="J77" s="34">
        <f>'Allocated Expenses'!K91</f>
        <v>456.23875262700881</v>
      </c>
      <c r="K77" s="34">
        <f>'Allocated Expenses'!L91</f>
        <v>456.23875262700881</v>
      </c>
      <c r="L77" s="34">
        <f>'Allocated Expenses'!M91</f>
        <v>456.23875262700881</v>
      </c>
      <c r="M77" s="34">
        <f>'Allocated Expenses'!N91</f>
        <v>456.23875262700881</v>
      </c>
      <c r="N77" s="34">
        <f>'Allocated Expenses'!O91</f>
        <v>456.23875262700881</v>
      </c>
      <c r="O77" s="34">
        <f>'Allocated Expenses'!P91</f>
        <v>456.23875262700881</v>
      </c>
      <c r="P77" s="34">
        <f>'Allocated Expenses'!Q91</f>
        <v>456.23875262700881</v>
      </c>
      <c r="Q77" s="430">
        <f>SUM(E77:P77)</f>
        <v>5474.8650315241039</v>
      </c>
      <c r="R77" s="432">
        <f t="shared" si="15"/>
        <v>0.30415916841800578</v>
      </c>
      <c r="S77" s="396"/>
      <c r="T77" s="460"/>
      <c r="U77" s="300"/>
      <c r="V77" s="38"/>
    </row>
    <row r="78" spans="1:22" x14ac:dyDescent="0.35">
      <c r="A78" s="110" t="s">
        <v>119</v>
      </c>
      <c r="D78" s="34" t="s">
        <v>59</v>
      </c>
      <c r="E78" s="43">
        <f>'Allocated Expenses'!F102</f>
        <v>288.37874230774071</v>
      </c>
      <c r="F78" s="43">
        <f>'Allocated Expenses'!G102</f>
        <v>0</v>
      </c>
      <c r="G78" s="43">
        <f>'Allocated Expenses'!H102</f>
        <v>0</v>
      </c>
      <c r="H78" s="43">
        <f>'Allocated Expenses'!I102</f>
        <v>288.37874230774071</v>
      </c>
      <c r="I78" s="43">
        <f>'Allocated Expenses'!J102</f>
        <v>0</v>
      </c>
      <c r="J78" s="43">
        <f>'Allocated Expenses'!K102</f>
        <v>0</v>
      </c>
      <c r="K78" s="43">
        <f>'Allocated Expenses'!L102</f>
        <v>288.37874230774071</v>
      </c>
      <c r="L78" s="43">
        <f>'Allocated Expenses'!M102</f>
        <v>0</v>
      </c>
      <c r="M78" s="43">
        <f>'Allocated Expenses'!N102</f>
        <v>0</v>
      </c>
      <c r="N78" s="43">
        <f>'Allocated Expenses'!O102</f>
        <v>288.37874230774071</v>
      </c>
      <c r="O78" s="43">
        <f>'Allocated Expenses'!P102</f>
        <v>0</v>
      </c>
      <c r="P78" s="43">
        <f>'Allocated Expenses'!Q102</f>
        <v>0</v>
      </c>
      <c r="Q78" s="443">
        <f>SUM(E78:P78)</f>
        <v>1153.5149692309628</v>
      </c>
      <c r="R78" s="444">
        <f t="shared" si="15"/>
        <v>6.4084164957275716E-2</v>
      </c>
      <c r="S78" s="396"/>
      <c r="T78" s="460"/>
      <c r="U78" s="300"/>
      <c r="V78" s="38"/>
    </row>
    <row r="79" spans="1:22" x14ac:dyDescent="0.35">
      <c r="A79" s="110"/>
      <c r="C79" s="34" t="s">
        <v>60</v>
      </c>
      <c r="E79" s="43">
        <f t="shared" ref="E79:Q79" si="16">SUM(E77:E78)</f>
        <v>744.61749493474952</v>
      </c>
      <c r="F79" s="43">
        <f t="shared" si="16"/>
        <v>456.23875262700881</v>
      </c>
      <c r="G79" s="43">
        <f t="shared" si="16"/>
        <v>456.23875262700881</v>
      </c>
      <c r="H79" s="43">
        <f t="shared" si="16"/>
        <v>744.61749493474952</v>
      </c>
      <c r="I79" s="43">
        <f t="shared" si="16"/>
        <v>456.23875262700881</v>
      </c>
      <c r="J79" s="43">
        <f t="shared" si="16"/>
        <v>456.23875262700881</v>
      </c>
      <c r="K79" s="43">
        <f t="shared" si="16"/>
        <v>744.61749493474952</v>
      </c>
      <c r="L79" s="43">
        <f t="shared" si="16"/>
        <v>456.23875262700881</v>
      </c>
      <c r="M79" s="43">
        <f t="shared" si="16"/>
        <v>456.23875262700881</v>
      </c>
      <c r="N79" s="43">
        <f t="shared" si="16"/>
        <v>744.61749493474952</v>
      </c>
      <c r="O79" s="43">
        <f t="shared" si="16"/>
        <v>456.23875262700881</v>
      </c>
      <c r="P79" s="43">
        <f t="shared" si="16"/>
        <v>456.23875262700881</v>
      </c>
      <c r="Q79" s="443">
        <f t="shared" si="16"/>
        <v>6628.3800007550672</v>
      </c>
      <c r="R79" s="444">
        <f t="shared" si="15"/>
        <v>0.36824333337528153</v>
      </c>
      <c r="S79" s="400">
        <v>2592</v>
      </c>
      <c r="T79" s="461">
        <f>IFERROR(Q79/S79-1,"-")</f>
        <v>1.5572453706616773</v>
      </c>
      <c r="U79" s="300"/>
      <c r="V79" s="38"/>
    </row>
    <row r="80" spans="1:22" x14ac:dyDescent="0.35">
      <c r="A80" s="110"/>
      <c r="Q80" s="430"/>
      <c r="R80" s="432"/>
      <c r="S80" s="396"/>
      <c r="T80" s="460"/>
      <c r="U80" s="300"/>
      <c r="V80" s="38"/>
    </row>
    <row r="81" spans="1:22" x14ac:dyDescent="0.35">
      <c r="A81" s="110" t="s">
        <v>142</v>
      </c>
      <c r="D81" s="34" t="s">
        <v>61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30">
        <f>SUM(E81:P81)</f>
        <v>0</v>
      </c>
      <c r="R81" s="432">
        <f t="shared" si="15"/>
        <v>0</v>
      </c>
      <c r="S81" s="396"/>
      <c r="T81" s="460"/>
      <c r="U81" s="300"/>
      <c r="V81" s="38"/>
    </row>
    <row r="82" spans="1:22" x14ac:dyDescent="0.35">
      <c r="A82" s="110" t="s">
        <v>143</v>
      </c>
      <c r="D82" s="34" t="s">
        <v>21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30">
        <f>SUM(E82:P82)</f>
        <v>0</v>
      </c>
      <c r="R82" s="432">
        <f t="shared" si="15"/>
        <v>0</v>
      </c>
      <c r="S82" s="396"/>
      <c r="T82" s="460"/>
      <c r="U82" s="300"/>
      <c r="V82" s="38"/>
    </row>
    <row r="83" spans="1:22" x14ac:dyDescent="0.35">
      <c r="A83" s="110" t="s">
        <v>144</v>
      </c>
      <c r="D83" s="34" t="s">
        <v>29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43">
        <f>SUM(E83:P83)</f>
        <v>0</v>
      </c>
      <c r="R83" s="444">
        <f t="shared" si="15"/>
        <v>0</v>
      </c>
      <c r="S83" s="396"/>
      <c r="T83" s="460"/>
      <c r="U83" s="300"/>
      <c r="V83" s="38"/>
    </row>
    <row r="84" spans="1:22" x14ac:dyDescent="0.35">
      <c r="A84" s="110"/>
      <c r="C84" s="34" t="s">
        <v>62</v>
      </c>
      <c r="E84" s="43">
        <f t="shared" ref="E84:Q84" si="17">SUM(E81:E83)</f>
        <v>0</v>
      </c>
      <c r="F84" s="43">
        <f t="shared" si="17"/>
        <v>0</v>
      </c>
      <c r="G84" s="43">
        <f t="shared" si="17"/>
        <v>0</v>
      </c>
      <c r="H84" s="43">
        <f t="shared" si="17"/>
        <v>0</v>
      </c>
      <c r="I84" s="43">
        <f t="shared" si="17"/>
        <v>0</v>
      </c>
      <c r="J84" s="43">
        <f t="shared" si="17"/>
        <v>0</v>
      </c>
      <c r="K84" s="43">
        <f t="shared" si="17"/>
        <v>0</v>
      </c>
      <c r="L84" s="43">
        <f t="shared" si="17"/>
        <v>0</v>
      </c>
      <c r="M84" s="43">
        <f t="shared" si="17"/>
        <v>0</v>
      </c>
      <c r="N84" s="43">
        <f t="shared" si="17"/>
        <v>0</v>
      </c>
      <c r="O84" s="43">
        <f t="shared" si="17"/>
        <v>0</v>
      </c>
      <c r="P84" s="43">
        <f t="shared" si="17"/>
        <v>0</v>
      </c>
      <c r="Q84" s="443">
        <f t="shared" si="17"/>
        <v>0</v>
      </c>
      <c r="R84" s="444">
        <f t="shared" si="15"/>
        <v>0</v>
      </c>
      <c r="S84" s="400">
        <v>0</v>
      </c>
      <c r="T84" s="461" t="str">
        <f>IFERROR(Q84/S84-1,"-")</f>
        <v>-</v>
      </c>
      <c r="U84" s="300"/>
      <c r="V84" s="38"/>
    </row>
    <row r="85" spans="1:22" x14ac:dyDescent="0.35">
      <c r="A85" s="110"/>
      <c r="Q85" s="430"/>
      <c r="R85" s="432"/>
      <c r="S85" s="396"/>
      <c r="T85" s="460"/>
      <c r="U85" s="300"/>
      <c r="V85" s="38"/>
    </row>
    <row r="86" spans="1:22" x14ac:dyDescent="0.35">
      <c r="A86" s="110"/>
      <c r="D86" s="88" t="s">
        <v>31</v>
      </c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445">
        <f>SUM(E86:P86)</f>
        <v>0</v>
      </c>
      <c r="R86" s="438">
        <f t="shared" si="15"/>
        <v>0</v>
      </c>
      <c r="S86" s="396"/>
      <c r="T86" s="460"/>
      <c r="U86" s="300"/>
      <c r="V86" s="38"/>
    </row>
    <row r="87" spans="1:22" x14ac:dyDescent="0.35">
      <c r="A87" s="110"/>
      <c r="D87" s="90" t="s">
        <v>32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43">
        <f>SUM(E87:P87)</f>
        <v>0</v>
      </c>
      <c r="R87" s="442">
        <f t="shared" si="15"/>
        <v>0</v>
      </c>
      <c r="S87" s="396"/>
      <c r="T87" s="460"/>
      <c r="U87" s="300"/>
      <c r="V87" s="38"/>
    </row>
    <row r="88" spans="1:22" x14ac:dyDescent="0.35">
      <c r="A88" s="110" t="s">
        <v>120</v>
      </c>
      <c r="C88" s="34" t="s">
        <v>33</v>
      </c>
      <c r="E88" s="43">
        <f t="shared" ref="E88:Q88" si="18">SUM(E86:E87)</f>
        <v>0</v>
      </c>
      <c r="F88" s="43">
        <f t="shared" si="18"/>
        <v>0</v>
      </c>
      <c r="G88" s="43">
        <f t="shared" si="18"/>
        <v>0</v>
      </c>
      <c r="H88" s="43">
        <f t="shared" si="18"/>
        <v>0</v>
      </c>
      <c r="I88" s="43">
        <f t="shared" si="18"/>
        <v>0</v>
      </c>
      <c r="J88" s="43">
        <f t="shared" si="18"/>
        <v>0</v>
      </c>
      <c r="K88" s="43">
        <f t="shared" si="18"/>
        <v>0</v>
      </c>
      <c r="L88" s="43">
        <f t="shared" si="18"/>
        <v>0</v>
      </c>
      <c r="M88" s="43">
        <f t="shared" si="18"/>
        <v>0</v>
      </c>
      <c r="N88" s="43">
        <f t="shared" si="18"/>
        <v>0</v>
      </c>
      <c r="O88" s="43">
        <f t="shared" si="18"/>
        <v>0</v>
      </c>
      <c r="P88" s="43">
        <f t="shared" si="18"/>
        <v>0</v>
      </c>
      <c r="Q88" s="443">
        <f t="shared" si="18"/>
        <v>0</v>
      </c>
      <c r="R88" s="444">
        <f t="shared" si="15"/>
        <v>0</v>
      </c>
      <c r="S88" s="400">
        <v>0</v>
      </c>
      <c r="T88" s="461" t="str">
        <f>IFERROR(Q88/S88-1,"-")</f>
        <v>-</v>
      </c>
      <c r="U88" s="300"/>
      <c r="V88" s="38"/>
    </row>
    <row r="89" spans="1:22" x14ac:dyDescent="0.35">
      <c r="A89" s="110"/>
      <c r="Q89" s="430"/>
      <c r="R89" s="432"/>
      <c r="S89" s="396"/>
      <c r="T89" s="460"/>
      <c r="U89" s="300"/>
      <c r="V89" s="38"/>
    </row>
    <row r="90" spans="1:22" s="95" customFormat="1" ht="15" hidden="1" customHeight="1" x14ac:dyDescent="0.35">
      <c r="A90" s="111" t="s">
        <v>145</v>
      </c>
      <c r="B90" s="95" t="s">
        <v>34</v>
      </c>
      <c r="C90" s="95" t="s">
        <v>63</v>
      </c>
      <c r="Q90" s="448">
        <f>SUM(E90:P90)</f>
        <v>0</v>
      </c>
      <c r="R90" s="449">
        <f t="shared" si="15"/>
        <v>0</v>
      </c>
      <c r="S90" s="396"/>
      <c r="T90" s="460" t="e">
        <f>R90/S90-1</f>
        <v>#DIV/0!</v>
      </c>
      <c r="U90" s="300"/>
      <c r="V90" s="305"/>
    </row>
    <row r="91" spans="1:22" hidden="1" x14ac:dyDescent="0.35">
      <c r="A91" s="110"/>
      <c r="Q91" s="430"/>
      <c r="R91" s="432"/>
      <c r="S91" s="396"/>
      <c r="T91" s="460" t="e">
        <f>R91/S91-1</f>
        <v>#DIV/0!</v>
      </c>
      <c r="U91" s="300"/>
      <c r="V91" s="38"/>
    </row>
    <row r="92" spans="1:22" x14ac:dyDescent="0.35">
      <c r="A92" s="110" t="s">
        <v>121</v>
      </c>
      <c r="C92" s="34" t="s">
        <v>64</v>
      </c>
      <c r="E92" s="34">
        <f>'Allocated Expenses'!F113+'Allocated Expenses'!F124</f>
        <v>175.02107899273875</v>
      </c>
      <c r="F92" s="34">
        <f>'Allocated Expenses'!G113+'Allocated Expenses'!G124</f>
        <v>175.02107899273875</v>
      </c>
      <c r="G92" s="34">
        <f>'Allocated Expenses'!H113+'Allocated Expenses'!H124</f>
        <v>175.02107899273875</v>
      </c>
      <c r="H92" s="34">
        <f>'Allocated Expenses'!I113+'Allocated Expenses'!I124</f>
        <v>175.02107899273875</v>
      </c>
      <c r="I92" s="34">
        <f>'Allocated Expenses'!J113+'Allocated Expenses'!J124</f>
        <v>175.02107899273875</v>
      </c>
      <c r="J92" s="34">
        <f>'Allocated Expenses'!K113+'Allocated Expenses'!K124</f>
        <v>175.02107899273875</v>
      </c>
      <c r="K92" s="34">
        <f>'Allocated Expenses'!L113+'Allocated Expenses'!L124</f>
        <v>175.02107899273875</v>
      </c>
      <c r="L92" s="34">
        <f>'Allocated Expenses'!M113+'Allocated Expenses'!M124</f>
        <v>175.02107899273875</v>
      </c>
      <c r="M92" s="34">
        <f>'Allocated Expenses'!N113+'Allocated Expenses'!N124</f>
        <v>175.02107899273875</v>
      </c>
      <c r="N92" s="34">
        <f>'Allocated Expenses'!O113+'Allocated Expenses'!O124</f>
        <v>175.02107899273875</v>
      </c>
      <c r="O92" s="34">
        <f>'Allocated Expenses'!P113+'Allocated Expenses'!P124</f>
        <v>175.02107899273875</v>
      </c>
      <c r="P92" s="34">
        <f>'Allocated Expenses'!Q113+'Allocated Expenses'!Q124</f>
        <v>175.02107899273875</v>
      </c>
      <c r="Q92" s="430">
        <f>SUM(E92:P92)</f>
        <v>2100.2529479128648</v>
      </c>
      <c r="R92" s="432">
        <f t="shared" si="15"/>
        <v>0.11668071932849249</v>
      </c>
      <c r="S92" s="396">
        <v>1500</v>
      </c>
      <c r="T92" s="460">
        <f>IFERROR(Q92/S92-1,"-")</f>
        <v>0.40016863194190977</v>
      </c>
      <c r="U92" s="300"/>
      <c r="V92" s="38"/>
    </row>
    <row r="93" spans="1:22" x14ac:dyDescent="0.35">
      <c r="A93" s="110"/>
      <c r="Q93" s="430"/>
      <c r="R93" s="432"/>
      <c r="S93" s="396"/>
      <c r="T93" s="460"/>
      <c r="U93" s="300"/>
      <c r="V93" s="38"/>
    </row>
    <row r="94" spans="1:22" x14ac:dyDescent="0.35">
      <c r="A94" s="110" t="s">
        <v>122</v>
      </c>
      <c r="C94" s="34" t="s">
        <v>65</v>
      </c>
      <c r="E94" s="34">
        <f>'Allocated Expenses'!F135</f>
        <v>0</v>
      </c>
      <c r="F94" s="34">
        <f>'Allocated Expenses'!G135</f>
        <v>0</v>
      </c>
      <c r="G94" s="34">
        <f>'Allocated Expenses'!H135</f>
        <v>0</v>
      </c>
      <c r="H94" s="34">
        <f>'Allocated Expenses'!I135</f>
        <v>528.57999255783523</v>
      </c>
      <c r="I94" s="34">
        <f>'Allocated Expenses'!J135</f>
        <v>0</v>
      </c>
      <c r="J94" s="34">
        <f>'Allocated Expenses'!K135</f>
        <v>0</v>
      </c>
      <c r="K94" s="34">
        <f>'Allocated Expenses'!L135</f>
        <v>0</v>
      </c>
      <c r="L94" s="34">
        <f>'Allocated Expenses'!M135</f>
        <v>0</v>
      </c>
      <c r="M94" s="34">
        <f>'Allocated Expenses'!N135</f>
        <v>0</v>
      </c>
      <c r="N94" s="34">
        <f>'Allocated Expenses'!O135</f>
        <v>0</v>
      </c>
      <c r="O94" s="34">
        <f>'Allocated Expenses'!P135</f>
        <v>0</v>
      </c>
      <c r="P94" s="34">
        <f>'Allocated Expenses'!Q135</f>
        <v>0</v>
      </c>
      <c r="Q94" s="430">
        <f>SUM(E94:P94)</f>
        <v>528.57999255783523</v>
      </c>
      <c r="R94" s="432">
        <f t="shared" si="15"/>
        <v>2.9365555142101957E-2</v>
      </c>
      <c r="S94" s="396">
        <v>0</v>
      </c>
      <c r="T94" s="460" t="str">
        <f>IFERROR(Q94/S94-1,"-")</f>
        <v>-</v>
      </c>
      <c r="U94" s="300"/>
      <c r="V94" s="38"/>
    </row>
    <row r="95" spans="1:22" x14ac:dyDescent="0.35">
      <c r="A95" s="110"/>
      <c r="Q95" s="430"/>
      <c r="R95" s="432"/>
      <c r="S95" s="396"/>
      <c r="T95" s="460"/>
      <c r="U95" s="300"/>
      <c r="V95" s="38"/>
    </row>
    <row r="96" spans="1:22" x14ac:dyDescent="0.35">
      <c r="A96" s="110" t="s">
        <v>123</v>
      </c>
      <c r="C96" s="34" t="s">
        <v>66</v>
      </c>
      <c r="E96" s="34">
        <f>'Allocated Expenses'!F147</f>
        <v>159.9536891383411</v>
      </c>
      <c r="F96" s="34">
        <f>'Allocated Expenses'!G147</f>
        <v>159.9536891383411</v>
      </c>
      <c r="G96" s="34">
        <f>'Allocated Expenses'!H147</f>
        <v>159.9536891383411</v>
      </c>
      <c r="H96" s="34">
        <f>'Allocated Expenses'!I147</f>
        <v>159.9536891383411</v>
      </c>
      <c r="I96" s="34">
        <f>'Allocated Expenses'!J147</f>
        <v>159.9536891383411</v>
      </c>
      <c r="J96" s="34">
        <f>'Allocated Expenses'!K147</f>
        <v>159.9536891383411</v>
      </c>
      <c r="K96" s="34">
        <f>'Allocated Expenses'!L147</f>
        <v>159.9536891383411</v>
      </c>
      <c r="L96" s="34">
        <f>'Allocated Expenses'!M147</f>
        <v>159.9536891383411</v>
      </c>
      <c r="M96" s="34">
        <f>'Allocated Expenses'!N147</f>
        <v>159.9536891383411</v>
      </c>
      <c r="N96" s="34">
        <f>'Allocated Expenses'!O147</f>
        <v>159.9536891383411</v>
      </c>
      <c r="O96" s="34">
        <f>'Allocated Expenses'!P147</f>
        <v>159.9536891383411</v>
      </c>
      <c r="P96" s="34">
        <f>'Allocated Expenses'!Q147</f>
        <v>159.9536891383411</v>
      </c>
      <c r="Q96" s="430">
        <f>SUM(E96:P96)</f>
        <v>1919.4442696600934</v>
      </c>
      <c r="R96" s="432">
        <f t="shared" si="15"/>
        <v>0.10663579275889408</v>
      </c>
      <c r="S96" s="396">
        <v>1685.1</v>
      </c>
      <c r="T96" s="460">
        <f>IFERROR(Q96/S96-1,"-")</f>
        <v>0.13906846457782529</v>
      </c>
      <c r="U96" s="300"/>
      <c r="V96" s="38"/>
    </row>
    <row r="97" spans="1:22" x14ac:dyDescent="0.35">
      <c r="A97" s="110"/>
      <c r="Q97" s="430"/>
      <c r="R97" s="432"/>
      <c r="S97" s="396"/>
      <c r="T97" s="460"/>
      <c r="U97" s="300"/>
      <c r="V97" s="38"/>
    </row>
    <row r="98" spans="1:22" x14ac:dyDescent="0.35">
      <c r="A98" s="110" t="s">
        <v>130</v>
      </c>
      <c r="D98" s="34" t="s">
        <v>67</v>
      </c>
      <c r="E98" s="34">
        <f>'Allocated Expenses'!F158</f>
        <v>7.2328001711488357</v>
      </c>
      <c r="F98" s="34">
        <f>'Allocated Expenses'!G158</f>
        <v>7.2328001711488357</v>
      </c>
      <c r="G98" s="34">
        <f>'Allocated Expenses'!H158</f>
        <v>7.2328001711488357</v>
      </c>
      <c r="H98" s="34">
        <f>'Allocated Expenses'!I158</f>
        <v>7.2328001711488357</v>
      </c>
      <c r="I98" s="34">
        <f>'Allocated Expenses'!J158</f>
        <v>7.2328001711488357</v>
      </c>
      <c r="J98" s="34">
        <f>'Allocated Expenses'!K158</f>
        <v>7.2328001711488357</v>
      </c>
      <c r="K98" s="34">
        <f>'Allocated Expenses'!L158</f>
        <v>7.2328001711488357</v>
      </c>
      <c r="L98" s="34">
        <f>'Allocated Expenses'!M158</f>
        <v>7.2328001711488357</v>
      </c>
      <c r="M98" s="34">
        <f>'Allocated Expenses'!N158</f>
        <v>7.2328001711488357</v>
      </c>
      <c r="N98" s="34">
        <f>'Allocated Expenses'!O158</f>
        <v>7.2328001711488357</v>
      </c>
      <c r="O98" s="34">
        <f>'Allocated Expenses'!P158</f>
        <v>7.2328001711488357</v>
      </c>
      <c r="P98" s="34">
        <f>'Allocated Expenses'!Q158</f>
        <v>7.2328001711488357</v>
      </c>
      <c r="Q98" s="430">
        <f>SUM(E98:P98)</f>
        <v>86.793602053786046</v>
      </c>
      <c r="R98" s="432">
        <f t="shared" si="15"/>
        <v>4.8218667807658913E-3</v>
      </c>
      <c r="S98" s="396"/>
      <c r="T98" s="460"/>
      <c r="U98" s="300"/>
      <c r="V98" s="38"/>
    </row>
    <row r="99" spans="1:22" x14ac:dyDescent="0.35">
      <c r="A99" s="110" t="s">
        <v>146</v>
      </c>
      <c r="D99" s="34" t="s">
        <v>68</v>
      </c>
      <c r="E99" s="34">
        <f>'Allocated Expenses'!F169</f>
        <v>0</v>
      </c>
      <c r="F99" s="34">
        <f>'Allocated Expenses'!G169</f>
        <v>0</v>
      </c>
      <c r="G99" s="34">
        <f>'Allocated Expenses'!H169</f>
        <v>0</v>
      </c>
      <c r="H99" s="34">
        <f>'Allocated Expenses'!I169</f>
        <v>0</v>
      </c>
      <c r="I99" s="34">
        <f>'Allocated Expenses'!J169</f>
        <v>0</v>
      </c>
      <c r="J99" s="34">
        <f>'Allocated Expenses'!K169</f>
        <v>0</v>
      </c>
      <c r="K99" s="34">
        <f>'Allocated Expenses'!L169</f>
        <v>0</v>
      </c>
      <c r="L99" s="34">
        <f>'Allocated Expenses'!M169</f>
        <v>0</v>
      </c>
      <c r="M99" s="34">
        <f>'Allocated Expenses'!N169</f>
        <v>0</v>
      </c>
      <c r="N99" s="34">
        <f>'Allocated Expenses'!O169</f>
        <v>0</v>
      </c>
      <c r="O99" s="34">
        <f>'Allocated Expenses'!P169</f>
        <v>0</v>
      </c>
      <c r="P99" s="34">
        <f>'Allocated Expenses'!Q169</f>
        <v>0</v>
      </c>
      <c r="Q99" s="430">
        <f>SUM(E99:P99)</f>
        <v>0</v>
      </c>
      <c r="R99" s="432">
        <f t="shared" si="15"/>
        <v>0</v>
      </c>
      <c r="S99" s="396"/>
      <c r="T99" s="460"/>
      <c r="U99" s="300"/>
      <c r="V99" s="38"/>
    </row>
    <row r="100" spans="1:22" x14ac:dyDescent="0.35">
      <c r="A100" s="110" t="s">
        <v>147</v>
      </c>
      <c r="D100" s="34" t="s">
        <v>69</v>
      </c>
      <c r="E100" s="34">
        <f>'Allocated Expenses'!F180</f>
        <v>0</v>
      </c>
      <c r="F100" s="34">
        <f>'Allocated Expenses'!G180</f>
        <v>0</v>
      </c>
      <c r="G100" s="34">
        <f>'Allocated Expenses'!H180</f>
        <v>0</v>
      </c>
      <c r="H100" s="34">
        <f>'Allocated Expenses'!I180</f>
        <v>0</v>
      </c>
      <c r="I100" s="34">
        <f>'Allocated Expenses'!J180</f>
        <v>0</v>
      </c>
      <c r="J100" s="34">
        <f>'Allocated Expenses'!K180</f>
        <v>0</v>
      </c>
      <c r="K100" s="34">
        <f>'Allocated Expenses'!L180</f>
        <v>0</v>
      </c>
      <c r="L100" s="34">
        <f>'Allocated Expenses'!M180</f>
        <v>0</v>
      </c>
      <c r="M100" s="34">
        <f>'Allocated Expenses'!N180</f>
        <v>0</v>
      </c>
      <c r="N100" s="34">
        <f>'Allocated Expenses'!O180</f>
        <v>0</v>
      </c>
      <c r="O100" s="34">
        <f>'Allocated Expenses'!P180</f>
        <v>0</v>
      </c>
      <c r="P100" s="34">
        <f>'Allocated Expenses'!Q180</f>
        <v>0</v>
      </c>
      <c r="Q100" s="430">
        <f>SUM(E100:P100)</f>
        <v>0</v>
      </c>
      <c r="R100" s="432">
        <f t="shared" si="15"/>
        <v>0</v>
      </c>
      <c r="S100" s="396"/>
      <c r="T100" s="460"/>
      <c r="U100" s="300"/>
      <c r="V100" s="38"/>
    </row>
    <row r="101" spans="1:22" x14ac:dyDescent="0.35">
      <c r="A101" s="110" t="s">
        <v>131</v>
      </c>
      <c r="D101" s="34" t="s">
        <v>70</v>
      </c>
      <c r="E101" s="34">
        <f>'Allocated Expenses'!F191</f>
        <v>6.9994840365956472</v>
      </c>
      <c r="F101" s="34">
        <f>'Allocated Expenses'!G191</f>
        <v>6.9994840365956472</v>
      </c>
      <c r="G101" s="34">
        <f>'Allocated Expenses'!H191</f>
        <v>6.9994840365956472</v>
      </c>
      <c r="H101" s="34">
        <f>'Allocated Expenses'!I191</f>
        <v>6.9994840365956472</v>
      </c>
      <c r="I101" s="34">
        <f>'Allocated Expenses'!J191</f>
        <v>6.9994840365956472</v>
      </c>
      <c r="J101" s="34">
        <f>'Allocated Expenses'!K191</f>
        <v>6.9994840365956472</v>
      </c>
      <c r="K101" s="34">
        <f>'Allocated Expenses'!L191</f>
        <v>6.9994840365956472</v>
      </c>
      <c r="L101" s="34">
        <f>'Allocated Expenses'!M191</f>
        <v>6.9994840365956472</v>
      </c>
      <c r="M101" s="34">
        <f>'Allocated Expenses'!N191</f>
        <v>6.9994840365956472</v>
      </c>
      <c r="N101" s="34">
        <f>'Allocated Expenses'!O191</f>
        <v>6.9994840365956472</v>
      </c>
      <c r="O101" s="34">
        <f>'Allocated Expenses'!P191</f>
        <v>6.9994840365956472</v>
      </c>
      <c r="P101" s="34">
        <f>'Allocated Expenses'!Q191</f>
        <v>6.9994840365956472</v>
      </c>
      <c r="Q101" s="430">
        <f>SUM(E101:P101)</f>
        <v>83.99380843914777</v>
      </c>
      <c r="R101" s="432">
        <f t="shared" si="15"/>
        <v>4.6663226910637649E-3</v>
      </c>
      <c r="S101" s="396"/>
      <c r="T101" s="460"/>
      <c r="U101" s="300"/>
      <c r="V101" s="38"/>
    </row>
    <row r="102" spans="1:22" x14ac:dyDescent="0.35">
      <c r="A102" s="110" t="s">
        <v>124</v>
      </c>
      <c r="D102" s="34" t="s">
        <v>71</v>
      </c>
      <c r="E102" s="43">
        <f>'Allocated Expenses'!F202</f>
        <v>200</v>
      </c>
      <c r="F102" s="43">
        <f>'Allocated Expenses'!G202</f>
        <v>200</v>
      </c>
      <c r="G102" s="43">
        <f>'Allocated Expenses'!H202</f>
        <v>200</v>
      </c>
      <c r="H102" s="43">
        <f>'Allocated Expenses'!I202</f>
        <v>200</v>
      </c>
      <c r="I102" s="43">
        <f>'Allocated Expenses'!J202</f>
        <v>200</v>
      </c>
      <c r="J102" s="43">
        <f>'Allocated Expenses'!K202</f>
        <v>200</v>
      </c>
      <c r="K102" s="43">
        <f>'Allocated Expenses'!L202</f>
        <v>200</v>
      </c>
      <c r="L102" s="43">
        <f>'Allocated Expenses'!M202</f>
        <v>200</v>
      </c>
      <c r="M102" s="43">
        <f>'Allocated Expenses'!N202</f>
        <v>200</v>
      </c>
      <c r="N102" s="43">
        <f>'Allocated Expenses'!O202</f>
        <v>200</v>
      </c>
      <c r="O102" s="43">
        <f>'Allocated Expenses'!P202</f>
        <v>200</v>
      </c>
      <c r="P102" s="43">
        <f>'Allocated Expenses'!Q202</f>
        <v>200</v>
      </c>
      <c r="Q102" s="443">
        <f>SUM(E102:P102)</f>
        <v>2400</v>
      </c>
      <c r="R102" s="444">
        <f t="shared" si="15"/>
        <v>0.13333333333333333</v>
      </c>
      <c r="S102" s="396"/>
      <c r="T102" s="460"/>
      <c r="U102" s="300"/>
      <c r="V102" s="38"/>
    </row>
    <row r="103" spans="1:22" x14ac:dyDescent="0.35">
      <c r="A103" s="110"/>
      <c r="C103" s="34" t="s">
        <v>72</v>
      </c>
      <c r="E103" s="43">
        <f t="shared" ref="E103:Q103" si="19">SUM(E98:E102)</f>
        <v>214.23228420774447</v>
      </c>
      <c r="F103" s="43">
        <f t="shared" si="19"/>
        <v>214.23228420774447</v>
      </c>
      <c r="G103" s="43">
        <f t="shared" si="19"/>
        <v>214.23228420774447</v>
      </c>
      <c r="H103" s="43">
        <f t="shared" si="19"/>
        <v>214.23228420774447</v>
      </c>
      <c r="I103" s="43">
        <f t="shared" si="19"/>
        <v>214.23228420774447</v>
      </c>
      <c r="J103" s="43">
        <f t="shared" si="19"/>
        <v>214.23228420774447</v>
      </c>
      <c r="K103" s="43">
        <f t="shared" si="19"/>
        <v>214.23228420774447</v>
      </c>
      <c r="L103" s="43">
        <f t="shared" si="19"/>
        <v>214.23228420774447</v>
      </c>
      <c r="M103" s="43">
        <f t="shared" si="19"/>
        <v>214.23228420774447</v>
      </c>
      <c r="N103" s="43">
        <f t="shared" si="19"/>
        <v>214.23228420774447</v>
      </c>
      <c r="O103" s="43">
        <f t="shared" si="19"/>
        <v>214.23228420774447</v>
      </c>
      <c r="P103" s="43">
        <f t="shared" si="19"/>
        <v>214.23228420774447</v>
      </c>
      <c r="Q103" s="443">
        <f t="shared" si="19"/>
        <v>2570.7874104929338</v>
      </c>
      <c r="R103" s="444">
        <f t="shared" si="15"/>
        <v>0.142821522805163</v>
      </c>
      <c r="S103" s="400">
        <v>5472</v>
      </c>
      <c r="T103" s="461">
        <f>IFERROR(Q103/S103-1,"-")</f>
        <v>-0.53019235919354279</v>
      </c>
      <c r="U103" s="300"/>
      <c r="V103" s="38"/>
    </row>
    <row r="104" spans="1:22" x14ac:dyDescent="0.35">
      <c r="A104" s="110"/>
      <c r="Q104" s="430"/>
      <c r="R104" s="432"/>
      <c r="S104" s="396"/>
      <c r="T104" s="460"/>
      <c r="U104" s="300"/>
      <c r="V104" s="38"/>
    </row>
    <row r="105" spans="1:22" ht="18" x14ac:dyDescent="0.35">
      <c r="A105" s="110"/>
      <c r="C105" s="60" t="s">
        <v>73</v>
      </c>
      <c r="D105" s="92"/>
      <c r="E105" s="92">
        <f t="shared" ref="E105:Q105" si="20">+E75+E79+E84+E88+E90+E92+E94+E96+E103</f>
        <v>1293.8245472735739</v>
      </c>
      <c r="F105" s="92">
        <f t="shared" si="20"/>
        <v>1005.4458049658331</v>
      </c>
      <c r="G105" s="92">
        <f t="shared" si="20"/>
        <v>1005.4458049658331</v>
      </c>
      <c r="H105" s="92">
        <f t="shared" si="20"/>
        <v>1822.4045398314092</v>
      </c>
      <c r="I105" s="92">
        <f t="shared" si="20"/>
        <v>1005.4458049658331</v>
      </c>
      <c r="J105" s="92">
        <f t="shared" si="20"/>
        <v>1005.4458049658331</v>
      </c>
      <c r="K105" s="92">
        <f t="shared" si="20"/>
        <v>1293.8245472735739</v>
      </c>
      <c r="L105" s="92">
        <f t="shared" si="20"/>
        <v>1005.4458049658331</v>
      </c>
      <c r="M105" s="92">
        <f t="shared" si="20"/>
        <v>1005.4458049658331</v>
      </c>
      <c r="N105" s="92">
        <f t="shared" si="20"/>
        <v>1293.8245472735739</v>
      </c>
      <c r="O105" s="92">
        <f t="shared" si="20"/>
        <v>1005.4458049658331</v>
      </c>
      <c r="P105" s="92">
        <f t="shared" si="20"/>
        <v>1005.4458049658331</v>
      </c>
      <c r="Q105" s="446">
        <f t="shared" si="20"/>
        <v>13747.444621378794</v>
      </c>
      <c r="R105" s="447">
        <f t="shared" si="15"/>
        <v>0.763746923409933</v>
      </c>
      <c r="S105" s="406">
        <f>+S75+S79+S84+S88+S90+S92+S94+S96+S103</f>
        <v>11249.1</v>
      </c>
      <c r="T105" s="462">
        <f>IFERROR(Q105/S105-1,"-")</f>
        <v>0.22209284488348335</v>
      </c>
      <c r="U105" s="304"/>
      <c r="V105" s="38"/>
    </row>
    <row r="106" spans="1:22" ht="18.5" thickBot="1" x14ac:dyDescent="0.4">
      <c r="A106" s="110"/>
      <c r="Q106" s="435"/>
      <c r="R106" s="436"/>
      <c r="S106" s="402"/>
      <c r="T106" s="471"/>
      <c r="U106" s="301"/>
      <c r="V106" s="38"/>
    </row>
    <row r="107" spans="1:22" s="36" customFormat="1" ht="18" thickBot="1" x14ac:dyDescent="0.4">
      <c r="A107" s="285"/>
      <c r="B107" s="286" t="s">
        <v>74</v>
      </c>
      <c r="C107" s="287"/>
      <c r="D107" s="287"/>
      <c r="E107" s="287">
        <f t="shared" ref="E107:Q107" si="21">+E71+E105</f>
        <v>10488.274652789389</v>
      </c>
      <c r="F107" s="287">
        <f t="shared" si="21"/>
        <v>9900.8959104816477</v>
      </c>
      <c r="G107" s="287">
        <f t="shared" si="21"/>
        <v>9988.1299520816465</v>
      </c>
      <c r="H107" s="287">
        <f t="shared" si="21"/>
        <v>11826.588686947223</v>
      </c>
      <c r="I107" s="287">
        <f t="shared" si="21"/>
        <v>9581.6299520816465</v>
      </c>
      <c r="J107" s="287">
        <f t="shared" si="21"/>
        <v>9125.6299520816465</v>
      </c>
      <c r="K107" s="287">
        <f t="shared" si="21"/>
        <v>9794.0086943893875</v>
      </c>
      <c r="L107" s="287">
        <f t="shared" si="21"/>
        <v>9106.6299520816465</v>
      </c>
      <c r="M107" s="287">
        <f t="shared" si="21"/>
        <v>10445.629952081646</v>
      </c>
      <c r="N107" s="287">
        <f t="shared" si="21"/>
        <v>9753.0086943893875</v>
      </c>
      <c r="O107" s="287">
        <f t="shared" si="21"/>
        <v>10628.509952081646</v>
      </c>
      <c r="P107" s="287">
        <f t="shared" si="21"/>
        <v>9891.7759104816469</v>
      </c>
      <c r="Q107" s="426">
        <f t="shared" si="21"/>
        <v>120530.71226196853</v>
      </c>
      <c r="R107" s="428">
        <f t="shared" si="15"/>
        <v>6.6961506812204732</v>
      </c>
      <c r="S107" s="427">
        <f>+S71+S105</f>
        <v>85958.85</v>
      </c>
      <c r="T107" s="472">
        <f>IFERROR(Q107/S107-1,"-")</f>
        <v>0.40219084203625943</v>
      </c>
      <c r="U107" s="302"/>
      <c r="V107" s="74"/>
    </row>
    <row r="108" spans="1:22" ht="18.5" thickBot="1" x14ac:dyDescent="0.4">
      <c r="A108" s="110"/>
      <c r="Q108" s="435"/>
      <c r="R108" s="436"/>
      <c r="S108" s="402"/>
      <c r="T108" s="471"/>
      <c r="U108" s="301"/>
      <c r="V108" s="38"/>
    </row>
    <row r="109" spans="1:22" s="36" customFormat="1" ht="18" thickBot="1" x14ac:dyDescent="0.4">
      <c r="A109" s="285"/>
      <c r="B109" s="286" t="s">
        <v>75</v>
      </c>
      <c r="C109" s="287"/>
      <c r="D109" s="287"/>
      <c r="E109" s="287">
        <f t="shared" ref="E109:Q109" si="22">+E24-E107</f>
        <v>8411.7253472106113</v>
      </c>
      <c r="F109" s="287">
        <f t="shared" si="22"/>
        <v>8999.1040895183523</v>
      </c>
      <c r="G109" s="287">
        <f t="shared" si="22"/>
        <v>8911.8700479183535</v>
      </c>
      <c r="H109" s="287">
        <f t="shared" si="22"/>
        <v>7073.4113130527767</v>
      </c>
      <c r="I109" s="287">
        <f t="shared" si="22"/>
        <v>9318.3700479183535</v>
      </c>
      <c r="J109" s="287">
        <f t="shared" si="22"/>
        <v>9774.3700479183535</v>
      </c>
      <c r="K109" s="287">
        <f t="shared" si="22"/>
        <v>9105.9913056106125</v>
      </c>
      <c r="L109" s="287">
        <f t="shared" si="22"/>
        <v>9793.3700479183535</v>
      </c>
      <c r="M109" s="287">
        <f t="shared" si="22"/>
        <v>8454.3700479183535</v>
      </c>
      <c r="N109" s="287">
        <f t="shared" si="22"/>
        <v>9146.9913056106125</v>
      </c>
      <c r="O109" s="287">
        <f t="shared" si="22"/>
        <v>8271.4900479183543</v>
      </c>
      <c r="P109" s="287">
        <f t="shared" si="22"/>
        <v>9008.2240895183531</v>
      </c>
      <c r="Q109" s="426">
        <f t="shared" si="22"/>
        <v>106269.28773803147</v>
      </c>
      <c r="R109" s="428">
        <f t="shared" si="15"/>
        <v>5.9038493187795265</v>
      </c>
      <c r="S109" s="427">
        <f>+S24-S107</f>
        <v>131541.15</v>
      </c>
      <c r="T109" s="472">
        <f>IFERROR(Q109/S109-1,"-")</f>
        <v>-0.1921213419676544</v>
      </c>
      <c r="U109" s="302"/>
      <c r="V109" s="74"/>
    </row>
    <row r="110" spans="1:22" ht="18" x14ac:dyDescent="0.35">
      <c r="A110" s="110"/>
      <c r="Q110" s="435"/>
      <c r="R110" s="436"/>
      <c r="S110" s="402"/>
      <c r="T110" s="471"/>
      <c r="U110" s="301"/>
      <c r="V110" s="38"/>
    </row>
    <row r="111" spans="1:22" x14ac:dyDescent="0.35">
      <c r="A111" s="110" t="s">
        <v>125</v>
      </c>
      <c r="D111" s="34" t="s">
        <v>76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30">
        <f>SUM(E111:P111)</f>
        <v>0</v>
      </c>
      <c r="R111" s="432">
        <f t="shared" si="15"/>
        <v>0</v>
      </c>
      <c r="S111" s="396"/>
      <c r="T111" s="460"/>
      <c r="U111" s="300"/>
      <c r="V111" s="38"/>
    </row>
    <row r="112" spans="1:22" x14ac:dyDescent="0.35">
      <c r="A112" s="110" t="s">
        <v>126</v>
      </c>
      <c r="D112" s="34" t="s">
        <v>77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30">
        <f>SUM(E112:P112)</f>
        <v>0</v>
      </c>
      <c r="R112" s="432">
        <f t="shared" si="15"/>
        <v>0</v>
      </c>
      <c r="S112" s="396"/>
      <c r="T112" s="460"/>
      <c r="U112" s="300"/>
      <c r="V112" s="38"/>
    </row>
    <row r="113" spans="1:22" x14ac:dyDescent="0.35">
      <c r="A113" s="110" t="s">
        <v>127</v>
      </c>
      <c r="D113" s="34" t="s">
        <v>78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30">
        <f>SUM(E113:P113)</f>
        <v>0</v>
      </c>
      <c r="R113" s="432">
        <f t="shared" si="15"/>
        <v>0</v>
      </c>
      <c r="S113" s="396"/>
      <c r="T113" s="460"/>
      <c r="U113" s="300"/>
      <c r="V113" s="38"/>
    </row>
    <row r="114" spans="1:22" x14ac:dyDescent="0.35">
      <c r="A114" s="110" t="s">
        <v>133</v>
      </c>
      <c r="D114" s="34" t="s">
        <v>79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43">
        <f>SUM(E114:P114)</f>
        <v>0</v>
      </c>
      <c r="R114" s="444">
        <f t="shared" si="15"/>
        <v>0</v>
      </c>
      <c r="S114" s="396"/>
      <c r="T114" s="460"/>
      <c r="U114" s="300"/>
      <c r="V114" s="38"/>
    </row>
    <row r="115" spans="1:22" x14ac:dyDescent="0.35">
      <c r="A115" s="110"/>
      <c r="C115" s="34" t="s">
        <v>79</v>
      </c>
      <c r="E115" s="43">
        <f t="shared" ref="E115:Q115" si="23">SUM(E111:E114)</f>
        <v>0</v>
      </c>
      <c r="F115" s="43">
        <f t="shared" si="23"/>
        <v>0</v>
      </c>
      <c r="G115" s="43">
        <f t="shared" si="23"/>
        <v>0</v>
      </c>
      <c r="H115" s="43">
        <f t="shared" si="23"/>
        <v>0</v>
      </c>
      <c r="I115" s="43">
        <f t="shared" si="23"/>
        <v>0</v>
      </c>
      <c r="J115" s="43">
        <f t="shared" si="23"/>
        <v>0</v>
      </c>
      <c r="K115" s="43">
        <f t="shared" si="23"/>
        <v>0</v>
      </c>
      <c r="L115" s="43">
        <f t="shared" si="23"/>
        <v>0</v>
      </c>
      <c r="M115" s="43">
        <f t="shared" si="23"/>
        <v>0</v>
      </c>
      <c r="N115" s="43">
        <f t="shared" si="23"/>
        <v>0</v>
      </c>
      <c r="O115" s="43">
        <f t="shared" si="23"/>
        <v>0</v>
      </c>
      <c r="P115" s="43">
        <f t="shared" si="23"/>
        <v>0</v>
      </c>
      <c r="Q115" s="443">
        <f t="shared" si="23"/>
        <v>0</v>
      </c>
      <c r="R115" s="444">
        <f t="shared" si="15"/>
        <v>0</v>
      </c>
      <c r="S115" s="400">
        <v>0</v>
      </c>
      <c r="T115" s="461" t="str">
        <f>IFERROR(Q115/S115-1,"-")</f>
        <v>-</v>
      </c>
      <c r="U115" s="300"/>
      <c r="V115" s="38"/>
    </row>
    <row r="116" spans="1:22" x14ac:dyDescent="0.35">
      <c r="A116" s="110"/>
      <c r="Q116" s="430"/>
      <c r="R116" s="432"/>
      <c r="S116" s="396"/>
      <c r="T116" s="460"/>
      <c r="U116" s="300"/>
      <c r="V116" s="38"/>
    </row>
    <row r="117" spans="1:22" x14ac:dyDescent="0.35">
      <c r="A117" s="110" t="s">
        <v>128</v>
      </c>
      <c r="C117" s="34" t="s">
        <v>80</v>
      </c>
      <c r="E117" s="34">
        <f>'Renew &amp; Vac'!AJ143</f>
        <v>0</v>
      </c>
      <c r="F117" s="34">
        <f>'Renew &amp; Vac'!AK143</f>
        <v>0</v>
      </c>
      <c r="G117" s="34">
        <f>'Renew &amp; Vac'!AL143</f>
        <v>0</v>
      </c>
      <c r="H117" s="34">
        <f>'Renew &amp; Vac'!AM143</f>
        <v>0</v>
      </c>
      <c r="I117" s="34">
        <f>'Renew &amp; Vac'!AN143</f>
        <v>0</v>
      </c>
      <c r="J117" s="34">
        <f>'Renew &amp; Vac'!AO143</f>
        <v>0</v>
      </c>
      <c r="K117" s="34">
        <f>'Renew &amp; Vac'!AP143</f>
        <v>0</v>
      </c>
      <c r="L117" s="34">
        <f>'Renew &amp; Vac'!AQ143</f>
        <v>0</v>
      </c>
      <c r="M117" s="34">
        <f>'Renew &amp; Vac'!AR143</f>
        <v>0</v>
      </c>
      <c r="N117" s="34">
        <f>'Renew &amp; Vac'!AS143</f>
        <v>0</v>
      </c>
      <c r="O117" s="34">
        <f>'Renew &amp; Vac'!AT143</f>
        <v>0</v>
      </c>
      <c r="P117" s="34">
        <f>'Renew &amp; Vac'!AU143</f>
        <v>0</v>
      </c>
      <c r="Q117" s="430">
        <f>SUM(E117:P117)</f>
        <v>0</v>
      </c>
      <c r="R117" s="432">
        <f t="shared" si="15"/>
        <v>0</v>
      </c>
      <c r="S117" s="396">
        <v>0</v>
      </c>
      <c r="T117" s="460" t="str">
        <f>IFERROR(Q117/S117-1,"-")</f>
        <v>-</v>
      </c>
      <c r="U117" s="300"/>
      <c r="V117" s="38"/>
    </row>
    <row r="118" spans="1:22" ht="18" x14ac:dyDescent="0.35">
      <c r="A118" s="11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450"/>
      <c r="R118" s="451"/>
      <c r="S118" s="407"/>
      <c r="T118" s="473"/>
      <c r="U118" s="304"/>
      <c r="V118" s="38"/>
    </row>
    <row r="119" spans="1:22" ht="18" x14ac:dyDescent="0.35">
      <c r="A119" s="110"/>
      <c r="D119" s="34" t="s">
        <v>81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35">
        <f>SUM(E119:P119)</f>
        <v>0</v>
      </c>
      <c r="R119" s="436">
        <f t="shared" si="15"/>
        <v>0</v>
      </c>
      <c r="S119" s="402"/>
      <c r="T119" s="471"/>
      <c r="U119" s="301"/>
      <c r="V119" s="38"/>
    </row>
    <row r="120" spans="1:22" x14ac:dyDescent="0.35">
      <c r="A120" s="110"/>
      <c r="B120" s="36"/>
      <c r="D120" s="34" t="s">
        <v>82</v>
      </c>
      <c r="E120" s="43">
        <f>'Renew &amp; Vac'!AJ144</f>
        <v>0</v>
      </c>
      <c r="F120" s="43">
        <f>'Renew &amp; Vac'!AK144</f>
        <v>0</v>
      </c>
      <c r="G120" s="43">
        <f>'Renew &amp; Vac'!AL144</f>
        <v>0</v>
      </c>
      <c r="H120" s="43">
        <f>'Renew &amp; Vac'!AM144</f>
        <v>0</v>
      </c>
      <c r="I120" s="43">
        <f>'Renew &amp; Vac'!AN144</f>
        <v>0</v>
      </c>
      <c r="J120" s="43">
        <f>'Renew &amp; Vac'!AO144</f>
        <v>0</v>
      </c>
      <c r="K120" s="43">
        <f>'Renew &amp; Vac'!AP144</f>
        <v>0</v>
      </c>
      <c r="L120" s="43">
        <f>'Renew &amp; Vac'!AQ144</f>
        <v>0</v>
      </c>
      <c r="M120" s="43">
        <f>'Renew &amp; Vac'!AR144</f>
        <v>0</v>
      </c>
      <c r="N120" s="43">
        <f>'Renew &amp; Vac'!AS144</f>
        <v>0</v>
      </c>
      <c r="O120" s="43">
        <f>'Renew &amp; Vac'!AT144</f>
        <v>0</v>
      </c>
      <c r="P120" s="43">
        <f>'Renew &amp; Vac'!AU144</f>
        <v>0</v>
      </c>
      <c r="Q120" s="443">
        <f>SUM(E120:P120)</f>
        <v>0</v>
      </c>
      <c r="R120" s="444">
        <f t="shared" si="15"/>
        <v>0</v>
      </c>
      <c r="S120" s="409"/>
      <c r="T120" s="464"/>
      <c r="U120" s="300"/>
      <c r="V120" s="38"/>
    </row>
    <row r="121" spans="1:22" x14ac:dyDescent="0.35">
      <c r="A121" s="110" t="s">
        <v>129</v>
      </c>
      <c r="C121" s="34" t="s">
        <v>82</v>
      </c>
      <c r="D121" s="61"/>
      <c r="E121" s="34">
        <f>SUM(E119:E120)</f>
        <v>0</v>
      </c>
      <c r="F121" s="34">
        <f t="shared" ref="F121:P121" si="24">SUM(F119:F120)</f>
        <v>0</v>
      </c>
      <c r="G121" s="34">
        <f t="shared" si="24"/>
        <v>0</v>
      </c>
      <c r="H121" s="34">
        <f t="shared" si="24"/>
        <v>0</v>
      </c>
      <c r="I121" s="34">
        <f t="shared" si="24"/>
        <v>0</v>
      </c>
      <c r="J121" s="34">
        <f t="shared" si="24"/>
        <v>0</v>
      </c>
      <c r="K121" s="34">
        <f t="shared" si="24"/>
        <v>0</v>
      </c>
      <c r="L121" s="34">
        <f t="shared" si="24"/>
        <v>0</v>
      </c>
      <c r="M121" s="34">
        <f t="shared" si="24"/>
        <v>0</v>
      </c>
      <c r="N121" s="34">
        <f t="shared" si="24"/>
        <v>0</v>
      </c>
      <c r="O121" s="34">
        <f t="shared" si="24"/>
        <v>0</v>
      </c>
      <c r="P121" s="34">
        <f t="shared" si="24"/>
        <v>0</v>
      </c>
      <c r="Q121" s="430">
        <f t="shared" ref="Q121" si="25">SUM(Q119:Q120)</f>
        <v>0</v>
      </c>
      <c r="R121" s="432">
        <f t="shared" si="15"/>
        <v>0</v>
      </c>
      <c r="S121" s="396">
        <v>0</v>
      </c>
      <c r="T121" s="460" t="str">
        <f>IFERROR(Q121/S121-1,"-")</f>
        <v>-</v>
      </c>
      <c r="U121" s="300"/>
      <c r="V121" s="38"/>
    </row>
    <row r="122" spans="1:22" s="36" customFormat="1" ht="18.5" thickBot="1" x14ac:dyDescent="0.4">
      <c r="A122" s="112"/>
      <c r="Q122" s="452"/>
      <c r="R122" s="453"/>
      <c r="S122" s="410"/>
      <c r="T122" s="474"/>
      <c r="U122" s="306"/>
      <c r="V122" s="74"/>
    </row>
    <row r="123" spans="1:22" s="36" customFormat="1" ht="18" thickBot="1" x14ac:dyDescent="0.4">
      <c r="A123" s="285"/>
      <c r="B123" s="289" t="s">
        <v>83</v>
      </c>
      <c r="C123" s="290"/>
      <c r="D123" s="290"/>
      <c r="E123" s="290">
        <f t="shared" ref="E123:Q123" si="26">+E109-E115-E117-E121</f>
        <v>8411.7253472106113</v>
      </c>
      <c r="F123" s="290">
        <f t="shared" si="26"/>
        <v>8999.1040895183523</v>
      </c>
      <c r="G123" s="290">
        <f t="shared" si="26"/>
        <v>8911.8700479183535</v>
      </c>
      <c r="H123" s="290">
        <f t="shared" si="26"/>
        <v>7073.4113130527767</v>
      </c>
      <c r="I123" s="290">
        <f t="shared" si="26"/>
        <v>9318.3700479183535</v>
      </c>
      <c r="J123" s="290">
        <f t="shared" si="26"/>
        <v>9774.3700479183535</v>
      </c>
      <c r="K123" s="290">
        <f t="shared" si="26"/>
        <v>9105.9913056106125</v>
      </c>
      <c r="L123" s="290">
        <f t="shared" si="26"/>
        <v>9793.3700479183535</v>
      </c>
      <c r="M123" s="290">
        <f t="shared" si="26"/>
        <v>8454.3700479183535</v>
      </c>
      <c r="N123" s="290">
        <f t="shared" si="26"/>
        <v>9146.9913056106125</v>
      </c>
      <c r="O123" s="290">
        <f t="shared" si="26"/>
        <v>8271.4900479183543</v>
      </c>
      <c r="P123" s="290">
        <f t="shared" si="26"/>
        <v>9008.2240895183531</v>
      </c>
      <c r="Q123" s="426">
        <f t="shared" si="26"/>
        <v>106269.28773803147</v>
      </c>
      <c r="R123" s="428">
        <f t="shared" si="15"/>
        <v>5.9038493187795265</v>
      </c>
      <c r="S123" s="427">
        <f>+S109-S115-S117-S121</f>
        <v>131541.15</v>
      </c>
      <c r="T123" s="472">
        <f>IFERROR(Q123/S123-1,"-")</f>
        <v>-0.1921213419676544</v>
      </c>
      <c r="U123" s="302"/>
      <c r="V123" s="74"/>
    </row>
    <row r="124" spans="1:22" ht="18" x14ac:dyDescent="0.35">
      <c r="A124" s="110"/>
      <c r="Q124" s="430"/>
      <c r="R124" s="432"/>
      <c r="S124" s="402"/>
      <c r="T124" s="471"/>
      <c r="U124" s="300"/>
      <c r="V124" s="38"/>
    </row>
    <row r="125" spans="1:22" x14ac:dyDescent="0.35">
      <c r="A125" s="110"/>
      <c r="B125" s="34" t="s">
        <v>84</v>
      </c>
      <c r="Q125" s="430"/>
      <c r="R125" s="432"/>
      <c r="S125" s="396"/>
      <c r="T125" s="460"/>
      <c r="U125" s="300"/>
      <c r="V125" s="38"/>
    </row>
    <row r="126" spans="1:22" x14ac:dyDescent="0.35">
      <c r="A126" s="110" t="s">
        <v>132</v>
      </c>
      <c r="C126" s="34" t="s">
        <v>85</v>
      </c>
      <c r="E126" s="34">
        <f>+'Allocated Expenses'!F214</f>
        <v>4215.9092911166199</v>
      </c>
      <c r="F126" s="34">
        <f>+'Allocated Expenses'!G214</f>
        <v>4215.9092911166199</v>
      </c>
      <c r="G126" s="34">
        <f>+'Allocated Expenses'!H214</f>
        <v>4215.9092911166199</v>
      </c>
      <c r="H126" s="34">
        <f>+'Allocated Expenses'!I214</f>
        <v>4215.9092911166199</v>
      </c>
      <c r="I126" s="34">
        <f>+'Allocated Expenses'!J214</f>
        <v>4215.9092911166199</v>
      </c>
      <c r="J126" s="34">
        <f>+'Allocated Expenses'!K214</f>
        <v>4215.9092911166199</v>
      </c>
      <c r="K126" s="34">
        <f>+'Allocated Expenses'!L214</f>
        <v>4215.9092911166199</v>
      </c>
      <c r="L126" s="34">
        <f>+'Allocated Expenses'!M214</f>
        <v>4215.9092911166199</v>
      </c>
      <c r="M126" s="34">
        <f>+'Allocated Expenses'!N214</f>
        <v>4215.9092911166199</v>
      </c>
      <c r="N126" s="34">
        <f>+'Allocated Expenses'!O214</f>
        <v>4215.9092911166199</v>
      </c>
      <c r="O126" s="34">
        <f>+'Allocated Expenses'!P214</f>
        <v>4215.9092911166199</v>
      </c>
      <c r="P126" s="34">
        <f>+'Allocated Expenses'!Q214</f>
        <v>4215.9092911166199</v>
      </c>
      <c r="Q126" s="430">
        <f>SUM(E126:P126)</f>
        <v>50590.91149339945</v>
      </c>
      <c r="R126" s="432">
        <f t="shared" si="15"/>
        <v>2.8106061940777471</v>
      </c>
      <c r="S126" s="396">
        <v>56061.58</v>
      </c>
      <c r="T126" s="460">
        <f>IFERROR(Q126/S126-1,"-")</f>
        <v>-9.7583202374969646E-2</v>
      </c>
      <c r="U126" s="300"/>
      <c r="V126" s="38"/>
    </row>
    <row r="127" spans="1:22" x14ac:dyDescent="0.35">
      <c r="A127" s="110" t="s">
        <v>149</v>
      </c>
      <c r="C127" s="34" t="s">
        <v>86</v>
      </c>
      <c r="E127" s="34">
        <f>+'Allocated Expenses'!E230</f>
        <v>0</v>
      </c>
      <c r="F127" s="34">
        <f>+'Allocated Expenses'!F230</f>
        <v>0</v>
      </c>
      <c r="G127" s="34">
        <f>+'Allocated Expenses'!G230</f>
        <v>0</v>
      </c>
      <c r="H127" s="34">
        <f>+'Allocated Expenses'!H230</f>
        <v>0</v>
      </c>
      <c r="I127" s="34">
        <f>+'Allocated Expenses'!I230</f>
        <v>0</v>
      </c>
      <c r="J127" s="34">
        <f>+'Allocated Expenses'!J230</f>
        <v>0</v>
      </c>
      <c r="K127" s="34">
        <f>+'Allocated Expenses'!K230</f>
        <v>0</v>
      </c>
      <c r="L127" s="34">
        <f>+'Allocated Expenses'!L230</f>
        <v>0</v>
      </c>
      <c r="M127" s="34">
        <f>+'Allocated Expenses'!M230</f>
        <v>0</v>
      </c>
      <c r="N127" s="34">
        <f>+'Allocated Expenses'!N230</f>
        <v>0</v>
      </c>
      <c r="O127" s="34">
        <f>+'Allocated Expenses'!O230</f>
        <v>0</v>
      </c>
      <c r="P127" s="34">
        <f>+'Allocated Expenses'!P230</f>
        <v>0</v>
      </c>
      <c r="Q127" s="430">
        <f>SUM(E127:P127)</f>
        <v>0</v>
      </c>
      <c r="R127" s="432">
        <f t="shared" si="15"/>
        <v>0</v>
      </c>
      <c r="S127" s="396">
        <v>5962.390000000014</v>
      </c>
      <c r="T127" s="460">
        <f>IFERROR(Q127/S127-1,"-")</f>
        <v>-1</v>
      </c>
      <c r="U127" s="300"/>
      <c r="V127" s="38"/>
    </row>
    <row r="128" spans="1:22" x14ac:dyDescent="0.35">
      <c r="A128" s="110" t="s">
        <v>150</v>
      </c>
      <c r="C128" s="34" t="s">
        <v>87</v>
      </c>
      <c r="Q128" s="430">
        <f>SUM(E128:P128)</f>
        <v>0</v>
      </c>
      <c r="R128" s="432">
        <f t="shared" si="15"/>
        <v>0</v>
      </c>
      <c r="S128" s="396">
        <v>0</v>
      </c>
      <c r="T128" s="460" t="str">
        <f>IFERROR(Q128/S128-1,"-")</f>
        <v>-</v>
      </c>
      <c r="U128" s="300"/>
      <c r="V128" s="38"/>
    </row>
    <row r="129" spans="1:22" x14ac:dyDescent="0.35">
      <c r="A129" s="110"/>
      <c r="C129" s="34" t="s">
        <v>88</v>
      </c>
      <c r="E129" s="59">
        <f t="shared" ref="E129:Q129" si="27">SUM(E126:E128)</f>
        <v>4215.9092911166199</v>
      </c>
      <c r="F129" s="59">
        <f t="shared" si="27"/>
        <v>4215.9092911166199</v>
      </c>
      <c r="G129" s="59">
        <f t="shared" si="27"/>
        <v>4215.9092911166199</v>
      </c>
      <c r="H129" s="59">
        <f t="shared" si="27"/>
        <v>4215.9092911166199</v>
      </c>
      <c r="I129" s="59">
        <f t="shared" si="27"/>
        <v>4215.9092911166199</v>
      </c>
      <c r="J129" s="59">
        <f t="shared" si="27"/>
        <v>4215.9092911166199</v>
      </c>
      <c r="K129" s="59">
        <f t="shared" si="27"/>
        <v>4215.9092911166199</v>
      </c>
      <c r="L129" s="59">
        <f t="shared" si="27"/>
        <v>4215.9092911166199</v>
      </c>
      <c r="M129" s="59">
        <f t="shared" si="27"/>
        <v>4215.9092911166199</v>
      </c>
      <c r="N129" s="59">
        <f t="shared" si="27"/>
        <v>4215.9092911166199</v>
      </c>
      <c r="O129" s="59">
        <f t="shared" si="27"/>
        <v>4215.9092911166199</v>
      </c>
      <c r="P129" s="59">
        <f t="shared" si="27"/>
        <v>4215.9092911166199</v>
      </c>
      <c r="Q129" s="433">
        <f t="shared" si="27"/>
        <v>50590.91149339945</v>
      </c>
      <c r="R129" s="434">
        <f t="shared" si="15"/>
        <v>2.8106061940777471</v>
      </c>
      <c r="S129" s="400">
        <f>SUM(S126:S128)</f>
        <v>62023.970000000016</v>
      </c>
      <c r="T129" s="461">
        <f>Q129/S129-1</f>
        <v>-0.18433290398213087</v>
      </c>
      <c r="U129" s="300"/>
      <c r="V129" s="38"/>
    </row>
    <row r="130" spans="1:22" ht="18.5" thickBot="1" x14ac:dyDescent="0.4">
      <c r="A130" s="110"/>
      <c r="Q130" s="430"/>
      <c r="R130" s="432"/>
      <c r="S130" s="402"/>
      <c r="T130" s="471"/>
      <c r="U130" s="300"/>
      <c r="V130" s="38"/>
    </row>
    <row r="131" spans="1:22" s="36" customFormat="1" ht="18" thickBot="1" x14ac:dyDescent="0.4">
      <c r="A131" s="285"/>
      <c r="B131" s="289" t="s">
        <v>89</v>
      </c>
      <c r="C131" s="290"/>
      <c r="D131" s="290"/>
      <c r="E131" s="290">
        <f t="shared" ref="E131:Q131" si="28">+E123-E129</f>
        <v>4195.8160560939914</v>
      </c>
      <c r="F131" s="290">
        <f t="shared" si="28"/>
        <v>4783.1947984017324</v>
      </c>
      <c r="G131" s="290">
        <f t="shared" si="28"/>
        <v>4695.9607568017336</v>
      </c>
      <c r="H131" s="290">
        <f t="shared" si="28"/>
        <v>2857.5020219361568</v>
      </c>
      <c r="I131" s="290">
        <f t="shared" si="28"/>
        <v>5102.4607568017336</v>
      </c>
      <c r="J131" s="290">
        <f t="shared" si="28"/>
        <v>5558.4607568017336</v>
      </c>
      <c r="K131" s="290">
        <f t="shared" si="28"/>
        <v>4890.0820144939926</v>
      </c>
      <c r="L131" s="290">
        <f t="shared" si="28"/>
        <v>5577.4607568017336</v>
      </c>
      <c r="M131" s="290">
        <f t="shared" si="28"/>
        <v>4238.4607568017336</v>
      </c>
      <c r="N131" s="290">
        <f t="shared" si="28"/>
        <v>4931.0820144939926</v>
      </c>
      <c r="O131" s="290">
        <f t="shared" si="28"/>
        <v>4055.5807568017344</v>
      </c>
      <c r="P131" s="290">
        <f t="shared" si="28"/>
        <v>4792.3147984017332</v>
      </c>
      <c r="Q131" s="426">
        <f t="shared" si="28"/>
        <v>55678.376244632025</v>
      </c>
      <c r="R131" s="428">
        <f t="shared" si="15"/>
        <v>3.0932431247017793</v>
      </c>
      <c r="S131" s="427">
        <f>+S123-S129</f>
        <v>69517.179999999978</v>
      </c>
      <c r="T131" s="472">
        <f>IFERROR(Q131/S131-1,"-")</f>
        <v>-0.19907026946961826</v>
      </c>
      <c r="U131" s="302"/>
      <c r="V131" s="74"/>
    </row>
    <row r="132" spans="1:22" ht="18" x14ac:dyDescent="0.35">
      <c r="A132" s="113"/>
      <c r="B132" s="36"/>
      <c r="C132" s="63"/>
      <c r="Q132" s="391"/>
      <c r="R132" s="391"/>
      <c r="S132" s="412"/>
      <c r="T132" s="413"/>
    </row>
    <row r="133" spans="1:22" s="36" customFormat="1" ht="17.5" x14ac:dyDescent="0.3">
      <c r="A133" s="113"/>
      <c r="C133" s="63"/>
      <c r="D133" s="64"/>
      <c r="Q133" s="415"/>
      <c r="R133" s="415"/>
      <c r="S133" s="412"/>
      <c r="T133" s="413"/>
      <c r="U133" s="293"/>
    </row>
    <row r="134" spans="1:22" ht="18" x14ac:dyDescent="0.35">
      <c r="A134" s="110"/>
      <c r="Q134" s="391"/>
      <c r="R134" s="391"/>
      <c r="S134" s="412"/>
      <c r="T134" s="413"/>
    </row>
    <row r="135" spans="1:22" x14ac:dyDescent="0.35">
      <c r="A135" s="114"/>
      <c r="Q135" s="391"/>
      <c r="R135" s="391"/>
      <c r="S135" s="391"/>
    </row>
    <row r="136" spans="1:22" x14ac:dyDescent="0.35">
      <c r="A136" s="80"/>
      <c r="Q136" s="391"/>
      <c r="R136" s="391"/>
      <c r="S136" s="391"/>
    </row>
    <row r="137" spans="1:22" x14ac:dyDescent="0.35">
      <c r="A137" s="80"/>
      <c r="Q137" s="391"/>
      <c r="R137" s="391"/>
      <c r="S137" s="391"/>
    </row>
    <row r="138" spans="1:22" x14ac:dyDescent="0.35">
      <c r="A138" s="80"/>
      <c r="Q138" s="391"/>
      <c r="R138" s="391"/>
      <c r="S138" s="391"/>
    </row>
    <row r="139" spans="1:22" x14ac:dyDescent="0.35">
      <c r="A139" s="80"/>
      <c r="Q139" s="391"/>
      <c r="R139" s="391"/>
      <c r="S139" s="391"/>
    </row>
    <row r="140" spans="1:22" x14ac:dyDescent="0.35">
      <c r="A140" s="80"/>
      <c r="Q140" s="391"/>
      <c r="R140" s="391"/>
      <c r="S140" s="391"/>
    </row>
    <row r="141" spans="1:22" ht="18" x14ac:dyDescent="0.35">
      <c r="A141" s="80"/>
      <c r="D141" s="35" t="str">
        <f>"Budget Import - "&amp;B1</f>
        <v>Budget Import - 40C0</v>
      </c>
      <c r="E141" s="532">
        <v>5</v>
      </c>
      <c r="F141" s="533">
        <f>E141+1</f>
        <v>6</v>
      </c>
      <c r="G141" s="533">
        <f t="shared" ref="G141:P141" si="29">F141+1</f>
        <v>7</v>
      </c>
      <c r="H141" s="533">
        <f t="shared" si="29"/>
        <v>8</v>
      </c>
      <c r="I141" s="533">
        <f t="shared" si="29"/>
        <v>9</v>
      </c>
      <c r="J141" s="533">
        <f t="shared" si="29"/>
        <v>10</v>
      </c>
      <c r="K141" s="533">
        <f t="shared" si="29"/>
        <v>11</v>
      </c>
      <c r="L141" s="533">
        <f t="shared" si="29"/>
        <v>12</v>
      </c>
      <c r="M141" s="533">
        <f t="shared" si="29"/>
        <v>13</v>
      </c>
      <c r="N141" s="533">
        <f t="shared" si="29"/>
        <v>14</v>
      </c>
      <c r="O141" s="533">
        <f t="shared" si="29"/>
        <v>15</v>
      </c>
      <c r="P141" s="533">
        <f t="shared" si="29"/>
        <v>16</v>
      </c>
      <c r="Q141" s="533" t="s">
        <v>664</v>
      </c>
      <c r="R141" s="391"/>
      <c r="S141" s="391"/>
    </row>
    <row r="142" spans="1:22" ht="16.5" thickBot="1" x14ac:dyDescent="0.4">
      <c r="A142" s="80"/>
      <c r="D142" s="34" t="s">
        <v>100</v>
      </c>
      <c r="E142" s="34">
        <v>1</v>
      </c>
      <c r="F142" s="34">
        <v>2</v>
      </c>
      <c r="G142" s="34">
        <v>3</v>
      </c>
      <c r="H142" s="34">
        <v>4</v>
      </c>
      <c r="I142" s="34">
        <v>5</v>
      </c>
      <c r="J142" s="34">
        <v>6</v>
      </c>
      <c r="K142" s="34">
        <v>7</v>
      </c>
      <c r="L142" s="34">
        <v>8</v>
      </c>
      <c r="M142" s="34">
        <v>9</v>
      </c>
      <c r="N142" s="34">
        <v>10</v>
      </c>
      <c r="O142" s="34">
        <v>11</v>
      </c>
      <c r="P142" s="34">
        <v>12</v>
      </c>
      <c r="Q142" s="391" t="s">
        <v>12</v>
      </c>
      <c r="R142" s="391"/>
      <c r="S142" s="391"/>
    </row>
    <row r="143" spans="1:22" x14ac:dyDescent="0.35">
      <c r="A143" s="534" t="str">
        <f>VLOOKUP($D143,$A$10:$D$130,3,FALSE)</f>
        <v>Rental Income - In Place</v>
      </c>
      <c r="D143" s="101" t="s">
        <v>136</v>
      </c>
      <c r="E143" s="102">
        <f>-(VLOOKUP($D143,$A$10:$P$131,E$141,FALSE)+E11)</f>
        <v>-12000</v>
      </c>
      <c r="F143" s="102">
        <f t="shared" ref="F143:P143" si="30">-(VLOOKUP($D143,$A$10:$P$131,F$141,FALSE)+F11)</f>
        <v>-12000</v>
      </c>
      <c r="G143" s="102">
        <f t="shared" si="30"/>
        <v>-12000</v>
      </c>
      <c r="H143" s="102">
        <f t="shared" si="30"/>
        <v>-12000</v>
      </c>
      <c r="I143" s="102">
        <f t="shared" si="30"/>
        <v>-12000</v>
      </c>
      <c r="J143" s="102">
        <f t="shared" si="30"/>
        <v>-12000</v>
      </c>
      <c r="K143" s="102">
        <f t="shared" si="30"/>
        <v>-12000</v>
      </c>
      <c r="L143" s="102">
        <f t="shared" si="30"/>
        <v>-12000</v>
      </c>
      <c r="M143" s="102">
        <f t="shared" si="30"/>
        <v>-12000</v>
      </c>
      <c r="N143" s="102">
        <f t="shared" si="30"/>
        <v>-12000</v>
      </c>
      <c r="O143" s="102">
        <f t="shared" si="30"/>
        <v>-12000</v>
      </c>
      <c r="P143" s="103">
        <f t="shared" si="30"/>
        <v>-12000</v>
      </c>
      <c r="Q143" s="456">
        <f>SUM(E143:P143)</f>
        <v>-144000</v>
      </c>
      <c r="R143" s="456"/>
      <c r="S143" s="391"/>
    </row>
    <row r="144" spans="1:22" x14ac:dyDescent="0.35">
      <c r="A144" s="534" t="str">
        <f t="shared" ref="A144:A166" si="31">VLOOKUP($D144,$A$10:$D$130,3,FALSE)</f>
        <v>Electric</v>
      </c>
      <c r="D144" s="104" t="s">
        <v>102</v>
      </c>
      <c r="E144" s="105">
        <f t="shared" ref="E144:P146" si="32">-VLOOKUP($D144,$A$10:$P$131,E$141,FALSE)</f>
        <v>0</v>
      </c>
      <c r="F144" s="105">
        <f t="shared" si="32"/>
        <v>0</v>
      </c>
      <c r="G144" s="105">
        <f t="shared" si="32"/>
        <v>0</v>
      </c>
      <c r="H144" s="105">
        <f t="shared" si="32"/>
        <v>0</v>
      </c>
      <c r="I144" s="105">
        <f t="shared" si="32"/>
        <v>0</v>
      </c>
      <c r="J144" s="105">
        <f t="shared" si="32"/>
        <v>0</v>
      </c>
      <c r="K144" s="105">
        <f t="shared" si="32"/>
        <v>0</v>
      </c>
      <c r="L144" s="105">
        <f t="shared" si="32"/>
        <v>0</v>
      </c>
      <c r="M144" s="105">
        <f t="shared" si="32"/>
        <v>0</v>
      </c>
      <c r="N144" s="105">
        <f t="shared" si="32"/>
        <v>0</v>
      </c>
      <c r="O144" s="105">
        <f t="shared" si="32"/>
        <v>0</v>
      </c>
      <c r="P144" s="106">
        <f t="shared" si="32"/>
        <v>0</v>
      </c>
      <c r="Q144" s="456">
        <f t="shared" ref="Q144:Q176" si="33">SUM(E144:P144)</f>
        <v>0</v>
      </c>
      <c r="R144" s="456"/>
      <c r="S144" s="391"/>
    </row>
    <row r="145" spans="1:19" x14ac:dyDescent="0.35">
      <c r="A145" s="534" t="str">
        <f t="shared" si="31"/>
        <v>Common Area Maintenance</v>
      </c>
      <c r="D145" s="104" t="s">
        <v>103</v>
      </c>
      <c r="E145" s="105">
        <f t="shared" si="32"/>
        <v>-4300</v>
      </c>
      <c r="F145" s="105">
        <f t="shared" si="32"/>
        <v>-4300</v>
      </c>
      <c r="G145" s="105">
        <f t="shared" si="32"/>
        <v>-4300</v>
      </c>
      <c r="H145" s="105">
        <f t="shared" si="32"/>
        <v>-4300</v>
      </c>
      <c r="I145" s="105">
        <f t="shared" si="32"/>
        <v>-4300</v>
      </c>
      <c r="J145" s="105">
        <f t="shared" si="32"/>
        <v>-4300</v>
      </c>
      <c r="K145" s="105">
        <f t="shared" si="32"/>
        <v>-4300</v>
      </c>
      <c r="L145" s="105">
        <f t="shared" si="32"/>
        <v>-4300</v>
      </c>
      <c r="M145" s="105">
        <f t="shared" si="32"/>
        <v>-4300</v>
      </c>
      <c r="N145" s="105">
        <f t="shared" si="32"/>
        <v>-4300</v>
      </c>
      <c r="O145" s="105">
        <f t="shared" si="32"/>
        <v>-4300</v>
      </c>
      <c r="P145" s="106">
        <f t="shared" si="32"/>
        <v>-4300</v>
      </c>
      <c r="Q145" s="456">
        <f t="shared" si="33"/>
        <v>-51600</v>
      </c>
      <c r="R145" s="456"/>
      <c r="S145" s="391"/>
    </row>
    <row r="146" spans="1:19" x14ac:dyDescent="0.35">
      <c r="A146" s="534" t="str">
        <f t="shared" si="31"/>
        <v>Real Estate Taxes</v>
      </c>
      <c r="D146" s="104" t="s">
        <v>104</v>
      </c>
      <c r="E146" s="105">
        <f t="shared" si="32"/>
        <v>-2600</v>
      </c>
      <c r="F146" s="105">
        <f t="shared" si="32"/>
        <v>-2600</v>
      </c>
      <c r="G146" s="105">
        <f t="shared" si="32"/>
        <v>-2600</v>
      </c>
      <c r="H146" s="105">
        <f t="shared" si="32"/>
        <v>-2600</v>
      </c>
      <c r="I146" s="105">
        <f t="shared" si="32"/>
        <v>-2600</v>
      </c>
      <c r="J146" s="105">
        <f t="shared" si="32"/>
        <v>-2600</v>
      </c>
      <c r="K146" s="105">
        <f t="shared" si="32"/>
        <v>-2600</v>
      </c>
      <c r="L146" s="105">
        <f t="shared" si="32"/>
        <v>-2600</v>
      </c>
      <c r="M146" s="105">
        <f t="shared" si="32"/>
        <v>-2600</v>
      </c>
      <c r="N146" s="105">
        <f t="shared" si="32"/>
        <v>-2600</v>
      </c>
      <c r="O146" s="105">
        <f t="shared" si="32"/>
        <v>-2600</v>
      </c>
      <c r="P146" s="106">
        <f t="shared" si="32"/>
        <v>-2600</v>
      </c>
      <c r="Q146" s="456">
        <f t="shared" si="33"/>
        <v>-31200</v>
      </c>
      <c r="R146" s="456"/>
      <c r="S146" s="391"/>
    </row>
    <row r="147" spans="1:19" x14ac:dyDescent="0.35">
      <c r="A147" s="534" t="str">
        <f t="shared" si="31"/>
        <v>Insurance</v>
      </c>
      <c r="D147" s="104" t="s">
        <v>139</v>
      </c>
      <c r="E147" s="105">
        <f>-VLOOKUP($D147,$A$10:$P$131,E$141,FALSE)</f>
        <v>0</v>
      </c>
      <c r="F147" s="105">
        <f t="shared" ref="F147:P147" si="34">-VLOOKUP($D147,$A$10:$P$131,F$141,FALSE)</f>
        <v>0</v>
      </c>
      <c r="G147" s="105">
        <f t="shared" si="34"/>
        <v>0</v>
      </c>
      <c r="H147" s="105">
        <f t="shared" si="34"/>
        <v>0</v>
      </c>
      <c r="I147" s="105">
        <f t="shared" si="34"/>
        <v>0</v>
      </c>
      <c r="J147" s="105">
        <f t="shared" si="34"/>
        <v>0</v>
      </c>
      <c r="K147" s="105">
        <f t="shared" si="34"/>
        <v>0</v>
      </c>
      <c r="L147" s="105">
        <f t="shared" si="34"/>
        <v>0</v>
      </c>
      <c r="M147" s="105">
        <f t="shared" si="34"/>
        <v>0</v>
      </c>
      <c r="N147" s="105">
        <f t="shared" si="34"/>
        <v>0</v>
      </c>
      <c r="O147" s="105">
        <f t="shared" si="34"/>
        <v>0</v>
      </c>
      <c r="P147" s="106">
        <f t="shared" si="34"/>
        <v>0</v>
      </c>
      <c r="Q147" s="456">
        <f>SUM(E147:P147)</f>
        <v>0</v>
      </c>
      <c r="R147" s="456"/>
      <c r="S147" s="391"/>
    </row>
    <row r="148" spans="1:19" x14ac:dyDescent="0.35">
      <c r="A148" s="534" t="str">
        <f t="shared" si="31"/>
        <v>Maintenance Salaries</v>
      </c>
      <c r="D148" s="104" t="s">
        <v>105</v>
      </c>
      <c r="E148" s="105">
        <f>VLOOKUP($D148,$A$10:$P$131,E$141,FALSE)</f>
        <v>368.25818305374827</v>
      </c>
      <c r="F148" s="105">
        <f t="shared" ref="F148:P163" si="35">VLOOKUP($D148,$A$10:$P$131,F$141,FALSE)</f>
        <v>368.25818305374827</v>
      </c>
      <c r="G148" s="105">
        <f t="shared" si="35"/>
        <v>368.25818305374827</v>
      </c>
      <c r="H148" s="105">
        <f t="shared" si="35"/>
        <v>368.25818305374827</v>
      </c>
      <c r="I148" s="105">
        <f t="shared" si="35"/>
        <v>368.25818305374827</v>
      </c>
      <c r="J148" s="105">
        <f t="shared" si="35"/>
        <v>368.25818305374827</v>
      </c>
      <c r="K148" s="105">
        <f t="shared" si="35"/>
        <v>368.25818305374827</v>
      </c>
      <c r="L148" s="105">
        <f t="shared" si="35"/>
        <v>368.25818305374827</v>
      </c>
      <c r="M148" s="105">
        <f t="shared" si="35"/>
        <v>368.25818305374827</v>
      </c>
      <c r="N148" s="105">
        <f t="shared" si="35"/>
        <v>368.25818305374827</v>
      </c>
      <c r="O148" s="105">
        <f t="shared" si="35"/>
        <v>368.25818305374827</v>
      </c>
      <c r="P148" s="106">
        <f t="shared" si="35"/>
        <v>368.25818305374827</v>
      </c>
      <c r="Q148" s="456">
        <f t="shared" si="33"/>
        <v>4419.098196644979</v>
      </c>
      <c r="R148" s="456"/>
      <c r="S148" s="391"/>
    </row>
    <row r="149" spans="1:19" x14ac:dyDescent="0.35">
      <c r="A149" s="534" t="str">
        <f t="shared" si="31"/>
        <v>Electric</v>
      </c>
      <c r="D149" s="104" t="s">
        <v>106</v>
      </c>
      <c r="E149" s="105">
        <f t="shared" ref="E149:P176" si="36">VLOOKUP($D149,$A$10:$P$131,E$141,FALSE)</f>
        <v>0</v>
      </c>
      <c r="F149" s="105">
        <f t="shared" si="35"/>
        <v>0</v>
      </c>
      <c r="G149" s="105">
        <f t="shared" si="35"/>
        <v>0</v>
      </c>
      <c r="H149" s="105">
        <f t="shared" si="35"/>
        <v>0</v>
      </c>
      <c r="I149" s="105">
        <f t="shared" si="35"/>
        <v>0</v>
      </c>
      <c r="J149" s="105">
        <f t="shared" si="35"/>
        <v>0</v>
      </c>
      <c r="K149" s="105">
        <f t="shared" si="35"/>
        <v>0</v>
      </c>
      <c r="L149" s="105">
        <f t="shared" si="35"/>
        <v>0</v>
      </c>
      <c r="M149" s="105">
        <f t="shared" si="35"/>
        <v>0</v>
      </c>
      <c r="N149" s="105">
        <f t="shared" si="35"/>
        <v>0</v>
      </c>
      <c r="O149" s="105">
        <f t="shared" si="35"/>
        <v>0</v>
      </c>
      <c r="P149" s="106">
        <f t="shared" si="35"/>
        <v>0</v>
      </c>
      <c r="Q149" s="456">
        <f t="shared" si="33"/>
        <v>0</v>
      </c>
      <c r="R149" s="456"/>
      <c r="S149" s="391"/>
    </row>
    <row r="150" spans="1:19" x14ac:dyDescent="0.35">
      <c r="A150" s="534" t="str">
        <f t="shared" si="31"/>
        <v>Water &amp; Sewer</v>
      </c>
      <c r="D150" s="104" t="s">
        <v>107</v>
      </c>
      <c r="E150" s="105">
        <f t="shared" si="36"/>
        <v>0</v>
      </c>
      <c r="F150" s="105">
        <f t="shared" si="35"/>
        <v>0</v>
      </c>
      <c r="G150" s="105">
        <f t="shared" si="35"/>
        <v>0</v>
      </c>
      <c r="H150" s="105">
        <f t="shared" si="35"/>
        <v>0</v>
      </c>
      <c r="I150" s="105">
        <f t="shared" si="35"/>
        <v>0</v>
      </c>
      <c r="J150" s="105">
        <f t="shared" si="35"/>
        <v>0</v>
      </c>
      <c r="K150" s="105">
        <f t="shared" si="35"/>
        <v>0</v>
      </c>
      <c r="L150" s="105">
        <f t="shared" si="35"/>
        <v>0</v>
      </c>
      <c r="M150" s="105">
        <f t="shared" si="35"/>
        <v>0</v>
      </c>
      <c r="N150" s="105">
        <f t="shared" si="35"/>
        <v>0</v>
      </c>
      <c r="O150" s="105">
        <f t="shared" si="35"/>
        <v>0</v>
      </c>
      <c r="P150" s="106">
        <f t="shared" si="35"/>
        <v>0</v>
      </c>
      <c r="Q150" s="456">
        <f t="shared" si="33"/>
        <v>0</v>
      </c>
      <c r="R150" s="456"/>
      <c r="S150" s="391"/>
    </row>
    <row r="151" spans="1:19" x14ac:dyDescent="0.35">
      <c r="A151" s="534" t="str">
        <f t="shared" si="31"/>
        <v>Building Maintenance</v>
      </c>
      <c r="D151" s="104" t="s">
        <v>108</v>
      </c>
      <c r="E151" s="105">
        <f t="shared" si="36"/>
        <v>675</v>
      </c>
      <c r="F151" s="105">
        <f t="shared" si="35"/>
        <v>170</v>
      </c>
      <c r="G151" s="105">
        <f t="shared" si="35"/>
        <v>150</v>
      </c>
      <c r="H151" s="105">
        <f t="shared" si="35"/>
        <v>605</v>
      </c>
      <c r="I151" s="105">
        <f t="shared" si="35"/>
        <v>825</v>
      </c>
      <c r="J151" s="105">
        <f t="shared" si="35"/>
        <v>575</v>
      </c>
      <c r="K151" s="105">
        <f t="shared" si="35"/>
        <v>955</v>
      </c>
      <c r="L151" s="105">
        <f t="shared" si="35"/>
        <v>350</v>
      </c>
      <c r="M151" s="105">
        <f t="shared" si="35"/>
        <v>350</v>
      </c>
      <c r="N151" s="105">
        <f t="shared" si="35"/>
        <v>605</v>
      </c>
      <c r="O151" s="105">
        <f t="shared" si="35"/>
        <v>825</v>
      </c>
      <c r="P151" s="106">
        <f t="shared" si="35"/>
        <v>350</v>
      </c>
      <c r="Q151" s="456">
        <f t="shared" si="33"/>
        <v>6435</v>
      </c>
      <c r="R151" s="456"/>
      <c r="S151" s="391"/>
    </row>
    <row r="152" spans="1:19" x14ac:dyDescent="0.35">
      <c r="A152" s="534" t="str">
        <f t="shared" si="31"/>
        <v>Parking Lot Maintenance</v>
      </c>
      <c r="D152" s="104" t="s">
        <v>140</v>
      </c>
      <c r="E152" s="105">
        <f t="shared" si="36"/>
        <v>113.3</v>
      </c>
      <c r="F152" s="105">
        <f t="shared" si="35"/>
        <v>319.3</v>
      </c>
      <c r="G152" s="105">
        <f t="shared" si="35"/>
        <v>113.3</v>
      </c>
      <c r="H152" s="105">
        <f t="shared" si="35"/>
        <v>1658.3</v>
      </c>
      <c r="I152" s="105">
        <f t="shared" si="35"/>
        <v>319.3</v>
      </c>
      <c r="J152" s="105">
        <f t="shared" si="35"/>
        <v>113.3</v>
      </c>
      <c r="K152" s="105">
        <f t="shared" si="35"/>
        <v>113.3</v>
      </c>
      <c r="L152" s="105">
        <f t="shared" si="35"/>
        <v>319.3</v>
      </c>
      <c r="M152" s="105">
        <f t="shared" si="35"/>
        <v>1658.3</v>
      </c>
      <c r="N152" s="105">
        <f t="shared" si="35"/>
        <v>113.3</v>
      </c>
      <c r="O152" s="105">
        <f t="shared" si="35"/>
        <v>319.3</v>
      </c>
      <c r="P152" s="106">
        <f t="shared" si="35"/>
        <v>113.3</v>
      </c>
      <c r="Q152" s="456">
        <f t="shared" si="33"/>
        <v>5273.6000000000013</v>
      </c>
      <c r="R152" s="456"/>
      <c r="S152" s="391"/>
    </row>
    <row r="153" spans="1:19" x14ac:dyDescent="0.35">
      <c r="A153" s="534" t="str">
        <f t="shared" si="31"/>
        <v>Snow Removal</v>
      </c>
      <c r="D153" s="104" t="s">
        <v>110</v>
      </c>
      <c r="E153" s="105">
        <f t="shared" si="36"/>
        <v>1287.5</v>
      </c>
      <c r="F153" s="105">
        <f t="shared" si="35"/>
        <v>1287.5</v>
      </c>
      <c r="G153" s="105">
        <f t="shared" si="35"/>
        <v>1287.5</v>
      </c>
      <c r="H153" s="105">
        <f t="shared" si="35"/>
        <v>0</v>
      </c>
      <c r="I153" s="105">
        <f t="shared" si="35"/>
        <v>0</v>
      </c>
      <c r="J153" s="105">
        <f t="shared" si="35"/>
        <v>0</v>
      </c>
      <c r="K153" s="105">
        <f t="shared" si="35"/>
        <v>0</v>
      </c>
      <c r="L153" s="105">
        <f t="shared" si="35"/>
        <v>0</v>
      </c>
      <c r="M153" s="105">
        <f t="shared" si="35"/>
        <v>0</v>
      </c>
      <c r="N153" s="105">
        <f t="shared" si="35"/>
        <v>0</v>
      </c>
      <c r="O153" s="105">
        <f t="shared" si="35"/>
        <v>1030</v>
      </c>
      <c r="P153" s="106">
        <f t="shared" si="35"/>
        <v>1287.5</v>
      </c>
      <c r="Q153" s="456">
        <f t="shared" si="33"/>
        <v>6180</v>
      </c>
      <c r="R153" s="456"/>
      <c r="S153" s="391"/>
    </row>
    <row r="154" spans="1:19" x14ac:dyDescent="0.35">
      <c r="A154" s="534" t="str">
        <f t="shared" si="31"/>
        <v>Landscaping</v>
      </c>
      <c r="D154" s="104" t="s">
        <v>111</v>
      </c>
      <c r="E154" s="105">
        <f t="shared" si="36"/>
        <v>188.76709915306495</v>
      </c>
      <c r="F154" s="105">
        <f t="shared" si="35"/>
        <v>188.76709915306495</v>
      </c>
      <c r="G154" s="105">
        <f t="shared" si="35"/>
        <v>502.00114075306487</v>
      </c>
      <c r="H154" s="105">
        <f t="shared" si="35"/>
        <v>811.00114075306487</v>
      </c>
      <c r="I154" s="105">
        <f t="shared" si="35"/>
        <v>502.00114075306487</v>
      </c>
      <c r="J154" s="105">
        <f t="shared" si="35"/>
        <v>502.00114075306487</v>
      </c>
      <c r="K154" s="105">
        <f t="shared" si="35"/>
        <v>502.00114075306487</v>
      </c>
      <c r="L154" s="105">
        <f t="shared" si="35"/>
        <v>502.00114075306487</v>
      </c>
      <c r="M154" s="105">
        <f t="shared" si="35"/>
        <v>502.00114075306487</v>
      </c>
      <c r="N154" s="105">
        <f t="shared" si="35"/>
        <v>811.00114075306487</v>
      </c>
      <c r="O154" s="105">
        <f t="shared" si="35"/>
        <v>502.00114075306487</v>
      </c>
      <c r="P154" s="106">
        <f t="shared" si="35"/>
        <v>188.76709915306495</v>
      </c>
      <c r="Q154" s="456">
        <f t="shared" si="33"/>
        <v>5702.3115642367775</v>
      </c>
      <c r="R154" s="456"/>
      <c r="S154" s="391"/>
    </row>
    <row r="155" spans="1:19" x14ac:dyDescent="0.35">
      <c r="A155" s="534" t="str">
        <f t="shared" si="31"/>
        <v>Security</v>
      </c>
      <c r="D155" s="104" t="s">
        <v>112</v>
      </c>
      <c r="E155" s="105">
        <f t="shared" si="36"/>
        <v>105.60000000000001</v>
      </c>
      <c r="F155" s="105">
        <f t="shared" si="35"/>
        <v>105.60000000000001</v>
      </c>
      <c r="G155" s="105">
        <f t="shared" si="35"/>
        <v>105.60000000000001</v>
      </c>
      <c r="H155" s="105">
        <f t="shared" si="35"/>
        <v>105.60000000000001</v>
      </c>
      <c r="I155" s="105">
        <f t="shared" si="35"/>
        <v>105.60000000000001</v>
      </c>
      <c r="J155" s="105">
        <f t="shared" si="35"/>
        <v>105.60000000000001</v>
      </c>
      <c r="K155" s="105">
        <f t="shared" si="35"/>
        <v>105.60000000000001</v>
      </c>
      <c r="L155" s="105">
        <f t="shared" si="35"/>
        <v>105.60000000000001</v>
      </c>
      <c r="M155" s="105">
        <f t="shared" si="35"/>
        <v>105.60000000000001</v>
      </c>
      <c r="N155" s="105">
        <f t="shared" si="35"/>
        <v>105.60000000000001</v>
      </c>
      <c r="O155" s="105">
        <f t="shared" si="35"/>
        <v>105.60000000000001</v>
      </c>
      <c r="P155" s="106">
        <f t="shared" si="35"/>
        <v>105.60000000000001</v>
      </c>
      <c r="Q155" s="456">
        <f t="shared" si="33"/>
        <v>1267.1999999999998</v>
      </c>
      <c r="R155" s="456"/>
      <c r="S155" s="391"/>
    </row>
    <row r="156" spans="1:19" x14ac:dyDescent="0.35">
      <c r="A156" s="534" t="str">
        <f t="shared" si="31"/>
        <v>Management Fee</v>
      </c>
      <c r="D156" s="104" t="s">
        <v>113</v>
      </c>
      <c r="E156" s="105">
        <f t="shared" si="36"/>
        <v>1134</v>
      </c>
      <c r="F156" s="105">
        <f t="shared" si="35"/>
        <v>1134</v>
      </c>
      <c r="G156" s="105">
        <f t="shared" si="35"/>
        <v>1134</v>
      </c>
      <c r="H156" s="105">
        <f t="shared" si="35"/>
        <v>1134</v>
      </c>
      <c r="I156" s="105">
        <f t="shared" si="35"/>
        <v>1134</v>
      </c>
      <c r="J156" s="105">
        <f t="shared" si="35"/>
        <v>1134</v>
      </c>
      <c r="K156" s="105">
        <f t="shared" si="35"/>
        <v>1134</v>
      </c>
      <c r="L156" s="105">
        <f t="shared" si="35"/>
        <v>1134</v>
      </c>
      <c r="M156" s="105">
        <f t="shared" si="35"/>
        <v>1134</v>
      </c>
      <c r="N156" s="105">
        <f t="shared" si="35"/>
        <v>1134</v>
      </c>
      <c r="O156" s="105">
        <f t="shared" si="35"/>
        <v>1134</v>
      </c>
      <c r="P156" s="106">
        <f t="shared" si="35"/>
        <v>1134</v>
      </c>
      <c r="Q156" s="456">
        <f t="shared" si="33"/>
        <v>13608</v>
      </c>
      <c r="R156" s="456"/>
      <c r="S156" s="391"/>
    </row>
    <row r="157" spans="1:19" x14ac:dyDescent="0.35">
      <c r="A157" s="534" t="str">
        <f t="shared" si="31"/>
        <v>Trash Removal</v>
      </c>
      <c r="D157" s="104" t="s">
        <v>114</v>
      </c>
      <c r="E157" s="105">
        <f t="shared" si="36"/>
        <v>0</v>
      </c>
      <c r="F157" s="105">
        <f t="shared" si="35"/>
        <v>0</v>
      </c>
      <c r="G157" s="105">
        <f t="shared" si="35"/>
        <v>0</v>
      </c>
      <c r="H157" s="105">
        <f t="shared" si="35"/>
        <v>0</v>
      </c>
      <c r="I157" s="105">
        <f t="shared" si="35"/>
        <v>0</v>
      </c>
      <c r="J157" s="105">
        <f t="shared" si="35"/>
        <v>0</v>
      </c>
      <c r="K157" s="105">
        <f t="shared" si="35"/>
        <v>0</v>
      </c>
      <c r="L157" s="105">
        <f t="shared" si="35"/>
        <v>0</v>
      </c>
      <c r="M157" s="105">
        <f t="shared" si="35"/>
        <v>0</v>
      </c>
      <c r="N157" s="105">
        <f t="shared" si="35"/>
        <v>0</v>
      </c>
      <c r="O157" s="105">
        <f t="shared" si="35"/>
        <v>0</v>
      </c>
      <c r="P157" s="106">
        <f t="shared" si="35"/>
        <v>0</v>
      </c>
      <c r="Q157" s="456">
        <f t="shared" si="33"/>
        <v>0</v>
      </c>
      <c r="R157" s="456"/>
      <c r="S157" s="391"/>
    </row>
    <row r="158" spans="1:19" x14ac:dyDescent="0.35">
      <c r="A158" s="534" t="str">
        <f t="shared" si="31"/>
        <v>Real Estate Taxes</v>
      </c>
      <c r="D158" s="104" t="s">
        <v>115</v>
      </c>
      <c r="E158" s="105">
        <f t="shared" si="36"/>
        <v>1989.9568233090001</v>
      </c>
      <c r="F158" s="105">
        <f t="shared" si="35"/>
        <v>1989.9568233090001</v>
      </c>
      <c r="G158" s="105">
        <f t="shared" si="35"/>
        <v>1989.9568233090001</v>
      </c>
      <c r="H158" s="105">
        <f t="shared" si="35"/>
        <v>1989.9568233090001</v>
      </c>
      <c r="I158" s="105">
        <f t="shared" si="35"/>
        <v>1989.9568233090001</v>
      </c>
      <c r="J158" s="105">
        <f t="shared" si="35"/>
        <v>1989.9568233090001</v>
      </c>
      <c r="K158" s="105">
        <f t="shared" si="35"/>
        <v>1989.9568233090001</v>
      </c>
      <c r="L158" s="105">
        <f t="shared" si="35"/>
        <v>1989.9568233090001</v>
      </c>
      <c r="M158" s="105">
        <f t="shared" si="35"/>
        <v>1989.9568233090001</v>
      </c>
      <c r="N158" s="105">
        <f t="shared" si="35"/>
        <v>1989.9568233090001</v>
      </c>
      <c r="O158" s="105">
        <f t="shared" si="35"/>
        <v>1989.9568233090001</v>
      </c>
      <c r="P158" s="106">
        <f t="shared" si="35"/>
        <v>1989.9568233090001</v>
      </c>
      <c r="Q158" s="456">
        <f t="shared" si="33"/>
        <v>23879.481879707997</v>
      </c>
      <c r="R158" s="456"/>
      <c r="S158" s="391"/>
    </row>
    <row r="159" spans="1:19" x14ac:dyDescent="0.35">
      <c r="A159" s="534" t="str">
        <f t="shared" si="31"/>
        <v>Insurance</v>
      </c>
      <c r="D159" s="104" t="s">
        <v>116</v>
      </c>
      <c r="E159" s="105">
        <f t="shared" si="36"/>
        <v>844</v>
      </c>
      <c r="F159" s="105">
        <f t="shared" si="35"/>
        <v>844</v>
      </c>
      <c r="G159" s="105">
        <f t="shared" si="35"/>
        <v>844</v>
      </c>
      <c r="H159" s="105">
        <f t="shared" si="35"/>
        <v>844</v>
      </c>
      <c r="I159" s="105">
        <f t="shared" si="35"/>
        <v>844</v>
      </c>
      <c r="J159" s="105">
        <f t="shared" si="35"/>
        <v>844</v>
      </c>
      <c r="K159" s="105">
        <f t="shared" si="35"/>
        <v>844</v>
      </c>
      <c r="L159" s="105">
        <f t="shared" si="35"/>
        <v>844</v>
      </c>
      <c r="M159" s="105">
        <f t="shared" si="35"/>
        <v>844</v>
      </c>
      <c r="N159" s="105">
        <f t="shared" si="35"/>
        <v>844</v>
      </c>
      <c r="O159" s="105">
        <f t="shared" si="35"/>
        <v>860.88</v>
      </c>
      <c r="P159" s="106">
        <f t="shared" si="35"/>
        <v>860.88</v>
      </c>
      <c r="Q159" s="456">
        <f t="shared" si="33"/>
        <v>10161.759999999998</v>
      </c>
      <c r="R159" s="456"/>
      <c r="S159" s="391"/>
    </row>
    <row r="160" spans="1:19" x14ac:dyDescent="0.35">
      <c r="A160" s="534" t="str">
        <f t="shared" si="31"/>
        <v>Cleaning &amp; Supplies</v>
      </c>
      <c r="D160" s="104" t="s">
        <v>117</v>
      </c>
      <c r="E160" s="105">
        <f t="shared" si="36"/>
        <v>2488.0680000000002</v>
      </c>
      <c r="F160" s="105">
        <f t="shared" si="35"/>
        <v>2488.0680000000002</v>
      </c>
      <c r="G160" s="105">
        <f t="shared" si="35"/>
        <v>2488.0680000000002</v>
      </c>
      <c r="H160" s="105">
        <f t="shared" si="35"/>
        <v>2488.0680000000002</v>
      </c>
      <c r="I160" s="105">
        <f t="shared" si="35"/>
        <v>2488.0680000000002</v>
      </c>
      <c r="J160" s="105">
        <f t="shared" si="35"/>
        <v>2488.0680000000002</v>
      </c>
      <c r="K160" s="105">
        <f t="shared" si="35"/>
        <v>2488.0680000000002</v>
      </c>
      <c r="L160" s="105">
        <f t="shared" si="35"/>
        <v>2488.0680000000002</v>
      </c>
      <c r="M160" s="105">
        <f t="shared" si="35"/>
        <v>2488.0680000000002</v>
      </c>
      <c r="N160" s="105">
        <f t="shared" si="35"/>
        <v>2488.0680000000002</v>
      </c>
      <c r="O160" s="105">
        <f t="shared" si="35"/>
        <v>2488.0680000000002</v>
      </c>
      <c r="P160" s="106">
        <f t="shared" si="35"/>
        <v>2488.0680000000002</v>
      </c>
      <c r="Q160" s="456">
        <f t="shared" si="33"/>
        <v>29856.815999999995</v>
      </c>
      <c r="R160" s="456"/>
      <c r="S160" s="391"/>
    </row>
    <row r="161" spans="1:19" x14ac:dyDescent="0.35">
      <c r="A161" s="534" t="str">
        <f>VLOOKUP($D161,$A$10:$D$130,4,FALSE)</f>
        <v>Salaries &amp; Wages</v>
      </c>
      <c r="D161" s="104" t="s">
        <v>118</v>
      </c>
      <c r="E161" s="105">
        <f t="shared" si="36"/>
        <v>456.23875262700881</v>
      </c>
      <c r="F161" s="105">
        <f t="shared" si="35"/>
        <v>456.23875262700881</v>
      </c>
      <c r="G161" s="105">
        <f t="shared" si="35"/>
        <v>456.23875262700881</v>
      </c>
      <c r="H161" s="105">
        <f t="shared" si="35"/>
        <v>456.23875262700881</v>
      </c>
      <c r="I161" s="105">
        <f t="shared" si="35"/>
        <v>456.23875262700881</v>
      </c>
      <c r="J161" s="105">
        <f t="shared" si="35"/>
        <v>456.23875262700881</v>
      </c>
      <c r="K161" s="105">
        <f t="shared" si="35"/>
        <v>456.23875262700881</v>
      </c>
      <c r="L161" s="105">
        <f t="shared" si="35"/>
        <v>456.23875262700881</v>
      </c>
      <c r="M161" s="105">
        <f t="shared" si="35"/>
        <v>456.23875262700881</v>
      </c>
      <c r="N161" s="105">
        <f t="shared" si="35"/>
        <v>456.23875262700881</v>
      </c>
      <c r="O161" s="105">
        <f t="shared" si="35"/>
        <v>456.23875262700881</v>
      </c>
      <c r="P161" s="106">
        <f t="shared" si="35"/>
        <v>456.23875262700881</v>
      </c>
      <c r="Q161" s="456">
        <f t="shared" si="33"/>
        <v>5474.8650315241039</v>
      </c>
      <c r="R161" s="456"/>
      <c r="S161" s="391"/>
    </row>
    <row r="162" spans="1:19" x14ac:dyDescent="0.35">
      <c r="A162" s="534" t="str">
        <f>VLOOKUP($D162,$A$10:$D$130,4,FALSE)</f>
        <v>Commissions-Internal Broker</v>
      </c>
      <c r="D162" s="104" t="s">
        <v>119</v>
      </c>
      <c r="E162" s="105">
        <f t="shared" si="36"/>
        <v>288.37874230774071</v>
      </c>
      <c r="F162" s="105">
        <f t="shared" si="35"/>
        <v>0</v>
      </c>
      <c r="G162" s="105">
        <f t="shared" si="35"/>
        <v>0</v>
      </c>
      <c r="H162" s="105">
        <f t="shared" si="35"/>
        <v>288.37874230774071</v>
      </c>
      <c r="I162" s="105">
        <f t="shared" si="35"/>
        <v>0</v>
      </c>
      <c r="J162" s="105">
        <f t="shared" si="35"/>
        <v>0</v>
      </c>
      <c r="K162" s="105">
        <f t="shared" si="35"/>
        <v>288.37874230774071</v>
      </c>
      <c r="L162" s="105">
        <f t="shared" si="35"/>
        <v>0</v>
      </c>
      <c r="M162" s="105">
        <f t="shared" si="35"/>
        <v>0</v>
      </c>
      <c r="N162" s="105">
        <f t="shared" si="35"/>
        <v>288.37874230774071</v>
      </c>
      <c r="O162" s="105">
        <f t="shared" si="35"/>
        <v>0</v>
      </c>
      <c r="P162" s="106">
        <f t="shared" si="35"/>
        <v>0</v>
      </c>
      <c r="Q162" s="456">
        <f t="shared" si="33"/>
        <v>1153.5149692309628</v>
      </c>
      <c r="R162" s="456"/>
      <c r="S162" s="391"/>
    </row>
    <row r="163" spans="1:19" x14ac:dyDescent="0.35">
      <c r="A163" s="534" t="str">
        <f>VLOOKUP($D163,$A$10:$D$130,3,FALSE)</f>
        <v>Building Maintenance</v>
      </c>
      <c r="D163" s="104" t="s">
        <v>120</v>
      </c>
      <c r="E163" s="105">
        <f t="shared" si="36"/>
        <v>0</v>
      </c>
      <c r="F163" s="105">
        <f t="shared" si="35"/>
        <v>0</v>
      </c>
      <c r="G163" s="105">
        <f t="shared" si="35"/>
        <v>0</v>
      </c>
      <c r="H163" s="105">
        <f t="shared" si="35"/>
        <v>0</v>
      </c>
      <c r="I163" s="105">
        <f t="shared" si="35"/>
        <v>0</v>
      </c>
      <c r="J163" s="105">
        <f t="shared" si="35"/>
        <v>0</v>
      </c>
      <c r="K163" s="105">
        <f t="shared" si="35"/>
        <v>0</v>
      </c>
      <c r="L163" s="105">
        <f t="shared" si="35"/>
        <v>0</v>
      </c>
      <c r="M163" s="105">
        <f t="shared" si="35"/>
        <v>0</v>
      </c>
      <c r="N163" s="105">
        <f t="shared" si="35"/>
        <v>0</v>
      </c>
      <c r="O163" s="105">
        <f t="shared" si="35"/>
        <v>0</v>
      </c>
      <c r="P163" s="106">
        <f t="shared" si="35"/>
        <v>0</v>
      </c>
      <c r="Q163" s="456">
        <f t="shared" si="33"/>
        <v>0</v>
      </c>
      <c r="R163" s="456"/>
      <c r="S163" s="391"/>
    </row>
    <row r="164" spans="1:19" x14ac:dyDescent="0.35">
      <c r="A164" s="534" t="str">
        <f>VLOOKUP($D164,$A$10:$D$130,3,FALSE)</f>
        <v>Marketing</v>
      </c>
      <c r="D164" s="104" t="s">
        <v>121</v>
      </c>
      <c r="E164" s="105">
        <f t="shared" si="36"/>
        <v>175.02107899273875</v>
      </c>
      <c r="F164" s="105">
        <f t="shared" si="36"/>
        <v>175.02107899273875</v>
      </c>
      <c r="G164" s="105">
        <f t="shared" si="36"/>
        <v>175.02107899273875</v>
      </c>
      <c r="H164" s="105">
        <f t="shared" si="36"/>
        <v>175.02107899273875</v>
      </c>
      <c r="I164" s="105">
        <f t="shared" si="36"/>
        <v>175.02107899273875</v>
      </c>
      <c r="J164" s="105">
        <f t="shared" si="36"/>
        <v>175.02107899273875</v>
      </c>
      <c r="K164" s="105">
        <f t="shared" si="36"/>
        <v>175.02107899273875</v>
      </c>
      <c r="L164" s="105">
        <f t="shared" si="36"/>
        <v>175.02107899273875</v>
      </c>
      <c r="M164" s="105">
        <f t="shared" si="36"/>
        <v>175.02107899273875</v>
      </c>
      <c r="N164" s="105">
        <f t="shared" si="36"/>
        <v>175.02107899273875</v>
      </c>
      <c r="O164" s="105">
        <f t="shared" si="36"/>
        <v>175.02107899273875</v>
      </c>
      <c r="P164" s="106">
        <f t="shared" si="36"/>
        <v>175.02107899273875</v>
      </c>
      <c r="Q164" s="456">
        <f t="shared" si="33"/>
        <v>2100.2529479128648</v>
      </c>
      <c r="R164" s="456"/>
      <c r="S164" s="391"/>
    </row>
    <row r="165" spans="1:19" x14ac:dyDescent="0.35">
      <c r="A165" s="534" t="str">
        <f>VLOOKUP($D165,$A$10:$D$130,3,FALSE)</f>
        <v>Business Taxes</v>
      </c>
      <c r="D165" s="104" t="s">
        <v>122</v>
      </c>
      <c r="E165" s="105">
        <f t="shared" si="36"/>
        <v>0</v>
      </c>
      <c r="F165" s="105">
        <f t="shared" si="36"/>
        <v>0</v>
      </c>
      <c r="G165" s="105">
        <f t="shared" si="36"/>
        <v>0</v>
      </c>
      <c r="H165" s="105">
        <f t="shared" si="36"/>
        <v>528.57999255783523</v>
      </c>
      <c r="I165" s="105">
        <f t="shared" si="36"/>
        <v>0</v>
      </c>
      <c r="J165" s="105">
        <f t="shared" si="36"/>
        <v>0</v>
      </c>
      <c r="K165" s="105">
        <f t="shared" si="36"/>
        <v>0</v>
      </c>
      <c r="L165" s="105">
        <f t="shared" si="36"/>
        <v>0</v>
      </c>
      <c r="M165" s="105">
        <f t="shared" si="36"/>
        <v>0</v>
      </c>
      <c r="N165" s="105">
        <f t="shared" si="36"/>
        <v>0</v>
      </c>
      <c r="O165" s="105">
        <f t="shared" si="36"/>
        <v>0</v>
      </c>
      <c r="P165" s="106">
        <f t="shared" si="36"/>
        <v>0</v>
      </c>
      <c r="Q165" s="456">
        <f t="shared" si="33"/>
        <v>528.57999255783523</v>
      </c>
      <c r="R165" s="456"/>
      <c r="S165" s="391"/>
    </row>
    <row r="166" spans="1:19" x14ac:dyDescent="0.35">
      <c r="A166" s="534" t="str">
        <f t="shared" si="31"/>
        <v>Legal &amp; Accounting</v>
      </c>
      <c r="D166" s="104" t="s">
        <v>123</v>
      </c>
      <c r="E166" s="105">
        <f t="shared" si="36"/>
        <v>159.9536891383411</v>
      </c>
      <c r="F166" s="105">
        <f t="shared" si="36"/>
        <v>159.9536891383411</v>
      </c>
      <c r="G166" s="105">
        <f t="shared" si="36"/>
        <v>159.9536891383411</v>
      </c>
      <c r="H166" s="105">
        <f t="shared" si="36"/>
        <v>159.9536891383411</v>
      </c>
      <c r="I166" s="105">
        <f t="shared" si="36"/>
        <v>159.9536891383411</v>
      </c>
      <c r="J166" s="105">
        <f t="shared" si="36"/>
        <v>159.9536891383411</v>
      </c>
      <c r="K166" s="105">
        <f t="shared" si="36"/>
        <v>159.9536891383411</v>
      </c>
      <c r="L166" s="105">
        <f t="shared" si="36"/>
        <v>159.9536891383411</v>
      </c>
      <c r="M166" s="105">
        <f t="shared" si="36"/>
        <v>159.9536891383411</v>
      </c>
      <c r="N166" s="105">
        <f t="shared" si="36"/>
        <v>159.9536891383411</v>
      </c>
      <c r="O166" s="105">
        <f t="shared" si="36"/>
        <v>159.9536891383411</v>
      </c>
      <c r="P166" s="106">
        <f t="shared" si="36"/>
        <v>159.9536891383411</v>
      </c>
      <c r="Q166" s="456">
        <f t="shared" si="33"/>
        <v>1919.4442696600934</v>
      </c>
      <c r="R166" s="456"/>
      <c r="S166" s="391"/>
    </row>
    <row r="167" spans="1:19" x14ac:dyDescent="0.35">
      <c r="A167" s="534" t="str">
        <f>VLOOKUP($D167,$A$10:$D$130,4,FALSE)</f>
        <v>Bank Fees</v>
      </c>
      <c r="D167" s="104" t="s">
        <v>130</v>
      </c>
      <c r="E167" s="105">
        <f t="shared" si="36"/>
        <v>7.2328001711488357</v>
      </c>
      <c r="F167" s="105">
        <f t="shared" si="36"/>
        <v>7.2328001711488357</v>
      </c>
      <c r="G167" s="105">
        <f t="shared" si="36"/>
        <v>7.2328001711488357</v>
      </c>
      <c r="H167" s="105">
        <f t="shared" si="36"/>
        <v>7.2328001711488357</v>
      </c>
      <c r="I167" s="105">
        <f t="shared" si="36"/>
        <v>7.2328001711488357</v>
      </c>
      <c r="J167" s="105">
        <f t="shared" si="36"/>
        <v>7.2328001711488357</v>
      </c>
      <c r="K167" s="105">
        <f t="shared" si="36"/>
        <v>7.2328001711488357</v>
      </c>
      <c r="L167" s="105">
        <f t="shared" si="36"/>
        <v>7.2328001711488357</v>
      </c>
      <c r="M167" s="105">
        <f t="shared" si="36"/>
        <v>7.2328001711488357</v>
      </c>
      <c r="N167" s="105">
        <f t="shared" si="36"/>
        <v>7.2328001711488357</v>
      </c>
      <c r="O167" s="105">
        <f t="shared" si="36"/>
        <v>7.2328001711488357</v>
      </c>
      <c r="P167" s="106">
        <f t="shared" si="36"/>
        <v>7.2328001711488357</v>
      </c>
      <c r="Q167" s="456">
        <f t="shared" si="33"/>
        <v>86.793602053786046</v>
      </c>
      <c r="R167" s="456"/>
      <c r="S167" s="391"/>
    </row>
    <row r="168" spans="1:19" x14ac:dyDescent="0.35">
      <c r="A168" s="534" t="str">
        <f>VLOOKUP($D168,$A$10:$D$130,4,FALSE)</f>
        <v>Other G&amp;A Expense</v>
      </c>
      <c r="D168" s="104" t="s">
        <v>131</v>
      </c>
      <c r="E168" s="105">
        <f t="shared" si="36"/>
        <v>6.9994840365956472</v>
      </c>
      <c r="F168" s="105">
        <f t="shared" si="36"/>
        <v>6.9994840365956472</v>
      </c>
      <c r="G168" s="105">
        <f t="shared" si="36"/>
        <v>6.9994840365956472</v>
      </c>
      <c r="H168" s="105">
        <f t="shared" si="36"/>
        <v>6.9994840365956472</v>
      </c>
      <c r="I168" s="105">
        <f t="shared" si="36"/>
        <v>6.9994840365956472</v>
      </c>
      <c r="J168" s="105">
        <f t="shared" si="36"/>
        <v>6.9994840365956472</v>
      </c>
      <c r="K168" s="105">
        <f t="shared" si="36"/>
        <v>6.9994840365956472</v>
      </c>
      <c r="L168" s="105">
        <f t="shared" si="36"/>
        <v>6.9994840365956472</v>
      </c>
      <c r="M168" s="105">
        <f t="shared" si="36"/>
        <v>6.9994840365956472</v>
      </c>
      <c r="N168" s="105">
        <f t="shared" si="36"/>
        <v>6.9994840365956472</v>
      </c>
      <c r="O168" s="105">
        <f t="shared" si="36"/>
        <v>6.9994840365956472</v>
      </c>
      <c r="P168" s="106">
        <f t="shared" si="36"/>
        <v>6.9994840365956472</v>
      </c>
      <c r="Q168" s="456">
        <f t="shared" si="33"/>
        <v>83.99380843914777</v>
      </c>
      <c r="R168" s="456"/>
      <c r="S168" s="391"/>
    </row>
    <row r="169" spans="1:19" x14ac:dyDescent="0.35">
      <c r="A169" s="534" t="str">
        <f>VLOOKUP($D169,$A$10:$D$130,4,FALSE)</f>
        <v>Other G&amp;A-allocated from LIK</v>
      </c>
      <c r="D169" s="104" t="s">
        <v>124</v>
      </c>
      <c r="E169" s="105">
        <f t="shared" si="36"/>
        <v>200</v>
      </c>
      <c r="F169" s="105">
        <f t="shared" si="36"/>
        <v>200</v>
      </c>
      <c r="G169" s="105">
        <f t="shared" si="36"/>
        <v>200</v>
      </c>
      <c r="H169" s="105">
        <f t="shared" si="36"/>
        <v>200</v>
      </c>
      <c r="I169" s="105">
        <f t="shared" si="36"/>
        <v>200</v>
      </c>
      <c r="J169" s="105">
        <f t="shared" si="36"/>
        <v>200</v>
      </c>
      <c r="K169" s="105">
        <f t="shared" si="36"/>
        <v>200</v>
      </c>
      <c r="L169" s="105">
        <f t="shared" si="36"/>
        <v>200</v>
      </c>
      <c r="M169" s="105">
        <f t="shared" si="36"/>
        <v>200</v>
      </c>
      <c r="N169" s="105">
        <f t="shared" si="36"/>
        <v>200</v>
      </c>
      <c r="O169" s="105">
        <f t="shared" si="36"/>
        <v>200</v>
      </c>
      <c r="P169" s="106">
        <f t="shared" si="36"/>
        <v>200</v>
      </c>
      <c r="Q169" s="456">
        <f t="shared" si="33"/>
        <v>2400</v>
      </c>
      <c r="R169" s="456"/>
      <c r="S169" s="391"/>
    </row>
    <row r="170" spans="1:19" x14ac:dyDescent="0.35">
      <c r="A170" s="534" t="str">
        <f>VLOOKUP($D170,$A$10:$D$130,4,FALSE)</f>
        <v>Land Improvements</v>
      </c>
      <c r="D170" s="104" t="s">
        <v>125</v>
      </c>
      <c r="E170" s="105">
        <f t="shared" si="36"/>
        <v>0</v>
      </c>
      <c r="F170" s="105">
        <f t="shared" si="36"/>
        <v>0</v>
      </c>
      <c r="G170" s="105">
        <f t="shared" si="36"/>
        <v>0</v>
      </c>
      <c r="H170" s="105">
        <f t="shared" si="36"/>
        <v>0</v>
      </c>
      <c r="I170" s="105">
        <f t="shared" si="36"/>
        <v>0</v>
      </c>
      <c r="J170" s="105">
        <f t="shared" si="36"/>
        <v>0</v>
      </c>
      <c r="K170" s="105">
        <f t="shared" si="36"/>
        <v>0</v>
      </c>
      <c r="L170" s="105">
        <f t="shared" si="36"/>
        <v>0</v>
      </c>
      <c r="M170" s="105">
        <f t="shared" si="36"/>
        <v>0</v>
      </c>
      <c r="N170" s="105">
        <f t="shared" si="36"/>
        <v>0</v>
      </c>
      <c r="O170" s="105">
        <f t="shared" si="36"/>
        <v>0</v>
      </c>
      <c r="P170" s="106">
        <f t="shared" si="36"/>
        <v>0</v>
      </c>
      <c r="Q170" s="456">
        <f t="shared" si="33"/>
        <v>0</v>
      </c>
      <c r="R170" s="456"/>
      <c r="S170" s="391"/>
    </row>
    <row r="171" spans="1:19" x14ac:dyDescent="0.35">
      <c r="A171" s="534" t="str">
        <f t="shared" ref="A171:A172" si="37">VLOOKUP($D171,$A$10:$D$130,4,FALSE)</f>
        <v>Buildings</v>
      </c>
      <c r="D171" s="104" t="s">
        <v>126</v>
      </c>
      <c r="E171" s="105">
        <f t="shared" si="36"/>
        <v>0</v>
      </c>
      <c r="F171" s="105">
        <f t="shared" si="36"/>
        <v>0</v>
      </c>
      <c r="G171" s="105">
        <f t="shared" si="36"/>
        <v>0</v>
      </c>
      <c r="H171" s="105">
        <f t="shared" si="36"/>
        <v>0</v>
      </c>
      <c r="I171" s="105">
        <f t="shared" si="36"/>
        <v>0</v>
      </c>
      <c r="J171" s="105">
        <f t="shared" si="36"/>
        <v>0</v>
      </c>
      <c r="K171" s="105">
        <f t="shared" si="36"/>
        <v>0</v>
      </c>
      <c r="L171" s="105">
        <f t="shared" si="36"/>
        <v>0</v>
      </c>
      <c r="M171" s="105">
        <f t="shared" si="36"/>
        <v>0</v>
      </c>
      <c r="N171" s="105">
        <f t="shared" si="36"/>
        <v>0</v>
      </c>
      <c r="O171" s="105">
        <f t="shared" si="36"/>
        <v>0</v>
      </c>
      <c r="P171" s="106">
        <f t="shared" si="36"/>
        <v>0</v>
      </c>
      <c r="Q171" s="456">
        <f t="shared" si="33"/>
        <v>0</v>
      </c>
      <c r="R171" s="456"/>
      <c r="S171" s="391"/>
    </row>
    <row r="172" spans="1:19" x14ac:dyDescent="0.35">
      <c r="A172" s="534" t="str">
        <f t="shared" si="37"/>
        <v>Equipment</v>
      </c>
      <c r="D172" s="104" t="s">
        <v>127</v>
      </c>
      <c r="E172" s="105">
        <f t="shared" si="36"/>
        <v>0</v>
      </c>
      <c r="F172" s="105">
        <f t="shared" si="36"/>
        <v>0</v>
      </c>
      <c r="G172" s="105">
        <f t="shared" si="36"/>
        <v>0</v>
      </c>
      <c r="H172" s="105">
        <f t="shared" si="36"/>
        <v>0</v>
      </c>
      <c r="I172" s="105">
        <f t="shared" si="36"/>
        <v>0</v>
      </c>
      <c r="J172" s="105">
        <f t="shared" si="36"/>
        <v>0</v>
      </c>
      <c r="K172" s="105">
        <f t="shared" si="36"/>
        <v>0</v>
      </c>
      <c r="L172" s="105">
        <f t="shared" si="36"/>
        <v>0</v>
      </c>
      <c r="M172" s="105">
        <f t="shared" si="36"/>
        <v>0</v>
      </c>
      <c r="N172" s="105">
        <f t="shared" si="36"/>
        <v>0</v>
      </c>
      <c r="O172" s="105">
        <f t="shared" si="36"/>
        <v>0</v>
      </c>
      <c r="P172" s="106">
        <f t="shared" si="36"/>
        <v>0</v>
      </c>
      <c r="Q172" s="456">
        <f t="shared" si="33"/>
        <v>0</v>
      </c>
      <c r="R172" s="456"/>
      <c r="S172" s="391"/>
    </row>
    <row r="173" spans="1:19" x14ac:dyDescent="0.35">
      <c r="A173" s="534" t="str">
        <f>VLOOKUP($D173,$A$10:$D$130,3,FALSE)</f>
        <v>Tenant Improvements</v>
      </c>
      <c r="D173" s="104" t="s">
        <v>128</v>
      </c>
      <c r="E173" s="105">
        <f t="shared" si="36"/>
        <v>0</v>
      </c>
      <c r="F173" s="105">
        <f t="shared" si="36"/>
        <v>0</v>
      </c>
      <c r="G173" s="105">
        <f t="shared" si="36"/>
        <v>0</v>
      </c>
      <c r="H173" s="105">
        <f t="shared" si="36"/>
        <v>0</v>
      </c>
      <c r="I173" s="105">
        <f t="shared" si="36"/>
        <v>0</v>
      </c>
      <c r="J173" s="105">
        <f t="shared" si="36"/>
        <v>0</v>
      </c>
      <c r="K173" s="105">
        <f t="shared" si="36"/>
        <v>0</v>
      </c>
      <c r="L173" s="105">
        <f t="shared" si="36"/>
        <v>0</v>
      </c>
      <c r="M173" s="105">
        <f t="shared" si="36"/>
        <v>0</v>
      </c>
      <c r="N173" s="105">
        <f t="shared" si="36"/>
        <v>0</v>
      </c>
      <c r="O173" s="105">
        <f t="shared" si="36"/>
        <v>0</v>
      </c>
      <c r="P173" s="106">
        <f t="shared" si="36"/>
        <v>0</v>
      </c>
      <c r="Q173" s="456">
        <f t="shared" si="33"/>
        <v>0</v>
      </c>
      <c r="R173" s="456"/>
      <c r="S173" s="391"/>
    </row>
    <row r="174" spans="1:19" x14ac:dyDescent="0.35">
      <c r="A174" s="534" t="str">
        <f>VLOOKUP($D174,$A$10:$D$130,3,FALSE)</f>
        <v>Outside Leasing Commissions</v>
      </c>
      <c r="D174" s="104" t="s">
        <v>129</v>
      </c>
      <c r="E174" s="105">
        <f t="shared" si="36"/>
        <v>0</v>
      </c>
      <c r="F174" s="105">
        <f t="shared" si="36"/>
        <v>0</v>
      </c>
      <c r="G174" s="105">
        <f t="shared" si="36"/>
        <v>0</v>
      </c>
      <c r="H174" s="105">
        <f t="shared" si="36"/>
        <v>0</v>
      </c>
      <c r="I174" s="105">
        <f t="shared" si="36"/>
        <v>0</v>
      </c>
      <c r="J174" s="105">
        <f t="shared" si="36"/>
        <v>0</v>
      </c>
      <c r="K174" s="105">
        <f t="shared" si="36"/>
        <v>0</v>
      </c>
      <c r="L174" s="105">
        <f t="shared" si="36"/>
        <v>0</v>
      </c>
      <c r="M174" s="105">
        <f t="shared" si="36"/>
        <v>0</v>
      </c>
      <c r="N174" s="105">
        <f t="shared" si="36"/>
        <v>0</v>
      </c>
      <c r="O174" s="105">
        <f t="shared" si="36"/>
        <v>0</v>
      </c>
      <c r="P174" s="106">
        <f t="shared" si="36"/>
        <v>0</v>
      </c>
      <c r="Q174" s="456">
        <f t="shared" si="33"/>
        <v>0</v>
      </c>
      <c r="R174" s="456"/>
      <c r="S174" s="391"/>
    </row>
    <row r="175" spans="1:19" x14ac:dyDescent="0.35">
      <c r="A175" s="534" t="str">
        <f>VLOOKUP($D175,$A$10:$D$130,3,FALSE)</f>
        <v>Interest</v>
      </c>
      <c r="D175" s="104" t="s">
        <v>132</v>
      </c>
      <c r="E175" s="105">
        <f t="shared" si="36"/>
        <v>4215.9092911166199</v>
      </c>
      <c r="F175" s="105">
        <f t="shared" si="36"/>
        <v>4215.9092911166199</v>
      </c>
      <c r="G175" s="105">
        <f t="shared" si="36"/>
        <v>4215.9092911166199</v>
      </c>
      <c r="H175" s="105">
        <f t="shared" si="36"/>
        <v>4215.9092911166199</v>
      </c>
      <c r="I175" s="105">
        <f t="shared" si="36"/>
        <v>4215.9092911166199</v>
      </c>
      <c r="J175" s="105">
        <f t="shared" si="36"/>
        <v>4215.9092911166199</v>
      </c>
      <c r="K175" s="105">
        <f t="shared" si="36"/>
        <v>4215.9092911166199</v>
      </c>
      <c r="L175" s="105">
        <f t="shared" si="36"/>
        <v>4215.9092911166199</v>
      </c>
      <c r="M175" s="105">
        <f t="shared" si="36"/>
        <v>4215.9092911166199</v>
      </c>
      <c r="N175" s="105">
        <f t="shared" si="36"/>
        <v>4215.9092911166199</v>
      </c>
      <c r="O175" s="105">
        <f t="shared" si="36"/>
        <v>4215.9092911166199</v>
      </c>
      <c r="P175" s="106">
        <f t="shared" si="36"/>
        <v>4215.9092911166199</v>
      </c>
      <c r="Q175" s="456">
        <f t="shared" si="33"/>
        <v>50590.91149339945</v>
      </c>
      <c r="R175" s="456"/>
      <c r="S175" s="391"/>
    </row>
    <row r="176" spans="1:19" ht="16.5" thickBot="1" x14ac:dyDescent="0.4">
      <c r="A176" s="534" t="str">
        <f>VLOOKUP($D176,$A$10:$D$130,3,FALSE)</f>
        <v>Mortgage Amortization</v>
      </c>
      <c r="D176" s="107" t="s">
        <v>149</v>
      </c>
      <c r="E176" s="108">
        <f t="shared" si="36"/>
        <v>0</v>
      </c>
      <c r="F176" s="108">
        <f t="shared" si="36"/>
        <v>0</v>
      </c>
      <c r="G176" s="108">
        <f t="shared" si="36"/>
        <v>0</v>
      </c>
      <c r="H176" s="108">
        <f t="shared" si="36"/>
        <v>0</v>
      </c>
      <c r="I176" s="108">
        <f t="shared" si="36"/>
        <v>0</v>
      </c>
      <c r="J176" s="108">
        <f t="shared" si="36"/>
        <v>0</v>
      </c>
      <c r="K176" s="108">
        <f t="shared" si="36"/>
        <v>0</v>
      </c>
      <c r="L176" s="108">
        <f t="shared" si="36"/>
        <v>0</v>
      </c>
      <c r="M176" s="108">
        <f t="shared" si="36"/>
        <v>0</v>
      </c>
      <c r="N176" s="108">
        <f t="shared" si="36"/>
        <v>0</v>
      </c>
      <c r="O176" s="108">
        <f t="shared" si="36"/>
        <v>0</v>
      </c>
      <c r="P176" s="109">
        <f t="shared" si="36"/>
        <v>0</v>
      </c>
      <c r="Q176" s="456">
        <f t="shared" si="33"/>
        <v>0</v>
      </c>
      <c r="R176" s="456"/>
      <c r="S176" s="391"/>
    </row>
    <row r="177" spans="5:20" x14ac:dyDescent="0.35">
      <c r="E177" s="34">
        <f t="shared" ref="E177:Q177" si="38">SUM(E143:E176)</f>
        <v>-4195.8160560939914</v>
      </c>
      <c r="F177" s="34">
        <f t="shared" si="38"/>
        <v>-4783.1947984017361</v>
      </c>
      <c r="G177" s="34">
        <f t="shared" si="38"/>
        <v>-4695.9607568017318</v>
      </c>
      <c r="H177" s="34">
        <f t="shared" si="38"/>
        <v>-2857.5020219361568</v>
      </c>
      <c r="I177" s="34">
        <f t="shared" si="38"/>
        <v>-5102.4607568017354</v>
      </c>
      <c r="J177" s="34">
        <f t="shared" si="38"/>
        <v>-5558.4607568017354</v>
      </c>
      <c r="K177" s="34">
        <f t="shared" si="38"/>
        <v>-4890.0820144939944</v>
      </c>
      <c r="L177" s="34">
        <f t="shared" si="38"/>
        <v>-5577.4607568017354</v>
      </c>
      <c r="M177" s="34">
        <f t="shared" si="38"/>
        <v>-4238.4607568017318</v>
      </c>
      <c r="N177" s="34">
        <f t="shared" si="38"/>
        <v>-4931.0820144939944</v>
      </c>
      <c r="O177" s="34">
        <f t="shared" si="38"/>
        <v>-4055.5807568017344</v>
      </c>
      <c r="P177" s="34">
        <f t="shared" si="38"/>
        <v>-4792.3147984017351</v>
      </c>
      <c r="Q177" s="391">
        <f t="shared" si="38"/>
        <v>-55678.376244631952</v>
      </c>
      <c r="R177" s="391"/>
      <c r="S177" s="391"/>
    </row>
    <row r="178" spans="5:20" x14ac:dyDescent="0.35">
      <c r="E178" s="62">
        <f t="shared" ref="E178:Q178" si="39">E131+E177</f>
        <v>0</v>
      </c>
      <c r="F178" s="62">
        <f t="shared" si="39"/>
        <v>0</v>
      </c>
      <c r="G178" s="62">
        <f t="shared" si="39"/>
        <v>0</v>
      </c>
      <c r="H178" s="62">
        <f t="shared" si="39"/>
        <v>0</v>
      </c>
      <c r="I178" s="62">
        <f t="shared" si="39"/>
        <v>0</v>
      </c>
      <c r="J178" s="62">
        <f t="shared" si="39"/>
        <v>0</v>
      </c>
      <c r="K178" s="62">
        <f t="shared" si="39"/>
        <v>0</v>
      </c>
      <c r="L178" s="62">
        <f t="shared" si="39"/>
        <v>0</v>
      </c>
      <c r="M178" s="62">
        <f t="shared" si="39"/>
        <v>0</v>
      </c>
      <c r="N178" s="62">
        <f t="shared" si="39"/>
        <v>0</v>
      </c>
      <c r="O178" s="62">
        <f t="shared" si="39"/>
        <v>0</v>
      </c>
      <c r="P178" s="62">
        <f t="shared" si="39"/>
        <v>0</v>
      </c>
      <c r="Q178" s="62">
        <f t="shared" si="39"/>
        <v>7.2759576141834259E-11</v>
      </c>
      <c r="R178" s="391"/>
      <c r="S178" s="416"/>
      <c r="T178" s="417"/>
    </row>
    <row r="179" spans="5:20" x14ac:dyDescent="0.35">
      <c r="Q179" s="391"/>
      <c r="R179" s="391"/>
      <c r="S179" s="416"/>
      <c r="T179" s="417"/>
    </row>
    <row r="180" spans="5:20" x14ac:dyDescent="0.35">
      <c r="Q180" s="391"/>
      <c r="R180" s="391"/>
      <c r="S180" s="416"/>
      <c r="T180" s="417"/>
    </row>
    <row r="181" spans="5:20" x14ac:dyDescent="0.35">
      <c r="Q181" s="391"/>
      <c r="R181" s="391"/>
      <c r="S181" s="416"/>
      <c r="T181" s="417"/>
    </row>
    <row r="182" spans="5:20" x14ac:dyDescent="0.35">
      <c r="Q182" s="391"/>
      <c r="R182" s="391"/>
      <c r="S182" s="416"/>
      <c r="T182" s="417"/>
    </row>
    <row r="183" spans="5:20" x14ac:dyDescent="0.35">
      <c r="Q183" s="391"/>
      <c r="R183" s="391"/>
      <c r="S183" s="416"/>
      <c r="T183" s="417"/>
    </row>
    <row r="184" spans="5:20" x14ac:dyDescent="0.35">
      <c r="Q184" s="391"/>
      <c r="R184" s="391"/>
      <c r="S184" s="416"/>
      <c r="T184" s="417"/>
    </row>
    <row r="185" spans="5:20" x14ac:dyDescent="0.35">
      <c r="Q185" s="391"/>
      <c r="R185" s="391"/>
      <c r="S185" s="416"/>
      <c r="T185" s="417"/>
    </row>
    <row r="186" spans="5:20" x14ac:dyDescent="0.35">
      <c r="Q186" s="391"/>
      <c r="R186" s="391"/>
      <c r="S186" s="416"/>
      <c r="T186" s="417"/>
    </row>
    <row r="187" spans="5:20" x14ac:dyDescent="0.35">
      <c r="Q187" s="391"/>
      <c r="R187" s="391"/>
      <c r="S187" s="416"/>
      <c r="T187" s="417"/>
    </row>
    <row r="188" spans="5:20" x14ac:dyDescent="0.35">
      <c r="Q188" s="391"/>
      <c r="R188" s="391"/>
      <c r="S188" s="416"/>
      <c r="T188" s="417"/>
    </row>
    <row r="189" spans="5:20" x14ac:dyDescent="0.35">
      <c r="Q189" s="391"/>
      <c r="R189" s="391"/>
      <c r="S189" s="416"/>
      <c r="T189" s="417"/>
    </row>
    <row r="190" spans="5:20" x14ac:dyDescent="0.35">
      <c r="Q190" s="391"/>
      <c r="R190" s="391"/>
      <c r="S190" s="416"/>
      <c r="T190" s="417"/>
    </row>
    <row r="191" spans="5:20" x14ac:dyDescent="0.35">
      <c r="Q191" s="391"/>
      <c r="R191" s="391"/>
      <c r="S191" s="416"/>
      <c r="T191" s="417"/>
    </row>
    <row r="192" spans="5:20" x14ac:dyDescent="0.35">
      <c r="Q192" s="391"/>
      <c r="R192" s="391"/>
      <c r="S192" s="416"/>
      <c r="T192" s="417"/>
    </row>
    <row r="193" spans="17:20" x14ac:dyDescent="0.35">
      <c r="Q193" s="391"/>
      <c r="R193" s="391"/>
      <c r="S193" s="416"/>
      <c r="T193" s="417"/>
    </row>
    <row r="194" spans="17:20" x14ac:dyDescent="0.35">
      <c r="Q194" s="391"/>
      <c r="R194" s="391"/>
      <c r="S194" s="416"/>
      <c r="T194" s="417"/>
    </row>
    <row r="195" spans="17:20" x14ac:dyDescent="0.35">
      <c r="Q195" s="391"/>
      <c r="R195" s="391"/>
      <c r="S195" s="416"/>
      <c r="T195" s="417"/>
    </row>
    <row r="196" spans="17:20" x14ac:dyDescent="0.35">
      <c r="Q196" s="391"/>
      <c r="R196" s="391"/>
      <c r="S196" s="391"/>
    </row>
    <row r="197" spans="17:20" x14ac:dyDescent="0.35">
      <c r="Q197" s="391"/>
      <c r="R197" s="391"/>
      <c r="S197" s="422"/>
      <c r="T197" s="423"/>
    </row>
    <row r="198" spans="17:20" x14ac:dyDescent="0.35">
      <c r="Q198" s="391"/>
      <c r="R198" s="391"/>
      <c r="S198" s="391"/>
    </row>
    <row r="199" spans="17:20" x14ac:dyDescent="0.35">
      <c r="Q199" s="391"/>
      <c r="R199" s="391"/>
      <c r="S199" s="391"/>
    </row>
    <row r="200" spans="17:20" x14ac:dyDescent="0.35">
      <c r="Q200" s="391"/>
      <c r="R200" s="391"/>
      <c r="S200" s="416"/>
      <c r="T200" s="417"/>
    </row>
    <row r="201" spans="17:20" x14ac:dyDescent="0.35">
      <c r="Q201" s="391"/>
      <c r="R201" s="391"/>
      <c r="S201" s="416"/>
      <c r="T201" s="417"/>
    </row>
  </sheetData>
  <sheetProtection formatColumns="0" selectLockedCells="1"/>
  <phoneticPr fontId="3" type="noConversion"/>
  <conditionalFormatting sqref="E178:Q178">
    <cfRule type="cellIs" dxfId="63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EC6778E1-95DB-4E5B-857E-E08FB7AA001D}"/>
  </dataValidations>
  <printOptions horizontalCentered="1" verticalCentered="1"/>
  <pageMargins left="0.25" right="0.25" top="0.75" bottom="0.75" header="0.3" footer="0.3"/>
  <pageSetup scale="40" fitToHeight="2" orientation="landscape" r:id="rId1"/>
  <headerFooter>
    <oddHeader>&amp;R&amp;D</oddHeader>
    <oddFooter>Page &amp;P of &amp;N</oddFooter>
  </headerFooter>
  <rowBreaks count="1" manualBreakCount="1">
    <brk id="72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>
    <tabColor rgb="FF92D050"/>
  </sheetPr>
  <dimension ref="A1:Z970"/>
  <sheetViews>
    <sheetView zoomScale="130" zoomScaleNormal="130" workbookViewId="0">
      <selection activeCell="B143" sqref="B143"/>
    </sheetView>
  </sheetViews>
  <sheetFormatPr defaultColWidth="8.81640625" defaultRowHeight="16" x14ac:dyDescent="0.35"/>
  <cols>
    <col min="1" max="1" width="14.81640625" style="34" bestFit="1" customWidth="1"/>
    <col min="2" max="2" width="15.81640625" style="34" customWidth="1"/>
    <col min="3" max="3" width="39.1796875" style="34" bestFit="1" customWidth="1"/>
    <col min="4" max="4" width="17.1796875" style="34" customWidth="1"/>
    <col min="5" max="5" width="17.81640625" style="34" customWidth="1"/>
    <col min="6" max="6" width="15.81640625" style="34" customWidth="1"/>
    <col min="7" max="7" width="19.1796875" style="162" bestFit="1" customWidth="1"/>
    <col min="8" max="8" width="9.453125" style="264" customWidth="1"/>
    <col min="9" max="9" width="8.81640625" style="34"/>
    <col min="10" max="10" width="10.1796875" style="34" bestFit="1" customWidth="1"/>
    <col min="11" max="11" width="99.453125" style="34" bestFit="1" customWidth="1"/>
    <col min="12" max="12" width="17.453125" style="34" bestFit="1" customWidth="1"/>
    <col min="13" max="23" width="11.1796875" style="34" bestFit="1" customWidth="1"/>
    <col min="24" max="24" width="10.1796875" style="34" bestFit="1" customWidth="1"/>
    <col min="25" max="25" width="6.54296875" style="34" bestFit="1" customWidth="1"/>
    <col min="26" max="26" width="12.453125" style="34" bestFit="1" customWidth="1"/>
    <col min="27" max="16384" width="8.81640625" style="34"/>
  </cols>
  <sheetData>
    <row r="1" spans="1:15" x14ac:dyDescent="0.35">
      <c r="A1" s="43" t="s">
        <v>289</v>
      </c>
      <c r="B1" s="43" t="s">
        <v>290</v>
      </c>
      <c r="C1" s="43" t="s">
        <v>165</v>
      </c>
      <c r="D1" s="43" t="s">
        <v>166</v>
      </c>
      <c r="E1" s="43" t="s">
        <v>167</v>
      </c>
      <c r="F1" s="43" t="s">
        <v>291</v>
      </c>
      <c r="G1" s="161" t="s">
        <v>292</v>
      </c>
      <c r="H1" s="265" t="s">
        <v>232</v>
      </c>
      <c r="K1" s="105" t="s">
        <v>395</v>
      </c>
      <c r="L1" s="105"/>
      <c r="M1" s="105"/>
      <c r="N1" s="105"/>
      <c r="O1" s="105"/>
    </row>
    <row r="2" spans="1:15" x14ac:dyDescent="0.35">
      <c r="A2" s="38" t="s">
        <v>168</v>
      </c>
      <c r="B2" s="38" t="s">
        <v>170</v>
      </c>
      <c r="C2" s="38" t="s">
        <v>171</v>
      </c>
      <c r="D2" s="38" t="s">
        <v>372</v>
      </c>
      <c r="E2" s="38" t="s">
        <v>169</v>
      </c>
      <c r="F2" s="38" t="s">
        <v>136</v>
      </c>
      <c r="G2" s="266">
        <v>2601.63</v>
      </c>
      <c r="H2" s="264">
        <f t="shared" ref="H2:H112" si="0">IF(D2="",0,MONTH(D2))</f>
        <v>1</v>
      </c>
      <c r="K2" s="105" t="s">
        <v>396</v>
      </c>
      <c r="L2" s="105"/>
      <c r="M2" s="105"/>
      <c r="N2" s="105"/>
      <c r="O2" s="105"/>
    </row>
    <row r="3" spans="1:15" x14ac:dyDescent="0.35">
      <c r="A3" s="38" t="s">
        <v>168</v>
      </c>
      <c r="B3" s="38" t="s">
        <v>170</v>
      </c>
      <c r="C3" s="38" t="s">
        <v>171</v>
      </c>
      <c r="D3" s="38" t="s">
        <v>373</v>
      </c>
      <c r="E3" s="38" t="s">
        <v>169</v>
      </c>
      <c r="F3" s="38" t="s">
        <v>136</v>
      </c>
      <c r="G3" s="266">
        <v>2601.63</v>
      </c>
      <c r="H3" s="264">
        <f t="shared" si="0"/>
        <v>2</v>
      </c>
    </row>
    <row r="4" spans="1:15" x14ac:dyDescent="0.35">
      <c r="A4" s="38" t="s">
        <v>168</v>
      </c>
      <c r="B4" s="38" t="s">
        <v>170</v>
      </c>
      <c r="C4" s="38" t="s">
        <v>171</v>
      </c>
      <c r="D4" s="38" t="s">
        <v>374</v>
      </c>
      <c r="E4" s="38" t="s">
        <v>169</v>
      </c>
      <c r="F4" s="38" t="s">
        <v>136</v>
      </c>
      <c r="G4" s="266">
        <v>2601.63</v>
      </c>
      <c r="H4" s="264">
        <f t="shared" si="0"/>
        <v>3</v>
      </c>
    </row>
    <row r="5" spans="1:15" x14ac:dyDescent="0.35">
      <c r="A5" s="38" t="s">
        <v>168</v>
      </c>
      <c r="B5" s="38" t="s">
        <v>170</v>
      </c>
      <c r="C5" s="38" t="s">
        <v>171</v>
      </c>
      <c r="D5" s="38" t="s">
        <v>375</v>
      </c>
      <c r="E5" s="38" t="s">
        <v>169</v>
      </c>
      <c r="F5" s="38" t="s">
        <v>136</v>
      </c>
      <c r="G5" s="267">
        <v>2601.63</v>
      </c>
      <c r="H5" s="264">
        <f t="shared" si="0"/>
        <v>4</v>
      </c>
    </row>
    <row r="6" spans="1:15" x14ac:dyDescent="0.35">
      <c r="A6" s="38" t="s">
        <v>168</v>
      </c>
      <c r="B6" s="38" t="s">
        <v>170</v>
      </c>
      <c r="C6" s="38" t="s">
        <v>171</v>
      </c>
      <c r="D6" s="38" t="s">
        <v>376</v>
      </c>
      <c r="E6" s="38" t="s">
        <v>169</v>
      </c>
      <c r="F6" s="38" t="s">
        <v>136</v>
      </c>
      <c r="G6" s="266">
        <v>2601.63</v>
      </c>
      <c r="H6" s="264">
        <f t="shared" si="0"/>
        <v>5</v>
      </c>
    </row>
    <row r="7" spans="1:15" x14ac:dyDescent="0.35">
      <c r="A7" s="38" t="s">
        <v>168</v>
      </c>
      <c r="B7" s="38" t="s">
        <v>170</v>
      </c>
      <c r="C7" s="38" t="s">
        <v>171</v>
      </c>
      <c r="D7" s="38" t="s">
        <v>377</v>
      </c>
      <c r="E7" s="38" t="s">
        <v>169</v>
      </c>
      <c r="F7" s="38" t="s">
        <v>136</v>
      </c>
      <c r="G7" s="266">
        <v>2601.63</v>
      </c>
      <c r="H7" s="264">
        <f t="shared" si="0"/>
        <v>6</v>
      </c>
    </row>
    <row r="8" spans="1:15" x14ac:dyDescent="0.35">
      <c r="A8" s="38" t="s">
        <v>168</v>
      </c>
      <c r="B8" s="38" t="s">
        <v>170</v>
      </c>
      <c r="C8" s="38" t="s">
        <v>171</v>
      </c>
      <c r="D8" s="38" t="s">
        <v>378</v>
      </c>
      <c r="E8" s="38" t="s">
        <v>169</v>
      </c>
      <c r="F8" s="38" t="s">
        <v>136</v>
      </c>
      <c r="G8" s="266">
        <v>2601.63</v>
      </c>
      <c r="H8" s="264">
        <f t="shared" si="0"/>
        <v>7</v>
      </c>
    </row>
    <row r="9" spans="1:15" x14ac:dyDescent="0.35">
      <c r="A9" s="38" t="s">
        <v>168</v>
      </c>
      <c r="B9" s="38" t="s">
        <v>170</v>
      </c>
      <c r="C9" s="38" t="s">
        <v>171</v>
      </c>
      <c r="D9" s="38" t="s">
        <v>379</v>
      </c>
      <c r="E9" s="38" t="s">
        <v>169</v>
      </c>
      <c r="F9" s="38" t="s">
        <v>136</v>
      </c>
      <c r="G9" s="266">
        <v>2601.63</v>
      </c>
      <c r="H9" s="264">
        <f t="shared" si="0"/>
        <v>8</v>
      </c>
    </row>
    <row r="10" spans="1:15" x14ac:dyDescent="0.35">
      <c r="A10" s="38" t="s">
        <v>168</v>
      </c>
      <c r="B10" s="38" t="s">
        <v>170</v>
      </c>
      <c r="C10" s="38" t="s">
        <v>171</v>
      </c>
      <c r="D10" s="38" t="s">
        <v>380</v>
      </c>
      <c r="E10" s="38" t="s">
        <v>169</v>
      </c>
      <c r="F10" s="38" t="s">
        <v>136</v>
      </c>
      <c r="G10" s="266">
        <v>2601.63</v>
      </c>
      <c r="H10" s="264">
        <f t="shared" si="0"/>
        <v>9</v>
      </c>
    </row>
    <row r="11" spans="1:15" x14ac:dyDescent="0.35">
      <c r="A11" s="38" t="s">
        <v>168</v>
      </c>
      <c r="B11" s="38" t="s">
        <v>170</v>
      </c>
      <c r="C11" s="38" t="s">
        <v>171</v>
      </c>
      <c r="D11" s="38" t="s">
        <v>381</v>
      </c>
      <c r="E11" s="38" t="s">
        <v>169</v>
      </c>
      <c r="F11" s="38" t="s">
        <v>136</v>
      </c>
      <c r="G11" s="266">
        <v>2601.63</v>
      </c>
      <c r="H11" s="264">
        <f t="shared" si="0"/>
        <v>10</v>
      </c>
    </row>
    <row r="12" spans="1:15" x14ac:dyDescent="0.35">
      <c r="A12" s="38" t="s">
        <v>168</v>
      </c>
      <c r="B12" s="38" t="s">
        <v>170</v>
      </c>
      <c r="C12" s="38" t="s">
        <v>171</v>
      </c>
      <c r="D12" s="38" t="s">
        <v>382</v>
      </c>
      <c r="E12" s="38" t="s">
        <v>169</v>
      </c>
      <c r="F12" s="38" t="s">
        <v>136</v>
      </c>
      <c r="G12" s="266">
        <v>2601.63</v>
      </c>
      <c r="H12" s="264">
        <f t="shared" si="0"/>
        <v>11</v>
      </c>
    </row>
    <row r="13" spans="1:15" x14ac:dyDescent="0.35">
      <c r="A13" s="38" t="s">
        <v>168</v>
      </c>
      <c r="B13" s="38" t="s">
        <v>170</v>
      </c>
      <c r="C13" s="38" t="s">
        <v>171</v>
      </c>
      <c r="D13" s="38" t="s">
        <v>383</v>
      </c>
      <c r="E13" s="38" t="s">
        <v>169</v>
      </c>
      <c r="F13" s="38" t="s">
        <v>136</v>
      </c>
      <c r="G13" s="266">
        <v>2601.63</v>
      </c>
      <c r="H13" s="264">
        <f t="shared" si="0"/>
        <v>12</v>
      </c>
    </row>
    <row r="14" spans="1:15" x14ac:dyDescent="0.35">
      <c r="A14" s="38" t="s">
        <v>168</v>
      </c>
      <c r="B14" s="38" t="s">
        <v>322</v>
      </c>
      <c r="C14" s="38" t="s">
        <v>323</v>
      </c>
      <c r="D14" s="38" t="s">
        <v>372</v>
      </c>
      <c r="E14" s="38" t="s">
        <v>169</v>
      </c>
      <c r="F14" s="38" t="s">
        <v>136</v>
      </c>
      <c r="G14" s="266">
        <v>1046.79</v>
      </c>
      <c r="H14" s="264">
        <f t="shared" si="0"/>
        <v>1</v>
      </c>
    </row>
    <row r="15" spans="1:15" x14ac:dyDescent="0.35">
      <c r="A15" s="38" t="s">
        <v>168</v>
      </c>
      <c r="B15" s="38" t="s">
        <v>322</v>
      </c>
      <c r="C15" s="38" t="s">
        <v>323</v>
      </c>
      <c r="D15" s="38" t="s">
        <v>373</v>
      </c>
      <c r="E15" s="38" t="s">
        <v>169</v>
      </c>
      <c r="F15" s="38" t="s">
        <v>136</v>
      </c>
      <c r="G15" s="266">
        <v>1046.79</v>
      </c>
      <c r="H15" s="264">
        <f t="shared" si="0"/>
        <v>2</v>
      </c>
    </row>
    <row r="16" spans="1:15" x14ac:dyDescent="0.35">
      <c r="A16" s="38" t="s">
        <v>168</v>
      </c>
      <c r="B16" s="38" t="s">
        <v>322</v>
      </c>
      <c r="C16" s="38" t="s">
        <v>323</v>
      </c>
      <c r="D16" s="38" t="s">
        <v>374</v>
      </c>
      <c r="E16" s="38" t="s">
        <v>169</v>
      </c>
      <c r="F16" s="38" t="s">
        <v>136</v>
      </c>
      <c r="G16" s="266">
        <v>1046.79</v>
      </c>
      <c r="H16" s="264">
        <f t="shared" si="0"/>
        <v>3</v>
      </c>
    </row>
    <row r="17" spans="1:26" x14ac:dyDescent="0.35">
      <c r="A17" s="38" t="s">
        <v>168</v>
      </c>
      <c r="B17" s="38" t="s">
        <v>322</v>
      </c>
      <c r="C17" s="38" t="s">
        <v>323</v>
      </c>
      <c r="D17" s="38" t="s">
        <v>375</v>
      </c>
      <c r="E17" s="38" t="s">
        <v>169</v>
      </c>
      <c r="F17" s="38" t="s">
        <v>136</v>
      </c>
      <c r="G17" s="266">
        <v>1046.79</v>
      </c>
      <c r="H17" s="264">
        <f t="shared" si="0"/>
        <v>4</v>
      </c>
    </row>
    <row r="18" spans="1:26" x14ac:dyDescent="0.35">
      <c r="A18" s="38" t="s">
        <v>168</v>
      </c>
      <c r="B18" s="38" t="s">
        <v>322</v>
      </c>
      <c r="C18" s="38" t="s">
        <v>323</v>
      </c>
      <c r="D18" s="38" t="s">
        <v>376</v>
      </c>
      <c r="E18" s="38" t="s">
        <v>169</v>
      </c>
      <c r="F18" s="38" t="s">
        <v>136</v>
      </c>
      <c r="G18" s="266">
        <v>1046.79</v>
      </c>
      <c r="H18" s="264">
        <f t="shared" si="0"/>
        <v>5</v>
      </c>
    </row>
    <row r="19" spans="1:26" x14ac:dyDescent="0.35">
      <c r="A19" s="38" t="s">
        <v>168</v>
      </c>
      <c r="B19" s="38" t="s">
        <v>322</v>
      </c>
      <c r="C19" s="38" t="s">
        <v>323</v>
      </c>
      <c r="D19" s="38" t="s">
        <v>377</v>
      </c>
      <c r="E19" s="38" t="s">
        <v>169</v>
      </c>
      <c r="F19" s="38" t="s">
        <v>136</v>
      </c>
      <c r="G19" s="266">
        <v>1046.79</v>
      </c>
      <c r="H19" s="264">
        <f t="shared" si="0"/>
        <v>6</v>
      </c>
    </row>
    <row r="20" spans="1:26" x14ac:dyDescent="0.35">
      <c r="A20" s="38" t="s">
        <v>168</v>
      </c>
      <c r="B20" s="38" t="s">
        <v>322</v>
      </c>
      <c r="C20" s="38" t="s">
        <v>323</v>
      </c>
      <c r="D20" s="38" t="s">
        <v>378</v>
      </c>
      <c r="E20" s="38" t="s">
        <v>169</v>
      </c>
      <c r="F20" s="38" t="s">
        <v>136</v>
      </c>
      <c r="G20" s="266">
        <v>1046.79</v>
      </c>
      <c r="H20" s="264">
        <f t="shared" si="0"/>
        <v>7</v>
      </c>
    </row>
    <row r="21" spans="1:26" x14ac:dyDescent="0.35">
      <c r="A21" s="38" t="s">
        <v>168</v>
      </c>
      <c r="B21" s="38" t="s">
        <v>322</v>
      </c>
      <c r="C21" s="38" t="s">
        <v>323</v>
      </c>
      <c r="D21" s="38" t="s">
        <v>379</v>
      </c>
      <c r="E21" s="38" t="s">
        <v>169</v>
      </c>
      <c r="F21" s="38" t="s">
        <v>136</v>
      </c>
      <c r="G21" s="266">
        <v>1046.79</v>
      </c>
      <c r="H21" s="264">
        <f t="shared" si="0"/>
        <v>8</v>
      </c>
    </row>
    <row r="22" spans="1:26" x14ac:dyDescent="0.35">
      <c r="A22" s="38" t="s">
        <v>168</v>
      </c>
      <c r="B22" s="38" t="s">
        <v>322</v>
      </c>
      <c r="C22" s="38" t="s">
        <v>323</v>
      </c>
      <c r="D22" s="38" t="s">
        <v>380</v>
      </c>
      <c r="E22" s="38" t="s">
        <v>169</v>
      </c>
      <c r="F22" s="38" t="s">
        <v>136</v>
      </c>
      <c r="G22" s="266">
        <v>1046.79</v>
      </c>
      <c r="H22" s="264">
        <f t="shared" si="0"/>
        <v>9</v>
      </c>
    </row>
    <row r="23" spans="1:26" x14ac:dyDescent="0.35">
      <c r="A23" s="38" t="s">
        <v>168</v>
      </c>
      <c r="B23" s="38" t="s">
        <v>322</v>
      </c>
      <c r="C23" s="38" t="s">
        <v>323</v>
      </c>
      <c r="D23" s="38" t="s">
        <v>381</v>
      </c>
      <c r="E23" s="38" t="s">
        <v>169</v>
      </c>
      <c r="F23" s="38" t="s">
        <v>136</v>
      </c>
      <c r="G23" s="266">
        <v>1046.79</v>
      </c>
      <c r="H23" s="264">
        <f t="shared" si="0"/>
        <v>10</v>
      </c>
    </row>
    <row r="24" spans="1:26" x14ac:dyDescent="0.35">
      <c r="A24" s="38" t="s">
        <v>168</v>
      </c>
      <c r="B24" s="38" t="s">
        <v>322</v>
      </c>
      <c r="C24" s="38" t="s">
        <v>323</v>
      </c>
      <c r="D24" s="38" t="s">
        <v>382</v>
      </c>
      <c r="E24" s="38" t="s">
        <v>169</v>
      </c>
      <c r="F24" s="38" t="s">
        <v>136</v>
      </c>
      <c r="G24" s="266">
        <v>1046.79</v>
      </c>
      <c r="H24" s="264">
        <f t="shared" si="0"/>
        <v>11</v>
      </c>
    </row>
    <row r="25" spans="1:26" x14ac:dyDescent="0.35">
      <c r="A25" s="38" t="s">
        <v>168</v>
      </c>
      <c r="B25" s="38" t="s">
        <v>322</v>
      </c>
      <c r="C25" s="38" t="s">
        <v>323</v>
      </c>
      <c r="D25" s="38" t="s">
        <v>383</v>
      </c>
      <c r="E25" s="38" t="s">
        <v>169</v>
      </c>
      <c r="F25" s="38" t="s">
        <v>136</v>
      </c>
      <c r="G25" s="266">
        <v>1046.79</v>
      </c>
      <c r="H25" s="264">
        <f t="shared" si="0"/>
        <v>12</v>
      </c>
    </row>
    <row r="26" spans="1:26" s="130" customFormat="1" x14ac:dyDescent="0.35">
      <c r="A26" s="38" t="s">
        <v>168</v>
      </c>
      <c r="B26" s="38" t="s">
        <v>241</v>
      </c>
      <c r="C26" s="38" t="s">
        <v>257</v>
      </c>
      <c r="D26" s="38" t="s">
        <v>372</v>
      </c>
      <c r="E26" s="38" t="s">
        <v>169</v>
      </c>
      <c r="F26" s="38" t="s">
        <v>136</v>
      </c>
      <c r="G26" s="266">
        <v>1824.88</v>
      </c>
      <c r="H26" s="264">
        <f t="shared" ref="H26:H37" si="1">IF(D26="",0,MONTH(D26))</f>
        <v>1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s="130" customFormat="1" x14ac:dyDescent="0.35">
      <c r="A27" s="38" t="s">
        <v>168</v>
      </c>
      <c r="B27" s="38" t="s">
        <v>241</v>
      </c>
      <c r="C27" s="38" t="s">
        <v>257</v>
      </c>
      <c r="D27" s="38" t="s">
        <v>373</v>
      </c>
      <c r="E27" s="38" t="s">
        <v>169</v>
      </c>
      <c r="F27" s="38" t="s">
        <v>136</v>
      </c>
      <c r="G27" s="266">
        <v>1824.88</v>
      </c>
      <c r="H27" s="264">
        <f t="shared" si="1"/>
        <v>2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s="130" customFormat="1" x14ac:dyDescent="0.35">
      <c r="A28" s="38" t="s">
        <v>168</v>
      </c>
      <c r="B28" s="38" t="s">
        <v>241</v>
      </c>
      <c r="C28" s="38" t="s">
        <v>257</v>
      </c>
      <c r="D28" s="38" t="s">
        <v>374</v>
      </c>
      <c r="E28" s="38" t="s">
        <v>169</v>
      </c>
      <c r="F28" s="38" t="s">
        <v>136</v>
      </c>
      <c r="G28" s="266">
        <v>1824.88</v>
      </c>
      <c r="H28" s="264">
        <f t="shared" si="1"/>
        <v>3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s="130" customFormat="1" x14ac:dyDescent="0.35">
      <c r="A29" s="38" t="s">
        <v>168</v>
      </c>
      <c r="B29" s="38" t="s">
        <v>241</v>
      </c>
      <c r="C29" s="38" t="s">
        <v>257</v>
      </c>
      <c r="D29" s="38" t="s">
        <v>375</v>
      </c>
      <c r="E29" s="38" t="s">
        <v>169</v>
      </c>
      <c r="F29" s="38" t="s">
        <v>136</v>
      </c>
      <c r="G29" s="266">
        <v>1824.88</v>
      </c>
      <c r="H29" s="264">
        <f t="shared" si="1"/>
        <v>4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s="130" customFormat="1" x14ac:dyDescent="0.35">
      <c r="A30" s="38" t="s">
        <v>168</v>
      </c>
      <c r="B30" s="38" t="s">
        <v>241</v>
      </c>
      <c r="C30" s="38" t="s">
        <v>257</v>
      </c>
      <c r="D30" s="38" t="s">
        <v>376</v>
      </c>
      <c r="E30" s="38" t="s">
        <v>169</v>
      </c>
      <c r="F30" s="38" t="s">
        <v>136</v>
      </c>
      <c r="G30" s="266">
        <v>1824.88</v>
      </c>
      <c r="H30" s="264">
        <f t="shared" si="1"/>
        <v>5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s="130" customFormat="1" x14ac:dyDescent="0.35">
      <c r="A31" s="38" t="s">
        <v>168</v>
      </c>
      <c r="B31" s="38" t="s">
        <v>241</v>
      </c>
      <c r="C31" s="38" t="s">
        <v>257</v>
      </c>
      <c r="D31" s="38" t="s">
        <v>377</v>
      </c>
      <c r="E31" s="38" t="s">
        <v>169</v>
      </c>
      <c r="F31" s="38" t="s">
        <v>136</v>
      </c>
      <c r="G31" s="266">
        <v>1824.88</v>
      </c>
      <c r="H31" s="264">
        <f t="shared" si="1"/>
        <v>6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s="130" customFormat="1" x14ac:dyDescent="0.35">
      <c r="A32" s="38" t="s">
        <v>168</v>
      </c>
      <c r="B32" s="38" t="s">
        <v>241</v>
      </c>
      <c r="C32" s="38" t="s">
        <v>257</v>
      </c>
      <c r="D32" s="38" t="s">
        <v>378</v>
      </c>
      <c r="E32" s="38" t="s">
        <v>169</v>
      </c>
      <c r="F32" s="38" t="s">
        <v>136</v>
      </c>
      <c r="G32" s="266">
        <v>1871.67</v>
      </c>
      <c r="H32" s="264">
        <f t="shared" si="1"/>
        <v>7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s="130" customFormat="1" x14ac:dyDescent="0.35">
      <c r="A33" s="38" t="s">
        <v>168</v>
      </c>
      <c r="B33" s="38" t="s">
        <v>241</v>
      </c>
      <c r="C33" s="38" t="s">
        <v>257</v>
      </c>
      <c r="D33" s="38" t="s">
        <v>379</v>
      </c>
      <c r="E33" s="38" t="s">
        <v>169</v>
      </c>
      <c r="F33" s="38" t="s">
        <v>136</v>
      </c>
      <c r="G33" s="266">
        <v>1871.67</v>
      </c>
      <c r="H33" s="264">
        <f t="shared" si="1"/>
        <v>8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s="130" customFormat="1" x14ac:dyDescent="0.35">
      <c r="A34" s="38" t="s">
        <v>168</v>
      </c>
      <c r="B34" s="38" t="s">
        <v>241</v>
      </c>
      <c r="C34" s="38" t="s">
        <v>257</v>
      </c>
      <c r="D34" s="38" t="s">
        <v>380</v>
      </c>
      <c r="E34" s="38" t="s">
        <v>169</v>
      </c>
      <c r="F34" s="38" t="s">
        <v>136</v>
      </c>
      <c r="G34" s="266">
        <v>1871.67</v>
      </c>
      <c r="H34" s="264">
        <f t="shared" si="1"/>
        <v>9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s="130" customFormat="1" x14ac:dyDescent="0.35">
      <c r="A35" s="38" t="s">
        <v>168</v>
      </c>
      <c r="B35" s="38" t="s">
        <v>241</v>
      </c>
      <c r="C35" s="38" t="s">
        <v>257</v>
      </c>
      <c r="D35" s="38" t="s">
        <v>381</v>
      </c>
      <c r="E35" s="38" t="s">
        <v>169</v>
      </c>
      <c r="F35" s="38" t="s">
        <v>136</v>
      </c>
      <c r="G35" s="266">
        <v>1871.67</v>
      </c>
      <c r="H35" s="264">
        <f t="shared" si="1"/>
        <v>10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s="130" customFormat="1" x14ac:dyDescent="0.35">
      <c r="A36" s="38" t="s">
        <v>168</v>
      </c>
      <c r="B36" s="38" t="s">
        <v>241</v>
      </c>
      <c r="C36" s="38" t="s">
        <v>257</v>
      </c>
      <c r="D36" s="38" t="s">
        <v>382</v>
      </c>
      <c r="E36" s="38" t="s">
        <v>169</v>
      </c>
      <c r="F36" s="38" t="s">
        <v>136</v>
      </c>
      <c r="G36" s="266">
        <v>1871.67</v>
      </c>
      <c r="H36" s="264">
        <f t="shared" si="1"/>
        <v>11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s="130" customFormat="1" x14ac:dyDescent="0.35">
      <c r="A37" s="38" t="s">
        <v>168</v>
      </c>
      <c r="B37" s="38" t="s">
        <v>241</v>
      </c>
      <c r="C37" s="38" t="s">
        <v>257</v>
      </c>
      <c r="D37" s="38" t="s">
        <v>383</v>
      </c>
      <c r="E37" s="38" t="s">
        <v>169</v>
      </c>
      <c r="F37" s="38" t="s">
        <v>136</v>
      </c>
      <c r="G37" s="266">
        <v>1871.67</v>
      </c>
      <c r="H37" s="264">
        <f t="shared" si="1"/>
        <v>12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x14ac:dyDescent="0.35">
      <c r="A38" s="38" t="s">
        <v>168</v>
      </c>
      <c r="B38" s="38" t="s">
        <v>384</v>
      </c>
      <c r="C38" s="38" t="s">
        <v>354</v>
      </c>
      <c r="D38" s="38" t="s">
        <v>372</v>
      </c>
      <c r="E38" s="38" t="s">
        <v>169</v>
      </c>
      <c r="F38" s="38" t="s">
        <v>136</v>
      </c>
      <c r="G38" s="266">
        <v>14653.33</v>
      </c>
      <c r="H38" s="264">
        <f t="shared" si="0"/>
        <v>1</v>
      </c>
    </row>
    <row r="39" spans="1:26" x14ac:dyDescent="0.35">
      <c r="A39" s="38" t="s">
        <v>168</v>
      </c>
      <c r="B39" s="38" t="s">
        <v>384</v>
      </c>
      <c r="C39" s="38" t="s">
        <v>354</v>
      </c>
      <c r="D39" s="38" t="s">
        <v>373</v>
      </c>
      <c r="E39" s="38" t="s">
        <v>169</v>
      </c>
      <c r="F39" s="38" t="s">
        <v>136</v>
      </c>
      <c r="G39" s="266">
        <v>14653.33</v>
      </c>
      <c r="H39" s="264">
        <f t="shared" si="0"/>
        <v>2</v>
      </c>
    </row>
    <row r="40" spans="1:26" x14ac:dyDescent="0.35">
      <c r="A40" s="38" t="s">
        <v>168</v>
      </c>
      <c r="B40" s="38" t="s">
        <v>384</v>
      </c>
      <c r="C40" s="38" t="s">
        <v>354</v>
      </c>
      <c r="D40" s="38" t="s">
        <v>374</v>
      </c>
      <c r="E40" s="38" t="s">
        <v>169</v>
      </c>
      <c r="F40" s="38" t="s">
        <v>136</v>
      </c>
      <c r="G40" s="266">
        <v>14653.33</v>
      </c>
      <c r="H40" s="264">
        <f t="shared" si="0"/>
        <v>3</v>
      </c>
    </row>
    <row r="41" spans="1:26" x14ac:dyDescent="0.35">
      <c r="A41" s="38" t="s">
        <v>168</v>
      </c>
      <c r="B41" s="38" t="s">
        <v>384</v>
      </c>
      <c r="C41" s="38" t="s">
        <v>354</v>
      </c>
      <c r="D41" s="38" t="s">
        <v>375</v>
      </c>
      <c r="E41" s="38" t="s">
        <v>169</v>
      </c>
      <c r="F41" s="38" t="s">
        <v>136</v>
      </c>
      <c r="G41" s="266">
        <v>14653.33</v>
      </c>
      <c r="H41" s="264">
        <f t="shared" si="0"/>
        <v>4</v>
      </c>
    </row>
    <row r="42" spans="1:26" x14ac:dyDescent="0.35">
      <c r="A42" s="38" t="s">
        <v>168</v>
      </c>
      <c r="B42" s="38" t="s">
        <v>384</v>
      </c>
      <c r="C42" s="38" t="s">
        <v>354</v>
      </c>
      <c r="D42" s="38" t="s">
        <v>376</v>
      </c>
      <c r="E42" s="38" t="s">
        <v>169</v>
      </c>
      <c r="F42" s="38" t="s">
        <v>136</v>
      </c>
      <c r="G42" s="266">
        <v>14653.33</v>
      </c>
      <c r="H42" s="264">
        <f t="shared" si="0"/>
        <v>5</v>
      </c>
    </row>
    <row r="43" spans="1:26" x14ac:dyDescent="0.35">
      <c r="A43" s="38" t="s">
        <v>168</v>
      </c>
      <c r="B43" s="38" t="s">
        <v>384</v>
      </c>
      <c r="C43" s="38" t="s">
        <v>354</v>
      </c>
      <c r="D43" s="38" t="s">
        <v>377</v>
      </c>
      <c r="E43" s="38" t="s">
        <v>169</v>
      </c>
      <c r="F43" s="38" t="s">
        <v>136</v>
      </c>
      <c r="G43" s="266">
        <v>14653.33</v>
      </c>
      <c r="H43" s="264">
        <f t="shared" si="0"/>
        <v>6</v>
      </c>
    </row>
    <row r="44" spans="1:26" x14ac:dyDescent="0.35">
      <c r="A44" s="38" t="s">
        <v>168</v>
      </c>
      <c r="B44" s="38" t="s">
        <v>234</v>
      </c>
      <c r="C44" s="38" t="s">
        <v>235</v>
      </c>
      <c r="D44" s="38" t="s">
        <v>372</v>
      </c>
      <c r="E44" s="38" t="s">
        <v>169</v>
      </c>
      <c r="F44" s="38" t="s">
        <v>136</v>
      </c>
      <c r="G44" s="266">
        <v>3463.29</v>
      </c>
      <c r="H44" s="264">
        <f t="shared" si="0"/>
        <v>1</v>
      </c>
    </row>
    <row r="45" spans="1:26" x14ac:dyDescent="0.35">
      <c r="A45" s="38" t="s">
        <v>168</v>
      </c>
      <c r="B45" s="38" t="s">
        <v>234</v>
      </c>
      <c r="C45" s="38" t="s">
        <v>235</v>
      </c>
      <c r="D45" s="38" t="s">
        <v>373</v>
      </c>
      <c r="E45" s="38" t="s">
        <v>169</v>
      </c>
      <c r="F45" s="38" t="s">
        <v>136</v>
      </c>
      <c r="G45" s="266">
        <v>3463.29</v>
      </c>
      <c r="H45" s="264">
        <f t="shared" si="0"/>
        <v>2</v>
      </c>
    </row>
    <row r="46" spans="1:26" x14ac:dyDescent="0.35">
      <c r="A46" s="38" t="s">
        <v>168</v>
      </c>
      <c r="B46" s="38" t="s">
        <v>234</v>
      </c>
      <c r="C46" s="38" t="s">
        <v>235</v>
      </c>
      <c r="D46" s="38" t="s">
        <v>374</v>
      </c>
      <c r="E46" s="38" t="s">
        <v>169</v>
      </c>
      <c r="F46" s="38" t="s">
        <v>136</v>
      </c>
      <c r="G46" s="266">
        <v>3463.29</v>
      </c>
      <c r="H46" s="264">
        <f t="shared" si="0"/>
        <v>3</v>
      </c>
    </row>
    <row r="47" spans="1:26" x14ac:dyDescent="0.35">
      <c r="A47" s="38" t="s">
        <v>168</v>
      </c>
      <c r="B47" s="38" t="s">
        <v>234</v>
      </c>
      <c r="C47" s="38" t="s">
        <v>235</v>
      </c>
      <c r="D47" s="38" t="s">
        <v>375</v>
      </c>
      <c r="E47" s="38" t="s">
        <v>169</v>
      </c>
      <c r="F47" s="38" t="s">
        <v>136</v>
      </c>
      <c r="G47" s="266">
        <v>3463.29</v>
      </c>
      <c r="H47" s="264">
        <f t="shared" si="0"/>
        <v>4</v>
      </c>
    </row>
    <row r="48" spans="1:26" x14ac:dyDescent="0.35">
      <c r="A48" s="38" t="s">
        <v>168</v>
      </c>
      <c r="B48" s="38" t="s">
        <v>234</v>
      </c>
      <c r="C48" s="38" t="s">
        <v>235</v>
      </c>
      <c r="D48" s="38" t="s">
        <v>376</v>
      </c>
      <c r="E48" s="38" t="s">
        <v>169</v>
      </c>
      <c r="F48" s="38" t="s">
        <v>136</v>
      </c>
      <c r="G48" s="266">
        <v>3463.29</v>
      </c>
      <c r="H48" s="264">
        <f t="shared" ref="H48:H59" si="2">IF(D48="",0,MONTH(D48))</f>
        <v>5</v>
      </c>
    </row>
    <row r="49" spans="1:8" x14ac:dyDescent="0.35">
      <c r="A49" s="38" t="s">
        <v>168</v>
      </c>
      <c r="B49" s="38" t="s">
        <v>234</v>
      </c>
      <c r="C49" s="38" t="s">
        <v>235</v>
      </c>
      <c r="D49" s="38" t="s">
        <v>377</v>
      </c>
      <c r="E49" s="38" t="s">
        <v>169</v>
      </c>
      <c r="F49" s="38" t="s">
        <v>136</v>
      </c>
      <c r="G49" s="266">
        <v>3463.29</v>
      </c>
      <c r="H49" s="264">
        <f t="shared" si="2"/>
        <v>6</v>
      </c>
    </row>
    <row r="50" spans="1:8" x14ac:dyDescent="0.35">
      <c r="A50" s="38" t="s">
        <v>168</v>
      </c>
      <c r="B50" s="38" t="s">
        <v>234</v>
      </c>
      <c r="C50" s="38" t="s">
        <v>235</v>
      </c>
      <c r="D50" s="38" t="s">
        <v>378</v>
      </c>
      <c r="E50" s="38" t="s">
        <v>169</v>
      </c>
      <c r="F50" s="38" t="s">
        <v>136</v>
      </c>
      <c r="G50" s="266">
        <v>3463.29</v>
      </c>
      <c r="H50" s="264">
        <f t="shared" si="2"/>
        <v>7</v>
      </c>
    </row>
    <row r="51" spans="1:8" x14ac:dyDescent="0.35">
      <c r="A51" s="38" t="s">
        <v>168</v>
      </c>
      <c r="B51" s="38" t="s">
        <v>234</v>
      </c>
      <c r="C51" s="38" t="s">
        <v>235</v>
      </c>
      <c r="D51" s="38" t="s">
        <v>379</v>
      </c>
      <c r="E51" s="38" t="s">
        <v>169</v>
      </c>
      <c r="F51" s="38" t="s">
        <v>136</v>
      </c>
      <c r="G51" s="266">
        <v>3463.29</v>
      </c>
      <c r="H51" s="264">
        <f t="shared" si="2"/>
        <v>8</v>
      </c>
    </row>
    <row r="52" spans="1:8" x14ac:dyDescent="0.35">
      <c r="A52" s="38" t="s">
        <v>168</v>
      </c>
      <c r="B52" s="38" t="s">
        <v>234</v>
      </c>
      <c r="C52" s="38" t="s">
        <v>235</v>
      </c>
      <c r="D52" s="38" t="s">
        <v>380</v>
      </c>
      <c r="E52" s="38" t="s">
        <v>169</v>
      </c>
      <c r="F52" s="38" t="s">
        <v>136</v>
      </c>
      <c r="G52" s="266">
        <v>3463.29</v>
      </c>
      <c r="H52" s="264">
        <f t="shared" si="2"/>
        <v>9</v>
      </c>
    </row>
    <row r="53" spans="1:8" x14ac:dyDescent="0.35">
      <c r="A53" s="38" t="s">
        <v>168</v>
      </c>
      <c r="B53" s="38" t="s">
        <v>234</v>
      </c>
      <c r="C53" s="38" t="s">
        <v>235</v>
      </c>
      <c r="D53" s="38" t="s">
        <v>381</v>
      </c>
      <c r="E53" s="38" t="s">
        <v>169</v>
      </c>
      <c r="F53" s="38" t="s">
        <v>136</v>
      </c>
      <c r="G53" s="266">
        <v>3463.29</v>
      </c>
      <c r="H53" s="264">
        <f t="shared" si="2"/>
        <v>10</v>
      </c>
    </row>
    <row r="54" spans="1:8" x14ac:dyDescent="0.35">
      <c r="A54" s="38" t="s">
        <v>168</v>
      </c>
      <c r="B54" s="38" t="s">
        <v>172</v>
      </c>
      <c r="C54" s="38" t="s">
        <v>173</v>
      </c>
      <c r="D54" s="38" t="s">
        <v>372</v>
      </c>
      <c r="E54" s="38" t="s">
        <v>169</v>
      </c>
      <c r="F54" s="38" t="s">
        <v>136</v>
      </c>
      <c r="G54" s="266">
        <v>5964.42</v>
      </c>
      <c r="H54" s="264">
        <f t="shared" si="2"/>
        <v>1</v>
      </c>
    </row>
    <row r="55" spans="1:8" x14ac:dyDescent="0.35">
      <c r="A55" s="38" t="s">
        <v>168</v>
      </c>
      <c r="B55" s="38" t="s">
        <v>172</v>
      </c>
      <c r="C55" s="38" t="s">
        <v>173</v>
      </c>
      <c r="D55" s="38" t="s">
        <v>373</v>
      </c>
      <c r="E55" s="38" t="s">
        <v>169</v>
      </c>
      <c r="F55" s="38" t="s">
        <v>136</v>
      </c>
      <c r="G55" s="266">
        <v>5964.42</v>
      </c>
      <c r="H55" s="264">
        <f t="shared" si="2"/>
        <v>2</v>
      </c>
    </row>
    <row r="56" spans="1:8" x14ac:dyDescent="0.35">
      <c r="A56" s="38" t="s">
        <v>168</v>
      </c>
      <c r="B56" s="38" t="s">
        <v>172</v>
      </c>
      <c r="C56" s="38" t="s">
        <v>173</v>
      </c>
      <c r="D56" s="38" t="s">
        <v>374</v>
      </c>
      <c r="E56" s="38" t="s">
        <v>169</v>
      </c>
      <c r="F56" s="38" t="s">
        <v>136</v>
      </c>
      <c r="G56" s="266">
        <v>5964.42</v>
      </c>
      <c r="H56" s="264">
        <f t="shared" si="2"/>
        <v>3</v>
      </c>
    </row>
    <row r="57" spans="1:8" x14ac:dyDescent="0.35">
      <c r="A57" s="38" t="s">
        <v>168</v>
      </c>
      <c r="B57" s="38" t="s">
        <v>174</v>
      </c>
      <c r="C57" s="38" t="s">
        <v>330</v>
      </c>
      <c r="D57" s="38" t="s">
        <v>372</v>
      </c>
      <c r="E57" s="38" t="s">
        <v>169</v>
      </c>
      <c r="F57" s="38" t="s">
        <v>136</v>
      </c>
      <c r="G57" s="266">
        <v>1307.83</v>
      </c>
      <c r="H57" s="264">
        <f t="shared" si="2"/>
        <v>1</v>
      </c>
    </row>
    <row r="58" spans="1:8" x14ac:dyDescent="0.35">
      <c r="A58" s="38" t="s">
        <v>168</v>
      </c>
      <c r="B58" s="38" t="s">
        <v>174</v>
      </c>
      <c r="C58" s="38" t="s">
        <v>330</v>
      </c>
      <c r="D58" s="38" t="s">
        <v>373</v>
      </c>
      <c r="E58" s="38" t="s">
        <v>169</v>
      </c>
      <c r="F58" s="38" t="s">
        <v>136</v>
      </c>
      <c r="G58" s="266">
        <v>1307.83</v>
      </c>
      <c r="H58" s="264">
        <f t="shared" si="2"/>
        <v>2</v>
      </c>
    </row>
    <row r="59" spans="1:8" x14ac:dyDescent="0.35">
      <c r="A59" s="38" t="s">
        <v>168</v>
      </c>
      <c r="B59" s="38" t="s">
        <v>174</v>
      </c>
      <c r="C59" s="38" t="s">
        <v>330</v>
      </c>
      <c r="D59" s="38" t="s">
        <v>374</v>
      </c>
      <c r="E59" s="38" t="s">
        <v>169</v>
      </c>
      <c r="F59" s="38" t="s">
        <v>136</v>
      </c>
      <c r="G59" s="266">
        <v>1307.83</v>
      </c>
      <c r="H59" s="264">
        <f t="shared" si="2"/>
        <v>3</v>
      </c>
    </row>
    <row r="60" spans="1:8" x14ac:dyDescent="0.35">
      <c r="A60" s="38" t="s">
        <v>168</v>
      </c>
      <c r="B60" s="38" t="s">
        <v>174</v>
      </c>
      <c r="C60" s="38" t="s">
        <v>330</v>
      </c>
      <c r="D60" s="38" t="s">
        <v>375</v>
      </c>
      <c r="E60" s="38" t="s">
        <v>169</v>
      </c>
      <c r="F60" s="38" t="s">
        <v>136</v>
      </c>
      <c r="G60" s="266">
        <v>1307.83</v>
      </c>
      <c r="H60" s="264">
        <f t="shared" si="0"/>
        <v>4</v>
      </c>
    </row>
    <row r="61" spans="1:8" x14ac:dyDescent="0.35">
      <c r="A61" s="38" t="s">
        <v>168</v>
      </c>
      <c r="B61" s="38" t="s">
        <v>174</v>
      </c>
      <c r="C61" s="38" t="s">
        <v>330</v>
      </c>
      <c r="D61" s="38" t="s">
        <v>376</v>
      </c>
      <c r="E61" s="38" t="s">
        <v>169</v>
      </c>
      <c r="F61" s="38" t="s">
        <v>136</v>
      </c>
      <c r="G61" s="266">
        <v>1307.83</v>
      </c>
      <c r="H61" s="264">
        <f t="shared" si="0"/>
        <v>5</v>
      </c>
    </row>
    <row r="62" spans="1:8" x14ac:dyDescent="0.35">
      <c r="A62" s="38" t="s">
        <v>168</v>
      </c>
      <c r="B62" s="38" t="s">
        <v>174</v>
      </c>
      <c r="C62" s="38" t="s">
        <v>330</v>
      </c>
      <c r="D62" s="38" t="s">
        <v>377</v>
      </c>
      <c r="E62" s="38" t="s">
        <v>169</v>
      </c>
      <c r="F62" s="38" t="s">
        <v>136</v>
      </c>
      <c r="G62" s="266">
        <v>1307.83</v>
      </c>
      <c r="H62" s="264">
        <f t="shared" si="0"/>
        <v>6</v>
      </c>
    </row>
    <row r="63" spans="1:8" x14ac:dyDescent="0.35">
      <c r="A63" s="38" t="s">
        <v>168</v>
      </c>
      <c r="B63" s="38" t="s">
        <v>174</v>
      </c>
      <c r="C63" s="38" t="s">
        <v>330</v>
      </c>
      <c r="D63" s="38" t="s">
        <v>378</v>
      </c>
      <c r="E63" s="38" t="s">
        <v>169</v>
      </c>
      <c r="F63" s="38" t="s">
        <v>136</v>
      </c>
      <c r="G63" s="266">
        <v>1307.83</v>
      </c>
      <c r="H63" s="264">
        <f t="shared" si="0"/>
        <v>7</v>
      </c>
    </row>
    <row r="64" spans="1:8" x14ac:dyDescent="0.35">
      <c r="A64" s="38" t="s">
        <v>168</v>
      </c>
      <c r="B64" s="38" t="s">
        <v>174</v>
      </c>
      <c r="C64" s="38" t="s">
        <v>330</v>
      </c>
      <c r="D64" s="38" t="s">
        <v>379</v>
      </c>
      <c r="E64" s="38" t="s">
        <v>169</v>
      </c>
      <c r="F64" s="38" t="s">
        <v>136</v>
      </c>
      <c r="G64" s="266">
        <v>1307.83</v>
      </c>
      <c r="H64" s="264">
        <f t="shared" si="0"/>
        <v>8</v>
      </c>
    </row>
    <row r="65" spans="1:8" x14ac:dyDescent="0.35">
      <c r="A65" s="38" t="s">
        <v>168</v>
      </c>
      <c r="B65" s="38" t="s">
        <v>174</v>
      </c>
      <c r="C65" s="38" t="s">
        <v>330</v>
      </c>
      <c r="D65" s="38" t="s">
        <v>380</v>
      </c>
      <c r="E65" s="38" t="s">
        <v>169</v>
      </c>
      <c r="F65" s="38" t="s">
        <v>136</v>
      </c>
      <c r="G65" s="266">
        <v>1307.83</v>
      </c>
      <c r="H65" s="264">
        <f t="shared" si="0"/>
        <v>9</v>
      </c>
    </row>
    <row r="66" spans="1:8" x14ac:dyDescent="0.35">
      <c r="A66" s="38" t="s">
        <v>168</v>
      </c>
      <c r="B66" s="38" t="s">
        <v>174</v>
      </c>
      <c r="C66" s="38" t="s">
        <v>330</v>
      </c>
      <c r="D66" s="38" t="s">
        <v>381</v>
      </c>
      <c r="E66" s="38" t="s">
        <v>169</v>
      </c>
      <c r="F66" s="38" t="s">
        <v>136</v>
      </c>
      <c r="G66" s="266">
        <v>1307.83</v>
      </c>
      <c r="H66" s="264">
        <f t="shared" si="0"/>
        <v>10</v>
      </c>
    </row>
    <row r="67" spans="1:8" x14ac:dyDescent="0.35">
      <c r="A67" s="38" t="s">
        <v>168</v>
      </c>
      <c r="B67" s="38" t="s">
        <v>174</v>
      </c>
      <c r="C67" s="38" t="s">
        <v>330</v>
      </c>
      <c r="D67" s="38" t="s">
        <v>382</v>
      </c>
      <c r="E67" s="38" t="s">
        <v>169</v>
      </c>
      <c r="F67" s="38" t="s">
        <v>136</v>
      </c>
      <c r="G67" s="266">
        <v>1307.83</v>
      </c>
      <c r="H67" s="264">
        <f t="shared" si="0"/>
        <v>11</v>
      </c>
    </row>
    <row r="68" spans="1:8" x14ac:dyDescent="0.35">
      <c r="A68" s="38" t="s">
        <v>168</v>
      </c>
      <c r="B68" s="38" t="s">
        <v>174</v>
      </c>
      <c r="C68" s="38" t="s">
        <v>330</v>
      </c>
      <c r="D68" s="38" t="s">
        <v>383</v>
      </c>
      <c r="E68" s="38" t="s">
        <v>169</v>
      </c>
      <c r="F68" s="38" t="s">
        <v>136</v>
      </c>
      <c r="G68" s="266">
        <v>1307.83</v>
      </c>
      <c r="H68" s="264">
        <f t="shared" si="0"/>
        <v>12</v>
      </c>
    </row>
    <row r="69" spans="1:8" x14ac:dyDescent="0.35">
      <c r="A69" s="38" t="s">
        <v>168</v>
      </c>
      <c r="B69" s="38" t="s">
        <v>331</v>
      </c>
      <c r="C69" s="38" t="s">
        <v>332</v>
      </c>
      <c r="D69" s="38" t="s">
        <v>372</v>
      </c>
      <c r="E69" s="38" t="s">
        <v>169</v>
      </c>
      <c r="F69" s="38" t="s">
        <v>136</v>
      </c>
      <c r="G69" s="266">
        <v>2739.83</v>
      </c>
      <c r="H69" s="264">
        <f t="shared" si="0"/>
        <v>1</v>
      </c>
    </row>
    <row r="70" spans="1:8" x14ac:dyDescent="0.35">
      <c r="A70" s="38" t="s">
        <v>168</v>
      </c>
      <c r="B70" s="38" t="s">
        <v>331</v>
      </c>
      <c r="C70" s="38" t="s">
        <v>332</v>
      </c>
      <c r="D70" s="38" t="s">
        <v>373</v>
      </c>
      <c r="E70" s="38" t="s">
        <v>169</v>
      </c>
      <c r="F70" s="38" t="s">
        <v>136</v>
      </c>
      <c r="G70" s="266">
        <v>2739.83</v>
      </c>
      <c r="H70" s="264">
        <f t="shared" si="0"/>
        <v>2</v>
      </c>
    </row>
    <row r="71" spans="1:8" x14ac:dyDescent="0.35">
      <c r="A71" s="38" t="s">
        <v>168</v>
      </c>
      <c r="B71" s="38" t="s">
        <v>331</v>
      </c>
      <c r="C71" s="38" t="s">
        <v>332</v>
      </c>
      <c r="D71" s="38" t="s">
        <v>374</v>
      </c>
      <c r="E71" s="38" t="s">
        <v>169</v>
      </c>
      <c r="F71" s="38" t="s">
        <v>136</v>
      </c>
      <c r="G71" s="266">
        <v>2739.83</v>
      </c>
      <c r="H71" s="264">
        <f t="shared" si="0"/>
        <v>3</v>
      </c>
    </row>
    <row r="72" spans="1:8" x14ac:dyDescent="0.35">
      <c r="A72" s="38" t="s">
        <v>168</v>
      </c>
      <c r="B72" s="38" t="s">
        <v>331</v>
      </c>
      <c r="C72" s="38" t="s">
        <v>332</v>
      </c>
      <c r="D72" s="38" t="s">
        <v>375</v>
      </c>
      <c r="E72" s="38" t="s">
        <v>169</v>
      </c>
      <c r="F72" s="38" t="s">
        <v>136</v>
      </c>
      <c r="G72" s="266">
        <v>2739.83</v>
      </c>
      <c r="H72" s="264">
        <f t="shared" si="0"/>
        <v>4</v>
      </c>
    </row>
    <row r="73" spans="1:8" x14ac:dyDescent="0.35">
      <c r="A73" s="38" t="s">
        <v>168</v>
      </c>
      <c r="B73" s="38" t="s">
        <v>331</v>
      </c>
      <c r="C73" s="38" t="s">
        <v>332</v>
      </c>
      <c r="D73" s="38" t="s">
        <v>376</v>
      </c>
      <c r="E73" s="38" t="s">
        <v>169</v>
      </c>
      <c r="F73" s="38" t="s">
        <v>136</v>
      </c>
      <c r="G73" s="266">
        <v>2739.83</v>
      </c>
      <c r="H73" s="264">
        <f t="shared" si="0"/>
        <v>5</v>
      </c>
    </row>
    <row r="74" spans="1:8" x14ac:dyDescent="0.35">
      <c r="A74" s="38" t="s">
        <v>168</v>
      </c>
      <c r="B74" s="38" t="s">
        <v>331</v>
      </c>
      <c r="C74" s="38" t="s">
        <v>332</v>
      </c>
      <c r="D74" s="38" t="s">
        <v>377</v>
      </c>
      <c r="E74" s="38" t="s">
        <v>169</v>
      </c>
      <c r="F74" s="38" t="s">
        <v>136</v>
      </c>
      <c r="G74" s="266">
        <v>2739.83</v>
      </c>
      <c r="H74" s="264">
        <f t="shared" si="0"/>
        <v>6</v>
      </c>
    </row>
    <row r="75" spans="1:8" x14ac:dyDescent="0.35">
      <c r="A75" s="38" t="s">
        <v>168</v>
      </c>
      <c r="B75" s="38" t="s">
        <v>276</v>
      </c>
      <c r="C75" s="38" t="s">
        <v>324</v>
      </c>
      <c r="D75" s="38" t="s">
        <v>372</v>
      </c>
      <c r="E75" s="38" t="s">
        <v>169</v>
      </c>
      <c r="F75" s="38" t="s">
        <v>136</v>
      </c>
      <c r="G75" s="268">
        <v>734.5</v>
      </c>
      <c r="H75" s="264">
        <f t="shared" si="0"/>
        <v>1</v>
      </c>
    </row>
    <row r="76" spans="1:8" x14ac:dyDescent="0.35">
      <c r="A76" s="38" t="s">
        <v>168</v>
      </c>
      <c r="B76" s="38" t="s">
        <v>276</v>
      </c>
      <c r="C76" s="38" t="s">
        <v>324</v>
      </c>
      <c r="D76" s="38" t="s">
        <v>373</v>
      </c>
      <c r="E76" s="38" t="s">
        <v>169</v>
      </c>
      <c r="F76" s="38" t="s">
        <v>136</v>
      </c>
      <c r="G76" s="268">
        <v>734.5</v>
      </c>
      <c r="H76" s="264">
        <f t="shared" si="0"/>
        <v>2</v>
      </c>
    </row>
    <row r="77" spans="1:8" x14ac:dyDescent="0.35">
      <c r="A77" s="38" t="s">
        <v>168</v>
      </c>
      <c r="B77" s="38" t="s">
        <v>276</v>
      </c>
      <c r="C77" s="38" t="s">
        <v>324</v>
      </c>
      <c r="D77" s="38" t="s">
        <v>374</v>
      </c>
      <c r="E77" s="38" t="s">
        <v>169</v>
      </c>
      <c r="F77" s="38" t="s">
        <v>136</v>
      </c>
      <c r="G77" s="268">
        <v>734.5</v>
      </c>
      <c r="H77" s="264">
        <f t="shared" si="0"/>
        <v>3</v>
      </c>
    </row>
    <row r="78" spans="1:8" x14ac:dyDescent="0.35">
      <c r="A78" s="38" t="s">
        <v>168</v>
      </c>
      <c r="B78" s="38" t="s">
        <v>276</v>
      </c>
      <c r="C78" s="38" t="s">
        <v>324</v>
      </c>
      <c r="D78" s="38" t="s">
        <v>375</v>
      </c>
      <c r="E78" s="38" t="s">
        <v>169</v>
      </c>
      <c r="F78" s="38" t="s">
        <v>136</v>
      </c>
      <c r="G78" s="268">
        <v>734.5</v>
      </c>
      <c r="H78" s="264">
        <f t="shared" si="0"/>
        <v>4</v>
      </c>
    </row>
    <row r="79" spans="1:8" x14ac:dyDescent="0.35">
      <c r="A79" s="38" t="s">
        <v>168</v>
      </c>
      <c r="B79" s="38" t="s">
        <v>276</v>
      </c>
      <c r="C79" s="38" t="s">
        <v>324</v>
      </c>
      <c r="D79" s="38" t="s">
        <v>376</v>
      </c>
      <c r="E79" s="38" t="s">
        <v>169</v>
      </c>
      <c r="F79" s="38" t="s">
        <v>136</v>
      </c>
      <c r="G79" s="268">
        <v>734.5</v>
      </c>
      <c r="H79" s="264">
        <f t="shared" si="0"/>
        <v>5</v>
      </c>
    </row>
    <row r="80" spans="1:8" x14ac:dyDescent="0.35">
      <c r="A80" s="38" t="s">
        <v>168</v>
      </c>
      <c r="B80" s="38" t="s">
        <v>276</v>
      </c>
      <c r="C80" s="38" t="s">
        <v>324</v>
      </c>
      <c r="D80" s="38" t="s">
        <v>377</v>
      </c>
      <c r="E80" s="38" t="s">
        <v>169</v>
      </c>
      <c r="F80" s="38" t="s">
        <v>136</v>
      </c>
      <c r="G80" s="268">
        <v>734.5</v>
      </c>
      <c r="H80" s="264">
        <f t="shared" si="0"/>
        <v>6</v>
      </c>
    </row>
    <row r="81" spans="1:8" x14ac:dyDescent="0.35">
      <c r="A81" s="38" t="s">
        <v>168</v>
      </c>
      <c r="B81" s="38" t="s">
        <v>276</v>
      </c>
      <c r="C81" s="38" t="s">
        <v>324</v>
      </c>
      <c r="D81" s="38" t="s">
        <v>378</v>
      </c>
      <c r="E81" s="38" t="s">
        <v>169</v>
      </c>
      <c r="F81" s="38" t="s">
        <v>136</v>
      </c>
      <c r="G81" s="268">
        <v>734.5</v>
      </c>
      <c r="H81" s="264">
        <f t="shared" si="0"/>
        <v>7</v>
      </c>
    </row>
    <row r="82" spans="1:8" x14ac:dyDescent="0.35">
      <c r="A82" s="38" t="s">
        <v>168</v>
      </c>
      <c r="B82" s="38" t="s">
        <v>276</v>
      </c>
      <c r="C82" s="38" t="s">
        <v>324</v>
      </c>
      <c r="D82" s="38" t="s">
        <v>379</v>
      </c>
      <c r="E82" s="38" t="s">
        <v>169</v>
      </c>
      <c r="F82" s="38" t="s">
        <v>136</v>
      </c>
      <c r="G82" s="268">
        <v>734.5</v>
      </c>
      <c r="H82" s="264">
        <f t="shared" si="0"/>
        <v>8</v>
      </c>
    </row>
    <row r="83" spans="1:8" x14ac:dyDescent="0.35">
      <c r="A83" s="38" t="s">
        <v>168</v>
      </c>
      <c r="B83" s="38" t="s">
        <v>276</v>
      </c>
      <c r="C83" s="38" t="s">
        <v>324</v>
      </c>
      <c r="D83" s="38" t="s">
        <v>380</v>
      </c>
      <c r="E83" s="38" t="s">
        <v>169</v>
      </c>
      <c r="F83" s="38" t="s">
        <v>136</v>
      </c>
      <c r="G83" s="268">
        <v>734.5</v>
      </c>
      <c r="H83" s="264">
        <f t="shared" si="0"/>
        <v>9</v>
      </c>
    </row>
    <row r="84" spans="1:8" s="130" customFormat="1" x14ac:dyDescent="0.35">
      <c r="A84" s="38" t="s">
        <v>168</v>
      </c>
      <c r="B84" s="38" t="s">
        <v>276</v>
      </c>
      <c r="C84" s="38" t="s">
        <v>324</v>
      </c>
      <c r="D84" s="38" t="s">
        <v>381</v>
      </c>
      <c r="E84" s="38" t="s">
        <v>169</v>
      </c>
      <c r="F84" s="38" t="s">
        <v>136</v>
      </c>
      <c r="G84" s="268">
        <v>734.5</v>
      </c>
      <c r="H84" s="264">
        <f t="shared" ref="H84:H91" si="3">IF(D84="",0,MONTH(D84))</f>
        <v>10</v>
      </c>
    </row>
    <row r="85" spans="1:8" s="130" customFormat="1" x14ac:dyDescent="0.35">
      <c r="A85" s="38" t="s">
        <v>168</v>
      </c>
      <c r="B85" s="38" t="s">
        <v>276</v>
      </c>
      <c r="C85" s="38" t="s">
        <v>324</v>
      </c>
      <c r="D85" s="38" t="s">
        <v>382</v>
      </c>
      <c r="E85" s="38" t="s">
        <v>169</v>
      </c>
      <c r="F85" s="38" t="s">
        <v>136</v>
      </c>
      <c r="G85" s="268">
        <v>734.5</v>
      </c>
      <c r="H85" s="264">
        <f t="shared" si="3"/>
        <v>11</v>
      </c>
    </row>
    <row r="86" spans="1:8" s="130" customFormat="1" x14ac:dyDescent="0.35">
      <c r="A86" s="38" t="s">
        <v>168</v>
      </c>
      <c r="B86" s="38" t="s">
        <v>276</v>
      </c>
      <c r="C86" s="38" t="s">
        <v>324</v>
      </c>
      <c r="D86" s="38" t="s">
        <v>383</v>
      </c>
      <c r="E86" s="38" t="s">
        <v>169</v>
      </c>
      <c r="F86" s="38" t="s">
        <v>136</v>
      </c>
      <c r="G86" s="268">
        <v>734.5</v>
      </c>
      <c r="H86" s="264">
        <f t="shared" si="3"/>
        <v>12</v>
      </c>
    </row>
    <row r="87" spans="1:8" s="130" customFormat="1" x14ac:dyDescent="0.35">
      <c r="A87" s="38" t="s">
        <v>168</v>
      </c>
      <c r="B87" s="38" t="s">
        <v>243</v>
      </c>
      <c r="C87" s="38" t="s">
        <v>333</v>
      </c>
      <c r="D87" s="38" t="s">
        <v>372</v>
      </c>
      <c r="E87" s="38" t="s">
        <v>169</v>
      </c>
      <c r="F87" s="38" t="s">
        <v>136</v>
      </c>
      <c r="G87" s="266">
        <v>8815.25</v>
      </c>
      <c r="H87" s="264">
        <f t="shared" si="3"/>
        <v>1</v>
      </c>
    </row>
    <row r="88" spans="1:8" s="130" customFormat="1" x14ac:dyDescent="0.35">
      <c r="A88" s="38" t="s">
        <v>168</v>
      </c>
      <c r="B88" s="38" t="s">
        <v>243</v>
      </c>
      <c r="C88" s="38" t="s">
        <v>333</v>
      </c>
      <c r="D88" s="38" t="s">
        <v>373</v>
      </c>
      <c r="E88" s="38" t="s">
        <v>169</v>
      </c>
      <c r="F88" s="38" t="s">
        <v>136</v>
      </c>
      <c r="G88" s="266">
        <v>8815.25</v>
      </c>
      <c r="H88" s="264">
        <f t="shared" si="3"/>
        <v>2</v>
      </c>
    </row>
    <row r="89" spans="1:8" s="130" customFormat="1" x14ac:dyDescent="0.35">
      <c r="A89" s="38" t="s">
        <v>168</v>
      </c>
      <c r="B89" s="38" t="s">
        <v>243</v>
      </c>
      <c r="C89" s="38" t="s">
        <v>333</v>
      </c>
      <c r="D89" s="38" t="s">
        <v>374</v>
      </c>
      <c r="E89" s="38" t="s">
        <v>169</v>
      </c>
      <c r="F89" s="38" t="s">
        <v>136</v>
      </c>
      <c r="G89" s="266">
        <v>8815.25</v>
      </c>
      <c r="H89" s="264">
        <f t="shared" si="3"/>
        <v>3</v>
      </c>
    </row>
    <row r="90" spans="1:8" s="130" customFormat="1" x14ac:dyDescent="0.35">
      <c r="A90" s="38" t="s">
        <v>168</v>
      </c>
      <c r="B90" s="38" t="s">
        <v>243</v>
      </c>
      <c r="C90" s="38" t="s">
        <v>333</v>
      </c>
      <c r="D90" s="38" t="s">
        <v>375</v>
      </c>
      <c r="E90" s="38" t="s">
        <v>169</v>
      </c>
      <c r="F90" s="38" t="s">
        <v>136</v>
      </c>
      <c r="G90" s="266">
        <v>8815.25</v>
      </c>
      <c r="H90" s="264">
        <f t="shared" si="3"/>
        <v>4</v>
      </c>
    </row>
    <row r="91" spans="1:8" s="130" customFormat="1" x14ac:dyDescent="0.35">
      <c r="A91" s="38" t="s">
        <v>168</v>
      </c>
      <c r="B91" s="38" t="s">
        <v>243</v>
      </c>
      <c r="C91" s="38" t="s">
        <v>333</v>
      </c>
      <c r="D91" s="38" t="s">
        <v>376</v>
      </c>
      <c r="E91" s="38" t="s">
        <v>169</v>
      </c>
      <c r="F91" s="38" t="s">
        <v>136</v>
      </c>
      <c r="G91" s="266">
        <v>8815.25</v>
      </c>
      <c r="H91" s="264">
        <f t="shared" si="3"/>
        <v>5</v>
      </c>
    </row>
    <row r="92" spans="1:8" x14ac:dyDescent="0.35">
      <c r="A92" s="38" t="s">
        <v>168</v>
      </c>
      <c r="B92" s="38" t="s">
        <v>243</v>
      </c>
      <c r="C92" s="38" t="s">
        <v>333</v>
      </c>
      <c r="D92" s="38" t="s">
        <v>377</v>
      </c>
      <c r="E92" s="38" t="s">
        <v>169</v>
      </c>
      <c r="F92" s="38" t="s">
        <v>136</v>
      </c>
      <c r="G92" s="266">
        <v>8815.25</v>
      </c>
      <c r="H92" s="264">
        <f t="shared" ref="H92:H106" si="4">IF(D92="",0,MONTH(D92))</f>
        <v>6</v>
      </c>
    </row>
    <row r="93" spans="1:8" x14ac:dyDescent="0.35">
      <c r="A93" s="38" t="s">
        <v>168</v>
      </c>
      <c r="B93" s="38" t="s">
        <v>243</v>
      </c>
      <c r="C93" s="38" t="s">
        <v>333</v>
      </c>
      <c r="D93" s="38" t="s">
        <v>378</v>
      </c>
      <c r="E93" s="38" t="s">
        <v>169</v>
      </c>
      <c r="F93" s="38" t="s">
        <v>136</v>
      </c>
      <c r="G93" s="266">
        <v>8815.25</v>
      </c>
      <c r="H93" s="264">
        <f t="shared" si="4"/>
        <v>7</v>
      </c>
    </row>
    <row r="94" spans="1:8" x14ac:dyDescent="0.35">
      <c r="A94" s="38" t="s">
        <v>168</v>
      </c>
      <c r="B94" s="38" t="s">
        <v>243</v>
      </c>
      <c r="C94" s="38" t="s">
        <v>333</v>
      </c>
      <c r="D94" s="38" t="s">
        <v>379</v>
      </c>
      <c r="E94" s="38" t="s">
        <v>169</v>
      </c>
      <c r="F94" s="38" t="s">
        <v>136</v>
      </c>
      <c r="G94" s="266">
        <v>8815.25</v>
      </c>
      <c r="H94" s="264">
        <f t="shared" si="4"/>
        <v>8</v>
      </c>
    </row>
    <row r="95" spans="1:8" s="130" customFormat="1" x14ac:dyDescent="0.35">
      <c r="A95" s="38" t="s">
        <v>168</v>
      </c>
      <c r="B95" s="38" t="s">
        <v>243</v>
      </c>
      <c r="C95" s="38" t="s">
        <v>333</v>
      </c>
      <c r="D95" s="38" t="s">
        <v>380</v>
      </c>
      <c r="E95" s="38" t="s">
        <v>169</v>
      </c>
      <c r="F95" s="38" t="s">
        <v>136</v>
      </c>
      <c r="G95" s="266">
        <v>8815.25</v>
      </c>
      <c r="H95" s="264">
        <f t="shared" si="4"/>
        <v>9</v>
      </c>
    </row>
    <row r="96" spans="1:8" s="130" customFormat="1" x14ac:dyDescent="0.35">
      <c r="A96" s="38" t="s">
        <v>175</v>
      </c>
      <c r="B96" s="38" t="s">
        <v>277</v>
      </c>
      <c r="C96" s="38" t="s">
        <v>385</v>
      </c>
      <c r="D96" s="38" t="s">
        <v>372</v>
      </c>
      <c r="E96" s="38" t="s">
        <v>169</v>
      </c>
      <c r="F96" s="38" t="s">
        <v>136</v>
      </c>
      <c r="G96" s="266">
        <v>1846.17</v>
      </c>
      <c r="H96" s="264">
        <f t="shared" si="4"/>
        <v>1</v>
      </c>
    </row>
    <row r="97" spans="1:8" s="130" customFormat="1" x14ac:dyDescent="0.35">
      <c r="A97" s="38" t="s">
        <v>175</v>
      </c>
      <c r="B97" s="38" t="s">
        <v>277</v>
      </c>
      <c r="C97" s="38" t="s">
        <v>385</v>
      </c>
      <c r="D97" s="38" t="s">
        <v>373</v>
      </c>
      <c r="E97" s="38" t="s">
        <v>169</v>
      </c>
      <c r="F97" s="38" t="s">
        <v>136</v>
      </c>
      <c r="G97" s="266">
        <v>1846.17</v>
      </c>
      <c r="H97" s="264">
        <f t="shared" si="4"/>
        <v>2</v>
      </c>
    </row>
    <row r="98" spans="1:8" s="130" customFormat="1" x14ac:dyDescent="0.35">
      <c r="A98" s="38" t="s">
        <v>175</v>
      </c>
      <c r="B98" s="38" t="s">
        <v>277</v>
      </c>
      <c r="C98" s="38" t="s">
        <v>385</v>
      </c>
      <c r="D98" s="38" t="s">
        <v>374</v>
      </c>
      <c r="E98" s="38" t="s">
        <v>169</v>
      </c>
      <c r="F98" s="38" t="s">
        <v>136</v>
      </c>
      <c r="G98" s="266">
        <v>1846.17</v>
      </c>
      <c r="H98" s="264">
        <f t="shared" si="4"/>
        <v>3</v>
      </c>
    </row>
    <row r="99" spans="1:8" s="130" customFormat="1" x14ac:dyDescent="0.35">
      <c r="A99" s="38" t="s">
        <v>175</v>
      </c>
      <c r="B99" s="38" t="s">
        <v>277</v>
      </c>
      <c r="C99" s="38" t="s">
        <v>385</v>
      </c>
      <c r="D99" s="38" t="s">
        <v>375</v>
      </c>
      <c r="E99" s="38" t="s">
        <v>169</v>
      </c>
      <c r="F99" s="38" t="s">
        <v>136</v>
      </c>
      <c r="G99" s="266">
        <v>1894.75</v>
      </c>
      <c r="H99" s="264">
        <f t="shared" si="4"/>
        <v>4</v>
      </c>
    </row>
    <row r="100" spans="1:8" s="130" customFormat="1" x14ac:dyDescent="0.35">
      <c r="A100" s="38" t="s">
        <v>175</v>
      </c>
      <c r="B100" s="38" t="s">
        <v>277</v>
      </c>
      <c r="C100" s="38" t="s">
        <v>385</v>
      </c>
      <c r="D100" s="38" t="s">
        <v>376</v>
      </c>
      <c r="E100" s="38" t="s">
        <v>169</v>
      </c>
      <c r="F100" s="38" t="s">
        <v>136</v>
      </c>
      <c r="G100" s="266">
        <v>1894.75</v>
      </c>
      <c r="H100" s="264">
        <f t="shared" si="4"/>
        <v>5</v>
      </c>
    </row>
    <row r="101" spans="1:8" s="130" customFormat="1" x14ac:dyDescent="0.35">
      <c r="A101" s="38" t="s">
        <v>175</v>
      </c>
      <c r="B101" s="38" t="s">
        <v>277</v>
      </c>
      <c r="C101" s="38" t="s">
        <v>385</v>
      </c>
      <c r="D101" s="38" t="s">
        <v>377</v>
      </c>
      <c r="E101" s="38" t="s">
        <v>169</v>
      </c>
      <c r="F101" s="38" t="s">
        <v>136</v>
      </c>
      <c r="G101" s="266">
        <v>1894.75</v>
      </c>
      <c r="H101" s="264">
        <f t="shared" si="4"/>
        <v>6</v>
      </c>
    </row>
    <row r="102" spans="1:8" s="130" customFormat="1" x14ac:dyDescent="0.35">
      <c r="A102" s="38" t="s">
        <v>175</v>
      </c>
      <c r="B102" s="38" t="s">
        <v>277</v>
      </c>
      <c r="C102" s="38" t="s">
        <v>385</v>
      </c>
      <c r="D102" s="38" t="s">
        <v>378</v>
      </c>
      <c r="E102" s="38" t="s">
        <v>169</v>
      </c>
      <c r="F102" s="38" t="s">
        <v>136</v>
      </c>
      <c r="G102" s="266">
        <v>1894.75</v>
      </c>
      <c r="H102" s="264">
        <f t="shared" si="4"/>
        <v>7</v>
      </c>
    </row>
    <row r="103" spans="1:8" s="130" customFormat="1" x14ac:dyDescent="0.35">
      <c r="A103" s="38" t="s">
        <v>175</v>
      </c>
      <c r="B103" s="38" t="s">
        <v>277</v>
      </c>
      <c r="C103" s="38" t="s">
        <v>385</v>
      </c>
      <c r="D103" s="38" t="s">
        <v>379</v>
      </c>
      <c r="E103" s="38" t="s">
        <v>169</v>
      </c>
      <c r="F103" s="38" t="s">
        <v>136</v>
      </c>
      <c r="G103" s="266">
        <v>1894.75</v>
      </c>
      <c r="H103" s="264">
        <f t="shared" si="4"/>
        <v>8</v>
      </c>
    </row>
    <row r="104" spans="1:8" s="130" customFormat="1" x14ac:dyDescent="0.35">
      <c r="A104" s="38" t="s">
        <v>175</v>
      </c>
      <c r="B104" s="38" t="s">
        <v>277</v>
      </c>
      <c r="C104" s="38" t="s">
        <v>385</v>
      </c>
      <c r="D104" s="38" t="s">
        <v>380</v>
      </c>
      <c r="E104" s="38" t="s">
        <v>169</v>
      </c>
      <c r="F104" s="38" t="s">
        <v>136</v>
      </c>
      <c r="G104" s="266">
        <v>1894.75</v>
      </c>
      <c r="H104" s="264">
        <f t="shared" si="4"/>
        <v>9</v>
      </c>
    </row>
    <row r="105" spans="1:8" s="130" customFormat="1" x14ac:dyDescent="0.35">
      <c r="A105" s="38" t="s">
        <v>175</v>
      </c>
      <c r="B105" s="38" t="s">
        <v>277</v>
      </c>
      <c r="C105" s="38" t="s">
        <v>385</v>
      </c>
      <c r="D105" s="38" t="s">
        <v>381</v>
      </c>
      <c r="E105" s="38" t="s">
        <v>169</v>
      </c>
      <c r="F105" s="38" t="s">
        <v>136</v>
      </c>
      <c r="G105" s="266">
        <v>1894.75</v>
      </c>
      <c r="H105" s="264">
        <f t="shared" si="4"/>
        <v>10</v>
      </c>
    </row>
    <row r="106" spans="1:8" s="130" customFormat="1" x14ac:dyDescent="0.35">
      <c r="A106" s="38" t="s">
        <v>175</v>
      </c>
      <c r="B106" s="38" t="s">
        <v>277</v>
      </c>
      <c r="C106" s="38" t="s">
        <v>385</v>
      </c>
      <c r="D106" s="38" t="s">
        <v>382</v>
      </c>
      <c r="E106" s="38" t="s">
        <v>169</v>
      </c>
      <c r="F106" s="38" t="s">
        <v>136</v>
      </c>
      <c r="G106" s="266">
        <v>1894.75</v>
      </c>
      <c r="H106" s="264">
        <f t="shared" si="4"/>
        <v>11</v>
      </c>
    </row>
    <row r="107" spans="1:8" s="130" customFormat="1" x14ac:dyDescent="0.35">
      <c r="A107" s="38" t="s">
        <v>175</v>
      </c>
      <c r="B107" s="38" t="s">
        <v>277</v>
      </c>
      <c r="C107" s="38" t="s">
        <v>385</v>
      </c>
      <c r="D107" s="38" t="s">
        <v>383</v>
      </c>
      <c r="E107" s="38" t="s">
        <v>169</v>
      </c>
      <c r="F107" s="38" t="s">
        <v>136</v>
      </c>
      <c r="G107" s="266">
        <v>1894.75</v>
      </c>
      <c r="H107" s="264">
        <f t="shared" si="0"/>
        <v>12</v>
      </c>
    </row>
    <row r="108" spans="1:8" s="130" customFormat="1" x14ac:dyDescent="0.35">
      <c r="A108" s="38" t="s">
        <v>175</v>
      </c>
      <c r="B108" s="38" t="s">
        <v>386</v>
      </c>
      <c r="C108" s="38" t="s">
        <v>387</v>
      </c>
      <c r="D108" s="38" t="s">
        <v>372</v>
      </c>
      <c r="E108" s="38" t="s">
        <v>169</v>
      </c>
      <c r="F108" s="38" t="s">
        <v>136</v>
      </c>
      <c r="G108" s="266">
        <v>2596.67</v>
      </c>
      <c r="H108" s="264">
        <f t="shared" si="0"/>
        <v>1</v>
      </c>
    </row>
    <row r="109" spans="1:8" s="130" customFormat="1" x14ac:dyDescent="0.35">
      <c r="A109" s="38" t="s">
        <v>175</v>
      </c>
      <c r="B109" s="38" t="s">
        <v>386</v>
      </c>
      <c r="C109" s="38" t="s">
        <v>387</v>
      </c>
      <c r="D109" s="38" t="s">
        <v>373</v>
      </c>
      <c r="E109" s="38" t="s">
        <v>169</v>
      </c>
      <c r="F109" s="38" t="s">
        <v>136</v>
      </c>
      <c r="G109" s="266">
        <v>2596.67</v>
      </c>
      <c r="H109" s="264">
        <f t="shared" si="0"/>
        <v>2</v>
      </c>
    </row>
    <row r="110" spans="1:8" s="130" customFormat="1" x14ac:dyDescent="0.35">
      <c r="A110" s="38" t="s">
        <v>175</v>
      </c>
      <c r="B110" s="38" t="s">
        <v>386</v>
      </c>
      <c r="C110" s="38" t="s">
        <v>387</v>
      </c>
      <c r="D110" s="38" t="s">
        <v>374</v>
      </c>
      <c r="E110" s="38" t="s">
        <v>169</v>
      </c>
      <c r="F110" s="38" t="s">
        <v>136</v>
      </c>
      <c r="G110" s="266">
        <v>2596.67</v>
      </c>
      <c r="H110" s="264">
        <f t="shared" si="0"/>
        <v>3</v>
      </c>
    </row>
    <row r="111" spans="1:8" s="130" customFormat="1" x14ac:dyDescent="0.35">
      <c r="A111" s="38" t="s">
        <v>175</v>
      </c>
      <c r="B111" s="38" t="s">
        <v>386</v>
      </c>
      <c r="C111" s="38" t="s">
        <v>387</v>
      </c>
      <c r="D111" s="38" t="s">
        <v>375</v>
      </c>
      <c r="E111" s="38" t="s">
        <v>169</v>
      </c>
      <c r="F111" s="38" t="s">
        <v>136</v>
      </c>
      <c r="G111" s="266">
        <v>2596.67</v>
      </c>
      <c r="H111" s="264">
        <f t="shared" si="0"/>
        <v>4</v>
      </c>
    </row>
    <row r="112" spans="1:8" s="130" customFormat="1" x14ac:dyDescent="0.35">
      <c r="A112" s="38" t="s">
        <v>175</v>
      </c>
      <c r="B112" s="38" t="s">
        <v>386</v>
      </c>
      <c r="C112" s="38" t="s">
        <v>387</v>
      </c>
      <c r="D112" s="38" t="s">
        <v>376</v>
      </c>
      <c r="E112" s="38" t="s">
        <v>169</v>
      </c>
      <c r="F112" s="38" t="s">
        <v>136</v>
      </c>
      <c r="G112" s="266">
        <v>2596.67</v>
      </c>
      <c r="H112" s="264">
        <f t="shared" si="0"/>
        <v>5</v>
      </c>
    </row>
    <row r="113" spans="1:8" s="130" customFormat="1" x14ac:dyDescent="0.35">
      <c r="A113" s="38" t="s">
        <v>175</v>
      </c>
      <c r="B113" s="38" t="s">
        <v>386</v>
      </c>
      <c r="C113" s="38" t="s">
        <v>387</v>
      </c>
      <c r="D113" s="38" t="s">
        <v>377</v>
      </c>
      <c r="E113" s="38" t="s">
        <v>169</v>
      </c>
      <c r="F113" s="38" t="s">
        <v>136</v>
      </c>
      <c r="G113" s="266">
        <v>2596.67</v>
      </c>
      <c r="H113" s="264">
        <f t="shared" ref="H113:H194" si="5">IF(D113="",0,MONTH(D113))</f>
        <v>6</v>
      </c>
    </row>
    <row r="114" spans="1:8" s="130" customFormat="1" x14ac:dyDescent="0.35">
      <c r="A114" s="38" t="s">
        <v>175</v>
      </c>
      <c r="B114" s="38" t="s">
        <v>386</v>
      </c>
      <c r="C114" s="38" t="s">
        <v>387</v>
      </c>
      <c r="D114" s="38" t="s">
        <v>378</v>
      </c>
      <c r="E114" s="38" t="s">
        <v>169</v>
      </c>
      <c r="F114" s="38" t="s">
        <v>136</v>
      </c>
      <c r="G114" s="266">
        <v>2596.67</v>
      </c>
      <c r="H114" s="264">
        <f t="shared" si="5"/>
        <v>7</v>
      </c>
    </row>
    <row r="115" spans="1:8" s="130" customFormat="1" x14ac:dyDescent="0.35">
      <c r="A115" s="38" t="s">
        <v>175</v>
      </c>
      <c r="B115" s="38" t="s">
        <v>386</v>
      </c>
      <c r="C115" s="38" t="s">
        <v>387</v>
      </c>
      <c r="D115" s="38" t="s">
        <v>379</v>
      </c>
      <c r="E115" s="38" t="s">
        <v>169</v>
      </c>
      <c r="F115" s="38" t="s">
        <v>136</v>
      </c>
      <c r="G115" s="266">
        <v>2596.67</v>
      </c>
      <c r="H115" s="264">
        <f t="shared" si="5"/>
        <v>8</v>
      </c>
    </row>
    <row r="116" spans="1:8" s="130" customFormat="1" x14ac:dyDescent="0.35">
      <c r="A116" s="38" t="s">
        <v>175</v>
      </c>
      <c r="B116" s="38" t="s">
        <v>386</v>
      </c>
      <c r="C116" s="38" t="s">
        <v>387</v>
      </c>
      <c r="D116" s="38" t="s">
        <v>380</v>
      </c>
      <c r="E116" s="38" t="s">
        <v>169</v>
      </c>
      <c r="F116" s="38" t="s">
        <v>136</v>
      </c>
      <c r="G116" s="266">
        <v>2596.67</v>
      </c>
      <c r="H116" s="264">
        <f t="shared" si="5"/>
        <v>9</v>
      </c>
    </row>
    <row r="117" spans="1:8" s="130" customFormat="1" x14ac:dyDescent="0.35">
      <c r="A117" s="38" t="s">
        <v>175</v>
      </c>
      <c r="B117" s="38" t="s">
        <v>386</v>
      </c>
      <c r="C117" s="38" t="s">
        <v>387</v>
      </c>
      <c r="D117" s="38" t="s">
        <v>381</v>
      </c>
      <c r="E117" s="38" t="s">
        <v>169</v>
      </c>
      <c r="F117" s="38" t="s">
        <v>136</v>
      </c>
      <c r="G117" s="266">
        <v>2596.67</v>
      </c>
      <c r="H117" s="264">
        <f t="shared" si="5"/>
        <v>10</v>
      </c>
    </row>
    <row r="118" spans="1:8" s="130" customFormat="1" x14ac:dyDescent="0.35">
      <c r="A118" s="38" t="s">
        <v>175</v>
      </c>
      <c r="B118" s="38" t="s">
        <v>386</v>
      </c>
      <c r="C118" s="38" t="s">
        <v>387</v>
      </c>
      <c r="D118" s="38" t="s">
        <v>382</v>
      </c>
      <c r="E118" s="38" t="s">
        <v>169</v>
      </c>
      <c r="F118" s="38" t="s">
        <v>136</v>
      </c>
      <c r="G118" s="266">
        <v>2596.67</v>
      </c>
      <c r="H118" s="264">
        <f t="shared" si="5"/>
        <v>11</v>
      </c>
    </row>
    <row r="119" spans="1:8" s="130" customFormat="1" x14ac:dyDescent="0.35">
      <c r="A119" s="38" t="s">
        <v>175</v>
      </c>
      <c r="B119" s="38" t="s">
        <v>386</v>
      </c>
      <c r="C119" s="38" t="s">
        <v>387</v>
      </c>
      <c r="D119" s="38" t="s">
        <v>383</v>
      </c>
      <c r="E119" s="38" t="s">
        <v>169</v>
      </c>
      <c r="F119" s="38" t="s">
        <v>136</v>
      </c>
      <c r="G119" s="266">
        <v>2596.67</v>
      </c>
      <c r="H119" s="264">
        <f t="shared" ref="H119:H136" si="6">IF(D119="",0,MONTH(D119))</f>
        <v>12</v>
      </c>
    </row>
    <row r="120" spans="1:8" s="130" customFormat="1" x14ac:dyDescent="0.35">
      <c r="A120" s="38" t="s">
        <v>175</v>
      </c>
      <c r="B120" s="38" t="s">
        <v>388</v>
      </c>
      <c r="C120" s="38" t="s">
        <v>389</v>
      </c>
      <c r="D120" s="38" t="s">
        <v>372</v>
      </c>
      <c r="E120" s="38" t="s">
        <v>169</v>
      </c>
      <c r="F120" s="38" t="s">
        <v>136</v>
      </c>
      <c r="G120" s="266">
        <v>4147</v>
      </c>
      <c r="H120" s="264">
        <f t="shared" si="6"/>
        <v>1</v>
      </c>
    </row>
    <row r="121" spans="1:8" s="130" customFormat="1" x14ac:dyDescent="0.35">
      <c r="A121" s="38" t="s">
        <v>175</v>
      </c>
      <c r="B121" s="38" t="s">
        <v>388</v>
      </c>
      <c r="C121" s="38" t="s">
        <v>389</v>
      </c>
      <c r="D121" s="38" t="s">
        <v>373</v>
      </c>
      <c r="E121" s="38" t="s">
        <v>169</v>
      </c>
      <c r="F121" s="38" t="s">
        <v>136</v>
      </c>
      <c r="G121" s="266">
        <v>4147</v>
      </c>
      <c r="H121" s="264">
        <f t="shared" si="6"/>
        <v>2</v>
      </c>
    </row>
    <row r="122" spans="1:8" s="130" customFormat="1" x14ac:dyDescent="0.35">
      <c r="A122" s="38" t="s">
        <v>175</v>
      </c>
      <c r="B122" s="38" t="s">
        <v>388</v>
      </c>
      <c r="C122" s="38" t="s">
        <v>389</v>
      </c>
      <c r="D122" s="38" t="s">
        <v>374</v>
      </c>
      <c r="E122" s="38" t="s">
        <v>169</v>
      </c>
      <c r="F122" s="38" t="s">
        <v>136</v>
      </c>
      <c r="G122" s="266">
        <v>4147</v>
      </c>
      <c r="H122" s="264">
        <f t="shared" si="6"/>
        <v>3</v>
      </c>
    </row>
    <row r="123" spans="1:8" s="130" customFormat="1" x14ac:dyDescent="0.35">
      <c r="A123" s="38" t="s">
        <v>175</v>
      </c>
      <c r="B123" s="38" t="s">
        <v>388</v>
      </c>
      <c r="C123" s="38" t="s">
        <v>389</v>
      </c>
      <c r="D123" s="38" t="s">
        <v>375</v>
      </c>
      <c r="E123" s="38" t="s">
        <v>169</v>
      </c>
      <c r="F123" s="38" t="s">
        <v>136</v>
      </c>
      <c r="G123" s="266">
        <v>4253.33</v>
      </c>
      <c r="H123" s="264">
        <f t="shared" si="6"/>
        <v>4</v>
      </c>
    </row>
    <row r="124" spans="1:8" s="130" customFormat="1" x14ac:dyDescent="0.35">
      <c r="A124" s="38" t="s">
        <v>175</v>
      </c>
      <c r="B124" s="38" t="s">
        <v>388</v>
      </c>
      <c r="C124" s="38" t="s">
        <v>389</v>
      </c>
      <c r="D124" s="38" t="s">
        <v>376</v>
      </c>
      <c r="E124" s="38" t="s">
        <v>169</v>
      </c>
      <c r="F124" s="38" t="s">
        <v>136</v>
      </c>
      <c r="G124" s="266">
        <v>4253.33</v>
      </c>
      <c r="H124" s="264">
        <f t="shared" si="6"/>
        <v>5</v>
      </c>
    </row>
    <row r="125" spans="1:8" x14ac:dyDescent="0.35">
      <c r="A125" s="38" t="s">
        <v>175</v>
      </c>
      <c r="B125" s="38" t="s">
        <v>388</v>
      </c>
      <c r="C125" s="38" t="s">
        <v>389</v>
      </c>
      <c r="D125" s="38" t="s">
        <v>377</v>
      </c>
      <c r="E125" s="38" t="s">
        <v>169</v>
      </c>
      <c r="F125" s="38" t="s">
        <v>136</v>
      </c>
      <c r="G125" s="266">
        <v>4253.33</v>
      </c>
      <c r="H125" s="264">
        <f t="shared" si="6"/>
        <v>6</v>
      </c>
    </row>
    <row r="126" spans="1:8" x14ac:dyDescent="0.35">
      <c r="A126" s="38" t="s">
        <v>175</v>
      </c>
      <c r="B126" s="38" t="s">
        <v>388</v>
      </c>
      <c r="C126" s="38" t="s">
        <v>389</v>
      </c>
      <c r="D126" s="38" t="s">
        <v>378</v>
      </c>
      <c r="E126" s="38" t="s">
        <v>169</v>
      </c>
      <c r="F126" s="38" t="s">
        <v>136</v>
      </c>
      <c r="G126" s="266">
        <v>4253.33</v>
      </c>
      <c r="H126" s="264">
        <f t="shared" si="6"/>
        <v>7</v>
      </c>
    </row>
    <row r="127" spans="1:8" x14ac:dyDescent="0.35">
      <c r="A127" s="38" t="s">
        <v>175</v>
      </c>
      <c r="B127" s="38" t="s">
        <v>388</v>
      </c>
      <c r="C127" s="38" t="s">
        <v>389</v>
      </c>
      <c r="D127" s="38" t="s">
        <v>379</v>
      </c>
      <c r="E127" s="38" t="s">
        <v>169</v>
      </c>
      <c r="F127" s="38" t="s">
        <v>136</v>
      </c>
      <c r="G127" s="266">
        <v>4253.33</v>
      </c>
      <c r="H127" s="264">
        <f t="shared" si="6"/>
        <v>8</v>
      </c>
    </row>
    <row r="128" spans="1:8" x14ac:dyDescent="0.35">
      <c r="A128" s="38" t="s">
        <v>175</v>
      </c>
      <c r="B128" s="38" t="s">
        <v>388</v>
      </c>
      <c r="C128" s="38" t="s">
        <v>389</v>
      </c>
      <c r="D128" s="38" t="s">
        <v>380</v>
      </c>
      <c r="E128" s="38" t="s">
        <v>169</v>
      </c>
      <c r="F128" s="38" t="s">
        <v>136</v>
      </c>
      <c r="G128" s="266">
        <v>4253.33</v>
      </c>
      <c r="H128" s="264">
        <f t="shared" si="6"/>
        <v>9</v>
      </c>
    </row>
    <row r="129" spans="1:8" x14ac:dyDescent="0.35">
      <c r="A129" s="38" t="s">
        <v>175</v>
      </c>
      <c r="B129" s="38" t="s">
        <v>388</v>
      </c>
      <c r="C129" s="38" t="s">
        <v>389</v>
      </c>
      <c r="D129" s="38" t="s">
        <v>381</v>
      </c>
      <c r="E129" s="38" t="s">
        <v>169</v>
      </c>
      <c r="F129" s="38" t="s">
        <v>136</v>
      </c>
      <c r="G129" s="266">
        <v>4253.33</v>
      </c>
      <c r="H129" s="264">
        <f t="shared" si="6"/>
        <v>10</v>
      </c>
    </row>
    <row r="130" spans="1:8" x14ac:dyDescent="0.35">
      <c r="A130" s="38" t="s">
        <v>175</v>
      </c>
      <c r="B130" s="38" t="s">
        <v>388</v>
      </c>
      <c r="C130" s="38" t="s">
        <v>389</v>
      </c>
      <c r="D130" s="38" t="s">
        <v>382</v>
      </c>
      <c r="E130" s="38" t="s">
        <v>169</v>
      </c>
      <c r="F130" s="38" t="s">
        <v>136</v>
      </c>
      <c r="G130" s="266">
        <v>4253.33</v>
      </c>
      <c r="H130" s="264">
        <f t="shared" si="6"/>
        <v>11</v>
      </c>
    </row>
    <row r="131" spans="1:8" x14ac:dyDescent="0.35">
      <c r="A131" s="38" t="s">
        <v>175</v>
      </c>
      <c r="B131" s="38" t="s">
        <v>388</v>
      </c>
      <c r="C131" s="38" t="s">
        <v>389</v>
      </c>
      <c r="D131" s="38" t="s">
        <v>383</v>
      </c>
      <c r="E131" s="38" t="s">
        <v>169</v>
      </c>
      <c r="F131" s="38" t="s">
        <v>136</v>
      </c>
      <c r="G131" s="266">
        <v>4253.33</v>
      </c>
      <c r="H131" s="264">
        <f t="shared" si="6"/>
        <v>12</v>
      </c>
    </row>
    <row r="132" spans="1:8" x14ac:dyDescent="0.35">
      <c r="A132" s="38" t="s">
        <v>175</v>
      </c>
      <c r="B132" s="38" t="s">
        <v>250</v>
      </c>
      <c r="C132" s="38" t="s">
        <v>390</v>
      </c>
      <c r="D132" s="38" t="s">
        <v>372</v>
      </c>
      <c r="E132" s="38" t="s">
        <v>169</v>
      </c>
      <c r="F132" s="38" t="s">
        <v>136</v>
      </c>
      <c r="G132" s="266">
        <v>1539.18</v>
      </c>
      <c r="H132" s="264">
        <f t="shared" si="6"/>
        <v>1</v>
      </c>
    </row>
    <row r="133" spans="1:8" x14ac:dyDescent="0.35">
      <c r="A133" s="38" t="s">
        <v>175</v>
      </c>
      <c r="B133" s="38" t="s">
        <v>250</v>
      </c>
      <c r="C133" s="38" t="s">
        <v>390</v>
      </c>
      <c r="D133" s="38" t="s">
        <v>373</v>
      </c>
      <c r="E133" s="38" t="s">
        <v>169</v>
      </c>
      <c r="F133" s="38" t="s">
        <v>136</v>
      </c>
      <c r="G133" s="266">
        <v>1539.18</v>
      </c>
      <c r="H133" s="264">
        <f t="shared" si="6"/>
        <v>2</v>
      </c>
    </row>
    <row r="134" spans="1:8" x14ac:dyDescent="0.35">
      <c r="A134" s="38" t="s">
        <v>175</v>
      </c>
      <c r="B134" s="38" t="s">
        <v>250</v>
      </c>
      <c r="C134" s="38" t="s">
        <v>390</v>
      </c>
      <c r="D134" s="38" t="s">
        <v>374</v>
      </c>
      <c r="E134" s="38" t="s">
        <v>169</v>
      </c>
      <c r="F134" s="38" t="s">
        <v>136</v>
      </c>
      <c r="G134" s="266">
        <v>1539.18</v>
      </c>
      <c r="H134" s="264">
        <f t="shared" si="6"/>
        <v>3</v>
      </c>
    </row>
    <row r="135" spans="1:8" x14ac:dyDescent="0.35">
      <c r="A135" s="38" t="s">
        <v>175</v>
      </c>
      <c r="B135" s="38" t="s">
        <v>250</v>
      </c>
      <c r="C135" s="38" t="s">
        <v>390</v>
      </c>
      <c r="D135" s="38" t="s">
        <v>375</v>
      </c>
      <c r="E135" s="38" t="s">
        <v>169</v>
      </c>
      <c r="F135" s="38" t="s">
        <v>136</v>
      </c>
      <c r="G135" s="266">
        <v>1539.18</v>
      </c>
      <c r="H135" s="264">
        <f t="shared" si="6"/>
        <v>4</v>
      </c>
    </row>
    <row r="136" spans="1:8" x14ac:dyDescent="0.35">
      <c r="A136" s="38" t="s">
        <v>175</v>
      </c>
      <c r="B136" s="38" t="s">
        <v>250</v>
      </c>
      <c r="C136" s="38" t="s">
        <v>390</v>
      </c>
      <c r="D136" s="38" t="s">
        <v>376</v>
      </c>
      <c r="E136" s="38" t="s">
        <v>169</v>
      </c>
      <c r="F136" s="38" t="s">
        <v>136</v>
      </c>
      <c r="G136" s="266">
        <v>1539.18</v>
      </c>
      <c r="H136" s="264">
        <f t="shared" si="6"/>
        <v>5</v>
      </c>
    </row>
    <row r="137" spans="1:8" x14ac:dyDescent="0.35">
      <c r="A137" s="38" t="s">
        <v>175</v>
      </c>
      <c r="B137" s="38" t="s">
        <v>250</v>
      </c>
      <c r="C137" s="38" t="s">
        <v>390</v>
      </c>
      <c r="D137" s="38" t="s">
        <v>377</v>
      </c>
      <c r="E137" s="38" t="s">
        <v>169</v>
      </c>
      <c r="F137" s="38" t="s">
        <v>136</v>
      </c>
      <c r="G137" s="266">
        <v>1539.18</v>
      </c>
      <c r="H137" s="264">
        <f t="shared" si="5"/>
        <v>6</v>
      </c>
    </row>
    <row r="138" spans="1:8" x14ac:dyDescent="0.35">
      <c r="A138" s="38" t="s">
        <v>175</v>
      </c>
      <c r="B138" s="38" t="s">
        <v>250</v>
      </c>
      <c r="C138" s="38" t="s">
        <v>390</v>
      </c>
      <c r="D138" s="38" t="s">
        <v>378</v>
      </c>
      <c r="E138" s="38" t="s">
        <v>169</v>
      </c>
      <c r="F138" s="38" t="s">
        <v>136</v>
      </c>
      <c r="G138" s="266">
        <v>1539.18</v>
      </c>
      <c r="H138" s="264">
        <f t="shared" si="5"/>
        <v>7</v>
      </c>
    </row>
    <row r="139" spans="1:8" x14ac:dyDescent="0.35">
      <c r="A139" s="38" t="s">
        <v>175</v>
      </c>
      <c r="B139" s="38" t="s">
        <v>250</v>
      </c>
      <c r="C139" s="38" t="s">
        <v>390</v>
      </c>
      <c r="D139" s="38" t="s">
        <v>379</v>
      </c>
      <c r="E139" s="38" t="s">
        <v>169</v>
      </c>
      <c r="F139" s="38" t="s">
        <v>136</v>
      </c>
      <c r="G139" s="266">
        <v>1539.18</v>
      </c>
      <c r="H139" s="264">
        <f t="shared" si="5"/>
        <v>8</v>
      </c>
    </row>
    <row r="140" spans="1:8" x14ac:dyDescent="0.35">
      <c r="A140" s="38" t="s">
        <v>175</v>
      </c>
      <c r="B140" s="38" t="s">
        <v>250</v>
      </c>
      <c r="C140" s="38" t="s">
        <v>390</v>
      </c>
      <c r="D140" s="38" t="s">
        <v>380</v>
      </c>
      <c r="E140" s="38" t="s">
        <v>169</v>
      </c>
      <c r="F140" s="38" t="s">
        <v>136</v>
      </c>
      <c r="G140" s="266">
        <v>1539.18</v>
      </c>
      <c r="H140" s="264">
        <f t="shared" si="5"/>
        <v>9</v>
      </c>
    </row>
    <row r="141" spans="1:8" x14ac:dyDescent="0.35">
      <c r="A141" s="38" t="s">
        <v>175</v>
      </c>
      <c r="B141" s="38" t="s">
        <v>250</v>
      </c>
      <c r="C141" s="38" t="s">
        <v>390</v>
      </c>
      <c r="D141" s="38" t="s">
        <v>381</v>
      </c>
      <c r="E141" s="38" t="s">
        <v>169</v>
      </c>
      <c r="F141" s="38" t="s">
        <v>136</v>
      </c>
      <c r="G141" s="266">
        <v>1539.18</v>
      </c>
      <c r="H141" s="264">
        <f t="shared" si="5"/>
        <v>10</v>
      </c>
    </row>
    <row r="142" spans="1:8" x14ac:dyDescent="0.35">
      <c r="A142" s="38" t="s">
        <v>175</v>
      </c>
      <c r="B142" s="38" t="s">
        <v>250</v>
      </c>
      <c r="C142" s="38" t="s">
        <v>390</v>
      </c>
      <c r="D142" s="38" t="s">
        <v>382</v>
      </c>
      <c r="E142" s="38" t="s">
        <v>169</v>
      </c>
      <c r="F142" s="38" t="s">
        <v>136</v>
      </c>
      <c r="G142" s="266">
        <v>1539.18</v>
      </c>
      <c r="H142" s="264">
        <f t="shared" si="5"/>
        <v>11</v>
      </c>
    </row>
    <row r="143" spans="1:8" x14ac:dyDescent="0.35">
      <c r="A143" s="38" t="s">
        <v>175</v>
      </c>
      <c r="B143" s="38" t="s">
        <v>250</v>
      </c>
      <c r="C143" s="38" t="s">
        <v>390</v>
      </c>
      <c r="D143" s="38" t="s">
        <v>383</v>
      </c>
      <c r="E143" s="38" t="s">
        <v>169</v>
      </c>
      <c r="F143" s="38" t="s">
        <v>136</v>
      </c>
      <c r="G143" s="266">
        <v>1539.18</v>
      </c>
      <c r="H143" s="264">
        <f t="shared" si="5"/>
        <v>12</v>
      </c>
    </row>
    <row r="144" spans="1:8" x14ac:dyDescent="0.35">
      <c r="A144" s="38" t="s">
        <v>175</v>
      </c>
      <c r="B144" s="38" t="s">
        <v>176</v>
      </c>
      <c r="C144" s="38" t="s">
        <v>177</v>
      </c>
      <c r="D144" s="38" t="s">
        <v>372</v>
      </c>
      <c r="E144" s="38" t="s">
        <v>169</v>
      </c>
      <c r="F144" s="38" t="s">
        <v>136</v>
      </c>
      <c r="G144" s="266">
        <v>2000.17</v>
      </c>
      <c r="H144" s="264">
        <f t="shared" si="5"/>
        <v>1</v>
      </c>
    </row>
    <row r="145" spans="1:8" x14ac:dyDescent="0.35">
      <c r="A145" s="38" t="s">
        <v>175</v>
      </c>
      <c r="B145" s="38" t="s">
        <v>176</v>
      </c>
      <c r="C145" s="38" t="s">
        <v>177</v>
      </c>
      <c r="D145" s="38" t="s">
        <v>373</v>
      </c>
      <c r="E145" s="38" t="s">
        <v>169</v>
      </c>
      <c r="F145" s="38" t="s">
        <v>136</v>
      </c>
      <c r="G145" s="266">
        <v>2000.17</v>
      </c>
      <c r="H145" s="264">
        <f t="shared" si="5"/>
        <v>2</v>
      </c>
    </row>
    <row r="146" spans="1:8" x14ac:dyDescent="0.35">
      <c r="A146" s="38" t="s">
        <v>175</v>
      </c>
      <c r="B146" s="38" t="s">
        <v>176</v>
      </c>
      <c r="C146" s="38" t="s">
        <v>177</v>
      </c>
      <c r="D146" s="38" t="s">
        <v>374</v>
      </c>
      <c r="E146" s="38" t="s">
        <v>169</v>
      </c>
      <c r="F146" s="38" t="s">
        <v>136</v>
      </c>
      <c r="G146" s="266">
        <v>2000.17</v>
      </c>
      <c r="H146" s="264">
        <f t="shared" si="5"/>
        <v>3</v>
      </c>
    </row>
    <row r="147" spans="1:8" x14ac:dyDescent="0.35">
      <c r="A147" s="38" t="s">
        <v>175</v>
      </c>
      <c r="B147" s="38" t="s">
        <v>278</v>
      </c>
      <c r="C147" s="38" t="s">
        <v>279</v>
      </c>
      <c r="D147" s="38" t="s">
        <v>372</v>
      </c>
      <c r="E147" s="38" t="s">
        <v>169</v>
      </c>
      <c r="F147" s="38" t="s">
        <v>136</v>
      </c>
      <c r="G147" s="266">
        <v>3317.08</v>
      </c>
      <c r="H147" s="264">
        <f t="shared" si="5"/>
        <v>1</v>
      </c>
    </row>
    <row r="148" spans="1:8" x14ac:dyDescent="0.35">
      <c r="A148" s="38" t="s">
        <v>175</v>
      </c>
      <c r="B148" s="38" t="s">
        <v>278</v>
      </c>
      <c r="C148" s="38" t="s">
        <v>279</v>
      </c>
      <c r="D148" s="38" t="s">
        <v>373</v>
      </c>
      <c r="E148" s="38" t="s">
        <v>169</v>
      </c>
      <c r="F148" s="38" t="s">
        <v>136</v>
      </c>
      <c r="G148" s="266">
        <v>3317.08</v>
      </c>
      <c r="H148" s="264">
        <f t="shared" si="5"/>
        <v>2</v>
      </c>
    </row>
    <row r="149" spans="1:8" x14ac:dyDescent="0.35">
      <c r="A149" s="38" t="s">
        <v>175</v>
      </c>
      <c r="B149" s="38" t="s">
        <v>278</v>
      </c>
      <c r="C149" s="38" t="s">
        <v>279</v>
      </c>
      <c r="D149" s="38" t="s">
        <v>374</v>
      </c>
      <c r="E149" s="38" t="s">
        <v>169</v>
      </c>
      <c r="F149" s="38" t="s">
        <v>136</v>
      </c>
      <c r="G149" s="266">
        <v>3317.08</v>
      </c>
      <c r="H149" s="264">
        <f t="shared" si="5"/>
        <v>3</v>
      </c>
    </row>
    <row r="150" spans="1:8" x14ac:dyDescent="0.35">
      <c r="A150" s="38" t="s">
        <v>175</v>
      </c>
      <c r="B150" s="38" t="s">
        <v>278</v>
      </c>
      <c r="C150" s="38" t="s">
        <v>279</v>
      </c>
      <c r="D150" s="38" t="s">
        <v>375</v>
      </c>
      <c r="E150" s="38" t="s">
        <v>169</v>
      </c>
      <c r="F150" s="38" t="s">
        <v>136</v>
      </c>
      <c r="G150" s="266">
        <v>3317.08</v>
      </c>
      <c r="H150" s="264">
        <f t="shared" si="5"/>
        <v>4</v>
      </c>
    </row>
    <row r="151" spans="1:8" x14ac:dyDescent="0.35">
      <c r="A151" s="38" t="s">
        <v>175</v>
      </c>
      <c r="B151" s="38" t="s">
        <v>278</v>
      </c>
      <c r="C151" s="38" t="s">
        <v>279</v>
      </c>
      <c r="D151" s="38" t="s">
        <v>376</v>
      </c>
      <c r="E151" s="38" t="s">
        <v>169</v>
      </c>
      <c r="F151" s="38" t="s">
        <v>136</v>
      </c>
      <c r="G151" s="266">
        <v>3317.08</v>
      </c>
      <c r="H151" s="264">
        <f t="shared" si="5"/>
        <v>5</v>
      </c>
    </row>
    <row r="152" spans="1:8" x14ac:dyDescent="0.35">
      <c r="A152" s="38" t="s">
        <v>175</v>
      </c>
      <c r="B152" s="38" t="s">
        <v>278</v>
      </c>
      <c r="C152" s="38" t="s">
        <v>279</v>
      </c>
      <c r="D152" s="38" t="s">
        <v>377</v>
      </c>
      <c r="E152" s="38" t="s">
        <v>169</v>
      </c>
      <c r="F152" s="38" t="s">
        <v>136</v>
      </c>
      <c r="G152" s="266">
        <v>3317.08</v>
      </c>
      <c r="H152" s="264">
        <f t="shared" si="5"/>
        <v>6</v>
      </c>
    </row>
    <row r="153" spans="1:8" x14ac:dyDescent="0.35">
      <c r="A153" s="38" t="s">
        <v>175</v>
      </c>
      <c r="B153" s="38" t="s">
        <v>278</v>
      </c>
      <c r="C153" s="38" t="s">
        <v>279</v>
      </c>
      <c r="D153" s="38" t="s">
        <v>378</v>
      </c>
      <c r="E153" s="38" t="s">
        <v>169</v>
      </c>
      <c r="F153" s="38" t="s">
        <v>136</v>
      </c>
      <c r="G153" s="266">
        <v>3317.08</v>
      </c>
      <c r="H153" s="264">
        <f t="shared" si="5"/>
        <v>7</v>
      </c>
    </row>
    <row r="154" spans="1:8" x14ac:dyDescent="0.35">
      <c r="A154" s="38" t="s">
        <v>175</v>
      </c>
      <c r="B154" s="38" t="s">
        <v>278</v>
      </c>
      <c r="C154" s="38" t="s">
        <v>279</v>
      </c>
      <c r="D154" s="38" t="s">
        <v>379</v>
      </c>
      <c r="E154" s="38" t="s">
        <v>169</v>
      </c>
      <c r="F154" s="38" t="s">
        <v>136</v>
      </c>
      <c r="G154" s="266">
        <v>3317.08</v>
      </c>
      <c r="H154" s="264">
        <f t="shared" si="5"/>
        <v>8</v>
      </c>
    </row>
    <row r="155" spans="1:8" x14ac:dyDescent="0.35">
      <c r="A155" s="38" t="s">
        <v>175</v>
      </c>
      <c r="B155" s="38" t="s">
        <v>278</v>
      </c>
      <c r="C155" s="38" t="s">
        <v>279</v>
      </c>
      <c r="D155" s="38" t="s">
        <v>380</v>
      </c>
      <c r="E155" s="38" t="s">
        <v>169</v>
      </c>
      <c r="F155" s="38" t="s">
        <v>136</v>
      </c>
      <c r="G155" s="266">
        <v>3317.08</v>
      </c>
      <c r="H155" s="264">
        <f t="shared" si="5"/>
        <v>9</v>
      </c>
    </row>
    <row r="156" spans="1:8" x14ac:dyDescent="0.35">
      <c r="A156" s="38" t="s">
        <v>175</v>
      </c>
      <c r="B156" s="38" t="s">
        <v>278</v>
      </c>
      <c r="C156" s="38" t="s">
        <v>279</v>
      </c>
      <c r="D156" s="38" t="s">
        <v>381</v>
      </c>
      <c r="E156" s="38" t="s">
        <v>169</v>
      </c>
      <c r="F156" s="38" t="s">
        <v>136</v>
      </c>
      <c r="G156" s="266">
        <v>3317.08</v>
      </c>
      <c r="H156" s="264">
        <f t="shared" si="5"/>
        <v>10</v>
      </c>
    </row>
    <row r="157" spans="1:8" x14ac:dyDescent="0.35">
      <c r="A157" s="38" t="s">
        <v>175</v>
      </c>
      <c r="B157" s="38" t="s">
        <v>278</v>
      </c>
      <c r="C157" s="38" t="s">
        <v>279</v>
      </c>
      <c r="D157" s="38" t="s">
        <v>382</v>
      </c>
      <c r="E157" s="38" t="s">
        <v>169</v>
      </c>
      <c r="F157" s="38" t="s">
        <v>136</v>
      </c>
      <c r="G157" s="266">
        <v>3317.08</v>
      </c>
      <c r="H157" s="264">
        <f t="shared" si="5"/>
        <v>11</v>
      </c>
    </row>
    <row r="158" spans="1:8" x14ac:dyDescent="0.35">
      <c r="A158" s="38" t="s">
        <v>175</v>
      </c>
      <c r="B158" s="38" t="s">
        <v>278</v>
      </c>
      <c r="C158" s="38" t="s">
        <v>279</v>
      </c>
      <c r="D158" s="38" t="s">
        <v>383</v>
      </c>
      <c r="E158" s="38" t="s">
        <v>169</v>
      </c>
      <c r="F158" s="38" t="s">
        <v>136</v>
      </c>
      <c r="G158" s="266">
        <v>3317.08</v>
      </c>
      <c r="H158" s="264">
        <f t="shared" si="5"/>
        <v>12</v>
      </c>
    </row>
    <row r="159" spans="1:8" x14ac:dyDescent="0.35">
      <c r="A159" s="38" t="s">
        <v>175</v>
      </c>
      <c r="B159" s="38" t="s">
        <v>178</v>
      </c>
      <c r="C159" s="38" t="s">
        <v>280</v>
      </c>
      <c r="D159" s="38" t="s">
        <v>372</v>
      </c>
      <c r="E159" s="38" t="s">
        <v>169</v>
      </c>
      <c r="F159" s="38" t="s">
        <v>136</v>
      </c>
      <c r="G159" s="266">
        <v>1784.25</v>
      </c>
      <c r="H159" s="264">
        <f t="shared" si="5"/>
        <v>1</v>
      </c>
    </row>
    <row r="160" spans="1:8" x14ac:dyDescent="0.35">
      <c r="A160" s="38" t="s">
        <v>175</v>
      </c>
      <c r="B160" s="38" t="s">
        <v>178</v>
      </c>
      <c r="C160" s="38" t="s">
        <v>280</v>
      </c>
      <c r="D160" s="38" t="s">
        <v>373</v>
      </c>
      <c r="E160" s="38" t="s">
        <v>169</v>
      </c>
      <c r="F160" s="38" t="s">
        <v>136</v>
      </c>
      <c r="G160" s="266">
        <v>1784.25</v>
      </c>
      <c r="H160" s="264">
        <f t="shared" si="5"/>
        <v>2</v>
      </c>
    </row>
    <row r="161" spans="1:8" x14ac:dyDescent="0.35">
      <c r="A161" s="38" t="s">
        <v>175</v>
      </c>
      <c r="B161" s="38" t="s">
        <v>178</v>
      </c>
      <c r="C161" s="38" t="s">
        <v>280</v>
      </c>
      <c r="D161" s="38" t="s">
        <v>374</v>
      </c>
      <c r="E161" s="38" t="s">
        <v>169</v>
      </c>
      <c r="F161" s="38" t="s">
        <v>136</v>
      </c>
      <c r="G161" s="266">
        <v>1784.25</v>
      </c>
      <c r="H161" s="264">
        <f t="shared" si="5"/>
        <v>3</v>
      </c>
    </row>
    <row r="162" spans="1:8" x14ac:dyDescent="0.35">
      <c r="A162" s="38" t="s">
        <v>175</v>
      </c>
      <c r="B162" s="38" t="s">
        <v>178</v>
      </c>
      <c r="C162" s="38" t="s">
        <v>280</v>
      </c>
      <c r="D162" s="38" t="s">
        <v>375</v>
      </c>
      <c r="E162" s="38" t="s">
        <v>169</v>
      </c>
      <c r="F162" s="38" t="s">
        <v>136</v>
      </c>
      <c r="G162" s="266">
        <v>1784.25</v>
      </c>
      <c r="H162" s="264">
        <f t="shared" si="5"/>
        <v>4</v>
      </c>
    </row>
    <row r="163" spans="1:8" x14ac:dyDescent="0.35">
      <c r="A163" s="38" t="s">
        <v>175</v>
      </c>
      <c r="B163" s="38" t="s">
        <v>178</v>
      </c>
      <c r="C163" s="38" t="s">
        <v>280</v>
      </c>
      <c r="D163" s="38" t="s">
        <v>376</v>
      </c>
      <c r="E163" s="38" t="s">
        <v>169</v>
      </c>
      <c r="F163" s="38" t="s">
        <v>136</v>
      </c>
      <c r="G163" s="266">
        <v>1784.25</v>
      </c>
      <c r="H163" s="264">
        <f t="shared" si="5"/>
        <v>5</v>
      </c>
    </row>
    <row r="164" spans="1:8" x14ac:dyDescent="0.35">
      <c r="A164" s="38" t="s">
        <v>175</v>
      </c>
      <c r="B164" s="38" t="s">
        <v>178</v>
      </c>
      <c r="C164" s="38" t="s">
        <v>280</v>
      </c>
      <c r="D164" s="38" t="s">
        <v>377</v>
      </c>
      <c r="E164" s="38" t="s">
        <v>169</v>
      </c>
      <c r="F164" s="38" t="s">
        <v>136</v>
      </c>
      <c r="G164" s="266">
        <v>1784.25</v>
      </c>
      <c r="H164" s="264">
        <f t="shared" si="5"/>
        <v>6</v>
      </c>
    </row>
    <row r="165" spans="1:8" x14ac:dyDescent="0.35">
      <c r="A165" s="38" t="s">
        <v>175</v>
      </c>
      <c r="B165" s="38" t="s">
        <v>178</v>
      </c>
      <c r="C165" s="38" t="s">
        <v>280</v>
      </c>
      <c r="D165" s="38" t="s">
        <v>378</v>
      </c>
      <c r="E165" s="38" t="s">
        <v>169</v>
      </c>
      <c r="F165" s="38" t="s">
        <v>136</v>
      </c>
      <c r="G165" s="266">
        <v>1784.25</v>
      </c>
      <c r="H165" s="264">
        <f t="shared" si="5"/>
        <v>7</v>
      </c>
    </row>
    <row r="166" spans="1:8" x14ac:dyDescent="0.35">
      <c r="A166" s="38" t="s">
        <v>175</v>
      </c>
      <c r="B166" s="38" t="s">
        <v>244</v>
      </c>
      <c r="C166" s="38" t="s">
        <v>391</v>
      </c>
      <c r="D166" s="38" t="s">
        <v>372</v>
      </c>
      <c r="E166" s="38" t="s">
        <v>169</v>
      </c>
      <c r="F166" s="38" t="s">
        <v>136</v>
      </c>
      <c r="G166" s="266">
        <v>3464.5</v>
      </c>
      <c r="H166" s="264">
        <f t="shared" si="5"/>
        <v>1</v>
      </c>
    </row>
    <row r="167" spans="1:8" x14ac:dyDescent="0.35">
      <c r="A167" s="38" t="s">
        <v>175</v>
      </c>
      <c r="B167" s="38" t="s">
        <v>244</v>
      </c>
      <c r="C167" s="38" t="s">
        <v>391</v>
      </c>
      <c r="D167" s="38" t="s">
        <v>373</v>
      </c>
      <c r="E167" s="38" t="s">
        <v>169</v>
      </c>
      <c r="F167" s="38" t="s">
        <v>136</v>
      </c>
      <c r="G167" s="266">
        <v>3464.5</v>
      </c>
      <c r="H167" s="264">
        <f t="shared" si="5"/>
        <v>2</v>
      </c>
    </row>
    <row r="168" spans="1:8" x14ac:dyDescent="0.35">
      <c r="A168" s="38" t="s">
        <v>175</v>
      </c>
      <c r="B168" s="38" t="s">
        <v>244</v>
      </c>
      <c r="C168" s="38" t="s">
        <v>391</v>
      </c>
      <c r="D168" s="38" t="s">
        <v>374</v>
      </c>
      <c r="E168" s="38" t="s">
        <v>169</v>
      </c>
      <c r="F168" s="38" t="s">
        <v>136</v>
      </c>
      <c r="G168" s="266">
        <v>3464.5</v>
      </c>
      <c r="H168" s="264">
        <f t="shared" si="5"/>
        <v>3</v>
      </c>
    </row>
    <row r="169" spans="1:8" x14ac:dyDescent="0.35">
      <c r="A169" s="38" t="s">
        <v>175</v>
      </c>
      <c r="B169" s="38" t="s">
        <v>244</v>
      </c>
      <c r="C169" s="38" t="s">
        <v>391</v>
      </c>
      <c r="D169" s="38" t="s">
        <v>375</v>
      </c>
      <c r="E169" s="38" t="s">
        <v>169</v>
      </c>
      <c r="F169" s="38" t="s">
        <v>136</v>
      </c>
      <c r="G169" s="266">
        <v>3464.5</v>
      </c>
      <c r="H169" s="264">
        <f t="shared" si="5"/>
        <v>4</v>
      </c>
    </row>
    <row r="170" spans="1:8" x14ac:dyDescent="0.35">
      <c r="A170" s="38" t="s">
        <v>175</v>
      </c>
      <c r="B170" s="38" t="s">
        <v>244</v>
      </c>
      <c r="C170" s="38" t="s">
        <v>391</v>
      </c>
      <c r="D170" s="38" t="s">
        <v>376</v>
      </c>
      <c r="E170" s="38" t="s">
        <v>169</v>
      </c>
      <c r="F170" s="38" t="s">
        <v>136</v>
      </c>
      <c r="G170" s="266">
        <v>3464.5</v>
      </c>
      <c r="H170" s="264">
        <f t="shared" si="5"/>
        <v>5</v>
      </c>
    </row>
    <row r="171" spans="1:8" x14ac:dyDescent="0.35">
      <c r="A171" s="38" t="s">
        <v>175</v>
      </c>
      <c r="B171" s="38" t="s">
        <v>244</v>
      </c>
      <c r="C171" s="38" t="s">
        <v>391</v>
      </c>
      <c r="D171" s="38" t="s">
        <v>377</v>
      </c>
      <c r="E171" s="38" t="s">
        <v>169</v>
      </c>
      <c r="F171" s="38" t="s">
        <v>136</v>
      </c>
      <c r="G171" s="266">
        <v>3464.5</v>
      </c>
      <c r="H171" s="264">
        <f t="shared" si="5"/>
        <v>6</v>
      </c>
    </row>
    <row r="172" spans="1:8" x14ac:dyDescent="0.35">
      <c r="A172" s="38" t="s">
        <v>175</v>
      </c>
      <c r="B172" s="38" t="s">
        <v>244</v>
      </c>
      <c r="C172" s="38" t="s">
        <v>391</v>
      </c>
      <c r="D172" s="38" t="s">
        <v>378</v>
      </c>
      <c r="E172" s="38" t="s">
        <v>169</v>
      </c>
      <c r="F172" s="38" t="s">
        <v>136</v>
      </c>
      <c r="G172" s="266">
        <v>3464.5</v>
      </c>
      <c r="H172" s="264">
        <f t="shared" si="5"/>
        <v>7</v>
      </c>
    </row>
    <row r="173" spans="1:8" x14ac:dyDescent="0.35">
      <c r="A173" s="38" t="s">
        <v>175</v>
      </c>
      <c r="B173" s="38" t="s">
        <v>244</v>
      </c>
      <c r="C173" s="38" t="s">
        <v>391</v>
      </c>
      <c r="D173" s="38" t="s">
        <v>379</v>
      </c>
      <c r="E173" s="38" t="s">
        <v>169</v>
      </c>
      <c r="F173" s="38" t="s">
        <v>136</v>
      </c>
      <c r="G173" s="266">
        <v>3464.5</v>
      </c>
      <c r="H173" s="264">
        <f t="shared" si="5"/>
        <v>8</v>
      </c>
    </row>
    <row r="174" spans="1:8" x14ac:dyDescent="0.35">
      <c r="A174" s="38" t="s">
        <v>175</v>
      </c>
      <c r="B174" s="38" t="s">
        <v>244</v>
      </c>
      <c r="C174" s="38" t="s">
        <v>391</v>
      </c>
      <c r="D174" s="38" t="s">
        <v>380</v>
      </c>
      <c r="E174" s="38" t="s">
        <v>169</v>
      </c>
      <c r="F174" s="38" t="s">
        <v>136</v>
      </c>
      <c r="G174" s="266">
        <v>3464.5</v>
      </c>
      <c r="H174" s="264">
        <f t="shared" si="5"/>
        <v>9</v>
      </c>
    </row>
    <row r="175" spans="1:8" x14ac:dyDescent="0.35">
      <c r="A175" s="38" t="s">
        <v>175</v>
      </c>
      <c r="B175" s="38" t="s">
        <v>244</v>
      </c>
      <c r="C175" s="38" t="s">
        <v>391</v>
      </c>
      <c r="D175" s="38" t="s">
        <v>381</v>
      </c>
      <c r="E175" s="38" t="s">
        <v>169</v>
      </c>
      <c r="F175" s="38" t="s">
        <v>136</v>
      </c>
      <c r="G175" s="266">
        <v>3464.5</v>
      </c>
      <c r="H175" s="264">
        <f t="shared" si="5"/>
        <v>10</v>
      </c>
    </row>
    <row r="176" spans="1:8" x14ac:dyDescent="0.35">
      <c r="A176" s="38" t="s">
        <v>175</v>
      </c>
      <c r="B176" s="38" t="s">
        <v>244</v>
      </c>
      <c r="C176" s="38" t="s">
        <v>391</v>
      </c>
      <c r="D176" s="38" t="s">
        <v>382</v>
      </c>
      <c r="E176" s="38" t="s">
        <v>169</v>
      </c>
      <c r="F176" s="38" t="s">
        <v>136</v>
      </c>
      <c r="G176" s="266">
        <v>3464.5</v>
      </c>
      <c r="H176" s="264">
        <f t="shared" si="5"/>
        <v>11</v>
      </c>
    </row>
    <row r="177" spans="1:8" x14ac:dyDescent="0.35">
      <c r="A177" s="38" t="s">
        <v>175</v>
      </c>
      <c r="B177" s="38" t="s">
        <v>244</v>
      </c>
      <c r="C177" s="38" t="s">
        <v>391</v>
      </c>
      <c r="D177" s="38" t="s">
        <v>383</v>
      </c>
      <c r="E177" s="38" t="s">
        <v>169</v>
      </c>
      <c r="F177" s="38" t="s">
        <v>136</v>
      </c>
      <c r="G177" s="266">
        <v>3464.5</v>
      </c>
      <c r="H177" s="264">
        <f t="shared" si="5"/>
        <v>12</v>
      </c>
    </row>
    <row r="178" spans="1:8" x14ac:dyDescent="0.35">
      <c r="A178" s="38" t="s">
        <v>175</v>
      </c>
      <c r="B178" s="38" t="s">
        <v>249</v>
      </c>
      <c r="C178" s="38" t="s">
        <v>255</v>
      </c>
      <c r="D178" s="38" t="s">
        <v>372</v>
      </c>
      <c r="E178" s="38" t="s">
        <v>169</v>
      </c>
      <c r="F178" s="38" t="s">
        <v>136</v>
      </c>
      <c r="G178" s="266">
        <v>2571.04</v>
      </c>
      <c r="H178" s="264">
        <f t="shared" si="5"/>
        <v>1</v>
      </c>
    </row>
    <row r="179" spans="1:8" x14ac:dyDescent="0.35">
      <c r="A179" s="38" t="s">
        <v>175</v>
      </c>
      <c r="B179" s="38" t="s">
        <v>249</v>
      </c>
      <c r="C179" s="38" t="s">
        <v>255</v>
      </c>
      <c r="D179" s="38" t="s">
        <v>373</v>
      </c>
      <c r="E179" s="38" t="s">
        <v>169</v>
      </c>
      <c r="F179" s="38" t="s">
        <v>136</v>
      </c>
      <c r="G179" s="266">
        <v>2571.04</v>
      </c>
      <c r="H179" s="264">
        <f t="shared" si="5"/>
        <v>2</v>
      </c>
    </row>
    <row r="180" spans="1:8" x14ac:dyDescent="0.35">
      <c r="A180" s="38" t="s">
        <v>175</v>
      </c>
      <c r="B180" s="38" t="s">
        <v>249</v>
      </c>
      <c r="C180" s="38" t="s">
        <v>255</v>
      </c>
      <c r="D180" s="38" t="s">
        <v>374</v>
      </c>
      <c r="E180" s="38" t="s">
        <v>169</v>
      </c>
      <c r="F180" s="38" t="s">
        <v>136</v>
      </c>
      <c r="G180" s="266">
        <v>2571.04</v>
      </c>
      <c r="H180" s="264">
        <f t="shared" si="5"/>
        <v>3</v>
      </c>
    </row>
    <row r="181" spans="1:8" x14ac:dyDescent="0.35">
      <c r="A181" s="38" t="s">
        <v>175</v>
      </c>
      <c r="B181" s="38" t="s">
        <v>249</v>
      </c>
      <c r="C181" s="38" t="s">
        <v>255</v>
      </c>
      <c r="D181" s="38" t="s">
        <v>375</v>
      </c>
      <c r="E181" s="38" t="s">
        <v>169</v>
      </c>
      <c r="F181" s="38" t="s">
        <v>136</v>
      </c>
      <c r="G181" s="266">
        <v>2571.04</v>
      </c>
      <c r="H181" s="264">
        <f t="shared" si="5"/>
        <v>4</v>
      </c>
    </row>
    <row r="182" spans="1:8" x14ac:dyDescent="0.35">
      <c r="A182" s="38" t="s">
        <v>175</v>
      </c>
      <c r="B182" s="38" t="s">
        <v>249</v>
      </c>
      <c r="C182" s="38" t="s">
        <v>255</v>
      </c>
      <c r="D182" s="38" t="s">
        <v>376</v>
      </c>
      <c r="E182" s="38" t="s">
        <v>169</v>
      </c>
      <c r="F182" s="38" t="s">
        <v>136</v>
      </c>
      <c r="G182" s="266">
        <v>2571.04</v>
      </c>
      <c r="H182" s="264">
        <f t="shared" si="5"/>
        <v>5</v>
      </c>
    </row>
    <row r="183" spans="1:8" x14ac:dyDescent="0.35">
      <c r="A183" s="38" t="s">
        <v>175</v>
      </c>
      <c r="B183" s="38" t="s">
        <v>249</v>
      </c>
      <c r="C183" s="38" t="s">
        <v>255</v>
      </c>
      <c r="D183" s="38" t="s">
        <v>377</v>
      </c>
      <c r="E183" s="38" t="s">
        <v>169</v>
      </c>
      <c r="F183" s="38" t="s">
        <v>136</v>
      </c>
      <c r="G183" s="266">
        <v>2571.04</v>
      </c>
      <c r="H183" s="264">
        <f t="shared" si="5"/>
        <v>6</v>
      </c>
    </row>
    <row r="184" spans="1:8" x14ac:dyDescent="0.35">
      <c r="A184" s="38" t="s">
        <v>175</v>
      </c>
      <c r="B184" s="38" t="s">
        <v>249</v>
      </c>
      <c r="C184" s="38" t="s">
        <v>255</v>
      </c>
      <c r="D184" s="38" t="s">
        <v>378</v>
      </c>
      <c r="E184" s="38" t="s">
        <v>169</v>
      </c>
      <c r="F184" s="38" t="s">
        <v>136</v>
      </c>
      <c r="G184" s="266">
        <v>2571.04</v>
      </c>
      <c r="H184" s="264">
        <f t="shared" si="5"/>
        <v>7</v>
      </c>
    </row>
    <row r="185" spans="1:8" x14ac:dyDescent="0.35">
      <c r="A185" s="38" t="s">
        <v>175</v>
      </c>
      <c r="B185" s="38" t="s">
        <v>249</v>
      </c>
      <c r="C185" s="38" t="s">
        <v>255</v>
      </c>
      <c r="D185" s="38" t="s">
        <v>379</v>
      </c>
      <c r="E185" s="38" t="s">
        <v>169</v>
      </c>
      <c r="F185" s="38" t="s">
        <v>136</v>
      </c>
      <c r="G185" s="266">
        <v>2571.04</v>
      </c>
      <c r="H185" s="264">
        <f t="shared" si="5"/>
        <v>8</v>
      </c>
    </row>
    <row r="186" spans="1:8" x14ac:dyDescent="0.35">
      <c r="A186" s="38" t="s">
        <v>175</v>
      </c>
      <c r="B186" s="38" t="s">
        <v>249</v>
      </c>
      <c r="C186" s="38" t="s">
        <v>255</v>
      </c>
      <c r="D186" s="38" t="s">
        <v>380</v>
      </c>
      <c r="E186" s="38" t="s">
        <v>169</v>
      </c>
      <c r="F186" s="38" t="s">
        <v>136</v>
      </c>
      <c r="G186" s="266">
        <v>2571.04</v>
      </c>
      <c r="H186" s="264">
        <f t="shared" si="5"/>
        <v>9</v>
      </c>
    </row>
    <row r="187" spans="1:8" x14ac:dyDescent="0.35">
      <c r="A187" s="38" t="s">
        <v>175</v>
      </c>
      <c r="B187" s="38" t="s">
        <v>249</v>
      </c>
      <c r="C187" s="38" t="s">
        <v>255</v>
      </c>
      <c r="D187" s="38" t="s">
        <v>381</v>
      </c>
      <c r="E187" s="38" t="s">
        <v>169</v>
      </c>
      <c r="F187" s="38" t="s">
        <v>136</v>
      </c>
      <c r="G187" s="266">
        <v>2571.04</v>
      </c>
      <c r="H187" s="264">
        <f t="shared" si="5"/>
        <v>10</v>
      </c>
    </row>
    <row r="188" spans="1:8" x14ac:dyDescent="0.35">
      <c r="A188" s="38" t="s">
        <v>175</v>
      </c>
      <c r="B188" s="38" t="s">
        <v>249</v>
      </c>
      <c r="C188" s="38" t="s">
        <v>255</v>
      </c>
      <c r="D188" s="38" t="s">
        <v>382</v>
      </c>
      <c r="E188" s="38" t="s">
        <v>169</v>
      </c>
      <c r="F188" s="38" t="s">
        <v>136</v>
      </c>
      <c r="G188" s="266">
        <v>2633.75</v>
      </c>
      <c r="H188" s="264">
        <f t="shared" si="5"/>
        <v>11</v>
      </c>
    </row>
    <row r="189" spans="1:8" x14ac:dyDescent="0.35">
      <c r="A189" s="38" t="s">
        <v>175</v>
      </c>
      <c r="B189" s="38" t="s">
        <v>249</v>
      </c>
      <c r="C189" s="38" t="s">
        <v>255</v>
      </c>
      <c r="D189" s="38" t="s">
        <v>383</v>
      </c>
      <c r="E189" s="38" t="s">
        <v>169</v>
      </c>
      <c r="F189" s="38" t="s">
        <v>136</v>
      </c>
      <c r="G189" s="266">
        <v>2633.75</v>
      </c>
      <c r="H189" s="264">
        <f t="shared" si="5"/>
        <v>12</v>
      </c>
    </row>
    <row r="190" spans="1:8" x14ac:dyDescent="0.35">
      <c r="A190" s="38" t="s">
        <v>175</v>
      </c>
      <c r="B190" s="38" t="s">
        <v>179</v>
      </c>
      <c r="C190" s="38" t="s">
        <v>325</v>
      </c>
      <c r="D190" s="38" t="s">
        <v>372</v>
      </c>
      <c r="E190" s="38" t="s">
        <v>169</v>
      </c>
      <c r="F190" s="38" t="s">
        <v>136</v>
      </c>
      <c r="G190" s="266">
        <v>3985.21</v>
      </c>
      <c r="H190" s="264">
        <f t="shared" si="5"/>
        <v>1</v>
      </c>
    </row>
    <row r="191" spans="1:8" x14ac:dyDescent="0.35">
      <c r="A191" s="38" t="s">
        <v>175</v>
      </c>
      <c r="B191" s="38" t="s">
        <v>179</v>
      </c>
      <c r="C191" s="38" t="s">
        <v>325</v>
      </c>
      <c r="D191" s="38" t="s">
        <v>373</v>
      </c>
      <c r="E191" s="38" t="s">
        <v>169</v>
      </c>
      <c r="F191" s="38" t="s">
        <v>136</v>
      </c>
      <c r="G191" s="266">
        <v>4092.92</v>
      </c>
      <c r="H191" s="264">
        <f t="shared" si="5"/>
        <v>2</v>
      </c>
    </row>
    <row r="192" spans="1:8" x14ac:dyDescent="0.35">
      <c r="A192" s="38" t="s">
        <v>175</v>
      </c>
      <c r="B192" s="38" t="s">
        <v>179</v>
      </c>
      <c r="C192" s="38" t="s">
        <v>325</v>
      </c>
      <c r="D192" s="38" t="s">
        <v>374</v>
      </c>
      <c r="E192" s="38" t="s">
        <v>169</v>
      </c>
      <c r="F192" s="38" t="s">
        <v>136</v>
      </c>
      <c r="G192" s="266">
        <v>4092.92</v>
      </c>
      <c r="H192" s="264">
        <f t="shared" si="5"/>
        <v>3</v>
      </c>
    </row>
    <row r="193" spans="1:8" x14ac:dyDescent="0.35">
      <c r="A193" s="38" t="s">
        <v>175</v>
      </c>
      <c r="B193" s="38" t="s">
        <v>179</v>
      </c>
      <c r="C193" s="38" t="s">
        <v>325</v>
      </c>
      <c r="D193" s="38" t="s">
        <v>375</v>
      </c>
      <c r="E193" s="38" t="s">
        <v>169</v>
      </c>
      <c r="F193" s="38" t="s">
        <v>136</v>
      </c>
      <c r="G193" s="266">
        <v>4092.92</v>
      </c>
      <c r="H193" s="264">
        <f t="shared" si="5"/>
        <v>4</v>
      </c>
    </row>
    <row r="194" spans="1:8" x14ac:dyDescent="0.35">
      <c r="A194" s="38" t="s">
        <v>175</v>
      </c>
      <c r="B194" s="38" t="s">
        <v>179</v>
      </c>
      <c r="C194" s="38" t="s">
        <v>325</v>
      </c>
      <c r="D194" s="38" t="s">
        <v>376</v>
      </c>
      <c r="E194" s="38" t="s">
        <v>169</v>
      </c>
      <c r="F194" s="38" t="s">
        <v>136</v>
      </c>
      <c r="G194" s="266">
        <v>4092.92</v>
      </c>
      <c r="H194" s="264">
        <f t="shared" si="5"/>
        <v>5</v>
      </c>
    </row>
    <row r="195" spans="1:8" x14ac:dyDescent="0.35">
      <c r="A195" s="38" t="s">
        <v>175</v>
      </c>
      <c r="B195" s="38" t="s">
        <v>179</v>
      </c>
      <c r="C195" s="38" t="s">
        <v>325</v>
      </c>
      <c r="D195" s="38" t="s">
        <v>377</v>
      </c>
      <c r="E195" s="38" t="s">
        <v>169</v>
      </c>
      <c r="F195" s="38" t="s">
        <v>136</v>
      </c>
      <c r="G195" s="266">
        <v>4092.92</v>
      </c>
      <c r="H195" s="264">
        <f t="shared" ref="H195:H283" si="7">IF(D195="",0,MONTH(D195))</f>
        <v>6</v>
      </c>
    </row>
    <row r="196" spans="1:8" x14ac:dyDescent="0.35">
      <c r="A196" s="38" t="s">
        <v>175</v>
      </c>
      <c r="B196" s="38" t="s">
        <v>179</v>
      </c>
      <c r="C196" s="38" t="s">
        <v>325</v>
      </c>
      <c r="D196" s="38" t="s">
        <v>378</v>
      </c>
      <c r="E196" s="38" t="s">
        <v>169</v>
      </c>
      <c r="F196" s="38" t="s">
        <v>136</v>
      </c>
      <c r="G196" s="266">
        <v>4092.92</v>
      </c>
      <c r="H196" s="264">
        <f t="shared" si="7"/>
        <v>7</v>
      </c>
    </row>
    <row r="197" spans="1:8" x14ac:dyDescent="0.35">
      <c r="A197" s="38" t="s">
        <v>175</v>
      </c>
      <c r="B197" s="38" t="s">
        <v>179</v>
      </c>
      <c r="C197" s="38" t="s">
        <v>325</v>
      </c>
      <c r="D197" s="38" t="s">
        <v>379</v>
      </c>
      <c r="E197" s="38" t="s">
        <v>169</v>
      </c>
      <c r="F197" s="38" t="s">
        <v>136</v>
      </c>
      <c r="G197" s="266">
        <v>4092.92</v>
      </c>
      <c r="H197" s="264">
        <f t="shared" si="7"/>
        <v>8</v>
      </c>
    </row>
    <row r="198" spans="1:8" x14ac:dyDescent="0.35">
      <c r="A198" s="38" t="s">
        <v>175</v>
      </c>
      <c r="B198" s="38" t="s">
        <v>179</v>
      </c>
      <c r="C198" s="38" t="s">
        <v>325</v>
      </c>
      <c r="D198" s="38" t="s">
        <v>380</v>
      </c>
      <c r="E198" s="38" t="s">
        <v>169</v>
      </c>
      <c r="F198" s="38" t="s">
        <v>136</v>
      </c>
      <c r="G198" s="266">
        <v>4092.92</v>
      </c>
      <c r="H198" s="264">
        <f t="shared" si="7"/>
        <v>9</v>
      </c>
    </row>
    <row r="199" spans="1:8" x14ac:dyDescent="0.35">
      <c r="A199" s="38" t="s">
        <v>175</v>
      </c>
      <c r="B199" s="38" t="s">
        <v>179</v>
      </c>
      <c r="C199" s="38" t="s">
        <v>325</v>
      </c>
      <c r="D199" s="38" t="s">
        <v>381</v>
      </c>
      <c r="E199" s="38" t="s">
        <v>169</v>
      </c>
      <c r="F199" s="38" t="s">
        <v>136</v>
      </c>
      <c r="G199" s="266">
        <v>4092.92</v>
      </c>
      <c r="H199" s="264">
        <f t="shared" si="7"/>
        <v>10</v>
      </c>
    </row>
    <row r="200" spans="1:8" x14ac:dyDescent="0.35">
      <c r="A200" s="38" t="s">
        <v>175</v>
      </c>
      <c r="B200" s="38" t="s">
        <v>179</v>
      </c>
      <c r="C200" s="38" t="s">
        <v>325</v>
      </c>
      <c r="D200" s="38" t="s">
        <v>382</v>
      </c>
      <c r="E200" s="38" t="s">
        <v>169</v>
      </c>
      <c r="F200" s="38" t="s">
        <v>136</v>
      </c>
      <c r="G200" s="266">
        <v>4092.92</v>
      </c>
      <c r="H200" s="264">
        <f t="shared" si="7"/>
        <v>11</v>
      </c>
    </row>
    <row r="201" spans="1:8" x14ac:dyDescent="0.35">
      <c r="A201" s="38" t="s">
        <v>175</v>
      </c>
      <c r="B201" s="38" t="s">
        <v>179</v>
      </c>
      <c r="C201" s="38" t="s">
        <v>325</v>
      </c>
      <c r="D201" s="38" t="s">
        <v>383</v>
      </c>
      <c r="E201" s="38" t="s">
        <v>169</v>
      </c>
      <c r="F201" s="38" t="s">
        <v>136</v>
      </c>
      <c r="G201" s="266">
        <v>4092.92</v>
      </c>
      <c r="H201" s="264">
        <f t="shared" si="7"/>
        <v>12</v>
      </c>
    </row>
    <row r="202" spans="1:8" x14ac:dyDescent="0.35">
      <c r="A202" s="38" t="s">
        <v>175</v>
      </c>
      <c r="B202" s="38" t="s">
        <v>181</v>
      </c>
      <c r="C202" s="38" t="s">
        <v>335</v>
      </c>
      <c r="D202" s="38" t="s">
        <v>372</v>
      </c>
      <c r="E202" s="38" t="s">
        <v>169</v>
      </c>
      <c r="F202" s="38" t="s">
        <v>136</v>
      </c>
      <c r="G202" s="266">
        <v>13653.5</v>
      </c>
      <c r="H202" s="264">
        <f t="shared" si="7"/>
        <v>1</v>
      </c>
    </row>
    <row r="203" spans="1:8" x14ac:dyDescent="0.35">
      <c r="A203" s="38" t="s">
        <v>175</v>
      </c>
      <c r="B203" s="38" t="s">
        <v>181</v>
      </c>
      <c r="C203" s="38" t="s">
        <v>335</v>
      </c>
      <c r="D203" s="38" t="s">
        <v>373</v>
      </c>
      <c r="E203" s="38" t="s">
        <v>169</v>
      </c>
      <c r="F203" s="38" t="s">
        <v>136</v>
      </c>
      <c r="G203" s="266">
        <v>13653.5</v>
      </c>
      <c r="H203" s="264">
        <f t="shared" si="7"/>
        <v>2</v>
      </c>
    </row>
    <row r="204" spans="1:8" x14ac:dyDescent="0.35">
      <c r="A204" s="38" t="s">
        <v>175</v>
      </c>
      <c r="B204" s="38" t="s">
        <v>181</v>
      </c>
      <c r="C204" s="38" t="s">
        <v>335</v>
      </c>
      <c r="D204" s="38" t="s">
        <v>374</v>
      </c>
      <c r="E204" s="38" t="s">
        <v>169</v>
      </c>
      <c r="F204" s="38" t="s">
        <v>136</v>
      </c>
      <c r="G204" s="266">
        <v>13653.5</v>
      </c>
      <c r="H204" s="264">
        <f t="shared" si="7"/>
        <v>3</v>
      </c>
    </row>
    <row r="205" spans="1:8" x14ac:dyDescent="0.35">
      <c r="A205" s="38" t="s">
        <v>175</v>
      </c>
      <c r="B205" s="38" t="s">
        <v>181</v>
      </c>
      <c r="C205" s="38" t="s">
        <v>335</v>
      </c>
      <c r="D205" s="38" t="s">
        <v>375</v>
      </c>
      <c r="E205" s="38" t="s">
        <v>169</v>
      </c>
      <c r="F205" s="38" t="s">
        <v>136</v>
      </c>
      <c r="G205" s="266">
        <v>13653.5</v>
      </c>
      <c r="H205" s="264">
        <f t="shared" si="7"/>
        <v>4</v>
      </c>
    </row>
    <row r="206" spans="1:8" x14ac:dyDescent="0.35">
      <c r="A206" s="38" t="s">
        <v>175</v>
      </c>
      <c r="B206" s="38" t="s">
        <v>181</v>
      </c>
      <c r="C206" s="38" t="s">
        <v>335</v>
      </c>
      <c r="D206" s="38" t="s">
        <v>376</v>
      </c>
      <c r="E206" s="38" t="s">
        <v>169</v>
      </c>
      <c r="F206" s="38" t="s">
        <v>136</v>
      </c>
      <c r="G206" s="266">
        <v>13653.5</v>
      </c>
      <c r="H206" s="264">
        <f t="shared" si="7"/>
        <v>5</v>
      </c>
    </row>
    <row r="207" spans="1:8" x14ac:dyDescent="0.35">
      <c r="A207" s="38" t="s">
        <v>175</v>
      </c>
      <c r="B207" s="38" t="s">
        <v>181</v>
      </c>
      <c r="C207" s="38" t="s">
        <v>335</v>
      </c>
      <c r="D207" s="38" t="s">
        <v>377</v>
      </c>
      <c r="E207" s="38" t="s">
        <v>169</v>
      </c>
      <c r="F207" s="38" t="s">
        <v>136</v>
      </c>
      <c r="G207" s="266">
        <v>13653.5</v>
      </c>
      <c r="H207" s="264">
        <f t="shared" si="7"/>
        <v>6</v>
      </c>
    </row>
    <row r="208" spans="1:8" x14ac:dyDescent="0.35">
      <c r="A208" s="38" t="s">
        <v>175</v>
      </c>
      <c r="B208" s="38" t="s">
        <v>182</v>
      </c>
      <c r="C208" s="38" t="s">
        <v>183</v>
      </c>
      <c r="D208" s="38" t="s">
        <v>372</v>
      </c>
      <c r="E208" s="38" t="s">
        <v>169</v>
      </c>
      <c r="F208" s="38" t="s">
        <v>136</v>
      </c>
      <c r="G208" s="266">
        <v>13325.13</v>
      </c>
      <c r="H208" s="264">
        <f t="shared" si="7"/>
        <v>1</v>
      </c>
    </row>
    <row r="209" spans="1:8" x14ac:dyDescent="0.35">
      <c r="A209" s="38" t="s">
        <v>175</v>
      </c>
      <c r="B209" s="38" t="s">
        <v>182</v>
      </c>
      <c r="C209" s="38" t="s">
        <v>183</v>
      </c>
      <c r="D209" s="38" t="s">
        <v>373</v>
      </c>
      <c r="E209" s="38" t="s">
        <v>169</v>
      </c>
      <c r="F209" s="38" t="s">
        <v>136</v>
      </c>
      <c r="G209" s="266">
        <v>13325.13</v>
      </c>
      <c r="H209" s="264">
        <f t="shared" si="7"/>
        <v>2</v>
      </c>
    </row>
    <row r="210" spans="1:8" x14ac:dyDescent="0.35">
      <c r="A210" s="38" t="s">
        <v>175</v>
      </c>
      <c r="B210" s="38" t="s">
        <v>182</v>
      </c>
      <c r="C210" s="38" t="s">
        <v>183</v>
      </c>
      <c r="D210" s="38" t="s">
        <v>374</v>
      </c>
      <c r="E210" s="38" t="s">
        <v>169</v>
      </c>
      <c r="F210" s="38" t="s">
        <v>136</v>
      </c>
      <c r="G210" s="266">
        <v>13325.13</v>
      </c>
      <c r="H210" s="264">
        <v>3</v>
      </c>
    </row>
    <row r="211" spans="1:8" x14ac:dyDescent="0.35">
      <c r="A211" s="38" t="s">
        <v>175</v>
      </c>
      <c r="B211" s="38" t="s">
        <v>182</v>
      </c>
      <c r="C211" s="38" t="s">
        <v>183</v>
      </c>
      <c r="D211" s="38" t="s">
        <v>375</v>
      </c>
      <c r="E211" s="38" t="s">
        <v>169</v>
      </c>
      <c r="F211" s="38" t="s">
        <v>136</v>
      </c>
      <c r="G211" s="266">
        <v>13325.13</v>
      </c>
      <c r="H211" s="264">
        <f t="shared" si="7"/>
        <v>4</v>
      </c>
    </row>
    <row r="212" spans="1:8" x14ac:dyDescent="0.35">
      <c r="A212" s="38" t="s">
        <v>175</v>
      </c>
      <c r="B212" s="38" t="s">
        <v>182</v>
      </c>
      <c r="C212" s="38" t="s">
        <v>183</v>
      </c>
      <c r="D212" s="38" t="s">
        <v>376</v>
      </c>
      <c r="E212" s="38" t="s">
        <v>169</v>
      </c>
      <c r="F212" s="38" t="s">
        <v>136</v>
      </c>
      <c r="G212" s="266">
        <v>14132.71</v>
      </c>
      <c r="H212" s="264">
        <f t="shared" si="7"/>
        <v>5</v>
      </c>
    </row>
    <row r="213" spans="1:8" x14ac:dyDescent="0.35">
      <c r="A213" s="38" t="s">
        <v>175</v>
      </c>
      <c r="B213" s="38" t="s">
        <v>182</v>
      </c>
      <c r="C213" s="38" t="s">
        <v>183</v>
      </c>
      <c r="D213" s="38" t="s">
        <v>377</v>
      </c>
      <c r="E213" s="38" t="s">
        <v>169</v>
      </c>
      <c r="F213" s="38" t="s">
        <v>136</v>
      </c>
      <c r="G213" s="266">
        <v>14132.71</v>
      </c>
      <c r="H213" s="264">
        <f t="shared" si="7"/>
        <v>6</v>
      </c>
    </row>
    <row r="214" spans="1:8" x14ac:dyDescent="0.35">
      <c r="A214" s="38" t="s">
        <v>175</v>
      </c>
      <c r="B214" s="38" t="s">
        <v>182</v>
      </c>
      <c r="C214" s="38" t="s">
        <v>183</v>
      </c>
      <c r="D214" s="38" t="s">
        <v>378</v>
      </c>
      <c r="E214" s="38" t="s">
        <v>169</v>
      </c>
      <c r="F214" s="38" t="s">
        <v>136</v>
      </c>
      <c r="G214" s="266">
        <v>14132.71</v>
      </c>
      <c r="H214" s="264">
        <f t="shared" si="7"/>
        <v>7</v>
      </c>
    </row>
    <row r="215" spans="1:8" x14ac:dyDescent="0.35">
      <c r="A215" s="38" t="s">
        <v>175</v>
      </c>
      <c r="B215" s="38" t="s">
        <v>182</v>
      </c>
      <c r="C215" s="38" t="s">
        <v>183</v>
      </c>
      <c r="D215" s="38" t="s">
        <v>379</v>
      </c>
      <c r="E215" s="38" t="s">
        <v>169</v>
      </c>
      <c r="F215" s="38" t="s">
        <v>136</v>
      </c>
      <c r="G215" s="266">
        <v>14132.71</v>
      </c>
      <c r="H215" s="264">
        <f t="shared" si="7"/>
        <v>8</v>
      </c>
    </row>
    <row r="216" spans="1:8" x14ac:dyDescent="0.35">
      <c r="A216" s="38" t="s">
        <v>175</v>
      </c>
      <c r="B216" s="38" t="s">
        <v>182</v>
      </c>
      <c r="C216" s="38" t="s">
        <v>183</v>
      </c>
      <c r="D216" s="38" t="s">
        <v>380</v>
      </c>
      <c r="E216" s="38" t="s">
        <v>169</v>
      </c>
      <c r="F216" s="38" t="s">
        <v>136</v>
      </c>
      <c r="G216" s="266">
        <v>14132.71</v>
      </c>
      <c r="H216" s="264">
        <f t="shared" si="7"/>
        <v>9</v>
      </c>
    </row>
    <row r="217" spans="1:8" x14ac:dyDescent="0.35">
      <c r="A217" s="38" t="s">
        <v>175</v>
      </c>
      <c r="B217" s="38" t="s">
        <v>182</v>
      </c>
      <c r="C217" s="38" t="s">
        <v>183</v>
      </c>
      <c r="D217" s="38" t="s">
        <v>381</v>
      </c>
      <c r="E217" s="38" t="s">
        <v>169</v>
      </c>
      <c r="F217" s="38" t="s">
        <v>136</v>
      </c>
      <c r="G217" s="266">
        <v>14132.71</v>
      </c>
      <c r="H217" s="264">
        <f t="shared" si="7"/>
        <v>10</v>
      </c>
    </row>
    <row r="218" spans="1:8" x14ac:dyDescent="0.35">
      <c r="A218" s="38" t="s">
        <v>175</v>
      </c>
      <c r="B218" s="38" t="s">
        <v>182</v>
      </c>
      <c r="C218" s="38" t="s">
        <v>183</v>
      </c>
      <c r="D218" s="38" t="s">
        <v>382</v>
      </c>
      <c r="E218" s="38" t="s">
        <v>169</v>
      </c>
      <c r="F218" s="38" t="s">
        <v>136</v>
      </c>
      <c r="G218" s="266">
        <v>14132.71</v>
      </c>
      <c r="H218" s="264">
        <f t="shared" si="7"/>
        <v>11</v>
      </c>
    </row>
    <row r="219" spans="1:8" x14ac:dyDescent="0.35">
      <c r="A219" s="38" t="s">
        <v>175</v>
      </c>
      <c r="B219" s="38" t="s">
        <v>182</v>
      </c>
      <c r="C219" s="38" t="s">
        <v>183</v>
      </c>
      <c r="D219" s="38" t="s">
        <v>383</v>
      </c>
      <c r="E219" s="38" t="s">
        <v>169</v>
      </c>
      <c r="F219" s="38" t="s">
        <v>136</v>
      </c>
      <c r="G219" s="266">
        <v>14132.71</v>
      </c>
      <c r="H219" s="264">
        <f t="shared" si="7"/>
        <v>12</v>
      </c>
    </row>
    <row r="220" spans="1:8" x14ac:dyDescent="0.35">
      <c r="A220" s="38" t="s">
        <v>186</v>
      </c>
      <c r="B220" s="38" t="s">
        <v>187</v>
      </c>
      <c r="C220" s="38" t="s">
        <v>188</v>
      </c>
      <c r="D220" s="38" t="s">
        <v>372</v>
      </c>
      <c r="E220" s="38" t="s">
        <v>169</v>
      </c>
      <c r="F220" s="38" t="s">
        <v>136</v>
      </c>
      <c r="G220" s="266">
        <v>2088.13</v>
      </c>
      <c r="H220" s="264">
        <f t="shared" si="7"/>
        <v>1</v>
      </c>
    </row>
    <row r="221" spans="1:8" x14ac:dyDescent="0.35">
      <c r="A221" s="38" t="s">
        <v>186</v>
      </c>
      <c r="B221" s="38" t="s">
        <v>187</v>
      </c>
      <c r="C221" s="38" t="s">
        <v>188</v>
      </c>
      <c r="D221" s="38" t="s">
        <v>373</v>
      </c>
      <c r="E221" s="38" t="s">
        <v>169</v>
      </c>
      <c r="F221" s="38" t="s">
        <v>136</v>
      </c>
      <c r="G221" s="266">
        <v>2088.13</v>
      </c>
      <c r="H221" s="264">
        <f t="shared" si="7"/>
        <v>2</v>
      </c>
    </row>
    <row r="222" spans="1:8" x14ac:dyDescent="0.35">
      <c r="A222" s="38" t="s">
        <v>186</v>
      </c>
      <c r="B222" s="38" t="s">
        <v>187</v>
      </c>
      <c r="C222" s="38" t="s">
        <v>188</v>
      </c>
      <c r="D222" s="38" t="s">
        <v>374</v>
      </c>
      <c r="E222" s="38" t="s">
        <v>169</v>
      </c>
      <c r="F222" s="38" t="s">
        <v>136</v>
      </c>
      <c r="G222" s="266">
        <v>2088.13</v>
      </c>
      <c r="H222" s="264">
        <f t="shared" si="7"/>
        <v>3</v>
      </c>
    </row>
    <row r="223" spans="1:8" x14ac:dyDescent="0.35">
      <c r="A223" s="38" t="s">
        <v>186</v>
      </c>
      <c r="B223" s="38" t="s">
        <v>187</v>
      </c>
      <c r="C223" s="38" t="s">
        <v>188</v>
      </c>
      <c r="D223" s="38" t="s">
        <v>375</v>
      </c>
      <c r="E223" s="38" t="s">
        <v>169</v>
      </c>
      <c r="F223" s="38" t="s">
        <v>136</v>
      </c>
      <c r="G223" s="266">
        <v>2088.13</v>
      </c>
      <c r="H223" s="264">
        <f t="shared" si="7"/>
        <v>4</v>
      </c>
    </row>
    <row r="224" spans="1:8" x14ac:dyDescent="0.35">
      <c r="A224" s="38" t="s">
        <v>186</v>
      </c>
      <c r="B224" s="38" t="s">
        <v>187</v>
      </c>
      <c r="C224" s="38" t="s">
        <v>188</v>
      </c>
      <c r="D224" s="38" t="s">
        <v>376</v>
      </c>
      <c r="E224" s="38" t="s">
        <v>169</v>
      </c>
      <c r="F224" s="38" t="s">
        <v>136</v>
      </c>
      <c r="G224" s="266">
        <v>2088.13</v>
      </c>
      <c r="H224" s="264">
        <f t="shared" si="7"/>
        <v>5</v>
      </c>
    </row>
    <row r="225" spans="1:8" x14ac:dyDescent="0.35">
      <c r="A225" s="38" t="s">
        <v>186</v>
      </c>
      <c r="B225" s="38" t="s">
        <v>187</v>
      </c>
      <c r="C225" s="38" t="s">
        <v>188</v>
      </c>
      <c r="D225" s="38" t="s">
        <v>377</v>
      </c>
      <c r="E225" s="38" t="s">
        <v>169</v>
      </c>
      <c r="F225" s="38" t="s">
        <v>136</v>
      </c>
      <c r="G225" s="266">
        <v>2088.13</v>
      </c>
      <c r="H225" s="264">
        <f t="shared" si="7"/>
        <v>6</v>
      </c>
    </row>
    <row r="226" spans="1:8" x14ac:dyDescent="0.35">
      <c r="A226" s="38" t="s">
        <v>186</v>
      </c>
      <c r="B226" s="38" t="s">
        <v>187</v>
      </c>
      <c r="C226" s="38" t="s">
        <v>188</v>
      </c>
      <c r="D226" s="38" t="s">
        <v>378</v>
      </c>
      <c r="E226" s="38" t="s">
        <v>169</v>
      </c>
      <c r="F226" s="38" t="s">
        <v>136</v>
      </c>
      <c r="G226" s="266">
        <v>2088.13</v>
      </c>
      <c r="H226" s="264">
        <f t="shared" si="7"/>
        <v>7</v>
      </c>
    </row>
    <row r="227" spans="1:8" x14ac:dyDescent="0.35">
      <c r="A227" s="38" t="s">
        <v>186</v>
      </c>
      <c r="B227" s="38" t="s">
        <v>187</v>
      </c>
      <c r="C227" s="38" t="s">
        <v>188</v>
      </c>
      <c r="D227" s="38" t="s">
        <v>379</v>
      </c>
      <c r="E227" s="38" t="s">
        <v>169</v>
      </c>
      <c r="F227" s="38" t="s">
        <v>136</v>
      </c>
      <c r="G227" s="266">
        <v>2088.13</v>
      </c>
      <c r="H227" s="264">
        <f t="shared" si="7"/>
        <v>8</v>
      </c>
    </row>
    <row r="228" spans="1:8" x14ac:dyDescent="0.35">
      <c r="A228" s="38" t="s">
        <v>186</v>
      </c>
      <c r="B228" s="38" t="s">
        <v>187</v>
      </c>
      <c r="C228" s="38" t="s">
        <v>188</v>
      </c>
      <c r="D228" s="38" t="s">
        <v>380</v>
      </c>
      <c r="E228" s="38" t="s">
        <v>169</v>
      </c>
      <c r="F228" s="38" t="s">
        <v>136</v>
      </c>
      <c r="G228" s="266">
        <v>2088.13</v>
      </c>
      <c r="H228" s="264">
        <f t="shared" si="7"/>
        <v>9</v>
      </c>
    </row>
    <row r="229" spans="1:8" x14ac:dyDescent="0.35">
      <c r="A229" s="38" t="s">
        <v>186</v>
      </c>
      <c r="B229" s="38" t="s">
        <v>187</v>
      </c>
      <c r="C229" s="38" t="s">
        <v>188</v>
      </c>
      <c r="D229" s="38" t="s">
        <v>381</v>
      </c>
      <c r="E229" s="38" t="s">
        <v>169</v>
      </c>
      <c r="F229" s="38" t="s">
        <v>136</v>
      </c>
      <c r="G229" s="266">
        <v>2088.13</v>
      </c>
      <c r="H229" s="264">
        <f t="shared" si="7"/>
        <v>10</v>
      </c>
    </row>
    <row r="230" spans="1:8" x14ac:dyDescent="0.35">
      <c r="A230" s="38" t="s">
        <v>186</v>
      </c>
      <c r="B230" s="38" t="s">
        <v>187</v>
      </c>
      <c r="C230" s="38" t="s">
        <v>188</v>
      </c>
      <c r="D230" s="38" t="s">
        <v>382</v>
      </c>
      <c r="E230" s="38" t="s">
        <v>169</v>
      </c>
      <c r="F230" s="38" t="s">
        <v>136</v>
      </c>
      <c r="G230" s="266">
        <v>2088.13</v>
      </c>
      <c r="H230" s="264">
        <f t="shared" si="7"/>
        <v>11</v>
      </c>
    </row>
    <row r="231" spans="1:8" x14ac:dyDescent="0.35">
      <c r="A231" s="38" t="s">
        <v>186</v>
      </c>
      <c r="B231" s="38" t="s">
        <v>187</v>
      </c>
      <c r="C231" s="38" t="s">
        <v>188</v>
      </c>
      <c r="D231" s="38" t="s">
        <v>383</v>
      </c>
      <c r="E231" s="38" t="s">
        <v>169</v>
      </c>
      <c r="F231" s="38" t="s">
        <v>136</v>
      </c>
      <c r="G231" s="266">
        <v>2088.13</v>
      </c>
      <c r="H231" s="264">
        <f t="shared" si="7"/>
        <v>12</v>
      </c>
    </row>
    <row r="232" spans="1:8" x14ac:dyDescent="0.35">
      <c r="A232" s="38" t="s">
        <v>186</v>
      </c>
      <c r="B232" s="38" t="s">
        <v>252</v>
      </c>
      <c r="C232" s="38" t="s">
        <v>355</v>
      </c>
      <c r="D232" s="38" t="s">
        <v>372</v>
      </c>
      <c r="E232" s="38" t="s">
        <v>169</v>
      </c>
      <c r="F232" s="38" t="s">
        <v>136</v>
      </c>
      <c r="G232" s="266">
        <v>2239.63</v>
      </c>
      <c r="H232" s="264">
        <f t="shared" si="7"/>
        <v>1</v>
      </c>
    </row>
    <row r="233" spans="1:8" x14ac:dyDescent="0.35">
      <c r="A233" s="38" t="s">
        <v>186</v>
      </c>
      <c r="B233" s="38" t="s">
        <v>252</v>
      </c>
      <c r="C233" s="38" t="s">
        <v>355</v>
      </c>
      <c r="D233" s="38" t="s">
        <v>373</v>
      </c>
      <c r="E233" s="38" t="s">
        <v>169</v>
      </c>
      <c r="F233" s="38" t="s">
        <v>136</v>
      </c>
      <c r="G233" s="266">
        <v>2239.63</v>
      </c>
      <c r="H233" s="264">
        <f t="shared" si="7"/>
        <v>2</v>
      </c>
    </row>
    <row r="234" spans="1:8" x14ac:dyDescent="0.35">
      <c r="A234" s="38" t="s">
        <v>186</v>
      </c>
      <c r="B234" s="38" t="s">
        <v>252</v>
      </c>
      <c r="C234" s="38" t="s">
        <v>355</v>
      </c>
      <c r="D234" s="38" t="s">
        <v>374</v>
      </c>
      <c r="E234" s="38" t="s">
        <v>169</v>
      </c>
      <c r="F234" s="38" t="s">
        <v>136</v>
      </c>
      <c r="G234" s="266">
        <v>2239.63</v>
      </c>
      <c r="H234" s="264">
        <f t="shared" si="7"/>
        <v>3</v>
      </c>
    </row>
    <row r="235" spans="1:8" x14ac:dyDescent="0.35">
      <c r="A235" s="38" t="s">
        <v>186</v>
      </c>
      <c r="B235" s="38" t="s">
        <v>252</v>
      </c>
      <c r="C235" s="38" t="s">
        <v>355</v>
      </c>
      <c r="D235" s="38" t="s">
        <v>375</v>
      </c>
      <c r="E235" s="38" t="s">
        <v>169</v>
      </c>
      <c r="F235" s="38" t="s">
        <v>136</v>
      </c>
      <c r="G235" s="266">
        <v>2239.63</v>
      </c>
      <c r="H235" s="264">
        <f t="shared" si="7"/>
        <v>4</v>
      </c>
    </row>
    <row r="236" spans="1:8" x14ac:dyDescent="0.35">
      <c r="A236" s="38" t="s">
        <v>186</v>
      </c>
      <c r="B236" s="38" t="s">
        <v>252</v>
      </c>
      <c r="C236" s="38" t="s">
        <v>355</v>
      </c>
      <c r="D236" s="38" t="s">
        <v>376</v>
      </c>
      <c r="E236" s="38" t="s">
        <v>169</v>
      </c>
      <c r="F236" s="38" t="s">
        <v>136</v>
      </c>
      <c r="G236" s="266">
        <v>2239.63</v>
      </c>
      <c r="H236" s="264">
        <f t="shared" si="7"/>
        <v>5</v>
      </c>
    </row>
    <row r="237" spans="1:8" x14ac:dyDescent="0.35">
      <c r="A237" s="38" t="s">
        <v>186</v>
      </c>
      <c r="B237" s="38" t="s">
        <v>252</v>
      </c>
      <c r="C237" s="38" t="s">
        <v>355</v>
      </c>
      <c r="D237" s="38" t="s">
        <v>377</v>
      </c>
      <c r="E237" s="38" t="s">
        <v>169</v>
      </c>
      <c r="F237" s="38" t="s">
        <v>136</v>
      </c>
      <c r="G237" s="266">
        <v>2239.63</v>
      </c>
      <c r="H237" s="264">
        <f t="shared" si="7"/>
        <v>6</v>
      </c>
    </row>
    <row r="238" spans="1:8" s="130" customFormat="1" x14ac:dyDescent="0.35">
      <c r="A238" s="38" t="s">
        <v>186</v>
      </c>
      <c r="B238" s="38" t="s">
        <v>252</v>
      </c>
      <c r="C238" s="38" t="s">
        <v>355</v>
      </c>
      <c r="D238" s="38" t="s">
        <v>378</v>
      </c>
      <c r="E238" s="38" t="s">
        <v>169</v>
      </c>
      <c r="F238" s="38" t="s">
        <v>136</v>
      </c>
      <c r="G238" s="266">
        <v>2239.63</v>
      </c>
      <c r="H238" s="264">
        <f t="shared" ref="H238:H261" si="8">IF(D238="",0,MONTH(D238))</f>
        <v>7</v>
      </c>
    </row>
    <row r="239" spans="1:8" s="130" customFormat="1" x14ac:dyDescent="0.35">
      <c r="A239" s="38" t="s">
        <v>186</v>
      </c>
      <c r="B239" s="38" t="s">
        <v>252</v>
      </c>
      <c r="C239" s="38" t="s">
        <v>355</v>
      </c>
      <c r="D239" s="38" t="s">
        <v>379</v>
      </c>
      <c r="E239" s="38" t="s">
        <v>169</v>
      </c>
      <c r="F239" s="38" t="s">
        <v>136</v>
      </c>
      <c r="G239" s="266">
        <v>2239.63</v>
      </c>
      <c r="H239" s="264">
        <f t="shared" si="8"/>
        <v>8</v>
      </c>
    </row>
    <row r="240" spans="1:8" s="130" customFormat="1" x14ac:dyDescent="0.35">
      <c r="A240" s="38" t="s">
        <v>186</v>
      </c>
      <c r="B240" s="38" t="s">
        <v>252</v>
      </c>
      <c r="C240" s="38" t="s">
        <v>355</v>
      </c>
      <c r="D240" s="38" t="s">
        <v>380</v>
      </c>
      <c r="E240" s="38" t="s">
        <v>169</v>
      </c>
      <c r="F240" s="38" t="s">
        <v>136</v>
      </c>
      <c r="G240" s="266">
        <v>2239.63</v>
      </c>
      <c r="H240" s="264">
        <f t="shared" si="8"/>
        <v>9</v>
      </c>
    </row>
    <row r="241" spans="1:8" s="130" customFormat="1" x14ac:dyDescent="0.35">
      <c r="A241" s="38" t="s">
        <v>186</v>
      </c>
      <c r="B241" s="38" t="s">
        <v>252</v>
      </c>
      <c r="C241" s="38" t="s">
        <v>355</v>
      </c>
      <c r="D241" s="38" t="s">
        <v>381</v>
      </c>
      <c r="E241" s="38" t="s">
        <v>169</v>
      </c>
      <c r="F241" s="38" t="s">
        <v>136</v>
      </c>
      <c r="G241" s="266">
        <v>2239.63</v>
      </c>
      <c r="H241" s="264">
        <f t="shared" si="8"/>
        <v>10</v>
      </c>
    </row>
    <row r="242" spans="1:8" s="130" customFormat="1" x14ac:dyDescent="0.35">
      <c r="A242" s="38" t="s">
        <v>186</v>
      </c>
      <c r="B242" s="38" t="s">
        <v>252</v>
      </c>
      <c r="C242" s="38" t="s">
        <v>355</v>
      </c>
      <c r="D242" s="38" t="s">
        <v>382</v>
      </c>
      <c r="E242" s="38" t="s">
        <v>169</v>
      </c>
      <c r="F242" s="38" t="s">
        <v>136</v>
      </c>
      <c r="G242" s="266">
        <v>2239.63</v>
      </c>
      <c r="H242" s="264">
        <f t="shared" si="8"/>
        <v>11</v>
      </c>
    </row>
    <row r="243" spans="1:8" s="130" customFormat="1" x14ac:dyDescent="0.35">
      <c r="A243" s="38" t="s">
        <v>186</v>
      </c>
      <c r="B243" s="38" t="s">
        <v>262</v>
      </c>
      <c r="C243" s="38" t="s">
        <v>336</v>
      </c>
      <c r="D243" s="38" t="s">
        <v>372</v>
      </c>
      <c r="E243" s="38" t="s">
        <v>169</v>
      </c>
      <c r="F243" s="38" t="s">
        <v>136</v>
      </c>
      <c r="G243" s="266">
        <v>2951.67</v>
      </c>
      <c r="H243" s="264">
        <f t="shared" si="8"/>
        <v>1</v>
      </c>
    </row>
    <row r="244" spans="1:8" s="130" customFormat="1" x14ac:dyDescent="0.35">
      <c r="A244" s="38" t="s">
        <v>186</v>
      </c>
      <c r="B244" s="38" t="s">
        <v>262</v>
      </c>
      <c r="C244" s="38" t="s">
        <v>336</v>
      </c>
      <c r="D244" s="38" t="s">
        <v>373</v>
      </c>
      <c r="E244" s="38" t="s">
        <v>169</v>
      </c>
      <c r="F244" s="38" t="s">
        <v>136</v>
      </c>
      <c r="G244" s="266">
        <v>2951.67</v>
      </c>
      <c r="H244" s="264">
        <f t="shared" si="8"/>
        <v>2</v>
      </c>
    </row>
    <row r="245" spans="1:8" s="130" customFormat="1" x14ac:dyDescent="0.35">
      <c r="A245" s="38" t="s">
        <v>186</v>
      </c>
      <c r="B245" s="38" t="s">
        <v>262</v>
      </c>
      <c r="C245" s="38" t="s">
        <v>336</v>
      </c>
      <c r="D245" s="38" t="s">
        <v>374</v>
      </c>
      <c r="E245" s="38" t="s">
        <v>169</v>
      </c>
      <c r="F245" s="38" t="s">
        <v>136</v>
      </c>
      <c r="G245" s="266">
        <v>2951.67</v>
      </c>
      <c r="H245" s="264">
        <f t="shared" si="8"/>
        <v>3</v>
      </c>
    </row>
    <row r="246" spans="1:8" s="130" customFormat="1" x14ac:dyDescent="0.35">
      <c r="A246" s="38" t="s">
        <v>186</v>
      </c>
      <c r="B246" s="38" t="s">
        <v>262</v>
      </c>
      <c r="C246" s="38" t="s">
        <v>336</v>
      </c>
      <c r="D246" s="38" t="s">
        <v>375</v>
      </c>
      <c r="E246" s="38" t="s">
        <v>169</v>
      </c>
      <c r="F246" s="38" t="s">
        <v>136</v>
      </c>
      <c r="G246" s="266">
        <v>2951.67</v>
      </c>
      <c r="H246" s="264">
        <f t="shared" si="8"/>
        <v>4</v>
      </c>
    </row>
    <row r="247" spans="1:8" s="130" customFormat="1" x14ac:dyDescent="0.35">
      <c r="A247" s="38" t="s">
        <v>186</v>
      </c>
      <c r="B247" s="38" t="s">
        <v>262</v>
      </c>
      <c r="C247" s="38" t="s">
        <v>336</v>
      </c>
      <c r="D247" s="38" t="s">
        <v>376</v>
      </c>
      <c r="E247" s="38" t="s">
        <v>169</v>
      </c>
      <c r="F247" s="38" t="s">
        <v>136</v>
      </c>
      <c r="G247" s="266">
        <v>2951.67</v>
      </c>
      <c r="H247" s="264">
        <f t="shared" si="8"/>
        <v>5</v>
      </c>
    </row>
    <row r="248" spans="1:8" s="130" customFormat="1" x14ac:dyDescent="0.35">
      <c r="A248" s="38" t="s">
        <v>186</v>
      </c>
      <c r="B248" s="38" t="s">
        <v>262</v>
      </c>
      <c r="C248" s="38" t="s">
        <v>336</v>
      </c>
      <c r="D248" s="38" t="s">
        <v>377</v>
      </c>
      <c r="E248" s="38" t="s">
        <v>169</v>
      </c>
      <c r="F248" s="38" t="s">
        <v>136</v>
      </c>
      <c r="G248" s="266">
        <v>2951.67</v>
      </c>
      <c r="H248" s="264">
        <f t="shared" si="8"/>
        <v>6</v>
      </c>
    </row>
    <row r="249" spans="1:8" s="130" customFormat="1" x14ac:dyDescent="0.35">
      <c r="A249" s="38" t="s">
        <v>186</v>
      </c>
      <c r="B249" s="38" t="s">
        <v>262</v>
      </c>
      <c r="C249" s="38" t="s">
        <v>336</v>
      </c>
      <c r="D249" s="38" t="s">
        <v>378</v>
      </c>
      <c r="E249" s="38" t="s">
        <v>169</v>
      </c>
      <c r="F249" s="38" t="s">
        <v>136</v>
      </c>
      <c r="G249" s="266">
        <v>2951.67</v>
      </c>
      <c r="H249" s="264">
        <f t="shared" si="8"/>
        <v>7</v>
      </c>
    </row>
    <row r="250" spans="1:8" s="130" customFormat="1" x14ac:dyDescent="0.35">
      <c r="A250" s="38" t="s">
        <v>186</v>
      </c>
      <c r="B250" s="38" t="s">
        <v>262</v>
      </c>
      <c r="C250" s="38" t="s">
        <v>336</v>
      </c>
      <c r="D250" s="38" t="s">
        <v>379</v>
      </c>
      <c r="E250" s="38" t="s">
        <v>169</v>
      </c>
      <c r="F250" s="38" t="s">
        <v>136</v>
      </c>
      <c r="G250" s="266">
        <v>3025.46</v>
      </c>
      <c r="H250" s="264">
        <f t="shared" si="8"/>
        <v>8</v>
      </c>
    </row>
    <row r="251" spans="1:8" s="130" customFormat="1" x14ac:dyDescent="0.35">
      <c r="A251" s="38" t="s">
        <v>186</v>
      </c>
      <c r="B251" s="38" t="s">
        <v>262</v>
      </c>
      <c r="C251" s="38" t="s">
        <v>336</v>
      </c>
      <c r="D251" s="38" t="s">
        <v>380</v>
      </c>
      <c r="E251" s="38" t="s">
        <v>169</v>
      </c>
      <c r="F251" s="38" t="s">
        <v>136</v>
      </c>
      <c r="G251" s="266">
        <v>3025.46</v>
      </c>
      <c r="H251" s="264">
        <f t="shared" si="8"/>
        <v>9</v>
      </c>
    </row>
    <row r="252" spans="1:8" s="130" customFormat="1" x14ac:dyDescent="0.35">
      <c r="A252" s="38" t="s">
        <v>186</v>
      </c>
      <c r="B252" s="38" t="s">
        <v>262</v>
      </c>
      <c r="C252" s="38" t="s">
        <v>336</v>
      </c>
      <c r="D252" s="38" t="s">
        <v>381</v>
      </c>
      <c r="E252" s="38" t="s">
        <v>169</v>
      </c>
      <c r="F252" s="38" t="s">
        <v>136</v>
      </c>
      <c r="G252" s="266">
        <v>3025.46</v>
      </c>
      <c r="H252" s="264">
        <f t="shared" si="8"/>
        <v>10</v>
      </c>
    </row>
    <row r="253" spans="1:8" s="130" customFormat="1" x14ac:dyDescent="0.35">
      <c r="A253" s="38" t="s">
        <v>186</v>
      </c>
      <c r="B253" s="38" t="s">
        <v>262</v>
      </c>
      <c r="C253" s="38" t="s">
        <v>336</v>
      </c>
      <c r="D253" s="38" t="s">
        <v>382</v>
      </c>
      <c r="E253" s="38" t="s">
        <v>169</v>
      </c>
      <c r="F253" s="38" t="s">
        <v>136</v>
      </c>
      <c r="G253" s="266">
        <v>3025.46</v>
      </c>
      <c r="H253" s="264">
        <f t="shared" si="8"/>
        <v>11</v>
      </c>
    </row>
    <row r="254" spans="1:8" s="130" customFormat="1" x14ac:dyDescent="0.35">
      <c r="A254" s="38" t="s">
        <v>186</v>
      </c>
      <c r="B254" s="38" t="s">
        <v>262</v>
      </c>
      <c r="C254" s="38" t="s">
        <v>336</v>
      </c>
      <c r="D254" s="38" t="s">
        <v>383</v>
      </c>
      <c r="E254" s="38" t="s">
        <v>169</v>
      </c>
      <c r="F254" s="38" t="s">
        <v>136</v>
      </c>
      <c r="G254" s="266">
        <v>3025.46</v>
      </c>
      <c r="H254" s="264">
        <f t="shared" si="8"/>
        <v>12</v>
      </c>
    </row>
    <row r="255" spans="1:8" s="130" customFormat="1" x14ac:dyDescent="0.35">
      <c r="A255" s="38" t="s">
        <v>186</v>
      </c>
      <c r="B255" s="38" t="s">
        <v>328</v>
      </c>
      <c r="C255" s="38" t="s">
        <v>337</v>
      </c>
      <c r="D255" s="38" t="s">
        <v>372</v>
      </c>
      <c r="E255" s="38" t="s">
        <v>169</v>
      </c>
      <c r="F255" s="38" t="s">
        <v>136</v>
      </c>
      <c r="G255" s="266">
        <v>6595.88</v>
      </c>
      <c r="H255" s="264">
        <f t="shared" si="8"/>
        <v>1</v>
      </c>
    </row>
    <row r="256" spans="1:8" s="130" customFormat="1" x14ac:dyDescent="0.35">
      <c r="A256" s="38" t="s">
        <v>186</v>
      </c>
      <c r="B256" s="38" t="s">
        <v>328</v>
      </c>
      <c r="C256" s="38" t="s">
        <v>337</v>
      </c>
      <c r="D256" s="38" t="s">
        <v>373</v>
      </c>
      <c r="E256" s="38" t="s">
        <v>169</v>
      </c>
      <c r="F256" s="38" t="s">
        <v>136</v>
      </c>
      <c r="G256" s="266">
        <v>6595.88</v>
      </c>
      <c r="H256" s="264">
        <f t="shared" si="8"/>
        <v>2</v>
      </c>
    </row>
    <row r="257" spans="1:8" s="130" customFormat="1" x14ac:dyDescent="0.35">
      <c r="A257" s="38" t="s">
        <v>186</v>
      </c>
      <c r="B257" s="38" t="s">
        <v>328</v>
      </c>
      <c r="C257" s="38" t="s">
        <v>337</v>
      </c>
      <c r="D257" s="38" t="s">
        <v>374</v>
      </c>
      <c r="E257" s="38" t="s">
        <v>169</v>
      </c>
      <c r="F257" s="38" t="s">
        <v>136</v>
      </c>
      <c r="G257" s="266">
        <v>6595.88</v>
      </c>
      <c r="H257" s="264">
        <f t="shared" si="8"/>
        <v>3</v>
      </c>
    </row>
    <row r="258" spans="1:8" s="130" customFormat="1" x14ac:dyDescent="0.35">
      <c r="A258" s="38" t="s">
        <v>186</v>
      </c>
      <c r="B258" s="38" t="s">
        <v>328</v>
      </c>
      <c r="C258" s="38" t="s">
        <v>337</v>
      </c>
      <c r="D258" s="38" t="s">
        <v>375</v>
      </c>
      <c r="E258" s="38" t="s">
        <v>169</v>
      </c>
      <c r="F258" s="38" t="s">
        <v>136</v>
      </c>
      <c r="G258" s="266">
        <v>6595.88</v>
      </c>
      <c r="H258" s="264">
        <f t="shared" si="8"/>
        <v>4</v>
      </c>
    </row>
    <row r="259" spans="1:8" s="130" customFormat="1" x14ac:dyDescent="0.35">
      <c r="A259" s="38" t="s">
        <v>186</v>
      </c>
      <c r="B259" s="38" t="s">
        <v>328</v>
      </c>
      <c r="C259" s="38" t="s">
        <v>337</v>
      </c>
      <c r="D259" s="38" t="s">
        <v>376</v>
      </c>
      <c r="E259" s="38" t="s">
        <v>169</v>
      </c>
      <c r="F259" s="38" t="s">
        <v>136</v>
      </c>
      <c r="G259" s="266">
        <v>6595.88</v>
      </c>
      <c r="H259" s="264">
        <f t="shared" si="8"/>
        <v>5</v>
      </c>
    </row>
    <row r="260" spans="1:8" s="130" customFormat="1" x14ac:dyDescent="0.35">
      <c r="A260" s="38" t="s">
        <v>186</v>
      </c>
      <c r="B260" s="38" t="s">
        <v>328</v>
      </c>
      <c r="C260" s="38" t="s">
        <v>337</v>
      </c>
      <c r="D260" s="38" t="s">
        <v>377</v>
      </c>
      <c r="E260" s="38" t="s">
        <v>169</v>
      </c>
      <c r="F260" s="38" t="s">
        <v>136</v>
      </c>
      <c r="G260" s="266">
        <v>6595.88</v>
      </c>
      <c r="H260" s="264">
        <f t="shared" si="8"/>
        <v>6</v>
      </c>
    </row>
    <row r="261" spans="1:8" s="130" customFormat="1" x14ac:dyDescent="0.35">
      <c r="A261" s="38" t="s">
        <v>186</v>
      </c>
      <c r="B261" s="38" t="s">
        <v>328</v>
      </c>
      <c r="C261" s="38" t="s">
        <v>337</v>
      </c>
      <c r="D261" s="38" t="s">
        <v>378</v>
      </c>
      <c r="E261" s="38" t="s">
        <v>169</v>
      </c>
      <c r="F261" s="38" t="s">
        <v>136</v>
      </c>
      <c r="G261" s="266">
        <v>6756.75</v>
      </c>
      <c r="H261" s="264">
        <f t="shared" si="8"/>
        <v>7</v>
      </c>
    </row>
    <row r="262" spans="1:8" x14ac:dyDescent="0.35">
      <c r="A262" s="38" t="s">
        <v>186</v>
      </c>
      <c r="B262" s="38" t="s">
        <v>328</v>
      </c>
      <c r="C262" s="38" t="s">
        <v>337</v>
      </c>
      <c r="D262" s="38" t="s">
        <v>379</v>
      </c>
      <c r="E262" s="38" t="s">
        <v>169</v>
      </c>
      <c r="F262" s="38" t="s">
        <v>136</v>
      </c>
      <c r="G262" s="266">
        <v>6756.75</v>
      </c>
      <c r="H262" s="264">
        <f t="shared" si="7"/>
        <v>8</v>
      </c>
    </row>
    <row r="263" spans="1:8" x14ac:dyDescent="0.35">
      <c r="A263" s="38" t="s">
        <v>186</v>
      </c>
      <c r="B263" s="38" t="s">
        <v>328</v>
      </c>
      <c r="C263" s="38" t="s">
        <v>337</v>
      </c>
      <c r="D263" s="38" t="s">
        <v>380</v>
      </c>
      <c r="E263" s="38" t="s">
        <v>169</v>
      </c>
      <c r="F263" s="38" t="s">
        <v>136</v>
      </c>
      <c r="G263" s="266">
        <v>6756.75</v>
      </c>
      <c r="H263" s="264">
        <f t="shared" si="7"/>
        <v>9</v>
      </c>
    </row>
    <row r="264" spans="1:8" x14ac:dyDescent="0.35">
      <c r="A264" s="38" t="s">
        <v>186</v>
      </c>
      <c r="B264" s="38" t="s">
        <v>328</v>
      </c>
      <c r="C264" s="38" t="s">
        <v>337</v>
      </c>
      <c r="D264" s="38" t="s">
        <v>381</v>
      </c>
      <c r="E264" s="38" t="s">
        <v>169</v>
      </c>
      <c r="F264" s="38" t="s">
        <v>136</v>
      </c>
      <c r="G264" s="266">
        <v>6756.75</v>
      </c>
      <c r="H264" s="264">
        <f t="shared" si="7"/>
        <v>10</v>
      </c>
    </row>
    <row r="265" spans="1:8" x14ac:dyDescent="0.35">
      <c r="A265" s="38" t="s">
        <v>186</v>
      </c>
      <c r="B265" s="38" t="s">
        <v>328</v>
      </c>
      <c r="C265" s="38" t="s">
        <v>337</v>
      </c>
      <c r="D265" s="38" t="s">
        <v>382</v>
      </c>
      <c r="E265" s="38" t="s">
        <v>169</v>
      </c>
      <c r="F265" s="38" t="s">
        <v>136</v>
      </c>
      <c r="G265" s="266">
        <v>6756.75</v>
      </c>
      <c r="H265" s="264">
        <f t="shared" si="7"/>
        <v>11</v>
      </c>
    </row>
    <row r="266" spans="1:8" x14ac:dyDescent="0.35">
      <c r="A266" s="38" t="s">
        <v>186</v>
      </c>
      <c r="B266" s="38" t="s">
        <v>328</v>
      </c>
      <c r="C266" s="38" t="s">
        <v>337</v>
      </c>
      <c r="D266" s="38" t="s">
        <v>383</v>
      </c>
      <c r="E266" s="38" t="s">
        <v>169</v>
      </c>
      <c r="F266" s="38" t="s">
        <v>136</v>
      </c>
      <c r="G266" s="266">
        <v>6756.75</v>
      </c>
      <c r="H266" s="264">
        <f t="shared" si="7"/>
        <v>12</v>
      </c>
    </row>
    <row r="267" spans="1:8" x14ac:dyDescent="0.35">
      <c r="A267" s="38" t="s">
        <v>186</v>
      </c>
      <c r="B267" s="38" t="s">
        <v>189</v>
      </c>
      <c r="C267" s="38" t="s">
        <v>190</v>
      </c>
      <c r="D267" s="38" t="s">
        <v>372</v>
      </c>
      <c r="E267" s="38" t="s">
        <v>169</v>
      </c>
      <c r="F267" s="38" t="s">
        <v>136</v>
      </c>
      <c r="G267" s="266">
        <v>6575</v>
      </c>
      <c r="H267" s="264">
        <f t="shared" si="7"/>
        <v>1</v>
      </c>
    </row>
    <row r="268" spans="1:8" x14ac:dyDescent="0.35">
      <c r="A268" s="38" t="s">
        <v>186</v>
      </c>
      <c r="B268" s="38" t="s">
        <v>189</v>
      </c>
      <c r="C268" s="38" t="s">
        <v>190</v>
      </c>
      <c r="D268" s="38" t="s">
        <v>373</v>
      </c>
      <c r="E268" s="38" t="s">
        <v>169</v>
      </c>
      <c r="F268" s="38" t="s">
        <v>136</v>
      </c>
      <c r="G268" s="266">
        <v>6575</v>
      </c>
      <c r="H268" s="264">
        <f t="shared" si="7"/>
        <v>2</v>
      </c>
    </row>
    <row r="269" spans="1:8" x14ac:dyDescent="0.35">
      <c r="A269" s="38" t="s">
        <v>186</v>
      </c>
      <c r="B269" s="38" t="s">
        <v>189</v>
      </c>
      <c r="C269" s="38" t="s">
        <v>190</v>
      </c>
      <c r="D269" s="38" t="s">
        <v>374</v>
      </c>
      <c r="E269" s="38" t="s">
        <v>169</v>
      </c>
      <c r="F269" s="38" t="s">
        <v>136</v>
      </c>
      <c r="G269" s="266">
        <v>6575</v>
      </c>
      <c r="H269" s="264">
        <f t="shared" si="7"/>
        <v>3</v>
      </c>
    </row>
    <row r="270" spans="1:8" x14ac:dyDescent="0.35">
      <c r="A270" s="38" t="s">
        <v>186</v>
      </c>
      <c r="B270" s="38" t="s">
        <v>189</v>
      </c>
      <c r="C270" s="38" t="s">
        <v>190</v>
      </c>
      <c r="D270" s="38" t="s">
        <v>375</v>
      </c>
      <c r="E270" s="38" t="s">
        <v>169</v>
      </c>
      <c r="F270" s="38" t="s">
        <v>136</v>
      </c>
      <c r="G270" s="266">
        <v>6575</v>
      </c>
      <c r="H270" s="264">
        <f t="shared" si="7"/>
        <v>4</v>
      </c>
    </row>
    <row r="271" spans="1:8" x14ac:dyDescent="0.35">
      <c r="A271" s="38" t="s">
        <v>186</v>
      </c>
      <c r="B271" s="38" t="s">
        <v>189</v>
      </c>
      <c r="C271" s="38" t="s">
        <v>190</v>
      </c>
      <c r="D271" s="38" t="s">
        <v>376</v>
      </c>
      <c r="E271" s="38" t="s">
        <v>169</v>
      </c>
      <c r="F271" s="38" t="s">
        <v>136</v>
      </c>
      <c r="G271" s="266">
        <v>6575</v>
      </c>
      <c r="H271" s="264">
        <f t="shared" si="7"/>
        <v>5</v>
      </c>
    </row>
    <row r="272" spans="1:8" x14ac:dyDescent="0.35">
      <c r="A272" s="38" t="s">
        <v>186</v>
      </c>
      <c r="B272" s="38" t="s">
        <v>189</v>
      </c>
      <c r="C272" s="38" t="s">
        <v>190</v>
      </c>
      <c r="D272" s="38" t="s">
        <v>377</v>
      </c>
      <c r="E272" s="38" t="s">
        <v>169</v>
      </c>
      <c r="F272" s="38" t="s">
        <v>136</v>
      </c>
      <c r="G272" s="266">
        <v>6575</v>
      </c>
      <c r="H272" s="264">
        <f t="shared" si="7"/>
        <v>6</v>
      </c>
    </row>
    <row r="273" spans="1:8" x14ac:dyDescent="0.35">
      <c r="A273" s="38" t="s">
        <v>186</v>
      </c>
      <c r="B273" s="38" t="s">
        <v>189</v>
      </c>
      <c r="C273" s="38" t="s">
        <v>190</v>
      </c>
      <c r="D273" s="38" t="s">
        <v>378</v>
      </c>
      <c r="E273" s="38" t="s">
        <v>169</v>
      </c>
      <c r="F273" s="38" t="s">
        <v>136</v>
      </c>
      <c r="G273" s="266">
        <v>6575</v>
      </c>
      <c r="H273" s="264">
        <f t="shared" si="7"/>
        <v>7</v>
      </c>
    </row>
    <row r="274" spans="1:8" x14ac:dyDescent="0.35">
      <c r="A274" s="38" t="s">
        <v>186</v>
      </c>
      <c r="B274" s="38" t="s">
        <v>189</v>
      </c>
      <c r="C274" s="38" t="s">
        <v>190</v>
      </c>
      <c r="D274" s="38" t="s">
        <v>379</v>
      </c>
      <c r="E274" s="38" t="s">
        <v>169</v>
      </c>
      <c r="F274" s="38" t="s">
        <v>136</v>
      </c>
      <c r="G274" s="266">
        <v>6575</v>
      </c>
      <c r="H274" s="264">
        <f t="shared" si="7"/>
        <v>8</v>
      </c>
    </row>
    <row r="275" spans="1:8" x14ac:dyDescent="0.35">
      <c r="A275" s="38" t="s">
        <v>186</v>
      </c>
      <c r="B275" s="38" t="s">
        <v>189</v>
      </c>
      <c r="C275" s="38" t="s">
        <v>190</v>
      </c>
      <c r="D275" s="38" t="s">
        <v>380</v>
      </c>
      <c r="E275" s="38" t="s">
        <v>169</v>
      </c>
      <c r="F275" s="38" t="s">
        <v>136</v>
      </c>
      <c r="G275" s="266">
        <v>6575</v>
      </c>
      <c r="H275" s="264">
        <f t="shared" si="7"/>
        <v>9</v>
      </c>
    </row>
    <row r="276" spans="1:8" x14ac:dyDescent="0.35">
      <c r="A276" s="38" t="s">
        <v>186</v>
      </c>
      <c r="B276" s="38" t="s">
        <v>189</v>
      </c>
      <c r="C276" s="38" t="s">
        <v>190</v>
      </c>
      <c r="D276" s="38" t="s">
        <v>381</v>
      </c>
      <c r="E276" s="38" t="s">
        <v>169</v>
      </c>
      <c r="F276" s="38" t="s">
        <v>136</v>
      </c>
      <c r="G276" s="266">
        <v>6575</v>
      </c>
      <c r="H276" s="264">
        <f t="shared" si="7"/>
        <v>10</v>
      </c>
    </row>
    <row r="277" spans="1:8" x14ac:dyDescent="0.35">
      <c r="A277" s="38" t="s">
        <v>186</v>
      </c>
      <c r="B277" s="38" t="s">
        <v>189</v>
      </c>
      <c r="C277" s="38" t="s">
        <v>190</v>
      </c>
      <c r="D277" s="38" t="s">
        <v>382</v>
      </c>
      <c r="E277" s="38" t="s">
        <v>169</v>
      </c>
      <c r="F277" s="38" t="s">
        <v>136</v>
      </c>
      <c r="G277" s="266">
        <v>6575</v>
      </c>
      <c r="H277" s="264">
        <f t="shared" si="7"/>
        <v>11</v>
      </c>
    </row>
    <row r="278" spans="1:8" x14ac:dyDescent="0.35">
      <c r="A278" s="38" t="s">
        <v>186</v>
      </c>
      <c r="B278" s="38" t="s">
        <v>189</v>
      </c>
      <c r="C278" s="38" t="s">
        <v>190</v>
      </c>
      <c r="D278" s="38" t="s">
        <v>383</v>
      </c>
      <c r="E278" s="38" t="s">
        <v>169</v>
      </c>
      <c r="F278" s="38" t="s">
        <v>136</v>
      </c>
      <c r="G278" s="266">
        <v>6575</v>
      </c>
      <c r="H278" s="264">
        <f t="shared" si="7"/>
        <v>12</v>
      </c>
    </row>
    <row r="279" spans="1:8" x14ac:dyDescent="0.35">
      <c r="A279" s="38" t="s">
        <v>186</v>
      </c>
      <c r="B279" s="38" t="s">
        <v>191</v>
      </c>
      <c r="C279" s="38" t="s">
        <v>192</v>
      </c>
      <c r="D279" s="38" t="s">
        <v>372</v>
      </c>
      <c r="E279" s="38" t="s">
        <v>169</v>
      </c>
      <c r="F279" s="38" t="s">
        <v>136</v>
      </c>
      <c r="G279" s="266">
        <v>5750</v>
      </c>
      <c r="H279" s="264">
        <f t="shared" si="7"/>
        <v>1</v>
      </c>
    </row>
    <row r="280" spans="1:8" x14ac:dyDescent="0.35">
      <c r="A280" s="38" t="s">
        <v>186</v>
      </c>
      <c r="B280" s="38" t="s">
        <v>191</v>
      </c>
      <c r="C280" s="38" t="s">
        <v>192</v>
      </c>
      <c r="D280" s="38" t="s">
        <v>373</v>
      </c>
      <c r="E280" s="38" t="s">
        <v>169</v>
      </c>
      <c r="F280" s="38" t="s">
        <v>136</v>
      </c>
      <c r="G280" s="266">
        <v>5750</v>
      </c>
      <c r="H280" s="264">
        <f t="shared" si="7"/>
        <v>2</v>
      </c>
    </row>
    <row r="281" spans="1:8" x14ac:dyDescent="0.35">
      <c r="A281" s="38" t="s">
        <v>186</v>
      </c>
      <c r="B281" s="38" t="s">
        <v>191</v>
      </c>
      <c r="C281" s="38" t="s">
        <v>192</v>
      </c>
      <c r="D281" s="38" t="s">
        <v>374</v>
      </c>
      <c r="E281" s="38" t="s">
        <v>169</v>
      </c>
      <c r="F281" s="38" t="s">
        <v>136</v>
      </c>
      <c r="G281" s="266">
        <v>5750</v>
      </c>
      <c r="H281" s="264">
        <f t="shared" si="7"/>
        <v>3</v>
      </c>
    </row>
    <row r="282" spans="1:8" x14ac:dyDescent="0.35">
      <c r="A282" s="38" t="s">
        <v>186</v>
      </c>
      <c r="B282" s="38" t="s">
        <v>191</v>
      </c>
      <c r="C282" s="38" t="s">
        <v>192</v>
      </c>
      <c r="D282" s="38" t="s">
        <v>375</v>
      </c>
      <c r="E282" s="38" t="s">
        <v>169</v>
      </c>
      <c r="F282" s="38" t="s">
        <v>136</v>
      </c>
      <c r="G282" s="266">
        <v>5750</v>
      </c>
      <c r="H282" s="264">
        <f t="shared" si="7"/>
        <v>4</v>
      </c>
    </row>
    <row r="283" spans="1:8" x14ac:dyDescent="0.35">
      <c r="A283" s="38" t="s">
        <v>186</v>
      </c>
      <c r="B283" s="38" t="s">
        <v>191</v>
      </c>
      <c r="C283" s="38" t="s">
        <v>192</v>
      </c>
      <c r="D283" s="38" t="s">
        <v>376</v>
      </c>
      <c r="E283" s="38" t="s">
        <v>169</v>
      </c>
      <c r="F283" s="38" t="s">
        <v>136</v>
      </c>
      <c r="G283" s="266">
        <v>5750</v>
      </c>
      <c r="H283" s="264">
        <f t="shared" si="7"/>
        <v>5</v>
      </c>
    </row>
    <row r="284" spans="1:8" x14ac:dyDescent="0.35">
      <c r="A284" s="38" t="s">
        <v>186</v>
      </c>
      <c r="B284" s="38" t="s">
        <v>191</v>
      </c>
      <c r="C284" s="38" t="s">
        <v>192</v>
      </c>
      <c r="D284" s="38" t="s">
        <v>377</v>
      </c>
      <c r="E284" s="38" t="s">
        <v>169</v>
      </c>
      <c r="F284" s="38" t="s">
        <v>136</v>
      </c>
      <c r="G284" s="266">
        <v>5750</v>
      </c>
      <c r="H284" s="264">
        <f t="shared" ref="H284:H348" si="9">IF(D284="",0,MONTH(D284))</f>
        <v>6</v>
      </c>
    </row>
    <row r="285" spans="1:8" x14ac:dyDescent="0.35">
      <c r="A285" s="38" t="s">
        <v>186</v>
      </c>
      <c r="B285" s="38" t="s">
        <v>191</v>
      </c>
      <c r="C285" s="38" t="s">
        <v>192</v>
      </c>
      <c r="D285" s="38" t="s">
        <v>378</v>
      </c>
      <c r="E285" s="38" t="s">
        <v>169</v>
      </c>
      <c r="F285" s="38" t="s">
        <v>136</v>
      </c>
      <c r="G285" s="266">
        <v>5750</v>
      </c>
      <c r="H285" s="264">
        <f t="shared" si="9"/>
        <v>7</v>
      </c>
    </row>
    <row r="286" spans="1:8" x14ac:dyDescent="0.35">
      <c r="A286" s="38" t="s">
        <v>186</v>
      </c>
      <c r="B286" s="38" t="s">
        <v>191</v>
      </c>
      <c r="C286" s="38" t="s">
        <v>192</v>
      </c>
      <c r="D286" s="38" t="s">
        <v>379</v>
      </c>
      <c r="E286" s="38" t="s">
        <v>169</v>
      </c>
      <c r="F286" s="38" t="s">
        <v>136</v>
      </c>
      <c r="G286" s="266">
        <v>5750</v>
      </c>
      <c r="H286" s="264">
        <f t="shared" si="9"/>
        <v>8</v>
      </c>
    </row>
    <row r="287" spans="1:8" x14ac:dyDescent="0.35">
      <c r="A287" s="38" t="s">
        <v>186</v>
      </c>
      <c r="B287" s="38" t="s">
        <v>191</v>
      </c>
      <c r="C287" s="38" t="s">
        <v>192</v>
      </c>
      <c r="D287" s="38" t="s">
        <v>380</v>
      </c>
      <c r="E287" s="38" t="s">
        <v>169</v>
      </c>
      <c r="F287" s="38" t="s">
        <v>136</v>
      </c>
      <c r="G287" s="266">
        <v>5750</v>
      </c>
      <c r="H287" s="264">
        <f t="shared" si="9"/>
        <v>9</v>
      </c>
    </row>
    <row r="288" spans="1:8" x14ac:dyDescent="0.35">
      <c r="A288" s="38" t="s">
        <v>186</v>
      </c>
      <c r="B288" s="38" t="s">
        <v>191</v>
      </c>
      <c r="C288" s="38" t="s">
        <v>192</v>
      </c>
      <c r="D288" s="38" t="s">
        <v>381</v>
      </c>
      <c r="E288" s="38" t="s">
        <v>169</v>
      </c>
      <c r="F288" s="38" t="s">
        <v>136</v>
      </c>
      <c r="G288" s="266">
        <v>5750</v>
      </c>
      <c r="H288" s="264">
        <f t="shared" si="9"/>
        <v>10</v>
      </c>
    </row>
    <row r="289" spans="1:8" x14ac:dyDescent="0.35">
      <c r="A289" s="38" t="s">
        <v>186</v>
      </c>
      <c r="B289" s="38" t="s">
        <v>191</v>
      </c>
      <c r="C289" s="38" t="s">
        <v>192</v>
      </c>
      <c r="D289" s="38" t="s">
        <v>382</v>
      </c>
      <c r="E289" s="38" t="s">
        <v>169</v>
      </c>
      <c r="F289" s="38" t="s">
        <v>136</v>
      </c>
      <c r="G289" s="266">
        <v>5750</v>
      </c>
      <c r="H289" s="264">
        <f t="shared" si="9"/>
        <v>11</v>
      </c>
    </row>
    <row r="290" spans="1:8" x14ac:dyDescent="0.35">
      <c r="A290" s="38" t="s">
        <v>186</v>
      </c>
      <c r="B290" s="38" t="s">
        <v>191</v>
      </c>
      <c r="C290" s="38" t="s">
        <v>192</v>
      </c>
      <c r="D290" s="38" t="s">
        <v>383</v>
      </c>
      <c r="E290" s="38" t="s">
        <v>169</v>
      </c>
      <c r="F290" s="38" t="s">
        <v>136</v>
      </c>
      <c r="G290" s="266">
        <v>5750</v>
      </c>
      <c r="H290" s="264">
        <f t="shared" si="9"/>
        <v>12</v>
      </c>
    </row>
    <row r="291" spans="1:8" x14ac:dyDescent="0.35">
      <c r="A291" s="38" t="s">
        <v>186</v>
      </c>
      <c r="B291" s="38" t="s">
        <v>392</v>
      </c>
      <c r="C291" s="38" t="s">
        <v>393</v>
      </c>
      <c r="D291" s="38" t="s">
        <v>372</v>
      </c>
      <c r="E291" s="38" t="s">
        <v>169</v>
      </c>
      <c r="F291" s="38" t="s">
        <v>136</v>
      </c>
      <c r="G291" s="266">
        <v>2731.25</v>
      </c>
      <c r="H291" s="264">
        <f t="shared" si="9"/>
        <v>1</v>
      </c>
    </row>
    <row r="292" spans="1:8" x14ac:dyDescent="0.35">
      <c r="A292" s="38" t="s">
        <v>186</v>
      </c>
      <c r="B292" s="38" t="s">
        <v>392</v>
      </c>
      <c r="C292" s="38" t="s">
        <v>393</v>
      </c>
      <c r="D292" s="38" t="s">
        <v>373</v>
      </c>
      <c r="E292" s="38" t="s">
        <v>169</v>
      </c>
      <c r="F292" s="38" t="s">
        <v>136</v>
      </c>
      <c r="G292" s="266">
        <v>2731.25</v>
      </c>
      <c r="H292" s="264">
        <f t="shared" si="9"/>
        <v>2</v>
      </c>
    </row>
    <row r="293" spans="1:8" x14ac:dyDescent="0.35">
      <c r="A293" s="38" t="s">
        <v>186</v>
      </c>
      <c r="B293" s="38" t="s">
        <v>392</v>
      </c>
      <c r="C293" s="38" t="s">
        <v>393</v>
      </c>
      <c r="D293" s="38" t="s">
        <v>374</v>
      </c>
      <c r="E293" s="38" t="s">
        <v>169</v>
      </c>
      <c r="F293" s="38" t="s">
        <v>136</v>
      </c>
      <c r="G293" s="266">
        <v>2731.25</v>
      </c>
      <c r="H293" s="264">
        <f t="shared" si="9"/>
        <v>3</v>
      </c>
    </row>
    <row r="294" spans="1:8" x14ac:dyDescent="0.35">
      <c r="A294" s="38" t="s">
        <v>186</v>
      </c>
      <c r="B294" s="38" t="s">
        <v>392</v>
      </c>
      <c r="C294" s="38" t="s">
        <v>393</v>
      </c>
      <c r="D294" s="38" t="s">
        <v>375</v>
      </c>
      <c r="E294" s="38" t="s">
        <v>169</v>
      </c>
      <c r="F294" s="38" t="s">
        <v>136</v>
      </c>
      <c r="G294" s="266">
        <v>2731.25</v>
      </c>
      <c r="H294" s="264">
        <f t="shared" si="9"/>
        <v>4</v>
      </c>
    </row>
    <row r="295" spans="1:8" x14ac:dyDescent="0.35">
      <c r="A295" s="38" t="s">
        <v>186</v>
      </c>
      <c r="B295" s="38" t="s">
        <v>392</v>
      </c>
      <c r="C295" s="38" t="s">
        <v>393</v>
      </c>
      <c r="D295" s="38" t="s">
        <v>376</v>
      </c>
      <c r="E295" s="38" t="s">
        <v>169</v>
      </c>
      <c r="F295" s="38" t="s">
        <v>136</v>
      </c>
      <c r="G295" s="266">
        <v>2731.25</v>
      </c>
      <c r="H295" s="264">
        <f t="shared" si="9"/>
        <v>5</v>
      </c>
    </row>
    <row r="296" spans="1:8" x14ac:dyDescent="0.35">
      <c r="A296" s="38" t="s">
        <v>186</v>
      </c>
      <c r="B296" s="38" t="s">
        <v>392</v>
      </c>
      <c r="C296" s="38" t="s">
        <v>393</v>
      </c>
      <c r="D296" s="38" t="s">
        <v>377</v>
      </c>
      <c r="E296" s="38" t="s">
        <v>169</v>
      </c>
      <c r="F296" s="38" t="s">
        <v>136</v>
      </c>
      <c r="G296" s="266">
        <v>2731.25</v>
      </c>
      <c r="H296" s="264">
        <f t="shared" si="9"/>
        <v>6</v>
      </c>
    </row>
    <row r="297" spans="1:8" x14ac:dyDescent="0.35">
      <c r="A297" s="38" t="s">
        <v>186</v>
      </c>
      <c r="B297" s="38" t="s">
        <v>392</v>
      </c>
      <c r="C297" s="38" t="s">
        <v>393</v>
      </c>
      <c r="D297" s="38" t="s">
        <v>378</v>
      </c>
      <c r="E297" s="38" t="s">
        <v>169</v>
      </c>
      <c r="F297" s="38" t="s">
        <v>136</v>
      </c>
      <c r="G297" s="266">
        <v>2731.25</v>
      </c>
      <c r="H297" s="264">
        <f t="shared" si="9"/>
        <v>7</v>
      </c>
    </row>
    <row r="298" spans="1:8" x14ac:dyDescent="0.35">
      <c r="A298" s="38" t="s">
        <v>186</v>
      </c>
      <c r="B298" s="38" t="s">
        <v>392</v>
      </c>
      <c r="C298" s="38" t="s">
        <v>393</v>
      </c>
      <c r="D298" s="38" t="s">
        <v>379</v>
      </c>
      <c r="E298" s="38" t="s">
        <v>169</v>
      </c>
      <c r="F298" s="38" t="s">
        <v>136</v>
      </c>
      <c r="G298" s="266">
        <v>2731.25</v>
      </c>
      <c r="H298" s="264">
        <f t="shared" si="9"/>
        <v>8</v>
      </c>
    </row>
    <row r="299" spans="1:8" x14ac:dyDescent="0.35">
      <c r="A299" s="38" t="s">
        <v>186</v>
      </c>
      <c r="B299" s="38" t="s">
        <v>392</v>
      </c>
      <c r="C299" s="38" t="s">
        <v>393</v>
      </c>
      <c r="D299" s="38" t="s">
        <v>380</v>
      </c>
      <c r="E299" s="38" t="s">
        <v>169</v>
      </c>
      <c r="F299" s="38" t="s">
        <v>136</v>
      </c>
      <c r="G299" s="266">
        <v>2731.25</v>
      </c>
      <c r="H299" s="264">
        <f t="shared" si="9"/>
        <v>9</v>
      </c>
    </row>
    <row r="300" spans="1:8" x14ac:dyDescent="0.35">
      <c r="A300" s="38" t="s">
        <v>186</v>
      </c>
      <c r="B300" s="38" t="s">
        <v>392</v>
      </c>
      <c r="C300" s="38" t="s">
        <v>393</v>
      </c>
      <c r="D300" s="38" t="s">
        <v>381</v>
      </c>
      <c r="E300" s="38" t="s">
        <v>169</v>
      </c>
      <c r="F300" s="38" t="s">
        <v>136</v>
      </c>
      <c r="G300" s="266">
        <v>2731.25</v>
      </c>
      <c r="H300" s="264">
        <f t="shared" si="9"/>
        <v>10</v>
      </c>
    </row>
    <row r="301" spans="1:8" x14ac:dyDescent="0.35">
      <c r="A301" s="38" t="s">
        <v>186</v>
      </c>
      <c r="B301" s="38" t="s">
        <v>392</v>
      </c>
      <c r="C301" s="38" t="s">
        <v>393</v>
      </c>
      <c r="D301" s="38" t="s">
        <v>382</v>
      </c>
      <c r="E301" s="38" t="s">
        <v>169</v>
      </c>
      <c r="F301" s="38" t="s">
        <v>136</v>
      </c>
      <c r="G301" s="266">
        <v>2731.25</v>
      </c>
      <c r="H301" s="264">
        <f t="shared" si="9"/>
        <v>11</v>
      </c>
    </row>
    <row r="302" spans="1:8" x14ac:dyDescent="0.35">
      <c r="A302" s="38" t="s">
        <v>186</v>
      </c>
      <c r="B302" s="38" t="s">
        <v>392</v>
      </c>
      <c r="C302" s="38" t="s">
        <v>393</v>
      </c>
      <c r="D302" s="38" t="s">
        <v>383</v>
      </c>
      <c r="E302" s="38" t="s">
        <v>169</v>
      </c>
      <c r="F302" s="38" t="s">
        <v>136</v>
      </c>
      <c r="G302" s="266">
        <v>2731.25</v>
      </c>
      <c r="H302" s="264">
        <f t="shared" si="9"/>
        <v>12</v>
      </c>
    </row>
    <row r="303" spans="1:8" x14ac:dyDescent="0.35">
      <c r="A303" s="38" t="s">
        <v>186</v>
      </c>
      <c r="B303" s="38" t="s">
        <v>193</v>
      </c>
      <c r="C303" s="38" t="s">
        <v>258</v>
      </c>
      <c r="D303" s="38" t="s">
        <v>372</v>
      </c>
      <c r="E303" s="38" t="s">
        <v>169</v>
      </c>
      <c r="F303" s="38" t="s">
        <v>136</v>
      </c>
      <c r="G303" s="266">
        <v>10623.33</v>
      </c>
      <c r="H303" s="264">
        <f t="shared" si="9"/>
        <v>1</v>
      </c>
    </row>
    <row r="304" spans="1:8" x14ac:dyDescent="0.35">
      <c r="A304" s="38" t="s">
        <v>186</v>
      </c>
      <c r="B304" s="38" t="s">
        <v>193</v>
      </c>
      <c r="C304" s="38" t="s">
        <v>258</v>
      </c>
      <c r="D304" s="38" t="s">
        <v>373</v>
      </c>
      <c r="E304" s="38" t="s">
        <v>169</v>
      </c>
      <c r="F304" s="38" t="s">
        <v>136</v>
      </c>
      <c r="G304" s="266">
        <v>10623.33</v>
      </c>
      <c r="H304" s="264">
        <f t="shared" si="9"/>
        <v>2</v>
      </c>
    </row>
    <row r="305" spans="1:8" x14ac:dyDescent="0.35">
      <c r="A305" s="38" t="s">
        <v>186</v>
      </c>
      <c r="B305" s="38" t="s">
        <v>193</v>
      </c>
      <c r="C305" s="38" t="s">
        <v>258</v>
      </c>
      <c r="D305" s="38" t="s">
        <v>374</v>
      </c>
      <c r="E305" s="38" t="s">
        <v>169</v>
      </c>
      <c r="F305" s="38" t="s">
        <v>136</v>
      </c>
      <c r="G305" s="266">
        <v>10623.33</v>
      </c>
      <c r="H305" s="264">
        <f t="shared" si="9"/>
        <v>3</v>
      </c>
    </row>
    <row r="306" spans="1:8" x14ac:dyDescent="0.35">
      <c r="A306" s="38" t="s">
        <v>186</v>
      </c>
      <c r="B306" s="38" t="s">
        <v>193</v>
      </c>
      <c r="C306" s="38" t="s">
        <v>258</v>
      </c>
      <c r="D306" s="38" t="s">
        <v>375</v>
      </c>
      <c r="E306" s="38" t="s">
        <v>169</v>
      </c>
      <c r="F306" s="38" t="s">
        <v>136</v>
      </c>
      <c r="G306" s="266">
        <v>10623.33</v>
      </c>
      <c r="H306" s="264">
        <f t="shared" si="9"/>
        <v>4</v>
      </c>
    </row>
    <row r="307" spans="1:8" x14ac:dyDescent="0.35">
      <c r="A307" s="38" t="s">
        <v>186</v>
      </c>
      <c r="B307" s="38" t="s">
        <v>193</v>
      </c>
      <c r="C307" s="38" t="s">
        <v>258</v>
      </c>
      <c r="D307" s="38" t="s">
        <v>376</v>
      </c>
      <c r="E307" s="38" t="s">
        <v>169</v>
      </c>
      <c r="F307" s="38" t="s">
        <v>136</v>
      </c>
      <c r="G307" s="266">
        <v>10623.33</v>
      </c>
      <c r="H307" s="264">
        <f t="shared" si="9"/>
        <v>5</v>
      </c>
    </row>
    <row r="308" spans="1:8" x14ac:dyDescent="0.35">
      <c r="A308" s="38" t="s">
        <v>186</v>
      </c>
      <c r="B308" s="38" t="s">
        <v>193</v>
      </c>
      <c r="C308" s="38" t="s">
        <v>258</v>
      </c>
      <c r="D308" s="38" t="s">
        <v>377</v>
      </c>
      <c r="E308" s="38" t="s">
        <v>169</v>
      </c>
      <c r="F308" s="38" t="s">
        <v>136</v>
      </c>
      <c r="G308" s="266">
        <v>10623.33</v>
      </c>
      <c r="H308" s="264">
        <f t="shared" si="9"/>
        <v>6</v>
      </c>
    </row>
    <row r="309" spans="1:8" x14ac:dyDescent="0.35">
      <c r="A309" s="38" t="s">
        <v>186</v>
      </c>
      <c r="B309" s="38" t="s">
        <v>193</v>
      </c>
      <c r="C309" s="38" t="s">
        <v>258</v>
      </c>
      <c r="D309" s="38" t="s">
        <v>378</v>
      </c>
      <c r="E309" s="38" t="s">
        <v>169</v>
      </c>
      <c r="F309" s="38" t="s">
        <v>136</v>
      </c>
      <c r="G309" s="266">
        <v>10623.33</v>
      </c>
      <c r="H309" s="264">
        <f t="shared" si="9"/>
        <v>7</v>
      </c>
    </row>
    <row r="310" spans="1:8" x14ac:dyDescent="0.35">
      <c r="A310" s="38" t="s">
        <v>186</v>
      </c>
      <c r="B310" s="38" t="s">
        <v>193</v>
      </c>
      <c r="C310" s="38" t="s">
        <v>258</v>
      </c>
      <c r="D310" s="38" t="s">
        <v>379</v>
      </c>
      <c r="E310" s="38" t="s">
        <v>169</v>
      </c>
      <c r="F310" s="38" t="s">
        <v>136</v>
      </c>
      <c r="G310" s="266">
        <v>10623.33</v>
      </c>
      <c r="H310" s="264">
        <f t="shared" si="9"/>
        <v>8</v>
      </c>
    </row>
    <row r="311" spans="1:8" x14ac:dyDescent="0.35">
      <c r="A311" s="38" t="s">
        <v>186</v>
      </c>
      <c r="B311" s="38" t="s">
        <v>193</v>
      </c>
      <c r="C311" s="38" t="s">
        <v>258</v>
      </c>
      <c r="D311" s="38" t="s">
        <v>380</v>
      </c>
      <c r="E311" s="38" t="s">
        <v>169</v>
      </c>
      <c r="F311" s="38" t="s">
        <v>136</v>
      </c>
      <c r="G311" s="266">
        <v>10623.33</v>
      </c>
      <c r="H311" s="264">
        <f t="shared" si="9"/>
        <v>9</v>
      </c>
    </row>
    <row r="312" spans="1:8" x14ac:dyDescent="0.35">
      <c r="A312" s="38" t="s">
        <v>186</v>
      </c>
      <c r="B312" s="38" t="s">
        <v>193</v>
      </c>
      <c r="C312" s="38" t="s">
        <v>258</v>
      </c>
      <c r="D312" s="38" t="s">
        <v>381</v>
      </c>
      <c r="E312" s="38" t="s">
        <v>169</v>
      </c>
      <c r="F312" s="38" t="s">
        <v>136</v>
      </c>
      <c r="G312" s="266">
        <v>10623.33</v>
      </c>
      <c r="H312" s="264">
        <f t="shared" si="9"/>
        <v>10</v>
      </c>
    </row>
    <row r="313" spans="1:8" x14ac:dyDescent="0.35">
      <c r="A313" s="38" t="s">
        <v>186</v>
      </c>
      <c r="B313" s="38" t="s">
        <v>193</v>
      </c>
      <c r="C313" s="38" t="s">
        <v>258</v>
      </c>
      <c r="D313" s="38" t="s">
        <v>382</v>
      </c>
      <c r="E313" s="38" t="s">
        <v>169</v>
      </c>
      <c r="F313" s="38" t="s">
        <v>136</v>
      </c>
      <c r="G313" s="266">
        <v>10888.92</v>
      </c>
      <c r="H313" s="264">
        <f t="shared" si="9"/>
        <v>11</v>
      </c>
    </row>
    <row r="314" spans="1:8" x14ac:dyDescent="0.35">
      <c r="A314" s="38" t="s">
        <v>186</v>
      </c>
      <c r="B314" s="38" t="s">
        <v>193</v>
      </c>
      <c r="C314" s="38" t="s">
        <v>258</v>
      </c>
      <c r="D314" s="38" t="s">
        <v>383</v>
      </c>
      <c r="E314" s="38" t="s">
        <v>169</v>
      </c>
      <c r="F314" s="38" t="s">
        <v>136</v>
      </c>
      <c r="G314" s="266">
        <v>10888.92</v>
      </c>
      <c r="H314" s="264">
        <f t="shared" si="9"/>
        <v>12</v>
      </c>
    </row>
    <row r="315" spans="1:8" x14ac:dyDescent="0.35">
      <c r="A315" s="38" t="s">
        <v>186</v>
      </c>
      <c r="B315" s="38" t="s">
        <v>194</v>
      </c>
      <c r="C315" s="38" t="s">
        <v>338</v>
      </c>
      <c r="D315" s="38" t="s">
        <v>372</v>
      </c>
      <c r="E315" s="38" t="s">
        <v>169</v>
      </c>
      <c r="F315" s="38" t="s">
        <v>136</v>
      </c>
      <c r="G315" s="266">
        <v>5758.33</v>
      </c>
      <c r="H315" s="264">
        <f t="shared" si="9"/>
        <v>1</v>
      </c>
    </row>
    <row r="316" spans="1:8" x14ac:dyDescent="0.35">
      <c r="A316" s="38" t="s">
        <v>186</v>
      </c>
      <c r="B316" s="38" t="s">
        <v>194</v>
      </c>
      <c r="C316" s="38" t="s">
        <v>338</v>
      </c>
      <c r="D316" s="38" t="s">
        <v>373</v>
      </c>
      <c r="E316" s="38" t="s">
        <v>169</v>
      </c>
      <c r="F316" s="38" t="s">
        <v>136</v>
      </c>
      <c r="G316" s="266">
        <v>5758.33</v>
      </c>
      <c r="H316" s="264">
        <f t="shared" si="9"/>
        <v>2</v>
      </c>
    </row>
    <row r="317" spans="1:8" x14ac:dyDescent="0.35">
      <c r="A317" s="38" t="s">
        <v>186</v>
      </c>
      <c r="B317" s="38" t="s">
        <v>194</v>
      </c>
      <c r="C317" s="38" t="s">
        <v>338</v>
      </c>
      <c r="D317" s="38" t="s">
        <v>374</v>
      </c>
      <c r="E317" s="38" t="s">
        <v>169</v>
      </c>
      <c r="F317" s="38" t="s">
        <v>136</v>
      </c>
      <c r="G317" s="266">
        <v>5758.33</v>
      </c>
      <c r="H317" s="264">
        <f>IF(D317="",0,MONTH(D317))</f>
        <v>3</v>
      </c>
    </row>
    <row r="318" spans="1:8" x14ac:dyDescent="0.35">
      <c r="A318" s="38" t="s">
        <v>186</v>
      </c>
      <c r="B318" s="38" t="s">
        <v>194</v>
      </c>
      <c r="C318" s="38" t="s">
        <v>338</v>
      </c>
      <c r="D318" s="38" t="s">
        <v>375</v>
      </c>
      <c r="E318" s="38" t="s">
        <v>169</v>
      </c>
      <c r="F318" s="38" t="s">
        <v>136</v>
      </c>
      <c r="G318" s="266">
        <v>5758.33</v>
      </c>
      <c r="H318" s="264">
        <f t="shared" si="9"/>
        <v>4</v>
      </c>
    </row>
    <row r="319" spans="1:8" x14ac:dyDescent="0.35">
      <c r="A319" s="38" t="s">
        <v>186</v>
      </c>
      <c r="B319" s="38" t="s">
        <v>194</v>
      </c>
      <c r="C319" s="38" t="s">
        <v>338</v>
      </c>
      <c r="D319" s="38" t="s">
        <v>376</v>
      </c>
      <c r="E319" s="38" t="s">
        <v>169</v>
      </c>
      <c r="F319" s="38" t="s">
        <v>136</v>
      </c>
      <c r="G319" s="266">
        <v>5758.33</v>
      </c>
      <c r="H319" s="264">
        <f t="shared" si="9"/>
        <v>5</v>
      </c>
    </row>
    <row r="320" spans="1:8" x14ac:dyDescent="0.35">
      <c r="A320" s="38" t="s">
        <v>186</v>
      </c>
      <c r="B320" s="38" t="s">
        <v>194</v>
      </c>
      <c r="C320" s="38" t="s">
        <v>338</v>
      </c>
      <c r="D320" s="38" t="s">
        <v>377</v>
      </c>
      <c r="E320" s="38" t="s">
        <v>169</v>
      </c>
      <c r="F320" s="38" t="s">
        <v>136</v>
      </c>
      <c r="G320" s="266">
        <v>5758.33</v>
      </c>
      <c r="H320" s="264">
        <f t="shared" si="9"/>
        <v>6</v>
      </c>
    </row>
    <row r="321" spans="1:8" x14ac:dyDescent="0.35">
      <c r="A321" s="38" t="s">
        <v>186</v>
      </c>
      <c r="B321" s="38" t="s">
        <v>194</v>
      </c>
      <c r="C321" s="38" t="s">
        <v>338</v>
      </c>
      <c r="D321" s="38" t="s">
        <v>378</v>
      </c>
      <c r="E321" s="38" t="s">
        <v>169</v>
      </c>
      <c r="F321" s="38" t="s">
        <v>136</v>
      </c>
      <c r="G321" s="266">
        <v>5758.33</v>
      </c>
      <c r="H321" s="264">
        <f t="shared" si="9"/>
        <v>7</v>
      </c>
    </row>
    <row r="322" spans="1:8" x14ac:dyDescent="0.35">
      <c r="A322" s="38" t="s">
        <v>186</v>
      </c>
      <c r="B322" s="38" t="s">
        <v>194</v>
      </c>
      <c r="C322" s="38" t="s">
        <v>338</v>
      </c>
      <c r="D322" s="38" t="s">
        <v>379</v>
      </c>
      <c r="E322" s="38" t="s">
        <v>169</v>
      </c>
      <c r="F322" s="38" t="s">
        <v>136</v>
      </c>
      <c r="G322" s="266">
        <v>5758.33</v>
      </c>
      <c r="H322" s="264">
        <f t="shared" si="9"/>
        <v>8</v>
      </c>
    </row>
    <row r="323" spans="1:8" x14ac:dyDescent="0.35">
      <c r="A323" s="38" t="s">
        <v>186</v>
      </c>
      <c r="B323" s="38" t="s">
        <v>194</v>
      </c>
      <c r="C323" s="38" t="s">
        <v>338</v>
      </c>
      <c r="D323" s="38" t="s">
        <v>380</v>
      </c>
      <c r="E323" s="38" t="s">
        <v>169</v>
      </c>
      <c r="F323" s="38" t="s">
        <v>136</v>
      </c>
      <c r="G323" s="266">
        <v>5758.33</v>
      </c>
      <c r="H323" s="264">
        <f t="shared" si="9"/>
        <v>9</v>
      </c>
    </row>
    <row r="324" spans="1:8" x14ac:dyDescent="0.35">
      <c r="A324" s="38" t="s">
        <v>186</v>
      </c>
      <c r="B324" s="38" t="s">
        <v>194</v>
      </c>
      <c r="C324" s="38" t="s">
        <v>338</v>
      </c>
      <c r="D324" s="38" t="s">
        <v>381</v>
      </c>
      <c r="E324" s="38" t="s">
        <v>169</v>
      </c>
      <c r="F324" s="38" t="s">
        <v>136</v>
      </c>
      <c r="G324" s="266">
        <v>5758.33</v>
      </c>
      <c r="H324" s="264">
        <f t="shared" si="9"/>
        <v>10</v>
      </c>
    </row>
    <row r="325" spans="1:8" x14ac:dyDescent="0.35">
      <c r="A325" s="38" t="s">
        <v>186</v>
      </c>
      <c r="B325" s="38" t="s">
        <v>194</v>
      </c>
      <c r="C325" s="38" t="s">
        <v>338</v>
      </c>
      <c r="D325" s="38" t="s">
        <v>382</v>
      </c>
      <c r="E325" s="38" t="s">
        <v>169</v>
      </c>
      <c r="F325" s="38" t="s">
        <v>136</v>
      </c>
      <c r="G325" s="266">
        <v>5758.33</v>
      </c>
      <c r="H325" s="264">
        <f t="shared" si="9"/>
        <v>11</v>
      </c>
    </row>
    <row r="326" spans="1:8" x14ac:dyDescent="0.35">
      <c r="A326" s="38" t="s">
        <v>186</v>
      </c>
      <c r="B326" s="38" t="s">
        <v>194</v>
      </c>
      <c r="C326" s="38" t="s">
        <v>338</v>
      </c>
      <c r="D326" s="38" t="s">
        <v>383</v>
      </c>
      <c r="E326" s="38" t="s">
        <v>169</v>
      </c>
      <c r="F326" s="38" t="s">
        <v>136</v>
      </c>
      <c r="G326" s="266">
        <v>5758.33</v>
      </c>
      <c r="H326" s="264">
        <f t="shared" si="9"/>
        <v>12</v>
      </c>
    </row>
    <row r="327" spans="1:8" x14ac:dyDescent="0.35">
      <c r="A327" s="38" t="s">
        <v>186</v>
      </c>
      <c r="B327" s="38" t="s">
        <v>251</v>
      </c>
      <c r="C327" s="38" t="s">
        <v>259</v>
      </c>
      <c r="D327" s="38" t="s">
        <v>372</v>
      </c>
      <c r="E327" s="38" t="s">
        <v>169</v>
      </c>
      <c r="F327" s="38" t="s">
        <v>136</v>
      </c>
      <c r="G327" s="266">
        <v>5926.83</v>
      </c>
      <c r="H327" s="264">
        <f t="shared" si="9"/>
        <v>1</v>
      </c>
    </row>
    <row r="328" spans="1:8" x14ac:dyDescent="0.35">
      <c r="A328" s="38" t="s">
        <v>186</v>
      </c>
      <c r="B328" s="38" t="s">
        <v>251</v>
      </c>
      <c r="C328" s="38" t="s">
        <v>259</v>
      </c>
      <c r="D328" s="38" t="s">
        <v>373</v>
      </c>
      <c r="E328" s="38" t="s">
        <v>169</v>
      </c>
      <c r="F328" s="38" t="s">
        <v>136</v>
      </c>
      <c r="G328" s="266">
        <v>5926.83</v>
      </c>
      <c r="H328" s="264">
        <f t="shared" si="9"/>
        <v>2</v>
      </c>
    </row>
    <row r="329" spans="1:8" x14ac:dyDescent="0.35">
      <c r="A329" s="38" t="s">
        <v>186</v>
      </c>
      <c r="B329" s="38" t="s">
        <v>251</v>
      </c>
      <c r="C329" s="38" t="s">
        <v>259</v>
      </c>
      <c r="D329" s="38" t="s">
        <v>374</v>
      </c>
      <c r="E329" s="38" t="s">
        <v>169</v>
      </c>
      <c r="F329" s="38" t="s">
        <v>136</v>
      </c>
      <c r="G329" s="266">
        <v>5926.83</v>
      </c>
      <c r="H329" s="264">
        <f t="shared" si="9"/>
        <v>3</v>
      </c>
    </row>
    <row r="330" spans="1:8" x14ac:dyDescent="0.35">
      <c r="A330" s="38" t="s">
        <v>186</v>
      </c>
      <c r="B330" s="38" t="s">
        <v>251</v>
      </c>
      <c r="C330" s="38" t="s">
        <v>259</v>
      </c>
      <c r="D330" s="38" t="s">
        <v>375</v>
      </c>
      <c r="E330" s="38" t="s">
        <v>169</v>
      </c>
      <c r="F330" s="38" t="s">
        <v>136</v>
      </c>
      <c r="G330" s="266">
        <v>5926.83</v>
      </c>
      <c r="H330" s="264">
        <f t="shared" si="9"/>
        <v>4</v>
      </c>
    </row>
    <row r="331" spans="1:8" x14ac:dyDescent="0.35">
      <c r="A331" s="38" t="s">
        <v>186</v>
      </c>
      <c r="B331" s="38" t="s">
        <v>251</v>
      </c>
      <c r="C331" s="38" t="s">
        <v>259</v>
      </c>
      <c r="D331" s="38" t="s">
        <v>376</v>
      </c>
      <c r="E331" s="38" t="s">
        <v>169</v>
      </c>
      <c r="F331" s="38" t="s">
        <v>136</v>
      </c>
      <c r="G331" s="266">
        <v>5926.83</v>
      </c>
      <c r="H331" s="264">
        <f t="shared" si="9"/>
        <v>5</v>
      </c>
    </row>
    <row r="332" spans="1:8" x14ac:dyDescent="0.35">
      <c r="A332" s="38" t="s">
        <v>186</v>
      </c>
      <c r="B332" s="38" t="s">
        <v>251</v>
      </c>
      <c r="C332" s="38" t="s">
        <v>259</v>
      </c>
      <c r="D332" s="38" t="s">
        <v>377</v>
      </c>
      <c r="E332" s="38" t="s">
        <v>169</v>
      </c>
      <c r="F332" s="38" t="s">
        <v>136</v>
      </c>
      <c r="G332" s="266">
        <v>6064.67</v>
      </c>
      <c r="H332" s="264">
        <f t="shared" si="9"/>
        <v>6</v>
      </c>
    </row>
    <row r="333" spans="1:8" x14ac:dyDescent="0.35">
      <c r="A333" s="38" t="s">
        <v>186</v>
      </c>
      <c r="B333" s="38" t="s">
        <v>251</v>
      </c>
      <c r="C333" s="38" t="s">
        <v>259</v>
      </c>
      <c r="D333" s="38" t="s">
        <v>378</v>
      </c>
      <c r="E333" s="38" t="s">
        <v>169</v>
      </c>
      <c r="F333" s="38" t="s">
        <v>136</v>
      </c>
      <c r="G333" s="266">
        <v>6064.67</v>
      </c>
      <c r="H333" s="264">
        <f t="shared" si="9"/>
        <v>7</v>
      </c>
    </row>
    <row r="334" spans="1:8" x14ac:dyDescent="0.35">
      <c r="A334" s="38" t="s">
        <v>186</v>
      </c>
      <c r="B334" s="38" t="s">
        <v>251</v>
      </c>
      <c r="C334" s="38" t="s">
        <v>259</v>
      </c>
      <c r="D334" s="38" t="s">
        <v>379</v>
      </c>
      <c r="E334" s="38" t="s">
        <v>169</v>
      </c>
      <c r="F334" s="38" t="s">
        <v>136</v>
      </c>
      <c r="G334" s="266">
        <v>6064.67</v>
      </c>
      <c r="H334" s="264">
        <f t="shared" si="9"/>
        <v>8</v>
      </c>
    </row>
    <row r="335" spans="1:8" x14ac:dyDescent="0.35">
      <c r="A335" s="38" t="s">
        <v>186</v>
      </c>
      <c r="B335" s="38" t="s">
        <v>251</v>
      </c>
      <c r="C335" s="38" t="s">
        <v>259</v>
      </c>
      <c r="D335" s="38" t="s">
        <v>380</v>
      </c>
      <c r="E335" s="38" t="s">
        <v>169</v>
      </c>
      <c r="F335" s="38" t="s">
        <v>136</v>
      </c>
      <c r="G335" s="266">
        <v>6064.67</v>
      </c>
      <c r="H335" s="264">
        <f t="shared" si="9"/>
        <v>9</v>
      </c>
    </row>
    <row r="336" spans="1:8" x14ac:dyDescent="0.35">
      <c r="A336" s="38" t="s">
        <v>186</v>
      </c>
      <c r="B336" s="38" t="s">
        <v>251</v>
      </c>
      <c r="C336" s="38" t="s">
        <v>259</v>
      </c>
      <c r="D336" s="38" t="s">
        <v>381</v>
      </c>
      <c r="E336" s="38" t="s">
        <v>169</v>
      </c>
      <c r="F336" s="38" t="s">
        <v>136</v>
      </c>
      <c r="G336" s="266">
        <v>6064.67</v>
      </c>
      <c r="H336" s="264">
        <f t="shared" si="9"/>
        <v>10</v>
      </c>
    </row>
    <row r="337" spans="1:8" x14ac:dyDescent="0.35">
      <c r="A337" s="38" t="s">
        <v>186</v>
      </c>
      <c r="B337" s="38" t="s">
        <v>251</v>
      </c>
      <c r="C337" s="38" t="s">
        <v>259</v>
      </c>
      <c r="D337" s="38" t="s">
        <v>382</v>
      </c>
      <c r="E337" s="38" t="s">
        <v>169</v>
      </c>
      <c r="F337" s="38" t="s">
        <v>136</v>
      </c>
      <c r="G337" s="266">
        <v>6064.67</v>
      </c>
      <c r="H337" s="264">
        <f t="shared" si="9"/>
        <v>11</v>
      </c>
    </row>
    <row r="338" spans="1:8" x14ac:dyDescent="0.35">
      <c r="A338" s="38" t="s">
        <v>186</v>
      </c>
      <c r="B338" s="38" t="s">
        <v>251</v>
      </c>
      <c r="C338" s="38" t="s">
        <v>259</v>
      </c>
      <c r="D338" s="38" t="s">
        <v>383</v>
      </c>
      <c r="E338" s="38" t="s">
        <v>169</v>
      </c>
      <c r="F338" s="38" t="s">
        <v>136</v>
      </c>
      <c r="G338" s="266">
        <v>6064.67</v>
      </c>
      <c r="H338" s="264">
        <f t="shared" si="9"/>
        <v>12</v>
      </c>
    </row>
    <row r="339" spans="1:8" x14ac:dyDescent="0.35">
      <c r="A339" s="38" t="s">
        <v>186</v>
      </c>
      <c r="B339" s="38" t="s">
        <v>195</v>
      </c>
      <c r="C339" s="38" t="s">
        <v>258</v>
      </c>
      <c r="D339" s="38" t="s">
        <v>372</v>
      </c>
      <c r="E339" s="38" t="s">
        <v>169</v>
      </c>
      <c r="F339" s="38" t="s">
        <v>136</v>
      </c>
      <c r="G339" s="266">
        <v>11325</v>
      </c>
      <c r="H339" s="264">
        <f t="shared" si="9"/>
        <v>1</v>
      </c>
    </row>
    <row r="340" spans="1:8" x14ac:dyDescent="0.35">
      <c r="A340" s="38" t="s">
        <v>186</v>
      </c>
      <c r="B340" s="38" t="s">
        <v>195</v>
      </c>
      <c r="C340" s="38" t="s">
        <v>258</v>
      </c>
      <c r="D340" s="38" t="s">
        <v>373</v>
      </c>
      <c r="E340" s="38" t="s">
        <v>169</v>
      </c>
      <c r="F340" s="38" t="s">
        <v>136</v>
      </c>
      <c r="G340" s="266">
        <v>11325</v>
      </c>
      <c r="H340" s="264">
        <f t="shared" si="9"/>
        <v>2</v>
      </c>
    </row>
    <row r="341" spans="1:8" x14ac:dyDescent="0.35">
      <c r="A341" s="38" t="s">
        <v>186</v>
      </c>
      <c r="B341" s="38" t="s">
        <v>195</v>
      </c>
      <c r="C341" s="38" t="s">
        <v>258</v>
      </c>
      <c r="D341" s="38" t="s">
        <v>374</v>
      </c>
      <c r="E341" s="38" t="s">
        <v>169</v>
      </c>
      <c r="F341" s="38" t="s">
        <v>136</v>
      </c>
      <c r="G341" s="266">
        <v>11325</v>
      </c>
      <c r="H341" s="264">
        <f t="shared" si="9"/>
        <v>3</v>
      </c>
    </row>
    <row r="342" spans="1:8" x14ac:dyDescent="0.35">
      <c r="A342" s="38" t="s">
        <v>186</v>
      </c>
      <c r="B342" s="38" t="s">
        <v>195</v>
      </c>
      <c r="C342" s="38" t="s">
        <v>258</v>
      </c>
      <c r="D342" s="38" t="s">
        <v>375</v>
      </c>
      <c r="E342" s="38" t="s">
        <v>169</v>
      </c>
      <c r="F342" s="38" t="s">
        <v>136</v>
      </c>
      <c r="G342" s="266">
        <v>11325</v>
      </c>
      <c r="H342" s="264">
        <f t="shared" si="9"/>
        <v>4</v>
      </c>
    </row>
    <row r="343" spans="1:8" x14ac:dyDescent="0.35">
      <c r="A343" s="38" t="s">
        <v>186</v>
      </c>
      <c r="B343" s="38" t="s">
        <v>195</v>
      </c>
      <c r="C343" s="38" t="s">
        <v>258</v>
      </c>
      <c r="D343" s="38" t="s">
        <v>376</v>
      </c>
      <c r="E343" s="38" t="s">
        <v>169</v>
      </c>
      <c r="F343" s="38" t="s">
        <v>136</v>
      </c>
      <c r="G343" s="266">
        <v>11325</v>
      </c>
      <c r="H343" s="264">
        <f t="shared" si="9"/>
        <v>5</v>
      </c>
    </row>
    <row r="344" spans="1:8" x14ac:dyDescent="0.35">
      <c r="A344" s="38" t="s">
        <v>186</v>
      </c>
      <c r="B344" s="38" t="s">
        <v>195</v>
      </c>
      <c r="C344" s="38" t="s">
        <v>258</v>
      </c>
      <c r="D344" s="38" t="s">
        <v>377</v>
      </c>
      <c r="E344" s="38" t="s">
        <v>169</v>
      </c>
      <c r="F344" s="38" t="s">
        <v>136</v>
      </c>
      <c r="G344" s="266">
        <v>11325</v>
      </c>
      <c r="H344" s="264">
        <f t="shared" si="9"/>
        <v>6</v>
      </c>
    </row>
    <row r="345" spans="1:8" x14ac:dyDescent="0.35">
      <c r="A345" s="38" t="s">
        <v>186</v>
      </c>
      <c r="B345" s="38" t="s">
        <v>195</v>
      </c>
      <c r="C345" s="38" t="s">
        <v>258</v>
      </c>
      <c r="D345" s="38" t="s">
        <v>378</v>
      </c>
      <c r="E345" s="38" t="s">
        <v>169</v>
      </c>
      <c r="F345" s="38" t="s">
        <v>136</v>
      </c>
      <c r="G345" s="266">
        <v>11325</v>
      </c>
      <c r="H345" s="264">
        <f t="shared" si="9"/>
        <v>7</v>
      </c>
    </row>
    <row r="346" spans="1:8" x14ac:dyDescent="0.35">
      <c r="A346" s="38" t="s">
        <v>186</v>
      </c>
      <c r="B346" s="38" t="s">
        <v>195</v>
      </c>
      <c r="C346" s="38" t="s">
        <v>258</v>
      </c>
      <c r="D346" s="38" t="s">
        <v>379</v>
      </c>
      <c r="E346" s="38" t="s">
        <v>169</v>
      </c>
      <c r="F346" s="38" t="s">
        <v>136</v>
      </c>
      <c r="G346" s="266">
        <v>11325</v>
      </c>
      <c r="H346" s="264">
        <f t="shared" si="9"/>
        <v>8</v>
      </c>
    </row>
    <row r="347" spans="1:8" x14ac:dyDescent="0.35">
      <c r="A347" s="38" t="s">
        <v>186</v>
      </c>
      <c r="B347" s="38" t="s">
        <v>195</v>
      </c>
      <c r="C347" s="38" t="s">
        <v>258</v>
      </c>
      <c r="D347" s="38" t="s">
        <v>380</v>
      </c>
      <c r="E347" s="38" t="s">
        <v>169</v>
      </c>
      <c r="F347" s="38" t="s">
        <v>136</v>
      </c>
      <c r="G347" s="266">
        <v>11325</v>
      </c>
      <c r="H347" s="264">
        <f t="shared" si="9"/>
        <v>9</v>
      </c>
    </row>
    <row r="348" spans="1:8" x14ac:dyDescent="0.35">
      <c r="A348" s="38" t="s">
        <v>186</v>
      </c>
      <c r="B348" s="38" t="s">
        <v>195</v>
      </c>
      <c r="C348" s="38" t="s">
        <v>258</v>
      </c>
      <c r="D348" s="38" t="s">
        <v>381</v>
      </c>
      <c r="E348" s="38" t="s">
        <v>169</v>
      </c>
      <c r="F348" s="38" t="s">
        <v>136</v>
      </c>
      <c r="G348" s="266">
        <v>11325</v>
      </c>
      <c r="H348" s="264">
        <f t="shared" si="9"/>
        <v>10</v>
      </c>
    </row>
    <row r="349" spans="1:8" x14ac:dyDescent="0.35">
      <c r="A349" s="38" t="s">
        <v>186</v>
      </c>
      <c r="B349" s="38" t="s">
        <v>195</v>
      </c>
      <c r="C349" s="38" t="s">
        <v>258</v>
      </c>
      <c r="D349" s="38" t="s">
        <v>382</v>
      </c>
      <c r="E349" s="38" t="s">
        <v>169</v>
      </c>
      <c r="F349" s="38" t="s">
        <v>136</v>
      </c>
      <c r="G349" s="266">
        <v>11608.13</v>
      </c>
      <c r="H349" s="264">
        <f t="shared" ref="H349:H441" si="10">IF(D349="",0,MONTH(D349))</f>
        <v>11</v>
      </c>
    </row>
    <row r="350" spans="1:8" x14ac:dyDescent="0.35">
      <c r="A350" s="38" t="s">
        <v>186</v>
      </c>
      <c r="B350" s="38" t="s">
        <v>195</v>
      </c>
      <c r="C350" s="38" t="s">
        <v>258</v>
      </c>
      <c r="D350" s="38" t="s">
        <v>383</v>
      </c>
      <c r="E350" s="38" t="s">
        <v>169</v>
      </c>
      <c r="F350" s="38" t="s">
        <v>136</v>
      </c>
      <c r="G350" s="266">
        <v>11608.13</v>
      </c>
      <c r="H350" s="264">
        <f t="shared" si="10"/>
        <v>12</v>
      </c>
    </row>
    <row r="351" spans="1:8" x14ac:dyDescent="0.35">
      <c r="A351" s="38" t="s">
        <v>196</v>
      </c>
      <c r="B351" s="38" t="s">
        <v>281</v>
      </c>
      <c r="C351" s="38" t="s">
        <v>282</v>
      </c>
      <c r="D351" s="38" t="s">
        <v>372</v>
      </c>
      <c r="E351" s="38" t="s">
        <v>169</v>
      </c>
      <c r="F351" s="38" t="s">
        <v>136</v>
      </c>
      <c r="G351" s="266">
        <v>3186.04</v>
      </c>
      <c r="H351" s="264">
        <f t="shared" si="10"/>
        <v>1</v>
      </c>
    </row>
    <row r="352" spans="1:8" x14ac:dyDescent="0.35">
      <c r="A352" s="38" t="s">
        <v>196</v>
      </c>
      <c r="B352" s="38" t="s">
        <v>281</v>
      </c>
      <c r="C352" s="38" t="s">
        <v>282</v>
      </c>
      <c r="D352" s="38" t="s">
        <v>373</v>
      </c>
      <c r="E352" s="38" t="s">
        <v>169</v>
      </c>
      <c r="F352" s="38" t="s">
        <v>136</v>
      </c>
      <c r="G352" s="266">
        <v>3186.04</v>
      </c>
      <c r="H352" s="264">
        <f t="shared" si="10"/>
        <v>2</v>
      </c>
    </row>
    <row r="353" spans="1:8" x14ac:dyDescent="0.35">
      <c r="A353" s="38" t="s">
        <v>196</v>
      </c>
      <c r="B353" s="38" t="s">
        <v>281</v>
      </c>
      <c r="C353" s="38" t="s">
        <v>282</v>
      </c>
      <c r="D353" s="38" t="s">
        <v>374</v>
      </c>
      <c r="E353" s="38" t="s">
        <v>169</v>
      </c>
      <c r="F353" s="38" t="s">
        <v>136</v>
      </c>
      <c r="G353" s="266">
        <v>3186.04</v>
      </c>
      <c r="H353" s="264">
        <f t="shared" si="10"/>
        <v>3</v>
      </c>
    </row>
    <row r="354" spans="1:8" x14ac:dyDescent="0.35">
      <c r="A354" s="38" t="s">
        <v>196</v>
      </c>
      <c r="B354" s="38" t="s">
        <v>281</v>
      </c>
      <c r="C354" s="38" t="s">
        <v>282</v>
      </c>
      <c r="D354" s="38" t="s">
        <v>375</v>
      </c>
      <c r="E354" s="38" t="s">
        <v>169</v>
      </c>
      <c r="F354" s="38" t="s">
        <v>136</v>
      </c>
      <c r="G354" s="266">
        <v>3263.75</v>
      </c>
      <c r="H354" s="264">
        <f t="shared" si="10"/>
        <v>4</v>
      </c>
    </row>
    <row r="355" spans="1:8" x14ac:dyDescent="0.35">
      <c r="A355" s="38" t="s">
        <v>196</v>
      </c>
      <c r="B355" s="38" t="s">
        <v>281</v>
      </c>
      <c r="C355" s="38" t="s">
        <v>282</v>
      </c>
      <c r="D355" s="38" t="s">
        <v>376</v>
      </c>
      <c r="E355" s="38" t="s">
        <v>169</v>
      </c>
      <c r="F355" s="38" t="s">
        <v>136</v>
      </c>
      <c r="G355" s="266">
        <v>3263.75</v>
      </c>
      <c r="H355" s="264">
        <f t="shared" si="10"/>
        <v>5</v>
      </c>
    </row>
    <row r="356" spans="1:8" x14ac:dyDescent="0.35">
      <c r="A356" s="38" t="s">
        <v>196</v>
      </c>
      <c r="B356" s="38" t="s">
        <v>281</v>
      </c>
      <c r="C356" s="38" t="s">
        <v>282</v>
      </c>
      <c r="D356" s="38" t="s">
        <v>377</v>
      </c>
      <c r="E356" s="38" t="s">
        <v>169</v>
      </c>
      <c r="F356" s="38" t="s">
        <v>136</v>
      </c>
      <c r="G356" s="266">
        <v>3263.75</v>
      </c>
      <c r="H356" s="264">
        <f t="shared" si="10"/>
        <v>6</v>
      </c>
    </row>
    <row r="357" spans="1:8" x14ac:dyDescent="0.35">
      <c r="A357" s="38" t="s">
        <v>196</v>
      </c>
      <c r="B357" s="38" t="s">
        <v>281</v>
      </c>
      <c r="C357" s="38" t="s">
        <v>282</v>
      </c>
      <c r="D357" s="38" t="s">
        <v>378</v>
      </c>
      <c r="E357" s="38" t="s">
        <v>169</v>
      </c>
      <c r="F357" s="38" t="s">
        <v>136</v>
      </c>
      <c r="G357" s="266">
        <v>3263.75</v>
      </c>
      <c r="H357" s="264">
        <f t="shared" si="10"/>
        <v>7</v>
      </c>
    </row>
    <row r="358" spans="1:8" x14ac:dyDescent="0.35">
      <c r="A358" s="38" t="s">
        <v>196</v>
      </c>
      <c r="B358" s="38" t="s">
        <v>281</v>
      </c>
      <c r="C358" s="38" t="s">
        <v>282</v>
      </c>
      <c r="D358" s="38" t="s">
        <v>379</v>
      </c>
      <c r="E358" s="38" t="s">
        <v>169</v>
      </c>
      <c r="F358" s="38" t="s">
        <v>136</v>
      </c>
      <c r="G358" s="266">
        <v>3263.75</v>
      </c>
      <c r="H358" s="264">
        <f t="shared" si="10"/>
        <v>8</v>
      </c>
    </row>
    <row r="359" spans="1:8" x14ac:dyDescent="0.35">
      <c r="A359" s="38" t="s">
        <v>196</v>
      </c>
      <c r="B359" s="38" t="s">
        <v>281</v>
      </c>
      <c r="C359" s="38" t="s">
        <v>282</v>
      </c>
      <c r="D359" s="38" t="s">
        <v>380</v>
      </c>
      <c r="E359" s="38" t="s">
        <v>169</v>
      </c>
      <c r="F359" s="38" t="s">
        <v>136</v>
      </c>
      <c r="G359" s="266">
        <v>3263.75</v>
      </c>
      <c r="H359" s="264">
        <f t="shared" si="10"/>
        <v>9</v>
      </c>
    </row>
    <row r="360" spans="1:8" x14ac:dyDescent="0.35">
      <c r="A360" s="38" t="s">
        <v>196</v>
      </c>
      <c r="B360" s="38" t="s">
        <v>281</v>
      </c>
      <c r="C360" s="38" t="s">
        <v>282</v>
      </c>
      <c r="D360" s="38" t="s">
        <v>381</v>
      </c>
      <c r="E360" s="38" t="s">
        <v>169</v>
      </c>
      <c r="F360" s="38" t="s">
        <v>136</v>
      </c>
      <c r="G360" s="266">
        <v>3263.75</v>
      </c>
      <c r="H360" s="264">
        <f t="shared" si="10"/>
        <v>10</v>
      </c>
    </row>
    <row r="361" spans="1:8" x14ac:dyDescent="0.35">
      <c r="A361" s="38" t="s">
        <v>196</v>
      </c>
      <c r="B361" s="38" t="s">
        <v>281</v>
      </c>
      <c r="C361" s="38" t="s">
        <v>282</v>
      </c>
      <c r="D361" s="38" t="s">
        <v>382</v>
      </c>
      <c r="E361" s="38" t="s">
        <v>169</v>
      </c>
      <c r="F361" s="38" t="s">
        <v>136</v>
      </c>
      <c r="G361" s="266">
        <v>3263.75</v>
      </c>
      <c r="H361" s="264">
        <f t="shared" si="10"/>
        <v>11</v>
      </c>
    </row>
    <row r="362" spans="1:8" x14ac:dyDescent="0.35">
      <c r="A362" s="38" t="s">
        <v>196</v>
      </c>
      <c r="B362" s="38" t="s">
        <v>281</v>
      </c>
      <c r="C362" s="38" t="s">
        <v>282</v>
      </c>
      <c r="D362" s="38" t="s">
        <v>383</v>
      </c>
      <c r="E362" s="38" t="s">
        <v>169</v>
      </c>
      <c r="F362" s="38" t="s">
        <v>136</v>
      </c>
      <c r="G362" s="266">
        <v>3263.75</v>
      </c>
      <c r="H362" s="264">
        <f t="shared" si="10"/>
        <v>12</v>
      </c>
    </row>
    <row r="363" spans="1:8" x14ac:dyDescent="0.35">
      <c r="A363" s="38" t="s">
        <v>196</v>
      </c>
      <c r="B363" s="38" t="s">
        <v>253</v>
      </c>
      <c r="C363" s="38" t="s">
        <v>339</v>
      </c>
      <c r="D363" s="38" t="s">
        <v>372</v>
      </c>
      <c r="E363" s="38" t="s">
        <v>169</v>
      </c>
      <c r="F363" s="38" t="s">
        <v>136</v>
      </c>
      <c r="G363" s="268">
        <v>575</v>
      </c>
      <c r="H363" s="264">
        <f t="shared" si="10"/>
        <v>1</v>
      </c>
    </row>
    <row r="364" spans="1:8" x14ac:dyDescent="0.35">
      <c r="A364" s="38" t="s">
        <v>196</v>
      </c>
      <c r="B364" s="38" t="s">
        <v>253</v>
      </c>
      <c r="C364" s="38" t="s">
        <v>339</v>
      </c>
      <c r="D364" s="38" t="s">
        <v>372</v>
      </c>
      <c r="E364" s="38" t="s">
        <v>169</v>
      </c>
      <c r="F364" s="38" t="s">
        <v>136</v>
      </c>
      <c r="G364" s="266">
        <v>6150</v>
      </c>
      <c r="H364" s="264">
        <f t="shared" si="10"/>
        <v>1</v>
      </c>
    </row>
    <row r="365" spans="1:8" x14ac:dyDescent="0.35">
      <c r="A365" s="38" t="s">
        <v>196</v>
      </c>
      <c r="B365" s="38" t="s">
        <v>253</v>
      </c>
      <c r="C365" s="38" t="s">
        <v>339</v>
      </c>
      <c r="D365" s="38" t="s">
        <v>373</v>
      </c>
      <c r="E365" s="38" t="s">
        <v>169</v>
      </c>
      <c r="F365" s="38" t="s">
        <v>136</v>
      </c>
      <c r="G365" s="268">
        <v>575</v>
      </c>
      <c r="H365" s="264">
        <f t="shared" si="10"/>
        <v>2</v>
      </c>
    </row>
    <row r="366" spans="1:8" x14ac:dyDescent="0.35">
      <c r="A366" s="38" t="s">
        <v>196</v>
      </c>
      <c r="B366" s="38" t="s">
        <v>253</v>
      </c>
      <c r="C366" s="38" t="s">
        <v>339</v>
      </c>
      <c r="D366" s="38" t="s">
        <v>373</v>
      </c>
      <c r="E366" s="38" t="s">
        <v>169</v>
      </c>
      <c r="F366" s="38" t="s">
        <v>136</v>
      </c>
      <c r="G366" s="266">
        <v>6150</v>
      </c>
      <c r="H366" s="264">
        <f>IF(D366="",0,MONTH(D366))</f>
        <v>2</v>
      </c>
    </row>
    <row r="367" spans="1:8" x14ac:dyDescent="0.35">
      <c r="A367" s="38" t="s">
        <v>196</v>
      </c>
      <c r="B367" s="38" t="s">
        <v>253</v>
      </c>
      <c r="C367" s="38" t="s">
        <v>339</v>
      </c>
      <c r="D367" s="38" t="s">
        <v>374</v>
      </c>
      <c r="E367" s="38" t="s">
        <v>169</v>
      </c>
      <c r="F367" s="38" t="s">
        <v>136</v>
      </c>
      <c r="G367" s="268">
        <v>575</v>
      </c>
      <c r="H367" s="264">
        <f>IF(D367="",0,MONTH(D367))</f>
        <v>3</v>
      </c>
    </row>
    <row r="368" spans="1:8" x14ac:dyDescent="0.35">
      <c r="A368" s="38" t="s">
        <v>196</v>
      </c>
      <c r="B368" s="38" t="s">
        <v>253</v>
      </c>
      <c r="C368" s="38" t="s">
        <v>339</v>
      </c>
      <c r="D368" s="38" t="s">
        <v>374</v>
      </c>
      <c r="E368" s="38" t="s">
        <v>169</v>
      </c>
      <c r="F368" s="38" t="s">
        <v>136</v>
      </c>
      <c r="G368" s="266">
        <v>6150</v>
      </c>
      <c r="H368" s="264">
        <f>IF(D368="",0,MONTH(D368))</f>
        <v>3</v>
      </c>
    </row>
    <row r="369" spans="1:8" x14ac:dyDescent="0.35">
      <c r="A369" s="38" t="s">
        <v>196</v>
      </c>
      <c r="B369" s="38" t="s">
        <v>253</v>
      </c>
      <c r="C369" s="38" t="s">
        <v>339</v>
      </c>
      <c r="D369" s="38" t="s">
        <v>375</v>
      </c>
      <c r="E369" s="38" t="s">
        <v>169</v>
      </c>
      <c r="F369" s="38" t="s">
        <v>136</v>
      </c>
      <c r="G369" s="268">
        <v>575</v>
      </c>
      <c r="H369" s="264">
        <f>IF(D369="",0,MONTH(D369))</f>
        <v>4</v>
      </c>
    </row>
    <row r="370" spans="1:8" s="130" customFormat="1" x14ac:dyDescent="0.35">
      <c r="A370" s="38" t="s">
        <v>196</v>
      </c>
      <c r="B370" s="38" t="s">
        <v>253</v>
      </c>
      <c r="C370" s="38" t="s">
        <v>339</v>
      </c>
      <c r="D370" s="38" t="s">
        <v>375</v>
      </c>
      <c r="E370" s="38" t="s">
        <v>169</v>
      </c>
      <c r="F370" s="38" t="s">
        <v>136</v>
      </c>
      <c r="G370" s="266">
        <v>6150</v>
      </c>
      <c r="H370" s="264">
        <f t="shared" ref="H370:H381" si="11">IF(D370="",0,MONTH(D370))</f>
        <v>4</v>
      </c>
    </row>
    <row r="371" spans="1:8" s="130" customFormat="1" x14ac:dyDescent="0.35">
      <c r="A371" s="38" t="s">
        <v>196</v>
      </c>
      <c r="B371" s="38" t="s">
        <v>253</v>
      </c>
      <c r="C371" s="38" t="s">
        <v>339</v>
      </c>
      <c r="D371" s="38" t="s">
        <v>376</v>
      </c>
      <c r="E371" s="38" t="s">
        <v>169</v>
      </c>
      <c r="F371" s="38" t="s">
        <v>136</v>
      </c>
      <c r="G371" s="268">
        <v>575</v>
      </c>
      <c r="H371" s="264">
        <f t="shared" si="11"/>
        <v>5</v>
      </c>
    </row>
    <row r="372" spans="1:8" s="130" customFormat="1" x14ac:dyDescent="0.35">
      <c r="A372" s="38" t="s">
        <v>196</v>
      </c>
      <c r="B372" s="38" t="s">
        <v>253</v>
      </c>
      <c r="C372" s="38" t="s">
        <v>339</v>
      </c>
      <c r="D372" s="38" t="s">
        <v>376</v>
      </c>
      <c r="E372" s="38" t="s">
        <v>169</v>
      </c>
      <c r="F372" s="38" t="s">
        <v>136</v>
      </c>
      <c r="G372" s="266">
        <v>6150</v>
      </c>
      <c r="H372" s="264">
        <f t="shared" si="11"/>
        <v>5</v>
      </c>
    </row>
    <row r="373" spans="1:8" s="130" customFormat="1" x14ac:dyDescent="0.35">
      <c r="A373" s="38" t="s">
        <v>196</v>
      </c>
      <c r="B373" s="38" t="s">
        <v>253</v>
      </c>
      <c r="C373" s="38" t="s">
        <v>339</v>
      </c>
      <c r="D373" s="38" t="s">
        <v>377</v>
      </c>
      <c r="E373" s="38" t="s">
        <v>169</v>
      </c>
      <c r="F373" s="38" t="s">
        <v>136</v>
      </c>
      <c r="G373" s="268">
        <v>575</v>
      </c>
      <c r="H373" s="264">
        <f t="shared" si="11"/>
        <v>6</v>
      </c>
    </row>
    <row r="374" spans="1:8" s="130" customFormat="1" x14ac:dyDescent="0.35">
      <c r="A374" s="38" t="s">
        <v>196</v>
      </c>
      <c r="B374" s="38" t="s">
        <v>253</v>
      </c>
      <c r="C374" s="38" t="s">
        <v>339</v>
      </c>
      <c r="D374" s="38" t="s">
        <v>377</v>
      </c>
      <c r="E374" s="38" t="s">
        <v>169</v>
      </c>
      <c r="F374" s="38" t="s">
        <v>136</v>
      </c>
      <c r="G374" s="266">
        <v>6150</v>
      </c>
      <c r="H374" s="264">
        <f t="shared" si="11"/>
        <v>6</v>
      </c>
    </row>
    <row r="375" spans="1:8" s="130" customFormat="1" x14ac:dyDescent="0.35">
      <c r="A375" s="38" t="s">
        <v>196</v>
      </c>
      <c r="B375" s="38" t="s">
        <v>253</v>
      </c>
      <c r="C375" s="38" t="s">
        <v>339</v>
      </c>
      <c r="D375" s="38" t="s">
        <v>378</v>
      </c>
      <c r="E375" s="38" t="s">
        <v>169</v>
      </c>
      <c r="F375" s="38" t="s">
        <v>136</v>
      </c>
      <c r="G375" s="268">
        <v>575</v>
      </c>
      <c r="H375" s="264">
        <f t="shared" si="11"/>
        <v>7</v>
      </c>
    </row>
    <row r="376" spans="1:8" s="130" customFormat="1" x14ac:dyDescent="0.35">
      <c r="A376" s="38" t="s">
        <v>196</v>
      </c>
      <c r="B376" s="38" t="s">
        <v>253</v>
      </c>
      <c r="C376" s="38" t="s">
        <v>339</v>
      </c>
      <c r="D376" s="38" t="s">
        <v>378</v>
      </c>
      <c r="E376" s="38" t="s">
        <v>169</v>
      </c>
      <c r="F376" s="38" t="s">
        <v>136</v>
      </c>
      <c r="G376" s="266">
        <v>6150</v>
      </c>
      <c r="H376" s="264">
        <f t="shared" si="11"/>
        <v>7</v>
      </c>
    </row>
    <row r="377" spans="1:8" s="130" customFormat="1" x14ac:dyDescent="0.35">
      <c r="A377" s="38" t="s">
        <v>196</v>
      </c>
      <c r="B377" s="38" t="s">
        <v>253</v>
      </c>
      <c r="C377" s="38" t="s">
        <v>339</v>
      </c>
      <c r="D377" s="38" t="s">
        <v>379</v>
      </c>
      <c r="E377" s="38" t="s">
        <v>169</v>
      </c>
      <c r="F377" s="38" t="s">
        <v>136</v>
      </c>
      <c r="G377" s="268">
        <v>575</v>
      </c>
      <c r="H377" s="264">
        <f t="shared" si="11"/>
        <v>8</v>
      </c>
    </row>
    <row r="378" spans="1:8" s="130" customFormat="1" x14ac:dyDescent="0.35">
      <c r="A378" s="38" t="s">
        <v>196</v>
      </c>
      <c r="B378" s="38" t="s">
        <v>253</v>
      </c>
      <c r="C378" s="38" t="s">
        <v>339</v>
      </c>
      <c r="D378" s="38" t="s">
        <v>379</v>
      </c>
      <c r="E378" s="38" t="s">
        <v>169</v>
      </c>
      <c r="F378" s="38" t="s">
        <v>136</v>
      </c>
      <c r="G378" s="266">
        <v>6150</v>
      </c>
      <c r="H378" s="264">
        <f t="shared" si="11"/>
        <v>8</v>
      </c>
    </row>
    <row r="379" spans="1:8" s="130" customFormat="1" x14ac:dyDescent="0.35">
      <c r="A379" s="38" t="s">
        <v>196</v>
      </c>
      <c r="B379" s="38" t="s">
        <v>253</v>
      </c>
      <c r="C379" s="38" t="s">
        <v>339</v>
      </c>
      <c r="D379" s="38" t="s">
        <v>380</v>
      </c>
      <c r="E379" s="38" t="s">
        <v>169</v>
      </c>
      <c r="F379" s="38" t="s">
        <v>136</v>
      </c>
      <c r="G379" s="268">
        <v>575</v>
      </c>
      <c r="H379" s="264">
        <f t="shared" si="11"/>
        <v>9</v>
      </c>
    </row>
    <row r="380" spans="1:8" s="130" customFormat="1" x14ac:dyDescent="0.35">
      <c r="A380" s="38" t="s">
        <v>196</v>
      </c>
      <c r="B380" s="38" t="s">
        <v>253</v>
      </c>
      <c r="C380" s="38" t="s">
        <v>339</v>
      </c>
      <c r="D380" s="38" t="s">
        <v>380</v>
      </c>
      <c r="E380" s="38" t="s">
        <v>169</v>
      </c>
      <c r="F380" s="38" t="s">
        <v>136</v>
      </c>
      <c r="G380" s="266">
        <v>6150</v>
      </c>
      <c r="H380" s="264">
        <f t="shared" si="11"/>
        <v>9</v>
      </c>
    </row>
    <row r="381" spans="1:8" s="130" customFormat="1" x14ac:dyDescent="0.35">
      <c r="A381" s="38" t="s">
        <v>196</v>
      </c>
      <c r="B381" s="38" t="s">
        <v>283</v>
      </c>
      <c r="C381" s="38" t="s">
        <v>284</v>
      </c>
      <c r="D381" s="38" t="s">
        <v>372</v>
      </c>
      <c r="E381" s="38" t="s">
        <v>169</v>
      </c>
      <c r="F381" s="38" t="s">
        <v>136</v>
      </c>
      <c r="G381" s="266">
        <v>2189.17</v>
      </c>
      <c r="H381" s="264">
        <f t="shared" si="11"/>
        <v>1</v>
      </c>
    </row>
    <row r="382" spans="1:8" x14ac:dyDescent="0.35">
      <c r="A382" s="38" t="s">
        <v>196</v>
      </c>
      <c r="B382" s="38" t="s">
        <v>283</v>
      </c>
      <c r="C382" s="38" t="s">
        <v>284</v>
      </c>
      <c r="D382" s="38" t="s">
        <v>373</v>
      </c>
      <c r="E382" s="38" t="s">
        <v>169</v>
      </c>
      <c r="F382" s="38" t="s">
        <v>136</v>
      </c>
      <c r="G382" s="266">
        <v>2189.17</v>
      </c>
      <c r="H382" s="264">
        <f>IF(D382="",0,MONTH(D382))</f>
        <v>2</v>
      </c>
    </row>
    <row r="383" spans="1:8" x14ac:dyDescent="0.35">
      <c r="A383" s="38" t="s">
        <v>196</v>
      </c>
      <c r="B383" s="38" t="s">
        <v>283</v>
      </c>
      <c r="C383" s="38" t="s">
        <v>284</v>
      </c>
      <c r="D383" s="38" t="s">
        <v>374</v>
      </c>
      <c r="E383" s="38" t="s">
        <v>169</v>
      </c>
      <c r="F383" s="38" t="s">
        <v>136</v>
      </c>
      <c r="G383" s="266">
        <v>2189.17</v>
      </c>
      <c r="H383" s="264">
        <f t="shared" si="10"/>
        <v>3</v>
      </c>
    </row>
    <row r="384" spans="1:8" x14ac:dyDescent="0.35">
      <c r="A384" s="38" t="s">
        <v>196</v>
      </c>
      <c r="B384" s="38" t="s">
        <v>307</v>
      </c>
      <c r="C384" s="38" t="s">
        <v>326</v>
      </c>
      <c r="D384" s="38" t="s">
        <v>372</v>
      </c>
      <c r="E384" s="38" t="s">
        <v>169</v>
      </c>
      <c r="F384" s="38" t="s">
        <v>136</v>
      </c>
      <c r="G384" s="266">
        <v>3111.88</v>
      </c>
      <c r="H384" s="264">
        <f t="shared" si="10"/>
        <v>1</v>
      </c>
    </row>
    <row r="385" spans="1:8" x14ac:dyDescent="0.35">
      <c r="A385" s="38" t="s">
        <v>196</v>
      </c>
      <c r="B385" s="38" t="s">
        <v>307</v>
      </c>
      <c r="C385" s="38" t="s">
        <v>326</v>
      </c>
      <c r="D385" s="38" t="s">
        <v>373</v>
      </c>
      <c r="E385" s="38" t="s">
        <v>169</v>
      </c>
      <c r="F385" s="38" t="s">
        <v>136</v>
      </c>
      <c r="G385" s="266">
        <v>3111.88</v>
      </c>
      <c r="H385" s="264">
        <f t="shared" si="10"/>
        <v>2</v>
      </c>
    </row>
    <row r="386" spans="1:8" x14ac:dyDescent="0.35">
      <c r="A386" s="38" t="s">
        <v>196</v>
      </c>
      <c r="B386" s="38" t="s">
        <v>307</v>
      </c>
      <c r="C386" s="38" t="s">
        <v>326</v>
      </c>
      <c r="D386" s="38" t="s">
        <v>374</v>
      </c>
      <c r="E386" s="38" t="s">
        <v>169</v>
      </c>
      <c r="F386" s="38" t="s">
        <v>136</v>
      </c>
      <c r="G386" s="266">
        <v>3111.88</v>
      </c>
      <c r="H386" s="264">
        <f t="shared" si="10"/>
        <v>3</v>
      </c>
    </row>
    <row r="387" spans="1:8" x14ac:dyDescent="0.35">
      <c r="A387" s="38" t="s">
        <v>196</v>
      </c>
      <c r="B387" s="38" t="s">
        <v>307</v>
      </c>
      <c r="C387" s="38" t="s">
        <v>326</v>
      </c>
      <c r="D387" s="38" t="s">
        <v>375</v>
      </c>
      <c r="E387" s="38" t="s">
        <v>169</v>
      </c>
      <c r="F387" s="38" t="s">
        <v>136</v>
      </c>
      <c r="G387" s="266">
        <v>3111.88</v>
      </c>
      <c r="H387" s="264">
        <f t="shared" si="10"/>
        <v>4</v>
      </c>
    </row>
    <row r="388" spans="1:8" x14ac:dyDescent="0.35">
      <c r="A388" s="38" t="s">
        <v>196</v>
      </c>
      <c r="B388" s="38" t="s">
        <v>307</v>
      </c>
      <c r="C388" s="38" t="s">
        <v>326</v>
      </c>
      <c r="D388" s="38" t="s">
        <v>376</v>
      </c>
      <c r="E388" s="38" t="s">
        <v>169</v>
      </c>
      <c r="F388" s="38" t="s">
        <v>136</v>
      </c>
      <c r="G388" s="266">
        <v>3111.88</v>
      </c>
      <c r="H388" s="264">
        <f t="shared" si="10"/>
        <v>5</v>
      </c>
    </row>
    <row r="389" spans="1:8" x14ac:dyDescent="0.35">
      <c r="A389" s="38" t="s">
        <v>196</v>
      </c>
      <c r="B389" s="38" t="s">
        <v>307</v>
      </c>
      <c r="C389" s="38" t="s">
        <v>326</v>
      </c>
      <c r="D389" s="38" t="s">
        <v>377</v>
      </c>
      <c r="E389" s="38" t="s">
        <v>169</v>
      </c>
      <c r="F389" s="38" t="s">
        <v>136</v>
      </c>
      <c r="G389" s="266">
        <v>3111.88</v>
      </c>
      <c r="H389" s="264">
        <f t="shared" si="10"/>
        <v>6</v>
      </c>
    </row>
    <row r="390" spans="1:8" x14ac:dyDescent="0.35">
      <c r="A390" s="38" t="s">
        <v>196</v>
      </c>
      <c r="B390" s="38" t="s">
        <v>307</v>
      </c>
      <c r="C390" s="38" t="s">
        <v>326</v>
      </c>
      <c r="D390" s="38" t="s">
        <v>378</v>
      </c>
      <c r="E390" s="38" t="s">
        <v>169</v>
      </c>
      <c r="F390" s="38" t="s">
        <v>136</v>
      </c>
      <c r="G390" s="266">
        <v>3111.88</v>
      </c>
      <c r="H390" s="264">
        <f t="shared" si="10"/>
        <v>7</v>
      </c>
    </row>
    <row r="391" spans="1:8" x14ac:dyDescent="0.35">
      <c r="A391" s="38" t="s">
        <v>196</v>
      </c>
      <c r="B391" s="38" t="s">
        <v>307</v>
      </c>
      <c r="C391" s="38" t="s">
        <v>326</v>
      </c>
      <c r="D391" s="38" t="s">
        <v>379</v>
      </c>
      <c r="E391" s="38" t="s">
        <v>169</v>
      </c>
      <c r="F391" s="38" t="s">
        <v>136</v>
      </c>
      <c r="G391" s="266">
        <v>3111.88</v>
      </c>
      <c r="H391" s="264">
        <f t="shared" si="10"/>
        <v>8</v>
      </c>
    </row>
    <row r="392" spans="1:8" x14ac:dyDescent="0.35">
      <c r="A392" s="38" t="s">
        <v>196</v>
      </c>
      <c r="B392" s="38" t="s">
        <v>307</v>
      </c>
      <c r="C392" s="38" t="s">
        <v>326</v>
      </c>
      <c r="D392" s="38" t="s">
        <v>380</v>
      </c>
      <c r="E392" s="38" t="s">
        <v>169</v>
      </c>
      <c r="F392" s="38" t="s">
        <v>136</v>
      </c>
      <c r="G392" s="266">
        <v>3111.88</v>
      </c>
      <c r="H392" s="264">
        <f t="shared" si="10"/>
        <v>9</v>
      </c>
    </row>
    <row r="393" spans="1:8" x14ac:dyDescent="0.35">
      <c r="A393" s="38" t="s">
        <v>196</v>
      </c>
      <c r="B393" s="38" t="s">
        <v>307</v>
      </c>
      <c r="C393" s="38" t="s">
        <v>326</v>
      </c>
      <c r="D393" s="38" t="s">
        <v>381</v>
      </c>
      <c r="E393" s="38" t="s">
        <v>169</v>
      </c>
      <c r="F393" s="38" t="s">
        <v>136</v>
      </c>
      <c r="G393" s="266">
        <v>3111.88</v>
      </c>
      <c r="H393" s="264">
        <f t="shared" si="10"/>
        <v>10</v>
      </c>
    </row>
    <row r="394" spans="1:8" x14ac:dyDescent="0.35">
      <c r="A394" s="38" t="s">
        <v>196</v>
      </c>
      <c r="B394" s="38" t="s">
        <v>307</v>
      </c>
      <c r="C394" s="38" t="s">
        <v>326</v>
      </c>
      <c r="D394" s="38" t="s">
        <v>382</v>
      </c>
      <c r="E394" s="38" t="s">
        <v>169</v>
      </c>
      <c r="F394" s="38" t="s">
        <v>136</v>
      </c>
      <c r="G394" s="266">
        <v>3111.88</v>
      </c>
      <c r="H394" s="264">
        <f t="shared" si="10"/>
        <v>11</v>
      </c>
    </row>
    <row r="395" spans="1:8" x14ac:dyDescent="0.35">
      <c r="A395" s="38" t="s">
        <v>196</v>
      </c>
      <c r="B395" s="38" t="s">
        <v>307</v>
      </c>
      <c r="C395" s="38" t="s">
        <v>326</v>
      </c>
      <c r="D395" s="38" t="s">
        <v>383</v>
      </c>
      <c r="E395" s="38" t="s">
        <v>169</v>
      </c>
      <c r="F395" s="38" t="s">
        <v>136</v>
      </c>
      <c r="G395" s="266">
        <v>3111.88</v>
      </c>
      <c r="H395" s="264">
        <f t="shared" si="10"/>
        <v>12</v>
      </c>
    </row>
    <row r="396" spans="1:8" x14ac:dyDescent="0.35">
      <c r="A396" s="38" t="s">
        <v>196</v>
      </c>
      <c r="B396" s="38" t="s">
        <v>285</v>
      </c>
      <c r="C396" s="38" t="s">
        <v>286</v>
      </c>
      <c r="D396" s="38" t="s">
        <v>372</v>
      </c>
      <c r="E396" s="38" t="s">
        <v>169</v>
      </c>
      <c r="F396" s="38" t="s">
        <v>136</v>
      </c>
      <c r="G396" s="266">
        <v>2253.92</v>
      </c>
      <c r="H396" s="264">
        <f t="shared" si="10"/>
        <v>1</v>
      </c>
    </row>
    <row r="397" spans="1:8" x14ac:dyDescent="0.35">
      <c r="A397" s="38" t="s">
        <v>196</v>
      </c>
      <c r="B397" s="38" t="s">
        <v>285</v>
      </c>
      <c r="C397" s="38" t="s">
        <v>286</v>
      </c>
      <c r="D397" s="38" t="s">
        <v>373</v>
      </c>
      <c r="E397" s="38" t="s">
        <v>169</v>
      </c>
      <c r="F397" s="38" t="s">
        <v>136</v>
      </c>
      <c r="G397" s="266">
        <v>2253.92</v>
      </c>
      <c r="H397" s="264">
        <f t="shared" si="10"/>
        <v>2</v>
      </c>
    </row>
    <row r="398" spans="1:8" x14ac:dyDescent="0.35">
      <c r="A398" s="38" t="s">
        <v>196</v>
      </c>
      <c r="B398" s="38" t="s">
        <v>285</v>
      </c>
      <c r="C398" s="38" t="s">
        <v>286</v>
      </c>
      <c r="D398" s="38" t="s">
        <v>374</v>
      </c>
      <c r="E398" s="38" t="s">
        <v>169</v>
      </c>
      <c r="F398" s="38" t="s">
        <v>136</v>
      </c>
      <c r="G398" s="266">
        <v>2253.92</v>
      </c>
      <c r="H398" s="264">
        <f t="shared" si="10"/>
        <v>3</v>
      </c>
    </row>
    <row r="399" spans="1:8" x14ac:dyDescent="0.35">
      <c r="A399" s="38" t="s">
        <v>196</v>
      </c>
      <c r="B399" s="38" t="s">
        <v>198</v>
      </c>
      <c r="C399" s="38" t="s">
        <v>199</v>
      </c>
      <c r="D399" s="38" t="s">
        <v>372</v>
      </c>
      <c r="E399" s="38" t="s">
        <v>169</v>
      </c>
      <c r="F399" s="38" t="s">
        <v>136</v>
      </c>
      <c r="G399" s="266">
        <v>14986.69</v>
      </c>
      <c r="H399" s="264">
        <f t="shared" si="10"/>
        <v>1</v>
      </c>
    </row>
    <row r="400" spans="1:8" x14ac:dyDescent="0.35">
      <c r="A400" s="38" t="s">
        <v>196</v>
      </c>
      <c r="B400" s="38" t="s">
        <v>198</v>
      </c>
      <c r="C400" s="38" t="s">
        <v>199</v>
      </c>
      <c r="D400" s="38" t="s">
        <v>373</v>
      </c>
      <c r="E400" s="38" t="s">
        <v>169</v>
      </c>
      <c r="F400" s="38" t="s">
        <v>136</v>
      </c>
      <c r="G400" s="266">
        <v>14986.69</v>
      </c>
      <c r="H400" s="264">
        <f t="shared" si="10"/>
        <v>2</v>
      </c>
    </row>
    <row r="401" spans="1:8" x14ac:dyDescent="0.35">
      <c r="A401" s="38" t="s">
        <v>196</v>
      </c>
      <c r="B401" s="38" t="s">
        <v>198</v>
      </c>
      <c r="C401" s="38" t="s">
        <v>199</v>
      </c>
      <c r="D401" s="38" t="s">
        <v>374</v>
      </c>
      <c r="E401" s="38" t="s">
        <v>169</v>
      </c>
      <c r="F401" s="38" t="s">
        <v>136</v>
      </c>
      <c r="G401" s="266">
        <v>14986.69</v>
      </c>
      <c r="H401" s="264">
        <f t="shared" si="10"/>
        <v>3</v>
      </c>
    </row>
    <row r="402" spans="1:8" x14ac:dyDescent="0.35">
      <c r="A402" s="38" t="s">
        <v>196</v>
      </c>
      <c r="B402" s="38" t="s">
        <v>198</v>
      </c>
      <c r="C402" s="38" t="s">
        <v>199</v>
      </c>
      <c r="D402" s="38" t="s">
        <v>375</v>
      </c>
      <c r="E402" s="38" t="s">
        <v>169</v>
      </c>
      <c r="F402" s="38" t="s">
        <v>136</v>
      </c>
      <c r="G402" s="266">
        <v>14986.69</v>
      </c>
      <c r="H402" s="264">
        <f t="shared" si="10"/>
        <v>4</v>
      </c>
    </row>
    <row r="403" spans="1:8" x14ac:dyDescent="0.35">
      <c r="A403" s="38" t="s">
        <v>196</v>
      </c>
      <c r="B403" s="38" t="s">
        <v>198</v>
      </c>
      <c r="C403" s="38" t="s">
        <v>199</v>
      </c>
      <c r="D403" s="38" t="s">
        <v>376</v>
      </c>
      <c r="E403" s="38" t="s">
        <v>169</v>
      </c>
      <c r="F403" s="38" t="s">
        <v>136</v>
      </c>
      <c r="G403" s="266">
        <v>14986.69</v>
      </c>
      <c r="H403" s="264">
        <f t="shared" si="10"/>
        <v>5</v>
      </c>
    </row>
    <row r="404" spans="1:8" x14ac:dyDescent="0.35">
      <c r="A404" s="38" t="s">
        <v>196</v>
      </c>
      <c r="B404" s="38" t="s">
        <v>198</v>
      </c>
      <c r="C404" s="38" t="s">
        <v>199</v>
      </c>
      <c r="D404" s="38" t="s">
        <v>377</v>
      </c>
      <c r="E404" s="38" t="s">
        <v>169</v>
      </c>
      <c r="F404" s="38" t="s">
        <v>136</v>
      </c>
      <c r="G404" s="266">
        <v>14986.69</v>
      </c>
      <c r="H404" s="264">
        <f t="shared" si="10"/>
        <v>6</v>
      </c>
    </row>
    <row r="405" spans="1:8" x14ac:dyDescent="0.35">
      <c r="A405" s="38" t="s">
        <v>196</v>
      </c>
      <c r="B405" s="38" t="s">
        <v>198</v>
      </c>
      <c r="C405" s="38" t="s">
        <v>199</v>
      </c>
      <c r="D405" s="38" t="s">
        <v>378</v>
      </c>
      <c r="E405" s="38" t="s">
        <v>169</v>
      </c>
      <c r="F405" s="38" t="s">
        <v>136</v>
      </c>
      <c r="G405" s="266">
        <v>14986.69</v>
      </c>
      <c r="H405" s="264">
        <f t="shared" si="10"/>
        <v>7</v>
      </c>
    </row>
    <row r="406" spans="1:8" x14ac:dyDescent="0.35">
      <c r="A406" s="38" t="s">
        <v>196</v>
      </c>
      <c r="B406" s="38" t="s">
        <v>198</v>
      </c>
      <c r="C406" s="38" t="s">
        <v>199</v>
      </c>
      <c r="D406" s="38" t="s">
        <v>379</v>
      </c>
      <c r="E406" s="38" t="s">
        <v>169</v>
      </c>
      <c r="F406" s="38" t="s">
        <v>136</v>
      </c>
      <c r="G406" s="266">
        <v>14986.69</v>
      </c>
      <c r="H406" s="264">
        <f t="shared" si="10"/>
        <v>8</v>
      </c>
    </row>
    <row r="407" spans="1:8" x14ac:dyDescent="0.35">
      <c r="A407" s="38" t="s">
        <v>196</v>
      </c>
      <c r="B407" s="38" t="s">
        <v>198</v>
      </c>
      <c r="C407" s="38" t="s">
        <v>199</v>
      </c>
      <c r="D407" s="38" t="s">
        <v>380</v>
      </c>
      <c r="E407" s="38" t="s">
        <v>169</v>
      </c>
      <c r="F407" s="38" t="s">
        <v>136</v>
      </c>
      <c r="G407" s="266">
        <v>14986.69</v>
      </c>
      <c r="H407" s="264">
        <f t="shared" si="10"/>
        <v>9</v>
      </c>
    </row>
    <row r="408" spans="1:8" x14ac:dyDescent="0.35">
      <c r="A408" s="38" t="s">
        <v>196</v>
      </c>
      <c r="B408" s="38" t="s">
        <v>198</v>
      </c>
      <c r="C408" s="38" t="s">
        <v>199</v>
      </c>
      <c r="D408" s="38" t="s">
        <v>381</v>
      </c>
      <c r="E408" s="38" t="s">
        <v>169</v>
      </c>
      <c r="F408" s="38" t="s">
        <v>136</v>
      </c>
      <c r="G408" s="266">
        <v>14986.69</v>
      </c>
      <c r="H408" s="264">
        <f t="shared" si="10"/>
        <v>10</v>
      </c>
    </row>
    <row r="409" spans="1:8" x14ac:dyDescent="0.35">
      <c r="A409" s="38" t="s">
        <v>196</v>
      </c>
      <c r="B409" s="38" t="s">
        <v>198</v>
      </c>
      <c r="C409" s="38" t="s">
        <v>199</v>
      </c>
      <c r="D409" s="38" t="s">
        <v>382</v>
      </c>
      <c r="E409" s="38" t="s">
        <v>169</v>
      </c>
      <c r="F409" s="38" t="s">
        <v>136</v>
      </c>
      <c r="G409" s="266">
        <v>14986.69</v>
      </c>
      <c r="H409" s="264">
        <f t="shared" si="10"/>
        <v>11</v>
      </c>
    </row>
    <row r="410" spans="1:8" x14ac:dyDescent="0.35">
      <c r="A410" s="38" t="s">
        <v>196</v>
      </c>
      <c r="B410" s="38" t="s">
        <v>198</v>
      </c>
      <c r="C410" s="38" t="s">
        <v>199</v>
      </c>
      <c r="D410" s="38" t="s">
        <v>383</v>
      </c>
      <c r="E410" s="38" t="s">
        <v>169</v>
      </c>
      <c r="F410" s="38" t="s">
        <v>136</v>
      </c>
      <c r="G410" s="266">
        <v>14986.69</v>
      </c>
      <c r="H410" s="264">
        <f t="shared" si="10"/>
        <v>12</v>
      </c>
    </row>
    <row r="411" spans="1:8" x14ac:dyDescent="0.35">
      <c r="A411" s="38" t="s">
        <v>196</v>
      </c>
      <c r="B411" s="38" t="s">
        <v>340</v>
      </c>
      <c r="C411" s="38" t="s">
        <v>341</v>
      </c>
      <c r="D411" s="38" t="s">
        <v>372</v>
      </c>
      <c r="E411" s="38" t="s">
        <v>169</v>
      </c>
      <c r="F411" s="38" t="s">
        <v>136</v>
      </c>
      <c r="G411" s="266">
        <v>8481.33</v>
      </c>
      <c r="H411" s="264">
        <f t="shared" si="10"/>
        <v>1</v>
      </c>
    </row>
    <row r="412" spans="1:8" x14ac:dyDescent="0.35">
      <c r="A412" s="38" t="s">
        <v>196</v>
      </c>
      <c r="B412" s="38" t="s">
        <v>340</v>
      </c>
      <c r="C412" s="38" t="s">
        <v>341</v>
      </c>
      <c r="D412" s="38" t="s">
        <v>373</v>
      </c>
      <c r="E412" s="38" t="s">
        <v>169</v>
      </c>
      <c r="F412" s="38" t="s">
        <v>136</v>
      </c>
      <c r="G412" s="266">
        <v>8481.33</v>
      </c>
      <c r="H412" s="264">
        <f t="shared" si="10"/>
        <v>2</v>
      </c>
    </row>
    <row r="413" spans="1:8" x14ac:dyDescent="0.35">
      <c r="A413" s="38" t="s">
        <v>196</v>
      </c>
      <c r="B413" s="38" t="s">
        <v>340</v>
      </c>
      <c r="C413" s="38" t="s">
        <v>341</v>
      </c>
      <c r="D413" s="38" t="s">
        <v>374</v>
      </c>
      <c r="E413" s="38" t="s">
        <v>169</v>
      </c>
      <c r="F413" s="38" t="s">
        <v>136</v>
      </c>
      <c r="G413" s="266">
        <v>8746.3799999999992</v>
      </c>
      <c r="H413" s="264">
        <f t="shared" si="10"/>
        <v>3</v>
      </c>
    </row>
    <row r="414" spans="1:8" x14ac:dyDescent="0.35">
      <c r="A414" s="38" t="s">
        <v>196</v>
      </c>
      <c r="B414" s="38" t="s">
        <v>340</v>
      </c>
      <c r="C414" s="38" t="s">
        <v>341</v>
      </c>
      <c r="D414" s="38" t="s">
        <v>375</v>
      </c>
      <c r="E414" s="38" t="s">
        <v>169</v>
      </c>
      <c r="F414" s="38" t="s">
        <v>136</v>
      </c>
      <c r="G414" s="266">
        <v>8746.3799999999992</v>
      </c>
      <c r="H414" s="264">
        <f t="shared" si="10"/>
        <v>4</v>
      </c>
    </row>
    <row r="415" spans="1:8" x14ac:dyDescent="0.35">
      <c r="A415" s="38" t="s">
        <v>196</v>
      </c>
      <c r="B415" s="38" t="s">
        <v>340</v>
      </c>
      <c r="C415" s="38" t="s">
        <v>341</v>
      </c>
      <c r="D415" s="38" t="s">
        <v>376</v>
      </c>
      <c r="E415" s="38" t="s">
        <v>169</v>
      </c>
      <c r="F415" s="38" t="s">
        <v>136</v>
      </c>
      <c r="G415" s="266">
        <v>8746.3799999999992</v>
      </c>
      <c r="H415" s="264">
        <f t="shared" si="10"/>
        <v>5</v>
      </c>
    </row>
    <row r="416" spans="1:8" x14ac:dyDescent="0.35">
      <c r="A416" s="38" t="s">
        <v>196</v>
      </c>
      <c r="B416" s="38" t="s">
        <v>340</v>
      </c>
      <c r="C416" s="38" t="s">
        <v>341</v>
      </c>
      <c r="D416" s="38" t="s">
        <v>377</v>
      </c>
      <c r="E416" s="38" t="s">
        <v>169</v>
      </c>
      <c r="F416" s="38" t="s">
        <v>136</v>
      </c>
      <c r="G416" s="266">
        <v>8746.3799999999992</v>
      </c>
      <c r="H416" s="264">
        <f t="shared" si="10"/>
        <v>6</v>
      </c>
    </row>
    <row r="417" spans="1:8" x14ac:dyDescent="0.35">
      <c r="A417" s="38" t="s">
        <v>196</v>
      </c>
      <c r="B417" s="38" t="s">
        <v>340</v>
      </c>
      <c r="C417" s="38" t="s">
        <v>341</v>
      </c>
      <c r="D417" s="38" t="s">
        <v>378</v>
      </c>
      <c r="E417" s="38" t="s">
        <v>169</v>
      </c>
      <c r="F417" s="38" t="s">
        <v>136</v>
      </c>
      <c r="G417" s="266">
        <v>8746.3799999999992</v>
      </c>
      <c r="H417" s="264">
        <f t="shared" si="10"/>
        <v>7</v>
      </c>
    </row>
    <row r="418" spans="1:8" s="130" customFormat="1" x14ac:dyDescent="0.35">
      <c r="A418" s="38" t="s">
        <v>196</v>
      </c>
      <c r="B418" s="38" t="s">
        <v>340</v>
      </c>
      <c r="C418" s="38" t="s">
        <v>341</v>
      </c>
      <c r="D418" s="38" t="s">
        <v>379</v>
      </c>
      <c r="E418" s="38" t="s">
        <v>169</v>
      </c>
      <c r="F418" s="38" t="s">
        <v>136</v>
      </c>
      <c r="G418" s="266">
        <v>8746.3799999999992</v>
      </c>
      <c r="H418" s="264">
        <f t="shared" ref="H418:H429" si="12">IF(D418="",0,MONTH(D418))</f>
        <v>8</v>
      </c>
    </row>
    <row r="419" spans="1:8" s="130" customFormat="1" x14ac:dyDescent="0.35">
      <c r="A419" s="38" t="s">
        <v>196</v>
      </c>
      <c r="B419" s="38" t="s">
        <v>340</v>
      </c>
      <c r="C419" s="38" t="s">
        <v>341</v>
      </c>
      <c r="D419" s="38" t="s">
        <v>380</v>
      </c>
      <c r="E419" s="38" t="s">
        <v>169</v>
      </c>
      <c r="F419" s="38" t="s">
        <v>136</v>
      </c>
      <c r="G419" s="266">
        <v>8746.3799999999992</v>
      </c>
      <c r="H419" s="264">
        <f t="shared" si="12"/>
        <v>9</v>
      </c>
    </row>
    <row r="420" spans="1:8" s="130" customFormat="1" x14ac:dyDescent="0.35">
      <c r="A420" s="38" t="s">
        <v>196</v>
      </c>
      <c r="B420" s="38" t="s">
        <v>340</v>
      </c>
      <c r="C420" s="38" t="s">
        <v>341</v>
      </c>
      <c r="D420" s="38" t="s">
        <v>381</v>
      </c>
      <c r="E420" s="38" t="s">
        <v>169</v>
      </c>
      <c r="F420" s="38" t="s">
        <v>136</v>
      </c>
      <c r="G420" s="266">
        <v>8746.3799999999992</v>
      </c>
      <c r="H420" s="264">
        <f t="shared" si="12"/>
        <v>10</v>
      </c>
    </row>
    <row r="421" spans="1:8" s="130" customFormat="1" x14ac:dyDescent="0.35">
      <c r="A421" s="38" t="s">
        <v>196</v>
      </c>
      <c r="B421" s="38" t="s">
        <v>340</v>
      </c>
      <c r="C421" s="38" t="s">
        <v>341</v>
      </c>
      <c r="D421" s="38" t="s">
        <v>382</v>
      </c>
      <c r="E421" s="38" t="s">
        <v>169</v>
      </c>
      <c r="F421" s="38" t="s">
        <v>136</v>
      </c>
      <c r="G421" s="266">
        <v>8746.3799999999992</v>
      </c>
      <c r="H421" s="264">
        <f t="shared" si="12"/>
        <v>11</v>
      </c>
    </row>
    <row r="422" spans="1:8" s="130" customFormat="1" x14ac:dyDescent="0.35">
      <c r="A422" s="38" t="s">
        <v>196</v>
      </c>
      <c r="B422" s="38" t="s">
        <v>340</v>
      </c>
      <c r="C422" s="38" t="s">
        <v>341</v>
      </c>
      <c r="D422" s="38" t="s">
        <v>383</v>
      </c>
      <c r="E422" s="38" t="s">
        <v>169</v>
      </c>
      <c r="F422" s="38" t="s">
        <v>136</v>
      </c>
      <c r="G422" s="266">
        <v>8746.3799999999992</v>
      </c>
      <c r="H422" s="264">
        <f t="shared" si="12"/>
        <v>12</v>
      </c>
    </row>
    <row r="423" spans="1:8" s="130" customFormat="1" x14ac:dyDescent="0.35">
      <c r="A423" s="38" t="s">
        <v>196</v>
      </c>
      <c r="B423" s="38" t="s">
        <v>200</v>
      </c>
      <c r="C423" s="38" t="s">
        <v>201</v>
      </c>
      <c r="D423" s="38" t="s">
        <v>372</v>
      </c>
      <c r="E423" s="38" t="s">
        <v>169</v>
      </c>
      <c r="F423" s="38" t="s">
        <v>136</v>
      </c>
      <c r="G423" s="266">
        <v>8210</v>
      </c>
      <c r="H423" s="264">
        <f t="shared" si="12"/>
        <v>1</v>
      </c>
    </row>
    <row r="424" spans="1:8" s="130" customFormat="1" x14ac:dyDescent="0.35">
      <c r="A424" s="38" t="s">
        <v>196</v>
      </c>
      <c r="B424" s="38" t="s">
        <v>200</v>
      </c>
      <c r="C424" s="38" t="s">
        <v>201</v>
      </c>
      <c r="D424" s="38" t="s">
        <v>373</v>
      </c>
      <c r="E424" s="38" t="s">
        <v>169</v>
      </c>
      <c r="F424" s="38" t="s">
        <v>136</v>
      </c>
      <c r="G424" s="266">
        <v>8210</v>
      </c>
      <c r="H424" s="264">
        <f t="shared" si="12"/>
        <v>2</v>
      </c>
    </row>
    <row r="425" spans="1:8" s="130" customFormat="1" x14ac:dyDescent="0.35">
      <c r="A425" s="38" t="s">
        <v>196</v>
      </c>
      <c r="B425" s="38" t="s">
        <v>200</v>
      </c>
      <c r="C425" s="38" t="s">
        <v>201</v>
      </c>
      <c r="D425" s="38" t="s">
        <v>374</v>
      </c>
      <c r="E425" s="38" t="s">
        <v>169</v>
      </c>
      <c r="F425" s="38" t="s">
        <v>136</v>
      </c>
      <c r="G425" s="266">
        <v>8210</v>
      </c>
      <c r="H425" s="264">
        <f t="shared" si="12"/>
        <v>3</v>
      </c>
    </row>
    <row r="426" spans="1:8" s="130" customFormat="1" x14ac:dyDescent="0.35">
      <c r="A426" s="38" t="s">
        <v>196</v>
      </c>
      <c r="B426" s="38" t="s">
        <v>200</v>
      </c>
      <c r="C426" s="38" t="s">
        <v>201</v>
      </c>
      <c r="D426" s="38" t="s">
        <v>375</v>
      </c>
      <c r="E426" s="38" t="s">
        <v>169</v>
      </c>
      <c r="F426" s="38" t="s">
        <v>136</v>
      </c>
      <c r="G426" s="266">
        <v>8210</v>
      </c>
      <c r="H426" s="264">
        <f t="shared" si="12"/>
        <v>4</v>
      </c>
    </row>
    <row r="427" spans="1:8" s="130" customFormat="1" x14ac:dyDescent="0.35">
      <c r="A427" s="38" t="s">
        <v>196</v>
      </c>
      <c r="B427" s="38" t="s">
        <v>200</v>
      </c>
      <c r="C427" s="38" t="s">
        <v>201</v>
      </c>
      <c r="D427" s="38" t="s">
        <v>376</v>
      </c>
      <c r="E427" s="38" t="s">
        <v>169</v>
      </c>
      <c r="F427" s="38" t="s">
        <v>136</v>
      </c>
      <c r="G427" s="266">
        <v>8210</v>
      </c>
      <c r="H427" s="264">
        <f t="shared" si="12"/>
        <v>5</v>
      </c>
    </row>
    <row r="428" spans="1:8" s="130" customFormat="1" x14ac:dyDescent="0.35">
      <c r="A428" s="38" t="s">
        <v>196</v>
      </c>
      <c r="B428" s="38" t="s">
        <v>200</v>
      </c>
      <c r="C428" s="38" t="s">
        <v>201</v>
      </c>
      <c r="D428" s="38" t="s">
        <v>377</v>
      </c>
      <c r="E428" s="38" t="s">
        <v>169</v>
      </c>
      <c r="F428" s="38" t="s">
        <v>136</v>
      </c>
      <c r="G428" s="266">
        <v>8210</v>
      </c>
      <c r="H428" s="264">
        <f t="shared" si="12"/>
        <v>6</v>
      </c>
    </row>
    <row r="429" spans="1:8" s="130" customFormat="1" x14ac:dyDescent="0.35">
      <c r="A429" s="38" t="s">
        <v>196</v>
      </c>
      <c r="B429" s="38" t="s">
        <v>200</v>
      </c>
      <c r="C429" s="38" t="s">
        <v>201</v>
      </c>
      <c r="D429" s="38" t="s">
        <v>378</v>
      </c>
      <c r="E429" s="38" t="s">
        <v>169</v>
      </c>
      <c r="F429" s="38" t="s">
        <v>136</v>
      </c>
      <c r="G429" s="266">
        <v>8210</v>
      </c>
      <c r="H429" s="264">
        <f t="shared" si="12"/>
        <v>7</v>
      </c>
    </row>
    <row r="430" spans="1:8" x14ac:dyDescent="0.35">
      <c r="A430" s="38" t="s">
        <v>196</v>
      </c>
      <c r="B430" s="38" t="s">
        <v>200</v>
      </c>
      <c r="C430" s="38" t="s">
        <v>201</v>
      </c>
      <c r="D430" s="38" t="s">
        <v>379</v>
      </c>
      <c r="E430" s="38" t="s">
        <v>169</v>
      </c>
      <c r="F430" s="38" t="s">
        <v>136</v>
      </c>
      <c r="G430" s="266">
        <v>8210</v>
      </c>
      <c r="H430" s="264">
        <f t="shared" si="10"/>
        <v>8</v>
      </c>
    </row>
    <row r="431" spans="1:8" x14ac:dyDescent="0.35">
      <c r="A431" s="38" t="s">
        <v>196</v>
      </c>
      <c r="B431" s="38" t="s">
        <v>200</v>
      </c>
      <c r="C431" s="38" t="s">
        <v>201</v>
      </c>
      <c r="D431" s="38" t="s">
        <v>380</v>
      </c>
      <c r="E431" s="38" t="s">
        <v>169</v>
      </c>
      <c r="F431" s="38" t="s">
        <v>136</v>
      </c>
      <c r="G431" s="266">
        <v>8210</v>
      </c>
      <c r="H431" s="264">
        <f t="shared" si="10"/>
        <v>9</v>
      </c>
    </row>
    <row r="432" spans="1:8" x14ac:dyDescent="0.35">
      <c r="A432" s="38" t="s">
        <v>196</v>
      </c>
      <c r="B432" s="38" t="s">
        <v>200</v>
      </c>
      <c r="C432" s="38" t="s">
        <v>201</v>
      </c>
      <c r="D432" s="38" t="s">
        <v>381</v>
      </c>
      <c r="E432" s="38" t="s">
        <v>169</v>
      </c>
      <c r="F432" s="38" t="s">
        <v>136</v>
      </c>
      <c r="G432" s="266">
        <v>8210</v>
      </c>
      <c r="H432" s="264">
        <f t="shared" si="10"/>
        <v>10</v>
      </c>
    </row>
    <row r="433" spans="1:8" x14ac:dyDescent="0.35">
      <c r="A433" s="38" t="s">
        <v>196</v>
      </c>
      <c r="B433" s="38" t="s">
        <v>200</v>
      </c>
      <c r="C433" s="38" t="s">
        <v>201</v>
      </c>
      <c r="D433" s="38" t="s">
        <v>382</v>
      </c>
      <c r="E433" s="38" t="s">
        <v>169</v>
      </c>
      <c r="F433" s="38" t="s">
        <v>136</v>
      </c>
      <c r="G433" s="266">
        <v>8210</v>
      </c>
      <c r="H433" s="264">
        <f t="shared" si="10"/>
        <v>11</v>
      </c>
    </row>
    <row r="434" spans="1:8" x14ac:dyDescent="0.35">
      <c r="A434" s="38" t="s">
        <v>196</v>
      </c>
      <c r="B434" s="38" t="s">
        <v>200</v>
      </c>
      <c r="C434" s="38" t="s">
        <v>201</v>
      </c>
      <c r="D434" s="38" t="s">
        <v>383</v>
      </c>
      <c r="E434" s="38" t="s">
        <v>169</v>
      </c>
      <c r="F434" s="38" t="s">
        <v>136</v>
      </c>
      <c r="G434" s="266">
        <v>8210</v>
      </c>
      <c r="H434" s="264">
        <f t="shared" si="10"/>
        <v>12</v>
      </c>
    </row>
    <row r="435" spans="1:8" x14ac:dyDescent="0.35">
      <c r="A435" s="38" t="s">
        <v>196</v>
      </c>
      <c r="B435" s="38" t="s">
        <v>329</v>
      </c>
      <c r="C435" s="38" t="s">
        <v>342</v>
      </c>
      <c r="D435" s="38" t="s">
        <v>372</v>
      </c>
      <c r="E435" s="38" t="s">
        <v>169</v>
      </c>
      <c r="F435" s="38" t="s">
        <v>136</v>
      </c>
      <c r="G435" s="266">
        <v>5021.21</v>
      </c>
      <c r="H435" s="264">
        <f t="shared" si="10"/>
        <v>1</v>
      </c>
    </row>
    <row r="436" spans="1:8" x14ac:dyDescent="0.35">
      <c r="A436" s="38" t="s">
        <v>196</v>
      </c>
      <c r="B436" s="38" t="s">
        <v>329</v>
      </c>
      <c r="C436" s="38" t="s">
        <v>342</v>
      </c>
      <c r="D436" s="38" t="s">
        <v>373</v>
      </c>
      <c r="E436" s="38" t="s">
        <v>169</v>
      </c>
      <c r="F436" s="38" t="s">
        <v>136</v>
      </c>
      <c r="G436" s="266">
        <v>5021.21</v>
      </c>
      <c r="H436" s="264">
        <f t="shared" si="10"/>
        <v>2</v>
      </c>
    </row>
    <row r="437" spans="1:8" x14ac:dyDescent="0.35">
      <c r="A437" s="38" t="s">
        <v>196</v>
      </c>
      <c r="B437" s="38" t="s">
        <v>329</v>
      </c>
      <c r="C437" s="38" t="s">
        <v>342</v>
      </c>
      <c r="D437" s="38" t="s">
        <v>374</v>
      </c>
      <c r="E437" s="38" t="s">
        <v>169</v>
      </c>
      <c r="F437" s="38" t="s">
        <v>136</v>
      </c>
      <c r="G437" s="266">
        <v>5021.21</v>
      </c>
      <c r="H437" s="264">
        <f t="shared" si="10"/>
        <v>3</v>
      </c>
    </row>
    <row r="438" spans="1:8" x14ac:dyDescent="0.35">
      <c r="A438" s="38" t="s">
        <v>196</v>
      </c>
      <c r="B438" s="38" t="s">
        <v>329</v>
      </c>
      <c r="C438" s="38" t="s">
        <v>342</v>
      </c>
      <c r="D438" s="38" t="s">
        <v>375</v>
      </c>
      <c r="E438" s="38" t="s">
        <v>169</v>
      </c>
      <c r="F438" s="38" t="s">
        <v>136</v>
      </c>
      <c r="G438" s="266">
        <v>5021.21</v>
      </c>
      <c r="H438" s="264">
        <f t="shared" si="10"/>
        <v>4</v>
      </c>
    </row>
    <row r="439" spans="1:8" x14ac:dyDescent="0.35">
      <c r="A439" s="38" t="s">
        <v>196</v>
      </c>
      <c r="B439" s="38" t="s">
        <v>329</v>
      </c>
      <c r="C439" s="38" t="s">
        <v>342</v>
      </c>
      <c r="D439" s="38" t="s">
        <v>376</v>
      </c>
      <c r="E439" s="38" t="s">
        <v>169</v>
      </c>
      <c r="F439" s="38" t="s">
        <v>136</v>
      </c>
      <c r="G439" s="266">
        <v>5021.21</v>
      </c>
      <c r="H439" s="264">
        <f t="shared" si="10"/>
        <v>5</v>
      </c>
    </row>
    <row r="440" spans="1:8" x14ac:dyDescent="0.35">
      <c r="A440" s="38" t="s">
        <v>196</v>
      </c>
      <c r="B440" s="38" t="s">
        <v>329</v>
      </c>
      <c r="C440" s="38" t="s">
        <v>342</v>
      </c>
      <c r="D440" s="38" t="s">
        <v>377</v>
      </c>
      <c r="E440" s="38" t="s">
        <v>169</v>
      </c>
      <c r="F440" s="38" t="s">
        <v>136</v>
      </c>
      <c r="G440" s="266">
        <v>5021.21</v>
      </c>
      <c r="H440" s="264">
        <f t="shared" si="10"/>
        <v>6</v>
      </c>
    </row>
    <row r="441" spans="1:8" x14ac:dyDescent="0.35">
      <c r="A441" s="38" t="s">
        <v>196</v>
      </c>
      <c r="B441" s="38" t="s">
        <v>329</v>
      </c>
      <c r="C441" s="38" t="s">
        <v>342</v>
      </c>
      <c r="D441" s="38" t="s">
        <v>378</v>
      </c>
      <c r="E441" s="38" t="s">
        <v>169</v>
      </c>
      <c r="F441" s="38" t="s">
        <v>136</v>
      </c>
      <c r="G441" s="266">
        <v>5021.21</v>
      </c>
      <c r="H441" s="264">
        <f t="shared" si="10"/>
        <v>7</v>
      </c>
    </row>
    <row r="442" spans="1:8" x14ac:dyDescent="0.35">
      <c r="A442" s="38" t="s">
        <v>196</v>
      </c>
      <c r="B442" s="38" t="s">
        <v>329</v>
      </c>
      <c r="C442" s="38" t="s">
        <v>342</v>
      </c>
      <c r="D442" s="38" t="s">
        <v>379</v>
      </c>
      <c r="E442" s="38" t="s">
        <v>169</v>
      </c>
      <c r="F442" s="38" t="s">
        <v>136</v>
      </c>
      <c r="G442" s="266">
        <v>5021.21</v>
      </c>
      <c r="H442" s="264">
        <f t="shared" ref="H442:H541" si="13">IF(D442="",0,MONTH(D442))</f>
        <v>8</v>
      </c>
    </row>
    <row r="443" spans="1:8" x14ac:dyDescent="0.35">
      <c r="A443" s="38" t="s">
        <v>196</v>
      </c>
      <c r="B443" s="38" t="s">
        <v>329</v>
      </c>
      <c r="C443" s="38" t="s">
        <v>342</v>
      </c>
      <c r="D443" s="38" t="s">
        <v>380</v>
      </c>
      <c r="E443" s="38" t="s">
        <v>169</v>
      </c>
      <c r="F443" s="38" t="s">
        <v>136</v>
      </c>
      <c r="G443" s="266">
        <v>5021.21</v>
      </c>
      <c r="H443" s="264">
        <f t="shared" si="13"/>
        <v>9</v>
      </c>
    </row>
    <row r="444" spans="1:8" x14ac:dyDescent="0.35">
      <c r="A444" s="38" t="s">
        <v>196</v>
      </c>
      <c r="B444" s="38" t="s">
        <v>329</v>
      </c>
      <c r="C444" s="38" t="s">
        <v>342</v>
      </c>
      <c r="D444" s="38" t="s">
        <v>381</v>
      </c>
      <c r="E444" s="38" t="s">
        <v>169</v>
      </c>
      <c r="F444" s="38" t="s">
        <v>136</v>
      </c>
      <c r="G444" s="266">
        <v>5021.21</v>
      </c>
      <c r="H444" s="264">
        <f t="shared" si="13"/>
        <v>10</v>
      </c>
    </row>
    <row r="445" spans="1:8" x14ac:dyDescent="0.35">
      <c r="A445" s="38" t="s">
        <v>196</v>
      </c>
      <c r="B445" s="38" t="s">
        <v>329</v>
      </c>
      <c r="C445" s="38" t="s">
        <v>342</v>
      </c>
      <c r="D445" s="38" t="s">
        <v>382</v>
      </c>
      <c r="E445" s="38" t="s">
        <v>169</v>
      </c>
      <c r="F445" s="38" t="s">
        <v>136</v>
      </c>
      <c r="G445" s="266">
        <v>5021.21</v>
      </c>
      <c r="H445" s="264">
        <f t="shared" si="13"/>
        <v>11</v>
      </c>
    </row>
    <row r="446" spans="1:8" x14ac:dyDescent="0.35">
      <c r="A446" s="38" t="s">
        <v>196</v>
      </c>
      <c r="B446" s="38" t="s">
        <v>329</v>
      </c>
      <c r="C446" s="38" t="s">
        <v>342</v>
      </c>
      <c r="D446" s="38" t="s">
        <v>383</v>
      </c>
      <c r="E446" s="38" t="s">
        <v>169</v>
      </c>
      <c r="F446" s="38" t="s">
        <v>136</v>
      </c>
      <c r="G446" s="266">
        <v>5021.21</v>
      </c>
      <c r="H446" s="264">
        <f t="shared" si="13"/>
        <v>12</v>
      </c>
    </row>
    <row r="447" spans="1:8" x14ac:dyDescent="0.35">
      <c r="A447" s="38" t="s">
        <v>196</v>
      </c>
      <c r="B447" s="38" t="s">
        <v>254</v>
      </c>
      <c r="C447" s="38" t="s">
        <v>394</v>
      </c>
      <c r="D447" s="38" t="s">
        <v>372</v>
      </c>
      <c r="E447" s="38" t="s">
        <v>169</v>
      </c>
      <c r="F447" s="38" t="s">
        <v>136</v>
      </c>
      <c r="G447" s="266">
        <v>4507.83</v>
      </c>
      <c r="H447" s="264">
        <f t="shared" si="13"/>
        <v>1</v>
      </c>
    </row>
    <row r="448" spans="1:8" x14ac:dyDescent="0.35">
      <c r="A448" s="38" t="s">
        <v>196</v>
      </c>
      <c r="B448" s="38" t="s">
        <v>254</v>
      </c>
      <c r="C448" s="38" t="s">
        <v>394</v>
      </c>
      <c r="D448" s="38" t="s">
        <v>373</v>
      </c>
      <c r="E448" s="38" t="s">
        <v>169</v>
      </c>
      <c r="F448" s="38" t="s">
        <v>136</v>
      </c>
      <c r="G448" s="266">
        <v>4507.83</v>
      </c>
      <c r="H448" s="264">
        <f t="shared" si="13"/>
        <v>2</v>
      </c>
    </row>
    <row r="449" spans="1:8" x14ac:dyDescent="0.35">
      <c r="A449" s="38" t="s">
        <v>196</v>
      </c>
      <c r="B449" s="38" t="s">
        <v>254</v>
      </c>
      <c r="C449" s="38" t="s">
        <v>394</v>
      </c>
      <c r="D449" s="38" t="s">
        <v>374</v>
      </c>
      <c r="E449" s="38" t="s">
        <v>169</v>
      </c>
      <c r="F449" s="38" t="s">
        <v>136</v>
      </c>
      <c r="G449" s="266">
        <v>4507.83</v>
      </c>
      <c r="H449" s="264">
        <f t="shared" si="13"/>
        <v>3</v>
      </c>
    </row>
    <row r="450" spans="1:8" x14ac:dyDescent="0.35">
      <c r="A450" s="38" t="s">
        <v>196</v>
      </c>
      <c r="B450" s="38" t="s">
        <v>254</v>
      </c>
      <c r="C450" s="38" t="s">
        <v>394</v>
      </c>
      <c r="D450" s="38" t="s">
        <v>375</v>
      </c>
      <c r="E450" s="38" t="s">
        <v>169</v>
      </c>
      <c r="F450" s="38" t="s">
        <v>136</v>
      </c>
      <c r="G450" s="266">
        <v>4507.83</v>
      </c>
      <c r="H450" s="264">
        <f t="shared" si="13"/>
        <v>4</v>
      </c>
    </row>
    <row r="451" spans="1:8" s="130" customFormat="1" x14ac:dyDescent="0.35">
      <c r="A451" s="38" t="s">
        <v>196</v>
      </c>
      <c r="B451" s="38" t="s">
        <v>254</v>
      </c>
      <c r="C451" s="38" t="s">
        <v>394</v>
      </c>
      <c r="D451" s="38" t="s">
        <v>376</v>
      </c>
      <c r="E451" s="38" t="s">
        <v>169</v>
      </c>
      <c r="F451" s="38" t="s">
        <v>136</v>
      </c>
      <c r="G451" s="266">
        <v>4507.83</v>
      </c>
      <c r="H451" s="264">
        <f t="shared" ref="H451:H462" si="14">IF(D451="",0,MONTH(D451))</f>
        <v>5</v>
      </c>
    </row>
    <row r="452" spans="1:8" s="130" customFormat="1" x14ac:dyDescent="0.35">
      <c r="A452" s="38" t="s">
        <v>196</v>
      </c>
      <c r="B452" s="38" t="s">
        <v>254</v>
      </c>
      <c r="C452" s="38" t="s">
        <v>394</v>
      </c>
      <c r="D452" s="38" t="s">
        <v>377</v>
      </c>
      <c r="E452" s="38" t="s">
        <v>169</v>
      </c>
      <c r="F452" s="38" t="s">
        <v>136</v>
      </c>
      <c r="G452" s="266">
        <v>4507.83</v>
      </c>
      <c r="H452" s="264">
        <f t="shared" si="14"/>
        <v>6</v>
      </c>
    </row>
    <row r="453" spans="1:8" s="130" customFormat="1" x14ac:dyDescent="0.35">
      <c r="A453" s="38" t="s">
        <v>196</v>
      </c>
      <c r="B453" s="38" t="s">
        <v>254</v>
      </c>
      <c r="C453" s="38" t="s">
        <v>394</v>
      </c>
      <c r="D453" s="38" t="s">
        <v>378</v>
      </c>
      <c r="E453" s="38" t="s">
        <v>169</v>
      </c>
      <c r="F453" s="38" t="s">
        <v>136</v>
      </c>
      <c r="G453" s="266">
        <v>4507.83</v>
      </c>
      <c r="H453" s="264">
        <f t="shared" si="14"/>
        <v>7</v>
      </c>
    </row>
    <row r="454" spans="1:8" s="130" customFormat="1" x14ac:dyDescent="0.35">
      <c r="A454" s="38" t="s">
        <v>196</v>
      </c>
      <c r="B454" s="38" t="s">
        <v>254</v>
      </c>
      <c r="C454" s="38" t="s">
        <v>394</v>
      </c>
      <c r="D454" s="38" t="s">
        <v>379</v>
      </c>
      <c r="E454" s="38" t="s">
        <v>169</v>
      </c>
      <c r="F454" s="38" t="s">
        <v>136</v>
      </c>
      <c r="G454" s="266">
        <v>4612.67</v>
      </c>
      <c r="H454" s="264">
        <f t="shared" si="14"/>
        <v>8</v>
      </c>
    </row>
    <row r="455" spans="1:8" s="130" customFormat="1" x14ac:dyDescent="0.35">
      <c r="A455" s="38" t="s">
        <v>196</v>
      </c>
      <c r="B455" s="38" t="s">
        <v>254</v>
      </c>
      <c r="C455" s="38" t="s">
        <v>394</v>
      </c>
      <c r="D455" s="38" t="s">
        <v>380</v>
      </c>
      <c r="E455" s="38" t="s">
        <v>169</v>
      </c>
      <c r="F455" s="38" t="s">
        <v>136</v>
      </c>
      <c r="G455" s="266">
        <v>4612.67</v>
      </c>
      <c r="H455" s="264">
        <f t="shared" si="14"/>
        <v>9</v>
      </c>
    </row>
    <row r="456" spans="1:8" s="130" customFormat="1" x14ac:dyDescent="0.35">
      <c r="A456" s="38" t="s">
        <v>196</v>
      </c>
      <c r="B456" s="38" t="s">
        <v>254</v>
      </c>
      <c r="C456" s="38" t="s">
        <v>394</v>
      </c>
      <c r="D456" s="38" t="s">
        <v>381</v>
      </c>
      <c r="E456" s="38" t="s">
        <v>169</v>
      </c>
      <c r="F456" s="38" t="s">
        <v>136</v>
      </c>
      <c r="G456" s="266">
        <v>4612.67</v>
      </c>
      <c r="H456" s="264">
        <f t="shared" si="14"/>
        <v>10</v>
      </c>
    </row>
    <row r="457" spans="1:8" s="130" customFormat="1" x14ac:dyDescent="0.35">
      <c r="A457" s="38" t="s">
        <v>196</v>
      </c>
      <c r="B457" s="38" t="s">
        <v>254</v>
      </c>
      <c r="C457" s="38" t="s">
        <v>394</v>
      </c>
      <c r="D457" s="38" t="s">
        <v>382</v>
      </c>
      <c r="E457" s="38" t="s">
        <v>169</v>
      </c>
      <c r="F457" s="38" t="s">
        <v>136</v>
      </c>
      <c r="G457" s="266">
        <v>4612.67</v>
      </c>
      <c r="H457" s="264">
        <f t="shared" si="14"/>
        <v>11</v>
      </c>
    </row>
    <row r="458" spans="1:8" s="130" customFormat="1" x14ac:dyDescent="0.35">
      <c r="A458" s="38" t="s">
        <v>196</v>
      </c>
      <c r="B458" s="38" t="s">
        <v>254</v>
      </c>
      <c r="C458" s="38" t="s">
        <v>394</v>
      </c>
      <c r="D458" s="38" t="s">
        <v>383</v>
      </c>
      <c r="E458" s="38" t="s">
        <v>169</v>
      </c>
      <c r="F458" s="38" t="s">
        <v>136</v>
      </c>
      <c r="G458" s="266">
        <v>4612.67</v>
      </c>
      <c r="H458" s="264">
        <f t="shared" si="14"/>
        <v>12</v>
      </c>
    </row>
    <row r="459" spans="1:8" s="130" customFormat="1" x14ac:dyDescent="0.35">
      <c r="A459" s="38" t="s">
        <v>196</v>
      </c>
      <c r="B459" s="38" t="s">
        <v>202</v>
      </c>
      <c r="C459" s="38" t="s">
        <v>203</v>
      </c>
      <c r="D459" s="38" t="s">
        <v>372</v>
      </c>
      <c r="E459" s="38" t="s">
        <v>169</v>
      </c>
      <c r="F459" s="38" t="s">
        <v>136</v>
      </c>
      <c r="G459" s="266">
        <v>6838</v>
      </c>
      <c r="H459" s="264">
        <f t="shared" si="14"/>
        <v>1</v>
      </c>
    </row>
    <row r="460" spans="1:8" s="130" customFormat="1" x14ac:dyDescent="0.35">
      <c r="A460" s="38" t="s">
        <v>196</v>
      </c>
      <c r="B460" s="38" t="s">
        <v>202</v>
      </c>
      <c r="C460" s="38" t="s">
        <v>203</v>
      </c>
      <c r="D460" s="38" t="s">
        <v>373</v>
      </c>
      <c r="E460" s="38" t="s">
        <v>169</v>
      </c>
      <c r="F460" s="38" t="s">
        <v>136</v>
      </c>
      <c r="G460" s="266">
        <v>6838</v>
      </c>
      <c r="H460" s="264">
        <f t="shared" si="14"/>
        <v>2</v>
      </c>
    </row>
    <row r="461" spans="1:8" s="130" customFormat="1" x14ac:dyDescent="0.35">
      <c r="A461" s="38" t="s">
        <v>196</v>
      </c>
      <c r="B461" s="38" t="s">
        <v>202</v>
      </c>
      <c r="C461" s="38" t="s">
        <v>203</v>
      </c>
      <c r="D461" s="38" t="s">
        <v>374</v>
      </c>
      <c r="E461" s="38" t="s">
        <v>169</v>
      </c>
      <c r="F461" s="38" t="s">
        <v>136</v>
      </c>
      <c r="G461" s="266">
        <v>6838</v>
      </c>
      <c r="H461" s="264">
        <f t="shared" si="14"/>
        <v>3</v>
      </c>
    </row>
    <row r="462" spans="1:8" s="130" customFormat="1" x14ac:dyDescent="0.35">
      <c r="A462" s="38" t="s">
        <v>196</v>
      </c>
      <c r="B462" s="38" t="s">
        <v>202</v>
      </c>
      <c r="C462" s="38" t="s">
        <v>203</v>
      </c>
      <c r="D462" s="38" t="s">
        <v>375</v>
      </c>
      <c r="E462" s="38" t="s">
        <v>169</v>
      </c>
      <c r="F462" s="38" t="s">
        <v>136</v>
      </c>
      <c r="G462" s="266">
        <v>6838</v>
      </c>
      <c r="H462" s="264">
        <f t="shared" si="14"/>
        <v>4</v>
      </c>
    </row>
    <row r="463" spans="1:8" x14ac:dyDescent="0.35">
      <c r="A463" s="38" t="s">
        <v>196</v>
      </c>
      <c r="B463" s="38" t="s">
        <v>202</v>
      </c>
      <c r="C463" s="38" t="s">
        <v>203</v>
      </c>
      <c r="D463" s="38" t="s">
        <v>376</v>
      </c>
      <c r="E463" s="38" t="s">
        <v>169</v>
      </c>
      <c r="F463" s="38" t="s">
        <v>136</v>
      </c>
      <c r="G463" s="266">
        <v>6838</v>
      </c>
      <c r="H463" s="264">
        <f t="shared" si="13"/>
        <v>5</v>
      </c>
    </row>
    <row r="464" spans="1:8" x14ac:dyDescent="0.35">
      <c r="A464" s="38" t="s">
        <v>196</v>
      </c>
      <c r="B464" s="38" t="s">
        <v>202</v>
      </c>
      <c r="C464" s="38" t="s">
        <v>203</v>
      </c>
      <c r="D464" s="38" t="s">
        <v>377</v>
      </c>
      <c r="E464" s="38" t="s">
        <v>169</v>
      </c>
      <c r="F464" s="38" t="s">
        <v>136</v>
      </c>
      <c r="G464" s="266">
        <v>6838</v>
      </c>
      <c r="H464" s="264">
        <f t="shared" si="13"/>
        <v>6</v>
      </c>
    </row>
    <row r="465" spans="1:8" x14ac:dyDescent="0.35">
      <c r="A465" s="38" t="s">
        <v>196</v>
      </c>
      <c r="B465" s="38" t="s">
        <v>202</v>
      </c>
      <c r="C465" s="38" t="s">
        <v>203</v>
      </c>
      <c r="D465" s="38" t="s">
        <v>378</v>
      </c>
      <c r="E465" s="38" t="s">
        <v>169</v>
      </c>
      <c r="F465" s="38" t="s">
        <v>136</v>
      </c>
      <c r="G465" s="266">
        <v>6838</v>
      </c>
      <c r="H465" s="264">
        <f t="shared" si="13"/>
        <v>7</v>
      </c>
    </row>
    <row r="466" spans="1:8" x14ac:dyDescent="0.35">
      <c r="A466" s="38" t="s">
        <v>196</v>
      </c>
      <c r="B466" s="38" t="s">
        <v>202</v>
      </c>
      <c r="C466" s="38" t="s">
        <v>203</v>
      </c>
      <c r="D466" s="38" t="s">
        <v>379</v>
      </c>
      <c r="E466" s="38" t="s">
        <v>169</v>
      </c>
      <c r="F466" s="38" t="s">
        <v>136</v>
      </c>
      <c r="G466" s="266">
        <v>7013.33</v>
      </c>
      <c r="H466" s="264">
        <f t="shared" si="13"/>
        <v>8</v>
      </c>
    </row>
    <row r="467" spans="1:8" x14ac:dyDescent="0.35">
      <c r="A467" s="38" t="s">
        <v>196</v>
      </c>
      <c r="B467" s="38" t="s">
        <v>202</v>
      </c>
      <c r="C467" s="38" t="s">
        <v>203</v>
      </c>
      <c r="D467" s="38" t="s">
        <v>380</v>
      </c>
      <c r="E467" s="38" t="s">
        <v>169</v>
      </c>
      <c r="F467" s="38" t="s">
        <v>136</v>
      </c>
      <c r="G467" s="266">
        <v>7013.33</v>
      </c>
      <c r="H467" s="264">
        <f t="shared" si="13"/>
        <v>9</v>
      </c>
    </row>
    <row r="468" spans="1:8" x14ac:dyDescent="0.35">
      <c r="A468" s="38" t="s">
        <v>196</v>
      </c>
      <c r="B468" s="38" t="s">
        <v>202</v>
      </c>
      <c r="C468" s="38" t="s">
        <v>203</v>
      </c>
      <c r="D468" s="38" t="s">
        <v>381</v>
      </c>
      <c r="E468" s="38" t="s">
        <v>169</v>
      </c>
      <c r="F468" s="38" t="s">
        <v>136</v>
      </c>
      <c r="G468" s="266">
        <v>7013.33</v>
      </c>
      <c r="H468" s="264">
        <f t="shared" si="13"/>
        <v>10</v>
      </c>
    </row>
    <row r="469" spans="1:8" x14ac:dyDescent="0.35">
      <c r="A469" s="38" t="s">
        <v>196</v>
      </c>
      <c r="B469" s="38" t="s">
        <v>202</v>
      </c>
      <c r="C469" s="38" t="s">
        <v>203</v>
      </c>
      <c r="D469" s="38" t="s">
        <v>382</v>
      </c>
      <c r="E469" s="38" t="s">
        <v>169</v>
      </c>
      <c r="F469" s="38" t="s">
        <v>136</v>
      </c>
      <c r="G469" s="266">
        <v>7013.33</v>
      </c>
      <c r="H469" s="264">
        <f t="shared" si="13"/>
        <v>11</v>
      </c>
    </row>
    <row r="470" spans="1:8" x14ac:dyDescent="0.35">
      <c r="A470" s="38" t="s">
        <v>196</v>
      </c>
      <c r="B470" s="38" t="s">
        <v>202</v>
      </c>
      <c r="C470" s="38" t="s">
        <v>203</v>
      </c>
      <c r="D470" s="38" t="s">
        <v>383</v>
      </c>
      <c r="E470" s="38" t="s">
        <v>169</v>
      </c>
      <c r="F470" s="38" t="s">
        <v>136</v>
      </c>
      <c r="G470" s="266">
        <v>7013.33</v>
      </c>
      <c r="H470" s="264">
        <f t="shared" si="13"/>
        <v>12</v>
      </c>
    </row>
    <row r="471" spans="1:8" x14ac:dyDescent="0.35">
      <c r="A471" s="38" t="s">
        <v>196</v>
      </c>
      <c r="B471" s="38" t="s">
        <v>287</v>
      </c>
      <c r="C471" s="38" t="s">
        <v>288</v>
      </c>
      <c r="D471" s="38" t="s">
        <v>372</v>
      </c>
      <c r="E471" s="38" t="s">
        <v>169</v>
      </c>
      <c r="F471" s="38" t="s">
        <v>136</v>
      </c>
      <c r="G471" s="266">
        <v>14323.75</v>
      </c>
      <c r="H471" s="264">
        <f t="shared" si="13"/>
        <v>1</v>
      </c>
    </row>
    <row r="472" spans="1:8" x14ac:dyDescent="0.35">
      <c r="A472" s="38" t="s">
        <v>196</v>
      </c>
      <c r="B472" s="38" t="s">
        <v>287</v>
      </c>
      <c r="C472" s="38" t="s">
        <v>288</v>
      </c>
      <c r="D472" s="38" t="s">
        <v>373</v>
      </c>
      <c r="E472" s="38" t="s">
        <v>169</v>
      </c>
      <c r="F472" s="38" t="s">
        <v>136</v>
      </c>
      <c r="G472" s="266">
        <v>14323.75</v>
      </c>
      <c r="H472" s="264">
        <f t="shared" si="13"/>
        <v>2</v>
      </c>
    </row>
    <row r="473" spans="1:8" x14ac:dyDescent="0.35">
      <c r="A473" s="38" t="s">
        <v>196</v>
      </c>
      <c r="B473" s="38" t="s">
        <v>287</v>
      </c>
      <c r="C473" s="38" t="s">
        <v>288</v>
      </c>
      <c r="D473" s="38" t="s">
        <v>374</v>
      </c>
      <c r="E473" s="38" t="s">
        <v>169</v>
      </c>
      <c r="F473" s="38" t="s">
        <v>136</v>
      </c>
      <c r="G473" s="266">
        <v>14323.75</v>
      </c>
      <c r="H473" s="264">
        <f t="shared" si="13"/>
        <v>3</v>
      </c>
    </row>
    <row r="474" spans="1:8" x14ac:dyDescent="0.35">
      <c r="A474" s="38" t="s">
        <v>196</v>
      </c>
      <c r="B474" s="38" t="s">
        <v>287</v>
      </c>
      <c r="C474" s="38" t="s">
        <v>288</v>
      </c>
      <c r="D474" s="38" t="s">
        <v>375</v>
      </c>
      <c r="E474" s="38" t="s">
        <v>169</v>
      </c>
      <c r="F474" s="38" t="s">
        <v>136</v>
      </c>
      <c r="G474" s="266">
        <v>14323.75</v>
      </c>
      <c r="H474" s="264">
        <f t="shared" si="13"/>
        <v>4</v>
      </c>
    </row>
    <row r="475" spans="1:8" x14ac:dyDescent="0.35">
      <c r="A475" s="38" t="s">
        <v>196</v>
      </c>
      <c r="B475" s="38" t="s">
        <v>287</v>
      </c>
      <c r="C475" s="38" t="s">
        <v>288</v>
      </c>
      <c r="D475" s="38" t="s">
        <v>376</v>
      </c>
      <c r="E475" s="38" t="s">
        <v>169</v>
      </c>
      <c r="F475" s="38" t="s">
        <v>136</v>
      </c>
      <c r="G475" s="266">
        <v>14323.75</v>
      </c>
      <c r="H475" s="264">
        <f t="shared" si="13"/>
        <v>5</v>
      </c>
    </row>
    <row r="476" spans="1:8" x14ac:dyDescent="0.35">
      <c r="A476" s="38" t="s">
        <v>196</v>
      </c>
      <c r="B476" s="38" t="s">
        <v>287</v>
      </c>
      <c r="C476" s="38" t="s">
        <v>288</v>
      </c>
      <c r="D476" s="38" t="s">
        <v>377</v>
      </c>
      <c r="E476" s="38" t="s">
        <v>169</v>
      </c>
      <c r="F476" s="38" t="s">
        <v>136</v>
      </c>
      <c r="G476" s="266">
        <v>14323.75</v>
      </c>
      <c r="H476" s="264">
        <f t="shared" ref="H476:H481" si="15">IF(D476="",0,MONTH(D476))</f>
        <v>6</v>
      </c>
    </row>
    <row r="477" spans="1:8" x14ac:dyDescent="0.35">
      <c r="A477" s="38" t="s">
        <v>196</v>
      </c>
      <c r="B477" s="38" t="s">
        <v>246</v>
      </c>
      <c r="C477" s="38" t="s">
        <v>247</v>
      </c>
      <c r="D477" s="38" t="s">
        <v>372</v>
      </c>
      <c r="E477" s="38" t="s">
        <v>169</v>
      </c>
      <c r="F477" s="38" t="s">
        <v>136</v>
      </c>
      <c r="G477" s="266">
        <v>5924</v>
      </c>
      <c r="H477" s="264">
        <f t="shared" si="15"/>
        <v>1</v>
      </c>
    </row>
    <row r="478" spans="1:8" x14ac:dyDescent="0.35">
      <c r="A478" s="38" t="s">
        <v>196</v>
      </c>
      <c r="B478" s="38" t="s">
        <v>246</v>
      </c>
      <c r="C478" s="38" t="s">
        <v>247</v>
      </c>
      <c r="D478" s="38" t="s">
        <v>373</v>
      </c>
      <c r="E478" s="38" t="s">
        <v>169</v>
      </c>
      <c r="F478" s="38" t="s">
        <v>136</v>
      </c>
      <c r="G478" s="266">
        <v>5924</v>
      </c>
      <c r="H478" s="264">
        <f t="shared" si="15"/>
        <v>2</v>
      </c>
    </row>
    <row r="479" spans="1:8" x14ac:dyDescent="0.35">
      <c r="A479" s="38" t="s">
        <v>196</v>
      </c>
      <c r="B479" s="38" t="s">
        <v>246</v>
      </c>
      <c r="C479" s="38" t="s">
        <v>247</v>
      </c>
      <c r="D479" s="38" t="s">
        <v>374</v>
      </c>
      <c r="E479" s="38" t="s">
        <v>169</v>
      </c>
      <c r="F479" s="38" t="s">
        <v>136</v>
      </c>
      <c r="G479" s="266">
        <v>5924</v>
      </c>
      <c r="H479" s="264">
        <f t="shared" si="15"/>
        <v>3</v>
      </c>
    </row>
    <row r="480" spans="1:8" x14ac:dyDescent="0.35">
      <c r="A480" s="38" t="s">
        <v>196</v>
      </c>
      <c r="B480" s="38" t="s">
        <v>246</v>
      </c>
      <c r="C480" s="38" t="s">
        <v>247</v>
      </c>
      <c r="D480" s="38" t="s">
        <v>375</v>
      </c>
      <c r="E480" s="38" t="s">
        <v>169</v>
      </c>
      <c r="F480" s="38" t="s">
        <v>136</v>
      </c>
      <c r="G480" s="266">
        <v>5924</v>
      </c>
      <c r="H480" s="264">
        <f t="shared" si="15"/>
        <v>4</v>
      </c>
    </row>
    <row r="481" spans="1:8" x14ac:dyDescent="0.35">
      <c r="A481" s="38" t="s">
        <v>196</v>
      </c>
      <c r="B481" s="38" t="s">
        <v>246</v>
      </c>
      <c r="C481" s="38" t="s">
        <v>247</v>
      </c>
      <c r="D481" s="38" t="s">
        <v>376</v>
      </c>
      <c r="E481" s="38" t="s">
        <v>169</v>
      </c>
      <c r="F481" s="38" t="s">
        <v>136</v>
      </c>
      <c r="G481" s="266">
        <v>5924</v>
      </c>
      <c r="H481" s="264">
        <f t="shared" si="15"/>
        <v>5</v>
      </c>
    </row>
    <row r="482" spans="1:8" x14ac:dyDescent="0.35">
      <c r="A482" s="38" t="s">
        <v>196</v>
      </c>
      <c r="B482" s="38" t="s">
        <v>246</v>
      </c>
      <c r="C482" s="38" t="s">
        <v>247</v>
      </c>
      <c r="D482" s="38" t="s">
        <v>377</v>
      </c>
      <c r="E482" s="38" t="s">
        <v>169</v>
      </c>
      <c r="F482" s="38" t="s">
        <v>136</v>
      </c>
      <c r="G482" s="266">
        <v>5924</v>
      </c>
      <c r="H482" s="264">
        <f t="shared" si="13"/>
        <v>6</v>
      </c>
    </row>
    <row r="483" spans="1:8" x14ac:dyDescent="0.35">
      <c r="A483" s="38" t="s">
        <v>196</v>
      </c>
      <c r="B483" s="38" t="s">
        <v>246</v>
      </c>
      <c r="C483" s="38" t="s">
        <v>247</v>
      </c>
      <c r="D483" s="38" t="s">
        <v>378</v>
      </c>
      <c r="E483" s="38" t="s">
        <v>169</v>
      </c>
      <c r="F483" s="38" t="s">
        <v>136</v>
      </c>
      <c r="G483" s="266">
        <v>5924</v>
      </c>
      <c r="H483" s="264">
        <f t="shared" si="13"/>
        <v>7</v>
      </c>
    </row>
    <row r="484" spans="1:8" x14ac:dyDescent="0.35">
      <c r="A484" s="38" t="s">
        <v>196</v>
      </c>
      <c r="B484" s="38" t="s">
        <v>246</v>
      </c>
      <c r="C484" s="38" t="s">
        <v>247</v>
      </c>
      <c r="D484" s="38" t="s">
        <v>379</v>
      </c>
      <c r="E484" s="38" t="s">
        <v>169</v>
      </c>
      <c r="F484" s="38" t="s">
        <v>136</v>
      </c>
      <c r="G484" s="266">
        <v>5924</v>
      </c>
      <c r="H484" s="264">
        <f t="shared" si="13"/>
        <v>8</v>
      </c>
    </row>
    <row r="485" spans="1:8" x14ac:dyDescent="0.35">
      <c r="A485" s="38" t="s">
        <v>196</v>
      </c>
      <c r="B485" s="38" t="s">
        <v>233</v>
      </c>
      <c r="C485" s="38" t="s">
        <v>239</v>
      </c>
      <c r="D485" s="38" t="s">
        <v>372</v>
      </c>
      <c r="E485" s="38" t="s">
        <v>169</v>
      </c>
      <c r="F485" s="38" t="s">
        <v>136</v>
      </c>
      <c r="G485" s="266">
        <v>14574</v>
      </c>
      <c r="H485" s="264">
        <f t="shared" si="13"/>
        <v>1</v>
      </c>
    </row>
    <row r="486" spans="1:8" x14ac:dyDescent="0.35">
      <c r="A486" s="38" t="s">
        <v>196</v>
      </c>
      <c r="B486" s="38" t="s">
        <v>233</v>
      </c>
      <c r="C486" s="38" t="s">
        <v>239</v>
      </c>
      <c r="D486" s="38" t="s">
        <v>373</v>
      </c>
      <c r="E486" s="38" t="s">
        <v>169</v>
      </c>
      <c r="F486" s="38" t="s">
        <v>136</v>
      </c>
      <c r="G486" s="266">
        <v>14574</v>
      </c>
      <c r="H486" s="264">
        <f t="shared" si="13"/>
        <v>2</v>
      </c>
    </row>
    <row r="487" spans="1:8" x14ac:dyDescent="0.35">
      <c r="A487" s="38" t="s">
        <v>196</v>
      </c>
      <c r="B487" s="38" t="s">
        <v>233</v>
      </c>
      <c r="C487" s="38" t="s">
        <v>239</v>
      </c>
      <c r="D487" s="38" t="s">
        <v>374</v>
      </c>
      <c r="E487" s="38" t="s">
        <v>169</v>
      </c>
      <c r="F487" s="38" t="s">
        <v>136</v>
      </c>
      <c r="G487" s="266">
        <v>14574</v>
      </c>
      <c r="H487" s="264">
        <f t="shared" si="13"/>
        <v>3</v>
      </c>
    </row>
    <row r="488" spans="1:8" x14ac:dyDescent="0.35">
      <c r="A488" s="38" t="s">
        <v>196</v>
      </c>
      <c r="B488" s="38" t="s">
        <v>233</v>
      </c>
      <c r="C488" s="38" t="s">
        <v>239</v>
      </c>
      <c r="D488" s="38" t="s">
        <v>375</v>
      </c>
      <c r="E488" s="38" t="s">
        <v>169</v>
      </c>
      <c r="F488" s="38" t="s">
        <v>136</v>
      </c>
      <c r="G488" s="266">
        <v>14574</v>
      </c>
      <c r="H488" s="264">
        <f t="shared" si="13"/>
        <v>4</v>
      </c>
    </row>
    <row r="489" spans="1:8" x14ac:dyDescent="0.35">
      <c r="A489" s="38" t="s">
        <v>196</v>
      </c>
      <c r="B489" s="38" t="s">
        <v>233</v>
      </c>
      <c r="C489" s="38" t="s">
        <v>239</v>
      </c>
      <c r="D489" s="38" t="s">
        <v>376</v>
      </c>
      <c r="E489" s="38" t="s">
        <v>169</v>
      </c>
      <c r="F489" s="38" t="s">
        <v>136</v>
      </c>
      <c r="G489" s="266">
        <v>14574</v>
      </c>
      <c r="H489" s="264">
        <f t="shared" si="13"/>
        <v>5</v>
      </c>
    </row>
    <row r="490" spans="1:8" x14ac:dyDescent="0.35">
      <c r="A490" s="38" t="s">
        <v>196</v>
      </c>
      <c r="B490" s="38" t="s">
        <v>233</v>
      </c>
      <c r="C490" s="38" t="s">
        <v>239</v>
      </c>
      <c r="D490" s="38" t="s">
        <v>377</v>
      </c>
      <c r="E490" s="38" t="s">
        <v>169</v>
      </c>
      <c r="F490" s="38" t="s">
        <v>136</v>
      </c>
      <c r="G490" s="266">
        <v>14574</v>
      </c>
      <c r="H490" s="264">
        <f t="shared" si="13"/>
        <v>6</v>
      </c>
    </row>
    <row r="491" spans="1:8" x14ac:dyDescent="0.35">
      <c r="A491" s="38" t="s">
        <v>196</v>
      </c>
      <c r="B491" s="305" t="s">
        <v>233</v>
      </c>
      <c r="C491" s="305" t="s">
        <v>239</v>
      </c>
      <c r="D491" s="305" t="s">
        <v>378</v>
      </c>
      <c r="E491" s="305" t="s">
        <v>169</v>
      </c>
      <c r="F491" s="305" t="s">
        <v>136</v>
      </c>
      <c r="G491" s="509">
        <v>0</v>
      </c>
      <c r="H491" s="264">
        <f t="shared" si="13"/>
        <v>7</v>
      </c>
    </row>
    <row r="492" spans="1:8" x14ac:dyDescent="0.35">
      <c r="A492" s="38" t="s">
        <v>196</v>
      </c>
      <c r="B492" s="305" t="s">
        <v>233</v>
      </c>
      <c r="C492" s="305" t="s">
        <v>239</v>
      </c>
      <c r="D492" s="305" t="s">
        <v>379</v>
      </c>
      <c r="E492" s="305" t="s">
        <v>169</v>
      </c>
      <c r="F492" s="305" t="s">
        <v>136</v>
      </c>
      <c r="G492" s="509">
        <v>0</v>
      </c>
      <c r="H492" s="264">
        <f t="shared" si="13"/>
        <v>8</v>
      </c>
    </row>
    <row r="493" spans="1:8" x14ac:dyDescent="0.35">
      <c r="A493" s="38" t="s">
        <v>196</v>
      </c>
      <c r="B493" s="305" t="s">
        <v>233</v>
      </c>
      <c r="C493" s="305" t="s">
        <v>239</v>
      </c>
      <c r="D493" s="305" t="s">
        <v>380</v>
      </c>
      <c r="E493" s="305" t="s">
        <v>169</v>
      </c>
      <c r="F493" s="305" t="s">
        <v>136</v>
      </c>
      <c r="G493" s="509">
        <v>0</v>
      </c>
      <c r="H493" s="264">
        <f t="shared" si="13"/>
        <v>9</v>
      </c>
    </row>
    <row r="494" spans="1:8" x14ac:dyDescent="0.35">
      <c r="A494" s="38" t="s">
        <v>196</v>
      </c>
      <c r="B494" s="305" t="s">
        <v>233</v>
      </c>
      <c r="C494" s="305" t="s">
        <v>239</v>
      </c>
      <c r="D494" s="305" t="s">
        <v>381</v>
      </c>
      <c r="E494" s="305" t="s">
        <v>169</v>
      </c>
      <c r="F494" s="305" t="s">
        <v>136</v>
      </c>
      <c r="G494" s="509">
        <v>0</v>
      </c>
      <c r="H494" s="264">
        <f t="shared" si="13"/>
        <v>10</v>
      </c>
    </row>
    <row r="495" spans="1:8" x14ac:dyDescent="0.35">
      <c r="A495" s="38" t="s">
        <v>196</v>
      </c>
      <c r="B495" s="305" t="s">
        <v>233</v>
      </c>
      <c r="C495" s="305" t="s">
        <v>239</v>
      </c>
      <c r="D495" s="305" t="s">
        <v>382</v>
      </c>
      <c r="E495" s="305" t="s">
        <v>169</v>
      </c>
      <c r="F495" s="305" t="s">
        <v>136</v>
      </c>
      <c r="G495" s="509">
        <v>0</v>
      </c>
      <c r="H495" s="264">
        <f t="shared" si="13"/>
        <v>11</v>
      </c>
    </row>
    <row r="496" spans="1:8" x14ac:dyDescent="0.35">
      <c r="A496" s="38" t="s">
        <v>196</v>
      </c>
      <c r="B496" s="305" t="s">
        <v>233</v>
      </c>
      <c r="C496" s="305" t="s">
        <v>239</v>
      </c>
      <c r="D496" s="305" t="s">
        <v>383</v>
      </c>
      <c r="E496" s="305" t="s">
        <v>169</v>
      </c>
      <c r="F496" s="305" t="s">
        <v>136</v>
      </c>
      <c r="G496" s="509">
        <v>0</v>
      </c>
      <c r="H496" s="264">
        <f t="shared" si="13"/>
        <v>12</v>
      </c>
    </row>
    <row r="497" spans="1:8" x14ac:dyDescent="0.35">
      <c r="A497" s="38" t="s">
        <v>205</v>
      </c>
      <c r="B497" s="38" t="s">
        <v>206</v>
      </c>
      <c r="C497" s="38" t="s">
        <v>207</v>
      </c>
      <c r="D497" s="38" t="s">
        <v>372</v>
      </c>
      <c r="E497" s="38" t="s">
        <v>169</v>
      </c>
      <c r="F497" s="38" t="s">
        <v>136</v>
      </c>
      <c r="G497" s="266">
        <v>8322.19</v>
      </c>
      <c r="H497" s="264">
        <f t="shared" si="13"/>
        <v>1</v>
      </c>
    </row>
    <row r="498" spans="1:8" x14ac:dyDescent="0.35">
      <c r="A498" s="38" t="s">
        <v>205</v>
      </c>
      <c r="B498" s="38" t="s">
        <v>206</v>
      </c>
      <c r="C498" s="38" t="s">
        <v>207</v>
      </c>
      <c r="D498" s="38" t="s">
        <v>373</v>
      </c>
      <c r="E498" s="38" t="s">
        <v>169</v>
      </c>
      <c r="F498" s="38" t="s">
        <v>136</v>
      </c>
      <c r="G498" s="266">
        <v>8322.19</v>
      </c>
      <c r="H498" s="264">
        <f t="shared" si="13"/>
        <v>2</v>
      </c>
    </row>
    <row r="499" spans="1:8" x14ac:dyDescent="0.35">
      <c r="A499" s="38" t="s">
        <v>205</v>
      </c>
      <c r="B499" s="38" t="s">
        <v>206</v>
      </c>
      <c r="C499" s="38" t="s">
        <v>207</v>
      </c>
      <c r="D499" s="38" t="s">
        <v>374</v>
      </c>
      <c r="E499" s="38" t="s">
        <v>169</v>
      </c>
      <c r="F499" s="38" t="s">
        <v>136</v>
      </c>
      <c r="G499" s="266">
        <v>8322.19</v>
      </c>
      <c r="H499" s="264">
        <f t="shared" si="13"/>
        <v>3</v>
      </c>
    </row>
    <row r="500" spans="1:8" x14ac:dyDescent="0.35">
      <c r="A500" s="38" t="s">
        <v>205</v>
      </c>
      <c r="B500" s="38" t="s">
        <v>206</v>
      </c>
      <c r="C500" s="38" t="s">
        <v>207</v>
      </c>
      <c r="D500" s="38" t="s">
        <v>375</v>
      </c>
      <c r="E500" s="38" t="s">
        <v>169</v>
      </c>
      <c r="F500" s="38" t="s">
        <v>136</v>
      </c>
      <c r="G500" s="266">
        <v>8322.19</v>
      </c>
      <c r="H500" s="264">
        <f t="shared" si="13"/>
        <v>4</v>
      </c>
    </row>
    <row r="501" spans="1:8" x14ac:dyDescent="0.35">
      <c r="A501" s="38" t="s">
        <v>205</v>
      </c>
      <c r="B501" s="38" t="s">
        <v>206</v>
      </c>
      <c r="C501" s="38" t="s">
        <v>207</v>
      </c>
      <c r="D501" s="38" t="s">
        <v>376</v>
      </c>
      <c r="E501" s="38" t="s">
        <v>169</v>
      </c>
      <c r="F501" s="38" t="s">
        <v>136</v>
      </c>
      <c r="G501" s="266">
        <v>8322.19</v>
      </c>
      <c r="H501" s="264">
        <f t="shared" si="13"/>
        <v>5</v>
      </c>
    </row>
    <row r="502" spans="1:8" x14ac:dyDescent="0.35">
      <c r="A502" s="38" t="s">
        <v>205</v>
      </c>
      <c r="B502" s="38" t="s">
        <v>206</v>
      </c>
      <c r="C502" s="38" t="s">
        <v>207</v>
      </c>
      <c r="D502" s="38" t="s">
        <v>377</v>
      </c>
      <c r="E502" s="38" t="s">
        <v>169</v>
      </c>
      <c r="F502" s="38" t="s">
        <v>136</v>
      </c>
      <c r="G502" s="266">
        <v>8322.19</v>
      </c>
      <c r="H502" s="264">
        <f t="shared" si="13"/>
        <v>6</v>
      </c>
    </row>
    <row r="503" spans="1:8" x14ac:dyDescent="0.35">
      <c r="A503" s="38" t="s">
        <v>205</v>
      </c>
      <c r="B503" s="38" t="s">
        <v>206</v>
      </c>
      <c r="C503" s="38" t="s">
        <v>207</v>
      </c>
      <c r="D503" s="38" t="s">
        <v>378</v>
      </c>
      <c r="E503" s="38" t="s">
        <v>169</v>
      </c>
      <c r="F503" s="38" t="s">
        <v>136</v>
      </c>
      <c r="G503" s="266">
        <v>8322.19</v>
      </c>
      <c r="H503" s="264">
        <f t="shared" si="13"/>
        <v>7</v>
      </c>
    </row>
    <row r="504" spans="1:8" x14ac:dyDescent="0.35">
      <c r="A504" s="38" t="s">
        <v>205</v>
      </c>
      <c r="B504" s="38" t="s">
        <v>206</v>
      </c>
      <c r="C504" s="38" t="s">
        <v>207</v>
      </c>
      <c r="D504" s="38" t="s">
        <v>379</v>
      </c>
      <c r="E504" s="38" t="s">
        <v>169</v>
      </c>
      <c r="F504" s="38" t="s">
        <v>136</v>
      </c>
      <c r="G504" s="266">
        <v>8322.19</v>
      </c>
      <c r="H504" s="264">
        <f t="shared" si="13"/>
        <v>8</v>
      </c>
    </row>
    <row r="505" spans="1:8" x14ac:dyDescent="0.35">
      <c r="A505" s="38" t="s">
        <v>205</v>
      </c>
      <c r="B505" s="38" t="s">
        <v>206</v>
      </c>
      <c r="C505" s="38" t="s">
        <v>207</v>
      </c>
      <c r="D505" s="38" t="s">
        <v>380</v>
      </c>
      <c r="E505" s="38" t="s">
        <v>169</v>
      </c>
      <c r="F505" s="38" t="s">
        <v>136</v>
      </c>
      <c r="G505" s="266">
        <v>8322.19</v>
      </c>
      <c r="H505" s="264">
        <f t="shared" si="13"/>
        <v>9</v>
      </c>
    </row>
    <row r="506" spans="1:8" x14ac:dyDescent="0.35">
      <c r="A506" s="38" t="s">
        <v>205</v>
      </c>
      <c r="B506" s="38" t="s">
        <v>206</v>
      </c>
      <c r="C506" s="38" t="s">
        <v>207</v>
      </c>
      <c r="D506" s="38" t="s">
        <v>381</v>
      </c>
      <c r="E506" s="38" t="s">
        <v>169</v>
      </c>
      <c r="F506" s="38" t="s">
        <v>136</v>
      </c>
      <c r="G506" s="266">
        <v>8322.19</v>
      </c>
      <c r="H506" s="264">
        <f t="shared" si="13"/>
        <v>10</v>
      </c>
    </row>
    <row r="507" spans="1:8" x14ac:dyDescent="0.35">
      <c r="A507" s="38" t="s">
        <v>205</v>
      </c>
      <c r="B507" s="38" t="s">
        <v>206</v>
      </c>
      <c r="C507" s="38" t="s">
        <v>207</v>
      </c>
      <c r="D507" s="38" t="s">
        <v>382</v>
      </c>
      <c r="E507" s="38" t="s">
        <v>169</v>
      </c>
      <c r="F507" s="38" t="s">
        <v>136</v>
      </c>
      <c r="G507" s="266">
        <v>8322.19</v>
      </c>
      <c r="H507" s="264">
        <f t="shared" si="13"/>
        <v>11</v>
      </c>
    </row>
    <row r="508" spans="1:8" x14ac:dyDescent="0.35">
      <c r="A508" s="38" t="s">
        <v>205</v>
      </c>
      <c r="B508" s="38" t="s">
        <v>206</v>
      </c>
      <c r="C508" s="38" t="s">
        <v>207</v>
      </c>
      <c r="D508" s="38" t="s">
        <v>383</v>
      </c>
      <c r="E508" s="38" t="s">
        <v>169</v>
      </c>
      <c r="F508" s="38" t="s">
        <v>136</v>
      </c>
      <c r="G508" s="266">
        <v>8322.19</v>
      </c>
      <c r="H508" s="264">
        <f t="shared" si="13"/>
        <v>12</v>
      </c>
    </row>
    <row r="509" spans="1:8" x14ac:dyDescent="0.35">
      <c r="A509" s="38" t="s">
        <v>205</v>
      </c>
      <c r="B509" s="38" t="s">
        <v>208</v>
      </c>
      <c r="C509" s="38" t="s">
        <v>209</v>
      </c>
      <c r="D509" s="38" t="s">
        <v>372</v>
      </c>
      <c r="E509" s="38" t="s">
        <v>169</v>
      </c>
      <c r="F509" s="38" t="s">
        <v>136</v>
      </c>
      <c r="G509" s="266">
        <v>2367.56</v>
      </c>
      <c r="H509" s="264">
        <f t="shared" si="13"/>
        <v>1</v>
      </c>
    </row>
    <row r="510" spans="1:8" x14ac:dyDescent="0.35">
      <c r="A510" s="38" t="s">
        <v>210</v>
      </c>
      <c r="B510" s="38" t="s">
        <v>211</v>
      </c>
      <c r="C510" s="38" t="s">
        <v>343</v>
      </c>
      <c r="D510" s="38" t="s">
        <v>372</v>
      </c>
      <c r="E510" s="38" t="s">
        <v>169</v>
      </c>
      <c r="F510" s="38" t="s">
        <v>136</v>
      </c>
      <c r="G510" s="266">
        <v>10512.77</v>
      </c>
      <c r="H510" s="264">
        <f t="shared" si="13"/>
        <v>1</v>
      </c>
    </row>
    <row r="511" spans="1:8" x14ac:dyDescent="0.35">
      <c r="A511" s="38" t="s">
        <v>210</v>
      </c>
      <c r="B511" s="38" t="s">
        <v>211</v>
      </c>
      <c r="C511" s="38" t="s">
        <v>343</v>
      </c>
      <c r="D511" s="38" t="s">
        <v>373</v>
      </c>
      <c r="E511" s="38" t="s">
        <v>169</v>
      </c>
      <c r="F511" s="38" t="s">
        <v>136</v>
      </c>
      <c r="G511" s="266">
        <v>10512.77</v>
      </c>
      <c r="H511" s="264">
        <f t="shared" si="13"/>
        <v>2</v>
      </c>
    </row>
    <row r="512" spans="1:8" x14ac:dyDescent="0.35">
      <c r="A512" s="38" t="s">
        <v>210</v>
      </c>
      <c r="B512" s="38" t="s">
        <v>211</v>
      </c>
      <c r="C512" s="38" t="s">
        <v>343</v>
      </c>
      <c r="D512" s="38" t="s">
        <v>374</v>
      </c>
      <c r="E512" s="38" t="s">
        <v>169</v>
      </c>
      <c r="F512" s="38" t="s">
        <v>136</v>
      </c>
      <c r="G512" s="266">
        <v>10512.77</v>
      </c>
      <c r="H512" s="264">
        <f t="shared" si="13"/>
        <v>3</v>
      </c>
    </row>
    <row r="513" spans="1:8" x14ac:dyDescent="0.35">
      <c r="A513" s="38" t="s">
        <v>210</v>
      </c>
      <c r="B513" s="38" t="s">
        <v>211</v>
      </c>
      <c r="C513" s="38" t="s">
        <v>343</v>
      </c>
      <c r="D513" s="38" t="s">
        <v>375</v>
      </c>
      <c r="E513" s="38" t="s">
        <v>169</v>
      </c>
      <c r="F513" s="38" t="s">
        <v>136</v>
      </c>
      <c r="G513" s="266">
        <v>10512.77</v>
      </c>
      <c r="H513" s="264">
        <f t="shared" si="13"/>
        <v>4</v>
      </c>
    </row>
    <row r="514" spans="1:8" x14ac:dyDescent="0.35">
      <c r="A514" s="38" t="s">
        <v>210</v>
      </c>
      <c r="B514" s="38" t="s">
        <v>211</v>
      </c>
      <c r="C514" s="38" t="s">
        <v>343</v>
      </c>
      <c r="D514" s="38" t="s">
        <v>376</v>
      </c>
      <c r="E514" s="38" t="s">
        <v>169</v>
      </c>
      <c r="F514" s="38" t="s">
        <v>136</v>
      </c>
      <c r="G514" s="266">
        <v>10512.77</v>
      </c>
      <c r="H514" s="264">
        <f t="shared" si="13"/>
        <v>5</v>
      </c>
    </row>
    <row r="515" spans="1:8" x14ac:dyDescent="0.35">
      <c r="A515" s="38" t="s">
        <v>210</v>
      </c>
      <c r="B515" s="38" t="s">
        <v>211</v>
      </c>
      <c r="C515" s="38" t="s">
        <v>343</v>
      </c>
      <c r="D515" s="38" t="s">
        <v>377</v>
      </c>
      <c r="E515" s="38" t="s">
        <v>169</v>
      </c>
      <c r="F515" s="38" t="s">
        <v>136</v>
      </c>
      <c r="G515" s="266">
        <v>10512.77</v>
      </c>
      <c r="H515" s="264">
        <f t="shared" si="13"/>
        <v>6</v>
      </c>
    </row>
    <row r="516" spans="1:8" x14ac:dyDescent="0.35">
      <c r="A516" s="38" t="s">
        <v>210</v>
      </c>
      <c r="B516" s="38" t="s">
        <v>211</v>
      </c>
      <c r="C516" s="38" t="s">
        <v>343</v>
      </c>
      <c r="D516" s="38" t="s">
        <v>378</v>
      </c>
      <c r="E516" s="38" t="s">
        <v>169</v>
      </c>
      <c r="F516" s="38" t="s">
        <v>136</v>
      </c>
      <c r="G516" s="266">
        <v>10512.77</v>
      </c>
      <c r="H516" s="264">
        <f t="shared" si="13"/>
        <v>7</v>
      </c>
    </row>
    <row r="517" spans="1:8" x14ac:dyDescent="0.35">
      <c r="A517" s="38" t="s">
        <v>210</v>
      </c>
      <c r="B517" s="38" t="s">
        <v>211</v>
      </c>
      <c r="C517" s="38" t="s">
        <v>343</v>
      </c>
      <c r="D517" s="38" t="s">
        <v>379</v>
      </c>
      <c r="E517" s="38" t="s">
        <v>169</v>
      </c>
      <c r="F517" s="38" t="s">
        <v>136</v>
      </c>
      <c r="G517" s="266">
        <v>10512.77</v>
      </c>
      <c r="H517" s="264">
        <f t="shared" si="13"/>
        <v>8</v>
      </c>
    </row>
    <row r="518" spans="1:8" x14ac:dyDescent="0.35">
      <c r="A518" s="38" t="s">
        <v>210</v>
      </c>
      <c r="B518" s="38" t="s">
        <v>211</v>
      </c>
      <c r="C518" s="38" t="s">
        <v>343</v>
      </c>
      <c r="D518" s="38" t="s">
        <v>380</v>
      </c>
      <c r="E518" s="38" t="s">
        <v>169</v>
      </c>
      <c r="F518" s="38" t="s">
        <v>136</v>
      </c>
      <c r="G518" s="266">
        <v>10512.77</v>
      </c>
      <c r="H518" s="264">
        <f t="shared" si="13"/>
        <v>9</v>
      </c>
    </row>
    <row r="519" spans="1:8" x14ac:dyDescent="0.35">
      <c r="A519" s="38" t="s">
        <v>210</v>
      </c>
      <c r="B519" s="38" t="s">
        <v>211</v>
      </c>
      <c r="C519" s="38" t="s">
        <v>343</v>
      </c>
      <c r="D519" s="38" t="s">
        <v>381</v>
      </c>
      <c r="E519" s="38" t="s">
        <v>169</v>
      </c>
      <c r="F519" s="38" t="s">
        <v>136</v>
      </c>
      <c r="G519" s="266">
        <v>10512.77</v>
      </c>
      <c r="H519" s="264">
        <f t="shared" si="13"/>
        <v>10</v>
      </c>
    </row>
    <row r="520" spans="1:8" x14ac:dyDescent="0.35">
      <c r="A520" s="38" t="s">
        <v>210</v>
      </c>
      <c r="B520" s="38" t="s">
        <v>211</v>
      </c>
      <c r="C520" s="38" t="s">
        <v>343</v>
      </c>
      <c r="D520" s="38" t="s">
        <v>382</v>
      </c>
      <c r="E520" s="38" t="s">
        <v>169</v>
      </c>
      <c r="F520" s="38" t="s">
        <v>136</v>
      </c>
      <c r="G520" s="266">
        <v>10512.77</v>
      </c>
      <c r="H520" s="264">
        <f t="shared" si="13"/>
        <v>11</v>
      </c>
    </row>
    <row r="521" spans="1:8" x14ac:dyDescent="0.35">
      <c r="A521" s="38" t="s">
        <v>210</v>
      </c>
      <c r="B521" s="38" t="s">
        <v>211</v>
      </c>
      <c r="C521" s="38" t="s">
        <v>343</v>
      </c>
      <c r="D521" s="38" t="s">
        <v>383</v>
      </c>
      <c r="E521" s="38" t="s">
        <v>169</v>
      </c>
      <c r="F521" s="38" t="s">
        <v>136</v>
      </c>
      <c r="G521" s="266">
        <v>10512.77</v>
      </c>
      <c r="H521" s="264">
        <f t="shared" si="13"/>
        <v>12</v>
      </c>
    </row>
    <row r="522" spans="1:8" x14ac:dyDescent="0.35">
      <c r="A522" s="38" t="s">
        <v>212</v>
      </c>
      <c r="B522" s="38" t="s">
        <v>213</v>
      </c>
      <c r="C522" s="38" t="s">
        <v>214</v>
      </c>
      <c r="D522" s="38" t="s">
        <v>372</v>
      </c>
      <c r="E522" s="38" t="s">
        <v>169</v>
      </c>
      <c r="F522" s="38" t="s">
        <v>136</v>
      </c>
      <c r="G522" s="266">
        <v>12000</v>
      </c>
      <c r="H522" s="264">
        <f t="shared" si="13"/>
        <v>1</v>
      </c>
    </row>
    <row r="523" spans="1:8" x14ac:dyDescent="0.35">
      <c r="A523" s="38" t="s">
        <v>212</v>
      </c>
      <c r="B523" s="38" t="s">
        <v>213</v>
      </c>
      <c r="C523" s="38" t="s">
        <v>214</v>
      </c>
      <c r="D523" s="38" t="s">
        <v>373</v>
      </c>
      <c r="E523" s="38" t="s">
        <v>169</v>
      </c>
      <c r="F523" s="38" t="s">
        <v>136</v>
      </c>
      <c r="G523" s="266">
        <v>12000</v>
      </c>
      <c r="H523" s="264">
        <f t="shared" si="13"/>
        <v>2</v>
      </c>
    </row>
    <row r="524" spans="1:8" x14ac:dyDescent="0.35">
      <c r="A524" s="38" t="s">
        <v>212</v>
      </c>
      <c r="B524" s="38" t="s">
        <v>213</v>
      </c>
      <c r="C524" s="38" t="s">
        <v>214</v>
      </c>
      <c r="D524" s="38" t="s">
        <v>374</v>
      </c>
      <c r="E524" s="38" t="s">
        <v>169</v>
      </c>
      <c r="F524" s="38" t="s">
        <v>136</v>
      </c>
      <c r="G524" s="266">
        <v>12000</v>
      </c>
      <c r="H524" s="264">
        <f t="shared" si="13"/>
        <v>3</v>
      </c>
    </row>
    <row r="525" spans="1:8" x14ac:dyDescent="0.35">
      <c r="A525" s="38" t="s">
        <v>212</v>
      </c>
      <c r="B525" s="38" t="s">
        <v>213</v>
      </c>
      <c r="C525" s="38" t="s">
        <v>214</v>
      </c>
      <c r="D525" s="38" t="s">
        <v>375</v>
      </c>
      <c r="E525" s="38" t="s">
        <v>169</v>
      </c>
      <c r="F525" s="38" t="s">
        <v>136</v>
      </c>
      <c r="G525" s="266">
        <v>12000</v>
      </c>
      <c r="H525" s="264">
        <f t="shared" si="13"/>
        <v>4</v>
      </c>
    </row>
    <row r="526" spans="1:8" x14ac:dyDescent="0.35">
      <c r="A526" s="38" t="s">
        <v>212</v>
      </c>
      <c r="B526" s="38" t="s">
        <v>213</v>
      </c>
      <c r="C526" s="38" t="s">
        <v>214</v>
      </c>
      <c r="D526" s="38" t="s">
        <v>376</v>
      </c>
      <c r="E526" s="38" t="s">
        <v>169</v>
      </c>
      <c r="F526" s="38" t="s">
        <v>136</v>
      </c>
      <c r="G526" s="266">
        <v>12000</v>
      </c>
      <c r="H526" s="264">
        <f t="shared" si="13"/>
        <v>5</v>
      </c>
    </row>
    <row r="527" spans="1:8" x14ac:dyDescent="0.35">
      <c r="A527" s="38" t="s">
        <v>212</v>
      </c>
      <c r="B527" s="38" t="s">
        <v>213</v>
      </c>
      <c r="C527" s="38" t="s">
        <v>214</v>
      </c>
      <c r="D527" s="38" t="s">
        <v>377</v>
      </c>
      <c r="E527" s="38" t="s">
        <v>169</v>
      </c>
      <c r="F527" s="38" t="s">
        <v>136</v>
      </c>
      <c r="G527" s="266">
        <v>12000</v>
      </c>
      <c r="H527" s="264">
        <f t="shared" si="13"/>
        <v>6</v>
      </c>
    </row>
    <row r="528" spans="1:8" x14ac:dyDescent="0.35">
      <c r="A528" s="38" t="s">
        <v>212</v>
      </c>
      <c r="B528" s="38" t="s">
        <v>213</v>
      </c>
      <c r="C528" s="38" t="s">
        <v>214</v>
      </c>
      <c r="D528" s="38" t="s">
        <v>378</v>
      </c>
      <c r="E528" s="38" t="s">
        <v>169</v>
      </c>
      <c r="F528" s="38" t="s">
        <v>136</v>
      </c>
      <c r="G528" s="266">
        <v>12000</v>
      </c>
      <c r="H528" s="264">
        <f t="shared" si="13"/>
        <v>7</v>
      </c>
    </row>
    <row r="529" spans="1:8" x14ac:dyDescent="0.35">
      <c r="A529" s="38" t="s">
        <v>212</v>
      </c>
      <c r="B529" s="38" t="s">
        <v>213</v>
      </c>
      <c r="C529" s="38" t="s">
        <v>214</v>
      </c>
      <c r="D529" s="38" t="s">
        <v>379</v>
      </c>
      <c r="E529" s="38" t="s">
        <v>169</v>
      </c>
      <c r="F529" s="38" t="s">
        <v>136</v>
      </c>
      <c r="G529" s="266">
        <v>12000</v>
      </c>
      <c r="H529" s="264">
        <f t="shared" si="13"/>
        <v>8</v>
      </c>
    </row>
    <row r="530" spans="1:8" x14ac:dyDescent="0.35">
      <c r="A530" s="38" t="s">
        <v>212</v>
      </c>
      <c r="B530" s="38" t="s">
        <v>213</v>
      </c>
      <c r="C530" s="38" t="s">
        <v>214</v>
      </c>
      <c r="D530" s="38" t="s">
        <v>380</v>
      </c>
      <c r="E530" s="38" t="s">
        <v>169</v>
      </c>
      <c r="F530" s="38" t="s">
        <v>136</v>
      </c>
      <c r="G530" s="266">
        <v>12000</v>
      </c>
      <c r="H530" s="264">
        <f t="shared" si="13"/>
        <v>9</v>
      </c>
    </row>
    <row r="531" spans="1:8" x14ac:dyDescent="0.35">
      <c r="A531" s="38" t="s">
        <v>212</v>
      </c>
      <c r="B531" s="38" t="s">
        <v>213</v>
      </c>
      <c r="C531" s="38" t="s">
        <v>214</v>
      </c>
      <c r="D531" s="38" t="s">
        <v>381</v>
      </c>
      <c r="E531" s="38" t="s">
        <v>169</v>
      </c>
      <c r="F531" s="38" t="s">
        <v>136</v>
      </c>
      <c r="G531" s="266">
        <v>12000</v>
      </c>
      <c r="H531" s="264">
        <f t="shared" si="13"/>
        <v>10</v>
      </c>
    </row>
    <row r="532" spans="1:8" x14ac:dyDescent="0.35">
      <c r="A532" s="38" t="s">
        <v>212</v>
      </c>
      <c r="B532" s="38" t="s">
        <v>213</v>
      </c>
      <c r="C532" s="38" t="s">
        <v>214</v>
      </c>
      <c r="D532" s="38" t="s">
        <v>382</v>
      </c>
      <c r="E532" s="38" t="s">
        <v>169</v>
      </c>
      <c r="F532" s="38" t="s">
        <v>136</v>
      </c>
      <c r="G532" s="266">
        <v>12000</v>
      </c>
      <c r="H532" s="264">
        <f t="shared" si="13"/>
        <v>11</v>
      </c>
    </row>
    <row r="533" spans="1:8" x14ac:dyDescent="0.35">
      <c r="A533" s="38" t="s">
        <v>212</v>
      </c>
      <c r="B533" s="38" t="s">
        <v>213</v>
      </c>
      <c r="C533" s="38" t="s">
        <v>214</v>
      </c>
      <c r="D533" s="38" t="s">
        <v>383</v>
      </c>
      <c r="E533" s="38" t="s">
        <v>169</v>
      </c>
      <c r="F533" s="38" t="s">
        <v>136</v>
      </c>
      <c r="G533" s="266">
        <v>12000</v>
      </c>
      <c r="H533" s="264">
        <f t="shared" si="13"/>
        <v>12</v>
      </c>
    </row>
    <row r="534" spans="1:8" x14ac:dyDescent="0.35">
      <c r="A534" s="38"/>
      <c r="B534" s="38"/>
      <c r="C534" s="38"/>
      <c r="D534" s="38"/>
      <c r="E534" s="38"/>
      <c r="F534" s="38"/>
      <c r="G534" s="267"/>
      <c r="H534" s="264">
        <f t="shared" si="13"/>
        <v>0</v>
      </c>
    </row>
    <row r="535" spans="1:8" x14ac:dyDescent="0.35">
      <c r="A535" s="38"/>
      <c r="B535" s="38"/>
      <c r="C535" s="38"/>
      <c r="D535" s="38"/>
      <c r="E535" s="38"/>
      <c r="F535" s="38"/>
      <c r="G535" s="267"/>
      <c r="H535" s="264">
        <f t="shared" si="13"/>
        <v>0</v>
      </c>
    </row>
    <row r="536" spans="1:8" x14ac:dyDescent="0.35">
      <c r="A536" s="38"/>
      <c r="B536" s="38"/>
      <c r="C536" s="38"/>
      <c r="D536" s="38"/>
      <c r="E536" s="38"/>
      <c r="F536" s="38"/>
      <c r="G536" s="267"/>
      <c r="H536" s="264">
        <f t="shared" si="13"/>
        <v>0</v>
      </c>
    </row>
    <row r="537" spans="1:8" x14ac:dyDescent="0.35">
      <c r="A537" s="38"/>
      <c r="B537" s="38"/>
      <c r="C537" s="38"/>
      <c r="D537" s="38"/>
      <c r="E537" s="38"/>
      <c r="F537" s="38"/>
      <c r="G537" s="267"/>
      <c r="H537" s="264">
        <f t="shared" si="13"/>
        <v>0</v>
      </c>
    </row>
    <row r="538" spans="1:8" x14ac:dyDescent="0.35">
      <c r="A538" s="38"/>
      <c r="B538" s="38"/>
      <c r="C538" s="38"/>
      <c r="D538" s="38"/>
      <c r="E538" s="38"/>
      <c r="F538" s="38"/>
      <c r="G538" s="267"/>
      <c r="H538" s="264">
        <f t="shared" si="13"/>
        <v>0</v>
      </c>
    </row>
    <row r="539" spans="1:8" x14ac:dyDescent="0.35">
      <c r="A539" s="38"/>
      <c r="B539" s="38"/>
      <c r="C539" s="38"/>
      <c r="D539" s="38"/>
      <c r="E539" s="38"/>
      <c r="F539" s="38"/>
      <c r="G539" s="267"/>
      <c r="H539" s="264">
        <f t="shared" si="13"/>
        <v>0</v>
      </c>
    </row>
    <row r="540" spans="1:8" x14ac:dyDescent="0.35">
      <c r="A540" s="38"/>
      <c r="B540" s="38"/>
      <c r="C540" s="38"/>
      <c r="D540" s="38"/>
      <c r="E540" s="38"/>
      <c r="F540" s="38"/>
      <c r="G540" s="267"/>
      <c r="H540" s="264">
        <f t="shared" si="13"/>
        <v>0</v>
      </c>
    </row>
    <row r="541" spans="1:8" x14ac:dyDescent="0.35">
      <c r="A541" s="38"/>
      <c r="B541" s="38"/>
      <c r="C541" s="38"/>
      <c r="D541" s="38"/>
      <c r="E541" s="38"/>
      <c r="F541" s="38"/>
      <c r="G541" s="267"/>
      <c r="H541" s="264">
        <f t="shared" si="13"/>
        <v>0</v>
      </c>
    </row>
    <row r="542" spans="1:8" x14ac:dyDescent="0.35">
      <c r="A542" s="38"/>
      <c r="B542" s="38"/>
      <c r="C542" s="38"/>
      <c r="D542" s="38"/>
      <c r="E542" s="38"/>
      <c r="F542" s="38"/>
      <c r="G542" s="267"/>
      <c r="H542" s="264">
        <f t="shared" ref="H542:H602" si="16">IF(D542="",0,MONTH(D542))</f>
        <v>0</v>
      </c>
    </row>
    <row r="543" spans="1:8" x14ac:dyDescent="0.35">
      <c r="A543" s="38"/>
      <c r="B543" s="38"/>
      <c r="C543" s="38"/>
      <c r="D543" s="38"/>
      <c r="E543" s="38"/>
      <c r="F543" s="38"/>
      <c r="G543" s="267"/>
      <c r="H543" s="264">
        <f t="shared" si="16"/>
        <v>0</v>
      </c>
    </row>
    <row r="544" spans="1:8" x14ac:dyDescent="0.35">
      <c r="A544" s="38"/>
      <c r="B544" s="38"/>
      <c r="C544" s="38"/>
      <c r="D544" s="38"/>
      <c r="E544" s="38"/>
      <c r="F544" s="38"/>
      <c r="G544" s="267"/>
      <c r="H544" s="264">
        <f t="shared" si="16"/>
        <v>0</v>
      </c>
    </row>
    <row r="545" spans="1:8" x14ac:dyDescent="0.35">
      <c r="A545" s="38"/>
      <c r="B545" s="38"/>
      <c r="C545" s="38"/>
      <c r="D545" s="38"/>
      <c r="E545" s="38"/>
      <c r="F545" s="38"/>
      <c r="G545" s="267"/>
      <c r="H545" s="264">
        <f t="shared" si="16"/>
        <v>0</v>
      </c>
    </row>
    <row r="546" spans="1:8" x14ac:dyDescent="0.35">
      <c r="A546" s="38"/>
      <c r="B546" s="38"/>
      <c r="C546" s="38"/>
      <c r="D546" s="38"/>
      <c r="E546" s="38"/>
      <c r="F546" s="38"/>
      <c r="G546" s="267"/>
      <c r="H546" s="264">
        <f t="shared" si="16"/>
        <v>0</v>
      </c>
    </row>
    <row r="547" spans="1:8" x14ac:dyDescent="0.35">
      <c r="A547" s="38"/>
      <c r="B547" s="38"/>
      <c r="C547" s="38"/>
      <c r="D547" s="38"/>
      <c r="E547" s="38"/>
      <c r="F547" s="38"/>
      <c r="G547" s="267"/>
      <c r="H547" s="264">
        <f t="shared" si="16"/>
        <v>0</v>
      </c>
    </row>
    <row r="548" spans="1:8" x14ac:dyDescent="0.35">
      <c r="A548" s="38"/>
      <c r="B548" s="38"/>
      <c r="C548" s="38"/>
      <c r="D548" s="38"/>
      <c r="E548" s="38"/>
      <c r="F548" s="38"/>
      <c r="G548" s="267"/>
      <c r="H548" s="264">
        <f t="shared" si="16"/>
        <v>0</v>
      </c>
    </row>
    <row r="549" spans="1:8" x14ac:dyDescent="0.35">
      <c r="A549" s="38"/>
      <c r="B549" s="38"/>
      <c r="C549" s="38"/>
      <c r="D549" s="38"/>
      <c r="E549" s="38"/>
      <c r="F549" s="38"/>
      <c r="G549" s="267"/>
      <c r="H549" s="264">
        <f t="shared" si="16"/>
        <v>0</v>
      </c>
    </row>
    <row r="550" spans="1:8" x14ac:dyDescent="0.35">
      <c r="A550" s="38"/>
      <c r="B550" s="38"/>
      <c r="C550" s="38"/>
      <c r="D550" s="38"/>
      <c r="E550" s="38"/>
      <c r="F550" s="38"/>
      <c r="G550" s="267"/>
      <c r="H550" s="264">
        <f t="shared" si="16"/>
        <v>0</v>
      </c>
    </row>
    <row r="551" spans="1:8" x14ac:dyDescent="0.35">
      <c r="A551" s="38"/>
      <c r="B551" s="38"/>
      <c r="C551" s="38"/>
      <c r="D551" s="38"/>
      <c r="E551" s="38"/>
      <c r="F551" s="38"/>
      <c r="G551" s="267"/>
      <c r="H551" s="264">
        <f t="shared" si="16"/>
        <v>0</v>
      </c>
    </row>
    <row r="552" spans="1:8" s="130" customFormat="1" x14ac:dyDescent="0.35">
      <c r="A552" s="38"/>
      <c r="B552" s="38"/>
      <c r="C552" s="38"/>
      <c r="D552" s="38"/>
      <c r="E552" s="38"/>
      <c r="F552" s="38"/>
      <c r="G552" s="267"/>
      <c r="H552" s="264">
        <f t="shared" ref="H552:H559" si="17">IF(D552="",0,MONTH(D552))</f>
        <v>0</v>
      </c>
    </row>
    <row r="553" spans="1:8" s="130" customFormat="1" x14ac:dyDescent="0.35">
      <c r="A553" s="38"/>
      <c r="B553" s="38"/>
      <c r="C553" s="38"/>
      <c r="D553" s="38"/>
      <c r="E553" s="38"/>
      <c r="F553" s="38"/>
      <c r="G553" s="267"/>
      <c r="H553" s="264">
        <f t="shared" si="17"/>
        <v>0</v>
      </c>
    </row>
    <row r="554" spans="1:8" s="130" customFormat="1" x14ac:dyDescent="0.35">
      <c r="A554" s="38"/>
      <c r="B554" s="38"/>
      <c r="C554" s="38"/>
      <c r="D554" s="38"/>
      <c r="E554" s="38"/>
      <c r="F554" s="38"/>
      <c r="G554" s="267"/>
      <c r="H554" s="264">
        <f t="shared" si="17"/>
        <v>0</v>
      </c>
    </row>
    <row r="555" spans="1:8" s="130" customFormat="1" x14ac:dyDescent="0.35">
      <c r="A555" s="38"/>
      <c r="B555" s="38"/>
      <c r="C555" s="38"/>
      <c r="D555" s="38"/>
      <c r="E555" s="38"/>
      <c r="F555" s="38"/>
      <c r="G555" s="267"/>
      <c r="H555" s="264">
        <f t="shared" si="17"/>
        <v>0</v>
      </c>
    </row>
    <row r="556" spans="1:8" s="130" customFormat="1" x14ac:dyDescent="0.35">
      <c r="A556" s="38"/>
      <c r="B556" s="38"/>
      <c r="C556" s="38"/>
      <c r="D556" s="38"/>
      <c r="E556" s="38"/>
      <c r="F556" s="38"/>
      <c r="G556" s="267"/>
      <c r="H556" s="264">
        <f t="shared" si="17"/>
        <v>0</v>
      </c>
    </row>
    <row r="557" spans="1:8" s="130" customFormat="1" x14ac:dyDescent="0.35">
      <c r="A557" s="38"/>
      <c r="B557" s="38"/>
      <c r="C557" s="38"/>
      <c r="D557" s="38"/>
      <c r="E557" s="38"/>
      <c r="F557" s="38"/>
      <c r="G557" s="267"/>
      <c r="H557" s="264">
        <f t="shared" si="17"/>
        <v>0</v>
      </c>
    </row>
    <row r="558" spans="1:8" s="130" customFormat="1" x14ac:dyDescent="0.35">
      <c r="A558" s="38"/>
      <c r="B558" s="38"/>
      <c r="C558" s="38"/>
      <c r="D558" s="38"/>
      <c r="E558" s="38"/>
      <c r="F558" s="38"/>
      <c r="G558" s="267"/>
      <c r="H558" s="264">
        <f t="shared" si="17"/>
        <v>0</v>
      </c>
    </row>
    <row r="559" spans="1:8" s="130" customFormat="1" x14ac:dyDescent="0.35">
      <c r="A559" s="38"/>
      <c r="B559" s="38"/>
      <c r="C559" s="38"/>
      <c r="D559" s="38"/>
      <c r="E559" s="38"/>
      <c r="F559" s="38"/>
      <c r="G559" s="267"/>
      <c r="H559" s="264">
        <f t="shared" si="17"/>
        <v>0</v>
      </c>
    </row>
    <row r="560" spans="1:8" x14ac:dyDescent="0.35">
      <c r="A560" s="38"/>
      <c r="B560" s="38"/>
      <c r="C560" s="38"/>
      <c r="D560" s="38"/>
      <c r="E560" s="38"/>
      <c r="F560" s="38"/>
      <c r="G560" s="267"/>
      <c r="H560" s="264">
        <f t="shared" si="16"/>
        <v>0</v>
      </c>
    </row>
    <row r="561" spans="1:8" x14ac:dyDescent="0.35">
      <c r="A561" s="38"/>
      <c r="B561" s="38"/>
      <c r="C561" s="38"/>
      <c r="D561" s="38"/>
      <c r="E561" s="38"/>
      <c r="F561" s="38"/>
      <c r="G561" s="267"/>
      <c r="H561" s="264">
        <f t="shared" si="16"/>
        <v>0</v>
      </c>
    </row>
    <row r="562" spans="1:8" x14ac:dyDescent="0.35">
      <c r="A562" s="38"/>
      <c r="B562" s="38"/>
      <c r="C562" s="38"/>
      <c r="D562" s="38"/>
      <c r="E562" s="38"/>
      <c r="F562" s="38"/>
      <c r="G562" s="267"/>
      <c r="H562" s="264">
        <f t="shared" si="16"/>
        <v>0</v>
      </c>
    </row>
    <row r="563" spans="1:8" x14ac:dyDescent="0.35">
      <c r="A563" s="38"/>
      <c r="B563" s="38"/>
      <c r="C563" s="38"/>
      <c r="D563" s="38"/>
      <c r="E563" s="38"/>
      <c r="F563" s="38"/>
      <c r="G563" s="267"/>
      <c r="H563" s="264">
        <f t="shared" si="16"/>
        <v>0</v>
      </c>
    </row>
    <row r="564" spans="1:8" x14ac:dyDescent="0.35">
      <c r="A564" s="38"/>
      <c r="B564" s="38"/>
      <c r="C564" s="38"/>
      <c r="D564" s="38"/>
      <c r="E564" s="38"/>
      <c r="F564" s="38"/>
      <c r="G564" s="267"/>
      <c r="H564" s="264">
        <f t="shared" si="16"/>
        <v>0</v>
      </c>
    </row>
    <row r="565" spans="1:8" x14ac:dyDescent="0.35">
      <c r="A565" s="38"/>
      <c r="B565" s="38"/>
      <c r="C565" s="38"/>
      <c r="D565" s="38"/>
      <c r="E565" s="38"/>
      <c r="F565" s="38"/>
      <c r="G565" s="267"/>
      <c r="H565" s="264">
        <f t="shared" si="16"/>
        <v>0</v>
      </c>
    </row>
    <row r="566" spans="1:8" x14ac:dyDescent="0.35">
      <c r="A566" s="38"/>
      <c r="B566" s="38"/>
      <c r="C566" s="38"/>
      <c r="D566" s="38"/>
      <c r="E566" s="38"/>
      <c r="F566" s="38"/>
      <c r="G566" s="267"/>
      <c r="H566" s="264">
        <f t="shared" si="16"/>
        <v>0</v>
      </c>
    </row>
    <row r="567" spans="1:8" x14ac:dyDescent="0.35">
      <c r="A567" s="38"/>
      <c r="B567" s="38"/>
      <c r="C567" s="38"/>
      <c r="D567" s="38"/>
      <c r="E567" s="38"/>
      <c r="F567" s="38"/>
      <c r="G567" s="267"/>
      <c r="H567" s="264">
        <f t="shared" si="16"/>
        <v>0</v>
      </c>
    </row>
    <row r="568" spans="1:8" x14ac:dyDescent="0.35">
      <c r="A568" s="38"/>
      <c r="B568" s="38"/>
      <c r="C568" s="38"/>
      <c r="D568" s="38"/>
      <c r="E568" s="38"/>
      <c r="F568" s="38"/>
      <c r="G568" s="267"/>
      <c r="H568" s="264">
        <f t="shared" si="16"/>
        <v>0</v>
      </c>
    </row>
    <row r="569" spans="1:8" x14ac:dyDescent="0.35">
      <c r="A569" s="38"/>
      <c r="B569" s="38"/>
      <c r="C569" s="38"/>
      <c r="D569" s="38"/>
      <c r="E569" s="38"/>
      <c r="F569" s="38"/>
      <c r="G569" s="267"/>
      <c r="H569" s="264">
        <f t="shared" si="16"/>
        <v>0</v>
      </c>
    </row>
    <row r="570" spans="1:8" x14ac:dyDescent="0.35">
      <c r="A570" s="38"/>
      <c r="B570" s="38"/>
      <c r="C570" s="38"/>
      <c r="D570" s="38"/>
      <c r="E570" s="38"/>
      <c r="F570" s="38"/>
      <c r="G570" s="267"/>
      <c r="H570" s="264">
        <f t="shared" si="16"/>
        <v>0</v>
      </c>
    </row>
    <row r="571" spans="1:8" x14ac:dyDescent="0.35">
      <c r="A571" s="38"/>
      <c r="B571" s="38"/>
      <c r="C571" s="38"/>
      <c r="D571" s="38"/>
      <c r="E571" s="38"/>
      <c r="F571" s="38"/>
      <c r="G571" s="267"/>
      <c r="H571" s="264">
        <f t="shared" si="16"/>
        <v>0</v>
      </c>
    </row>
    <row r="572" spans="1:8" s="130" customFormat="1" x14ac:dyDescent="0.35">
      <c r="A572" s="38"/>
      <c r="B572" s="38"/>
      <c r="C572" s="38"/>
      <c r="D572" s="38"/>
      <c r="E572" s="38"/>
      <c r="F572" s="38"/>
      <c r="G572" s="267"/>
      <c r="H572" s="264">
        <f t="shared" ref="H572:H590" si="18">IF(D572="",0,MONTH(D572))</f>
        <v>0</v>
      </c>
    </row>
    <row r="573" spans="1:8" s="130" customFormat="1" x14ac:dyDescent="0.35">
      <c r="A573" s="38"/>
      <c r="B573" s="38"/>
      <c r="C573" s="38"/>
      <c r="D573" s="38"/>
      <c r="E573" s="38"/>
      <c r="F573" s="38"/>
      <c r="G573" s="267"/>
      <c r="H573" s="264">
        <f t="shared" si="18"/>
        <v>0</v>
      </c>
    </row>
    <row r="574" spans="1:8" s="130" customFormat="1" x14ac:dyDescent="0.35">
      <c r="A574" s="38"/>
      <c r="B574" s="38"/>
      <c r="C574" s="38"/>
      <c r="D574" s="38"/>
      <c r="E574" s="38"/>
      <c r="F574" s="38"/>
      <c r="G574" s="267"/>
      <c r="H574" s="264">
        <f t="shared" si="18"/>
        <v>0</v>
      </c>
    </row>
    <row r="575" spans="1:8" s="130" customFormat="1" x14ac:dyDescent="0.35">
      <c r="A575" s="38"/>
      <c r="B575" s="38"/>
      <c r="C575" s="38"/>
      <c r="D575" s="38"/>
      <c r="E575" s="38"/>
      <c r="F575" s="38"/>
      <c r="G575" s="267"/>
      <c r="H575" s="264">
        <f t="shared" si="18"/>
        <v>0</v>
      </c>
    </row>
    <row r="576" spans="1:8" s="130" customFormat="1" x14ac:dyDescent="0.35">
      <c r="A576" s="38"/>
      <c r="B576" s="38"/>
      <c r="C576" s="38"/>
      <c r="D576" s="38"/>
      <c r="E576" s="38"/>
      <c r="F576" s="38"/>
      <c r="G576" s="267"/>
      <c r="H576" s="264">
        <f t="shared" si="18"/>
        <v>0</v>
      </c>
    </row>
    <row r="577" spans="1:8" s="130" customFormat="1" x14ac:dyDescent="0.35">
      <c r="A577" s="38"/>
      <c r="B577" s="38"/>
      <c r="C577" s="38"/>
      <c r="D577" s="38"/>
      <c r="E577" s="38"/>
      <c r="F577" s="38"/>
      <c r="G577" s="267"/>
      <c r="H577" s="264">
        <f t="shared" si="18"/>
        <v>0</v>
      </c>
    </row>
    <row r="578" spans="1:8" s="130" customFormat="1" x14ac:dyDescent="0.35">
      <c r="A578" s="38"/>
      <c r="B578" s="38"/>
      <c r="C578" s="38"/>
      <c r="D578" s="38"/>
      <c r="E578" s="38"/>
      <c r="F578" s="38"/>
      <c r="G578" s="267"/>
      <c r="H578" s="264">
        <f t="shared" si="18"/>
        <v>0</v>
      </c>
    </row>
    <row r="579" spans="1:8" s="130" customFormat="1" x14ac:dyDescent="0.35">
      <c r="A579" s="38"/>
      <c r="B579" s="38"/>
      <c r="C579" s="38"/>
      <c r="D579" s="38"/>
      <c r="E579" s="38"/>
      <c r="F579" s="38"/>
      <c r="G579" s="267"/>
      <c r="H579" s="264">
        <f t="shared" si="18"/>
        <v>0</v>
      </c>
    </row>
    <row r="580" spans="1:8" s="130" customFormat="1" x14ac:dyDescent="0.35">
      <c r="A580" s="38"/>
      <c r="B580" s="38"/>
      <c r="C580" s="38"/>
      <c r="D580" s="38"/>
      <c r="E580" s="38"/>
      <c r="F580" s="38"/>
      <c r="G580" s="267"/>
      <c r="H580" s="264">
        <f t="shared" si="18"/>
        <v>0</v>
      </c>
    </row>
    <row r="581" spans="1:8" s="130" customFormat="1" x14ac:dyDescent="0.35">
      <c r="A581" s="38"/>
      <c r="B581" s="38"/>
      <c r="C581" s="38"/>
      <c r="D581" s="38"/>
      <c r="E581" s="38"/>
      <c r="F581" s="38"/>
      <c r="G581" s="267"/>
      <c r="H581" s="264">
        <f t="shared" si="18"/>
        <v>0</v>
      </c>
    </row>
    <row r="582" spans="1:8" s="130" customFormat="1" x14ac:dyDescent="0.35">
      <c r="A582" s="38"/>
      <c r="B582" s="38"/>
      <c r="C582" s="38"/>
      <c r="D582" s="38"/>
      <c r="E582" s="38"/>
      <c r="F582" s="38"/>
      <c r="G582" s="267"/>
      <c r="H582" s="264">
        <f t="shared" si="18"/>
        <v>0</v>
      </c>
    </row>
    <row r="583" spans="1:8" s="130" customFormat="1" x14ac:dyDescent="0.35">
      <c r="A583" s="38"/>
      <c r="B583" s="38"/>
      <c r="C583" s="38"/>
      <c r="D583" s="38"/>
      <c r="E583" s="38"/>
      <c r="F583" s="38"/>
      <c r="G583" s="267"/>
      <c r="H583" s="264">
        <f t="shared" si="18"/>
        <v>0</v>
      </c>
    </row>
    <row r="584" spans="1:8" s="130" customFormat="1" x14ac:dyDescent="0.35">
      <c r="A584" s="38"/>
      <c r="B584" s="38"/>
      <c r="C584" s="38"/>
      <c r="D584" s="38"/>
      <c r="E584" s="38"/>
      <c r="F584" s="38"/>
      <c r="G584" s="267"/>
      <c r="H584" s="264">
        <f t="shared" si="18"/>
        <v>0</v>
      </c>
    </row>
    <row r="585" spans="1:8" s="130" customFormat="1" x14ac:dyDescent="0.35">
      <c r="A585" s="38"/>
      <c r="B585" s="38"/>
      <c r="C585" s="38"/>
      <c r="D585" s="38"/>
      <c r="E585" s="38"/>
      <c r="F585" s="38"/>
      <c r="G585" s="267"/>
      <c r="H585" s="264">
        <f t="shared" si="18"/>
        <v>0</v>
      </c>
    </row>
    <row r="586" spans="1:8" s="130" customFormat="1" x14ac:dyDescent="0.35">
      <c r="A586" s="38"/>
      <c r="B586" s="38"/>
      <c r="C586" s="38"/>
      <c r="D586" s="38"/>
      <c r="E586" s="38"/>
      <c r="F586" s="38"/>
      <c r="G586" s="267"/>
      <c r="H586" s="264">
        <f t="shared" si="18"/>
        <v>0</v>
      </c>
    </row>
    <row r="587" spans="1:8" s="130" customFormat="1" x14ac:dyDescent="0.35">
      <c r="A587" s="38"/>
      <c r="B587" s="38"/>
      <c r="C587" s="38"/>
      <c r="D587" s="38"/>
      <c r="E587" s="38"/>
      <c r="F587" s="38"/>
      <c r="G587" s="267"/>
      <c r="H587" s="264">
        <f t="shared" si="18"/>
        <v>0</v>
      </c>
    </row>
    <row r="588" spans="1:8" s="130" customFormat="1" x14ac:dyDescent="0.35">
      <c r="A588" s="38"/>
      <c r="B588" s="38"/>
      <c r="C588" s="38"/>
      <c r="D588" s="38"/>
      <c r="E588" s="38"/>
      <c r="F588" s="38"/>
      <c r="G588" s="267"/>
      <c r="H588" s="264">
        <f t="shared" si="18"/>
        <v>0</v>
      </c>
    </row>
    <row r="589" spans="1:8" s="130" customFormat="1" x14ac:dyDescent="0.35">
      <c r="A589" s="38"/>
      <c r="B589" s="38"/>
      <c r="C589" s="38"/>
      <c r="D589" s="38"/>
      <c r="E589" s="38"/>
      <c r="F589" s="38"/>
      <c r="G589" s="267"/>
      <c r="H589" s="264">
        <f t="shared" si="18"/>
        <v>0</v>
      </c>
    </row>
    <row r="590" spans="1:8" s="130" customFormat="1" x14ac:dyDescent="0.35">
      <c r="A590" s="38"/>
      <c r="B590" s="38"/>
      <c r="C590" s="38"/>
      <c r="D590" s="38"/>
      <c r="E590" s="38"/>
      <c r="F590" s="38"/>
      <c r="G590" s="267"/>
      <c r="H590" s="264">
        <f t="shared" si="18"/>
        <v>0</v>
      </c>
    </row>
    <row r="591" spans="1:8" x14ac:dyDescent="0.35">
      <c r="A591" s="38"/>
      <c r="B591" s="38"/>
      <c r="C591" s="38"/>
      <c r="D591" s="38"/>
      <c r="E591" s="38"/>
      <c r="F591" s="38"/>
      <c r="G591" s="267"/>
      <c r="H591" s="264">
        <f t="shared" si="16"/>
        <v>0</v>
      </c>
    </row>
    <row r="592" spans="1:8" x14ac:dyDescent="0.35">
      <c r="A592" s="38"/>
      <c r="B592" s="38"/>
      <c r="C592" s="38"/>
      <c r="D592" s="38"/>
      <c r="E592" s="38"/>
      <c r="F592" s="38"/>
      <c r="G592" s="267"/>
      <c r="H592" s="264">
        <f t="shared" si="16"/>
        <v>0</v>
      </c>
    </row>
    <row r="593" spans="1:8" x14ac:dyDescent="0.35">
      <c r="A593" s="38"/>
      <c r="B593" s="38"/>
      <c r="C593" s="38"/>
      <c r="D593" s="38"/>
      <c r="E593" s="38"/>
      <c r="F593" s="38"/>
      <c r="G593" s="267"/>
      <c r="H593" s="264">
        <f t="shared" si="16"/>
        <v>0</v>
      </c>
    </row>
    <row r="594" spans="1:8" x14ac:dyDescent="0.35">
      <c r="A594" s="38"/>
      <c r="B594" s="38"/>
      <c r="C594" s="38"/>
      <c r="D594" s="38"/>
      <c r="E594" s="38"/>
      <c r="F594" s="38"/>
      <c r="G594" s="267"/>
      <c r="H594" s="264">
        <f t="shared" si="16"/>
        <v>0</v>
      </c>
    </row>
    <row r="595" spans="1:8" x14ac:dyDescent="0.35">
      <c r="A595" s="38"/>
      <c r="B595" s="38"/>
      <c r="C595" s="38"/>
      <c r="D595" s="38"/>
      <c r="E595" s="38"/>
      <c r="F595" s="38"/>
      <c r="G595" s="267"/>
      <c r="H595" s="264">
        <f t="shared" si="16"/>
        <v>0</v>
      </c>
    </row>
    <row r="596" spans="1:8" x14ac:dyDescent="0.35">
      <c r="A596" s="38"/>
      <c r="B596" s="38"/>
      <c r="C596" s="38"/>
      <c r="D596" s="38"/>
      <c r="E596" s="38"/>
      <c r="F596" s="38"/>
      <c r="G596" s="267"/>
      <c r="H596" s="264">
        <f t="shared" si="16"/>
        <v>0</v>
      </c>
    </row>
    <row r="597" spans="1:8" x14ac:dyDescent="0.35">
      <c r="A597" s="38"/>
      <c r="B597" s="38"/>
      <c r="C597" s="38"/>
      <c r="D597" s="38"/>
      <c r="E597" s="38"/>
      <c r="F597" s="38"/>
      <c r="G597" s="267"/>
      <c r="H597" s="264">
        <f t="shared" si="16"/>
        <v>0</v>
      </c>
    </row>
    <row r="598" spans="1:8" x14ac:dyDescent="0.35">
      <c r="A598" s="38"/>
      <c r="B598" s="38"/>
      <c r="C598" s="38"/>
      <c r="D598" s="38"/>
      <c r="E598" s="38"/>
      <c r="F598" s="38"/>
      <c r="G598" s="267"/>
      <c r="H598" s="264">
        <f t="shared" si="16"/>
        <v>0</v>
      </c>
    </row>
    <row r="599" spans="1:8" x14ac:dyDescent="0.35">
      <c r="A599" s="38"/>
      <c r="B599" s="38"/>
      <c r="C599" s="38"/>
      <c r="D599" s="38"/>
      <c r="E599" s="38"/>
      <c r="F599" s="38"/>
      <c r="G599" s="267"/>
      <c r="H599" s="264">
        <f t="shared" si="16"/>
        <v>0</v>
      </c>
    </row>
    <row r="600" spans="1:8" x14ac:dyDescent="0.35">
      <c r="A600" s="38"/>
      <c r="B600" s="38"/>
      <c r="C600" s="38"/>
      <c r="D600" s="38"/>
      <c r="E600" s="38"/>
      <c r="F600" s="38"/>
      <c r="G600" s="267"/>
      <c r="H600" s="264">
        <f t="shared" si="16"/>
        <v>0</v>
      </c>
    </row>
    <row r="601" spans="1:8" x14ac:dyDescent="0.35">
      <c r="A601" s="38"/>
      <c r="B601" s="38"/>
      <c r="C601" s="38"/>
      <c r="D601" s="38"/>
      <c r="E601" s="38"/>
      <c r="F601" s="38"/>
      <c r="G601" s="267"/>
      <c r="H601" s="264">
        <f t="shared" si="16"/>
        <v>0</v>
      </c>
    </row>
    <row r="602" spans="1:8" x14ac:dyDescent="0.35">
      <c r="A602" s="38"/>
      <c r="B602" s="38"/>
      <c r="C602" s="38"/>
      <c r="D602" s="38"/>
      <c r="E602" s="38"/>
      <c r="F602" s="38"/>
      <c r="G602" s="267"/>
      <c r="H602" s="264">
        <f t="shared" si="16"/>
        <v>0</v>
      </c>
    </row>
    <row r="603" spans="1:8" x14ac:dyDescent="0.35">
      <c r="A603" s="269"/>
      <c r="B603" s="269"/>
      <c r="C603" s="269"/>
      <c r="D603" s="270"/>
      <c r="E603" s="271"/>
      <c r="F603" s="271"/>
      <c r="G603" s="272"/>
      <c r="H603" s="264">
        <f t="shared" ref="H603:H610" si="19">IF(D603="",0,MONTH(D603))</f>
        <v>0</v>
      </c>
    </row>
    <row r="604" spans="1:8" x14ac:dyDescent="0.35">
      <c r="A604" s="269"/>
      <c r="B604" s="269"/>
      <c r="C604" s="269"/>
      <c r="D604" s="270"/>
      <c r="E604" s="271"/>
      <c r="F604" s="271"/>
      <c r="G604" s="272"/>
      <c r="H604" s="264">
        <f t="shared" si="19"/>
        <v>0</v>
      </c>
    </row>
    <row r="605" spans="1:8" x14ac:dyDescent="0.35">
      <c r="A605" s="269"/>
      <c r="B605" s="269"/>
      <c r="C605" s="269"/>
      <c r="D605" s="270"/>
      <c r="E605" s="271"/>
      <c r="F605" s="271"/>
      <c r="G605" s="272"/>
      <c r="H605" s="264">
        <f t="shared" si="19"/>
        <v>0</v>
      </c>
    </row>
    <row r="606" spans="1:8" x14ac:dyDescent="0.35">
      <c r="A606" s="269"/>
      <c r="B606" s="269"/>
      <c r="C606" s="269"/>
      <c r="D606" s="270"/>
      <c r="E606" s="271"/>
      <c r="F606" s="271"/>
      <c r="G606" s="272"/>
      <c r="H606" s="264">
        <f t="shared" si="19"/>
        <v>0</v>
      </c>
    </row>
    <row r="607" spans="1:8" x14ac:dyDescent="0.35">
      <c r="A607" s="269"/>
      <c r="B607" s="269"/>
      <c r="C607" s="269"/>
      <c r="D607" s="270"/>
      <c r="E607" s="271"/>
      <c r="F607" s="271"/>
      <c r="G607" s="272"/>
      <c r="H607" s="264">
        <f t="shared" si="19"/>
        <v>0</v>
      </c>
    </row>
    <row r="608" spans="1:8" x14ac:dyDescent="0.35">
      <c r="A608" s="269"/>
      <c r="B608" s="269"/>
      <c r="C608" s="269"/>
      <c r="D608" s="270"/>
      <c r="E608" s="271"/>
      <c r="F608" s="271"/>
      <c r="G608" s="272"/>
      <c r="H608" s="264">
        <f t="shared" si="19"/>
        <v>0</v>
      </c>
    </row>
    <row r="609" spans="1:8" x14ac:dyDescent="0.35">
      <c r="A609" s="269"/>
      <c r="B609" s="269"/>
      <c r="C609" s="269"/>
      <c r="D609" s="270"/>
      <c r="E609" s="271"/>
      <c r="F609" s="271"/>
      <c r="G609" s="272"/>
      <c r="H609" s="264">
        <f t="shared" si="19"/>
        <v>0</v>
      </c>
    </row>
    <row r="610" spans="1:8" x14ac:dyDescent="0.35">
      <c r="A610" s="269"/>
      <c r="B610" s="269"/>
      <c r="C610" s="269"/>
      <c r="D610" s="270"/>
      <c r="E610" s="271"/>
      <c r="F610" s="271"/>
      <c r="G610" s="272"/>
      <c r="H610" s="264">
        <f t="shared" si="19"/>
        <v>0</v>
      </c>
    </row>
    <row r="611" spans="1:8" x14ac:dyDescent="0.35">
      <c r="A611" s="163"/>
      <c r="B611" s="163"/>
      <c r="C611" s="163"/>
      <c r="D611" s="164"/>
      <c r="E611" s="165"/>
      <c r="F611" s="165"/>
      <c r="G611" s="166"/>
    </row>
    <row r="612" spans="1:8" x14ac:dyDescent="0.35">
      <c r="A612" s="163"/>
      <c r="B612" s="163"/>
      <c r="C612" s="163"/>
      <c r="D612" s="164"/>
      <c r="E612" s="165"/>
      <c r="F612" s="165"/>
      <c r="G612" s="166"/>
    </row>
    <row r="613" spans="1:8" x14ac:dyDescent="0.35">
      <c r="A613" s="163"/>
      <c r="B613" s="163"/>
      <c r="C613" s="163"/>
      <c r="D613" s="164"/>
      <c r="E613" s="165"/>
      <c r="F613" s="165"/>
      <c r="G613" s="166"/>
    </row>
    <row r="614" spans="1:8" x14ac:dyDescent="0.35">
      <c r="A614" s="163"/>
      <c r="B614" s="163"/>
      <c r="C614" s="163"/>
      <c r="D614" s="164"/>
      <c r="E614" s="165"/>
      <c r="F614" s="165"/>
      <c r="G614" s="166"/>
    </row>
    <row r="615" spans="1:8" x14ac:dyDescent="0.35">
      <c r="A615" s="163"/>
      <c r="B615" s="163"/>
      <c r="C615" s="163"/>
      <c r="D615" s="164"/>
      <c r="E615" s="165"/>
      <c r="F615" s="165"/>
      <c r="G615" s="166"/>
    </row>
    <row r="616" spans="1:8" x14ac:dyDescent="0.35">
      <c r="A616" s="163"/>
      <c r="B616" s="163"/>
      <c r="C616" s="163"/>
      <c r="D616" s="164"/>
      <c r="E616" s="165"/>
      <c r="F616" s="165"/>
      <c r="G616" s="166"/>
    </row>
    <row r="617" spans="1:8" x14ac:dyDescent="0.35">
      <c r="A617" s="163"/>
      <c r="B617" s="163"/>
      <c r="C617" s="163"/>
      <c r="D617" s="164"/>
      <c r="E617" s="165"/>
      <c r="F617" s="165"/>
      <c r="G617" s="166"/>
    </row>
    <row r="618" spans="1:8" x14ac:dyDescent="0.35">
      <c r="A618" s="163"/>
      <c r="B618" s="163"/>
      <c r="C618" s="163"/>
      <c r="D618" s="164"/>
      <c r="E618" s="165"/>
      <c r="F618" s="165"/>
      <c r="G618" s="166"/>
    </row>
    <row r="619" spans="1:8" x14ac:dyDescent="0.35">
      <c r="A619" s="163"/>
      <c r="B619" s="163"/>
      <c r="C619" s="163"/>
      <c r="D619" s="164"/>
      <c r="E619" s="165"/>
      <c r="F619" s="165"/>
      <c r="G619" s="166"/>
    </row>
    <row r="620" spans="1:8" x14ac:dyDescent="0.35">
      <c r="A620" s="163"/>
      <c r="B620" s="163"/>
      <c r="C620" s="163"/>
      <c r="D620" s="164"/>
      <c r="E620" s="165"/>
      <c r="F620" s="165"/>
      <c r="G620" s="166"/>
    </row>
    <row r="621" spans="1:8" x14ac:dyDescent="0.35">
      <c r="A621" s="163"/>
      <c r="B621" s="163"/>
      <c r="C621" s="163"/>
      <c r="D621" s="164"/>
      <c r="E621" s="165"/>
      <c r="F621" s="165"/>
      <c r="G621" s="166"/>
    </row>
    <row r="622" spans="1:8" x14ac:dyDescent="0.35">
      <c r="A622" s="163"/>
      <c r="B622" s="163"/>
      <c r="C622" s="163"/>
      <c r="D622" s="164"/>
      <c r="E622" s="165"/>
      <c r="F622" s="165"/>
      <c r="G622" s="166"/>
    </row>
    <row r="623" spans="1:8" x14ac:dyDescent="0.35">
      <c r="A623" s="163"/>
      <c r="B623" s="163"/>
      <c r="C623" s="163"/>
      <c r="D623" s="164"/>
      <c r="E623" s="165"/>
      <c r="F623" s="165"/>
      <c r="G623" s="166"/>
    </row>
    <row r="624" spans="1:8" x14ac:dyDescent="0.35">
      <c r="A624" s="163"/>
      <c r="B624" s="163"/>
      <c r="C624" s="163"/>
      <c r="D624" s="164"/>
      <c r="E624" s="165"/>
      <c r="F624" s="165"/>
      <c r="G624" s="166"/>
    </row>
    <row r="625" spans="1:7" x14ac:dyDescent="0.35">
      <c r="A625" s="163"/>
      <c r="B625" s="163"/>
      <c r="C625" s="163"/>
      <c r="D625" s="164"/>
      <c r="E625" s="165"/>
      <c r="F625" s="165"/>
      <c r="G625" s="166"/>
    </row>
    <row r="626" spans="1:7" x14ac:dyDescent="0.35">
      <c r="A626" s="163"/>
      <c r="B626" s="163"/>
      <c r="C626" s="163"/>
      <c r="D626" s="164"/>
      <c r="E626" s="165"/>
      <c r="F626" s="165"/>
      <c r="G626" s="166"/>
    </row>
    <row r="627" spans="1:7" x14ac:dyDescent="0.35">
      <c r="A627" s="163"/>
      <c r="B627" s="163"/>
      <c r="C627" s="163"/>
      <c r="D627" s="164"/>
      <c r="E627" s="165"/>
      <c r="F627" s="165"/>
      <c r="G627" s="166"/>
    </row>
    <row r="628" spans="1:7" x14ac:dyDescent="0.35">
      <c r="A628" s="163"/>
      <c r="B628" s="163"/>
      <c r="C628" s="163"/>
      <c r="D628" s="164"/>
      <c r="E628" s="165"/>
      <c r="F628" s="165"/>
      <c r="G628" s="166"/>
    </row>
    <row r="629" spans="1:7" x14ac:dyDescent="0.35">
      <c r="A629" s="163"/>
      <c r="B629" s="163"/>
      <c r="C629" s="163"/>
      <c r="D629" s="164"/>
      <c r="E629" s="165"/>
      <c r="F629" s="165"/>
      <c r="G629" s="166"/>
    </row>
    <row r="630" spans="1:7" x14ac:dyDescent="0.35">
      <c r="A630" s="163"/>
      <c r="B630" s="163"/>
      <c r="C630" s="163"/>
      <c r="D630" s="164"/>
      <c r="E630" s="165"/>
      <c r="F630" s="165"/>
      <c r="G630" s="166"/>
    </row>
    <row r="631" spans="1:7" x14ac:dyDescent="0.35">
      <c r="A631" s="163"/>
      <c r="B631" s="163"/>
      <c r="C631" s="163"/>
      <c r="D631" s="164"/>
      <c r="E631" s="165"/>
      <c r="F631" s="165"/>
      <c r="G631" s="166"/>
    </row>
    <row r="632" spans="1:7" x14ac:dyDescent="0.35">
      <c r="A632" s="163"/>
      <c r="B632" s="163"/>
      <c r="C632" s="163"/>
      <c r="D632" s="164"/>
      <c r="E632" s="165"/>
      <c r="F632" s="165"/>
      <c r="G632" s="166"/>
    </row>
    <row r="633" spans="1:7" x14ac:dyDescent="0.35">
      <c r="A633" s="163"/>
      <c r="B633" s="163"/>
      <c r="C633" s="163"/>
      <c r="D633" s="164"/>
      <c r="E633" s="165"/>
      <c r="F633" s="165"/>
      <c r="G633" s="166"/>
    </row>
    <row r="634" spans="1:7" x14ac:dyDescent="0.35">
      <c r="A634" s="163"/>
      <c r="B634" s="163"/>
      <c r="C634" s="163"/>
      <c r="D634" s="164"/>
      <c r="E634" s="165"/>
      <c r="F634" s="165"/>
      <c r="G634" s="166"/>
    </row>
    <row r="635" spans="1:7" x14ac:dyDescent="0.35">
      <c r="A635" s="163"/>
      <c r="B635" s="163"/>
      <c r="C635" s="163"/>
      <c r="D635" s="164"/>
      <c r="E635" s="165"/>
      <c r="F635" s="165"/>
      <c r="G635" s="166"/>
    </row>
    <row r="636" spans="1:7" x14ac:dyDescent="0.35">
      <c r="A636" s="163"/>
      <c r="B636" s="163"/>
      <c r="C636" s="163"/>
      <c r="D636" s="164"/>
      <c r="E636" s="165"/>
      <c r="F636" s="165"/>
      <c r="G636" s="166"/>
    </row>
    <row r="637" spans="1:7" x14ac:dyDescent="0.35">
      <c r="A637" s="163"/>
      <c r="B637" s="163"/>
      <c r="C637" s="163"/>
      <c r="D637" s="164"/>
      <c r="E637" s="165"/>
      <c r="F637" s="165"/>
      <c r="G637" s="166"/>
    </row>
    <row r="638" spans="1:7" x14ac:dyDescent="0.35">
      <c r="A638" s="163"/>
      <c r="B638" s="163"/>
      <c r="C638" s="163"/>
      <c r="D638" s="164"/>
      <c r="E638" s="165"/>
      <c r="F638" s="165"/>
      <c r="G638" s="166"/>
    </row>
    <row r="639" spans="1:7" x14ac:dyDescent="0.35">
      <c r="A639" s="163"/>
      <c r="B639" s="163"/>
      <c r="C639" s="163"/>
      <c r="D639" s="164"/>
      <c r="E639" s="165"/>
      <c r="F639" s="165"/>
      <c r="G639" s="166"/>
    </row>
    <row r="640" spans="1:7" x14ac:dyDescent="0.35">
      <c r="A640" s="163"/>
      <c r="B640" s="163"/>
      <c r="C640" s="163"/>
      <c r="D640" s="164"/>
      <c r="E640" s="165"/>
      <c r="F640" s="165"/>
      <c r="G640" s="166"/>
    </row>
    <row r="641" spans="1:7" x14ac:dyDescent="0.35">
      <c r="A641" s="163"/>
      <c r="B641" s="163"/>
      <c r="C641" s="163"/>
      <c r="D641" s="164"/>
      <c r="E641" s="165"/>
      <c r="F641" s="165"/>
      <c r="G641" s="166"/>
    </row>
    <row r="642" spans="1:7" x14ac:dyDescent="0.35">
      <c r="A642" s="163"/>
      <c r="B642" s="163"/>
      <c r="C642" s="163"/>
      <c r="D642" s="164"/>
      <c r="E642" s="165"/>
      <c r="F642" s="165"/>
      <c r="G642" s="166"/>
    </row>
    <row r="643" spans="1:7" x14ac:dyDescent="0.35">
      <c r="A643" s="163"/>
      <c r="B643" s="163"/>
      <c r="C643" s="163"/>
      <c r="D643" s="164"/>
      <c r="E643" s="165"/>
      <c r="F643" s="165"/>
      <c r="G643" s="166"/>
    </row>
    <row r="644" spans="1:7" x14ac:dyDescent="0.35">
      <c r="A644" s="163"/>
      <c r="B644" s="163"/>
      <c r="C644" s="163"/>
      <c r="D644" s="164"/>
      <c r="E644" s="165"/>
      <c r="F644" s="165"/>
      <c r="G644" s="166"/>
    </row>
    <row r="645" spans="1:7" x14ac:dyDescent="0.35">
      <c r="A645" s="163"/>
      <c r="B645" s="163"/>
      <c r="C645" s="163"/>
      <c r="D645" s="164"/>
      <c r="E645" s="165"/>
      <c r="F645" s="165"/>
      <c r="G645" s="166"/>
    </row>
    <row r="646" spans="1:7" x14ac:dyDescent="0.35">
      <c r="A646" s="163"/>
      <c r="B646" s="163"/>
      <c r="C646" s="163"/>
      <c r="D646" s="164"/>
      <c r="E646" s="165"/>
      <c r="F646" s="165"/>
      <c r="G646" s="166"/>
    </row>
    <row r="647" spans="1:7" x14ac:dyDescent="0.35">
      <c r="A647" s="163"/>
      <c r="B647" s="163"/>
      <c r="C647" s="163"/>
      <c r="D647" s="164"/>
      <c r="E647" s="165"/>
      <c r="F647" s="165"/>
      <c r="G647" s="166"/>
    </row>
    <row r="648" spans="1:7" x14ac:dyDescent="0.35">
      <c r="A648" s="163"/>
      <c r="B648" s="163"/>
      <c r="C648" s="163"/>
      <c r="D648" s="164"/>
      <c r="E648" s="165"/>
      <c r="F648" s="165"/>
      <c r="G648" s="166"/>
    </row>
    <row r="649" spans="1:7" x14ac:dyDescent="0.35">
      <c r="A649" s="163"/>
      <c r="B649" s="163"/>
      <c r="C649" s="163"/>
      <c r="D649" s="164"/>
      <c r="E649" s="165"/>
      <c r="F649" s="165"/>
      <c r="G649" s="166"/>
    </row>
    <row r="650" spans="1:7" x14ac:dyDescent="0.35">
      <c r="A650" s="163"/>
      <c r="B650" s="163"/>
      <c r="C650" s="163"/>
      <c r="D650" s="164"/>
      <c r="E650" s="165"/>
      <c r="F650" s="165"/>
      <c r="G650" s="166"/>
    </row>
    <row r="651" spans="1:7" x14ac:dyDescent="0.35">
      <c r="A651" s="163"/>
      <c r="B651" s="163"/>
      <c r="C651" s="163"/>
      <c r="D651" s="164"/>
      <c r="E651" s="165"/>
      <c r="F651" s="165"/>
      <c r="G651" s="166"/>
    </row>
    <row r="652" spans="1:7" x14ac:dyDescent="0.35">
      <c r="A652" s="163"/>
      <c r="B652" s="163"/>
      <c r="C652" s="163"/>
      <c r="D652" s="164"/>
      <c r="E652" s="165"/>
      <c r="F652" s="165"/>
      <c r="G652" s="166"/>
    </row>
    <row r="653" spans="1:7" x14ac:dyDescent="0.35">
      <c r="A653" s="163"/>
      <c r="B653" s="163"/>
      <c r="C653" s="163"/>
      <c r="D653" s="164"/>
      <c r="E653" s="165"/>
      <c r="F653" s="165"/>
      <c r="G653" s="166"/>
    </row>
    <row r="654" spans="1:7" x14ac:dyDescent="0.35">
      <c r="A654" s="163"/>
      <c r="B654" s="163"/>
      <c r="C654" s="163"/>
      <c r="D654" s="164"/>
      <c r="E654" s="165"/>
      <c r="F654" s="165"/>
      <c r="G654" s="166"/>
    </row>
    <row r="655" spans="1:7" x14ac:dyDescent="0.35">
      <c r="A655" s="163"/>
      <c r="B655" s="163"/>
      <c r="C655" s="163"/>
      <c r="D655" s="164"/>
      <c r="E655" s="165"/>
      <c r="F655" s="165"/>
      <c r="G655" s="166"/>
    </row>
    <row r="656" spans="1:7" x14ac:dyDescent="0.35">
      <c r="A656" s="163"/>
      <c r="B656" s="163"/>
      <c r="C656" s="163"/>
      <c r="D656" s="164"/>
      <c r="E656" s="165"/>
      <c r="F656" s="165"/>
      <c r="G656" s="166"/>
    </row>
    <row r="657" spans="1:7" x14ac:dyDescent="0.35">
      <c r="A657" s="163"/>
      <c r="B657" s="163"/>
      <c r="C657" s="163"/>
      <c r="D657" s="164"/>
      <c r="E657" s="165"/>
      <c r="F657" s="165"/>
      <c r="G657" s="166"/>
    </row>
    <row r="658" spans="1:7" x14ac:dyDescent="0.35">
      <c r="A658" s="163"/>
      <c r="B658" s="163"/>
      <c r="C658" s="163"/>
      <c r="D658" s="164"/>
      <c r="E658" s="165"/>
      <c r="F658" s="165"/>
      <c r="G658" s="166"/>
    </row>
    <row r="659" spans="1:7" x14ac:dyDescent="0.35">
      <c r="A659" s="163"/>
      <c r="B659" s="163"/>
      <c r="C659" s="163"/>
      <c r="D659" s="164"/>
      <c r="E659" s="165"/>
      <c r="F659" s="165"/>
      <c r="G659" s="166"/>
    </row>
    <row r="660" spans="1:7" x14ac:dyDescent="0.35">
      <c r="A660" s="163"/>
      <c r="B660" s="163"/>
      <c r="C660" s="163"/>
      <c r="D660" s="164"/>
      <c r="E660" s="165"/>
      <c r="F660" s="165"/>
      <c r="G660" s="166"/>
    </row>
    <row r="661" spans="1:7" x14ac:dyDescent="0.35">
      <c r="A661" s="163"/>
      <c r="B661" s="163"/>
      <c r="C661" s="163"/>
      <c r="D661" s="164"/>
      <c r="E661" s="165"/>
      <c r="F661" s="165"/>
      <c r="G661" s="166"/>
    </row>
    <row r="662" spans="1:7" x14ac:dyDescent="0.35">
      <c r="A662" s="163"/>
      <c r="B662" s="163"/>
      <c r="C662" s="163"/>
      <c r="D662" s="164"/>
      <c r="E662" s="165"/>
      <c r="F662" s="165"/>
      <c r="G662" s="166"/>
    </row>
    <row r="663" spans="1:7" x14ac:dyDescent="0.35">
      <c r="A663" s="163"/>
      <c r="B663" s="163"/>
      <c r="C663" s="163"/>
      <c r="D663" s="164"/>
      <c r="E663" s="165"/>
      <c r="F663" s="165"/>
      <c r="G663" s="166"/>
    </row>
    <row r="664" spans="1:7" x14ac:dyDescent="0.35">
      <c r="A664" s="163"/>
      <c r="B664" s="163"/>
      <c r="C664" s="163"/>
      <c r="D664" s="164"/>
      <c r="E664" s="165"/>
      <c r="F664" s="165"/>
      <c r="G664" s="166"/>
    </row>
    <row r="665" spans="1:7" x14ac:dyDescent="0.35">
      <c r="A665" s="163"/>
      <c r="B665" s="163"/>
      <c r="C665" s="163"/>
      <c r="D665" s="164"/>
      <c r="E665" s="165"/>
      <c r="F665" s="165"/>
      <c r="G665" s="166"/>
    </row>
    <row r="666" spans="1:7" x14ac:dyDescent="0.35">
      <c r="A666" s="163"/>
      <c r="B666" s="163"/>
      <c r="C666" s="163"/>
      <c r="D666" s="164"/>
      <c r="E666" s="165"/>
      <c r="F666" s="165"/>
      <c r="G666" s="166"/>
    </row>
    <row r="667" spans="1:7" x14ac:dyDescent="0.35">
      <c r="A667" s="163"/>
      <c r="B667" s="163"/>
      <c r="C667" s="163"/>
      <c r="D667" s="164"/>
      <c r="E667" s="165"/>
      <c r="F667" s="165"/>
      <c r="G667" s="166"/>
    </row>
    <row r="668" spans="1:7" x14ac:dyDescent="0.35">
      <c r="A668" s="163"/>
      <c r="B668" s="163"/>
      <c r="C668" s="163"/>
      <c r="D668" s="164"/>
      <c r="E668" s="165"/>
      <c r="F668" s="165"/>
      <c r="G668" s="166"/>
    </row>
    <row r="669" spans="1:7" x14ac:dyDescent="0.35">
      <c r="A669" s="163"/>
      <c r="B669" s="163"/>
      <c r="C669" s="163"/>
      <c r="D669" s="164"/>
      <c r="E669" s="165"/>
      <c r="F669" s="165"/>
      <c r="G669" s="166"/>
    </row>
    <row r="670" spans="1:7" x14ac:dyDescent="0.35">
      <c r="A670" s="163"/>
      <c r="B670" s="163"/>
      <c r="C670" s="163"/>
      <c r="D670" s="164"/>
      <c r="E670" s="165"/>
      <c r="F670" s="165"/>
      <c r="G670" s="166"/>
    </row>
    <row r="671" spans="1:7" x14ac:dyDescent="0.35">
      <c r="A671" s="163"/>
      <c r="B671" s="163"/>
      <c r="C671" s="163"/>
      <c r="D671" s="164"/>
      <c r="E671" s="165"/>
      <c r="F671" s="165"/>
      <c r="G671" s="166"/>
    </row>
    <row r="672" spans="1:7" x14ac:dyDescent="0.35">
      <c r="A672" s="163"/>
      <c r="B672" s="163"/>
      <c r="C672" s="163"/>
      <c r="D672" s="164"/>
      <c r="E672" s="165"/>
      <c r="F672" s="165"/>
      <c r="G672" s="166"/>
    </row>
    <row r="673" spans="1:7" x14ac:dyDescent="0.35">
      <c r="A673" s="163"/>
      <c r="B673" s="163"/>
      <c r="C673" s="163"/>
      <c r="D673" s="164"/>
      <c r="E673" s="165"/>
      <c r="F673" s="165"/>
      <c r="G673" s="166"/>
    </row>
    <row r="674" spans="1:7" x14ac:dyDescent="0.35">
      <c r="A674" s="163"/>
      <c r="B674" s="163"/>
      <c r="C674" s="163"/>
      <c r="D674" s="164"/>
      <c r="E674" s="165"/>
      <c r="F674" s="165"/>
      <c r="G674" s="166"/>
    </row>
    <row r="675" spans="1:7" x14ac:dyDescent="0.35">
      <c r="A675" s="163"/>
      <c r="B675" s="163"/>
      <c r="C675" s="163"/>
      <c r="D675" s="164"/>
      <c r="E675" s="165"/>
      <c r="F675" s="165"/>
      <c r="G675" s="166"/>
    </row>
    <row r="676" spans="1:7" x14ac:dyDescent="0.35">
      <c r="A676" s="163"/>
      <c r="B676" s="163"/>
      <c r="C676" s="163"/>
      <c r="D676" s="164"/>
      <c r="E676" s="165"/>
      <c r="F676" s="165"/>
      <c r="G676" s="166"/>
    </row>
    <row r="677" spans="1:7" x14ac:dyDescent="0.35">
      <c r="A677" s="163"/>
      <c r="B677" s="163"/>
      <c r="C677" s="163"/>
      <c r="D677" s="164"/>
      <c r="E677" s="165"/>
      <c r="F677" s="165"/>
      <c r="G677" s="166"/>
    </row>
    <row r="678" spans="1:7" x14ac:dyDescent="0.35">
      <c r="A678" s="163"/>
      <c r="B678" s="163"/>
      <c r="C678" s="163"/>
      <c r="D678" s="164"/>
      <c r="E678" s="165"/>
      <c r="F678" s="165"/>
      <c r="G678" s="166"/>
    </row>
    <row r="679" spans="1:7" x14ac:dyDescent="0.35">
      <c r="A679" s="163"/>
      <c r="B679" s="163"/>
      <c r="C679" s="163"/>
      <c r="D679" s="164"/>
      <c r="E679" s="165"/>
      <c r="F679" s="165"/>
      <c r="G679" s="166"/>
    </row>
    <row r="680" spans="1:7" x14ac:dyDescent="0.35">
      <c r="A680" s="163"/>
      <c r="B680" s="163"/>
      <c r="C680" s="163"/>
      <c r="D680" s="164"/>
      <c r="E680" s="165"/>
      <c r="F680" s="165"/>
      <c r="G680" s="166"/>
    </row>
    <row r="681" spans="1:7" x14ac:dyDescent="0.35">
      <c r="A681" s="163"/>
      <c r="B681" s="163"/>
      <c r="C681" s="163"/>
      <c r="D681" s="164"/>
      <c r="E681" s="165"/>
      <c r="F681" s="165"/>
      <c r="G681" s="166"/>
    </row>
    <row r="682" spans="1:7" x14ac:dyDescent="0.35">
      <c r="A682" s="163"/>
      <c r="B682" s="163"/>
      <c r="C682" s="163"/>
      <c r="D682" s="164"/>
      <c r="E682" s="165"/>
      <c r="F682" s="165"/>
      <c r="G682" s="166"/>
    </row>
    <row r="683" spans="1:7" x14ac:dyDescent="0.35">
      <c r="A683" s="163"/>
      <c r="B683" s="163"/>
      <c r="C683" s="163"/>
      <c r="D683" s="164"/>
      <c r="E683" s="165"/>
      <c r="F683" s="165"/>
      <c r="G683" s="166"/>
    </row>
    <row r="684" spans="1:7" x14ac:dyDescent="0.35">
      <c r="A684" s="163"/>
      <c r="B684" s="163"/>
      <c r="C684" s="163"/>
      <c r="D684" s="164"/>
      <c r="E684" s="165"/>
      <c r="F684" s="165"/>
      <c r="G684" s="166"/>
    </row>
    <row r="685" spans="1:7" x14ac:dyDescent="0.35">
      <c r="A685" s="163"/>
      <c r="B685" s="163"/>
      <c r="C685" s="163"/>
      <c r="D685" s="164"/>
      <c r="E685" s="165"/>
      <c r="F685" s="165"/>
      <c r="G685" s="166"/>
    </row>
    <row r="686" spans="1:7" x14ac:dyDescent="0.35">
      <c r="A686" s="163"/>
      <c r="B686" s="163"/>
      <c r="C686" s="163"/>
      <c r="D686" s="164"/>
      <c r="E686" s="165"/>
      <c r="F686" s="165"/>
      <c r="G686" s="166"/>
    </row>
    <row r="687" spans="1:7" x14ac:dyDescent="0.35">
      <c r="A687" s="163"/>
      <c r="B687" s="163"/>
      <c r="C687" s="163"/>
      <c r="D687" s="164"/>
      <c r="E687" s="165"/>
      <c r="F687" s="165"/>
      <c r="G687" s="166"/>
    </row>
    <row r="688" spans="1:7" x14ac:dyDescent="0.35">
      <c r="A688" s="163"/>
      <c r="B688" s="163"/>
      <c r="C688" s="163"/>
      <c r="D688" s="164"/>
      <c r="E688" s="165"/>
      <c r="F688" s="165"/>
      <c r="G688" s="166"/>
    </row>
    <row r="689" spans="1:7" x14ac:dyDescent="0.35">
      <c r="A689" s="163"/>
      <c r="B689" s="163"/>
      <c r="C689" s="163"/>
      <c r="D689" s="164"/>
      <c r="E689" s="165"/>
      <c r="F689" s="165"/>
      <c r="G689" s="166"/>
    </row>
    <row r="690" spans="1:7" x14ac:dyDescent="0.35">
      <c r="A690" s="163"/>
      <c r="B690" s="163"/>
      <c r="C690" s="163"/>
      <c r="D690" s="164"/>
      <c r="E690" s="165"/>
      <c r="F690" s="165"/>
      <c r="G690" s="166"/>
    </row>
    <row r="691" spans="1:7" x14ac:dyDescent="0.35">
      <c r="A691" s="163"/>
      <c r="B691" s="163"/>
      <c r="C691" s="163"/>
      <c r="D691" s="164"/>
      <c r="E691" s="165"/>
      <c r="F691" s="165"/>
      <c r="G691" s="166"/>
    </row>
    <row r="692" spans="1:7" x14ac:dyDescent="0.35">
      <c r="A692" s="163"/>
      <c r="B692" s="163"/>
      <c r="C692" s="163"/>
      <c r="D692" s="164"/>
      <c r="E692" s="165"/>
      <c r="F692" s="165"/>
      <c r="G692" s="166"/>
    </row>
    <row r="693" spans="1:7" x14ac:dyDescent="0.35">
      <c r="A693" s="163"/>
      <c r="B693" s="163"/>
      <c r="C693" s="163"/>
      <c r="D693" s="164"/>
      <c r="E693" s="165"/>
      <c r="F693" s="165"/>
      <c r="G693" s="166"/>
    </row>
    <row r="694" spans="1:7" x14ac:dyDescent="0.35">
      <c r="A694" s="163"/>
      <c r="B694" s="163"/>
      <c r="C694" s="163"/>
      <c r="D694" s="164"/>
      <c r="E694" s="165"/>
      <c r="F694" s="165"/>
      <c r="G694" s="166"/>
    </row>
    <row r="695" spans="1:7" x14ac:dyDescent="0.35">
      <c r="A695" s="163"/>
      <c r="B695" s="163"/>
      <c r="C695" s="163"/>
      <c r="D695" s="164"/>
      <c r="E695" s="165"/>
      <c r="F695" s="165"/>
      <c r="G695" s="166"/>
    </row>
    <row r="696" spans="1:7" x14ac:dyDescent="0.35">
      <c r="A696" s="163"/>
      <c r="B696" s="163"/>
      <c r="C696" s="163"/>
      <c r="D696" s="164"/>
      <c r="E696" s="165"/>
      <c r="F696" s="165"/>
      <c r="G696" s="166"/>
    </row>
    <row r="697" spans="1:7" x14ac:dyDescent="0.35">
      <c r="A697" s="163"/>
      <c r="B697" s="163"/>
      <c r="C697" s="163"/>
      <c r="D697" s="164"/>
      <c r="E697" s="165"/>
      <c r="F697" s="165"/>
      <c r="G697" s="166"/>
    </row>
    <row r="698" spans="1:7" x14ac:dyDescent="0.35">
      <c r="A698" s="163"/>
      <c r="B698" s="163"/>
      <c r="C698" s="163"/>
      <c r="D698" s="164"/>
      <c r="E698" s="165"/>
      <c r="F698" s="165"/>
      <c r="G698" s="166"/>
    </row>
    <row r="699" spans="1:7" x14ac:dyDescent="0.35">
      <c r="A699" s="163"/>
      <c r="B699" s="163"/>
      <c r="C699" s="163"/>
      <c r="D699" s="164"/>
      <c r="E699" s="165"/>
      <c r="F699" s="165"/>
      <c r="G699" s="166"/>
    </row>
    <row r="700" spans="1:7" x14ac:dyDescent="0.35">
      <c r="A700" s="163"/>
      <c r="B700" s="163"/>
      <c r="C700" s="163"/>
      <c r="D700" s="164"/>
      <c r="E700" s="165"/>
      <c r="F700" s="165"/>
      <c r="G700" s="166"/>
    </row>
    <row r="701" spans="1:7" x14ac:dyDescent="0.35">
      <c r="A701" s="163"/>
      <c r="B701" s="163"/>
      <c r="C701" s="163"/>
      <c r="D701" s="164"/>
      <c r="E701" s="165"/>
      <c r="F701" s="165"/>
      <c r="G701" s="166"/>
    </row>
    <row r="702" spans="1:7" x14ac:dyDescent="0.35">
      <c r="A702" s="163"/>
      <c r="B702" s="163"/>
      <c r="C702" s="163"/>
      <c r="D702" s="164"/>
      <c r="E702" s="165"/>
      <c r="F702" s="165"/>
      <c r="G702" s="166"/>
    </row>
    <row r="703" spans="1:7" x14ac:dyDescent="0.35">
      <c r="A703" s="163"/>
      <c r="B703" s="163"/>
      <c r="C703" s="163"/>
      <c r="D703" s="164"/>
      <c r="E703" s="165"/>
      <c r="F703" s="165"/>
      <c r="G703" s="166"/>
    </row>
    <row r="704" spans="1:7" x14ac:dyDescent="0.35">
      <c r="A704" s="163"/>
      <c r="B704" s="163"/>
      <c r="C704" s="163"/>
      <c r="D704" s="164"/>
      <c r="E704" s="165"/>
      <c r="F704" s="165"/>
      <c r="G704" s="166"/>
    </row>
    <row r="705" spans="1:7" x14ac:dyDescent="0.35">
      <c r="A705" s="163"/>
      <c r="B705" s="163"/>
      <c r="C705" s="163"/>
      <c r="D705" s="164"/>
      <c r="E705" s="165"/>
      <c r="F705" s="165"/>
      <c r="G705" s="166"/>
    </row>
    <row r="706" spans="1:7" x14ac:dyDescent="0.35">
      <c r="A706" s="163"/>
      <c r="B706" s="163"/>
      <c r="C706" s="163"/>
      <c r="D706" s="164"/>
      <c r="E706" s="165"/>
      <c r="F706" s="165"/>
      <c r="G706" s="166"/>
    </row>
    <row r="707" spans="1:7" x14ac:dyDescent="0.35">
      <c r="A707" s="163"/>
      <c r="B707" s="163"/>
      <c r="C707" s="163"/>
      <c r="D707" s="164"/>
      <c r="E707" s="165"/>
      <c r="F707" s="165"/>
      <c r="G707" s="166"/>
    </row>
    <row r="708" spans="1:7" x14ac:dyDescent="0.35">
      <c r="A708" s="163"/>
      <c r="B708" s="163"/>
      <c r="C708" s="163"/>
      <c r="D708" s="164"/>
      <c r="E708" s="165"/>
      <c r="F708" s="165"/>
      <c r="G708" s="166"/>
    </row>
    <row r="709" spans="1:7" x14ac:dyDescent="0.35">
      <c r="A709" s="163"/>
      <c r="B709" s="163"/>
      <c r="C709" s="163"/>
      <c r="D709" s="164"/>
      <c r="E709" s="165"/>
      <c r="F709" s="165"/>
      <c r="G709" s="166"/>
    </row>
    <row r="710" spans="1:7" x14ac:dyDescent="0.35">
      <c r="A710" s="163"/>
      <c r="B710" s="163"/>
      <c r="C710" s="163"/>
      <c r="D710" s="164"/>
      <c r="E710" s="165"/>
      <c r="F710" s="165"/>
      <c r="G710" s="166"/>
    </row>
    <row r="711" spans="1:7" x14ac:dyDescent="0.35">
      <c r="A711" s="163"/>
      <c r="B711" s="163"/>
      <c r="C711" s="163"/>
      <c r="D711" s="164"/>
      <c r="E711" s="165"/>
      <c r="F711" s="165"/>
      <c r="G711" s="166"/>
    </row>
    <row r="712" spans="1:7" x14ac:dyDescent="0.35">
      <c r="A712" s="163"/>
      <c r="B712" s="163"/>
      <c r="C712" s="163"/>
      <c r="D712" s="164"/>
      <c r="E712" s="165"/>
      <c r="F712" s="165"/>
      <c r="G712" s="166"/>
    </row>
    <row r="713" spans="1:7" x14ac:dyDescent="0.35">
      <c r="A713" s="163"/>
      <c r="B713" s="163"/>
      <c r="C713" s="163"/>
      <c r="D713" s="164"/>
      <c r="E713" s="165"/>
      <c r="F713" s="165"/>
      <c r="G713" s="166"/>
    </row>
    <row r="714" spans="1:7" x14ac:dyDescent="0.35">
      <c r="A714" s="163"/>
      <c r="B714" s="163"/>
      <c r="C714" s="163"/>
      <c r="D714" s="164"/>
      <c r="E714" s="165"/>
      <c r="F714" s="165"/>
      <c r="G714" s="166"/>
    </row>
    <row r="715" spans="1:7" x14ac:dyDescent="0.35">
      <c r="A715" s="163"/>
      <c r="B715" s="163"/>
      <c r="C715" s="163"/>
      <c r="D715" s="164"/>
      <c r="E715" s="165"/>
      <c r="F715" s="165"/>
      <c r="G715" s="166"/>
    </row>
    <row r="716" spans="1:7" x14ac:dyDescent="0.35">
      <c r="A716" s="163"/>
      <c r="B716" s="163"/>
      <c r="C716" s="163"/>
      <c r="D716" s="164"/>
      <c r="E716" s="165"/>
      <c r="F716" s="165"/>
      <c r="G716" s="166"/>
    </row>
    <row r="717" spans="1:7" x14ac:dyDescent="0.35">
      <c r="A717" s="163"/>
      <c r="B717" s="163"/>
      <c r="C717" s="163"/>
      <c r="D717" s="164"/>
      <c r="E717" s="165"/>
      <c r="F717" s="165"/>
      <c r="G717" s="166"/>
    </row>
    <row r="718" spans="1:7" x14ac:dyDescent="0.35">
      <c r="A718" s="163"/>
      <c r="B718" s="163"/>
      <c r="C718" s="163"/>
      <c r="D718" s="164"/>
      <c r="E718" s="165"/>
      <c r="F718" s="165"/>
      <c r="G718" s="166"/>
    </row>
    <row r="719" spans="1:7" x14ac:dyDescent="0.35">
      <c r="A719" s="163"/>
      <c r="B719" s="163"/>
      <c r="C719" s="163"/>
      <c r="D719" s="164"/>
      <c r="E719" s="165"/>
      <c r="F719" s="165"/>
      <c r="G719" s="166"/>
    </row>
    <row r="720" spans="1:7" x14ac:dyDescent="0.35">
      <c r="A720" s="163"/>
      <c r="B720" s="163"/>
      <c r="C720" s="163"/>
      <c r="D720" s="164"/>
      <c r="E720" s="165"/>
      <c r="F720" s="165"/>
      <c r="G720" s="166"/>
    </row>
    <row r="721" spans="1:7" x14ac:dyDescent="0.35">
      <c r="A721" s="163"/>
      <c r="B721" s="163"/>
      <c r="C721" s="163"/>
      <c r="D721" s="164"/>
      <c r="E721" s="165"/>
      <c r="F721" s="165"/>
      <c r="G721" s="166"/>
    </row>
    <row r="722" spans="1:7" x14ac:dyDescent="0.35">
      <c r="A722" s="163"/>
      <c r="B722" s="163"/>
      <c r="C722" s="163"/>
      <c r="D722" s="164"/>
      <c r="E722" s="165"/>
      <c r="F722" s="165"/>
      <c r="G722" s="166"/>
    </row>
    <row r="723" spans="1:7" x14ac:dyDescent="0.35">
      <c r="A723" s="163"/>
      <c r="B723" s="163"/>
      <c r="C723" s="163"/>
      <c r="D723" s="164"/>
      <c r="E723" s="165"/>
      <c r="F723" s="165"/>
      <c r="G723" s="166"/>
    </row>
    <row r="724" spans="1:7" x14ac:dyDescent="0.35">
      <c r="A724" s="163"/>
      <c r="B724" s="163"/>
      <c r="C724" s="163"/>
      <c r="D724" s="164"/>
      <c r="E724" s="165"/>
      <c r="F724" s="165"/>
      <c r="G724" s="166"/>
    </row>
    <row r="725" spans="1:7" x14ac:dyDescent="0.35">
      <c r="A725" s="163"/>
      <c r="B725" s="163"/>
      <c r="C725" s="163"/>
      <c r="D725" s="164"/>
      <c r="E725" s="165"/>
      <c r="F725" s="165"/>
      <c r="G725" s="166"/>
    </row>
    <row r="726" spans="1:7" x14ac:dyDescent="0.35">
      <c r="A726" s="163"/>
      <c r="B726" s="163"/>
      <c r="C726" s="163"/>
      <c r="D726" s="164"/>
      <c r="E726" s="165"/>
      <c r="F726" s="165"/>
      <c r="G726" s="166"/>
    </row>
    <row r="727" spans="1:7" x14ac:dyDescent="0.35">
      <c r="A727" s="163"/>
      <c r="B727" s="163"/>
      <c r="C727" s="163"/>
      <c r="D727" s="164"/>
      <c r="E727" s="165"/>
      <c r="F727" s="165"/>
      <c r="G727" s="166"/>
    </row>
    <row r="728" spans="1:7" x14ac:dyDescent="0.35">
      <c r="A728" s="163"/>
      <c r="B728" s="163"/>
      <c r="C728" s="163"/>
      <c r="D728" s="164"/>
      <c r="E728" s="165"/>
      <c r="F728" s="165"/>
      <c r="G728" s="166"/>
    </row>
    <row r="729" spans="1:7" x14ac:dyDescent="0.35">
      <c r="A729" s="163"/>
      <c r="B729" s="163"/>
      <c r="C729" s="163"/>
      <c r="D729" s="164"/>
      <c r="E729" s="165"/>
      <c r="F729" s="165"/>
      <c r="G729" s="166"/>
    </row>
    <row r="730" spans="1:7" x14ac:dyDescent="0.35">
      <c r="A730" s="163"/>
      <c r="B730" s="163"/>
      <c r="C730" s="163"/>
      <c r="D730" s="164"/>
      <c r="E730" s="165"/>
      <c r="F730" s="165"/>
      <c r="G730" s="166"/>
    </row>
    <row r="731" spans="1:7" x14ac:dyDescent="0.35">
      <c r="A731" s="163"/>
      <c r="B731" s="163"/>
      <c r="C731" s="163"/>
      <c r="D731" s="164"/>
      <c r="E731" s="165"/>
      <c r="F731" s="165"/>
      <c r="G731" s="166"/>
    </row>
    <row r="732" spans="1:7" x14ac:dyDescent="0.35">
      <c r="A732" s="163"/>
      <c r="B732" s="163"/>
      <c r="C732" s="163"/>
      <c r="D732" s="164"/>
      <c r="E732" s="165"/>
      <c r="F732" s="165"/>
      <c r="G732" s="166"/>
    </row>
    <row r="733" spans="1:7" x14ac:dyDescent="0.35">
      <c r="A733" s="163"/>
      <c r="B733" s="163"/>
      <c r="C733" s="163"/>
      <c r="D733" s="164"/>
      <c r="E733" s="165"/>
      <c r="F733" s="165"/>
      <c r="G733" s="166"/>
    </row>
    <row r="734" spans="1:7" x14ac:dyDescent="0.35">
      <c r="A734" s="163"/>
      <c r="B734" s="163"/>
      <c r="C734" s="163"/>
      <c r="D734" s="164"/>
      <c r="E734" s="165"/>
      <c r="F734" s="165"/>
      <c r="G734" s="166"/>
    </row>
    <row r="735" spans="1:7" x14ac:dyDescent="0.35">
      <c r="A735" s="163"/>
      <c r="B735" s="163"/>
      <c r="C735" s="163"/>
      <c r="D735" s="164"/>
      <c r="E735" s="165"/>
      <c r="F735" s="165"/>
      <c r="G735" s="166"/>
    </row>
    <row r="736" spans="1:7" x14ac:dyDescent="0.35">
      <c r="A736" s="163"/>
      <c r="B736" s="163"/>
      <c r="C736" s="163"/>
      <c r="D736" s="164"/>
      <c r="E736" s="165"/>
      <c r="F736" s="165"/>
      <c r="G736" s="166"/>
    </row>
    <row r="737" spans="1:7" x14ac:dyDescent="0.35">
      <c r="A737" s="163"/>
      <c r="B737" s="163"/>
      <c r="C737" s="163"/>
      <c r="D737" s="164"/>
      <c r="E737" s="165"/>
      <c r="F737" s="165"/>
      <c r="G737" s="166"/>
    </row>
    <row r="738" spans="1:7" x14ac:dyDescent="0.35">
      <c r="A738" s="163"/>
      <c r="B738" s="163"/>
      <c r="C738" s="163"/>
      <c r="D738" s="164"/>
      <c r="E738" s="165"/>
      <c r="F738" s="165"/>
      <c r="G738" s="166"/>
    </row>
    <row r="739" spans="1:7" x14ac:dyDescent="0.35">
      <c r="A739" s="163"/>
      <c r="B739" s="163"/>
      <c r="C739" s="163"/>
      <c r="D739" s="164"/>
      <c r="E739" s="165"/>
      <c r="F739" s="165"/>
      <c r="G739" s="166"/>
    </row>
    <row r="740" spans="1:7" x14ac:dyDescent="0.35">
      <c r="A740" s="163"/>
      <c r="B740" s="163"/>
      <c r="C740" s="163"/>
      <c r="D740" s="164"/>
      <c r="E740" s="165"/>
      <c r="F740" s="165"/>
      <c r="G740" s="166"/>
    </row>
    <row r="741" spans="1:7" x14ac:dyDescent="0.35">
      <c r="A741" s="163"/>
      <c r="B741" s="163"/>
      <c r="C741" s="163"/>
      <c r="D741" s="164"/>
      <c r="E741" s="165"/>
      <c r="F741" s="165"/>
      <c r="G741" s="166"/>
    </row>
    <row r="742" spans="1:7" x14ac:dyDescent="0.35">
      <c r="A742" s="163"/>
      <c r="B742" s="163"/>
      <c r="C742" s="163"/>
      <c r="D742" s="164"/>
      <c r="E742" s="165"/>
      <c r="F742" s="165"/>
      <c r="G742" s="166"/>
    </row>
    <row r="743" spans="1:7" x14ac:dyDescent="0.35">
      <c r="A743" s="163"/>
      <c r="B743" s="163"/>
      <c r="C743" s="163"/>
      <c r="D743" s="164"/>
      <c r="E743" s="165"/>
      <c r="F743" s="165"/>
      <c r="G743" s="166"/>
    </row>
    <row r="744" spans="1:7" x14ac:dyDescent="0.35">
      <c r="A744" s="163"/>
      <c r="B744" s="163"/>
      <c r="C744" s="163"/>
      <c r="D744" s="164"/>
      <c r="E744" s="165"/>
      <c r="F744" s="165"/>
      <c r="G744" s="166"/>
    </row>
    <row r="745" spans="1:7" x14ac:dyDescent="0.35">
      <c r="A745" s="163"/>
      <c r="B745" s="163"/>
      <c r="C745" s="163"/>
      <c r="D745" s="164"/>
      <c r="E745" s="165"/>
      <c r="F745" s="165"/>
      <c r="G745" s="166"/>
    </row>
    <row r="746" spans="1:7" x14ac:dyDescent="0.35">
      <c r="A746" s="163"/>
      <c r="B746" s="163"/>
      <c r="C746" s="163"/>
      <c r="D746" s="164"/>
      <c r="E746" s="165"/>
      <c r="F746" s="165"/>
      <c r="G746" s="166"/>
    </row>
    <row r="747" spans="1:7" x14ac:dyDescent="0.35">
      <c r="A747" s="163"/>
      <c r="B747" s="163"/>
      <c r="C747" s="163"/>
      <c r="D747" s="164"/>
      <c r="E747" s="165"/>
      <c r="F747" s="165"/>
      <c r="G747" s="166"/>
    </row>
    <row r="748" spans="1:7" x14ac:dyDescent="0.35">
      <c r="A748" s="163"/>
      <c r="B748" s="163"/>
      <c r="C748" s="163"/>
      <c r="D748" s="164"/>
      <c r="E748" s="165"/>
      <c r="F748" s="165"/>
      <c r="G748" s="166"/>
    </row>
    <row r="749" spans="1:7" x14ac:dyDescent="0.35">
      <c r="A749" s="163"/>
      <c r="B749" s="163"/>
      <c r="C749" s="163"/>
      <c r="D749" s="164"/>
      <c r="E749" s="165"/>
      <c r="F749" s="165"/>
      <c r="G749" s="166"/>
    </row>
    <row r="750" spans="1:7" x14ac:dyDescent="0.35">
      <c r="A750" s="163"/>
      <c r="B750" s="163"/>
      <c r="C750" s="163"/>
      <c r="D750" s="164"/>
      <c r="E750" s="165"/>
      <c r="F750" s="165"/>
      <c r="G750" s="166"/>
    </row>
    <row r="751" spans="1:7" x14ac:dyDescent="0.35">
      <c r="A751" s="163"/>
      <c r="B751" s="163"/>
      <c r="C751" s="163"/>
      <c r="D751" s="164"/>
      <c r="E751" s="165"/>
      <c r="F751" s="165"/>
      <c r="G751" s="166"/>
    </row>
    <row r="752" spans="1:7" x14ac:dyDescent="0.35">
      <c r="A752" s="163"/>
      <c r="B752" s="163"/>
      <c r="C752" s="163"/>
      <c r="D752" s="164"/>
      <c r="E752" s="165"/>
      <c r="F752" s="165"/>
      <c r="G752" s="166"/>
    </row>
    <row r="753" spans="1:7" x14ac:dyDescent="0.35">
      <c r="A753" s="163"/>
      <c r="B753" s="163"/>
      <c r="C753" s="163"/>
      <c r="D753" s="164"/>
      <c r="E753" s="165"/>
      <c r="F753" s="165"/>
      <c r="G753" s="166"/>
    </row>
    <row r="754" spans="1:7" x14ac:dyDescent="0.35">
      <c r="A754" s="163"/>
      <c r="B754" s="163"/>
      <c r="C754" s="163"/>
      <c r="D754" s="164"/>
      <c r="E754" s="165"/>
      <c r="F754" s="165"/>
      <c r="G754" s="166"/>
    </row>
    <row r="755" spans="1:7" x14ac:dyDescent="0.35">
      <c r="A755" s="163"/>
      <c r="B755" s="163"/>
      <c r="C755" s="163"/>
      <c r="D755" s="164"/>
      <c r="E755" s="165"/>
      <c r="F755" s="165"/>
      <c r="G755" s="166"/>
    </row>
    <row r="756" spans="1:7" x14ac:dyDescent="0.35">
      <c r="A756" s="163"/>
      <c r="B756" s="163"/>
      <c r="C756" s="163"/>
      <c r="D756" s="164"/>
      <c r="E756" s="165"/>
      <c r="F756" s="165"/>
      <c r="G756" s="166"/>
    </row>
    <row r="757" spans="1:7" x14ac:dyDescent="0.35">
      <c r="A757" s="163"/>
      <c r="B757" s="163"/>
      <c r="C757" s="163"/>
      <c r="D757" s="164"/>
      <c r="E757" s="165"/>
      <c r="F757" s="165"/>
      <c r="G757" s="166"/>
    </row>
    <row r="758" spans="1:7" x14ac:dyDescent="0.35">
      <c r="A758" s="163"/>
      <c r="B758" s="163"/>
      <c r="C758" s="163"/>
      <c r="D758" s="164"/>
      <c r="E758" s="165"/>
      <c r="F758" s="165"/>
      <c r="G758" s="166"/>
    </row>
    <row r="759" spans="1:7" x14ac:dyDescent="0.35">
      <c r="A759" s="163"/>
      <c r="B759" s="163"/>
      <c r="C759" s="163"/>
      <c r="D759" s="164"/>
      <c r="E759" s="165"/>
      <c r="F759" s="165"/>
      <c r="G759" s="166"/>
    </row>
    <row r="760" spans="1:7" x14ac:dyDescent="0.35">
      <c r="A760" s="163"/>
      <c r="B760" s="163"/>
      <c r="C760" s="163"/>
      <c r="D760" s="164"/>
      <c r="E760" s="165"/>
      <c r="F760" s="165"/>
      <c r="G760" s="166"/>
    </row>
    <row r="761" spans="1:7" x14ac:dyDescent="0.35">
      <c r="A761" s="163"/>
      <c r="B761" s="163"/>
      <c r="C761" s="163"/>
      <c r="D761" s="164"/>
      <c r="E761" s="165"/>
      <c r="F761" s="165"/>
      <c r="G761" s="166"/>
    </row>
    <row r="762" spans="1:7" x14ac:dyDescent="0.35">
      <c r="A762" s="163"/>
      <c r="B762" s="163"/>
      <c r="C762" s="163"/>
      <c r="D762" s="164"/>
      <c r="E762" s="165"/>
      <c r="F762" s="165"/>
      <c r="G762" s="166"/>
    </row>
    <row r="763" spans="1:7" x14ac:dyDescent="0.35">
      <c r="A763" s="163"/>
      <c r="B763" s="163"/>
      <c r="C763" s="163"/>
      <c r="D763" s="164"/>
      <c r="E763" s="165"/>
      <c r="F763" s="165"/>
      <c r="G763" s="166"/>
    </row>
    <row r="764" spans="1:7" x14ac:dyDescent="0.35">
      <c r="A764" s="163"/>
      <c r="B764" s="163"/>
      <c r="C764" s="163"/>
      <c r="D764" s="164"/>
      <c r="E764" s="165"/>
      <c r="F764" s="165"/>
      <c r="G764" s="166"/>
    </row>
    <row r="765" spans="1:7" x14ac:dyDescent="0.35">
      <c r="A765" s="163"/>
      <c r="B765" s="163"/>
      <c r="C765" s="163"/>
      <c r="D765" s="164"/>
      <c r="E765" s="165"/>
      <c r="F765" s="165"/>
      <c r="G765" s="166"/>
    </row>
    <row r="766" spans="1:7" x14ac:dyDescent="0.35">
      <c r="A766" s="163"/>
      <c r="B766" s="163"/>
      <c r="C766" s="163"/>
      <c r="D766" s="164"/>
      <c r="E766" s="165"/>
      <c r="F766" s="165"/>
      <c r="G766" s="166"/>
    </row>
    <row r="767" spans="1:7" x14ac:dyDescent="0.35">
      <c r="A767" s="163"/>
      <c r="B767" s="163"/>
      <c r="C767" s="163"/>
      <c r="D767" s="164"/>
      <c r="E767" s="165"/>
      <c r="F767" s="165"/>
      <c r="G767" s="166"/>
    </row>
    <row r="768" spans="1:7" x14ac:dyDescent="0.35">
      <c r="A768" s="163"/>
      <c r="B768" s="163"/>
      <c r="C768" s="163"/>
      <c r="D768" s="164"/>
      <c r="E768" s="165"/>
      <c r="F768" s="165"/>
      <c r="G768" s="166"/>
    </row>
    <row r="769" spans="1:7" x14ac:dyDescent="0.35">
      <c r="A769" s="163"/>
      <c r="B769" s="163"/>
      <c r="C769" s="163"/>
      <c r="D769" s="164"/>
      <c r="E769" s="165"/>
      <c r="F769" s="165"/>
      <c r="G769" s="166"/>
    </row>
    <row r="770" spans="1:7" x14ac:dyDescent="0.35">
      <c r="A770" s="163"/>
      <c r="B770" s="163"/>
      <c r="C770" s="163"/>
      <c r="D770" s="164"/>
      <c r="E770" s="165"/>
      <c r="F770" s="165"/>
      <c r="G770" s="166"/>
    </row>
    <row r="771" spans="1:7" x14ac:dyDescent="0.35">
      <c r="A771" s="163"/>
      <c r="B771" s="163"/>
      <c r="C771" s="163"/>
      <c r="D771" s="164"/>
      <c r="E771" s="165"/>
      <c r="F771" s="165"/>
      <c r="G771" s="166"/>
    </row>
    <row r="772" spans="1:7" x14ac:dyDescent="0.35">
      <c r="A772" s="163"/>
      <c r="B772" s="163"/>
      <c r="C772" s="163"/>
      <c r="D772" s="164"/>
      <c r="E772" s="165"/>
      <c r="F772" s="165"/>
      <c r="G772" s="166"/>
    </row>
    <row r="773" spans="1:7" x14ac:dyDescent="0.35">
      <c r="A773" s="163"/>
      <c r="B773" s="163"/>
      <c r="C773" s="163"/>
      <c r="D773" s="164"/>
      <c r="E773" s="165"/>
      <c r="F773" s="165"/>
      <c r="G773" s="166"/>
    </row>
    <row r="774" spans="1:7" x14ac:dyDescent="0.35">
      <c r="A774" s="163"/>
      <c r="B774" s="163"/>
      <c r="C774" s="163"/>
      <c r="D774" s="164"/>
      <c r="E774" s="165"/>
      <c r="F774" s="165"/>
      <c r="G774" s="166"/>
    </row>
    <row r="775" spans="1:7" x14ac:dyDescent="0.35">
      <c r="A775" s="163"/>
      <c r="B775" s="163"/>
      <c r="C775" s="163"/>
      <c r="D775" s="164"/>
      <c r="E775" s="165"/>
      <c r="F775" s="165"/>
      <c r="G775" s="166"/>
    </row>
    <row r="776" spans="1:7" x14ac:dyDescent="0.35">
      <c r="A776" s="163"/>
      <c r="B776" s="163"/>
      <c r="C776" s="163"/>
      <c r="D776" s="164"/>
      <c r="E776" s="165"/>
      <c r="F776" s="165"/>
      <c r="G776" s="166"/>
    </row>
    <row r="777" spans="1:7" x14ac:dyDescent="0.35">
      <c r="A777" s="163"/>
      <c r="B777" s="163"/>
      <c r="C777" s="163"/>
      <c r="D777" s="164"/>
      <c r="E777" s="165"/>
      <c r="F777" s="165"/>
      <c r="G777" s="166"/>
    </row>
    <row r="778" spans="1:7" x14ac:dyDescent="0.35">
      <c r="A778" s="163"/>
      <c r="B778" s="163"/>
      <c r="C778" s="163"/>
      <c r="D778" s="164"/>
      <c r="E778" s="165"/>
      <c r="F778" s="165"/>
      <c r="G778" s="166"/>
    </row>
    <row r="779" spans="1:7" x14ac:dyDescent="0.35">
      <c r="A779" s="163"/>
      <c r="B779" s="163"/>
      <c r="C779" s="163"/>
      <c r="D779" s="164"/>
      <c r="E779" s="165"/>
      <c r="F779" s="165"/>
      <c r="G779" s="166"/>
    </row>
    <row r="780" spans="1:7" x14ac:dyDescent="0.35">
      <c r="A780" s="163"/>
      <c r="B780" s="163"/>
      <c r="C780" s="163"/>
      <c r="D780" s="164"/>
      <c r="E780" s="165"/>
      <c r="F780" s="165"/>
      <c r="G780" s="166"/>
    </row>
    <row r="781" spans="1:7" x14ac:dyDescent="0.35">
      <c r="A781" s="163"/>
      <c r="B781" s="163"/>
      <c r="C781" s="163"/>
      <c r="D781" s="164"/>
      <c r="E781" s="165"/>
      <c r="F781" s="165"/>
      <c r="G781" s="166"/>
    </row>
    <row r="782" spans="1:7" x14ac:dyDescent="0.35">
      <c r="A782" s="163"/>
      <c r="B782" s="163"/>
      <c r="C782" s="163"/>
      <c r="D782" s="164"/>
      <c r="E782" s="165"/>
      <c r="F782" s="165"/>
      <c r="G782" s="166"/>
    </row>
    <row r="783" spans="1:7" x14ac:dyDescent="0.35">
      <c r="A783" s="163"/>
      <c r="B783" s="163"/>
      <c r="C783" s="163"/>
      <c r="D783" s="164"/>
      <c r="E783" s="165"/>
      <c r="F783" s="165"/>
      <c r="G783" s="166"/>
    </row>
    <row r="784" spans="1:7" x14ac:dyDescent="0.35">
      <c r="A784" s="163"/>
      <c r="B784" s="163"/>
      <c r="C784" s="163"/>
      <c r="D784" s="164"/>
      <c r="E784" s="165"/>
      <c r="F784" s="165"/>
      <c r="G784" s="166"/>
    </row>
    <row r="785" spans="1:7" x14ac:dyDescent="0.35">
      <c r="A785" s="163"/>
      <c r="B785" s="163"/>
      <c r="C785" s="163"/>
      <c r="D785" s="164"/>
      <c r="E785" s="165"/>
      <c r="F785" s="165"/>
      <c r="G785" s="166"/>
    </row>
    <row r="786" spans="1:7" x14ac:dyDescent="0.35">
      <c r="A786" s="163"/>
      <c r="B786" s="163"/>
      <c r="C786" s="163"/>
      <c r="D786" s="164"/>
      <c r="E786" s="165"/>
      <c r="F786" s="165"/>
      <c r="G786" s="166"/>
    </row>
    <row r="787" spans="1:7" x14ac:dyDescent="0.35">
      <c r="A787" s="163"/>
      <c r="B787" s="163"/>
      <c r="C787" s="163"/>
      <c r="D787" s="164"/>
      <c r="E787" s="165"/>
      <c r="F787" s="165"/>
      <c r="G787" s="166"/>
    </row>
    <row r="788" spans="1:7" x14ac:dyDescent="0.35">
      <c r="A788" s="163"/>
      <c r="B788" s="163"/>
      <c r="C788" s="163"/>
      <c r="D788" s="164"/>
      <c r="E788" s="165"/>
      <c r="F788" s="165"/>
      <c r="G788" s="166"/>
    </row>
    <row r="789" spans="1:7" x14ac:dyDescent="0.35">
      <c r="A789" s="163"/>
      <c r="B789" s="163"/>
      <c r="C789" s="163"/>
      <c r="D789" s="164"/>
      <c r="E789" s="165"/>
      <c r="F789" s="165"/>
      <c r="G789" s="166"/>
    </row>
    <row r="790" spans="1:7" x14ac:dyDescent="0.35">
      <c r="A790" s="163"/>
      <c r="B790" s="163"/>
      <c r="C790" s="163"/>
      <c r="D790" s="164"/>
      <c r="E790" s="165"/>
      <c r="F790" s="165"/>
      <c r="G790" s="166"/>
    </row>
    <row r="791" spans="1:7" x14ac:dyDescent="0.35">
      <c r="A791" s="163"/>
      <c r="B791" s="163"/>
      <c r="C791" s="163"/>
      <c r="D791" s="164"/>
      <c r="E791" s="165"/>
      <c r="F791" s="165"/>
      <c r="G791" s="166"/>
    </row>
    <row r="792" spans="1:7" x14ac:dyDescent="0.35">
      <c r="A792" s="163"/>
      <c r="B792" s="163"/>
      <c r="C792" s="163"/>
      <c r="D792" s="164"/>
      <c r="E792" s="165"/>
      <c r="F792" s="165"/>
      <c r="G792" s="166"/>
    </row>
    <row r="793" spans="1:7" x14ac:dyDescent="0.35">
      <c r="A793" s="163"/>
      <c r="B793" s="163"/>
      <c r="C793" s="163"/>
      <c r="D793" s="164"/>
      <c r="E793" s="165"/>
      <c r="F793" s="165"/>
      <c r="G793" s="166"/>
    </row>
    <row r="794" spans="1:7" x14ac:dyDescent="0.35">
      <c r="A794" s="163"/>
      <c r="B794" s="163"/>
      <c r="C794" s="163"/>
      <c r="D794" s="164"/>
      <c r="E794" s="165"/>
      <c r="F794" s="165"/>
      <c r="G794" s="166"/>
    </row>
    <row r="795" spans="1:7" x14ac:dyDescent="0.35">
      <c r="A795" s="163"/>
      <c r="B795" s="163"/>
      <c r="C795" s="163"/>
      <c r="D795" s="164"/>
      <c r="E795" s="165"/>
      <c r="F795" s="165"/>
      <c r="G795" s="166"/>
    </row>
    <row r="796" spans="1:7" x14ac:dyDescent="0.35">
      <c r="A796" s="163"/>
      <c r="B796" s="163"/>
      <c r="C796" s="163"/>
      <c r="D796" s="164"/>
      <c r="E796" s="165"/>
      <c r="F796" s="165"/>
      <c r="G796" s="166"/>
    </row>
    <row r="797" spans="1:7" x14ac:dyDescent="0.35">
      <c r="A797" s="163"/>
      <c r="B797" s="163"/>
      <c r="C797" s="163"/>
      <c r="D797" s="164"/>
      <c r="E797" s="165"/>
      <c r="F797" s="165"/>
      <c r="G797" s="166"/>
    </row>
    <row r="798" spans="1:7" x14ac:dyDescent="0.35">
      <c r="A798" s="163"/>
      <c r="B798" s="163"/>
      <c r="C798" s="163"/>
      <c r="D798" s="164"/>
      <c r="E798" s="165"/>
      <c r="F798" s="165"/>
      <c r="G798" s="166"/>
    </row>
    <row r="799" spans="1:7" x14ac:dyDescent="0.35">
      <c r="A799" s="163"/>
      <c r="B799" s="163"/>
      <c r="C799" s="163"/>
      <c r="D799" s="164"/>
      <c r="E799" s="165"/>
      <c r="F799" s="165"/>
      <c r="G799" s="166"/>
    </row>
    <row r="800" spans="1:7" x14ac:dyDescent="0.35">
      <c r="A800" s="163"/>
      <c r="B800" s="163"/>
      <c r="C800" s="163"/>
      <c r="D800" s="164"/>
      <c r="E800" s="165"/>
      <c r="F800" s="165"/>
      <c r="G800" s="166"/>
    </row>
    <row r="801" spans="1:7" x14ac:dyDescent="0.35">
      <c r="A801" s="163"/>
      <c r="B801" s="163"/>
      <c r="C801" s="163"/>
      <c r="D801" s="164"/>
      <c r="E801" s="165"/>
      <c r="F801" s="165"/>
      <c r="G801" s="166"/>
    </row>
    <row r="802" spans="1:7" x14ac:dyDescent="0.35">
      <c r="A802" s="163"/>
      <c r="B802" s="163"/>
      <c r="C802" s="163"/>
      <c r="D802" s="164"/>
      <c r="E802" s="165"/>
      <c r="F802" s="165"/>
      <c r="G802" s="166"/>
    </row>
    <row r="803" spans="1:7" x14ac:dyDescent="0.35">
      <c r="A803" s="163"/>
      <c r="B803" s="163"/>
      <c r="C803" s="163"/>
      <c r="D803" s="164"/>
      <c r="E803" s="165"/>
      <c r="F803" s="165"/>
      <c r="G803" s="166"/>
    </row>
    <row r="804" spans="1:7" x14ac:dyDescent="0.35">
      <c r="A804" s="163"/>
      <c r="B804" s="163"/>
      <c r="C804" s="163"/>
      <c r="D804" s="164"/>
      <c r="E804" s="165"/>
      <c r="F804" s="165"/>
      <c r="G804" s="166"/>
    </row>
    <row r="805" spans="1:7" x14ac:dyDescent="0.35">
      <c r="A805" s="163"/>
      <c r="B805" s="163"/>
      <c r="C805" s="163"/>
      <c r="D805" s="164"/>
      <c r="E805" s="165"/>
      <c r="F805" s="165"/>
      <c r="G805" s="166"/>
    </row>
    <row r="806" spans="1:7" x14ac:dyDescent="0.35">
      <c r="A806" s="163"/>
      <c r="B806" s="163"/>
      <c r="C806" s="163"/>
      <c r="D806" s="164"/>
      <c r="E806" s="165"/>
      <c r="F806" s="165"/>
      <c r="G806" s="166"/>
    </row>
    <row r="807" spans="1:7" x14ac:dyDescent="0.35">
      <c r="A807" s="163"/>
      <c r="B807" s="163"/>
      <c r="C807" s="163"/>
      <c r="D807" s="164"/>
      <c r="E807" s="165"/>
      <c r="F807" s="165"/>
      <c r="G807" s="166"/>
    </row>
    <row r="808" spans="1:7" x14ac:dyDescent="0.35">
      <c r="A808" s="163"/>
      <c r="B808" s="163"/>
      <c r="C808" s="163"/>
      <c r="D808" s="164"/>
      <c r="E808" s="165"/>
      <c r="F808" s="165"/>
      <c r="G808" s="166"/>
    </row>
    <row r="809" spans="1:7" x14ac:dyDescent="0.35">
      <c r="A809" s="163"/>
      <c r="B809" s="163"/>
      <c r="C809" s="163"/>
      <c r="D809" s="164"/>
      <c r="E809" s="165"/>
      <c r="F809" s="165"/>
      <c r="G809" s="166"/>
    </row>
    <row r="810" spans="1:7" x14ac:dyDescent="0.35">
      <c r="A810" s="163"/>
      <c r="B810" s="163"/>
      <c r="C810" s="163"/>
      <c r="D810" s="164"/>
      <c r="E810" s="165"/>
      <c r="F810" s="165"/>
      <c r="G810" s="166"/>
    </row>
    <row r="811" spans="1:7" x14ac:dyDescent="0.35">
      <c r="A811" s="163"/>
      <c r="B811" s="163"/>
      <c r="C811" s="163"/>
      <c r="D811" s="164"/>
      <c r="E811" s="165"/>
      <c r="F811" s="165"/>
      <c r="G811" s="166"/>
    </row>
    <row r="812" spans="1:7" x14ac:dyDescent="0.35">
      <c r="A812" s="163"/>
      <c r="B812" s="163"/>
      <c r="C812" s="163"/>
      <c r="D812" s="164"/>
      <c r="E812" s="165"/>
      <c r="F812" s="165"/>
      <c r="G812" s="166"/>
    </row>
    <row r="813" spans="1:7" x14ac:dyDescent="0.35">
      <c r="A813" s="163"/>
      <c r="B813" s="163"/>
      <c r="C813" s="163"/>
      <c r="D813" s="164"/>
      <c r="E813" s="165"/>
      <c r="F813" s="165"/>
      <c r="G813" s="166"/>
    </row>
    <row r="814" spans="1:7" x14ac:dyDescent="0.35">
      <c r="A814" s="163"/>
      <c r="B814" s="163"/>
      <c r="C814" s="163"/>
      <c r="D814" s="164"/>
      <c r="E814" s="165"/>
      <c r="F814" s="165"/>
      <c r="G814" s="166"/>
    </row>
    <row r="815" spans="1:7" x14ac:dyDescent="0.35">
      <c r="A815" s="163"/>
      <c r="B815" s="163"/>
      <c r="C815" s="163"/>
      <c r="D815" s="164"/>
      <c r="E815" s="165"/>
      <c r="F815" s="165"/>
      <c r="G815" s="166"/>
    </row>
    <row r="816" spans="1:7" x14ac:dyDescent="0.35">
      <c r="A816" s="163"/>
      <c r="B816" s="163"/>
      <c r="C816" s="163"/>
      <c r="D816" s="164"/>
      <c r="E816" s="165"/>
      <c r="F816" s="165"/>
      <c r="G816" s="166"/>
    </row>
    <row r="817" spans="1:7" x14ac:dyDescent="0.35">
      <c r="A817" s="163"/>
      <c r="B817" s="163"/>
      <c r="C817" s="163"/>
      <c r="D817" s="164"/>
      <c r="E817" s="165"/>
      <c r="F817" s="165"/>
      <c r="G817" s="166"/>
    </row>
    <row r="818" spans="1:7" x14ac:dyDescent="0.35">
      <c r="A818" s="163"/>
      <c r="B818" s="163"/>
      <c r="C818" s="163"/>
      <c r="D818" s="164"/>
      <c r="E818" s="165"/>
      <c r="F818" s="165"/>
      <c r="G818" s="166"/>
    </row>
    <row r="819" spans="1:7" x14ac:dyDescent="0.35">
      <c r="A819" s="163"/>
      <c r="B819" s="163"/>
      <c r="C819" s="163"/>
      <c r="D819" s="164"/>
      <c r="E819" s="165"/>
      <c r="F819" s="165"/>
      <c r="G819" s="166"/>
    </row>
    <row r="820" spans="1:7" x14ac:dyDescent="0.35">
      <c r="A820" s="163"/>
      <c r="B820" s="163"/>
      <c r="C820" s="163"/>
      <c r="D820" s="164"/>
      <c r="E820" s="165"/>
      <c r="F820" s="165"/>
      <c r="G820" s="166"/>
    </row>
    <row r="821" spans="1:7" x14ac:dyDescent="0.35">
      <c r="A821" s="163"/>
      <c r="B821" s="163"/>
      <c r="C821" s="163"/>
      <c r="D821" s="164"/>
      <c r="E821" s="165"/>
      <c r="F821" s="165"/>
      <c r="G821" s="166"/>
    </row>
    <row r="822" spans="1:7" x14ac:dyDescent="0.35">
      <c r="A822" s="163"/>
      <c r="B822" s="163"/>
      <c r="C822" s="163"/>
      <c r="D822" s="164"/>
      <c r="E822" s="165"/>
      <c r="F822" s="165"/>
      <c r="G822" s="166"/>
    </row>
    <row r="823" spans="1:7" x14ac:dyDescent="0.35">
      <c r="A823" s="163"/>
      <c r="B823" s="163"/>
      <c r="C823" s="163"/>
      <c r="D823" s="164"/>
      <c r="E823" s="165"/>
      <c r="F823" s="165"/>
      <c r="G823" s="166"/>
    </row>
    <row r="824" spans="1:7" x14ac:dyDescent="0.35">
      <c r="A824" s="163"/>
      <c r="B824" s="163"/>
      <c r="C824" s="163"/>
      <c r="D824" s="164"/>
      <c r="E824" s="165"/>
      <c r="F824" s="165"/>
      <c r="G824" s="166"/>
    </row>
    <row r="825" spans="1:7" x14ac:dyDescent="0.35">
      <c r="A825" s="163"/>
      <c r="B825" s="163"/>
      <c r="C825" s="163"/>
      <c r="D825" s="164"/>
      <c r="E825" s="165"/>
      <c r="F825" s="165"/>
      <c r="G825" s="166"/>
    </row>
    <row r="826" spans="1:7" x14ac:dyDescent="0.35">
      <c r="A826" s="163"/>
      <c r="B826" s="163"/>
      <c r="C826" s="163"/>
      <c r="D826" s="164"/>
      <c r="E826" s="165"/>
      <c r="F826" s="165"/>
      <c r="G826" s="166"/>
    </row>
    <row r="827" spans="1:7" x14ac:dyDescent="0.35">
      <c r="A827" s="163"/>
      <c r="B827" s="163"/>
      <c r="C827" s="163"/>
      <c r="D827" s="164"/>
      <c r="E827" s="165"/>
      <c r="F827" s="165"/>
      <c r="G827" s="166"/>
    </row>
    <row r="828" spans="1:7" x14ac:dyDescent="0.35">
      <c r="A828" s="163"/>
      <c r="B828" s="163"/>
      <c r="C828" s="163"/>
      <c r="D828" s="164"/>
      <c r="E828" s="165"/>
      <c r="F828" s="165"/>
      <c r="G828" s="166"/>
    </row>
    <row r="829" spans="1:7" x14ac:dyDescent="0.35">
      <c r="A829" s="163"/>
      <c r="B829" s="163"/>
      <c r="C829" s="163"/>
      <c r="D829" s="164"/>
      <c r="E829" s="165"/>
      <c r="F829" s="165"/>
      <c r="G829" s="166"/>
    </row>
    <row r="830" spans="1:7" x14ac:dyDescent="0.35">
      <c r="A830" s="163"/>
      <c r="B830" s="163"/>
      <c r="C830" s="163"/>
      <c r="D830" s="164"/>
      <c r="E830" s="165"/>
      <c r="F830" s="165"/>
      <c r="G830" s="166"/>
    </row>
    <row r="831" spans="1:7" x14ac:dyDescent="0.35">
      <c r="A831" s="163"/>
      <c r="B831" s="163"/>
      <c r="C831" s="163"/>
      <c r="D831" s="164"/>
      <c r="E831" s="165"/>
      <c r="F831" s="165"/>
      <c r="G831" s="166"/>
    </row>
    <row r="832" spans="1:7" x14ac:dyDescent="0.35">
      <c r="A832" s="163"/>
      <c r="B832" s="163"/>
      <c r="C832" s="163"/>
      <c r="D832" s="164"/>
      <c r="E832" s="165"/>
      <c r="F832" s="165"/>
      <c r="G832" s="166"/>
    </row>
    <row r="833" spans="1:7" x14ac:dyDescent="0.35">
      <c r="A833" s="163"/>
      <c r="B833" s="163"/>
      <c r="C833" s="163"/>
      <c r="D833" s="164"/>
      <c r="E833" s="165"/>
      <c r="F833" s="165"/>
      <c r="G833" s="166"/>
    </row>
    <row r="834" spans="1:7" x14ac:dyDescent="0.35">
      <c r="A834" s="163"/>
      <c r="B834" s="163"/>
      <c r="C834" s="163"/>
      <c r="D834" s="164"/>
      <c r="E834" s="165"/>
      <c r="F834" s="165"/>
      <c r="G834" s="166"/>
    </row>
    <row r="835" spans="1:7" x14ac:dyDescent="0.35">
      <c r="A835" s="163"/>
      <c r="B835" s="163"/>
      <c r="C835" s="163"/>
      <c r="D835" s="164"/>
      <c r="E835" s="165"/>
      <c r="F835" s="165"/>
      <c r="G835" s="166"/>
    </row>
    <row r="836" spans="1:7" x14ac:dyDescent="0.35">
      <c r="A836" s="163"/>
      <c r="B836" s="163"/>
      <c r="C836" s="163"/>
      <c r="D836" s="164"/>
      <c r="E836" s="165"/>
      <c r="F836" s="165"/>
      <c r="G836" s="166"/>
    </row>
    <row r="837" spans="1:7" x14ac:dyDescent="0.35">
      <c r="A837" s="163"/>
      <c r="B837" s="163"/>
      <c r="C837" s="163"/>
      <c r="D837" s="164"/>
      <c r="E837" s="165"/>
      <c r="F837" s="165"/>
      <c r="G837" s="166"/>
    </row>
    <row r="838" spans="1:7" x14ac:dyDescent="0.35">
      <c r="A838" s="163"/>
      <c r="B838" s="163"/>
      <c r="C838" s="163"/>
      <c r="D838" s="164"/>
      <c r="E838" s="165"/>
      <c r="F838" s="165"/>
      <c r="G838" s="166"/>
    </row>
    <row r="839" spans="1:7" x14ac:dyDescent="0.35">
      <c r="A839" s="163"/>
      <c r="B839" s="163"/>
      <c r="C839" s="163"/>
      <c r="D839" s="164"/>
      <c r="E839" s="165"/>
      <c r="F839" s="165"/>
      <c r="G839" s="166"/>
    </row>
    <row r="840" spans="1:7" x14ac:dyDescent="0.35">
      <c r="A840" s="163"/>
      <c r="B840" s="163"/>
      <c r="C840" s="163"/>
      <c r="D840" s="164"/>
      <c r="E840" s="165"/>
      <c r="F840" s="165"/>
      <c r="G840" s="166"/>
    </row>
    <row r="841" spans="1:7" x14ac:dyDescent="0.35">
      <c r="A841" s="163"/>
      <c r="B841" s="163"/>
      <c r="C841" s="163"/>
      <c r="D841" s="164"/>
      <c r="E841" s="165"/>
      <c r="F841" s="165"/>
      <c r="G841" s="166"/>
    </row>
    <row r="842" spans="1:7" x14ac:dyDescent="0.35">
      <c r="A842" s="163"/>
      <c r="B842" s="163"/>
      <c r="C842" s="163"/>
      <c r="D842" s="164"/>
      <c r="E842" s="165"/>
      <c r="F842" s="165"/>
      <c r="G842" s="166"/>
    </row>
    <row r="843" spans="1:7" x14ac:dyDescent="0.35">
      <c r="A843" s="163"/>
      <c r="B843" s="163"/>
      <c r="C843" s="163"/>
      <c r="D843" s="164"/>
      <c r="E843" s="165"/>
      <c r="F843" s="165"/>
      <c r="G843" s="166"/>
    </row>
    <row r="844" spans="1:7" x14ac:dyDescent="0.35">
      <c r="A844" s="163"/>
      <c r="B844" s="163"/>
      <c r="C844" s="163"/>
      <c r="D844" s="164"/>
      <c r="E844" s="165"/>
      <c r="F844" s="165"/>
      <c r="G844" s="166"/>
    </row>
    <row r="845" spans="1:7" x14ac:dyDescent="0.35">
      <c r="A845" s="163"/>
      <c r="B845" s="163"/>
      <c r="C845" s="163"/>
      <c r="D845" s="164"/>
      <c r="E845" s="165"/>
      <c r="F845" s="165"/>
      <c r="G845" s="166"/>
    </row>
    <row r="846" spans="1:7" x14ac:dyDescent="0.35">
      <c r="A846" s="163"/>
      <c r="B846" s="163"/>
      <c r="C846" s="163"/>
      <c r="D846" s="164"/>
      <c r="E846" s="165"/>
      <c r="F846" s="165"/>
      <c r="G846" s="166"/>
    </row>
    <row r="847" spans="1:7" x14ac:dyDescent="0.35">
      <c r="A847" s="163"/>
      <c r="B847" s="163"/>
      <c r="C847" s="163"/>
      <c r="D847" s="164"/>
      <c r="E847" s="165"/>
      <c r="F847" s="165"/>
      <c r="G847" s="166"/>
    </row>
    <row r="848" spans="1:7" x14ac:dyDescent="0.35">
      <c r="A848" s="163"/>
      <c r="B848" s="163"/>
      <c r="C848" s="163"/>
      <c r="D848" s="164"/>
      <c r="E848" s="165"/>
      <c r="F848" s="165"/>
      <c r="G848" s="166"/>
    </row>
    <row r="849" spans="1:7" x14ac:dyDescent="0.35">
      <c r="A849" s="163"/>
      <c r="B849" s="163"/>
      <c r="C849" s="163"/>
      <c r="D849" s="164"/>
      <c r="E849" s="165"/>
      <c r="F849" s="165"/>
      <c r="G849" s="166"/>
    </row>
    <row r="850" spans="1:7" x14ac:dyDescent="0.35">
      <c r="A850" s="163"/>
      <c r="B850" s="163"/>
      <c r="C850" s="163"/>
      <c r="D850" s="164"/>
      <c r="E850" s="165"/>
      <c r="F850" s="165"/>
      <c r="G850" s="166"/>
    </row>
    <row r="851" spans="1:7" x14ac:dyDescent="0.35">
      <c r="A851" s="163"/>
      <c r="B851" s="163"/>
      <c r="C851" s="163"/>
      <c r="D851" s="164"/>
      <c r="E851" s="165"/>
      <c r="F851" s="165"/>
      <c r="G851" s="166"/>
    </row>
    <row r="852" spans="1:7" x14ac:dyDescent="0.35">
      <c r="A852" s="163"/>
      <c r="B852" s="163"/>
      <c r="C852" s="163"/>
      <c r="D852" s="164"/>
      <c r="E852" s="165"/>
      <c r="F852" s="165"/>
      <c r="G852" s="166"/>
    </row>
    <row r="853" spans="1:7" x14ac:dyDescent="0.35">
      <c r="A853" s="163"/>
      <c r="B853" s="163"/>
      <c r="C853" s="163"/>
      <c r="D853" s="164"/>
      <c r="E853" s="165"/>
      <c r="F853" s="165"/>
      <c r="G853" s="166"/>
    </row>
    <row r="854" spans="1:7" x14ac:dyDescent="0.35">
      <c r="A854" s="163"/>
      <c r="B854" s="163"/>
      <c r="C854" s="163"/>
      <c r="D854" s="164"/>
      <c r="E854" s="165"/>
      <c r="F854" s="165"/>
      <c r="G854" s="166"/>
    </row>
    <row r="855" spans="1:7" x14ac:dyDescent="0.35">
      <c r="A855" s="163"/>
      <c r="B855" s="163"/>
      <c r="C855" s="163"/>
      <c r="D855" s="164"/>
      <c r="E855" s="165"/>
      <c r="F855" s="165"/>
      <c r="G855" s="166"/>
    </row>
    <row r="856" spans="1:7" x14ac:dyDescent="0.35">
      <c r="A856" s="163"/>
      <c r="B856" s="163"/>
      <c r="C856" s="163"/>
      <c r="D856" s="164"/>
      <c r="E856" s="165"/>
      <c r="F856" s="165"/>
      <c r="G856" s="166"/>
    </row>
    <row r="857" spans="1:7" x14ac:dyDescent="0.35">
      <c r="A857" s="163"/>
      <c r="B857" s="163"/>
      <c r="C857" s="163"/>
      <c r="D857" s="164"/>
      <c r="E857" s="165"/>
      <c r="F857" s="165"/>
      <c r="G857" s="166"/>
    </row>
    <row r="858" spans="1:7" x14ac:dyDescent="0.35">
      <c r="A858" s="163"/>
      <c r="B858" s="163"/>
      <c r="C858" s="163"/>
      <c r="D858" s="164"/>
      <c r="E858" s="165"/>
      <c r="F858" s="165"/>
      <c r="G858" s="166"/>
    </row>
    <row r="859" spans="1:7" x14ac:dyDescent="0.35">
      <c r="A859" s="163"/>
      <c r="B859" s="163"/>
      <c r="C859" s="163"/>
      <c r="D859" s="164"/>
      <c r="E859" s="165"/>
      <c r="F859" s="165"/>
      <c r="G859" s="166"/>
    </row>
    <row r="860" spans="1:7" x14ac:dyDescent="0.35">
      <c r="A860" s="163"/>
      <c r="B860" s="163"/>
      <c r="C860" s="163"/>
      <c r="D860" s="164"/>
      <c r="E860" s="165"/>
      <c r="F860" s="165"/>
      <c r="G860" s="166"/>
    </row>
    <row r="861" spans="1:7" x14ac:dyDescent="0.35">
      <c r="A861" s="163"/>
      <c r="B861" s="163"/>
      <c r="C861" s="163"/>
      <c r="D861" s="164"/>
      <c r="E861" s="165"/>
      <c r="F861" s="165"/>
      <c r="G861" s="166"/>
    </row>
    <row r="862" spans="1:7" x14ac:dyDescent="0.35">
      <c r="A862" s="163"/>
      <c r="B862" s="163"/>
      <c r="C862" s="163"/>
      <c r="D862" s="164"/>
      <c r="E862" s="165"/>
      <c r="F862" s="165"/>
      <c r="G862" s="166"/>
    </row>
    <row r="863" spans="1:7" x14ac:dyDescent="0.35">
      <c r="A863" s="163"/>
      <c r="B863" s="163"/>
      <c r="C863" s="163"/>
      <c r="D863" s="164"/>
      <c r="E863" s="165"/>
      <c r="F863" s="165"/>
      <c r="G863" s="166"/>
    </row>
    <row r="864" spans="1:7" x14ac:dyDescent="0.35">
      <c r="A864" s="163"/>
      <c r="B864" s="163"/>
      <c r="C864" s="163"/>
      <c r="D864" s="164"/>
      <c r="E864" s="165"/>
      <c r="F864" s="165"/>
      <c r="G864" s="166"/>
    </row>
    <row r="865" spans="1:7" x14ac:dyDescent="0.35">
      <c r="A865" s="163"/>
      <c r="B865" s="163"/>
      <c r="C865" s="163"/>
      <c r="D865" s="164"/>
      <c r="E865" s="165"/>
      <c r="F865" s="165"/>
      <c r="G865" s="166"/>
    </row>
    <row r="866" spans="1:7" x14ac:dyDescent="0.35">
      <c r="A866" s="163"/>
      <c r="B866" s="163"/>
      <c r="C866" s="163"/>
      <c r="D866" s="164"/>
      <c r="E866" s="165"/>
      <c r="F866" s="165"/>
      <c r="G866" s="166"/>
    </row>
    <row r="867" spans="1:7" x14ac:dyDescent="0.35">
      <c r="A867" s="163"/>
      <c r="B867" s="163"/>
      <c r="C867" s="163"/>
      <c r="D867" s="164"/>
      <c r="E867" s="165"/>
      <c r="F867" s="165"/>
      <c r="G867" s="166"/>
    </row>
    <row r="868" spans="1:7" x14ac:dyDescent="0.35">
      <c r="A868" s="163"/>
      <c r="B868" s="163"/>
      <c r="C868" s="163"/>
      <c r="D868" s="164"/>
      <c r="E868" s="165"/>
      <c r="F868" s="165"/>
      <c r="G868" s="166"/>
    </row>
    <row r="869" spans="1:7" x14ac:dyDescent="0.35">
      <c r="A869" s="163"/>
      <c r="B869" s="163"/>
      <c r="C869" s="163"/>
      <c r="D869" s="164"/>
      <c r="E869" s="165"/>
      <c r="F869" s="165"/>
      <c r="G869" s="166"/>
    </row>
    <row r="870" spans="1:7" x14ac:dyDescent="0.35">
      <c r="A870" s="163"/>
      <c r="B870" s="163"/>
      <c r="C870" s="163"/>
      <c r="D870" s="164"/>
      <c r="E870" s="165"/>
      <c r="F870" s="165"/>
      <c r="G870" s="166"/>
    </row>
    <row r="871" spans="1:7" x14ac:dyDescent="0.35">
      <c r="A871" s="163"/>
      <c r="B871" s="163"/>
      <c r="C871" s="163"/>
      <c r="D871" s="164"/>
      <c r="E871" s="165"/>
      <c r="F871" s="165"/>
      <c r="G871" s="166"/>
    </row>
    <row r="872" spans="1:7" x14ac:dyDescent="0.35">
      <c r="A872" s="163"/>
      <c r="B872" s="163"/>
      <c r="C872" s="163"/>
      <c r="D872" s="164"/>
      <c r="E872" s="165"/>
      <c r="F872" s="165"/>
      <c r="G872" s="166"/>
    </row>
    <row r="873" spans="1:7" x14ac:dyDescent="0.35">
      <c r="A873" s="163"/>
      <c r="B873" s="163"/>
      <c r="C873" s="163"/>
      <c r="D873" s="164"/>
      <c r="E873" s="165"/>
      <c r="F873" s="165"/>
      <c r="G873" s="166"/>
    </row>
    <row r="874" spans="1:7" x14ac:dyDescent="0.35">
      <c r="A874" s="163"/>
      <c r="B874" s="163"/>
      <c r="C874" s="163"/>
      <c r="D874" s="164"/>
      <c r="E874" s="165"/>
      <c r="F874" s="165"/>
      <c r="G874" s="166"/>
    </row>
    <row r="875" spans="1:7" x14ac:dyDescent="0.35">
      <c r="A875" s="163"/>
      <c r="B875" s="163"/>
      <c r="C875" s="163"/>
      <c r="D875" s="164"/>
      <c r="E875" s="165"/>
      <c r="F875" s="165"/>
      <c r="G875" s="166"/>
    </row>
    <row r="876" spans="1:7" x14ac:dyDescent="0.35">
      <c r="A876" s="163"/>
      <c r="B876" s="163"/>
      <c r="C876" s="163"/>
      <c r="D876" s="164"/>
      <c r="E876" s="165"/>
      <c r="F876" s="165"/>
      <c r="G876" s="166"/>
    </row>
    <row r="877" spans="1:7" x14ac:dyDescent="0.35">
      <c r="A877" s="163"/>
      <c r="B877" s="163"/>
      <c r="C877" s="163"/>
      <c r="D877" s="164"/>
      <c r="E877" s="165"/>
      <c r="F877" s="165"/>
      <c r="G877" s="166"/>
    </row>
    <row r="878" spans="1:7" x14ac:dyDescent="0.35">
      <c r="A878" s="163"/>
      <c r="B878" s="163"/>
      <c r="C878" s="163"/>
      <c r="D878" s="164"/>
      <c r="E878" s="165"/>
      <c r="F878" s="165"/>
      <c r="G878" s="166"/>
    </row>
    <row r="879" spans="1:7" x14ac:dyDescent="0.35">
      <c r="A879" s="163"/>
      <c r="B879" s="163"/>
      <c r="C879" s="163"/>
      <c r="D879" s="164"/>
      <c r="E879" s="165"/>
      <c r="F879" s="165"/>
      <c r="G879" s="166"/>
    </row>
    <row r="880" spans="1:7" x14ac:dyDescent="0.35">
      <c r="A880" s="163"/>
      <c r="B880" s="163"/>
      <c r="C880" s="163"/>
      <c r="D880" s="164"/>
      <c r="E880" s="165"/>
      <c r="F880" s="165"/>
      <c r="G880" s="166"/>
    </row>
    <row r="881" spans="1:7" x14ac:dyDescent="0.35">
      <c r="A881" s="163"/>
      <c r="B881" s="163"/>
      <c r="C881" s="163"/>
      <c r="D881" s="164"/>
      <c r="E881" s="165"/>
      <c r="F881" s="165"/>
      <c r="G881" s="166"/>
    </row>
    <row r="882" spans="1:7" x14ac:dyDescent="0.35">
      <c r="A882" s="163"/>
      <c r="B882" s="163"/>
      <c r="C882" s="163"/>
      <c r="D882" s="164"/>
      <c r="E882" s="165"/>
      <c r="F882" s="165"/>
      <c r="G882" s="166"/>
    </row>
    <row r="883" spans="1:7" x14ac:dyDescent="0.35">
      <c r="A883" s="163"/>
      <c r="B883" s="163"/>
      <c r="C883" s="163"/>
      <c r="D883" s="164"/>
      <c r="E883" s="165"/>
      <c r="F883" s="165"/>
      <c r="G883" s="166"/>
    </row>
    <row r="884" spans="1:7" x14ac:dyDescent="0.35">
      <c r="A884" s="163"/>
      <c r="B884" s="163"/>
      <c r="C884" s="163"/>
      <c r="D884" s="164"/>
      <c r="E884" s="165"/>
      <c r="F884" s="165"/>
      <c r="G884" s="166"/>
    </row>
    <row r="885" spans="1:7" x14ac:dyDescent="0.35">
      <c r="A885" s="163"/>
      <c r="B885" s="163"/>
      <c r="C885" s="163"/>
      <c r="D885" s="164"/>
      <c r="E885" s="165"/>
      <c r="F885" s="165"/>
      <c r="G885" s="166"/>
    </row>
    <row r="886" spans="1:7" x14ac:dyDescent="0.35">
      <c r="A886" s="163"/>
      <c r="B886" s="163"/>
      <c r="C886" s="163"/>
      <c r="D886" s="164"/>
      <c r="E886" s="165"/>
      <c r="F886" s="165"/>
      <c r="G886" s="166"/>
    </row>
    <row r="887" spans="1:7" x14ac:dyDescent="0.35">
      <c r="A887" s="163"/>
      <c r="B887" s="163"/>
      <c r="C887" s="163"/>
      <c r="D887" s="164"/>
      <c r="E887" s="165"/>
      <c r="F887" s="165"/>
      <c r="G887" s="166"/>
    </row>
    <row r="888" spans="1:7" x14ac:dyDescent="0.35">
      <c r="A888" s="163"/>
      <c r="B888" s="163"/>
      <c r="C888" s="163"/>
      <c r="D888" s="164"/>
      <c r="E888" s="165"/>
      <c r="F888" s="165"/>
      <c r="G888" s="166"/>
    </row>
    <row r="889" spans="1:7" x14ac:dyDescent="0.35">
      <c r="A889" s="163"/>
      <c r="B889" s="163"/>
      <c r="C889" s="163"/>
      <c r="D889" s="164"/>
      <c r="E889" s="165"/>
      <c r="F889" s="165"/>
      <c r="G889" s="166"/>
    </row>
    <row r="890" spans="1:7" x14ac:dyDescent="0.35">
      <c r="A890" s="163"/>
      <c r="B890" s="163"/>
      <c r="C890" s="163"/>
      <c r="D890" s="164"/>
      <c r="E890" s="165"/>
      <c r="F890" s="165"/>
      <c r="G890" s="166"/>
    </row>
    <row r="891" spans="1:7" x14ac:dyDescent="0.35">
      <c r="A891" s="163"/>
      <c r="B891" s="163"/>
      <c r="C891" s="163"/>
      <c r="D891" s="164"/>
      <c r="E891" s="165"/>
      <c r="F891" s="165"/>
      <c r="G891" s="166"/>
    </row>
    <row r="892" spans="1:7" x14ac:dyDescent="0.35">
      <c r="A892" s="163"/>
      <c r="B892" s="163"/>
      <c r="C892" s="163"/>
      <c r="D892" s="164"/>
      <c r="E892" s="165"/>
      <c r="F892" s="165"/>
      <c r="G892" s="166"/>
    </row>
    <row r="893" spans="1:7" x14ac:dyDescent="0.35">
      <c r="A893" s="163"/>
      <c r="B893" s="163"/>
      <c r="C893" s="163"/>
      <c r="D893" s="164"/>
      <c r="E893" s="165"/>
      <c r="F893" s="165"/>
      <c r="G893" s="166"/>
    </row>
    <row r="894" spans="1:7" x14ac:dyDescent="0.35">
      <c r="A894" s="163"/>
      <c r="B894" s="163"/>
      <c r="C894" s="163"/>
      <c r="D894" s="164"/>
      <c r="E894" s="165"/>
      <c r="F894" s="165"/>
      <c r="G894" s="166"/>
    </row>
    <row r="895" spans="1:7" x14ac:dyDescent="0.35">
      <c r="A895" s="163"/>
      <c r="B895" s="163"/>
      <c r="C895" s="163"/>
      <c r="D895" s="164"/>
      <c r="E895" s="165"/>
      <c r="F895" s="165"/>
      <c r="G895" s="166"/>
    </row>
    <row r="896" spans="1:7" x14ac:dyDescent="0.35">
      <c r="A896" s="163"/>
      <c r="B896" s="163"/>
      <c r="C896" s="163"/>
      <c r="D896" s="164"/>
      <c r="E896" s="165"/>
      <c r="F896" s="165"/>
      <c r="G896" s="166"/>
    </row>
    <row r="897" spans="1:7" x14ac:dyDescent="0.35">
      <c r="A897" s="163"/>
      <c r="B897" s="163"/>
      <c r="C897" s="163"/>
      <c r="D897" s="164"/>
      <c r="E897" s="165"/>
      <c r="F897" s="165"/>
      <c r="G897" s="166"/>
    </row>
    <row r="898" spans="1:7" x14ac:dyDescent="0.35">
      <c r="A898" s="163"/>
      <c r="B898" s="163"/>
      <c r="C898" s="163"/>
      <c r="D898" s="164"/>
      <c r="E898" s="165"/>
      <c r="F898" s="165"/>
      <c r="G898" s="166"/>
    </row>
    <row r="899" spans="1:7" x14ac:dyDescent="0.35">
      <c r="A899" s="163"/>
      <c r="B899" s="163"/>
      <c r="C899" s="163"/>
      <c r="D899" s="164"/>
      <c r="E899" s="165"/>
      <c r="F899" s="165"/>
      <c r="G899" s="166"/>
    </row>
    <row r="900" spans="1:7" x14ac:dyDescent="0.35">
      <c r="A900" s="163"/>
      <c r="B900" s="163"/>
      <c r="C900" s="163"/>
      <c r="D900" s="164"/>
      <c r="E900" s="165"/>
      <c r="F900" s="165"/>
      <c r="G900" s="166"/>
    </row>
    <row r="901" spans="1:7" x14ac:dyDescent="0.35">
      <c r="A901" s="163"/>
      <c r="B901" s="163"/>
      <c r="C901" s="163"/>
      <c r="D901" s="164"/>
      <c r="E901" s="165"/>
      <c r="F901" s="165"/>
      <c r="G901" s="166"/>
    </row>
    <row r="902" spans="1:7" x14ac:dyDescent="0.35">
      <c r="A902" s="163"/>
      <c r="B902" s="163"/>
      <c r="C902" s="163"/>
      <c r="D902" s="164"/>
      <c r="E902" s="165"/>
      <c r="F902" s="165"/>
      <c r="G902" s="166"/>
    </row>
    <row r="903" spans="1:7" x14ac:dyDescent="0.35">
      <c r="A903" s="163"/>
      <c r="B903" s="163"/>
      <c r="C903" s="163"/>
      <c r="D903" s="164"/>
      <c r="E903" s="165"/>
      <c r="F903" s="165"/>
      <c r="G903" s="166"/>
    </row>
    <row r="904" spans="1:7" x14ac:dyDescent="0.35">
      <c r="A904" s="163"/>
      <c r="B904" s="163"/>
      <c r="C904" s="163"/>
      <c r="D904" s="164"/>
      <c r="E904" s="165"/>
      <c r="F904" s="165"/>
      <c r="G904" s="166"/>
    </row>
    <row r="905" spans="1:7" x14ac:dyDescent="0.35">
      <c r="A905" s="163"/>
      <c r="B905" s="163"/>
      <c r="C905" s="163"/>
      <c r="D905" s="164"/>
      <c r="E905" s="165"/>
      <c r="F905" s="165"/>
      <c r="G905" s="166"/>
    </row>
    <row r="906" spans="1:7" x14ac:dyDescent="0.35">
      <c r="A906" s="163"/>
      <c r="B906" s="163"/>
      <c r="C906" s="163"/>
      <c r="D906" s="164"/>
      <c r="E906" s="165"/>
      <c r="F906" s="165"/>
      <c r="G906" s="166"/>
    </row>
    <row r="907" spans="1:7" x14ac:dyDescent="0.35">
      <c r="A907" s="163"/>
      <c r="B907" s="163"/>
      <c r="C907" s="163"/>
      <c r="D907" s="164"/>
      <c r="E907" s="165"/>
      <c r="F907" s="165"/>
      <c r="G907" s="166"/>
    </row>
    <row r="908" spans="1:7" x14ac:dyDescent="0.35">
      <c r="A908" s="163"/>
      <c r="B908" s="163"/>
      <c r="C908" s="163"/>
      <c r="D908" s="164"/>
      <c r="E908" s="165"/>
      <c r="F908" s="165"/>
      <c r="G908" s="166"/>
    </row>
    <row r="909" spans="1:7" x14ac:dyDescent="0.35">
      <c r="A909" s="163"/>
      <c r="B909" s="163"/>
      <c r="C909" s="163"/>
      <c r="D909" s="164"/>
      <c r="E909" s="165"/>
      <c r="F909" s="165"/>
      <c r="G909" s="166"/>
    </row>
    <row r="910" spans="1:7" x14ac:dyDescent="0.35">
      <c r="A910" s="163"/>
      <c r="B910" s="163"/>
      <c r="C910" s="163"/>
      <c r="D910" s="164"/>
      <c r="E910" s="165"/>
      <c r="F910" s="165"/>
      <c r="G910" s="166"/>
    </row>
    <row r="911" spans="1:7" x14ac:dyDescent="0.35">
      <c r="A911" s="163"/>
      <c r="B911" s="163"/>
      <c r="C911" s="163"/>
      <c r="D911" s="164"/>
      <c r="E911" s="165"/>
      <c r="F911" s="165"/>
      <c r="G911" s="166"/>
    </row>
    <row r="912" spans="1:7" x14ac:dyDescent="0.35">
      <c r="A912" s="163"/>
      <c r="B912" s="163"/>
      <c r="C912" s="163"/>
      <c r="D912" s="164"/>
      <c r="E912" s="165"/>
      <c r="F912" s="165"/>
      <c r="G912" s="166"/>
    </row>
    <row r="913" spans="1:7" x14ac:dyDescent="0.35">
      <c r="A913" s="163"/>
      <c r="B913" s="163"/>
      <c r="C913" s="163"/>
      <c r="D913" s="164"/>
      <c r="E913" s="165"/>
      <c r="F913" s="165"/>
      <c r="G913" s="166"/>
    </row>
    <row r="914" spans="1:7" x14ac:dyDescent="0.35">
      <c r="A914" s="163"/>
      <c r="B914" s="163"/>
      <c r="C914" s="163"/>
      <c r="D914" s="164"/>
      <c r="E914" s="165"/>
      <c r="F914" s="165"/>
      <c r="G914" s="166"/>
    </row>
    <row r="915" spans="1:7" x14ac:dyDescent="0.35">
      <c r="A915" s="163"/>
      <c r="B915" s="163"/>
      <c r="C915" s="163"/>
      <c r="D915" s="164"/>
      <c r="E915" s="165"/>
      <c r="F915" s="165"/>
      <c r="G915" s="166"/>
    </row>
    <row r="916" spans="1:7" x14ac:dyDescent="0.35">
      <c r="A916" s="163"/>
      <c r="B916" s="163"/>
      <c r="C916" s="163"/>
      <c r="D916" s="164"/>
      <c r="E916" s="165"/>
      <c r="F916" s="165"/>
      <c r="G916" s="166"/>
    </row>
    <row r="917" spans="1:7" x14ac:dyDescent="0.35">
      <c r="A917" s="163"/>
      <c r="B917" s="163"/>
      <c r="C917" s="163"/>
      <c r="D917" s="164"/>
      <c r="E917" s="165"/>
      <c r="F917" s="165"/>
      <c r="G917" s="166"/>
    </row>
    <row r="918" spans="1:7" x14ac:dyDescent="0.35">
      <c r="A918" s="163"/>
      <c r="B918" s="163"/>
      <c r="C918" s="163"/>
      <c r="D918" s="164"/>
      <c r="E918" s="165"/>
      <c r="F918" s="165"/>
      <c r="G918" s="166"/>
    </row>
    <row r="919" spans="1:7" x14ac:dyDescent="0.35">
      <c r="A919" s="163"/>
      <c r="B919" s="163"/>
      <c r="C919" s="163"/>
      <c r="D919" s="164"/>
      <c r="E919" s="165"/>
      <c r="F919" s="165"/>
      <c r="G919" s="166"/>
    </row>
    <row r="920" spans="1:7" x14ac:dyDescent="0.35">
      <c r="A920" s="163"/>
      <c r="B920" s="163"/>
      <c r="C920" s="163"/>
      <c r="D920" s="164"/>
      <c r="E920" s="165"/>
      <c r="F920" s="165"/>
      <c r="G920" s="166"/>
    </row>
    <row r="921" spans="1:7" x14ac:dyDescent="0.35">
      <c r="A921" s="163"/>
      <c r="B921" s="163"/>
      <c r="C921" s="163"/>
      <c r="D921" s="164"/>
      <c r="E921" s="165"/>
      <c r="F921" s="165"/>
      <c r="G921" s="166"/>
    </row>
    <row r="922" spans="1:7" x14ac:dyDescent="0.35">
      <c r="A922" s="163"/>
      <c r="B922" s="163"/>
      <c r="C922" s="163"/>
      <c r="D922" s="164"/>
      <c r="E922" s="165"/>
      <c r="F922" s="165"/>
      <c r="G922" s="166"/>
    </row>
    <row r="923" spans="1:7" x14ac:dyDescent="0.35">
      <c r="A923" s="163"/>
      <c r="B923" s="163"/>
      <c r="C923" s="163"/>
      <c r="D923" s="164"/>
      <c r="E923" s="165"/>
      <c r="F923" s="165"/>
      <c r="G923" s="166"/>
    </row>
    <row r="924" spans="1:7" x14ac:dyDescent="0.35">
      <c r="A924" s="163"/>
      <c r="B924" s="163"/>
      <c r="C924" s="163"/>
      <c r="D924" s="164"/>
      <c r="E924" s="165"/>
      <c r="F924" s="165"/>
      <c r="G924" s="166"/>
    </row>
    <row r="925" spans="1:7" x14ac:dyDescent="0.35">
      <c r="A925" s="163"/>
      <c r="B925" s="163"/>
      <c r="C925" s="163"/>
      <c r="D925" s="164"/>
      <c r="E925" s="165"/>
      <c r="F925" s="165"/>
      <c r="G925" s="166"/>
    </row>
    <row r="926" spans="1:7" x14ac:dyDescent="0.35">
      <c r="A926" s="163"/>
      <c r="B926" s="163"/>
      <c r="C926" s="163"/>
      <c r="D926" s="164"/>
      <c r="E926" s="165"/>
      <c r="F926" s="165"/>
      <c r="G926" s="166"/>
    </row>
    <row r="927" spans="1:7" x14ac:dyDescent="0.35">
      <c r="A927" s="163"/>
      <c r="B927" s="163"/>
      <c r="C927" s="163"/>
      <c r="D927" s="164"/>
      <c r="E927" s="165"/>
      <c r="F927" s="165"/>
      <c r="G927" s="166"/>
    </row>
    <row r="928" spans="1:7" x14ac:dyDescent="0.35">
      <c r="A928" s="163"/>
      <c r="B928" s="163"/>
      <c r="C928" s="163"/>
      <c r="D928" s="164"/>
      <c r="E928" s="165"/>
      <c r="F928" s="165"/>
      <c r="G928" s="166"/>
    </row>
    <row r="929" spans="1:7" x14ac:dyDescent="0.35">
      <c r="A929" s="163"/>
      <c r="B929" s="163"/>
      <c r="C929" s="163"/>
      <c r="D929" s="164"/>
      <c r="E929" s="165"/>
      <c r="F929" s="165"/>
      <c r="G929" s="166"/>
    </row>
    <row r="930" spans="1:7" x14ac:dyDescent="0.35">
      <c r="A930" s="163"/>
      <c r="B930" s="163"/>
      <c r="C930" s="163"/>
      <c r="D930" s="164"/>
      <c r="E930" s="165"/>
      <c r="F930" s="165"/>
      <c r="G930" s="166"/>
    </row>
    <row r="931" spans="1:7" x14ac:dyDescent="0.35">
      <c r="A931" s="163"/>
      <c r="B931" s="163"/>
      <c r="C931" s="163"/>
      <c r="D931" s="164"/>
      <c r="E931" s="165"/>
      <c r="F931" s="165"/>
      <c r="G931" s="166"/>
    </row>
    <row r="932" spans="1:7" x14ac:dyDescent="0.35">
      <c r="A932" s="163"/>
      <c r="B932" s="163"/>
      <c r="C932" s="163"/>
      <c r="D932" s="164"/>
      <c r="E932" s="165"/>
      <c r="F932" s="165"/>
      <c r="G932" s="166"/>
    </row>
    <row r="933" spans="1:7" x14ac:dyDescent="0.35">
      <c r="A933" s="163"/>
      <c r="B933" s="163"/>
      <c r="C933" s="163"/>
      <c r="D933" s="164"/>
      <c r="E933" s="165"/>
      <c r="F933" s="165"/>
      <c r="G933" s="166"/>
    </row>
    <row r="934" spans="1:7" x14ac:dyDescent="0.35">
      <c r="A934" s="163"/>
      <c r="B934" s="163"/>
      <c r="C934" s="163"/>
      <c r="D934" s="164"/>
      <c r="E934" s="165"/>
      <c r="F934" s="165"/>
      <c r="G934" s="166"/>
    </row>
    <row r="935" spans="1:7" x14ac:dyDescent="0.35">
      <c r="A935" s="163"/>
      <c r="B935" s="163"/>
      <c r="C935" s="163"/>
      <c r="D935" s="164"/>
      <c r="E935" s="165"/>
      <c r="F935" s="165"/>
      <c r="G935" s="166"/>
    </row>
    <row r="936" spans="1:7" x14ac:dyDescent="0.35">
      <c r="A936" s="163"/>
      <c r="B936" s="163"/>
      <c r="C936" s="163"/>
      <c r="D936" s="164"/>
      <c r="E936" s="165"/>
      <c r="F936" s="165"/>
      <c r="G936" s="166"/>
    </row>
    <row r="937" spans="1:7" x14ac:dyDescent="0.35">
      <c r="A937" s="163"/>
      <c r="B937" s="163"/>
      <c r="C937" s="163"/>
      <c r="D937" s="164"/>
      <c r="E937" s="165"/>
      <c r="F937" s="165"/>
      <c r="G937" s="166"/>
    </row>
    <row r="938" spans="1:7" x14ac:dyDescent="0.35">
      <c r="A938" s="163"/>
      <c r="B938" s="163"/>
      <c r="C938" s="163"/>
      <c r="D938" s="164"/>
      <c r="E938" s="165"/>
      <c r="F938" s="165"/>
      <c r="G938" s="166"/>
    </row>
    <row r="939" spans="1:7" x14ac:dyDescent="0.35">
      <c r="A939" s="163"/>
      <c r="B939" s="163"/>
      <c r="C939" s="163"/>
      <c r="D939" s="164"/>
      <c r="E939" s="165"/>
      <c r="F939" s="165"/>
      <c r="G939" s="166"/>
    </row>
    <row r="940" spans="1:7" x14ac:dyDescent="0.35">
      <c r="A940" s="163"/>
      <c r="B940" s="163"/>
      <c r="C940" s="163"/>
      <c r="D940" s="164"/>
      <c r="E940" s="165"/>
      <c r="F940" s="165"/>
      <c r="G940" s="166"/>
    </row>
    <row r="941" spans="1:7" x14ac:dyDescent="0.35">
      <c r="A941" s="163"/>
      <c r="B941" s="163"/>
      <c r="C941" s="163"/>
      <c r="D941" s="164"/>
      <c r="E941" s="165"/>
      <c r="F941" s="165"/>
      <c r="G941" s="166"/>
    </row>
    <row r="942" spans="1:7" x14ac:dyDescent="0.35">
      <c r="A942" s="163"/>
      <c r="B942" s="163"/>
      <c r="C942" s="163"/>
      <c r="D942" s="164"/>
      <c r="E942" s="165"/>
      <c r="F942" s="165"/>
      <c r="G942" s="166"/>
    </row>
    <row r="943" spans="1:7" x14ac:dyDescent="0.35">
      <c r="A943" s="163"/>
      <c r="B943" s="163"/>
      <c r="C943" s="163"/>
      <c r="D943" s="164"/>
      <c r="E943" s="165"/>
      <c r="F943" s="165"/>
      <c r="G943" s="166"/>
    </row>
    <row r="944" spans="1:7" x14ac:dyDescent="0.35">
      <c r="A944" s="163"/>
      <c r="B944" s="163"/>
      <c r="C944" s="163"/>
      <c r="D944" s="164"/>
      <c r="E944" s="165"/>
      <c r="F944" s="165"/>
      <c r="G944" s="166"/>
    </row>
    <row r="945" spans="1:7" x14ac:dyDescent="0.35">
      <c r="A945" s="163"/>
      <c r="B945" s="163"/>
      <c r="C945" s="163"/>
      <c r="D945" s="164"/>
      <c r="E945" s="165"/>
      <c r="F945" s="165"/>
      <c r="G945" s="166"/>
    </row>
    <row r="946" spans="1:7" x14ac:dyDescent="0.35">
      <c r="A946" s="163"/>
      <c r="B946" s="163"/>
      <c r="C946" s="163"/>
      <c r="D946" s="164"/>
      <c r="E946" s="165"/>
      <c r="F946" s="165"/>
      <c r="G946" s="166"/>
    </row>
    <row r="947" spans="1:7" x14ac:dyDescent="0.35">
      <c r="A947" s="163"/>
      <c r="B947" s="163"/>
      <c r="C947" s="163"/>
      <c r="D947" s="164"/>
      <c r="E947" s="165"/>
      <c r="F947" s="165"/>
      <c r="G947" s="166"/>
    </row>
    <row r="948" spans="1:7" x14ac:dyDescent="0.35">
      <c r="A948" s="163"/>
      <c r="B948" s="163"/>
      <c r="C948" s="163"/>
      <c r="D948" s="164"/>
      <c r="E948" s="165"/>
      <c r="F948" s="165"/>
      <c r="G948" s="166"/>
    </row>
    <row r="949" spans="1:7" x14ac:dyDescent="0.35">
      <c r="A949" s="163"/>
      <c r="B949" s="163"/>
      <c r="C949" s="163"/>
      <c r="D949" s="164"/>
      <c r="E949" s="165"/>
      <c r="F949" s="165"/>
      <c r="G949" s="166"/>
    </row>
    <row r="950" spans="1:7" x14ac:dyDescent="0.35">
      <c r="A950" s="163"/>
      <c r="B950" s="163"/>
      <c r="C950" s="163"/>
      <c r="D950" s="164"/>
      <c r="E950" s="165"/>
      <c r="F950" s="165"/>
      <c r="G950" s="166"/>
    </row>
    <row r="951" spans="1:7" x14ac:dyDescent="0.35">
      <c r="A951" s="163"/>
      <c r="B951" s="163"/>
      <c r="C951" s="163"/>
      <c r="D951" s="164"/>
      <c r="E951" s="165"/>
      <c r="F951" s="165"/>
      <c r="G951" s="166"/>
    </row>
    <row r="952" spans="1:7" x14ac:dyDescent="0.35">
      <c r="A952" s="163"/>
      <c r="B952" s="163"/>
      <c r="C952" s="163"/>
      <c r="D952" s="164"/>
      <c r="E952" s="165"/>
      <c r="F952" s="165"/>
      <c r="G952" s="166"/>
    </row>
    <row r="953" spans="1:7" x14ac:dyDescent="0.35">
      <c r="A953" s="163"/>
      <c r="B953" s="163"/>
      <c r="C953" s="163"/>
      <c r="D953" s="164"/>
      <c r="E953" s="165"/>
      <c r="F953" s="165"/>
      <c r="G953" s="166"/>
    </row>
    <row r="954" spans="1:7" x14ac:dyDescent="0.35">
      <c r="A954" s="163"/>
      <c r="B954" s="163"/>
      <c r="C954" s="163"/>
      <c r="D954" s="164"/>
      <c r="E954" s="165"/>
      <c r="F954" s="165"/>
      <c r="G954" s="166"/>
    </row>
    <row r="955" spans="1:7" x14ac:dyDescent="0.35">
      <c r="A955" s="163"/>
      <c r="B955" s="163"/>
      <c r="C955" s="163"/>
      <c r="D955" s="164"/>
      <c r="E955" s="165"/>
      <c r="F955" s="165"/>
      <c r="G955" s="166"/>
    </row>
    <row r="956" spans="1:7" x14ac:dyDescent="0.35">
      <c r="A956" s="163"/>
      <c r="B956" s="163"/>
      <c r="C956" s="163"/>
      <c r="D956" s="164"/>
      <c r="E956" s="165"/>
      <c r="F956" s="165"/>
      <c r="G956" s="166"/>
    </row>
    <row r="957" spans="1:7" x14ac:dyDescent="0.35">
      <c r="A957" s="163"/>
      <c r="B957" s="163"/>
      <c r="C957" s="163"/>
      <c r="D957" s="164"/>
      <c r="E957" s="165"/>
      <c r="F957" s="165"/>
      <c r="G957" s="166"/>
    </row>
    <row r="958" spans="1:7" x14ac:dyDescent="0.35">
      <c r="A958" s="163"/>
      <c r="B958" s="163"/>
      <c r="C958" s="163"/>
      <c r="D958" s="164"/>
      <c r="E958" s="165"/>
      <c r="F958" s="165"/>
      <c r="G958" s="166"/>
    </row>
    <row r="959" spans="1:7" x14ac:dyDescent="0.35">
      <c r="A959" s="163"/>
      <c r="B959" s="163"/>
      <c r="C959" s="163"/>
      <c r="D959" s="164"/>
      <c r="E959" s="165"/>
      <c r="F959" s="165"/>
      <c r="G959" s="166"/>
    </row>
    <row r="960" spans="1:7" x14ac:dyDescent="0.35">
      <c r="A960" s="163"/>
      <c r="B960" s="163"/>
      <c r="C960" s="163"/>
      <c r="D960" s="164"/>
      <c r="E960" s="165"/>
      <c r="F960" s="165"/>
      <c r="G960" s="166"/>
    </row>
    <row r="961" spans="1:7" x14ac:dyDescent="0.35">
      <c r="A961" s="163"/>
      <c r="B961" s="163"/>
      <c r="C961" s="163"/>
      <c r="D961" s="164"/>
      <c r="E961" s="165"/>
      <c r="F961" s="165"/>
      <c r="G961" s="166"/>
    </row>
    <row r="962" spans="1:7" x14ac:dyDescent="0.35">
      <c r="A962" s="163"/>
      <c r="B962" s="163"/>
      <c r="C962" s="163"/>
      <c r="D962" s="164"/>
      <c r="E962" s="165"/>
      <c r="F962" s="165"/>
      <c r="G962" s="166"/>
    </row>
    <row r="963" spans="1:7" x14ac:dyDescent="0.35">
      <c r="A963" s="163"/>
      <c r="B963" s="163"/>
      <c r="C963" s="163"/>
      <c r="D963" s="164"/>
      <c r="E963" s="165"/>
      <c r="F963" s="165"/>
      <c r="G963" s="166"/>
    </row>
    <row r="964" spans="1:7" x14ac:dyDescent="0.35">
      <c r="A964" s="163"/>
      <c r="B964" s="163"/>
      <c r="C964" s="163"/>
      <c r="D964" s="164"/>
      <c r="E964" s="165"/>
      <c r="F964" s="165"/>
      <c r="G964" s="166"/>
    </row>
    <row r="965" spans="1:7" x14ac:dyDescent="0.35">
      <c r="A965" s="163"/>
      <c r="B965" s="163"/>
      <c r="C965" s="163"/>
      <c r="D965" s="164"/>
      <c r="E965" s="165"/>
      <c r="F965" s="165"/>
      <c r="G965" s="166"/>
    </row>
    <row r="966" spans="1:7" x14ac:dyDescent="0.35">
      <c r="A966" s="163"/>
      <c r="B966" s="163"/>
      <c r="C966" s="163"/>
      <c r="D966" s="164"/>
      <c r="E966" s="165"/>
      <c r="F966" s="165"/>
      <c r="G966" s="166"/>
    </row>
    <row r="967" spans="1:7" x14ac:dyDescent="0.35">
      <c r="A967" s="163"/>
      <c r="B967" s="163"/>
      <c r="C967" s="163"/>
      <c r="D967" s="164"/>
      <c r="E967" s="165"/>
      <c r="F967" s="165"/>
      <c r="G967" s="166"/>
    </row>
    <row r="968" spans="1:7" x14ac:dyDescent="0.35">
      <c r="A968" s="163"/>
      <c r="B968" s="163"/>
      <c r="C968" s="163"/>
      <c r="D968" s="164"/>
      <c r="E968" s="165"/>
      <c r="F968" s="165"/>
      <c r="G968" s="166"/>
    </row>
    <row r="969" spans="1:7" x14ac:dyDescent="0.35">
      <c r="A969" s="163"/>
      <c r="B969" s="163"/>
      <c r="C969" s="163"/>
      <c r="D969" s="164"/>
      <c r="E969" s="165"/>
      <c r="F969" s="165"/>
      <c r="G969" s="166"/>
    </row>
    <row r="970" spans="1:7" x14ac:dyDescent="0.35">
      <c r="A970" s="163"/>
      <c r="B970" s="163"/>
      <c r="C970" s="163"/>
      <c r="D970" s="164"/>
      <c r="E970" s="165"/>
      <c r="F970" s="165"/>
      <c r="G970" s="166"/>
    </row>
  </sheetData>
  <sheetProtection selectLockedCells="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>
    <tabColor rgb="FF92D050"/>
  </sheetPr>
  <dimension ref="A1:DY223"/>
  <sheetViews>
    <sheetView tabSelected="1" view="pageBreakPreview" topLeftCell="A76" zoomScale="60" zoomScaleNormal="100" workbookViewId="0">
      <selection activeCell="A11" sqref="A11"/>
    </sheetView>
  </sheetViews>
  <sheetFormatPr defaultColWidth="9.1796875" defaultRowHeight="16" x14ac:dyDescent="0.25"/>
  <cols>
    <col min="1" max="1" width="13.81640625" style="188" customWidth="1"/>
    <col min="2" max="2" width="34.26953125" style="184" bestFit="1" customWidth="1"/>
    <col min="3" max="3" width="12.08984375" style="184" bestFit="1" customWidth="1"/>
    <col min="4" max="4" width="17.26953125" style="184" bestFit="1" customWidth="1"/>
    <col min="5" max="5" width="16.90625" style="184" bestFit="1" customWidth="1"/>
    <col min="6" max="6" width="9.26953125" style="188" bestFit="1" customWidth="1"/>
    <col min="7" max="7" width="10.26953125" style="184" bestFit="1" customWidth="1"/>
    <col min="8" max="8" width="10.1796875" style="184" customWidth="1"/>
    <col min="9" max="9" width="9.90625" style="184" bestFit="1" customWidth="1"/>
    <col min="10" max="10" width="15.90625" style="184" bestFit="1" customWidth="1"/>
    <col min="11" max="11" width="4.1796875" style="184" customWidth="1"/>
    <col min="12" max="12" width="11.81640625" style="184" customWidth="1"/>
    <col min="13" max="13" width="37.453125" style="184" bestFit="1" customWidth="1"/>
    <col min="14" max="14" width="8.453125" style="184" customWidth="1"/>
    <col min="15" max="15" width="18.1796875" style="184" customWidth="1"/>
    <col min="16" max="16" width="17.453125" style="184" customWidth="1"/>
    <col min="17" max="17" width="8" style="184" customWidth="1"/>
    <col min="18" max="20" width="10.1796875" style="184" customWidth="1"/>
    <col min="21" max="22" width="11.1796875" style="184" customWidth="1"/>
    <col min="23" max="23" width="22.54296875" style="184" bestFit="1" customWidth="1"/>
    <col min="24" max="27" width="9.54296875" style="184" bestFit="1" customWidth="1"/>
    <col min="28" max="28" width="9.6328125" style="184" bestFit="1" customWidth="1"/>
    <col min="29" max="30" width="9.54296875" style="184" bestFit="1" customWidth="1"/>
    <col min="31" max="31" width="9.6328125" style="184" bestFit="1" customWidth="1"/>
    <col min="32" max="32" width="11" style="184" customWidth="1"/>
    <col min="33" max="33" width="9.54296875" style="184" customWidth="1"/>
    <col min="34" max="34" width="11" style="184" customWidth="1"/>
    <col min="35" max="35" width="9.54296875" style="184" customWidth="1"/>
    <col min="36" max="39" width="11.08984375" style="184" bestFit="1" customWidth="1"/>
    <col min="40" max="41" width="11" style="184" bestFit="1" customWidth="1"/>
    <col min="42" max="42" width="12.453125" style="184" bestFit="1" customWidth="1"/>
    <col min="43" max="47" width="11" style="184" bestFit="1" customWidth="1"/>
    <col min="48" max="48" width="14.1796875" style="184" bestFit="1" customWidth="1"/>
    <col min="49" max="49" width="9.54296875" style="184" bestFit="1" customWidth="1"/>
    <col min="50" max="50" width="9.1796875" style="184"/>
    <col min="51" max="51" width="10.81640625" style="184" customWidth="1"/>
    <col min="52" max="53" width="10.1796875" style="184" bestFit="1" customWidth="1"/>
    <col min="54" max="54" width="10.81640625" style="184" bestFit="1" customWidth="1"/>
    <col min="55" max="56" width="10.1796875" style="184" bestFit="1" customWidth="1"/>
    <col min="57" max="57" width="10.81640625" style="184" bestFit="1" customWidth="1"/>
    <col min="58" max="58" width="10.453125" style="184" customWidth="1"/>
    <col min="59" max="62" width="10.1796875" style="184" bestFit="1" customWidth="1"/>
    <col min="63" max="63" width="9.1796875" style="184"/>
    <col min="64" max="64" width="10.81640625" style="184" bestFit="1" customWidth="1"/>
    <col min="65" max="104" width="9.1796875" style="184"/>
    <col min="105" max="105" width="12.1796875" style="184" bestFit="1" customWidth="1"/>
    <col min="106" max="16384" width="9.1796875" style="184"/>
  </cols>
  <sheetData>
    <row r="1" spans="1:129" ht="29" x14ac:dyDescent="0.25">
      <c r="B1" s="224" t="s">
        <v>222</v>
      </c>
      <c r="C1" s="225"/>
      <c r="D1" s="226"/>
      <c r="E1" s="225"/>
      <c r="F1" s="225"/>
      <c r="G1" s="226"/>
      <c r="H1" s="226"/>
      <c r="I1" s="226"/>
      <c r="J1" s="225"/>
      <c r="K1" s="226"/>
      <c r="L1" s="241"/>
      <c r="M1" s="225"/>
      <c r="N1" s="225"/>
      <c r="O1" s="225"/>
      <c r="P1" s="225"/>
      <c r="Q1" s="225"/>
      <c r="R1" s="225"/>
      <c r="S1" s="225"/>
      <c r="T1" s="241"/>
      <c r="U1" s="244">
        <f>'NI LLC-Consolidated'!Q1</f>
        <v>46023</v>
      </c>
      <c r="V1" s="241"/>
      <c r="W1" s="241"/>
      <c r="X1" s="241"/>
      <c r="Y1" s="241"/>
      <c r="Z1" s="241"/>
      <c r="AA1" s="241"/>
      <c r="AB1" s="241"/>
      <c r="AC1" s="241"/>
      <c r="AD1" s="241"/>
      <c r="AE1" s="225"/>
      <c r="AF1" s="225"/>
      <c r="AG1" s="225"/>
      <c r="AH1" s="225"/>
      <c r="AI1" s="225"/>
      <c r="AJ1" s="242"/>
      <c r="AL1" s="241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Y1" s="241"/>
      <c r="AZ1" s="225"/>
      <c r="BA1" s="225"/>
      <c r="BB1" s="225"/>
      <c r="BC1" s="225"/>
      <c r="BD1" s="225"/>
      <c r="BE1" s="225"/>
      <c r="BF1" s="225"/>
      <c r="BG1" s="225"/>
      <c r="BH1" s="225"/>
      <c r="BI1" s="225"/>
      <c r="BJ1" s="225"/>
      <c r="BL1" s="241"/>
      <c r="BM1" s="225"/>
      <c r="BN1" s="225"/>
      <c r="BO1" s="225"/>
      <c r="BP1" s="225"/>
      <c r="BQ1" s="225"/>
      <c r="BR1" s="225"/>
      <c r="BS1" s="225"/>
      <c r="BT1" s="225"/>
      <c r="BU1" s="225"/>
      <c r="BV1" s="225"/>
      <c r="BW1" s="225"/>
      <c r="DA1" s="184" t="s">
        <v>433</v>
      </c>
    </row>
    <row r="2" spans="1:129" ht="18" x14ac:dyDescent="0.25">
      <c r="A2" s="187"/>
      <c r="B2" s="227" t="str">
        <f>'NI LLC-Consolidated'!J2</f>
        <v>Neshaminy Interplex LLC</v>
      </c>
      <c r="C2" s="225"/>
      <c r="D2" s="226"/>
      <c r="E2" s="225"/>
      <c r="F2" s="225"/>
      <c r="G2" s="225"/>
      <c r="H2" s="225"/>
      <c r="I2" s="226"/>
      <c r="J2" s="226"/>
      <c r="K2" s="226"/>
      <c r="L2" s="225"/>
      <c r="M2" s="225"/>
      <c r="N2" s="225"/>
      <c r="O2" s="225"/>
      <c r="P2" s="225"/>
      <c r="Q2" s="225"/>
      <c r="R2" s="225"/>
      <c r="S2" s="225"/>
      <c r="T2" s="225"/>
    </row>
    <row r="3" spans="1:129" x14ac:dyDescent="0.25">
      <c r="A3" s="187"/>
      <c r="B3" s="249" t="s">
        <v>427</v>
      </c>
      <c r="C3" s="225"/>
      <c r="D3" s="226"/>
      <c r="E3" s="225"/>
      <c r="F3" s="225"/>
      <c r="G3" s="225"/>
      <c r="H3" s="225"/>
      <c r="I3" s="226"/>
      <c r="J3" s="226"/>
      <c r="K3" s="226"/>
      <c r="L3" s="225"/>
      <c r="M3" s="225"/>
      <c r="N3" s="225"/>
      <c r="O3" s="225"/>
      <c r="P3" s="225"/>
      <c r="Q3" s="225"/>
      <c r="R3" s="225"/>
      <c r="S3" s="225"/>
      <c r="T3" s="225"/>
    </row>
    <row r="4" spans="1:129" x14ac:dyDescent="0.25">
      <c r="A4" s="187"/>
      <c r="C4" s="228"/>
      <c r="D4" s="255"/>
      <c r="E4" s="279"/>
      <c r="G4" s="225"/>
      <c r="H4" s="225"/>
      <c r="I4" s="226"/>
      <c r="J4" s="187"/>
      <c r="K4" s="187"/>
    </row>
    <row r="5" spans="1:129" ht="18" x14ac:dyDescent="0.25">
      <c r="A5" s="215">
        <f>'4050'!B1</f>
        <v>4050</v>
      </c>
      <c r="D5" s="226"/>
      <c r="E5" s="225"/>
      <c r="G5" s="226"/>
      <c r="H5" s="226"/>
      <c r="I5" s="226"/>
      <c r="J5" s="187"/>
      <c r="K5" s="187"/>
    </row>
    <row r="6" spans="1:129" ht="17.5" x14ac:dyDescent="0.25">
      <c r="A6" s="256">
        <f>'4050'!B4</f>
        <v>54008</v>
      </c>
      <c r="B6" s="257">
        <f>(A6-C24)/A6</f>
        <v>0.51994149014960744</v>
      </c>
      <c r="D6" s="258" t="str">
        <f>"Vacancies - "&amp;A5</f>
        <v>Vacancies - 4050</v>
      </c>
      <c r="E6" s="226"/>
      <c r="F6" s="226"/>
      <c r="G6" s="226"/>
      <c r="H6" s="226"/>
      <c r="I6" s="226"/>
      <c r="J6" s="225"/>
      <c r="K6" s="187"/>
      <c r="O6" s="258" t="str">
        <f>"Renewals - "&amp;A5</f>
        <v>Renewals - 4050</v>
      </c>
      <c r="P6" s="226"/>
      <c r="Q6" s="226"/>
      <c r="R6" s="226"/>
      <c r="S6" s="226"/>
      <c r="T6" s="226"/>
      <c r="U6" s="225"/>
    </row>
    <row r="7" spans="1:129" ht="18" x14ac:dyDescent="0.35">
      <c r="D7" s="553" t="s">
        <v>428</v>
      </c>
      <c r="E7" s="554"/>
      <c r="F7" s="554"/>
      <c r="G7" s="554"/>
      <c r="H7" s="554"/>
      <c r="I7" s="554"/>
      <c r="J7" s="555"/>
      <c r="M7" s="34"/>
      <c r="N7" s="212"/>
      <c r="O7" s="553" t="s">
        <v>428</v>
      </c>
      <c r="P7" s="554"/>
      <c r="Q7" s="554"/>
      <c r="R7" s="554"/>
      <c r="S7" s="554"/>
      <c r="T7" s="554"/>
      <c r="U7" s="555"/>
      <c r="W7" s="214">
        <f>A5</f>
        <v>4050</v>
      </c>
      <c r="X7" s="552">
        <v>2025</v>
      </c>
      <c r="Y7" s="552"/>
      <c r="Z7" s="552"/>
      <c r="AA7" s="552"/>
      <c r="AB7" s="552"/>
      <c r="AC7" s="552"/>
      <c r="AD7" s="552"/>
      <c r="AE7" s="552"/>
      <c r="AF7" s="552"/>
      <c r="AG7" s="552"/>
      <c r="AH7" s="552"/>
      <c r="AI7" s="552"/>
      <c r="AJ7" s="552">
        <f>X7+1</f>
        <v>2026</v>
      </c>
      <c r="AK7" s="552"/>
      <c r="AL7" s="552"/>
      <c r="AM7" s="552"/>
      <c r="AN7" s="552"/>
      <c r="AO7" s="552"/>
      <c r="AP7" s="552"/>
      <c r="AQ7" s="552"/>
      <c r="AR7" s="552"/>
      <c r="AS7" s="552"/>
      <c r="AT7" s="552"/>
      <c r="AU7" s="552"/>
      <c r="DB7" s="556" t="s">
        <v>263</v>
      </c>
      <c r="DC7" s="556"/>
      <c r="DD7" s="556"/>
      <c r="DE7" s="556"/>
      <c r="DF7" s="556"/>
      <c r="DG7" s="556"/>
      <c r="DH7" s="556"/>
      <c r="DI7" s="556"/>
      <c r="DJ7" s="556"/>
      <c r="DK7" s="556"/>
      <c r="DL7" s="556"/>
      <c r="DM7" s="556"/>
      <c r="DN7" s="556" t="s">
        <v>327</v>
      </c>
      <c r="DO7" s="557"/>
      <c r="DP7" s="557"/>
      <c r="DQ7" s="557"/>
      <c r="DR7" s="557"/>
      <c r="DS7" s="557"/>
      <c r="DT7" s="557"/>
      <c r="DU7" s="557"/>
      <c r="DV7" s="557"/>
      <c r="DW7" s="557"/>
      <c r="DX7" s="557"/>
      <c r="DY7" s="557"/>
    </row>
    <row r="8" spans="1:129" x14ac:dyDescent="0.35">
      <c r="A8" s="201" t="s">
        <v>224</v>
      </c>
      <c r="B8" s="43" t="s">
        <v>424</v>
      </c>
      <c r="C8" s="208" t="s">
        <v>221</v>
      </c>
      <c r="D8" s="233" t="s">
        <v>429</v>
      </c>
      <c r="E8" s="201" t="s">
        <v>430</v>
      </c>
      <c r="F8" s="201" t="s">
        <v>432</v>
      </c>
      <c r="G8" s="200" t="s">
        <v>219</v>
      </c>
      <c r="H8" s="213" t="s">
        <v>624</v>
      </c>
      <c r="I8" s="213" t="s">
        <v>425</v>
      </c>
      <c r="J8" s="203" t="s">
        <v>218</v>
      </c>
      <c r="K8" s="188"/>
      <c r="L8" s="201" t="s">
        <v>224</v>
      </c>
      <c r="M8" s="43" t="s">
        <v>424</v>
      </c>
      <c r="N8" s="208" t="s">
        <v>221</v>
      </c>
      <c r="O8" s="233" t="s">
        <v>429</v>
      </c>
      <c r="P8" s="201" t="s">
        <v>430</v>
      </c>
      <c r="Q8" s="201" t="s">
        <v>432</v>
      </c>
      <c r="R8" s="200" t="s">
        <v>219</v>
      </c>
      <c r="S8" s="213" t="s">
        <v>624</v>
      </c>
      <c r="T8" s="213" t="s">
        <v>425</v>
      </c>
      <c r="U8" s="203" t="s">
        <v>218</v>
      </c>
      <c r="X8" s="234">
        <v>45658</v>
      </c>
      <c r="Y8" s="32">
        <v>45689</v>
      </c>
      <c r="Z8" s="32">
        <v>45717</v>
      </c>
      <c r="AA8" s="32">
        <v>45748</v>
      </c>
      <c r="AB8" s="32">
        <v>45778</v>
      </c>
      <c r="AC8" s="32">
        <v>45809</v>
      </c>
      <c r="AD8" s="32">
        <v>45839</v>
      </c>
      <c r="AE8" s="32">
        <v>45870</v>
      </c>
      <c r="AF8" s="32">
        <v>45901</v>
      </c>
      <c r="AG8" s="32">
        <v>45931</v>
      </c>
      <c r="AH8" s="32">
        <v>45962</v>
      </c>
      <c r="AI8" s="235">
        <v>45992</v>
      </c>
      <c r="AJ8" s="32">
        <v>46023</v>
      </c>
      <c r="AK8" s="32">
        <v>46054</v>
      </c>
      <c r="AL8" s="32">
        <v>46082</v>
      </c>
      <c r="AM8" s="32">
        <v>46113</v>
      </c>
      <c r="AN8" s="32">
        <v>46143</v>
      </c>
      <c r="AO8" s="32">
        <v>46174</v>
      </c>
      <c r="AP8" s="32">
        <v>46204</v>
      </c>
      <c r="AQ8" s="32">
        <v>46235</v>
      </c>
      <c r="AR8" s="32">
        <v>46266</v>
      </c>
      <c r="AS8" s="32">
        <v>46296</v>
      </c>
      <c r="AT8" s="32">
        <v>46327</v>
      </c>
      <c r="AU8" s="32">
        <v>46357</v>
      </c>
      <c r="AV8" s="275" t="str">
        <f>AJ7&amp;" - Totals"</f>
        <v>2026 - Totals</v>
      </c>
      <c r="DB8" s="234">
        <v>45658</v>
      </c>
      <c r="DC8" s="32">
        <v>45689</v>
      </c>
      <c r="DD8" s="32">
        <v>45717</v>
      </c>
      <c r="DE8" s="32">
        <v>45748</v>
      </c>
      <c r="DF8" s="32">
        <v>45778</v>
      </c>
      <c r="DG8" s="32">
        <v>45809</v>
      </c>
      <c r="DH8" s="32">
        <v>45839</v>
      </c>
      <c r="DI8" s="32">
        <v>45870</v>
      </c>
      <c r="DJ8" s="32">
        <v>45901</v>
      </c>
      <c r="DK8" s="32">
        <v>45931</v>
      </c>
      <c r="DL8" s="32">
        <v>45962</v>
      </c>
      <c r="DM8" s="235">
        <v>45992</v>
      </c>
      <c r="DN8" s="32">
        <v>46023</v>
      </c>
      <c r="DO8" s="32">
        <v>46054</v>
      </c>
      <c r="DP8" s="32">
        <v>46082</v>
      </c>
      <c r="DQ8" s="32">
        <v>46113</v>
      </c>
      <c r="DR8" s="32">
        <v>46143</v>
      </c>
      <c r="DS8" s="32">
        <v>46174</v>
      </c>
      <c r="DT8" s="32">
        <v>46204</v>
      </c>
      <c r="DU8" s="32">
        <v>46235</v>
      </c>
      <c r="DV8" s="32">
        <v>46266</v>
      </c>
      <c r="DW8" s="32">
        <v>46296</v>
      </c>
      <c r="DX8" s="32">
        <v>46327</v>
      </c>
      <c r="DY8" s="32">
        <v>46357</v>
      </c>
    </row>
    <row r="9" spans="1:129" x14ac:dyDescent="0.35">
      <c r="A9" s="188" t="s">
        <v>621</v>
      </c>
      <c r="B9" s="77" t="str">
        <f>IF(A9&lt;&gt;"","VACANT","")</f>
        <v>VACANT</v>
      </c>
      <c r="C9" s="209">
        <v>9434</v>
      </c>
      <c r="D9" s="229"/>
      <c r="E9" s="218"/>
      <c r="F9" s="246">
        <f>IFERROR(ROUNDUP(((DATEDIF(D9,E9,"d"))/365),1),0)</f>
        <v>0</v>
      </c>
      <c r="G9" s="219"/>
      <c r="H9" s="527">
        <f>(C9*G9)/12</f>
        <v>0</v>
      </c>
      <c r="I9" s="219"/>
      <c r="J9" s="230"/>
      <c r="K9" s="236"/>
      <c r="L9" s="188" t="s">
        <v>384</v>
      </c>
      <c r="M9" s="34" t="s">
        <v>401</v>
      </c>
      <c r="N9" s="209">
        <v>10048</v>
      </c>
      <c r="O9" s="229">
        <v>46204</v>
      </c>
      <c r="P9" s="218">
        <v>46568</v>
      </c>
      <c r="Q9" s="246">
        <f>IFERROR(ROUNDUP(((DATEDIF(O9,P9,"d"))/365),1),0)</f>
        <v>1</v>
      </c>
      <c r="R9" s="219">
        <v>17.5</v>
      </c>
      <c r="S9" s="527">
        <f>(N9*R9)/12</f>
        <v>14653.333333333334</v>
      </c>
      <c r="T9" s="219"/>
      <c r="U9" s="230">
        <v>0</v>
      </c>
      <c r="W9" s="184" t="s">
        <v>436</v>
      </c>
      <c r="X9" s="261" cm="1">
        <f t="array" ref="X9:AI9">_xlfn.LET(
  _xlpm.months, X8:AI8,
  _xlpm.totalSqft, A6,
  _xlpm.vacSF, C9:C23,
  _xlpm.vacStart, D9:D23,
  _xlpm.vacEnd, E9:E23,
  _xlpm.renSF, N9:N23,
  _xlpm.renEnd, P9:P23,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0.51990000000000003</v>
      </c>
      <c r="Y9" s="262">
        <v>0.51990000000000003</v>
      </c>
      <c r="Z9" s="262">
        <v>0.51990000000000003</v>
      </c>
      <c r="AA9" s="262">
        <v>0.51990000000000003</v>
      </c>
      <c r="AB9" s="262">
        <v>0.51990000000000003</v>
      </c>
      <c r="AC9" s="262">
        <v>0.51990000000000003</v>
      </c>
      <c r="AD9" s="262">
        <v>0.51990000000000003</v>
      </c>
      <c r="AE9" s="262">
        <v>0.51990000000000003</v>
      </c>
      <c r="AF9" s="262">
        <v>0.51990000000000003</v>
      </c>
      <c r="AG9" s="262">
        <v>0.55149999999999999</v>
      </c>
      <c r="AH9" s="262">
        <v>0.58579999999999999</v>
      </c>
      <c r="AI9" s="262">
        <v>0.58579999999999999</v>
      </c>
      <c r="AJ9" s="261" cm="1">
        <f t="array" ref="AJ9:AU9">_xlfn.LET(
  _xlpm.months, AJ8:AU8,
  _xlpm.totalSqft, A6,
  _xlpm.vacSF, C9:C23,
  _xlpm.vacStart, D9:D23,
  _xlpm.vacEnd, E9:E23,
  _xlpm.renSF, N9:N23,
  _xlpm.renEnd, P9:P23,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0.58579999999999999</v>
      </c>
      <c r="AK9" s="262">
        <v>0.58579999999999999</v>
      </c>
      <c r="AL9" s="262">
        <v>0.58579999999999999</v>
      </c>
      <c r="AM9" s="262">
        <v>0.58579999999999999</v>
      </c>
      <c r="AN9" s="262">
        <v>0.58579999999999999</v>
      </c>
      <c r="AO9" s="262">
        <v>0.58579999999999999</v>
      </c>
      <c r="AP9" s="262">
        <v>0.58579999999999999</v>
      </c>
      <c r="AQ9" s="262">
        <v>0.58579999999999999</v>
      </c>
      <c r="AR9" s="262">
        <v>0.58579999999999999</v>
      </c>
      <c r="AS9" s="262">
        <v>0.58579999999999999</v>
      </c>
      <c r="AT9" s="262">
        <v>0.58579999999999999</v>
      </c>
      <c r="AU9" s="262">
        <v>0.58579999999999999</v>
      </c>
      <c r="AV9" s="273"/>
      <c r="DB9" s="205">
        <f t="shared" ref="DB9:DY9" si="0">IF(AND($D9&lt;=DB8,$E9&gt;=DB8),(($G9*$C9)/12),0)</f>
        <v>0</v>
      </c>
      <c r="DC9" s="204">
        <f t="shared" si="0"/>
        <v>0</v>
      </c>
      <c r="DD9" s="204">
        <f t="shared" si="0"/>
        <v>0</v>
      </c>
      <c r="DE9" s="204">
        <f t="shared" si="0"/>
        <v>0</v>
      </c>
      <c r="DF9" s="204">
        <f t="shared" si="0"/>
        <v>0</v>
      </c>
      <c r="DG9" s="204">
        <f t="shared" si="0"/>
        <v>0</v>
      </c>
      <c r="DH9" s="204">
        <f t="shared" si="0"/>
        <v>0</v>
      </c>
      <c r="DI9" s="204">
        <f t="shared" si="0"/>
        <v>0</v>
      </c>
      <c r="DJ9" s="204">
        <f t="shared" si="0"/>
        <v>0</v>
      </c>
      <c r="DK9" s="204">
        <f t="shared" si="0"/>
        <v>0</v>
      </c>
      <c r="DL9" s="204">
        <f t="shared" si="0"/>
        <v>0</v>
      </c>
      <c r="DM9" s="206">
        <f t="shared" si="0"/>
        <v>0</v>
      </c>
      <c r="DN9" s="185">
        <f t="shared" si="0"/>
        <v>0</v>
      </c>
      <c r="DO9" s="185">
        <f t="shared" si="0"/>
        <v>0</v>
      </c>
      <c r="DP9" s="185">
        <f t="shared" si="0"/>
        <v>0</v>
      </c>
      <c r="DQ9" s="185">
        <f t="shared" si="0"/>
        <v>0</v>
      </c>
      <c r="DR9" s="185">
        <f t="shared" si="0"/>
        <v>0</v>
      </c>
      <c r="DS9" s="185">
        <f t="shared" si="0"/>
        <v>0</v>
      </c>
      <c r="DT9" s="185">
        <f t="shared" si="0"/>
        <v>0</v>
      </c>
      <c r="DU9" s="185">
        <f t="shared" si="0"/>
        <v>0</v>
      </c>
      <c r="DV9" s="185">
        <f t="shared" si="0"/>
        <v>0</v>
      </c>
      <c r="DW9" s="185">
        <f t="shared" si="0"/>
        <v>0</v>
      </c>
      <c r="DX9" s="185">
        <f t="shared" si="0"/>
        <v>0</v>
      </c>
      <c r="DY9" s="185">
        <f t="shared" si="0"/>
        <v>0</v>
      </c>
    </row>
    <row r="10" spans="1:129" x14ac:dyDescent="0.35">
      <c r="A10" s="188" t="s">
        <v>620</v>
      </c>
      <c r="B10" s="34" t="str">
        <f t="shared" ref="B10:B23" si="1">IF(A10&lt;&gt;"","VACANT","")</f>
        <v>VACANT</v>
      </c>
      <c r="C10" s="209">
        <v>3637</v>
      </c>
      <c r="D10" s="229"/>
      <c r="E10" s="218"/>
      <c r="F10" s="188">
        <f t="shared" ref="F10:F23" si="2">IFERROR(ROUNDUP(((DATEDIF(D10,E10,"d"))/365),1),0)</f>
        <v>0</v>
      </c>
      <c r="G10" s="219"/>
      <c r="H10" s="527">
        <f t="shared" ref="H10:H23" si="3">(C10*G10)/12</f>
        <v>0</v>
      </c>
      <c r="I10" s="219"/>
      <c r="J10" s="230"/>
      <c r="K10" s="236"/>
      <c r="L10" s="188" t="s">
        <v>234</v>
      </c>
      <c r="M10" s="34" t="s">
        <v>402</v>
      </c>
      <c r="N10" s="209">
        <v>1933</v>
      </c>
      <c r="O10" s="229">
        <v>46327</v>
      </c>
      <c r="P10" s="218">
        <v>47787</v>
      </c>
      <c r="Q10" s="188">
        <f t="shared" ref="Q10:Q23" si="4">IFERROR(ROUNDUP(((DATEDIF(O10,P10,"d"))/365),1),0)</f>
        <v>4</v>
      </c>
      <c r="R10" s="219">
        <v>21.5</v>
      </c>
      <c r="S10" s="527">
        <f t="shared" ref="S10:S23" si="5">(N10*R10)/12</f>
        <v>3463.2916666666665</v>
      </c>
      <c r="T10" s="219"/>
      <c r="U10" s="230">
        <v>0</v>
      </c>
      <c r="W10" s="184" t="s">
        <v>434</v>
      </c>
      <c r="X10" s="205" cm="1">
        <f t="array" ref="X10">((SUMPRODUCT(($D$9:$D$23&lt;=X$8) * ($E$9:$E$23&gt;=X$8) * ($G$9:$G$23 * $C$9:$C$23)))+(SUMPRODUCT(($O$9:$O$23&lt;=X$8) * ($P$9:$P$23&gt;=X$8) * ($R$9:$R$23 * $N$9:$N$23))))/12</f>
        <v>0</v>
      </c>
      <c r="Y10" s="185" cm="1">
        <f t="array" ref="Y10">((SUMPRODUCT(($D$9:$D$23&lt;=Y$8) * ($E$9:$E$23&gt;=Y$8) * ($G$9:$G$23 * $C$9:$C$23)))+(SUMPRODUCT(($O$9:$O$23&lt;=Y$8) * ($P$9:$P$23&gt;=Y$8) * ($R$9:$R$23 * $N$9:$N$23))))/12</f>
        <v>0</v>
      </c>
      <c r="Z10" s="185" cm="1">
        <f t="array" ref="Z10">((SUMPRODUCT(($D$9:$D$23&lt;=Z$8) * ($E$9:$E$23&gt;=Z$8) * ($G$9:$G$23 * $C$9:$C$23)))+(SUMPRODUCT(($O$9:$O$23&lt;=Z$8) * ($P$9:$P$23&gt;=Z$8) * ($R$9:$R$23 * $N$9:$N$23))))/12</f>
        <v>0</v>
      </c>
      <c r="AA10" s="185" cm="1">
        <f t="array" ref="AA10">((SUMPRODUCT(($D$9:$D$23&lt;=AA$8) * ($E$9:$E$23&gt;=AA$8) * ($G$9:$G$23 * $C$9:$C$23)))+(SUMPRODUCT(($O$9:$O$23&lt;=AA$8) * ($P$9:$P$23&gt;=AA$8) * ($R$9:$R$23 * $N$9:$N$23))))/12</f>
        <v>0</v>
      </c>
      <c r="AB10" s="185" cm="1">
        <f t="array" ref="AB10">((SUMPRODUCT(($D$9:$D$23&lt;=AB$8) * ($E$9:$E$23&gt;=AB$8) * ($G$9:$G$23 * $C$9:$C$23)))+(SUMPRODUCT(($O$9:$O$23&lt;=AB$8) * ($P$9:$P$23&gt;=AB$8) * ($R$9:$R$23 * $N$9:$N$23))))/12</f>
        <v>0</v>
      </c>
      <c r="AC10" s="185" cm="1">
        <f t="array" ref="AC10">((SUMPRODUCT(($D$9:$D$23&lt;=AC$8) * ($E$9:$E$23&gt;=AC$8) * ($G$9:$G$23 * $C$9:$C$23)))+(SUMPRODUCT(($O$9:$O$23&lt;=AC$8) * ($P$9:$P$23&gt;=AC$8) * ($R$9:$R$23 * $N$9:$N$23))))/12</f>
        <v>0</v>
      </c>
      <c r="AD10" s="185" cm="1">
        <f t="array" ref="AD10">((SUMPRODUCT(($D$9:$D$23&lt;=AD$8) * ($E$9:$E$23&gt;=AD$8) * ($G$9:$G$23 * $C$9:$C$23)))+(SUMPRODUCT(($O$9:$O$23&lt;=AD$8) * ($P$9:$P$23&gt;=AD$8) * ($R$9:$R$23 * $N$9:$N$23))))/12</f>
        <v>0</v>
      </c>
      <c r="AE10" s="185" cm="1">
        <f t="array" ref="AE10">((SUMPRODUCT(($D$9:$D$23&lt;=AE$8) * ($E$9:$E$23&gt;=AE$8) * ($G$9:$G$23 * $C$9:$C$23)))+(SUMPRODUCT(($O$9:$O$23&lt;=AE$8) * ($P$9:$P$23&gt;=AE$8) * ($R$9:$R$23 * $N$9:$N$23))))/12</f>
        <v>0</v>
      </c>
      <c r="AF10" s="185" cm="1">
        <f t="array" ref="AF10">((SUMPRODUCT(($D$9:$D$23&lt;=AF$8) * ($E$9:$E$23&gt;=AF$8) * ($G$9:$G$23 * $C$9:$C$23)))+(SUMPRODUCT(($O$9:$O$23&lt;=AF$8) * ($P$9:$P$23&gt;=AF$8) * ($R$9:$R$23 * $N$9:$N$23))))/12</f>
        <v>0</v>
      </c>
      <c r="AG10" s="185" cm="1">
        <f t="array" ref="AG10">((SUMPRODUCT(($D$9:$D$23&lt;=AG$8) * ($E$9:$E$23&gt;=AG$8) * ($G$9:$G$23 * $C$9:$C$23)))+(SUMPRODUCT(($O$9:$O$23&lt;=AG$8) * ($P$9:$P$23&gt;=AG$8) * ($R$9:$R$23 * $N$9:$N$23))))/12</f>
        <v>2631.625</v>
      </c>
      <c r="AH10" s="185" cm="1">
        <f t="array" ref="AH10">((SUMPRODUCT(($D$9:$D$23&lt;=AH$8) * ($E$9:$E$23&gt;=AH$8) * ($G$9:$G$23 * $C$9:$C$23)))+(SUMPRODUCT(($O$9:$O$23&lt;=AH$8) * ($P$9:$P$23&gt;=AH$8) * ($R$9:$R$23 * $N$9:$N$23))))/12</f>
        <v>5483.708333333333</v>
      </c>
      <c r="AI10" s="185" cm="1">
        <f t="array" ref="AI10">((SUMPRODUCT(($D$9:$D$23&lt;=AI$8) * ($E$9:$E$23&gt;=AI$8) * ($G$9:$G$23 * $C$9:$C$23)))+(SUMPRODUCT(($O$9:$O$23&lt;=AI$8) * ($P$9:$P$23&gt;=AI$8) * ($R$9:$R$23 * $N$9:$N$23))))/12</f>
        <v>5483.708333333333</v>
      </c>
      <c r="AJ10" s="205" cm="1">
        <f t="array" ref="AJ10">((SUMPRODUCT(($D$9:$D$23&lt;=AJ$8) * ($E$9:$E$23&gt;=AJ$8) * ($G$9:$G$23 * $C$9:$C$23)))+(SUMPRODUCT(($O$9:$O$23&lt;=AJ$8) * ($P$9:$P$23&gt;=AJ$8) * ($R$9:$R$23 * $N$9:$N$23))))/12</f>
        <v>5483.708333333333</v>
      </c>
      <c r="AK10" s="185" cm="1">
        <f t="array" ref="AK10">((SUMPRODUCT(($D$9:$D$23&lt;=AK$8) * ($E$9:$E$23&gt;=AK$8) * ($G$9:$G$23 * $C$9:$C$23)))+(SUMPRODUCT(($O$9:$O$23&lt;=AK$8) * ($P$9:$P$23&gt;=AK$8) * ($R$9:$R$23 * $N$9:$N$23))))/12</f>
        <v>5483.708333333333</v>
      </c>
      <c r="AL10" s="185" cm="1">
        <f t="array" ref="AL10">((SUMPRODUCT(($D$9:$D$23&lt;=AL$8) * ($E$9:$E$23&gt;=AL$8) * ($G$9:$G$23 * $C$9:$C$23)))+(SUMPRODUCT(($O$9:$O$23&lt;=AL$8) * ($P$9:$P$23&gt;=AL$8) * ($R$9:$R$23 * $N$9:$N$23))))/12</f>
        <v>5483.708333333333</v>
      </c>
      <c r="AM10" s="185" cm="1">
        <f t="array" ref="AM10">((SUMPRODUCT(($D$9:$D$23&lt;=AM$8) * ($E$9:$E$23&gt;=AM$8) * ($G$9:$G$23 * $C$9:$C$23)))+(SUMPRODUCT(($O$9:$O$23&lt;=AM$8) * ($P$9:$P$23&gt;=AM$8) * ($R$9:$R$23 * $N$9:$N$23))))/12</f>
        <v>11448.125</v>
      </c>
      <c r="AN10" s="185" cm="1">
        <f t="array" ref="AN10">((SUMPRODUCT(($D$9:$D$23&lt;=AN$8) * ($E$9:$E$23&gt;=AN$8) * ($G$9:$G$23 * $C$9:$C$23)))+(SUMPRODUCT(($O$9:$O$23&lt;=AN$8) * ($P$9:$P$23&gt;=AN$8) * ($R$9:$R$23 * $N$9:$N$23))))/12</f>
        <v>11448.125</v>
      </c>
      <c r="AO10" s="185" cm="1">
        <f t="array" ref="AO10">((SUMPRODUCT(($D$9:$D$23&lt;=AO$8) * ($E$9:$E$23&gt;=AO$8) * ($G$9:$G$23 * $C$9:$C$23)))+(SUMPRODUCT(($O$9:$O$23&lt;=AO$8) * ($P$9:$P$23&gt;=AO$8) * ($R$9:$R$23 * $N$9:$N$23))))/12</f>
        <v>11448.125</v>
      </c>
      <c r="AP10" s="185" cm="1">
        <f t="array" ref="AP10">((SUMPRODUCT(($D$9:$D$23&lt;=AP$8) * ($E$9:$E$23&gt;=AP$8) * ($G$9:$G$23 * $C$9:$C$23)))+(SUMPRODUCT(($O$9:$O$23&lt;=AP$8) * ($P$9:$P$23&gt;=AP$8) * ($R$9:$R$23 * $N$9:$N$23))))/12</f>
        <v>28841.291666666668</v>
      </c>
      <c r="AQ10" s="185" cm="1">
        <f t="array" ref="AQ10">((SUMPRODUCT(($D$9:$D$23&lt;=AQ$8) * ($E$9:$E$23&gt;=AQ$8) * ($G$9:$G$23 * $C$9:$C$23)))+(SUMPRODUCT(($O$9:$O$23&lt;=AQ$8) * ($P$9:$P$23&gt;=AQ$8) * ($R$9:$R$23 * $N$9:$N$23))))/12</f>
        <v>28841.291666666668</v>
      </c>
      <c r="AR10" s="185" cm="1">
        <f t="array" ref="AR10">((SUMPRODUCT(($D$9:$D$23&lt;=AR$8) * ($E$9:$E$23&gt;=AR$8) * ($G$9:$G$23 * $C$9:$C$23)))+(SUMPRODUCT(($O$9:$O$23&lt;=AR$8) * ($P$9:$P$23&gt;=AR$8) * ($R$9:$R$23 * $N$9:$N$23))))/12</f>
        <v>28841.291666666668</v>
      </c>
      <c r="AS10" s="185" cm="1">
        <f t="array" ref="AS10">((SUMPRODUCT(($D$9:$D$23&lt;=AS$8) * ($E$9:$E$23&gt;=AS$8) * ($G$9:$G$23 * $C$9:$C$23)))+(SUMPRODUCT(($O$9:$O$23&lt;=AS$8) * ($P$9:$P$23&gt;=AS$8) * ($R$9:$R$23 * $N$9:$N$23))))/12</f>
        <v>37656.541666666664</v>
      </c>
      <c r="AT10" s="185" cm="1">
        <f t="array" ref="AT10">((SUMPRODUCT(($D$9:$D$23&lt;=AT$8) * ($E$9:$E$23&gt;=AT$8) * ($G$9:$G$23 * $C$9:$C$23)))+(SUMPRODUCT(($O$9:$O$23&lt;=AT$8) * ($P$9:$P$23&gt;=AT$8) * ($R$9:$R$23 * $N$9:$N$23))))/12</f>
        <v>41119.833333333336</v>
      </c>
      <c r="AU10" s="185" cm="1">
        <f t="array" ref="AU10">((SUMPRODUCT(($D$9:$D$23&lt;=AU$8) * ($E$9:$E$23&gt;=AU$8) * ($G$9:$G$23 * $C$9:$C$23)))+(SUMPRODUCT(($O$9:$O$23&lt;=AU$8) * ($P$9:$P$23&gt;=AU$8) * ($R$9:$R$23 * $N$9:$N$23))))/12</f>
        <v>41119.833333333336</v>
      </c>
      <c r="AV10" s="274">
        <f>SUM(AJ10:AU10)</f>
        <v>257215.58333333334</v>
      </c>
      <c r="DB10" s="205">
        <f t="shared" ref="DB10:DK23" si="6">IF(AND($D10&lt;=DB$8,$E10&gt;=DB$8),(($G10*$C10)/12),0)</f>
        <v>0</v>
      </c>
      <c r="DC10" s="204">
        <f t="shared" si="6"/>
        <v>0</v>
      </c>
      <c r="DD10" s="204">
        <f t="shared" si="6"/>
        <v>0</v>
      </c>
      <c r="DE10" s="204">
        <f t="shared" si="6"/>
        <v>0</v>
      </c>
      <c r="DF10" s="204">
        <f t="shared" si="6"/>
        <v>0</v>
      </c>
      <c r="DG10" s="204">
        <f t="shared" si="6"/>
        <v>0</v>
      </c>
      <c r="DH10" s="204">
        <f t="shared" si="6"/>
        <v>0</v>
      </c>
      <c r="DI10" s="204">
        <f t="shared" si="6"/>
        <v>0</v>
      </c>
      <c r="DJ10" s="204">
        <f t="shared" si="6"/>
        <v>0</v>
      </c>
      <c r="DK10" s="204">
        <f t="shared" si="6"/>
        <v>0</v>
      </c>
      <c r="DL10" s="204">
        <f t="shared" ref="DL10:DY23" si="7">IF(AND($D10&lt;=DL$8,$E10&gt;=DL$8),(($G10*$C10)/12),0)</f>
        <v>0</v>
      </c>
      <c r="DM10" s="206">
        <f t="shared" si="7"/>
        <v>0</v>
      </c>
      <c r="DN10" s="185">
        <f t="shared" si="7"/>
        <v>0</v>
      </c>
      <c r="DO10" s="185">
        <f t="shared" si="7"/>
        <v>0</v>
      </c>
      <c r="DP10" s="185">
        <f t="shared" si="7"/>
        <v>0</v>
      </c>
      <c r="DQ10" s="185">
        <f t="shared" si="7"/>
        <v>0</v>
      </c>
      <c r="DR10" s="185">
        <f t="shared" si="7"/>
        <v>0</v>
      </c>
      <c r="DS10" s="185">
        <f t="shared" si="7"/>
        <v>0</v>
      </c>
      <c r="DT10" s="185">
        <f t="shared" si="7"/>
        <v>0</v>
      </c>
      <c r="DU10" s="185">
        <f t="shared" si="7"/>
        <v>0</v>
      </c>
      <c r="DV10" s="185">
        <f t="shared" si="7"/>
        <v>0</v>
      </c>
      <c r="DW10" s="185">
        <f t="shared" si="7"/>
        <v>0</v>
      </c>
      <c r="DX10" s="185">
        <f t="shared" si="7"/>
        <v>0</v>
      </c>
      <c r="DY10" s="185">
        <f t="shared" si="7"/>
        <v>0</v>
      </c>
    </row>
    <row r="11" spans="1:129" x14ac:dyDescent="0.35">
      <c r="A11" s="188" t="s">
        <v>240</v>
      </c>
      <c r="B11" s="34" t="str">
        <f t="shared" si="1"/>
        <v>VACANT</v>
      </c>
      <c r="C11" s="209">
        <v>1850</v>
      </c>
      <c r="D11" s="229">
        <v>45962</v>
      </c>
      <c r="E11" s="218">
        <v>46691</v>
      </c>
      <c r="F11" s="188">
        <f t="shared" si="2"/>
        <v>2</v>
      </c>
      <c r="G11" s="219">
        <v>18.5</v>
      </c>
      <c r="H11" s="527">
        <f>(C11*G11)/12</f>
        <v>2852.0833333333335</v>
      </c>
      <c r="I11" s="219">
        <v>3</v>
      </c>
      <c r="J11" s="247">
        <v>5.5E-2</v>
      </c>
      <c r="K11" s="237"/>
      <c r="L11" s="188" t="s">
        <v>172</v>
      </c>
      <c r="M11" s="34" t="s">
        <v>403</v>
      </c>
      <c r="N11" s="209">
        <v>3767</v>
      </c>
      <c r="O11" s="229">
        <v>46113</v>
      </c>
      <c r="P11" s="218">
        <v>47208</v>
      </c>
      <c r="Q11" s="188">
        <f t="shared" si="4"/>
        <v>3</v>
      </c>
      <c r="R11" s="219">
        <v>19</v>
      </c>
      <c r="S11" s="527">
        <f t="shared" si="5"/>
        <v>5964.416666666667</v>
      </c>
      <c r="T11" s="219">
        <v>3</v>
      </c>
      <c r="U11" s="230">
        <v>0</v>
      </c>
      <c r="W11" s="184" t="s">
        <v>431</v>
      </c>
      <c r="X11" s="205" cm="1">
        <f t="array" ref="X11">(SUMPRODUCT((TEXT($O9:$O23,"yyyymm")=TEXT(X$8,"yyyymm")) * ($T9:$T23 * $N9:$N23)))+(SUMPRODUCT((TEXT($D9:$D23,"yyyymm")=TEXT(X$8,"yyyymm")) * ($I9:$I23 * $C9:$C23)))</f>
        <v>0</v>
      </c>
      <c r="Y11" s="185" cm="1">
        <f t="array" ref="Y11">(SUMPRODUCT((TEXT($O9:$O23,"yyyymm")=TEXT(Y$8,"yyyymm")) * ($T9:$T23 * $N9:$N23)))+(SUMPRODUCT((TEXT($D9:$D23,"yyyymm")=TEXT(Y$8,"yyyymm")) * ($I9:$I23 * $C9:$C23)))</f>
        <v>0</v>
      </c>
      <c r="Z11" s="185" cm="1">
        <f t="array" ref="Z11">(SUMPRODUCT((TEXT($O9:$O23,"yyyymm")=TEXT(Z$8,"yyyymm")) * ($T9:$T23 * $N9:$N23)))+(SUMPRODUCT((TEXT($D9:$D23,"yyyymm")=TEXT(Z$8,"yyyymm")) * ($I9:$I23 * $C9:$C23)))</f>
        <v>0</v>
      </c>
      <c r="AA11" s="185" cm="1">
        <f t="array" ref="AA11">(SUMPRODUCT((TEXT($O9:$O23,"yyyymm")=TEXT(AA$8,"yyyymm")) * ($T9:$T23 * $N9:$N23)))+(SUMPRODUCT((TEXT($D9:$D23,"yyyymm")=TEXT(AA$8,"yyyymm")) * ($I9:$I23 * $C9:$C23)))</f>
        <v>0</v>
      </c>
      <c r="AB11" s="185" cm="1">
        <f t="array" ref="AB11">(SUMPRODUCT((TEXT($O9:$O23,"yyyymm")=TEXT(AB$8,"yyyymm")) * ($T9:$T23 * $N9:$N23)))+(SUMPRODUCT((TEXT($D9:$D23,"yyyymm")=TEXT(AB$8,"yyyymm")) * ($I9:$I23 * $C9:$C23)))</f>
        <v>0</v>
      </c>
      <c r="AC11" s="185" cm="1">
        <f t="array" ref="AC11">(SUMPRODUCT((TEXT($O9:$O23,"yyyymm")=TEXT(AC$8,"yyyymm")) * ($T9:$T23 * $N9:$N23)))+(SUMPRODUCT((TEXT($D9:$D23,"yyyymm")=TEXT(AC$8,"yyyymm")) * ($I9:$I23 * $C9:$C23)))</f>
        <v>0</v>
      </c>
      <c r="AD11" s="185" cm="1">
        <f t="array" ref="AD11">(SUMPRODUCT((TEXT($O9:$O23,"yyyymm")=TEXT(AD$8,"yyyymm")) * ($T9:$T23 * $N9:$N23)))+(SUMPRODUCT((TEXT($D9:$D23,"yyyymm")=TEXT(AD$8,"yyyymm")) * ($I9:$I23 * $C9:$C23)))</f>
        <v>0</v>
      </c>
      <c r="AE11" s="185" cm="1">
        <f t="array" ref="AE11">(SUMPRODUCT((TEXT($O9:$O23,"yyyymm")=TEXT(AE$8,"yyyymm")) * ($T9:$T23 * $N9:$N23)))+(SUMPRODUCT((TEXT($D9:$D23,"yyyymm")=TEXT(AE$8,"yyyymm")) * ($I9:$I23 * $C9:$C23)))</f>
        <v>0</v>
      </c>
      <c r="AF11" s="185" cm="1">
        <f t="array" ref="AF11">(SUMPRODUCT((TEXT($O9:$O23,"yyyymm")=TEXT(AF$8,"yyyymm")) * ($T9:$T23 * $N9:$N23)))+(SUMPRODUCT((TEXT($D9:$D23,"yyyymm")=TEXT(AF$8,"yyyymm")) * ($I9:$I23 * $C9:$C23)))</f>
        <v>0</v>
      </c>
      <c r="AG11" s="185" cm="1">
        <f t="array" ref="AG11">(SUMPRODUCT((TEXT($O9:$O23,"yyyymm")=TEXT(AG$8,"yyyymm")) * ($T9:$T23 * $N9:$N23)))+(SUMPRODUCT((TEXT($D9:$D23,"yyyymm")=TEXT(AG$8,"yyyymm")) * ($I9:$I23 * $C9:$C23)))</f>
        <v>0</v>
      </c>
      <c r="AH11" s="185" cm="1">
        <f t="array" ref="AH11">(SUMPRODUCT((TEXT($O9:$O23,"yyyymm")=TEXT(AH$8,"yyyymm")) * ($T9:$T23 * $N9:$N23)))+(SUMPRODUCT((TEXT($D9:$D23,"yyyymm")=TEXT(AH$8,"yyyymm")) * ($I9:$I23 * $C9:$C23)))</f>
        <v>5550</v>
      </c>
      <c r="AI11" s="185" cm="1">
        <f t="array" ref="AI11">(SUMPRODUCT((TEXT($O9:$O23,"yyyymm")=TEXT(AI$8,"yyyymm")) * ($T9:$T23 * $N9:$N23)))+(SUMPRODUCT((TEXT($D9:$D23,"yyyymm")=TEXT(AI$8,"yyyymm")) * ($I9:$I23 * $C9:$C23)))</f>
        <v>0</v>
      </c>
      <c r="AJ11" s="205" cm="1">
        <f t="array" ref="AJ11">(SUMPRODUCT((TEXT($O9:$O23,"yyyymm")=TEXT(AJ$8,"yyyymm")) * ($T9:$T23 * $N9:$N23)))+(SUMPRODUCT((TEXT($D9:$D23,"yyyymm")=TEXT(AJ$8,"yyyymm")) * ($I9:$I23 * $C9:$C23)))</f>
        <v>0</v>
      </c>
      <c r="AK11" s="185" cm="1">
        <f t="array" ref="AK11">(SUMPRODUCT((TEXT($O9:$O23,"yyyymm")=TEXT(AK$8,"yyyymm")) * ($T9:$T23 * $N9:$N23)))+(SUMPRODUCT((TEXT($D9:$D23,"yyyymm")=TEXT(AK$8,"yyyymm")) * ($I9:$I23 * $C9:$C23)))</f>
        <v>0</v>
      </c>
      <c r="AL11" s="185" cm="1">
        <f t="array" ref="AL11">(SUMPRODUCT((TEXT($O9:$O23,"yyyymm")=TEXT(AL$8,"yyyymm")) * ($T9:$T23 * $N9:$N23)))+(SUMPRODUCT((TEXT($D9:$D23,"yyyymm")=TEXT(AL$8,"yyyymm")) * ($I9:$I23 * $C9:$C23)))</f>
        <v>0</v>
      </c>
      <c r="AM11" s="185" cm="1">
        <f t="array" ref="AM11">(SUMPRODUCT((TEXT($O9:$O23,"yyyymm")=TEXT(AM$8,"yyyymm")) * ($T9:$T23 * $N9:$N23)))+(SUMPRODUCT((TEXT($D9:$D23,"yyyymm")=TEXT(AM$8,"yyyymm")) * ($I9:$I23 * $C9:$C23)))</f>
        <v>11301</v>
      </c>
      <c r="AN11" s="185" cm="1">
        <f t="array" ref="AN11">(SUMPRODUCT((TEXT($O9:$O23,"yyyymm")=TEXT(AN$8,"yyyymm")) * ($T9:$T23 * $N9:$N23)))+(SUMPRODUCT((TEXT($D9:$D23,"yyyymm")=TEXT(AN$8,"yyyymm")) * ($I9:$I23 * $C9:$C23)))</f>
        <v>0</v>
      </c>
      <c r="AO11" s="185" cm="1">
        <f t="array" ref="AO11">(SUMPRODUCT((TEXT($O9:$O23,"yyyymm")=TEXT(AO$8,"yyyymm")) * ($T9:$T23 * $N9:$N23)))+(SUMPRODUCT((TEXT($D9:$D23,"yyyymm")=TEXT(AO$8,"yyyymm")) * ($I9:$I23 * $C9:$C23)))</f>
        <v>0</v>
      </c>
      <c r="AP11" s="185" cm="1">
        <f t="array" ref="AP11">(SUMPRODUCT((TEXT($O9:$O23,"yyyymm")=TEXT(AP$8,"yyyymm")) * ($T9:$T23 * $N9:$N23)))+(SUMPRODUCT((TEXT($D9:$D23,"yyyymm")=TEXT(AP$8,"yyyymm")) * ($I9:$I23 * $C9:$C23)))</f>
        <v>0</v>
      </c>
      <c r="AQ11" s="185" cm="1">
        <f t="array" ref="AQ11">(SUMPRODUCT((TEXT($O9:$O23,"yyyymm")=TEXT(AQ$8,"yyyymm")) * ($T9:$T23 * $N9:$N23)))+(SUMPRODUCT((TEXT($D9:$D23,"yyyymm")=TEXT(AQ$8,"yyyymm")) * ($I9:$I23 * $C9:$C23)))</f>
        <v>0</v>
      </c>
      <c r="AR11" s="185" cm="1">
        <f t="array" ref="AR11">(SUMPRODUCT((TEXT($O9:$O23,"yyyymm")=TEXT(AR$8,"yyyymm")) * ($T9:$T23 * $N9:$N23)))+(SUMPRODUCT((TEXT($D9:$D23,"yyyymm")=TEXT(AR$8,"yyyymm")) * ($I9:$I23 * $C9:$C23)))</f>
        <v>0</v>
      </c>
      <c r="AS11" s="185" cm="1">
        <f t="array" ref="AS11">(SUMPRODUCT((TEXT($O9:$O23,"yyyymm")=TEXT(AS$8,"yyyymm")) * ($T9:$T23 * $N9:$N23)))+(SUMPRODUCT((TEXT($D9:$D23,"yyyymm")=TEXT(AS$8,"yyyymm")) * ($I9:$I23 * $C9:$C23)))</f>
        <v>11436</v>
      </c>
      <c r="AT11" s="185" cm="1">
        <f t="array" ref="AT11">(SUMPRODUCT((TEXT($O9:$O23,"yyyymm")=TEXT(AT$8,"yyyymm")) * ($T9:$T23 * $N9:$N23)))+(SUMPRODUCT((TEXT($D9:$D23,"yyyymm")=TEXT(AT$8,"yyyymm")) * ($I9:$I23 * $C9:$C23)))</f>
        <v>0</v>
      </c>
      <c r="AU11" s="185" cm="1">
        <f t="array" ref="AU11">(SUMPRODUCT((TEXT($O9:$O23,"yyyymm")=TEXT(AU$8,"yyyymm")) * ($T9:$T23 * $N9:$N23)))+(SUMPRODUCT((TEXT($D9:$D23,"yyyymm")=TEXT(AU$8,"yyyymm")) * ($I9:$I23 * $C9:$C23)))</f>
        <v>0</v>
      </c>
      <c r="AV11" s="274">
        <f t="shared" ref="AV11:AV12" si="8">SUM(AJ11:AU11)</f>
        <v>22737</v>
      </c>
      <c r="DB11" s="205">
        <f t="shared" si="6"/>
        <v>0</v>
      </c>
      <c r="DC11" s="204">
        <f t="shared" si="6"/>
        <v>0</v>
      </c>
      <c r="DD11" s="204">
        <f t="shared" si="6"/>
        <v>0</v>
      </c>
      <c r="DE11" s="204">
        <f t="shared" si="6"/>
        <v>0</v>
      </c>
      <c r="DF11" s="204">
        <f t="shared" si="6"/>
        <v>0</v>
      </c>
      <c r="DG11" s="204">
        <f t="shared" si="6"/>
        <v>0</v>
      </c>
      <c r="DH11" s="204">
        <f t="shared" si="6"/>
        <v>0</v>
      </c>
      <c r="DI11" s="204">
        <f t="shared" si="6"/>
        <v>0</v>
      </c>
      <c r="DJ11" s="204">
        <f t="shared" si="6"/>
        <v>0</v>
      </c>
      <c r="DK11" s="204">
        <f t="shared" si="6"/>
        <v>0</v>
      </c>
      <c r="DL11" s="204">
        <f t="shared" si="7"/>
        <v>2852.0833333333335</v>
      </c>
      <c r="DM11" s="206">
        <f t="shared" si="7"/>
        <v>2852.0833333333335</v>
      </c>
      <c r="DN11" s="185">
        <f t="shared" si="7"/>
        <v>2852.0833333333335</v>
      </c>
      <c r="DO11" s="185">
        <f t="shared" si="7"/>
        <v>2852.0833333333335</v>
      </c>
      <c r="DP11" s="185">
        <f t="shared" si="7"/>
        <v>2852.0833333333335</v>
      </c>
      <c r="DQ11" s="185">
        <f t="shared" si="7"/>
        <v>2852.0833333333335</v>
      </c>
      <c r="DR11" s="185">
        <f t="shared" si="7"/>
        <v>2852.0833333333335</v>
      </c>
      <c r="DS11" s="185">
        <f t="shared" si="7"/>
        <v>2852.0833333333335</v>
      </c>
      <c r="DT11" s="185">
        <f t="shared" si="7"/>
        <v>2852.0833333333335</v>
      </c>
      <c r="DU11" s="185">
        <f t="shared" si="7"/>
        <v>2852.0833333333335</v>
      </c>
      <c r="DV11" s="185">
        <f t="shared" si="7"/>
        <v>2852.0833333333335</v>
      </c>
      <c r="DW11" s="185">
        <f t="shared" si="7"/>
        <v>2852.0833333333335</v>
      </c>
      <c r="DX11" s="185">
        <f t="shared" si="7"/>
        <v>2852.0833333333335</v>
      </c>
      <c r="DY11" s="185">
        <f t="shared" si="7"/>
        <v>2852.0833333333335</v>
      </c>
    </row>
    <row r="12" spans="1:129" x14ac:dyDescent="0.35">
      <c r="A12" s="188" t="s">
        <v>242</v>
      </c>
      <c r="B12" s="34" t="str">
        <f t="shared" si="1"/>
        <v>VACANT</v>
      </c>
      <c r="C12" s="209">
        <v>1707</v>
      </c>
      <c r="D12" s="229">
        <v>45931</v>
      </c>
      <c r="E12" s="220">
        <v>46660</v>
      </c>
      <c r="F12" s="188">
        <f t="shared" si="2"/>
        <v>2</v>
      </c>
      <c r="G12" s="221">
        <v>18.5</v>
      </c>
      <c r="H12" s="527">
        <f t="shared" si="3"/>
        <v>2631.625</v>
      </c>
      <c r="I12" s="219">
        <v>0</v>
      </c>
      <c r="J12" s="248">
        <v>5.5E-2</v>
      </c>
      <c r="K12" s="186"/>
      <c r="L12" s="188" t="s">
        <v>331</v>
      </c>
      <c r="M12" s="34" t="s">
        <v>404</v>
      </c>
      <c r="N12" s="209">
        <v>1934</v>
      </c>
      <c r="O12" s="229">
        <v>46204</v>
      </c>
      <c r="P12" s="220">
        <v>46568</v>
      </c>
      <c r="Q12" s="188">
        <f t="shared" si="4"/>
        <v>1</v>
      </c>
      <c r="R12" s="221">
        <v>17</v>
      </c>
      <c r="S12" s="527">
        <f t="shared" si="5"/>
        <v>2739.8333333333335</v>
      </c>
      <c r="T12" s="219">
        <v>0</v>
      </c>
      <c r="U12" s="230">
        <v>0</v>
      </c>
      <c r="W12" s="184" t="s">
        <v>435</v>
      </c>
      <c r="X12" s="205" cm="1">
        <f t="array" ref="X12">IFERROR((SUMPRODUCT((TEXT($O9:$O23,"yyyymm")=TEXT(X$8,"yyyymm")) * ($U9:$U23 * $N9:$N23*$R9:$R23*$Q9:$Q23)))+(SUMPRODUCT((TEXT($D9:$D23,"yyyymm")=TEXT(X$8,"yyyymm")) * ($J9:$J23 * $C9:$C23*$G9:$G23*$F9:$F23))),0)</f>
        <v>0</v>
      </c>
      <c r="Y12" s="185" cm="1">
        <f t="array" ref="Y12">IFERROR((SUMPRODUCT((TEXT($O9:$O23,"yyyymm")=TEXT(Y$8,"yyyymm")) * ($U9:$U23 * $N9:$N23*$R9:$R23*$Q9:$Q23)))+(SUMPRODUCT((TEXT($D9:$D23,"yyyymm")=TEXT(Y$8,"yyyymm")) * ($J9:$J23 * $C9:$C23*$G9:$G23*$F9:$F23))),0)</f>
        <v>0</v>
      </c>
      <c r="Z12" s="185" cm="1">
        <f t="array" ref="Z12">IFERROR((SUMPRODUCT((TEXT($O9:$O23,"yyyymm")=TEXT(Z$8,"yyyymm")) * ($U9:$U23 * $N9:$N23*$R9:$R23*$Q9:$Q23)))+(SUMPRODUCT((TEXT($D9:$D23,"yyyymm")=TEXT(Z$8,"yyyymm")) * ($J9:$J23 * $C9:$C23*$G9:$G23*$F9:$F23))),0)</f>
        <v>0</v>
      </c>
      <c r="AA12" s="185" cm="1">
        <f t="array" ref="AA12">IFERROR((SUMPRODUCT((TEXT($O9:$O23,"yyyymm")=TEXT(AA$8,"yyyymm")) * ($U9:$U23 * $N9:$N23*$R9:$R23*$Q9:$Q23)))+(SUMPRODUCT((TEXT($D9:$D23,"yyyymm")=TEXT(AA$8,"yyyymm")) * ($J9:$J23 * $C9:$C23*$G9:$G23*$F9:$F23))),0)</f>
        <v>0</v>
      </c>
      <c r="AB12" s="185" cm="1">
        <f t="array" ref="AB12">IFERROR((SUMPRODUCT((TEXT($O9:$O23,"yyyymm")=TEXT(AB$8,"yyyymm")) * ($U9:$U23 * $N9:$N23*$R9:$R23*$Q9:$Q23)))+(SUMPRODUCT((TEXT($D9:$D23,"yyyymm")=TEXT(AB$8,"yyyymm")) * ($J9:$J23 * $C9:$C23*$G9:$G23*$F9:$F23))),0)</f>
        <v>0</v>
      </c>
      <c r="AC12" s="185" cm="1">
        <f t="array" ref="AC12">IFERROR((SUMPRODUCT((TEXT($O9:$O23,"yyyymm")=TEXT(AC$8,"yyyymm")) * ($U9:$U23 * $N9:$N23*$R9:$R23*$Q9:$Q23)))+(SUMPRODUCT((TEXT($D9:$D23,"yyyymm")=TEXT(AC$8,"yyyymm")) * ($J9:$J23 * $C9:$C23*$G9:$G23*$F9:$F23))),0)</f>
        <v>0</v>
      </c>
      <c r="AD12" s="185" cm="1">
        <f t="array" ref="AD12">IFERROR((SUMPRODUCT((TEXT($O9:$O23,"yyyymm")=TEXT(AD$8,"yyyymm")) * ($U9:$U23 * $N9:$N23*$R9:$R23*$Q9:$Q23)))+(SUMPRODUCT((TEXT($D9:$D23,"yyyymm")=TEXT(AD$8,"yyyymm")) * ($J9:$J23 * $C9:$C23*$G9:$G23*$F9:$F23))),0)</f>
        <v>0</v>
      </c>
      <c r="AE12" s="185" cm="1">
        <f t="array" ref="AE12">IFERROR((SUMPRODUCT((TEXT($O9:$O23,"yyyymm")=TEXT(AE$8,"yyyymm")) * ($U9:$U23 * $N9:$N23*$R9:$R23*$Q9:$Q23)))+(SUMPRODUCT((TEXT($D9:$D23,"yyyymm")=TEXT(AE$8,"yyyymm")) * ($J9:$J23 * $C9:$C23*$G9:$G23*$F9:$F23))),0)</f>
        <v>0</v>
      </c>
      <c r="AF12" s="185" cm="1">
        <f t="array" ref="AF12">IFERROR((SUMPRODUCT((TEXT($O9:$O23,"yyyymm")=TEXT(AF$8,"yyyymm")) * ($U9:$U23 * $N9:$N23*$R9:$R23*$Q9:$Q23)))+(SUMPRODUCT((TEXT($D9:$D23,"yyyymm")=TEXT(AF$8,"yyyymm")) * ($J9:$J23 * $C9:$C23*$G9:$G23*$F9:$F23))),0)</f>
        <v>0</v>
      </c>
      <c r="AG12" s="185" cm="1">
        <f t="array" ref="AG12">IFERROR((SUMPRODUCT((TEXT($O9:$O23,"yyyymm")=TEXT(AG$8,"yyyymm")) * ($U9:$U23 * $N9:$N23*$R9:$R23*$Q9:$Q23)))+(SUMPRODUCT((TEXT($D9:$D23,"yyyymm")=TEXT(AG$8,"yyyymm")) * ($J9:$J23 * $C9:$C23*$G9:$G23*$F9:$F23))),0)</f>
        <v>3473.7450000000003</v>
      </c>
      <c r="AH12" s="185" cm="1">
        <f t="array" ref="AH12">IFERROR((SUMPRODUCT((TEXT($O9:$O23,"yyyymm")=TEXT(AH$8,"yyyymm")) * ($U9:$U23 * $N9:$N23*$R9:$R23*$Q9:$Q23)))+(SUMPRODUCT((TEXT($D9:$D23,"yyyymm")=TEXT(AH$8,"yyyymm")) * ($J9:$J23 * $C9:$C23*$G9:$G23*$F9:$F23))),0)</f>
        <v>3764.75</v>
      </c>
      <c r="AI12" s="185" cm="1">
        <f t="array" ref="AI12">IFERROR((SUMPRODUCT((TEXT($O9:$O23,"yyyymm")=TEXT(AI$8,"yyyymm")) * ($U9:$U23 * $N9:$N23*$R9:$R23*$Q9:$Q23)))+(SUMPRODUCT((TEXT($D9:$D23,"yyyymm")=TEXT(AI$8,"yyyymm")) * ($J9:$J23 * $C9:$C23*$G9:$G23*$F9:$F23))),0)</f>
        <v>0</v>
      </c>
      <c r="AJ12" s="205" cm="1">
        <f t="array" ref="AJ12">IFERROR((SUMPRODUCT((TEXT($O9:$O23,"yyyymm")=TEXT(AJ$8,"yyyymm")) * ($U9:$U23 * $N9:$N23*$R9:$R23*$Q9:$Q23)))+(SUMPRODUCT((TEXT($D9:$D23,"yyyymm")=TEXT(AJ$8,"yyyymm")) * ($J9:$J23 * $C9:$C23*$G9:$G23*$F9:$F23))),0)</f>
        <v>0</v>
      </c>
      <c r="AK12" s="185" cm="1">
        <f t="array" ref="AK12">IFERROR((SUMPRODUCT((TEXT($O9:$O23,"yyyymm")=TEXT(AK$8,"yyyymm")) * ($U9:$U23 * $N9:$N23*$R9:$R23*$Q9:$Q23)))+(SUMPRODUCT((TEXT($D9:$D23,"yyyymm")=TEXT(AK$8,"yyyymm")) * ($J9:$J23 * $C9:$C23*$G9:$G23*$F9:$F23))),0)</f>
        <v>0</v>
      </c>
      <c r="AL12" s="185" cm="1">
        <f t="array" ref="AL12">IFERROR((SUMPRODUCT((TEXT($O9:$O23,"yyyymm")=TEXT(AL$8,"yyyymm")) * ($U9:$U23 * $N9:$N23*$R9:$R23*$Q9:$Q23)))+(SUMPRODUCT((TEXT($D9:$D23,"yyyymm")=TEXT(AL$8,"yyyymm")) * ($J9:$J23 * $C9:$C23*$G9:$G23*$F9:$F23))),0)</f>
        <v>0</v>
      </c>
      <c r="AM12" s="185" cm="1">
        <f t="array" ref="AM12">IFERROR((SUMPRODUCT((TEXT($O9:$O23,"yyyymm")=TEXT(AM$8,"yyyymm")) * ($U9:$U23 * $N9:$N23*$R9:$R23*$Q9:$Q23)))+(SUMPRODUCT((TEXT($D9:$D23,"yyyymm")=TEXT(AM$8,"yyyymm")) * ($J9:$J23 * $C9:$C23*$G9:$G23*$F9:$F23))),0)</f>
        <v>0</v>
      </c>
      <c r="AN12" s="185" cm="1">
        <f t="array" ref="AN12">IFERROR((SUMPRODUCT((TEXT($O9:$O23,"yyyymm")=TEXT(AN$8,"yyyymm")) * ($U9:$U23 * $N9:$N23*$R9:$R23*$Q9:$Q23)))+(SUMPRODUCT((TEXT($D9:$D23,"yyyymm")=TEXT(AN$8,"yyyymm")) * ($J9:$J23 * $C9:$C23*$G9:$G23*$F9:$F23))),0)</f>
        <v>0</v>
      </c>
      <c r="AO12" s="185" cm="1">
        <f t="array" ref="AO12">IFERROR((SUMPRODUCT((TEXT($O9:$O23,"yyyymm")=TEXT(AO$8,"yyyymm")) * ($U9:$U23 * $N9:$N23*$R9:$R23*$Q9:$Q23)))+(SUMPRODUCT((TEXT($D9:$D23,"yyyymm")=TEXT(AO$8,"yyyymm")) * ($J9:$J23 * $C9:$C23*$G9:$G23*$F9:$F23))),0)</f>
        <v>0</v>
      </c>
      <c r="AP12" s="185" cm="1">
        <f t="array" ref="AP12">IFERROR((SUMPRODUCT((TEXT($O9:$O23,"yyyymm")=TEXT(AP$8,"yyyymm")) * ($U9:$U23 * $N9:$N23*$R9:$R23*$Q9:$Q23)))+(SUMPRODUCT((TEXT($D9:$D23,"yyyymm")=TEXT(AP$8,"yyyymm")) * ($J9:$J23 * $C9:$C23*$G9:$G23*$F9:$F23))),0)</f>
        <v>0</v>
      </c>
      <c r="AQ12" s="185" cm="1">
        <f t="array" ref="AQ12">IFERROR((SUMPRODUCT((TEXT($O9:$O23,"yyyymm")=TEXT(AQ$8,"yyyymm")) * ($U9:$U23 * $N9:$N23*$R9:$R23*$Q9:$Q23)))+(SUMPRODUCT((TEXT($D9:$D23,"yyyymm")=TEXT(AQ$8,"yyyymm")) * ($J9:$J23 * $C9:$C23*$G9:$G23*$F9:$F23))),0)</f>
        <v>0</v>
      </c>
      <c r="AR12" s="185" cm="1">
        <f t="array" ref="AR12">IFERROR((SUMPRODUCT((TEXT($O9:$O23,"yyyymm")=TEXT(AR$8,"yyyymm")) * ($U9:$U23 * $N9:$N23*$R9:$R23*$Q9:$Q23)))+(SUMPRODUCT((TEXT($D9:$D23,"yyyymm")=TEXT(AR$8,"yyyymm")) * ($J9:$J23 * $C9:$C23*$G9:$G23*$F9:$F23))),0)</f>
        <v>0</v>
      </c>
      <c r="AS12" s="185" cm="1">
        <f t="array" ref="AS12">IFERROR((SUMPRODUCT((TEXT($O9:$O23,"yyyymm")=TEXT(AS$8,"yyyymm")) * ($U9:$U23 * $N9:$N23*$R9:$R23*$Q9:$Q23)))+(SUMPRODUCT((TEXT($D9:$D23,"yyyymm")=TEXT(AS$8,"yyyymm")) * ($J9:$J23 * $C9:$C23*$G9:$G23*$F9:$F23))),0)</f>
        <v>0</v>
      </c>
      <c r="AT12" s="185" cm="1">
        <f t="array" ref="AT12">IFERROR((SUMPRODUCT((TEXT($O9:$O23,"yyyymm")=TEXT(AT$8,"yyyymm")) * ($U9:$U23 * $N9:$N23*$R9:$R23*$Q9:$Q23)))+(SUMPRODUCT((TEXT($D9:$D23,"yyyymm")=TEXT(AT$8,"yyyymm")) * ($J9:$J23 * $C9:$C23*$G9:$G23*$F9:$F23))),0)</f>
        <v>0</v>
      </c>
      <c r="AU12" s="185" cm="1">
        <f t="array" ref="AU12">IFERROR((SUMPRODUCT((TEXT($O9:$O23,"yyyymm")=TEXT(AU$8,"yyyymm")) * ($U9:$U23 * $N9:$N23*$R9:$R23*$Q9:$Q23)))+(SUMPRODUCT((TEXT($D9:$D23,"yyyymm")=TEXT(AU$8,"yyyymm")) * ($J9:$J23 * $C9:$C23*$G9:$G23*$F9:$F23))),0)</f>
        <v>0</v>
      </c>
      <c r="AV12" s="274">
        <f t="shared" si="8"/>
        <v>0</v>
      </c>
      <c r="DB12" s="205">
        <f t="shared" si="6"/>
        <v>0</v>
      </c>
      <c r="DC12" s="204">
        <f t="shared" si="6"/>
        <v>0</v>
      </c>
      <c r="DD12" s="204">
        <f t="shared" si="6"/>
        <v>0</v>
      </c>
      <c r="DE12" s="204">
        <f t="shared" si="6"/>
        <v>0</v>
      </c>
      <c r="DF12" s="204">
        <f t="shared" si="6"/>
        <v>0</v>
      </c>
      <c r="DG12" s="204">
        <f t="shared" si="6"/>
        <v>0</v>
      </c>
      <c r="DH12" s="204">
        <f t="shared" si="6"/>
        <v>0</v>
      </c>
      <c r="DI12" s="204">
        <f t="shared" si="6"/>
        <v>0</v>
      </c>
      <c r="DJ12" s="204">
        <f t="shared" si="6"/>
        <v>0</v>
      </c>
      <c r="DK12" s="204">
        <f t="shared" si="6"/>
        <v>2631.625</v>
      </c>
      <c r="DL12" s="204">
        <f t="shared" si="7"/>
        <v>2631.625</v>
      </c>
      <c r="DM12" s="206">
        <f t="shared" si="7"/>
        <v>2631.625</v>
      </c>
      <c r="DN12" s="185">
        <f t="shared" si="7"/>
        <v>2631.625</v>
      </c>
      <c r="DO12" s="185">
        <f t="shared" si="7"/>
        <v>2631.625</v>
      </c>
      <c r="DP12" s="185">
        <f t="shared" si="7"/>
        <v>2631.625</v>
      </c>
      <c r="DQ12" s="185">
        <f t="shared" si="7"/>
        <v>2631.625</v>
      </c>
      <c r="DR12" s="185">
        <f t="shared" si="7"/>
        <v>2631.625</v>
      </c>
      <c r="DS12" s="185">
        <f t="shared" si="7"/>
        <v>2631.625</v>
      </c>
      <c r="DT12" s="185">
        <f t="shared" si="7"/>
        <v>2631.625</v>
      </c>
      <c r="DU12" s="185">
        <f t="shared" si="7"/>
        <v>2631.625</v>
      </c>
      <c r="DV12" s="185">
        <f t="shared" si="7"/>
        <v>2631.625</v>
      </c>
      <c r="DW12" s="185">
        <f t="shared" si="7"/>
        <v>2631.625</v>
      </c>
      <c r="DX12" s="185">
        <f t="shared" si="7"/>
        <v>2631.625</v>
      </c>
      <c r="DY12" s="185">
        <f t="shared" si="7"/>
        <v>2631.625</v>
      </c>
    </row>
    <row r="13" spans="1:129" ht="17.5" x14ac:dyDescent="0.35">
      <c r="A13" s="188" t="s">
        <v>622</v>
      </c>
      <c r="B13" s="34" t="str">
        <f t="shared" si="1"/>
        <v>VACANT</v>
      </c>
      <c r="C13" s="209">
        <v>2877</v>
      </c>
      <c r="D13" s="229"/>
      <c r="E13" s="218"/>
      <c r="F13" s="188">
        <f t="shared" si="2"/>
        <v>0</v>
      </c>
      <c r="G13" s="219"/>
      <c r="H13" s="527">
        <f t="shared" si="3"/>
        <v>0</v>
      </c>
      <c r="I13" s="219"/>
      <c r="J13" s="230"/>
      <c r="K13" s="186"/>
      <c r="L13" s="188" t="s">
        <v>243</v>
      </c>
      <c r="M13" s="34" t="s">
        <v>405</v>
      </c>
      <c r="N13" s="209">
        <v>5718</v>
      </c>
      <c r="O13" s="229">
        <v>46296</v>
      </c>
      <c r="P13" s="218">
        <v>47026</v>
      </c>
      <c r="Q13" s="188">
        <f t="shared" si="4"/>
        <v>2</v>
      </c>
      <c r="R13" s="219">
        <v>18.5</v>
      </c>
      <c r="S13" s="527">
        <f t="shared" si="5"/>
        <v>8815.25</v>
      </c>
      <c r="T13" s="219">
        <v>2</v>
      </c>
      <c r="U13" s="230">
        <v>0</v>
      </c>
      <c r="W13" s="250" t="s">
        <v>368</v>
      </c>
      <c r="X13" s="145">
        <f>SUM(X10:X12)</f>
        <v>0</v>
      </c>
      <c r="Y13" s="145">
        <f t="shared" ref="Y13:AV13" si="9">SUM(Y10:Y12)</f>
        <v>0</v>
      </c>
      <c r="Z13" s="145">
        <f t="shared" si="9"/>
        <v>0</v>
      </c>
      <c r="AA13" s="145">
        <f t="shared" si="9"/>
        <v>0</v>
      </c>
      <c r="AB13" s="145">
        <f t="shared" si="9"/>
        <v>0</v>
      </c>
      <c r="AC13" s="145">
        <f t="shared" si="9"/>
        <v>0</v>
      </c>
      <c r="AD13" s="145">
        <f t="shared" si="9"/>
        <v>0</v>
      </c>
      <c r="AE13" s="145">
        <f t="shared" si="9"/>
        <v>0</v>
      </c>
      <c r="AF13" s="145">
        <f t="shared" si="9"/>
        <v>0</v>
      </c>
      <c r="AG13" s="145">
        <f t="shared" si="9"/>
        <v>6105.3700000000008</v>
      </c>
      <c r="AH13" s="145">
        <f t="shared" si="9"/>
        <v>14798.458333333332</v>
      </c>
      <c r="AI13" s="145">
        <f t="shared" si="9"/>
        <v>5483.708333333333</v>
      </c>
      <c r="AJ13" s="145">
        <f t="shared" si="9"/>
        <v>5483.708333333333</v>
      </c>
      <c r="AK13" s="145">
        <f t="shared" si="9"/>
        <v>5483.708333333333</v>
      </c>
      <c r="AL13" s="145">
        <f t="shared" si="9"/>
        <v>5483.708333333333</v>
      </c>
      <c r="AM13" s="145">
        <f t="shared" si="9"/>
        <v>22749.125</v>
      </c>
      <c r="AN13" s="145">
        <f t="shared" si="9"/>
        <v>11448.125</v>
      </c>
      <c r="AO13" s="145">
        <f t="shared" si="9"/>
        <v>11448.125</v>
      </c>
      <c r="AP13" s="145">
        <f t="shared" si="9"/>
        <v>28841.291666666668</v>
      </c>
      <c r="AQ13" s="145">
        <f t="shared" si="9"/>
        <v>28841.291666666668</v>
      </c>
      <c r="AR13" s="145">
        <f t="shared" si="9"/>
        <v>28841.291666666668</v>
      </c>
      <c r="AS13" s="145">
        <f t="shared" si="9"/>
        <v>49092.541666666664</v>
      </c>
      <c r="AT13" s="145">
        <f t="shared" si="9"/>
        <v>41119.833333333336</v>
      </c>
      <c r="AU13" s="145">
        <f t="shared" si="9"/>
        <v>41119.833333333336</v>
      </c>
      <c r="AV13" s="145">
        <f t="shared" si="9"/>
        <v>279952.58333333337</v>
      </c>
      <c r="DB13" s="205">
        <f t="shared" si="6"/>
        <v>0</v>
      </c>
      <c r="DC13" s="204">
        <f t="shared" si="6"/>
        <v>0</v>
      </c>
      <c r="DD13" s="204">
        <f t="shared" si="6"/>
        <v>0</v>
      </c>
      <c r="DE13" s="204">
        <f t="shared" si="6"/>
        <v>0</v>
      </c>
      <c r="DF13" s="204">
        <f t="shared" si="6"/>
        <v>0</v>
      </c>
      <c r="DG13" s="204">
        <f t="shared" si="6"/>
        <v>0</v>
      </c>
      <c r="DH13" s="204">
        <f t="shared" si="6"/>
        <v>0</v>
      </c>
      <c r="DI13" s="204">
        <f t="shared" si="6"/>
        <v>0</v>
      </c>
      <c r="DJ13" s="204">
        <f t="shared" si="6"/>
        <v>0</v>
      </c>
      <c r="DK13" s="204">
        <f t="shared" si="6"/>
        <v>0</v>
      </c>
      <c r="DL13" s="204">
        <f t="shared" si="7"/>
        <v>0</v>
      </c>
      <c r="DM13" s="206">
        <f t="shared" si="7"/>
        <v>0</v>
      </c>
      <c r="DN13" s="185">
        <f t="shared" si="7"/>
        <v>0</v>
      </c>
      <c r="DO13" s="185">
        <f t="shared" si="7"/>
        <v>0</v>
      </c>
      <c r="DP13" s="185">
        <f t="shared" si="7"/>
        <v>0</v>
      </c>
      <c r="DQ13" s="185">
        <f t="shared" si="7"/>
        <v>0</v>
      </c>
      <c r="DR13" s="185">
        <f t="shared" si="7"/>
        <v>0</v>
      </c>
      <c r="DS13" s="185">
        <f t="shared" si="7"/>
        <v>0</v>
      </c>
      <c r="DT13" s="185">
        <f t="shared" si="7"/>
        <v>0</v>
      </c>
      <c r="DU13" s="185">
        <f t="shared" si="7"/>
        <v>0</v>
      </c>
      <c r="DV13" s="185">
        <f t="shared" si="7"/>
        <v>0</v>
      </c>
      <c r="DW13" s="185">
        <f t="shared" si="7"/>
        <v>0</v>
      </c>
      <c r="DX13" s="185">
        <f t="shared" si="7"/>
        <v>0</v>
      </c>
      <c r="DY13" s="185">
        <f t="shared" si="7"/>
        <v>0</v>
      </c>
    </row>
    <row r="14" spans="1:129" x14ac:dyDescent="0.35">
      <c r="A14" s="188" t="s">
        <v>623</v>
      </c>
      <c r="B14" s="34" t="str">
        <f t="shared" si="1"/>
        <v>VACANT</v>
      </c>
      <c r="C14" s="209">
        <v>6422</v>
      </c>
      <c r="D14" s="229"/>
      <c r="E14" s="218"/>
      <c r="F14" s="188">
        <f t="shared" si="2"/>
        <v>0</v>
      </c>
      <c r="G14" s="219"/>
      <c r="H14" s="527">
        <f t="shared" si="3"/>
        <v>0</v>
      </c>
      <c r="I14" s="219"/>
      <c r="J14" s="230"/>
      <c r="K14" s="186"/>
      <c r="L14" s="188"/>
      <c r="O14" s="229"/>
      <c r="P14" s="218"/>
      <c r="Q14" s="188">
        <f t="shared" si="4"/>
        <v>0</v>
      </c>
      <c r="R14" s="219"/>
      <c r="S14" s="527">
        <f t="shared" si="5"/>
        <v>0</v>
      </c>
      <c r="T14" s="219"/>
      <c r="U14" s="230"/>
      <c r="AK14" s="185"/>
      <c r="DB14" s="205">
        <f t="shared" si="6"/>
        <v>0</v>
      </c>
      <c r="DC14" s="204">
        <f t="shared" si="6"/>
        <v>0</v>
      </c>
      <c r="DD14" s="204">
        <f t="shared" si="6"/>
        <v>0</v>
      </c>
      <c r="DE14" s="204">
        <f t="shared" si="6"/>
        <v>0</v>
      </c>
      <c r="DF14" s="204">
        <f t="shared" si="6"/>
        <v>0</v>
      </c>
      <c r="DG14" s="204">
        <f t="shared" si="6"/>
        <v>0</v>
      </c>
      <c r="DH14" s="204">
        <f t="shared" si="6"/>
        <v>0</v>
      </c>
      <c r="DI14" s="204">
        <f t="shared" si="6"/>
        <v>0</v>
      </c>
      <c r="DJ14" s="204">
        <f t="shared" si="6"/>
        <v>0</v>
      </c>
      <c r="DK14" s="204">
        <f t="shared" si="6"/>
        <v>0</v>
      </c>
      <c r="DL14" s="204">
        <f t="shared" si="7"/>
        <v>0</v>
      </c>
      <c r="DM14" s="206">
        <f t="shared" si="7"/>
        <v>0</v>
      </c>
      <c r="DN14" s="185">
        <f t="shared" si="7"/>
        <v>0</v>
      </c>
      <c r="DO14" s="185">
        <f t="shared" si="7"/>
        <v>0</v>
      </c>
      <c r="DP14" s="185">
        <f t="shared" si="7"/>
        <v>0</v>
      </c>
      <c r="DQ14" s="185">
        <f t="shared" si="7"/>
        <v>0</v>
      </c>
      <c r="DR14" s="185">
        <f t="shared" si="7"/>
        <v>0</v>
      </c>
      <c r="DS14" s="185">
        <f t="shared" si="7"/>
        <v>0</v>
      </c>
      <c r="DT14" s="185">
        <f t="shared" si="7"/>
        <v>0</v>
      </c>
      <c r="DU14" s="185">
        <f t="shared" si="7"/>
        <v>0</v>
      </c>
      <c r="DV14" s="185">
        <f t="shared" si="7"/>
        <v>0</v>
      </c>
      <c r="DW14" s="185">
        <f t="shared" si="7"/>
        <v>0</v>
      </c>
      <c r="DX14" s="185">
        <f t="shared" si="7"/>
        <v>0</v>
      </c>
      <c r="DY14" s="185">
        <f t="shared" si="7"/>
        <v>0</v>
      </c>
    </row>
    <row r="15" spans="1:129" x14ac:dyDescent="0.35">
      <c r="B15" s="34" t="str">
        <f t="shared" si="1"/>
        <v/>
      </c>
      <c r="C15" s="209"/>
      <c r="D15" s="229"/>
      <c r="E15" s="218"/>
      <c r="F15" s="188">
        <f t="shared" si="2"/>
        <v>0</v>
      </c>
      <c r="G15" s="219"/>
      <c r="H15" s="527">
        <f t="shared" si="3"/>
        <v>0</v>
      </c>
      <c r="I15" s="221"/>
      <c r="J15" s="230"/>
      <c r="K15" s="186"/>
      <c r="L15" s="188"/>
      <c r="M15" s="34"/>
      <c r="N15" s="209"/>
      <c r="O15" s="229"/>
      <c r="P15" s="218"/>
      <c r="Q15" s="188">
        <f t="shared" si="4"/>
        <v>0</v>
      </c>
      <c r="R15" s="219"/>
      <c r="S15" s="527">
        <f t="shared" si="5"/>
        <v>0</v>
      </c>
      <c r="T15" s="221"/>
      <c r="U15" s="230"/>
      <c r="W15" s="245" t="s">
        <v>440</v>
      </c>
      <c r="AK15" s="185"/>
      <c r="DB15" s="205">
        <f t="shared" si="6"/>
        <v>0</v>
      </c>
      <c r="DC15" s="204">
        <f t="shared" si="6"/>
        <v>0</v>
      </c>
      <c r="DD15" s="204">
        <f t="shared" si="6"/>
        <v>0</v>
      </c>
      <c r="DE15" s="204">
        <f t="shared" si="6"/>
        <v>0</v>
      </c>
      <c r="DF15" s="204">
        <f t="shared" si="6"/>
        <v>0</v>
      </c>
      <c r="DG15" s="204">
        <f t="shared" si="6"/>
        <v>0</v>
      </c>
      <c r="DH15" s="204">
        <f t="shared" si="6"/>
        <v>0</v>
      </c>
      <c r="DI15" s="204">
        <f t="shared" si="6"/>
        <v>0</v>
      </c>
      <c r="DJ15" s="204">
        <f t="shared" si="6"/>
        <v>0</v>
      </c>
      <c r="DK15" s="204">
        <f t="shared" si="6"/>
        <v>0</v>
      </c>
      <c r="DL15" s="204">
        <f t="shared" si="7"/>
        <v>0</v>
      </c>
      <c r="DM15" s="206">
        <f t="shared" si="7"/>
        <v>0</v>
      </c>
      <c r="DN15" s="185">
        <f t="shared" si="7"/>
        <v>0</v>
      </c>
      <c r="DO15" s="185">
        <f t="shared" si="7"/>
        <v>0</v>
      </c>
      <c r="DP15" s="185">
        <f t="shared" si="7"/>
        <v>0</v>
      </c>
      <c r="DQ15" s="185">
        <f t="shared" si="7"/>
        <v>0</v>
      </c>
      <c r="DR15" s="185">
        <f t="shared" si="7"/>
        <v>0</v>
      </c>
      <c r="DS15" s="185">
        <f t="shared" si="7"/>
        <v>0</v>
      </c>
      <c r="DT15" s="185">
        <f t="shared" si="7"/>
        <v>0</v>
      </c>
      <c r="DU15" s="185">
        <f t="shared" si="7"/>
        <v>0</v>
      </c>
      <c r="DV15" s="185">
        <f t="shared" si="7"/>
        <v>0</v>
      </c>
      <c r="DW15" s="185">
        <f t="shared" si="7"/>
        <v>0</v>
      </c>
      <c r="DX15" s="185">
        <f t="shared" si="7"/>
        <v>0</v>
      </c>
      <c r="DY15" s="185">
        <f t="shared" si="7"/>
        <v>0</v>
      </c>
    </row>
    <row r="16" spans="1:129" x14ac:dyDescent="0.35">
      <c r="B16" s="34" t="str">
        <f>IF(A16&lt;&gt;"","VACANT","")</f>
        <v/>
      </c>
      <c r="C16" s="209"/>
      <c r="D16" s="229"/>
      <c r="E16" s="218"/>
      <c r="F16" s="188">
        <f t="shared" si="2"/>
        <v>0</v>
      </c>
      <c r="G16" s="219"/>
      <c r="H16" s="527">
        <f t="shared" si="3"/>
        <v>0</v>
      </c>
      <c r="I16" s="221"/>
      <c r="J16" s="230"/>
      <c r="K16" s="186"/>
      <c r="L16" s="188"/>
      <c r="M16" s="34"/>
      <c r="N16" s="195"/>
      <c r="O16" s="229"/>
      <c r="P16" s="218"/>
      <c r="Q16" s="188">
        <f t="shared" si="4"/>
        <v>0</v>
      </c>
      <c r="R16" s="219"/>
      <c r="S16" s="527">
        <f t="shared" si="5"/>
        <v>0</v>
      </c>
      <c r="T16" s="221"/>
      <c r="U16" s="230"/>
      <c r="W16" s="245" t="s">
        <v>441</v>
      </c>
      <c r="AK16" s="185"/>
      <c r="DB16" s="205">
        <f t="shared" si="6"/>
        <v>0</v>
      </c>
      <c r="DC16" s="204">
        <f t="shared" si="6"/>
        <v>0</v>
      </c>
      <c r="DD16" s="204">
        <f t="shared" si="6"/>
        <v>0</v>
      </c>
      <c r="DE16" s="204">
        <f t="shared" si="6"/>
        <v>0</v>
      </c>
      <c r="DF16" s="204">
        <f t="shared" si="6"/>
        <v>0</v>
      </c>
      <c r="DG16" s="204">
        <f t="shared" si="6"/>
        <v>0</v>
      </c>
      <c r="DH16" s="204">
        <f t="shared" si="6"/>
        <v>0</v>
      </c>
      <c r="DI16" s="204">
        <f t="shared" si="6"/>
        <v>0</v>
      </c>
      <c r="DJ16" s="204">
        <f t="shared" si="6"/>
        <v>0</v>
      </c>
      <c r="DK16" s="204">
        <f t="shared" si="6"/>
        <v>0</v>
      </c>
      <c r="DL16" s="204">
        <f t="shared" si="7"/>
        <v>0</v>
      </c>
      <c r="DM16" s="206">
        <f t="shared" si="7"/>
        <v>0</v>
      </c>
      <c r="DN16" s="185">
        <f t="shared" si="7"/>
        <v>0</v>
      </c>
      <c r="DO16" s="185">
        <f t="shared" si="7"/>
        <v>0</v>
      </c>
      <c r="DP16" s="185">
        <f t="shared" si="7"/>
        <v>0</v>
      </c>
      <c r="DQ16" s="185">
        <f t="shared" si="7"/>
        <v>0</v>
      </c>
      <c r="DR16" s="185">
        <f t="shared" si="7"/>
        <v>0</v>
      </c>
      <c r="DS16" s="185">
        <f t="shared" si="7"/>
        <v>0</v>
      </c>
      <c r="DT16" s="185">
        <f t="shared" si="7"/>
        <v>0</v>
      </c>
      <c r="DU16" s="185">
        <f t="shared" si="7"/>
        <v>0</v>
      </c>
      <c r="DV16" s="185">
        <f t="shared" si="7"/>
        <v>0</v>
      </c>
      <c r="DW16" s="185">
        <f t="shared" si="7"/>
        <v>0</v>
      </c>
      <c r="DX16" s="185">
        <f t="shared" si="7"/>
        <v>0</v>
      </c>
      <c r="DY16" s="185">
        <f t="shared" si="7"/>
        <v>0</v>
      </c>
    </row>
    <row r="17" spans="1:129" x14ac:dyDescent="0.35">
      <c r="B17" s="34" t="str">
        <f t="shared" si="1"/>
        <v/>
      </c>
      <c r="C17" s="209"/>
      <c r="D17" s="229"/>
      <c r="E17" s="218"/>
      <c r="F17" s="188">
        <f t="shared" si="2"/>
        <v>0</v>
      </c>
      <c r="G17" s="219"/>
      <c r="H17" s="527">
        <f t="shared" si="3"/>
        <v>0</v>
      </c>
      <c r="I17" s="221"/>
      <c r="J17" s="230"/>
      <c r="K17" s="186"/>
      <c r="L17" s="188"/>
      <c r="M17" s="34"/>
      <c r="N17" s="195"/>
      <c r="O17" s="229"/>
      <c r="P17" s="218"/>
      <c r="Q17" s="188">
        <f t="shared" si="4"/>
        <v>0</v>
      </c>
      <c r="R17" s="219"/>
      <c r="S17" s="527">
        <f t="shared" si="5"/>
        <v>0</v>
      </c>
      <c r="T17" s="221"/>
      <c r="U17" s="230"/>
      <c r="AK17" s="185"/>
      <c r="DB17" s="205">
        <f t="shared" si="6"/>
        <v>0</v>
      </c>
      <c r="DC17" s="204">
        <f t="shared" si="6"/>
        <v>0</v>
      </c>
      <c r="DD17" s="204">
        <f t="shared" si="6"/>
        <v>0</v>
      </c>
      <c r="DE17" s="204">
        <f t="shared" si="6"/>
        <v>0</v>
      </c>
      <c r="DF17" s="204">
        <f t="shared" si="6"/>
        <v>0</v>
      </c>
      <c r="DG17" s="204">
        <f t="shared" si="6"/>
        <v>0</v>
      </c>
      <c r="DH17" s="204">
        <f t="shared" si="6"/>
        <v>0</v>
      </c>
      <c r="DI17" s="204">
        <f t="shared" si="6"/>
        <v>0</v>
      </c>
      <c r="DJ17" s="204">
        <f t="shared" si="6"/>
        <v>0</v>
      </c>
      <c r="DK17" s="204">
        <f t="shared" si="6"/>
        <v>0</v>
      </c>
      <c r="DL17" s="204">
        <f t="shared" si="7"/>
        <v>0</v>
      </c>
      <c r="DM17" s="206">
        <f t="shared" si="7"/>
        <v>0</v>
      </c>
      <c r="DN17" s="185">
        <f t="shared" si="7"/>
        <v>0</v>
      </c>
      <c r="DO17" s="185">
        <f t="shared" si="7"/>
        <v>0</v>
      </c>
      <c r="DP17" s="185">
        <f t="shared" si="7"/>
        <v>0</v>
      </c>
      <c r="DQ17" s="185">
        <f t="shared" si="7"/>
        <v>0</v>
      </c>
      <c r="DR17" s="185">
        <f t="shared" si="7"/>
        <v>0</v>
      </c>
      <c r="DS17" s="185">
        <f t="shared" si="7"/>
        <v>0</v>
      </c>
      <c r="DT17" s="185">
        <f t="shared" si="7"/>
        <v>0</v>
      </c>
      <c r="DU17" s="185">
        <f t="shared" si="7"/>
        <v>0</v>
      </c>
      <c r="DV17" s="185">
        <f t="shared" si="7"/>
        <v>0</v>
      </c>
      <c r="DW17" s="185">
        <f t="shared" si="7"/>
        <v>0</v>
      </c>
      <c r="DX17" s="185">
        <f t="shared" si="7"/>
        <v>0</v>
      </c>
      <c r="DY17" s="185">
        <f t="shared" si="7"/>
        <v>0</v>
      </c>
    </row>
    <row r="18" spans="1:129" x14ac:dyDescent="0.35">
      <c r="B18" s="34" t="str">
        <f t="shared" si="1"/>
        <v/>
      </c>
      <c r="C18" s="209"/>
      <c r="D18" s="229"/>
      <c r="E18" s="218"/>
      <c r="F18" s="188">
        <f t="shared" si="2"/>
        <v>0</v>
      </c>
      <c r="G18" s="219"/>
      <c r="H18" s="527">
        <f t="shared" si="3"/>
        <v>0</v>
      </c>
      <c r="I18" s="221"/>
      <c r="J18" s="230"/>
      <c r="K18" s="186"/>
      <c r="L18" s="188"/>
      <c r="M18" s="34"/>
      <c r="N18" s="195"/>
      <c r="O18" s="229"/>
      <c r="P18" s="218"/>
      <c r="Q18" s="188">
        <f t="shared" si="4"/>
        <v>0</v>
      </c>
      <c r="R18" s="219"/>
      <c r="S18" s="527">
        <f t="shared" si="5"/>
        <v>0</v>
      </c>
      <c r="T18" s="221"/>
      <c r="U18" s="230"/>
      <c r="AK18" s="185"/>
      <c r="DB18" s="205">
        <f t="shared" si="6"/>
        <v>0</v>
      </c>
      <c r="DC18" s="204">
        <f t="shared" si="6"/>
        <v>0</v>
      </c>
      <c r="DD18" s="204">
        <f t="shared" si="6"/>
        <v>0</v>
      </c>
      <c r="DE18" s="204">
        <f t="shared" si="6"/>
        <v>0</v>
      </c>
      <c r="DF18" s="204">
        <f t="shared" si="6"/>
        <v>0</v>
      </c>
      <c r="DG18" s="204">
        <f t="shared" si="6"/>
        <v>0</v>
      </c>
      <c r="DH18" s="204">
        <f t="shared" si="6"/>
        <v>0</v>
      </c>
      <c r="DI18" s="204">
        <f t="shared" si="6"/>
        <v>0</v>
      </c>
      <c r="DJ18" s="204">
        <f t="shared" si="6"/>
        <v>0</v>
      </c>
      <c r="DK18" s="204">
        <f t="shared" si="6"/>
        <v>0</v>
      </c>
      <c r="DL18" s="204">
        <f t="shared" si="7"/>
        <v>0</v>
      </c>
      <c r="DM18" s="206">
        <f t="shared" si="7"/>
        <v>0</v>
      </c>
      <c r="DN18" s="185">
        <f t="shared" si="7"/>
        <v>0</v>
      </c>
      <c r="DO18" s="185">
        <f t="shared" si="7"/>
        <v>0</v>
      </c>
      <c r="DP18" s="185">
        <f t="shared" si="7"/>
        <v>0</v>
      </c>
      <c r="DQ18" s="185">
        <f t="shared" si="7"/>
        <v>0</v>
      </c>
      <c r="DR18" s="185">
        <f t="shared" si="7"/>
        <v>0</v>
      </c>
      <c r="DS18" s="185">
        <f t="shared" si="7"/>
        <v>0</v>
      </c>
      <c r="DT18" s="185">
        <f t="shared" si="7"/>
        <v>0</v>
      </c>
      <c r="DU18" s="185">
        <f t="shared" si="7"/>
        <v>0</v>
      </c>
      <c r="DV18" s="185">
        <f t="shared" si="7"/>
        <v>0</v>
      </c>
      <c r="DW18" s="185">
        <f t="shared" si="7"/>
        <v>0</v>
      </c>
      <c r="DX18" s="185">
        <f t="shared" si="7"/>
        <v>0</v>
      </c>
      <c r="DY18" s="185">
        <f t="shared" si="7"/>
        <v>0</v>
      </c>
    </row>
    <row r="19" spans="1:129" x14ac:dyDescent="0.35">
      <c r="B19" s="34" t="str">
        <f t="shared" si="1"/>
        <v/>
      </c>
      <c r="C19" s="209"/>
      <c r="D19" s="229"/>
      <c r="E19" s="218"/>
      <c r="F19" s="188">
        <f t="shared" si="2"/>
        <v>0</v>
      </c>
      <c r="G19" s="219"/>
      <c r="H19" s="527">
        <f t="shared" si="3"/>
        <v>0</v>
      </c>
      <c r="I19" s="221"/>
      <c r="J19" s="230"/>
      <c r="K19" s="186"/>
      <c r="L19" s="188"/>
      <c r="M19" s="34"/>
      <c r="N19" s="195"/>
      <c r="O19" s="229"/>
      <c r="P19" s="218"/>
      <c r="Q19" s="188">
        <f t="shared" si="4"/>
        <v>0</v>
      </c>
      <c r="R19" s="219"/>
      <c r="S19" s="527">
        <f t="shared" si="5"/>
        <v>0</v>
      </c>
      <c r="T19" s="221"/>
      <c r="U19" s="230"/>
      <c r="AK19" s="185"/>
      <c r="DB19" s="205">
        <f t="shared" si="6"/>
        <v>0</v>
      </c>
      <c r="DC19" s="204">
        <f t="shared" si="6"/>
        <v>0</v>
      </c>
      <c r="DD19" s="204">
        <f t="shared" si="6"/>
        <v>0</v>
      </c>
      <c r="DE19" s="204">
        <f t="shared" si="6"/>
        <v>0</v>
      </c>
      <c r="DF19" s="204">
        <f t="shared" si="6"/>
        <v>0</v>
      </c>
      <c r="DG19" s="204">
        <f t="shared" si="6"/>
        <v>0</v>
      </c>
      <c r="DH19" s="204">
        <f t="shared" si="6"/>
        <v>0</v>
      </c>
      <c r="DI19" s="204">
        <f t="shared" si="6"/>
        <v>0</v>
      </c>
      <c r="DJ19" s="204">
        <f t="shared" si="6"/>
        <v>0</v>
      </c>
      <c r="DK19" s="204">
        <f t="shared" si="6"/>
        <v>0</v>
      </c>
      <c r="DL19" s="204">
        <f t="shared" si="7"/>
        <v>0</v>
      </c>
      <c r="DM19" s="206">
        <f t="shared" si="7"/>
        <v>0</v>
      </c>
      <c r="DN19" s="185">
        <f t="shared" si="7"/>
        <v>0</v>
      </c>
      <c r="DO19" s="185">
        <f t="shared" si="7"/>
        <v>0</v>
      </c>
      <c r="DP19" s="185">
        <f t="shared" si="7"/>
        <v>0</v>
      </c>
      <c r="DQ19" s="185">
        <f t="shared" si="7"/>
        <v>0</v>
      </c>
      <c r="DR19" s="185">
        <f t="shared" si="7"/>
        <v>0</v>
      </c>
      <c r="DS19" s="185">
        <f t="shared" si="7"/>
        <v>0</v>
      </c>
      <c r="DT19" s="185">
        <f t="shared" si="7"/>
        <v>0</v>
      </c>
      <c r="DU19" s="185">
        <f t="shared" si="7"/>
        <v>0</v>
      </c>
      <c r="DV19" s="185">
        <f t="shared" si="7"/>
        <v>0</v>
      </c>
      <c r="DW19" s="185">
        <f t="shared" si="7"/>
        <v>0</v>
      </c>
      <c r="DX19" s="185">
        <f t="shared" si="7"/>
        <v>0</v>
      </c>
      <c r="DY19" s="185">
        <f t="shared" si="7"/>
        <v>0</v>
      </c>
    </row>
    <row r="20" spans="1:129" x14ac:dyDescent="0.35">
      <c r="B20" s="34" t="str">
        <f t="shared" si="1"/>
        <v/>
      </c>
      <c r="C20" s="209"/>
      <c r="D20" s="229"/>
      <c r="E20" s="218"/>
      <c r="F20" s="188">
        <f t="shared" si="2"/>
        <v>0</v>
      </c>
      <c r="G20" s="219"/>
      <c r="H20" s="527">
        <f t="shared" si="3"/>
        <v>0</v>
      </c>
      <c r="I20" s="219"/>
      <c r="J20" s="230"/>
      <c r="K20" s="186"/>
      <c r="L20" s="188"/>
      <c r="M20" s="34"/>
      <c r="N20" s="195"/>
      <c r="O20" s="229"/>
      <c r="P20" s="218"/>
      <c r="Q20" s="188">
        <f t="shared" si="4"/>
        <v>0</v>
      </c>
      <c r="R20" s="219"/>
      <c r="S20" s="527">
        <f t="shared" si="5"/>
        <v>0</v>
      </c>
      <c r="T20" s="219"/>
      <c r="U20" s="230"/>
      <c r="AK20" s="185"/>
      <c r="DB20" s="205">
        <f t="shared" si="6"/>
        <v>0</v>
      </c>
      <c r="DC20" s="204">
        <f t="shared" si="6"/>
        <v>0</v>
      </c>
      <c r="DD20" s="204">
        <f t="shared" si="6"/>
        <v>0</v>
      </c>
      <c r="DE20" s="204">
        <f t="shared" si="6"/>
        <v>0</v>
      </c>
      <c r="DF20" s="204">
        <f t="shared" si="6"/>
        <v>0</v>
      </c>
      <c r="DG20" s="204">
        <f t="shared" si="6"/>
        <v>0</v>
      </c>
      <c r="DH20" s="204">
        <f t="shared" si="6"/>
        <v>0</v>
      </c>
      <c r="DI20" s="204">
        <f t="shared" si="6"/>
        <v>0</v>
      </c>
      <c r="DJ20" s="204">
        <f t="shared" si="6"/>
        <v>0</v>
      </c>
      <c r="DK20" s="204">
        <f t="shared" si="6"/>
        <v>0</v>
      </c>
      <c r="DL20" s="204">
        <f t="shared" si="7"/>
        <v>0</v>
      </c>
      <c r="DM20" s="206">
        <f t="shared" si="7"/>
        <v>0</v>
      </c>
      <c r="DN20" s="185">
        <f t="shared" si="7"/>
        <v>0</v>
      </c>
      <c r="DO20" s="185">
        <f t="shared" si="7"/>
        <v>0</v>
      </c>
      <c r="DP20" s="185">
        <f t="shared" si="7"/>
        <v>0</v>
      </c>
      <c r="DQ20" s="185">
        <f t="shared" si="7"/>
        <v>0</v>
      </c>
      <c r="DR20" s="185">
        <f t="shared" si="7"/>
        <v>0</v>
      </c>
      <c r="DS20" s="185">
        <f t="shared" si="7"/>
        <v>0</v>
      </c>
      <c r="DT20" s="185">
        <f t="shared" si="7"/>
        <v>0</v>
      </c>
      <c r="DU20" s="185">
        <f t="shared" si="7"/>
        <v>0</v>
      </c>
      <c r="DV20" s="185">
        <f t="shared" si="7"/>
        <v>0</v>
      </c>
      <c r="DW20" s="185">
        <f t="shared" si="7"/>
        <v>0</v>
      </c>
      <c r="DX20" s="185">
        <f t="shared" si="7"/>
        <v>0</v>
      </c>
      <c r="DY20" s="185">
        <f t="shared" si="7"/>
        <v>0</v>
      </c>
    </row>
    <row r="21" spans="1:129" x14ac:dyDescent="0.35">
      <c r="B21" s="34" t="str">
        <f>IF(A21&lt;&gt;"","VACANT","")</f>
        <v/>
      </c>
      <c r="C21" s="209"/>
      <c r="D21" s="229"/>
      <c r="E21" s="218"/>
      <c r="F21" s="188">
        <f t="shared" si="2"/>
        <v>0</v>
      </c>
      <c r="G21" s="219"/>
      <c r="H21" s="527">
        <f t="shared" si="3"/>
        <v>0</v>
      </c>
      <c r="I21" s="219"/>
      <c r="J21" s="230"/>
      <c r="K21" s="186"/>
      <c r="L21" s="188"/>
      <c r="M21" s="34"/>
      <c r="N21" s="195"/>
      <c r="O21" s="229"/>
      <c r="P21" s="218"/>
      <c r="Q21" s="188">
        <f t="shared" si="4"/>
        <v>0</v>
      </c>
      <c r="R21" s="219"/>
      <c r="S21" s="527">
        <f t="shared" si="5"/>
        <v>0</v>
      </c>
      <c r="T21" s="219"/>
      <c r="U21" s="230"/>
      <c r="AK21" s="185"/>
      <c r="DB21" s="205">
        <f t="shared" si="6"/>
        <v>0</v>
      </c>
      <c r="DC21" s="204">
        <f t="shared" si="6"/>
        <v>0</v>
      </c>
      <c r="DD21" s="204">
        <f t="shared" si="6"/>
        <v>0</v>
      </c>
      <c r="DE21" s="204">
        <f t="shared" si="6"/>
        <v>0</v>
      </c>
      <c r="DF21" s="204">
        <f t="shared" si="6"/>
        <v>0</v>
      </c>
      <c r="DG21" s="204">
        <f t="shared" si="6"/>
        <v>0</v>
      </c>
      <c r="DH21" s="204">
        <f t="shared" si="6"/>
        <v>0</v>
      </c>
      <c r="DI21" s="204">
        <f t="shared" si="6"/>
        <v>0</v>
      </c>
      <c r="DJ21" s="204">
        <f t="shared" si="6"/>
        <v>0</v>
      </c>
      <c r="DK21" s="204">
        <f t="shared" si="6"/>
        <v>0</v>
      </c>
      <c r="DL21" s="204">
        <f t="shared" si="7"/>
        <v>0</v>
      </c>
      <c r="DM21" s="206">
        <f t="shared" si="7"/>
        <v>0</v>
      </c>
      <c r="DN21" s="185">
        <f t="shared" si="7"/>
        <v>0</v>
      </c>
      <c r="DO21" s="185">
        <f t="shared" si="7"/>
        <v>0</v>
      </c>
      <c r="DP21" s="185">
        <f t="shared" si="7"/>
        <v>0</v>
      </c>
      <c r="DQ21" s="185">
        <f t="shared" si="7"/>
        <v>0</v>
      </c>
      <c r="DR21" s="185">
        <f t="shared" si="7"/>
        <v>0</v>
      </c>
      <c r="DS21" s="185">
        <f t="shared" si="7"/>
        <v>0</v>
      </c>
      <c r="DT21" s="185">
        <f t="shared" si="7"/>
        <v>0</v>
      </c>
      <c r="DU21" s="185">
        <f t="shared" si="7"/>
        <v>0</v>
      </c>
      <c r="DV21" s="185">
        <f t="shared" si="7"/>
        <v>0</v>
      </c>
      <c r="DW21" s="185">
        <f t="shared" si="7"/>
        <v>0</v>
      </c>
      <c r="DX21" s="185">
        <f t="shared" si="7"/>
        <v>0</v>
      </c>
      <c r="DY21" s="185">
        <f t="shared" si="7"/>
        <v>0</v>
      </c>
    </row>
    <row r="22" spans="1:129" x14ac:dyDescent="0.35">
      <c r="B22" s="34" t="str">
        <f t="shared" si="1"/>
        <v/>
      </c>
      <c r="C22" s="209"/>
      <c r="D22" s="229"/>
      <c r="E22" s="218"/>
      <c r="F22" s="188">
        <f t="shared" si="2"/>
        <v>0</v>
      </c>
      <c r="G22" s="219"/>
      <c r="H22" s="527">
        <f t="shared" si="3"/>
        <v>0</v>
      </c>
      <c r="I22" s="219"/>
      <c r="J22" s="230"/>
      <c r="K22" s="186"/>
      <c r="L22" s="188"/>
      <c r="M22" s="34"/>
      <c r="N22" s="195"/>
      <c r="O22" s="229"/>
      <c r="P22" s="218"/>
      <c r="Q22" s="188">
        <f t="shared" si="4"/>
        <v>0</v>
      </c>
      <c r="R22" s="219"/>
      <c r="S22" s="527">
        <f t="shared" si="5"/>
        <v>0</v>
      </c>
      <c r="T22" s="219"/>
      <c r="U22" s="230"/>
      <c r="AK22" s="185"/>
      <c r="DB22" s="205">
        <f t="shared" si="6"/>
        <v>0</v>
      </c>
      <c r="DC22" s="204">
        <f t="shared" si="6"/>
        <v>0</v>
      </c>
      <c r="DD22" s="204">
        <f t="shared" si="6"/>
        <v>0</v>
      </c>
      <c r="DE22" s="204">
        <f t="shared" si="6"/>
        <v>0</v>
      </c>
      <c r="DF22" s="204">
        <f t="shared" si="6"/>
        <v>0</v>
      </c>
      <c r="DG22" s="204">
        <f t="shared" si="6"/>
        <v>0</v>
      </c>
      <c r="DH22" s="204">
        <f t="shared" si="6"/>
        <v>0</v>
      </c>
      <c r="DI22" s="204">
        <f t="shared" si="6"/>
        <v>0</v>
      </c>
      <c r="DJ22" s="204">
        <f t="shared" si="6"/>
        <v>0</v>
      </c>
      <c r="DK22" s="204">
        <f t="shared" si="6"/>
        <v>0</v>
      </c>
      <c r="DL22" s="204">
        <f t="shared" si="7"/>
        <v>0</v>
      </c>
      <c r="DM22" s="206">
        <f t="shared" si="7"/>
        <v>0</v>
      </c>
      <c r="DN22" s="185">
        <f t="shared" si="7"/>
        <v>0</v>
      </c>
      <c r="DO22" s="185">
        <f t="shared" si="7"/>
        <v>0</v>
      </c>
      <c r="DP22" s="185">
        <f t="shared" si="7"/>
        <v>0</v>
      </c>
      <c r="DQ22" s="185">
        <f t="shared" si="7"/>
        <v>0</v>
      </c>
      <c r="DR22" s="185">
        <f t="shared" si="7"/>
        <v>0</v>
      </c>
      <c r="DS22" s="185">
        <f t="shared" si="7"/>
        <v>0</v>
      </c>
      <c r="DT22" s="185">
        <f t="shared" si="7"/>
        <v>0</v>
      </c>
      <c r="DU22" s="185">
        <f t="shared" si="7"/>
        <v>0</v>
      </c>
      <c r="DV22" s="185">
        <f t="shared" si="7"/>
        <v>0</v>
      </c>
      <c r="DW22" s="185">
        <f t="shared" si="7"/>
        <v>0</v>
      </c>
      <c r="DX22" s="185">
        <f t="shared" si="7"/>
        <v>0</v>
      </c>
      <c r="DY22" s="185">
        <f t="shared" si="7"/>
        <v>0</v>
      </c>
    </row>
    <row r="23" spans="1:129" x14ac:dyDescent="0.35">
      <c r="A23" s="201"/>
      <c r="B23" s="43" t="str">
        <f t="shared" si="1"/>
        <v/>
      </c>
      <c r="C23" s="210"/>
      <c r="D23" s="231"/>
      <c r="E23" s="222"/>
      <c r="F23" s="201">
        <f t="shared" si="2"/>
        <v>0</v>
      </c>
      <c r="G23" s="223"/>
      <c r="H23" s="528">
        <f t="shared" si="3"/>
        <v>0</v>
      </c>
      <c r="I23" s="223"/>
      <c r="J23" s="232"/>
      <c r="K23" s="186"/>
      <c r="L23" s="201"/>
      <c r="M23" s="43"/>
      <c r="N23" s="202"/>
      <c r="O23" s="231"/>
      <c r="P23" s="222"/>
      <c r="Q23" s="201">
        <f t="shared" si="4"/>
        <v>0</v>
      </c>
      <c r="R23" s="223"/>
      <c r="S23" s="528">
        <f t="shared" si="5"/>
        <v>0</v>
      </c>
      <c r="T23" s="223"/>
      <c r="U23" s="232"/>
      <c r="AK23" s="185"/>
      <c r="DB23" s="205">
        <f t="shared" si="6"/>
        <v>0</v>
      </c>
      <c r="DC23" s="204">
        <f t="shared" si="6"/>
        <v>0</v>
      </c>
      <c r="DD23" s="204">
        <f t="shared" si="6"/>
        <v>0</v>
      </c>
      <c r="DE23" s="204">
        <f t="shared" si="6"/>
        <v>0</v>
      </c>
      <c r="DF23" s="204">
        <f t="shared" si="6"/>
        <v>0</v>
      </c>
      <c r="DG23" s="204">
        <f t="shared" si="6"/>
        <v>0</v>
      </c>
      <c r="DH23" s="204">
        <f t="shared" si="6"/>
        <v>0</v>
      </c>
      <c r="DI23" s="204">
        <f t="shared" si="6"/>
        <v>0</v>
      </c>
      <c r="DJ23" s="204">
        <f t="shared" si="6"/>
        <v>0</v>
      </c>
      <c r="DK23" s="204">
        <f t="shared" si="6"/>
        <v>0</v>
      </c>
      <c r="DL23" s="204">
        <f t="shared" si="7"/>
        <v>0</v>
      </c>
      <c r="DM23" s="206">
        <f t="shared" si="7"/>
        <v>0</v>
      </c>
      <c r="DN23" s="185">
        <f t="shared" si="7"/>
        <v>0</v>
      </c>
      <c r="DO23" s="185">
        <f t="shared" si="7"/>
        <v>0</v>
      </c>
      <c r="DP23" s="185">
        <f t="shared" si="7"/>
        <v>0</v>
      </c>
      <c r="DQ23" s="185">
        <f t="shared" si="7"/>
        <v>0</v>
      </c>
      <c r="DR23" s="185">
        <f t="shared" si="7"/>
        <v>0</v>
      </c>
      <c r="DS23" s="185">
        <f t="shared" si="7"/>
        <v>0</v>
      </c>
      <c r="DT23" s="185">
        <f t="shared" si="7"/>
        <v>0</v>
      </c>
      <c r="DU23" s="185">
        <f t="shared" si="7"/>
        <v>0</v>
      </c>
      <c r="DV23" s="185">
        <f t="shared" si="7"/>
        <v>0</v>
      </c>
      <c r="DW23" s="185">
        <f t="shared" si="7"/>
        <v>0</v>
      </c>
      <c r="DX23" s="185">
        <f t="shared" si="7"/>
        <v>0</v>
      </c>
      <c r="DY23" s="185">
        <f t="shared" si="7"/>
        <v>0</v>
      </c>
    </row>
    <row r="24" spans="1:129" ht="16.5" thickBot="1" x14ac:dyDescent="0.35">
      <c r="A24" s="187"/>
      <c r="B24" s="44" t="s">
        <v>423</v>
      </c>
      <c r="C24" s="211">
        <f>SUM(C9:C23)</f>
        <v>25927</v>
      </c>
      <c r="D24" s="197"/>
      <c r="E24" s="197"/>
      <c r="F24" s="207"/>
      <c r="G24" s="198"/>
      <c r="H24" s="198"/>
      <c r="I24" s="198"/>
      <c r="J24" s="199"/>
      <c r="K24" s="186"/>
      <c r="L24" s="187"/>
      <c r="M24" s="44" t="s">
        <v>426</v>
      </c>
      <c r="N24" s="196">
        <f>SUM(N9:N23)</f>
        <v>23400</v>
      </c>
      <c r="O24" s="197"/>
      <c r="P24" s="197"/>
      <c r="Q24" s="207"/>
      <c r="R24" s="198"/>
      <c r="S24" s="198"/>
      <c r="T24" s="198"/>
      <c r="U24" s="199"/>
      <c r="AK24" s="185"/>
      <c r="DB24" s="193">
        <f>SUM(DB9:DB23)</f>
        <v>0</v>
      </c>
      <c r="DC24" s="193">
        <f t="shared" ref="DC24:DY24" si="10">SUM(DC9:DC23)</f>
        <v>0</v>
      </c>
      <c r="DD24" s="193">
        <f t="shared" si="10"/>
        <v>0</v>
      </c>
      <c r="DE24" s="193">
        <f t="shared" si="10"/>
        <v>0</v>
      </c>
      <c r="DF24" s="193">
        <f t="shared" si="10"/>
        <v>0</v>
      </c>
      <c r="DG24" s="193">
        <f t="shared" si="10"/>
        <v>0</v>
      </c>
      <c r="DH24" s="193">
        <f t="shared" si="10"/>
        <v>0</v>
      </c>
      <c r="DI24" s="193">
        <f t="shared" si="10"/>
        <v>0</v>
      </c>
      <c r="DJ24" s="193">
        <f t="shared" si="10"/>
        <v>0</v>
      </c>
      <c r="DK24" s="193">
        <f>SUM(DK9:DK23)</f>
        <v>2631.625</v>
      </c>
      <c r="DL24" s="193">
        <f t="shared" si="10"/>
        <v>5483.7083333333339</v>
      </c>
      <c r="DM24" s="193">
        <f t="shared" si="10"/>
        <v>5483.7083333333339</v>
      </c>
      <c r="DN24" s="193">
        <f t="shared" si="10"/>
        <v>5483.7083333333339</v>
      </c>
      <c r="DO24" s="193">
        <f t="shared" si="10"/>
        <v>5483.7083333333339</v>
      </c>
      <c r="DP24" s="193">
        <f t="shared" si="10"/>
        <v>5483.7083333333339</v>
      </c>
      <c r="DQ24" s="193">
        <f t="shared" si="10"/>
        <v>5483.7083333333339</v>
      </c>
      <c r="DR24" s="193">
        <f t="shared" si="10"/>
        <v>5483.7083333333339</v>
      </c>
      <c r="DS24" s="193">
        <f t="shared" si="10"/>
        <v>5483.7083333333339</v>
      </c>
      <c r="DT24" s="193">
        <f t="shared" si="10"/>
        <v>5483.7083333333339</v>
      </c>
      <c r="DU24" s="193">
        <f t="shared" si="10"/>
        <v>5483.7083333333339</v>
      </c>
      <c r="DV24" s="193">
        <f t="shared" si="10"/>
        <v>5483.7083333333339</v>
      </c>
      <c r="DW24" s="193">
        <f t="shared" si="10"/>
        <v>5483.7083333333339</v>
      </c>
      <c r="DX24" s="193">
        <f t="shared" si="10"/>
        <v>5483.7083333333339</v>
      </c>
      <c r="DY24" s="193">
        <f t="shared" si="10"/>
        <v>5483.7083333333339</v>
      </c>
    </row>
    <row r="25" spans="1:129" s="253" customFormat="1" ht="18.5" thickTop="1" thickBot="1" x14ac:dyDescent="0.3">
      <c r="A25" s="252"/>
      <c r="F25" s="252"/>
      <c r="K25" s="254"/>
      <c r="AK25" s="254"/>
      <c r="DB25" s="551"/>
      <c r="DC25" s="551"/>
      <c r="DD25" s="551"/>
      <c r="DE25" s="551"/>
      <c r="DF25" s="551"/>
      <c r="DG25" s="551"/>
      <c r="DH25" s="551"/>
      <c r="DI25" s="551"/>
      <c r="DJ25" s="551"/>
      <c r="DK25" s="551"/>
      <c r="DL25" s="551"/>
      <c r="DM25" s="551"/>
    </row>
    <row r="26" spans="1:129" x14ac:dyDescent="0.35">
      <c r="K26" s="188"/>
      <c r="DB26" s="259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260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</row>
    <row r="27" spans="1:129" ht="18" x14ac:dyDescent="0.35">
      <c r="A27" s="215">
        <f>'4060'!B1</f>
        <v>4060</v>
      </c>
      <c r="B27" s="34"/>
      <c r="C27" s="190"/>
      <c r="D27" s="187"/>
      <c r="E27" s="187"/>
      <c r="F27" s="187"/>
      <c r="G27" s="187"/>
      <c r="H27" s="187"/>
      <c r="I27" s="187"/>
      <c r="J27" s="187"/>
      <c r="K27" s="236"/>
      <c r="AK27" s="185"/>
      <c r="DB27" s="205" t="e">
        <f>IF(AND($O9&lt;=#REF!,$P9&gt;=#REF!),(($R9*$N9)/12),0)</f>
        <v>#REF!</v>
      </c>
      <c r="DC27" s="204" t="e">
        <f>IF(AND($O9&lt;=#REF!,$P9&gt;=#REF!),(($R9*$N9)/12),0)</f>
        <v>#REF!</v>
      </c>
      <c r="DD27" s="204" t="e">
        <f>IF(AND($O9&lt;=#REF!,$P9&gt;=#REF!),(($R9*$N9)/12),0)</f>
        <v>#REF!</v>
      </c>
      <c r="DE27" s="204" t="e">
        <f>IF(AND($O9&lt;=#REF!,$P9&gt;=#REF!),(($R9*$N9)/12),0)</f>
        <v>#REF!</v>
      </c>
      <c r="DF27" s="204" t="e">
        <f>IF(AND($O9&lt;=#REF!,$P9&gt;=#REF!),(($R9*$N9)/12),0)</f>
        <v>#REF!</v>
      </c>
      <c r="DG27" s="204" t="e">
        <f>IF(AND($O9&lt;=#REF!,$P9&gt;=#REF!),(($R9*$N9)/12),0)</f>
        <v>#REF!</v>
      </c>
      <c r="DH27" s="204" t="e">
        <f>IF(AND($O9&lt;=#REF!,$P9&gt;=#REF!),(($R9*$N9)/12),0)</f>
        <v>#REF!</v>
      </c>
      <c r="DI27" s="204" t="e">
        <f>IF(AND($O9&lt;=#REF!,$P9&gt;=#REF!),(($R9*$N9)/12),0)</f>
        <v>#REF!</v>
      </c>
      <c r="DJ27" s="204" t="e">
        <f>IF(AND($O9&lt;=#REF!,$P9&gt;=#REF!),(($R9*$N9)/12),0)</f>
        <v>#REF!</v>
      </c>
      <c r="DK27" s="204" t="e">
        <f>IF(AND($O9&lt;=#REF!,$P9&gt;=#REF!),(($R9*$N9)/12),0)</f>
        <v>#REF!</v>
      </c>
      <c r="DL27" s="204" t="e">
        <f>IF(AND($O9&lt;=#REF!,$P9&gt;=#REF!),(($R9*$N9)/12),0)</f>
        <v>#REF!</v>
      </c>
      <c r="DM27" s="206" t="e">
        <f>IF(AND($O9&lt;=#REF!,$P9&gt;=#REF!),(($R9*$N9)/12),0)</f>
        <v>#REF!</v>
      </c>
      <c r="DN27" s="185" t="e">
        <f>IF(AND($O9&lt;=#REF!,$P9&gt;=#REF!),(($R9*$N9)/12),0)</f>
        <v>#REF!</v>
      </c>
      <c r="DO27" s="185" t="e">
        <f>IF(AND($O9&lt;=#REF!,$P9&gt;=#REF!),(($R9*$N9)/12),0)</f>
        <v>#REF!</v>
      </c>
      <c r="DP27" s="185" t="e">
        <f>IF(AND($O9&lt;=#REF!,$P9&gt;=#REF!),(($R9*$N9)/12),0)</f>
        <v>#REF!</v>
      </c>
      <c r="DQ27" s="185" t="e">
        <f>IF(AND($O9&lt;=#REF!,$P9&gt;=#REF!),(($R9*$N9)/12),0)</f>
        <v>#REF!</v>
      </c>
      <c r="DR27" s="185" t="e">
        <f>IF(AND($O9&lt;=#REF!,$P9&gt;=#REF!),(($R9*$N9)/12),0)</f>
        <v>#REF!</v>
      </c>
      <c r="DS27" s="185" t="e">
        <f>IF(AND($O9&lt;=#REF!,$P9&gt;=#REF!),(($R9*$N9)/12),0)</f>
        <v>#REF!</v>
      </c>
      <c r="DT27" s="185" t="e">
        <f>IF(AND($O9&lt;=#REF!,$P9&gt;=#REF!),(($R9*$N9)/12),0)</f>
        <v>#REF!</v>
      </c>
      <c r="DU27" s="185" t="e">
        <f>IF(AND($O9&lt;=#REF!,$P9&gt;=#REF!),(($R9*$N9)/12),0)</f>
        <v>#REF!</v>
      </c>
      <c r="DV27" s="185" t="e">
        <f>IF(AND($O9&lt;=#REF!,$P9&gt;=#REF!),(($R9*$N9)/12),0)</f>
        <v>#REF!</v>
      </c>
      <c r="DW27" s="185" t="e">
        <f>IF(AND($O9&lt;=#REF!,$P9&gt;=#REF!),(($R9*$N9)/12),0)</f>
        <v>#REF!</v>
      </c>
      <c r="DX27" s="185" t="e">
        <f>IF(AND($O9&lt;=#REF!,$P9&gt;=#REF!),(($R9*$N9)/12),0)</f>
        <v>#REF!</v>
      </c>
      <c r="DY27" s="185" t="e">
        <f>IF(AND($O9&lt;=#REF!,$P9&gt;=#REF!),(($R9*$N9)/12),0)</f>
        <v>#REF!</v>
      </c>
    </row>
    <row r="28" spans="1:129" ht="17.5" x14ac:dyDescent="0.25">
      <c r="A28" s="256">
        <f>'4060'!B4</f>
        <v>107890</v>
      </c>
      <c r="B28" s="257">
        <f>(A28-C46)/A28</f>
        <v>0.40982482157753269</v>
      </c>
      <c r="D28" s="258" t="str">
        <f>"Vacancies - "&amp;A27</f>
        <v>Vacancies - 4060</v>
      </c>
      <c r="E28" s="226"/>
      <c r="F28" s="226"/>
      <c r="G28" s="226"/>
      <c r="H28" s="226"/>
      <c r="I28" s="226"/>
      <c r="J28" s="225"/>
      <c r="K28" s="187"/>
      <c r="O28" s="258" t="str">
        <f>"Renewals - "&amp;A27</f>
        <v>Renewals - 4060</v>
      </c>
      <c r="P28" s="226"/>
      <c r="Q28" s="226"/>
      <c r="R28" s="226"/>
      <c r="S28" s="226"/>
      <c r="T28" s="226"/>
      <c r="U28" s="225"/>
      <c r="DB28" s="184">
        <f t="shared" ref="DB28:DY28" si="11">IF(AND($O10&lt;=DB$8,$P10&gt;=DB$8),(($R10*$N10)/12),0)</f>
        <v>0</v>
      </c>
      <c r="DC28" s="184">
        <f t="shared" si="11"/>
        <v>0</v>
      </c>
      <c r="DD28" s="184">
        <f t="shared" si="11"/>
        <v>0</v>
      </c>
      <c r="DE28" s="184">
        <f t="shared" si="11"/>
        <v>0</v>
      </c>
      <c r="DF28" s="184">
        <f t="shared" si="11"/>
        <v>0</v>
      </c>
      <c r="DG28" s="184">
        <f t="shared" si="11"/>
        <v>0</v>
      </c>
      <c r="DH28" s="184">
        <f t="shared" si="11"/>
        <v>0</v>
      </c>
      <c r="DI28" s="184">
        <f t="shared" si="11"/>
        <v>0</v>
      </c>
      <c r="DJ28" s="184">
        <f t="shared" si="11"/>
        <v>0</v>
      </c>
      <c r="DK28" s="184">
        <f t="shared" si="11"/>
        <v>0</v>
      </c>
      <c r="DL28" s="184">
        <f t="shared" si="11"/>
        <v>0</v>
      </c>
      <c r="DM28" s="184">
        <f t="shared" si="11"/>
        <v>0</v>
      </c>
      <c r="DN28" s="184">
        <f t="shared" si="11"/>
        <v>0</v>
      </c>
      <c r="DO28" s="184">
        <f t="shared" si="11"/>
        <v>0</v>
      </c>
      <c r="DP28" s="184">
        <f t="shared" si="11"/>
        <v>0</v>
      </c>
      <c r="DQ28" s="184">
        <f t="shared" si="11"/>
        <v>0</v>
      </c>
      <c r="DR28" s="184">
        <f t="shared" si="11"/>
        <v>0</v>
      </c>
      <c r="DS28" s="184">
        <f t="shared" si="11"/>
        <v>0</v>
      </c>
      <c r="DT28" s="184">
        <f t="shared" si="11"/>
        <v>0</v>
      </c>
      <c r="DU28" s="184">
        <f t="shared" si="11"/>
        <v>0</v>
      </c>
      <c r="DV28" s="184">
        <f t="shared" si="11"/>
        <v>0</v>
      </c>
      <c r="DW28" s="184">
        <f t="shared" si="11"/>
        <v>0</v>
      </c>
      <c r="DX28" s="184">
        <f t="shared" si="11"/>
        <v>3463.2916666666665</v>
      </c>
      <c r="DY28" s="184">
        <f t="shared" si="11"/>
        <v>3463.2916666666665</v>
      </c>
    </row>
    <row r="29" spans="1:129" ht="18" x14ac:dyDescent="0.35">
      <c r="A29" s="184"/>
      <c r="D29" s="553" t="s">
        <v>428</v>
      </c>
      <c r="E29" s="554"/>
      <c r="F29" s="554"/>
      <c r="G29" s="554"/>
      <c r="H29" s="554"/>
      <c r="I29" s="554"/>
      <c r="J29" s="555"/>
      <c r="K29" s="186"/>
      <c r="M29" s="34"/>
      <c r="N29" s="212"/>
      <c r="O29" s="553" t="s">
        <v>428</v>
      </c>
      <c r="P29" s="554"/>
      <c r="Q29" s="554"/>
      <c r="R29" s="554"/>
      <c r="S29" s="554"/>
      <c r="T29" s="554"/>
      <c r="U29" s="555"/>
      <c r="W29" s="214">
        <f>A27</f>
        <v>4060</v>
      </c>
      <c r="X29" s="552">
        <v>2025</v>
      </c>
      <c r="Y29" s="552"/>
      <c r="Z29" s="552"/>
      <c r="AA29" s="552"/>
      <c r="AB29" s="552"/>
      <c r="AC29" s="552"/>
      <c r="AD29" s="552"/>
      <c r="AE29" s="552"/>
      <c r="AF29" s="552"/>
      <c r="AG29" s="552"/>
      <c r="AH29" s="552"/>
      <c r="AI29" s="552"/>
      <c r="AJ29" s="552">
        <f>X29+1</f>
        <v>2026</v>
      </c>
      <c r="AK29" s="552"/>
      <c r="AL29" s="552"/>
      <c r="AM29" s="552"/>
      <c r="AN29" s="552"/>
      <c r="AO29" s="552"/>
      <c r="AP29" s="552"/>
      <c r="AQ29" s="552"/>
      <c r="AR29" s="552"/>
      <c r="AS29" s="552"/>
      <c r="AT29" s="552"/>
      <c r="AU29" s="552"/>
      <c r="DB29" s="205">
        <f t="shared" ref="DB29:DY29" si="12">IF(AND($O11&lt;=DB$8,$P11&gt;=DB$8),(($R11*$N11)/12),0)</f>
        <v>0</v>
      </c>
      <c r="DC29" s="204">
        <f t="shared" si="12"/>
        <v>0</v>
      </c>
      <c r="DD29" s="204">
        <f t="shared" si="12"/>
        <v>0</v>
      </c>
      <c r="DE29" s="204">
        <f t="shared" si="12"/>
        <v>0</v>
      </c>
      <c r="DF29" s="204">
        <f t="shared" si="12"/>
        <v>0</v>
      </c>
      <c r="DG29" s="204">
        <f t="shared" si="12"/>
        <v>0</v>
      </c>
      <c r="DH29" s="204">
        <f t="shared" si="12"/>
        <v>0</v>
      </c>
      <c r="DI29" s="204">
        <f t="shared" si="12"/>
        <v>0</v>
      </c>
      <c r="DJ29" s="204">
        <f t="shared" si="12"/>
        <v>0</v>
      </c>
      <c r="DK29" s="204">
        <f t="shared" si="12"/>
        <v>0</v>
      </c>
      <c r="DL29" s="204">
        <f t="shared" si="12"/>
        <v>0</v>
      </c>
      <c r="DM29" s="206">
        <f t="shared" si="12"/>
        <v>0</v>
      </c>
      <c r="DN29" s="185">
        <f t="shared" si="12"/>
        <v>0</v>
      </c>
      <c r="DO29" s="185">
        <f t="shared" si="12"/>
        <v>0</v>
      </c>
      <c r="DP29" s="185">
        <f t="shared" si="12"/>
        <v>0</v>
      </c>
      <c r="DQ29" s="185">
        <f t="shared" si="12"/>
        <v>5964.416666666667</v>
      </c>
      <c r="DR29" s="185">
        <f t="shared" si="12"/>
        <v>5964.416666666667</v>
      </c>
      <c r="DS29" s="185">
        <f t="shared" si="12"/>
        <v>5964.416666666667</v>
      </c>
      <c r="DT29" s="185">
        <f t="shared" si="12"/>
        <v>5964.416666666667</v>
      </c>
      <c r="DU29" s="185">
        <f t="shared" si="12"/>
        <v>5964.416666666667</v>
      </c>
      <c r="DV29" s="185">
        <f t="shared" si="12"/>
        <v>5964.416666666667</v>
      </c>
      <c r="DW29" s="185">
        <f t="shared" si="12"/>
        <v>5964.416666666667</v>
      </c>
      <c r="DX29" s="185">
        <f t="shared" si="12"/>
        <v>5964.416666666667</v>
      </c>
      <c r="DY29" s="185">
        <f t="shared" si="12"/>
        <v>5964.416666666667</v>
      </c>
    </row>
    <row r="30" spans="1:129" x14ac:dyDescent="0.35">
      <c r="A30" s="201" t="s">
        <v>224</v>
      </c>
      <c r="B30" s="43" t="s">
        <v>424</v>
      </c>
      <c r="C30" s="208" t="s">
        <v>221</v>
      </c>
      <c r="D30" s="233" t="s">
        <v>429</v>
      </c>
      <c r="E30" s="201" t="s">
        <v>430</v>
      </c>
      <c r="F30" s="201" t="s">
        <v>432</v>
      </c>
      <c r="G30" s="200" t="s">
        <v>219</v>
      </c>
      <c r="H30" s="213" t="s">
        <v>624</v>
      </c>
      <c r="I30" s="213" t="s">
        <v>425</v>
      </c>
      <c r="J30" s="203" t="s">
        <v>218</v>
      </c>
      <c r="K30" s="186"/>
      <c r="L30" s="201" t="s">
        <v>224</v>
      </c>
      <c r="M30" s="43" t="s">
        <v>424</v>
      </c>
      <c r="N30" s="208" t="s">
        <v>221</v>
      </c>
      <c r="O30" s="233" t="s">
        <v>429</v>
      </c>
      <c r="P30" s="201" t="s">
        <v>430</v>
      </c>
      <c r="Q30" s="201" t="s">
        <v>432</v>
      </c>
      <c r="R30" s="200" t="s">
        <v>219</v>
      </c>
      <c r="S30" s="213" t="s">
        <v>624</v>
      </c>
      <c r="T30" s="213" t="s">
        <v>425</v>
      </c>
      <c r="U30" s="203" t="s">
        <v>218</v>
      </c>
      <c r="X30" s="234">
        <v>45658</v>
      </c>
      <c r="Y30" s="32">
        <v>45689</v>
      </c>
      <c r="Z30" s="32">
        <v>45717</v>
      </c>
      <c r="AA30" s="32">
        <v>45748</v>
      </c>
      <c r="AB30" s="32">
        <v>45778</v>
      </c>
      <c r="AC30" s="32">
        <v>45809</v>
      </c>
      <c r="AD30" s="32">
        <v>45839</v>
      </c>
      <c r="AE30" s="32">
        <v>45870</v>
      </c>
      <c r="AF30" s="32">
        <v>45901</v>
      </c>
      <c r="AG30" s="32">
        <v>45931</v>
      </c>
      <c r="AH30" s="32">
        <v>45962</v>
      </c>
      <c r="AI30" s="235">
        <v>45992</v>
      </c>
      <c r="AJ30" s="32">
        <f>AJ$8</f>
        <v>46023</v>
      </c>
      <c r="AK30" s="32">
        <f t="shared" ref="AK30:AU30" si="13">AK$8</f>
        <v>46054</v>
      </c>
      <c r="AL30" s="32">
        <f t="shared" si="13"/>
        <v>46082</v>
      </c>
      <c r="AM30" s="32">
        <f t="shared" si="13"/>
        <v>46113</v>
      </c>
      <c r="AN30" s="32">
        <f t="shared" si="13"/>
        <v>46143</v>
      </c>
      <c r="AO30" s="32">
        <f t="shared" si="13"/>
        <v>46174</v>
      </c>
      <c r="AP30" s="32">
        <f t="shared" si="13"/>
        <v>46204</v>
      </c>
      <c r="AQ30" s="32">
        <f t="shared" si="13"/>
        <v>46235</v>
      </c>
      <c r="AR30" s="32">
        <f t="shared" si="13"/>
        <v>46266</v>
      </c>
      <c r="AS30" s="32">
        <f t="shared" si="13"/>
        <v>46296</v>
      </c>
      <c r="AT30" s="32">
        <f t="shared" si="13"/>
        <v>46327</v>
      </c>
      <c r="AU30" s="32">
        <f t="shared" si="13"/>
        <v>46357</v>
      </c>
      <c r="AV30" s="275" t="str">
        <f>AJ29&amp;" - Totals"</f>
        <v>2026 - Totals</v>
      </c>
      <c r="DB30" s="205">
        <f t="shared" ref="DB30:DY30" si="14">IF(AND($O12&lt;=DB$8,$P12&gt;=DB$8),(($R12*$N12)/12),0)</f>
        <v>0</v>
      </c>
      <c r="DC30" s="204">
        <f t="shared" si="14"/>
        <v>0</v>
      </c>
      <c r="DD30" s="204">
        <f t="shared" si="14"/>
        <v>0</v>
      </c>
      <c r="DE30" s="204">
        <f t="shared" si="14"/>
        <v>0</v>
      </c>
      <c r="DF30" s="204">
        <f t="shared" si="14"/>
        <v>0</v>
      </c>
      <c r="DG30" s="204">
        <f t="shared" si="14"/>
        <v>0</v>
      </c>
      <c r="DH30" s="204">
        <f t="shared" si="14"/>
        <v>0</v>
      </c>
      <c r="DI30" s="204">
        <f t="shared" si="14"/>
        <v>0</v>
      </c>
      <c r="DJ30" s="204">
        <f t="shared" si="14"/>
        <v>0</v>
      </c>
      <c r="DK30" s="204">
        <f t="shared" si="14"/>
        <v>0</v>
      </c>
      <c r="DL30" s="204">
        <f t="shared" si="14"/>
        <v>0</v>
      </c>
      <c r="DM30" s="206">
        <f t="shared" si="14"/>
        <v>0</v>
      </c>
      <c r="DN30" s="185">
        <f t="shared" si="14"/>
        <v>0</v>
      </c>
      <c r="DO30" s="185">
        <f t="shared" si="14"/>
        <v>0</v>
      </c>
      <c r="DP30" s="185">
        <f t="shared" si="14"/>
        <v>0</v>
      </c>
      <c r="DQ30" s="185">
        <f t="shared" si="14"/>
        <v>0</v>
      </c>
      <c r="DR30" s="185">
        <f t="shared" si="14"/>
        <v>0</v>
      </c>
      <c r="DS30" s="185">
        <f t="shared" si="14"/>
        <v>0</v>
      </c>
      <c r="DT30" s="185">
        <f t="shared" si="14"/>
        <v>2739.8333333333335</v>
      </c>
      <c r="DU30" s="185">
        <f t="shared" si="14"/>
        <v>2739.8333333333335</v>
      </c>
      <c r="DV30" s="185">
        <f t="shared" si="14"/>
        <v>2739.8333333333335</v>
      </c>
      <c r="DW30" s="185">
        <f t="shared" si="14"/>
        <v>2739.8333333333335</v>
      </c>
      <c r="DX30" s="185">
        <f t="shared" si="14"/>
        <v>2739.8333333333335</v>
      </c>
      <c r="DY30" s="185">
        <f t="shared" si="14"/>
        <v>2739.8333333333335</v>
      </c>
    </row>
    <row r="31" spans="1:129" x14ac:dyDescent="0.35">
      <c r="A31" s="188" t="s">
        <v>626</v>
      </c>
      <c r="B31" s="77" t="str">
        <f>IF(A31&lt;&gt;"","VACANT","")</f>
        <v>VACANT</v>
      </c>
      <c r="C31" s="209">
        <v>5643</v>
      </c>
      <c r="D31" s="229"/>
      <c r="E31" s="218"/>
      <c r="F31" s="246">
        <f>IFERROR(ROUNDUP(((DATEDIF(D31,E31,"d"))/365),1),0)</f>
        <v>0</v>
      </c>
      <c r="G31" s="219"/>
      <c r="H31" s="527">
        <f>(C31*G31)/12</f>
        <v>0</v>
      </c>
      <c r="I31" s="219"/>
      <c r="J31" s="230"/>
      <c r="K31" s="186"/>
      <c r="L31" s="188" t="s">
        <v>628</v>
      </c>
      <c r="M31" s="34" t="s">
        <v>334</v>
      </c>
      <c r="N31" s="209">
        <v>4359</v>
      </c>
      <c r="O31" s="229">
        <v>46023</v>
      </c>
      <c r="P31" s="218">
        <v>46203</v>
      </c>
      <c r="Q31" s="246">
        <f>IFERROR(ROUNDUP(((DATEDIF(O31,P31,"d"))/365),1),0)</f>
        <v>0.5</v>
      </c>
      <c r="R31" s="219">
        <v>18</v>
      </c>
      <c r="S31" s="527">
        <f>(N31*R31)/12</f>
        <v>6538.5</v>
      </c>
      <c r="T31" s="219">
        <v>0</v>
      </c>
      <c r="U31" s="230">
        <v>0.03</v>
      </c>
      <c r="W31" s="184" t="s">
        <v>436</v>
      </c>
      <c r="X31" s="261" cm="1">
        <f t="array" ref="X31:AI31">_xlfn.LET(
  _xlpm.months, X30:AI30,
  _xlpm.totalSqft, A28,
  _xlpm.vacSF, C31:C45,
  _xlpm.vacStart, D31:D45,
  _xlpm.vacEnd, E31:E45,
  _xlpm.renSF, N31:N45,
  _xlpm.renEnd, P31:P45,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0.43280000000000002</v>
      </c>
      <c r="Y31" s="262">
        <v>0.43280000000000002</v>
      </c>
      <c r="Z31" s="262">
        <v>0.43280000000000002</v>
      </c>
      <c r="AA31" s="262">
        <v>0.43280000000000002</v>
      </c>
      <c r="AB31" s="262">
        <v>0.43280000000000002</v>
      </c>
      <c r="AC31" s="262">
        <v>0.43280000000000002</v>
      </c>
      <c r="AD31" s="262">
        <v>0.43280000000000002</v>
      </c>
      <c r="AE31" s="262">
        <v>0.43280000000000002</v>
      </c>
      <c r="AF31" s="262">
        <v>0.43280000000000002</v>
      </c>
      <c r="AG31" s="262">
        <v>0.43280000000000002</v>
      </c>
      <c r="AH31" s="262">
        <v>0.44850000000000001</v>
      </c>
      <c r="AI31" s="262">
        <v>0.44850000000000001</v>
      </c>
      <c r="AJ31" s="261" cm="1">
        <f t="array" ref="AJ31:AU31">_xlfn.LET(
  _xlpm.months, AJ30:AU30,
  _xlpm.totalSqft, A28,
  _xlpm.vacSF, C31:C45,
  _xlpm.vacStart, D31:D45,
  _xlpm.vacEnd, E31:E45,
  _xlpm.renSF, N31:N45,
  _xlpm.renEnd, P31:P45,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0.65339999999999998</v>
      </c>
      <c r="AK31" s="262">
        <v>0.65339999999999998</v>
      </c>
      <c r="AL31" s="262">
        <v>0.65339999999999998</v>
      </c>
      <c r="AM31" s="262">
        <v>0.65339999999999998</v>
      </c>
      <c r="AN31" s="262">
        <v>0.65339999999999998</v>
      </c>
      <c r="AO31" s="262">
        <v>0.65339999999999998</v>
      </c>
      <c r="AP31" s="262">
        <v>0.61299999999999999</v>
      </c>
      <c r="AQ31" s="262">
        <v>0.61299999999999999</v>
      </c>
      <c r="AR31" s="262">
        <v>0.61299999999999999</v>
      </c>
      <c r="AS31" s="262">
        <v>0.61299999999999999</v>
      </c>
      <c r="AT31" s="262">
        <v>0.59730000000000005</v>
      </c>
      <c r="AU31" s="262">
        <v>0.57440000000000002</v>
      </c>
      <c r="AV31" s="273"/>
      <c r="DB31" s="205">
        <f t="shared" ref="DB31:DY31" si="15">IF(AND($O13&lt;=DB$8,$P13&gt;=DB$8),(($R13*$N13)/12),0)</f>
        <v>0</v>
      </c>
      <c r="DC31" s="204">
        <f t="shared" si="15"/>
        <v>0</v>
      </c>
      <c r="DD31" s="204">
        <f t="shared" si="15"/>
        <v>0</v>
      </c>
      <c r="DE31" s="204">
        <f t="shared" si="15"/>
        <v>0</v>
      </c>
      <c r="DF31" s="204">
        <f t="shared" si="15"/>
        <v>0</v>
      </c>
      <c r="DG31" s="204">
        <f t="shared" si="15"/>
        <v>0</v>
      </c>
      <c r="DH31" s="204">
        <f t="shared" si="15"/>
        <v>0</v>
      </c>
      <c r="DI31" s="204">
        <f t="shared" si="15"/>
        <v>0</v>
      </c>
      <c r="DJ31" s="204">
        <f t="shared" si="15"/>
        <v>0</v>
      </c>
      <c r="DK31" s="204">
        <f t="shared" si="15"/>
        <v>0</v>
      </c>
      <c r="DL31" s="204">
        <f t="shared" si="15"/>
        <v>0</v>
      </c>
      <c r="DM31" s="206">
        <f t="shared" si="15"/>
        <v>0</v>
      </c>
      <c r="DN31" s="185">
        <f t="shared" si="15"/>
        <v>0</v>
      </c>
      <c r="DO31" s="185">
        <f t="shared" si="15"/>
        <v>0</v>
      </c>
      <c r="DP31" s="185">
        <f t="shared" si="15"/>
        <v>0</v>
      </c>
      <c r="DQ31" s="185">
        <f t="shared" si="15"/>
        <v>0</v>
      </c>
      <c r="DR31" s="185">
        <f t="shared" si="15"/>
        <v>0</v>
      </c>
      <c r="DS31" s="185">
        <f t="shared" si="15"/>
        <v>0</v>
      </c>
      <c r="DT31" s="185">
        <f t="shared" si="15"/>
        <v>0</v>
      </c>
      <c r="DU31" s="185">
        <f t="shared" si="15"/>
        <v>0</v>
      </c>
      <c r="DV31" s="185">
        <f t="shared" si="15"/>
        <v>0</v>
      </c>
      <c r="DW31" s="185">
        <f t="shared" si="15"/>
        <v>8815.25</v>
      </c>
      <c r="DX31" s="185">
        <f t="shared" si="15"/>
        <v>8815.25</v>
      </c>
      <c r="DY31" s="185">
        <f t="shared" si="15"/>
        <v>8815.25</v>
      </c>
    </row>
    <row r="32" spans="1:129" x14ac:dyDescent="0.35">
      <c r="A32" s="188" t="s">
        <v>627</v>
      </c>
      <c r="B32" s="34" t="str">
        <f t="shared" ref="B32:B45" si="16">IF(A32&lt;&gt;"","VACANT","")</f>
        <v>VACANT</v>
      </c>
      <c r="C32" s="209">
        <v>1992</v>
      </c>
      <c r="D32" s="229"/>
      <c r="E32" s="218"/>
      <c r="F32" s="188">
        <f t="shared" ref="F32:F45" si="17">IFERROR(ROUNDUP(((DATEDIF(D32,E32,"d"))/365),1),0)</f>
        <v>0</v>
      </c>
      <c r="G32" s="219"/>
      <c r="H32" s="527">
        <f t="shared" ref="H32:H45" si="18">(C32*G32)/12</f>
        <v>0</v>
      </c>
      <c r="I32" s="219"/>
      <c r="J32" s="230"/>
      <c r="L32" s="188" t="s">
        <v>176</v>
      </c>
      <c r="M32" s="34" t="s">
        <v>406</v>
      </c>
      <c r="N32" s="209">
        <v>1091</v>
      </c>
      <c r="O32" s="229">
        <v>46113</v>
      </c>
      <c r="P32" s="218">
        <v>47208</v>
      </c>
      <c r="Q32" s="188">
        <f t="shared" ref="Q32:Q45" si="19">IFERROR(ROUNDUP(((DATEDIF(O32,P32,"d"))/365),1),0)</f>
        <v>3</v>
      </c>
      <c r="R32" s="219">
        <v>22</v>
      </c>
      <c r="S32" s="527">
        <f t="shared" ref="S32:S45" si="20">(N32*R32)/12</f>
        <v>2000.1666666666667</v>
      </c>
      <c r="T32" s="219">
        <v>0</v>
      </c>
      <c r="U32" s="230">
        <v>0.03</v>
      </c>
      <c r="W32" s="184" t="s">
        <v>434</v>
      </c>
      <c r="X32" s="205" cm="1">
        <f t="array" ref="X32">((SUMPRODUCT(($D$31:$D$45&lt;=X$8) * ($E$31:$E$45&gt;=X$8) * ($G$31:$G$45 * $C$31:$C$45)))+(SUMPRODUCT(($O$31:$O$45&lt;=X$8) * ($P$31:$P$45&gt;=X$8) * ($R$31:$R$45 * $N$31:$N$45))))/12</f>
        <v>3609.375</v>
      </c>
      <c r="Y32" s="185" cm="1">
        <f t="array" ref="Y32">((SUMPRODUCT(($D$31:$D$45&lt;=Y$8) * ($E$31:$E$45&gt;=Y$8) * ($G$31:$G$45 * $C$31:$C$45)))+(SUMPRODUCT(($O$31:$O$45&lt;=Y$8) * ($P$31:$P$45&gt;=Y$8) * ($R$31:$R$45 * $N$31:$N$45))))/12</f>
        <v>3609.375</v>
      </c>
      <c r="Z32" s="185" cm="1">
        <f t="array" ref="Z32">((SUMPRODUCT(($D$31:$D$45&lt;=Z$8) * ($E$31:$E$45&gt;=Z$8) * ($G$31:$G$45 * $C$31:$C$45)))+(SUMPRODUCT(($O$31:$O$45&lt;=Z$8) * ($P$31:$P$45&gt;=Z$8) * ($R$31:$R$45 * $N$31:$N$45))))/12</f>
        <v>3609.375</v>
      </c>
      <c r="AA32" s="185" cm="1">
        <f t="array" ref="AA32">((SUMPRODUCT(($D$31:$D$45&lt;=AA$8) * ($E$31:$E$45&gt;=AA$8) * ($G$31:$G$45 * $C$31:$C$45)))+(SUMPRODUCT(($O$31:$O$45&lt;=AA$8) * ($P$31:$P$45&gt;=AA$8) * ($R$31:$R$45 * $N$31:$N$45))))/12</f>
        <v>3609.375</v>
      </c>
      <c r="AB32" s="185" cm="1">
        <f t="array" ref="AB32">((SUMPRODUCT(($D$31:$D$45&lt;=AB$8) * ($E$31:$E$45&gt;=AB$8) * ($G$31:$G$45 * $C$31:$C$45)))+(SUMPRODUCT(($O$31:$O$45&lt;=AB$8) * ($P$31:$P$45&gt;=AB$8) * ($R$31:$R$45 * $N$31:$N$45))))/12</f>
        <v>3609.375</v>
      </c>
      <c r="AC32" s="185" cm="1">
        <f t="array" ref="AC32">((SUMPRODUCT(($D$31:$D$45&lt;=AC$8) * ($E$31:$E$45&gt;=AC$8) * ($G$31:$G$45 * $C$31:$C$45)))+(SUMPRODUCT(($O$31:$O$45&lt;=AC$8) * ($P$31:$P$45&gt;=AC$8) * ($R$31:$R$45 * $N$31:$N$45))))/12</f>
        <v>3609.375</v>
      </c>
      <c r="AD32" s="185" cm="1">
        <f t="array" ref="AD32">((SUMPRODUCT(($D$31:$D$45&lt;=AD$8) * ($E$31:$E$45&gt;=AD$8) * ($G$31:$G$45 * $C$31:$C$45)))+(SUMPRODUCT(($O$31:$O$45&lt;=AD$8) * ($P$31:$P$45&gt;=AD$8) * ($R$31:$R$45 * $N$31:$N$45))))/12</f>
        <v>3609.375</v>
      </c>
      <c r="AE32" s="185" cm="1">
        <f t="array" ref="AE32">((SUMPRODUCT(($D$31:$D$45&lt;=AE$8) * ($E$31:$E$45&gt;=AE$8) * ($G$31:$G$45 * $C$31:$C$45)))+(SUMPRODUCT(($O$31:$O$45&lt;=AE$8) * ($P$31:$P$45&gt;=AE$8) * ($R$31:$R$45 * $N$31:$N$45))))/12</f>
        <v>3609.375</v>
      </c>
      <c r="AF32" s="185" cm="1">
        <f t="array" ref="AF32">((SUMPRODUCT(($D$31:$D$45&lt;=AF$8) * ($E$31:$E$45&gt;=AF$8) * ($G$31:$G$45 * $C$31:$C$45)))+(SUMPRODUCT(($O$31:$O$45&lt;=AF$8) * ($P$31:$P$45&gt;=AF$8) * ($R$31:$R$45 * $N$31:$N$45))))/12</f>
        <v>6960.708333333333</v>
      </c>
      <c r="AG32" s="185" cm="1">
        <f t="array" ref="AG32">((SUMPRODUCT(($D$31:$D$45&lt;=AG$8) * ($E$31:$E$45&gt;=AG$8) * ($G$31:$G$45 * $C$31:$C$45)))+(SUMPRODUCT(($O$31:$O$45&lt;=AG$8) * ($P$31:$P$45&gt;=AG$8) * ($R$31:$R$45 * $N$31:$N$45))))/12</f>
        <v>6960.708333333333</v>
      </c>
      <c r="AH32" s="185" cm="1">
        <f t="array" ref="AH32">((SUMPRODUCT(($D$31:$D$45&lt;=AH$8) * ($E$31:$E$45&gt;=AH$8) * ($G$31:$G$45 * $C$31:$C$45)))+(SUMPRODUCT(($O$31:$O$45&lt;=AH$8) * ($P$31:$P$45&gt;=AH$8) * ($R$31:$R$45 * $N$31:$N$45))))/12</f>
        <v>9747.7083333333339</v>
      </c>
      <c r="AI32" s="185" cm="1">
        <f t="array" ref="AI32">((SUMPRODUCT(($D$31:$D$45&lt;=AI$8) * ($E$31:$E$45&gt;=AI$8) * ($G$31:$G$45 * $C$31:$C$45)))+(SUMPRODUCT(($O$31:$O$45&lt;=AI$8) * ($P$31:$P$45&gt;=AI$8) * ($R$31:$R$45 * $N$31:$N$45))))/12</f>
        <v>9747.7083333333339</v>
      </c>
      <c r="AJ32" s="205" cm="1">
        <f t="array" ref="AJ32">((SUMPRODUCT(($D$31:$D$45&lt;=AJ$8) * ($E$31:$E$45&gt;=AJ$8) * ($G$31:$G$45 * $C$31:$C$45)))+(SUMPRODUCT(($O$31:$O$45&lt;=AJ$8) * ($P$31:$P$45&gt;=AJ$8) * ($R$31:$R$45 * $N$31:$N$45))))/12</f>
        <v>47531.333333333336</v>
      </c>
      <c r="AK32" s="185" cm="1">
        <f t="array" ref="AK32">((SUMPRODUCT(($D$31:$D$45&lt;=AK$8) * ($E$31:$E$45&gt;=AK$8) * ($G$31:$G$45 * $C$31:$C$45)))+(SUMPRODUCT(($O$31:$O$45&lt;=AK$8) * ($P$31:$P$45&gt;=AK$8) * ($R$31:$R$45 * $N$31:$N$45))))/12</f>
        <v>47531.333333333336</v>
      </c>
      <c r="AL32" s="185" cm="1">
        <f t="array" ref="AL32">((SUMPRODUCT(($D$31:$D$45&lt;=AL$8) * ($E$31:$E$45&gt;=AL$8) * ($G$31:$G$45 * $C$31:$C$45)))+(SUMPRODUCT(($O$31:$O$45&lt;=AL$8) * ($P$31:$P$45&gt;=AL$8) * ($R$31:$R$45 * $N$31:$N$45))))/12</f>
        <v>47531.333333333336</v>
      </c>
      <c r="AM32" s="185" cm="1">
        <f t="array" ref="AM32">((SUMPRODUCT(($D$31:$D$45&lt;=AM$8) * ($E$31:$E$45&gt;=AM$8) * ($G$31:$G$45 * $C$31:$C$45)))+(SUMPRODUCT(($O$31:$O$45&lt;=AM$8) * ($P$31:$P$45&gt;=AM$8) * ($R$31:$R$45 * $N$31:$N$45))))/12</f>
        <v>49531.5</v>
      </c>
      <c r="AN32" s="185" cm="1">
        <f t="array" ref="AN32">((SUMPRODUCT(($D$31:$D$45&lt;=AN$8) * ($E$31:$E$45&gt;=AN$8) * ($G$31:$G$45 * $C$31:$C$45)))+(SUMPRODUCT(($O$31:$O$45&lt;=AN$8) * ($P$31:$P$45&gt;=AN$8) * ($R$31:$R$45 * $N$31:$N$45))))/12</f>
        <v>49531.5</v>
      </c>
      <c r="AO32" s="185" cm="1">
        <f t="array" ref="AO32">((SUMPRODUCT(($D$31:$D$45&lt;=AO$8) * ($E$31:$E$45&gt;=AO$8) * ($G$31:$G$45 * $C$31:$C$45)))+(SUMPRODUCT(($O$31:$O$45&lt;=AO$8) * ($P$31:$P$45&gt;=AO$8) * ($R$31:$R$45 * $N$31:$N$45))))/12</f>
        <v>49531.5</v>
      </c>
      <c r="AP32" s="185" cm="1">
        <f t="array" ref="AP32">((SUMPRODUCT(($D$31:$D$45&lt;=AP$8) * ($E$31:$E$45&gt;=AP$8) * ($G$31:$G$45 * $C$31:$C$45)))+(SUMPRODUCT(($O$31:$O$45&lt;=AP$8) * ($P$31:$P$45&gt;=AP$8) * ($R$31:$R$45 * $N$31:$N$45))))/12</f>
        <v>57621.75</v>
      </c>
      <c r="AQ32" s="185" cm="1">
        <f t="array" ref="AQ32">((SUMPRODUCT(($D$31:$D$45&lt;=AQ$8) * ($E$31:$E$45&gt;=AQ$8) * ($G$31:$G$45 * $C$31:$C$45)))+(SUMPRODUCT(($O$31:$O$45&lt;=AQ$8) * ($P$31:$P$45&gt;=AQ$8) * ($R$31:$R$45 * $N$31:$N$45))))/12</f>
        <v>59360.25</v>
      </c>
      <c r="AR32" s="185" cm="1">
        <f t="array" ref="AR32">((SUMPRODUCT(($D$31:$D$45&lt;=AR$8) * ($E$31:$E$45&gt;=AR$8) * ($G$31:$G$45 * $C$31:$C$45)))+(SUMPRODUCT(($O$31:$O$45&lt;=AR$8) * ($P$31:$P$45&gt;=AR$8) * ($R$31:$R$45 * $N$31:$N$45))))/12</f>
        <v>59360.25</v>
      </c>
      <c r="AS32" s="185" cm="1">
        <f t="array" ref="AS32">((SUMPRODUCT(($D$31:$D$45&lt;=AS$8) * ($E$31:$E$45&gt;=AS$8) * ($G$31:$G$45 * $C$31:$C$45)))+(SUMPRODUCT(($O$31:$O$45&lt;=AS$8) * ($P$31:$P$45&gt;=AS$8) * ($R$31:$R$45 * $N$31:$N$45))))/12</f>
        <v>59360.25</v>
      </c>
      <c r="AT32" s="185" cm="1">
        <f t="array" ref="AT32">((SUMPRODUCT(($D$31:$D$45&lt;=AT$8) * ($E$31:$E$45&gt;=AT$8) * ($G$31:$G$45 * $C$31:$C$45)))+(SUMPRODUCT(($O$31:$O$45&lt;=AT$8) * ($P$31:$P$45&gt;=AT$8) * ($R$31:$R$45 * $N$31:$N$45))))/12</f>
        <v>56573.25</v>
      </c>
      <c r="AU32" s="185" cm="1">
        <f t="array" ref="AU32">((SUMPRODUCT(($D$31:$D$45&lt;=AU$8) * ($E$31:$E$45&gt;=AU$8) * ($G$31:$G$45 * $C$31:$C$45)))+(SUMPRODUCT(($O$31:$O$45&lt;=AU$8) * ($P$31:$P$45&gt;=AU$8) * ($R$31:$R$45 * $N$31:$N$45))))/12</f>
        <v>52963.875</v>
      </c>
      <c r="AV32" s="274">
        <f>SUM(AJ32:AU32)</f>
        <v>636428.125</v>
      </c>
      <c r="DB32" s="205">
        <f t="shared" ref="DB32:DY32" si="21">IF(AND($O14&lt;=DB$8,$P14&gt;=DB$8),(($R14*$N14)/12),0)</f>
        <v>0</v>
      </c>
      <c r="DC32" s="204">
        <f t="shared" si="21"/>
        <v>0</v>
      </c>
      <c r="DD32" s="204">
        <f t="shared" si="21"/>
        <v>0</v>
      </c>
      <c r="DE32" s="204">
        <f t="shared" si="21"/>
        <v>0</v>
      </c>
      <c r="DF32" s="204">
        <f t="shared" si="21"/>
        <v>0</v>
      </c>
      <c r="DG32" s="204">
        <f t="shared" si="21"/>
        <v>0</v>
      </c>
      <c r="DH32" s="204">
        <f t="shared" si="21"/>
        <v>0</v>
      </c>
      <c r="DI32" s="204">
        <f t="shared" si="21"/>
        <v>0</v>
      </c>
      <c r="DJ32" s="204">
        <f t="shared" si="21"/>
        <v>0</v>
      </c>
      <c r="DK32" s="204">
        <f t="shared" si="21"/>
        <v>0</v>
      </c>
      <c r="DL32" s="204">
        <f t="shared" si="21"/>
        <v>0</v>
      </c>
      <c r="DM32" s="206">
        <f t="shared" si="21"/>
        <v>0</v>
      </c>
      <c r="DN32" s="185">
        <f t="shared" si="21"/>
        <v>0</v>
      </c>
      <c r="DO32" s="185">
        <f t="shared" si="21"/>
        <v>0</v>
      </c>
      <c r="DP32" s="185">
        <f t="shared" si="21"/>
        <v>0</v>
      </c>
      <c r="DQ32" s="185">
        <f t="shared" si="21"/>
        <v>0</v>
      </c>
      <c r="DR32" s="185">
        <f t="shared" si="21"/>
        <v>0</v>
      </c>
      <c r="DS32" s="185">
        <f t="shared" si="21"/>
        <v>0</v>
      </c>
      <c r="DT32" s="185">
        <f t="shared" si="21"/>
        <v>0</v>
      </c>
      <c r="DU32" s="185">
        <f t="shared" si="21"/>
        <v>0</v>
      </c>
      <c r="DV32" s="185">
        <f t="shared" si="21"/>
        <v>0</v>
      </c>
      <c r="DW32" s="185">
        <f t="shared" si="21"/>
        <v>0</v>
      </c>
      <c r="DX32" s="185">
        <f t="shared" si="21"/>
        <v>0</v>
      </c>
      <c r="DY32" s="185">
        <f t="shared" si="21"/>
        <v>0</v>
      </c>
    </row>
    <row r="33" spans="1:129" x14ac:dyDescent="0.35">
      <c r="A33" s="188" t="s">
        <v>625</v>
      </c>
      <c r="B33" s="34" t="str">
        <f t="shared" si="16"/>
        <v>VACANT</v>
      </c>
      <c r="C33" s="209">
        <v>822</v>
      </c>
      <c r="D33" s="229">
        <v>45962</v>
      </c>
      <c r="E33" s="218">
        <v>46326</v>
      </c>
      <c r="F33" s="188">
        <f t="shared" si="17"/>
        <v>1</v>
      </c>
      <c r="G33" s="219">
        <v>20</v>
      </c>
      <c r="H33" s="527">
        <f>(C33*G33)/12</f>
        <v>1370</v>
      </c>
      <c r="I33" s="219">
        <v>2</v>
      </c>
      <c r="J33" s="230">
        <v>0</v>
      </c>
      <c r="K33" s="186"/>
      <c r="L33" s="188" t="s">
        <v>178</v>
      </c>
      <c r="M33" s="34" t="s">
        <v>407</v>
      </c>
      <c r="N33" s="209">
        <v>1098</v>
      </c>
      <c r="O33" s="229">
        <v>46235</v>
      </c>
      <c r="P33" s="218">
        <v>47330</v>
      </c>
      <c r="Q33" s="188">
        <f t="shared" si="19"/>
        <v>3</v>
      </c>
      <c r="R33" s="219">
        <v>19</v>
      </c>
      <c r="S33" s="527">
        <f t="shared" si="20"/>
        <v>1738.5</v>
      </c>
      <c r="T33" s="219">
        <v>3</v>
      </c>
      <c r="U33" s="230">
        <v>0</v>
      </c>
      <c r="W33" s="184" t="s">
        <v>431</v>
      </c>
      <c r="X33" s="205" cm="1">
        <f t="array" ref="X33">(SUMPRODUCT((TEXT($O31:$O45,"yyyymm")=TEXT(X$30,"yyyymm")) * ($T31:$T45 * $N31:$N45)))+(SUMPRODUCT((TEXT($D31:$D45,"yyyymm")=TEXT(X$30,"yyyymm")) * ($I31:$I45 * $C31:$C45)))</f>
        <v>0</v>
      </c>
      <c r="Y33" s="185" cm="1">
        <f t="array" ref="Y33">(SUMPRODUCT((TEXT($O31:$O45,"yyyymm")=TEXT(Y$30,"yyyymm")) * ($T31:$T45 * $N31:$N45)))+(SUMPRODUCT((TEXT($D31:$D45,"yyyymm")=TEXT(Y$30,"yyyymm")) * ($I31:$I45 * $C31:$C45)))</f>
        <v>0</v>
      </c>
      <c r="Z33" s="185" cm="1">
        <f t="array" ref="Z33">(SUMPRODUCT((TEXT($O31:$O45,"yyyymm")=TEXT(Z$30,"yyyymm")) * ($T31:$T45 * $N31:$N45)))+(SUMPRODUCT((TEXT($D31:$D45,"yyyymm")=TEXT(Z$30,"yyyymm")) * ($I31:$I45 * $C31:$C45)))</f>
        <v>0</v>
      </c>
      <c r="AA33" s="185" cm="1">
        <f t="array" ref="AA33">(SUMPRODUCT((TEXT($O31:$O45,"yyyymm")=TEXT(AA$30,"yyyymm")) * ($T31:$T45 * $N31:$N45)))+(SUMPRODUCT((TEXT($D31:$D45,"yyyymm")=TEXT(AA$30,"yyyymm")) * ($I31:$I45 * $C31:$C45)))</f>
        <v>0</v>
      </c>
      <c r="AB33" s="185" cm="1">
        <f t="array" ref="AB33">(SUMPRODUCT((TEXT($O31:$O45,"yyyymm")=TEXT(AB$30,"yyyymm")) * ($T31:$T45 * $N31:$N45)))+(SUMPRODUCT((TEXT($D31:$D45,"yyyymm")=TEXT(AB$30,"yyyymm")) * ($I31:$I45 * $C31:$C45)))</f>
        <v>0</v>
      </c>
      <c r="AC33" s="185" cm="1">
        <f t="array" ref="AC33">(SUMPRODUCT((TEXT($O31:$O45,"yyyymm")=TEXT(AC$30,"yyyymm")) * ($T31:$T45 * $N31:$N45)))+(SUMPRODUCT((TEXT($D31:$D45,"yyyymm")=TEXT(AC$30,"yyyymm")) * ($I31:$I45 * $C31:$C45)))</f>
        <v>0</v>
      </c>
      <c r="AD33" s="185" cm="1">
        <f t="array" ref="AD33">(SUMPRODUCT((TEXT($O31:$O45,"yyyymm")=TEXT(AD$30,"yyyymm")) * ($T31:$T45 * $N31:$N45)))+(SUMPRODUCT((TEXT($D31:$D45,"yyyymm")=TEXT(AD$30,"yyyymm")) * ($I31:$I45 * $C31:$C45)))</f>
        <v>0</v>
      </c>
      <c r="AE33" s="185" cm="1">
        <f t="array" ref="AE33">(SUMPRODUCT((TEXT($O31:$O45,"yyyymm")=TEXT(AE$30,"yyyymm")) * ($T31:$T45 * $N31:$N45)))+(SUMPRODUCT((TEXT($D31:$D45,"yyyymm")=TEXT(AE$30,"yyyymm")) * ($I31:$I45 * $C31:$C45)))</f>
        <v>0</v>
      </c>
      <c r="AF33" s="185" cm="1">
        <f t="array" ref="AF33">(SUMPRODUCT((TEXT($O31:$O45,"yyyymm")=TEXT(AF$30,"yyyymm")) * ($T31:$T45 * $N31:$N45)))+(SUMPRODUCT((TEXT($D31:$D45,"yyyymm")=TEXT(AF$30,"yyyymm")) * ($I31:$I45 * $C31:$C45)))</f>
        <v>3656</v>
      </c>
      <c r="AG33" s="185" cm="1">
        <f t="array" ref="AG33">(SUMPRODUCT((TEXT($O31:$O45,"yyyymm")=TEXT(AG$30,"yyyymm")) * ($T31:$T45 * $N31:$N45)))+(SUMPRODUCT((TEXT($D31:$D45,"yyyymm")=TEXT(AG$30,"yyyymm")) * ($I31:$I45 * $C31:$C45)))</f>
        <v>0</v>
      </c>
      <c r="AH33" s="185" cm="1">
        <f t="array" ref="AH33">(SUMPRODUCT((TEXT($O31:$O45,"yyyymm")=TEXT(AH$30,"yyyymm")) * ($T31:$T45 * $N31:$N45)))+(SUMPRODUCT((TEXT($D31:$D45,"yyyymm")=TEXT(AH$30,"yyyymm")) * ($I31:$I45 * $C31:$C45)))</f>
        <v>1644</v>
      </c>
      <c r="AI33" s="185" cm="1">
        <f t="array" ref="AI33">(SUMPRODUCT((TEXT($O31:$O45,"yyyymm")=TEXT(AI$30,"yyyymm")) * ($T31:$T45 * $N31:$N45)))+(SUMPRODUCT((TEXT($D31:$D45,"yyyymm")=TEXT(AI$30,"yyyymm")) * ($I31:$I45 * $C31:$C45)))</f>
        <v>0</v>
      </c>
      <c r="AJ33" s="205" cm="1">
        <f t="array" ref="AJ33">(SUMPRODUCT((TEXT($O31:$O45,"yyyymm")=TEXT(AJ$30,"yyyymm")) * ($T31:$T45 * $N31:$N45)))+(SUMPRODUCT((TEXT($D31:$D45,"yyyymm")=TEXT(AJ$30,"yyyymm")) * ($I31:$I45 * $C31:$C45)))</f>
        <v>0</v>
      </c>
      <c r="AK33" s="185" cm="1">
        <f t="array" ref="AK33">(SUMPRODUCT((TEXT($O31:$O45,"yyyymm")=TEXT(AK$30,"yyyymm")) * ($T31:$T45 * $N31:$N45)))+(SUMPRODUCT((TEXT($D31:$D45,"yyyymm")=TEXT(AK$30,"yyyymm")) * ($I31:$I45 * $C31:$C45)))</f>
        <v>0</v>
      </c>
      <c r="AL33" s="185" cm="1">
        <f t="array" ref="AL33">(SUMPRODUCT((TEXT($O31:$O45,"yyyymm")=TEXT(AL$30,"yyyymm")) * ($T31:$T45 * $N31:$N45)))+(SUMPRODUCT((TEXT($D31:$D45,"yyyymm")=TEXT(AL$30,"yyyymm")) * ($I31:$I45 * $C31:$C45)))</f>
        <v>0</v>
      </c>
      <c r="AM33" s="185" cm="1">
        <f t="array" ref="AM33">(SUMPRODUCT((TEXT($O31:$O45,"yyyymm")=TEXT(AM$30,"yyyymm")) * ($T31:$T45 * $N31:$N45)))+(SUMPRODUCT((TEXT($D31:$D45,"yyyymm")=TEXT(AM$30,"yyyymm")) * ($I31:$I45 * $C31:$C45)))</f>
        <v>0</v>
      </c>
      <c r="AN33" s="185" cm="1">
        <f t="array" ref="AN33">(SUMPRODUCT((TEXT($O31:$O45,"yyyymm")=TEXT(AN$30,"yyyymm")) * ($T31:$T45 * $N31:$N45)))+(SUMPRODUCT((TEXT($D31:$D45,"yyyymm")=TEXT(AN$30,"yyyymm")) * ($I31:$I45 * $C31:$C45)))</f>
        <v>0</v>
      </c>
      <c r="AO33" s="185" cm="1">
        <f t="array" ref="AO33">(SUMPRODUCT((TEXT($O31:$O45,"yyyymm")=TEXT(AO$30,"yyyymm")) * ($T31:$T45 * $N31:$N45)))+(SUMPRODUCT((TEXT($D31:$D45,"yyyymm")=TEXT(AO$30,"yyyymm")) * ($I31:$I45 * $C31:$C45)))</f>
        <v>0</v>
      </c>
      <c r="AP33" s="185" cm="1">
        <f t="array" ref="AP33">(SUMPRODUCT((TEXT($O31:$O45,"yyyymm")=TEXT(AP$30,"yyyymm")) * ($T31:$T45 * $N31:$N45)))+(SUMPRODUCT((TEXT($D31:$D45,"yyyymm")=TEXT(AP$30,"yyyymm")) * ($I31:$I45 * $C31:$C45)))</f>
        <v>0</v>
      </c>
      <c r="AQ33" s="185" cm="1">
        <f t="array" ref="AQ33">(SUMPRODUCT((TEXT($O31:$O45,"yyyymm")=TEXT(AQ$30,"yyyymm")) * ($T31:$T45 * $N31:$N45)))+(SUMPRODUCT((TEXT($D31:$D45,"yyyymm")=TEXT(AQ$30,"yyyymm")) * ($I31:$I45 * $C31:$C45)))</f>
        <v>3294</v>
      </c>
      <c r="AR33" s="185" cm="1">
        <f t="array" ref="AR33">(SUMPRODUCT((TEXT($O31:$O45,"yyyymm")=TEXT(AR$30,"yyyymm")) * ($T31:$T45 * $N31:$N45)))+(SUMPRODUCT((TEXT($D31:$D45,"yyyymm")=TEXT(AR$30,"yyyymm")) * ($I31:$I45 * $C31:$C45)))</f>
        <v>0</v>
      </c>
      <c r="AS33" s="185" cm="1">
        <f t="array" ref="AS33">(SUMPRODUCT((TEXT($O31:$O45,"yyyymm")=TEXT(AS$30,"yyyymm")) * ($T31:$T45 * $N31:$N45)))+(SUMPRODUCT((TEXT($D31:$D45,"yyyymm")=TEXT(AS$30,"yyyymm")) * ($I31:$I45 * $C31:$C45)))</f>
        <v>0</v>
      </c>
      <c r="AT33" s="185" cm="1">
        <f t="array" ref="AT33">(SUMPRODUCT((TEXT($O31:$O45,"yyyymm")=TEXT(AT$30,"yyyymm")) * ($T31:$T45 * $N31:$N45)))+(SUMPRODUCT((TEXT($D31:$D45,"yyyymm")=TEXT(AT$30,"yyyymm")) * ($I31:$I45 * $C31:$C45)))</f>
        <v>0</v>
      </c>
      <c r="AU33" s="185" cm="1">
        <f t="array" ref="AU33">(SUMPRODUCT((TEXT($O31:$O45,"yyyymm")=TEXT(AU$30,"yyyymm")) * ($T31:$T45 * $N31:$N45)))+(SUMPRODUCT((TEXT($D31:$D45,"yyyymm")=TEXT(AU$30,"yyyymm")) * ($I31:$I45 * $C31:$C45)))</f>
        <v>0</v>
      </c>
      <c r="AV33" s="274">
        <f t="shared" ref="AV33:AV34" si="22">SUM(AJ33:AU33)</f>
        <v>3294</v>
      </c>
      <c r="DB33" s="205">
        <f t="shared" ref="DB33:DY33" si="23">IF(AND($O15&lt;=DB$8,$P15&gt;=DB$8),(($R15*$N15)/12),0)</f>
        <v>0</v>
      </c>
      <c r="DC33" s="204">
        <f t="shared" si="23"/>
        <v>0</v>
      </c>
      <c r="DD33" s="204">
        <f t="shared" si="23"/>
        <v>0</v>
      </c>
      <c r="DE33" s="204">
        <f t="shared" si="23"/>
        <v>0</v>
      </c>
      <c r="DF33" s="204">
        <f t="shared" si="23"/>
        <v>0</v>
      </c>
      <c r="DG33" s="204">
        <f t="shared" si="23"/>
        <v>0</v>
      </c>
      <c r="DH33" s="204">
        <f t="shared" si="23"/>
        <v>0</v>
      </c>
      <c r="DI33" s="204">
        <f t="shared" si="23"/>
        <v>0</v>
      </c>
      <c r="DJ33" s="204">
        <f t="shared" si="23"/>
        <v>0</v>
      </c>
      <c r="DK33" s="204">
        <f t="shared" si="23"/>
        <v>0</v>
      </c>
      <c r="DL33" s="204">
        <f t="shared" si="23"/>
        <v>0</v>
      </c>
      <c r="DM33" s="206">
        <f t="shared" si="23"/>
        <v>0</v>
      </c>
      <c r="DN33" s="185">
        <f t="shared" si="23"/>
        <v>0</v>
      </c>
      <c r="DO33" s="185">
        <f t="shared" si="23"/>
        <v>0</v>
      </c>
      <c r="DP33" s="185">
        <f t="shared" si="23"/>
        <v>0</v>
      </c>
      <c r="DQ33" s="185">
        <f t="shared" si="23"/>
        <v>0</v>
      </c>
      <c r="DR33" s="185">
        <f t="shared" si="23"/>
        <v>0</v>
      </c>
      <c r="DS33" s="185">
        <f t="shared" si="23"/>
        <v>0</v>
      </c>
      <c r="DT33" s="185">
        <f t="shared" si="23"/>
        <v>0</v>
      </c>
      <c r="DU33" s="185">
        <f t="shared" si="23"/>
        <v>0</v>
      </c>
      <c r="DV33" s="185">
        <f t="shared" si="23"/>
        <v>0</v>
      </c>
      <c r="DW33" s="185">
        <f t="shared" si="23"/>
        <v>0</v>
      </c>
      <c r="DX33" s="185">
        <f t="shared" si="23"/>
        <v>0</v>
      </c>
      <c r="DY33" s="185">
        <f t="shared" si="23"/>
        <v>0</v>
      </c>
    </row>
    <row r="34" spans="1:129" x14ac:dyDescent="0.35">
      <c r="A34" s="188" t="s">
        <v>632</v>
      </c>
      <c r="B34" s="34" t="str">
        <f t="shared" si="16"/>
        <v>VACANT</v>
      </c>
      <c r="C34" s="209">
        <v>5674</v>
      </c>
      <c r="D34" s="229"/>
      <c r="E34" s="220"/>
      <c r="F34" s="188">
        <f t="shared" si="17"/>
        <v>0</v>
      </c>
      <c r="G34" s="221"/>
      <c r="H34" s="527">
        <f t="shared" si="18"/>
        <v>0</v>
      </c>
      <c r="I34" s="219"/>
      <c r="J34" s="230"/>
      <c r="K34" s="186"/>
      <c r="L34" s="188"/>
      <c r="M34" s="34"/>
      <c r="N34" s="209"/>
      <c r="O34" s="229"/>
      <c r="P34" s="218"/>
      <c r="Q34" s="188">
        <f t="shared" ref="Q34:Q39" si="24">IFERROR(ROUNDUP(((DATEDIF(O34,P34,"d"))/365),1),0)</f>
        <v>0</v>
      </c>
      <c r="R34" s="219"/>
      <c r="S34" s="527">
        <f t="shared" si="20"/>
        <v>0</v>
      </c>
      <c r="T34" s="219"/>
      <c r="U34" s="230"/>
      <c r="W34" s="184" t="s">
        <v>435</v>
      </c>
      <c r="X34" s="205" cm="1">
        <f t="array" ref="X34">IFERROR((SUMPRODUCT((TEXT($O31:$O45,"yyyymm")=TEXT(X$30,"yyyymm")) * ($U31:$U45 * $N31:$N45*$R31:$R45*$Q31:$Q45)))+(SUMPRODUCT((TEXT($D31:$D45,"yyyymm")=TEXT(X$30,"yyyymm")) * ($J31:$J45 * $C31:$C45*$G31:$G45*$F31:$F45))),0)</f>
        <v>0</v>
      </c>
      <c r="Y34" s="185" cm="1">
        <f t="array" ref="Y34">IFERROR((SUMPRODUCT((TEXT($O31:$O45,"yyyymm")=TEXT(Y$30,"yyyymm")) * ($U31:$U45 * $N31:$N45*$R31:$R45*$Q31:$Q45)))+(SUMPRODUCT((TEXT($D31:$D45,"yyyymm")=TEXT(Y$30,"yyyymm")) * ($J31:$J45 * $C31:$C45*$G31:$G45*$F31:$F45))),0)</f>
        <v>0</v>
      </c>
      <c r="Z34" s="185" cm="1">
        <f t="array" ref="Z34">IFERROR((SUMPRODUCT((TEXT($O31:$O45,"yyyymm")=TEXT(Z$30,"yyyymm")) * ($U31:$U45 * $N31:$N45*$R31:$R45*$Q31:$Q45)))+(SUMPRODUCT((TEXT($D31:$D45,"yyyymm")=TEXT(Z$30,"yyyymm")) * ($J31:$J45 * $C31:$C45*$G31:$G45*$F31:$F45))),0)</f>
        <v>0</v>
      </c>
      <c r="AA34" s="185" cm="1">
        <f t="array" ref="AA34">IFERROR((SUMPRODUCT((TEXT($O31:$O45,"yyyymm")=TEXT(AA$30,"yyyymm")) * ($U31:$U45 * $N31:$N45*$R31:$R45*$Q31:$Q45)))+(SUMPRODUCT((TEXT($D31:$D45,"yyyymm")=TEXT(AA$30,"yyyymm")) * ($J31:$J45 * $C31:$C45*$G31:$G45*$F31:$F45))),0)</f>
        <v>0</v>
      </c>
      <c r="AB34" s="185" cm="1">
        <f t="array" ref="AB34">IFERROR((SUMPRODUCT((TEXT($O31:$O45,"yyyymm")=TEXT(AB$30,"yyyymm")) * ($U31:$U45 * $N31:$N45*$R31:$R45*$Q31:$Q45)))+(SUMPRODUCT((TEXT($D31:$D45,"yyyymm")=TEXT(AB$30,"yyyymm")) * ($J31:$J45 * $C31:$C45*$G31:$G45*$F31:$F45))),0)</f>
        <v>0</v>
      </c>
      <c r="AC34" s="185" cm="1">
        <f t="array" ref="AC34">IFERROR((SUMPRODUCT((TEXT($O31:$O45,"yyyymm")=TEXT(AC$30,"yyyymm")) * ($U31:$U45 * $N31:$N45*$R31:$R45*$Q31:$Q45)))+(SUMPRODUCT((TEXT($D31:$D45,"yyyymm")=TEXT(AC$30,"yyyymm")) * ($J31:$J45 * $C31:$C45*$G31:$G45*$F31:$F45))),0)</f>
        <v>0</v>
      </c>
      <c r="AD34" s="185" cm="1">
        <f t="array" ref="AD34">IFERROR((SUMPRODUCT((TEXT($O31:$O45,"yyyymm")=TEXT(AD$30,"yyyymm")) * ($U31:$U45 * $N31:$N45*$R31:$R45*$Q31:$Q45)))+(SUMPRODUCT((TEXT($D31:$D45,"yyyymm")=TEXT(AD$30,"yyyymm")) * ($J31:$J45 * $C31:$C45*$G31:$G45*$F31:$F45))),0)</f>
        <v>0</v>
      </c>
      <c r="AE34" s="185" cm="1">
        <f t="array" ref="AE34">IFERROR((SUMPRODUCT((TEXT($O31:$O45,"yyyymm")=TEXT(AE$30,"yyyymm")) * ($U31:$U45 * $N31:$N45*$R31:$R45*$Q31:$Q45)))+(SUMPRODUCT((TEXT($D31:$D45,"yyyymm")=TEXT(AE$30,"yyyymm")) * ($J31:$J45 * $C31:$C45*$G31:$G45*$F31:$F45))),0)</f>
        <v>0</v>
      </c>
      <c r="AF34" s="185" cm="1">
        <f t="array" ref="AF34">IFERROR((SUMPRODUCT((TEXT($O31:$O45,"yyyymm")=TEXT(AF$30,"yyyymm")) * ($U31:$U45 * $N31:$N45*$R31:$R45*$Q31:$Q45)))+(SUMPRODUCT((TEXT($D31:$D45,"yyyymm")=TEXT(AF$30,"yyyymm")) * ($J31:$J45 * $C31:$C45*$G31:$G45*$F31:$F45))),0)</f>
        <v>0</v>
      </c>
      <c r="AG34" s="185" cm="1">
        <f t="array" ref="AG34">IFERROR((SUMPRODUCT((TEXT($O31:$O45,"yyyymm")=TEXT(AG$30,"yyyymm")) * ($U31:$U45 * $N31:$N45*$R31:$R45*$Q31:$Q45)))+(SUMPRODUCT((TEXT($D31:$D45,"yyyymm")=TEXT(AG$30,"yyyymm")) * ($J31:$J45 * $C31:$C45*$G31:$G45*$F31:$F45))),0)</f>
        <v>0</v>
      </c>
      <c r="AH34" s="185" cm="1">
        <f t="array" ref="AH34">IFERROR((SUMPRODUCT((TEXT($O31:$O45,"yyyymm")=TEXT(AH$30,"yyyymm")) * ($U31:$U45 * $N31:$N45*$R31:$R45*$Q31:$Q45)))+(SUMPRODUCT((TEXT($D31:$D45,"yyyymm")=TEXT(AH$30,"yyyymm")) * ($J31:$J45 * $C31:$C45*$G31:$G45*$F31:$F45))),0)</f>
        <v>0</v>
      </c>
      <c r="AI34" s="185" cm="1">
        <f t="array" ref="AI34">IFERROR((SUMPRODUCT((TEXT($O31:$O45,"yyyymm")=TEXT(AI$30,"yyyymm")) * ($U31:$U45 * $N31:$N45*$R31:$R45*$Q31:$Q45)))+(SUMPRODUCT((TEXT($D31:$D45,"yyyymm")=TEXT(AI$30,"yyyymm")) * ($J31:$J45 * $C31:$C45*$G31:$G45*$F31:$F45))),0)</f>
        <v>0</v>
      </c>
      <c r="AJ34" s="205" cm="1">
        <f t="array" ref="AJ34">IFERROR((SUMPRODUCT((TEXT($O31:$O45,"yyyymm")=TEXT(AJ$30,"yyyymm")) * ($U31:$U45 * $N31:$N45*$R31:$R45*$Q31:$Q45)))+(SUMPRODUCT((TEXT($D31:$D45,"yyyymm")=TEXT(AJ$30,"yyyymm")) * ($J31:$J45 * $C31:$C45*$G31:$G45*$F31:$F45))),0)</f>
        <v>50687.250000000007</v>
      </c>
      <c r="AK34" s="185" cm="1">
        <f t="array" ref="AK34">IFERROR((SUMPRODUCT((TEXT($O31:$O45,"yyyymm")=TEXT(AK$30,"yyyymm")) * ($U31:$U45 * $N31:$N45*$R31:$R45*$Q31:$Q45)))+(SUMPRODUCT((TEXT($D31:$D45,"yyyymm")=TEXT(AK$30,"yyyymm")) * ($J31:$J45 * $C31:$C45*$G31:$G45*$F31:$F45))),0)</f>
        <v>0</v>
      </c>
      <c r="AL34" s="185" cm="1">
        <f t="array" ref="AL34">IFERROR((SUMPRODUCT((TEXT($O31:$O45,"yyyymm")=TEXT(AL$30,"yyyymm")) * ($U31:$U45 * $N31:$N45*$R31:$R45*$Q31:$Q45)))+(SUMPRODUCT((TEXT($D31:$D45,"yyyymm")=TEXT(AL$30,"yyyymm")) * ($J31:$J45 * $C31:$C45*$G31:$G45*$F31:$F45))),0)</f>
        <v>0</v>
      </c>
      <c r="AM34" s="185" cm="1">
        <f t="array" ref="AM34">IFERROR((SUMPRODUCT((TEXT($O31:$O45,"yyyymm")=TEXT(AM$30,"yyyymm")) * ($U31:$U45 * $N31:$N45*$R31:$R45*$Q31:$Q45)))+(SUMPRODUCT((TEXT($D31:$D45,"yyyymm")=TEXT(AM$30,"yyyymm")) * ($J31:$J45 * $C31:$C45*$G31:$G45*$F31:$F45))),0)</f>
        <v>2160.1799999999998</v>
      </c>
      <c r="AN34" s="185" cm="1">
        <f t="array" ref="AN34">IFERROR((SUMPRODUCT((TEXT($O31:$O45,"yyyymm")=TEXT(AN$30,"yyyymm")) * ($U31:$U45 * $N31:$N45*$R31:$R45*$Q31:$Q45)))+(SUMPRODUCT((TEXT($D31:$D45,"yyyymm")=TEXT(AN$30,"yyyymm")) * ($J31:$J45 * $C31:$C45*$G31:$G45*$F31:$F45))),0)</f>
        <v>0</v>
      </c>
      <c r="AO34" s="185" cm="1">
        <f t="array" ref="AO34">IFERROR((SUMPRODUCT((TEXT($O31:$O45,"yyyymm")=TEXT(AO$30,"yyyymm")) * ($U31:$U45 * $N31:$N45*$R31:$R45*$Q31:$Q45)))+(SUMPRODUCT((TEXT($D31:$D45,"yyyymm")=TEXT(AO$30,"yyyymm")) * ($J31:$J45 * $C31:$C45*$G31:$G45*$F31:$F45))),0)</f>
        <v>0</v>
      </c>
      <c r="AP34" s="185" cm="1">
        <f t="array" ref="AP34">IFERROR((SUMPRODUCT((TEXT($O31:$O45,"yyyymm")=TEXT(AP$30,"yyyymm")) * ($U31:$U45 * $N31:$N45*$R31:$R45*$Q31:$Q45)))+(SUMPRODUCT((TEXT($D31:$D45,"yyyymm")=TEXT(AP$30,"yyyymm")) * ($J31:$J45 * $C31:$C45*$G31:$G45*$F31:$F45))),0)</f>
        <v>5266.3499999999995</v>
      </c>
      <c r="AQ34" s="185" cm="1">
        <f t="array" ref="AQ34">IFERROR((SUMPRODUCT((TEXT($O31:$O45,"yyyymm")=TEXT(AQ$30,"yyyymm")) * ($U31:$U45 * $N31:$N45*$R31:$R45*$Q31:$Q45)))+(SUMPRODUCT((TEXT($D31:$D45,"yyyymm")=TEXT(AQ$30,"yyyymm")) * ($J31:$J45 * $C31:$C45*$G31:$G45*$F31:$F45))),0)</f>
        <v>0</v>
      </c>
      <c r="AR34" s="185" cm="1">
        <f t="array" ref="AR34">IFERROR((SUMPRODUCT((TEXT($O31:$O45,"yyyymm")=TEXT(AR$30,"yyyymm")) * ($U31:$U45 * $N31:$N45*$R31:$R45*$Q31:$Q45)))+(SUMPRODUCT((TEXT($D31:$D45,"yyyymm")=TEXT(AR$30,"yyyymm")) * ($J31:$J45 * $C31:$C45*$G31:$G45*$F31:$F45))),0)</f>
        <v>0</v>
      </c>
      <c r="AS34" s="185" cm="1">
        <f t="array" ref="AS34">IFERROR((SUMPRODUCT((TEXT($O31:$O45,"yyyymm")=TEXT(AS$30,"yyyymm")) * ($U31:$U45 * $N31:$N45*$R31:$R45*$Q31:$Q45)))+(SUMPRODUCT((TEXT($D31:$D45,"yyyymm")=TEXT(AS$30,"yyyymm")) * ($J31:$J45 * $C31:$C45*$G31:$G45*$F31:$F45))),0)</f>
        <v>0</v>
      </c>
      <c r="AT34" s="185" cm="1">
        <f t="array" ref="AT34">IFERROR((SUMPRODUCT((TEXT($O31:$O45,"yyyymm")=TEXT(AT$30,"yyyymm")) * ($U31:$U45 * $N31:$N45*$R31:$R45*$Q31:$Q45)))+(SUMPRODUCT((TEXT($D31:$D45,"yyyymm")=TEXT(AT$30,"yyyymm")) * ($J31:$J45 * $C31:$C45*$G31:$G45*$F31:$F45))),0)</f>
        <v>0</v>
      </c>
      <c r="AU34" s="185" cm="1">
        <f t="array" ref="AU34">IFERROR((SUMPRODUCT((TEXT($O31:$O45,"yyyymm")=TEXT(AU$30,"yyyymm")) * ($U31:$U45 * $N31:$N45*$R31:$R45*$Q31:$Q45)))+(SUMPRODUCT((TEXT($D31:$D45,"yyyymm")=TEXT(AU$30,"yyyymm")) * ($J31:$J45 * $C31:$C45*$G31:$G45*$F31:$F45))),0)</f>
        <v>0</v>
      </c>
      <c r="AV34" s="274">
        <f t="shared" si="22"/>
        <v>58113.780000000006</v>
      </c>
      <c r="DB34" s="205">
        <f t="shared" ref="DB34:DY34" si="25">IF(AND($O16&lt;=DB$8,$P16&gt;=DB$8),(($R16*$N16)/12),0)</f>
        <v>0</v>
      </c>
      <c r="DC34" s="204">
        <f t="shared" si="25"/>
        <v>0</v>
      </c>
      <c r="DD34" s="204">
        <f t="shared" si="25"/>
        <v>0</v>
      </c>
      <c r="DE34" s="204">
        <f t="shared" si="25"/>
        <v>0</v>
      </c>
      <c r="DF34" s="204">
        <f t="shared" si="25"/>
        <v>0</v>
      </c>
      <c r="DG34" s="204">
        <f t="shared" si="25"/>
        <v>0</v>
      </c>
      <c r="DH34" s="204">
        <f t="shared" si="25"/>
        <v>0</v>
      </c>
      <c r="DI34" s="204">
        <f t="shared" si="25"/>
        <v>0</v>
      </c>
      <c r="DJ34" s="204">
        <f t="shared" si="25"/>
        <v>0</v>
      </c>
      <c r="DK34" s="204">
        <f t="shared" si="25"/>
        <v>0</v>
      </c>
      <c r="DL34" s="204">
        <f t="shared" si="25"/>
        <v>0</v>
      </c>
      <c r="DM34" s="206">
        <f t="shared" si="25"/>
        <v>0</v>
      </c>
      <c r="DN34" s="185">
        <f t="shared" si="25"/>
        <v>0</v>
      </c>
      <c r="DO34" s="185">
        <f t="shared" si="25"/>
        <v>0</v>
      </c>
      <c r="DP34" s="185">
        <f t="shared" si="25"/>
        <v>0</v>
      </c>
      <c r="DQ34" s="185">
        <f t="shared" si="25"/>
        <v>0</v>
      </c>
      <c r="DR34" s="185">
        <f t="shared" si="25"/>
        <v>0</v>
      </c>
      <c r="DS34" s="185">
        <f t="shared" si="25"/>
        <v>0</v>
      </c>
      <c r="DT34" s="185">
        <f t="shared" si="25"/>
        <v>0</v>
      </c>
      <c r="DU34" s="185">
        <f t="shared" si="25"/>
        <v>0</v>
      </c>
      <c r="DV34" s="185">
        <f t="shared" si="25"/>
        <v>0</v>
      </c>
      <c r="DW34" s="185">
        <f t="shared" si="25"/>
        <v>0</v>
      </c>
      <c r="DX34" s="185">
        <f t="shared" si="25"/>
        <v>0</v>
      </c>
      <c r="DY34" s="185">
        <f t="shared" si="25"/>
        <v>0</v>
      </c>
    </row>
    <row r="35" spans="1:129" ht="17.5" x14ac:dyDescent="0.35">
      <c r="A35" s="188" t="s">
        <v>633</v>
      </c>
      <c r="B35" s="34" t="str">
        <f t="shared" si="16"/>
        <v>VACANT</v>
      </c>
      <c r="C35" s="209">
        <v>3047</v>
      </c>
      <c r="D35" s="229"/>
      <c r="E35" s="218"/>
      <c r="F35" s="188">
        <f t="shared" si="17"/>
        <v>0</v>
      </c>
      <c r="G35" s="219"/>
      <c r="H35" s="527">
        <f t="shared" si="18"/>
        <v>0</v>
      </c>
      <c r="I35" s="219"/>
      <c r="J35" s="230"/>
      <c r="K35" s="186"/>
      <c r="L35" s="188" t="s">
        <v>180</v>
      </c>
      <c r="M35" s="34" t="s">
        <v>408</v>
      </c>
      <c r="N35" s="195">
        <v>1828</v>
      </c>
      <c r="O35" s="229">
        <v>45901</v>
      </c>
      <c r="P35" s="218">
        <v>46630</v>
      </c>
      <c r="Q35" s="188">
        <f>IFERROR(ROUNDUP(((DATEDIF(O35,P35,"d"))/365),1),0)</f>
        <v>2</v>
      </c>
      <c r="R35" s="219">
        <v>22</v>
      </c>
      <c r="S35" s="527">
        <f t="shared" si="20"/>
        <v>3351.3333333333335</v>
      </c>
      <c r="T35" s="221">
        <v>2</v>
      </c>
      <c r="U35" s="230">
        <v>0</v>
      </c>
      <c r="W35" s="250" t="s">
        <v>368</v>
      </c>
      <c r="X35" s="145">
        <f>SUM(X32:X34)</f>
        <v>3609.375</v>
      </c>
      <c r="Y35" s="145">
        <f t="shared" ref="Y35" si="26">SUM(Y32:Y34)</f>
        <v>3609.375</v>
      </c>
      <c r="Z35" s="145">
        <f t="shared" ref="Z35" si="27">SUM(Z32:Z34)</f>
        <v>3609.375</v>
      </c>
      <c r="AA35" s="145">
        <f t="shared" ref="AA35" si="28">SUM(AA32:AA34)</f>
        <v>3609.375</v>
      </c>
      <c r="AB35" s="145">
        <f t="shared" ref="AB35" si="29">SUM(AB32:AB34)</f>
        <v>3609.375</v>
      </c>
      <c r="AC35" s="145">
        <f t="shared" ref="AC35" si="30">SUM(AC32:AC34)</f>
        <v>3609.375</v>
      </c>
      <c r="AD35" s="145">
        <f t="shared" ref="AD35" si="31">SUM(AD32:AD34)</f>
        <v>3609.375</v>
      </c>
      <c r="AE35" s="145">
        <f t="shared" ref="AE35" si="32">SUM(AE32:AE34)</f>
        <v>3609.375</v>
      </c>
      <c r="AF35" s="145">
        <f t="shared" ref="AF35" si="33">SUM(AF32:AF34)</f>
        <v>10616.708333333332</v>
      </c>
      <c r="AG35" s="145">
        <f t="shared" ref="AG35" si="34">SUM(AG32:AG34)</f>
        <v>6960.708333333333</v>
      </c>
      <c r="AH35" s="145">
        <f t="shared" ref="AH35" si="35">SUM(AH32:AH34)</f>
        <v>11391.708333333334</v>
      </c>
      <c r="AI35" s="145">
        <f t="shared" ref="AI35" si="36">SUM(AI32:AI34)</f>
        <v>9747.7083333333339</v>
      </c>
      <c r="AJ35" s="145">
        <f t="shared" ref="AJ35" si="37">SUM(AJ32:AJ34)</f>
        <v>98218.583333333343</v>
      </c>
      <c r="AK35" s="145">
        <f t="shared" ref="AK35" si="38">SUM(AK32:AK34)</f>
        <v>47531.333333333336</v>
      </c>
      <c r="AL35" s="145">
        <f t="shared" ref="AL35" si="39">SUM(AL32:AL34)</f>
        <v>47531.333333333336</v>
      </c>
      <c r="AM35" s="145">
        <f t="shared" ref="AM35" si="40">SUM(AM32:AM34)</f>
        <v>51691.68</v>
      </c>
      <c r="AN35" s="145">
        <f t="shared" ref="AN35" si="41">SUM(AN32:AN34)</f>
        <v>49531.5</v>
      </c>
      <c r="AO35" s="145">
        <f t="shared" ref="AO35" si="42">SUM(AO32:AO34)</f>
        <v>49531.5</v>
      </c>
      <c r="AP35" s="145">
        <f t="shared" ref="AP35" si="43">SUM(AP32:AP34)</f>
        <v>62888.1</v>
      </c>
      <c r="AQ35" s="145">
        <f t="shared" ref="AQ35" si="44">SUM(AQ32:AQ34)</f>
        <v>62654.25</v>
      </c>
      <c r="AR35" s="145">
        <f t="shared" ref="AR35" si="45">SUM(AR32:AR34)</f>
        <v>59360.25</v>
      </c>
      <c r="AS35" s="145">
        <f t="shared" ref="AS35" si="46">SUM(AS32:AS34)</f>
        <v>59360.25</v>
      </c>
      <c r="AT35" s="145">
        <f t="shared" ref="AT35" si="47">SUM(AT32:AT34)</f>
        <v>56573.25</v>
      </c>
      <c r="AU35" s="251">
        <f t="shared" ref="AU35:AV35" si="48">SUM(AU32:AU34)</f>
        <v>52963.875</v>
      </c>
      <c r="AV35" s="145">
        <f t="shared" si="48"/>
        <v>697835.90500000003</v>
      </c>
      <c r="DB35" s="205">
        <f t="shared" ref="DB35:DY35" si="49">IF(AND($O17&lt;=DB$8,$P17&gt;=DB$8),(($R17*$N17)/12),0)</f>
        <v>0</v>
      </c>
      <c r="DC35" s="204">
        <f t="shared" si="49"/>
        <v>0</v>
      </c>
      <c r="DD35" s="204">
        <f t="shared" si="49"/>
        <v>0</v>
      </c>
      <c r="DE35" s="204">
        <f t="shared" si="49"/>
        <v>0</v>
      </c>
      <c r="DF35" s="204">
        <f t="shared" si="49"/>
        <v>0</v>
      </c>
      <c r="DG35" s="204">
        <f t="shared" si="49"/>
        <v>0</v>
      </c>
      <c r="DH35" s="204">
        <f t="shared" si="49"/>
        <v>0</v>
      </c>
      <c r="DI35" s="204">
        <f t="shared" si="49"/>
        <v>0</v>
      </c>
      <c r="DJ35" s="204">
        <f t="shared" si="49"/>
        <v>0</v>
      </c>
      <c r="DK35" s="204">
        <f t="shared" si="49"/>
        <v>0</v>
      </c>
      <c r="DL35" s="204">
        <f t="shared" si="49"/>
        <v>0</v>
      </c>
      <c r="DM35" s="206">
        <f t="shared" si="49"/>
        <v>0</v>
      </c>
      <c r="DN35" s="185">
        <f t="shared" si="49"/>
        <v>0</v>
      </c>
      <c r="DO35" s="185">
        <f t="shared" si="49"/>
        <v>0</v>
      </c>
      <c r="DP35" s="185">
        <f t="shared" si="49"/>
        <v>0</v>
      </c>
      <c r="DQ35" s="185">
        <f t="shared" si="49"/>
        <v>0</v>
      </c>
      <c r="DR35" s="185">
        <f t="shared" si="49"/>
        <v>0</v>
      </c>
      <c r="DS35" s="185">
        <f t="shared" si="49"/>
        <v>0</v>
      </c>
      <c r="DT35" s="185">
        <f t="shared" si="49"/>
        <v>0</v>
      </c>
      <c r="DU35" s="185">
        <f t="shared" si="49"/>
        <v>0</v>
      </c>
      <c r="DV35" s="185">
        <f t="shared" si="49"/>
        <v>0</v>
      </c>
      <c r="DW35" s="185">
        <f t="shared" si="49"/>
        <v>0</v>
      </c>
      <c r="DX35" s="185">
        <f t="shared" si="49"/>
        <v>0</v>
      </c>
      <c r="DY35" s="185">
        <f t="shared" si="49"/>
        <v>0</v>
      </c>
    </row>
    <row r="36" spans="1:129" x14ac:dyDescent="0.35">
      <c r="A36" s="188" t="s">
        <v>634</v>
      </c>
      <c r="B36" s="34" t="str">
        <f t="shared" si="16"/>
        <v>VACANT</v>
      </c>
      <c r="C36" s="209">
        <v>3639</v>
      </c>
      <c r="D36" s="229">
        <v>46023</v>
      </c>
      <c r="E36" s="218">
        <v>46387</v>
      </c>
      <c r="F36" s="188">
        <f t="shared" si="17"/>
        <v>1</v>
      </c>
      <c r="G36" s="219">
        <v>18</v>
      </c>
      <c r="H36" s="527">
        <f t="shared" si="18"/>
        <v>5458.5</v>
      </c>
      <c r="I36" s="219"/>
      <c r="J36" s="230"/>
      <c r="K36" s="186"/>
      <c r="L36" s="188" t="s">
        <v>181</v>
      </c>
      <c r="M36" s="34" t="s">
        <v>409</v>
      </c>
      <c r="N36" s="195">
        <v>11703</v>
      </c>
      <c r="O36" s="229">
        <v>46204</v>
      </c>
      <c r="P36" s="218">
        <v>46568</v>
      </c>
      <c r="Q36" s="188">
        <f>IFERROR(ROUNDUP(((DATEDIF(O36,P36,"d"))/365),1),0)</f>
        <v>1</v>
      </c>
      <c r="R36" s="219">
        <v>15</v>
      </c>
      <c r="S36" s="527">
        <f t="shared" si="20"/>
        <v>14628.75</v>
      </c>
      <c r="T36" s="221">
        <v>0</v>
      </c>
      <c r="U36" s="230">
        <v>0.03</v>
      </c>
      <c r="AK36" s="185"/>
      <c r="DB36" s="205">
        <f t="shared" ref="DB36:DY36" si="50">IF(AND($O18&lt;=DB$8,$P18&gt;=DB$8),(($R18*$N18)/12),0)</f>
        <v>0</v>
      </c>
      <c r="DC36" s="204">
        <f t="shared" si="50"/>
        <v>0</v>
      </c>
      <c r="DD36" s="204">
        <f t="shared" si="50"/>
        <v>0</v>
      </c>
      <c r="DE36" s="204">
        <f t="shared" si="50"/>
        <v>0</v>
      </c>
      <c r="DF36" s="204">
        <f t="shared" si="50"/>
        <v>0</v>
      </c>
      <c r="DG36" s="204">
        <f t="shared" si="50"/>
        <v>0</v>
      </c>
      <c r="DH36" s="204">
        <f t="shared" si="50"/>
        <v>0</v>
      </c>
      <c r="DI36" s="204">
        <f t="shared" si="50"/>
        <v>0</v>
      </c>
      <c r="DJ36" s="204">
        <f t="shared" si="50"/>
        <v>0</v>
      </c>
      <c r="DK36" s="204">
        <f t="shared" si="50"/>
        <v>0</v>
      </c>
      <c r="DL36" s="204">
        <f t="shared" si="50"/>
        <v>0</v>
      </c>
      <c r="DM36" s="206">
        <f t="shared" si="50"/>
        <v>0</v>
      </c>
      <c r="DN36" s="185">
        <f t="shared" si="50"/>
        <v>0</v>
      </c>
      <c r="DO36" s="185">
        <f t="shared" si="50"/>
        <v>0</v>
      </c>
      <c r="DP36" s="185">
        <f t="shared" si="50"/>
        <v>0</v>
      </c>
      <c r="DQ36" s="185">
        <f t="shared" si="50"/>
        <v>0</v>
      </c>
      <c r="DR36" s="185">
        <f t="shared" si="50"/>
        <v>0</v>
      </c>
      <c r="DS36" s="185">
        <f t="shared" si="50"/>
        <v>0</v>
      </c>
      <c r="DT36" s="185">
        <f t="shared" si="50"/>
        <v>0</v>
      </c>
      <c r="DU36" s="185">
        <f t="shared" si="50"/>
        <v>0</v>
      </c>
      <c r="DV36" s="185">
        <f t="shared" si="50"/>
        <v>0</v>
      </c>
      <c r="DW36" s="185">
        <f t="shared" si="50"/>
        <v>0</v>
      </c>
      <c r="DX36" s="185">
        <f t="shared" si="50"/>
        <v>0</v>
      </c>
      <c r="DY36" s="185">
        <f t="shared" si="50"/>
        <v>0</v>
      </c>
    </row>
    <row r="37" spans="1:129" x14ac:dyDescent="0.35">
      <c r="A37" s="188" t="s">
        <v>185</v>
      </c>
      <c r="B37" s="34" t="str">
        <f t="shared" si="16"/>
        <v>VACANT</v>
      </c>
      <c r="C37" s="209">
        <f>36948-C40</f>
        <v>18474</v>
      </c>
      <c r="D37" s="229"/>
      <c r="E37" s="218"/>
      <c r="F37" s="188">
        <f t="shared" si="17"/>
        <v>0</v>
      </c>
      <c r="G37" s="219"/>
      <c r="H37" s="527">
        <f t="shared" si="18"/>
        <v>0</v>
      </c>
      <c r="I37" s="221"/>
      <c r="J37" s="230"/>
      <c r="K37" s="186"/>
      <c r="L37" s="188" t="s">
        <v>631</v>
      </c>
      <c r="M37" s="184" t="s">
        <v>636</v>
      </c>
      <c r="O37" s="229">
        <v>46023</v>
      </c>
      <c r="P37" s="218">
        <v>46387</v>
      </c>
      <c r="Q37" s="188">
        <f>IFERROR(ROUNDUP(((DATEDIF(O37,P37,"d"))/365),1),0)</f>
        <v>1</v>
      </c>
      <c r="R37" s="219">
        <v>0</v>
      </c>
      <c r="S37" s="527">
        <f t="shared" si="20"/>
        <v>0</v>
      </c>
      <c r="T37" s="221">
        <v>0</v>
      </c>
      <c r="U37" s="230">
        <v>0</v>
      </c>
      <c r="W37" s="245" t="s">
        <v>440</v>
      </c>
      <c r="AK37" s="185"/>
      <c r="DB37" s="205">
        <f t="shared" ref="DB37:DY37" si="51">IF(AND($O19&lt;=DB$8,$P19&gt;=DB$8),(($R19*$N19)/12),0)</f>
        <v>0</v>
      </c>
      <c r="DC37" s="204">
        <f t="shared" si="51"/>
        <v>0</v>
      </c>
      <c r="DD37" s="204">
        <f t="shared" si="51"/>
        <v>0</v>
      </c>
      <c r="DE37" s="204">
        <f t="shared" si="51"/>
        <v>0</v>
      </c>
      <c r="DF37" s="204">
        <f t="shared" si="51"/>
        <v>0</v>
      </c>
      <c r="DG37" s="204">
        <f t="shared" si="51"/>
        <v>0</v>
      </c>
      <c r="DH37" s="204">
        <f t="shared" si="51"/>
        <v>0</v>
      </c>
      <c r="DI37" s="204">
        <f t="shared" si="51"/>
        <v>0</v>
      </c>
      <c r="DJ37" s="204">
        <f t="shared" si="51"/>
        <v>0</v>
      </c>
      <c r="DK37" s="204">
        <f t="shared" si="51"/>
        <v>0</v>
      </c>
      <c r="DL37" s="204">
        <f t="shared" si="51"/>
        <v>0</v>
      </c>
      <c r="DM37" s="206">
        <f t="shared" si="51"/>
        <v>0</v>
      </c>
      <c r="DN37" s="185">
        <f t="shared" si="51"/>
        <v>0</v>
      </c>
      <c r="DO37" s="185">
        <f t="shared" si="51"/>
        <v>0</v>
      </c>
      <c r="DP37" s="185">
        <f t="shared" si="51"/>
        <v>0</v>
      </c>
      <c r="DQ37" s="185">
        <f t="shared" si="51"/>
        <v>0</v>
      </c>
      <c r="DR37" s="185">
        <f t="shared" si="51"/>
        <v>0</v>
      </c>
      <c r="DS37" s="185">
        <f t="shared" si="51"/>
        <v>0</v>
      </c>
      <c r="DT37" s="185">
        <f t="shared" si="51"/>
        <v>0</v>
      </c>
      <c r="DU37" s="185">
        <f t="shared" si="51"/>
        <v>0</v>
      </c>
      <c r="DV37" s="185">
        <f t="shared" si="51"/>
        <v>0</v>
      </c>
      <c r="DW37" s="185">
        <f t="shared" si="51"/>
        <v>0</v>
      </c>
      <c r="DX37" s="185">
        <f t="shared" si="51"/>
        <v>0</v>
      </c>
      <c r="DY37" s="185">
        <f t="shared" si="51"/>
        <v>0</v>
      </c>
    </row>
    <row r="38" spans="1:129" x14ac:dyDescent="0.35">
      <c r="A38" s="188" t="s">
        <v>184</v>
      </c>
      <c r="B38" s="34" t="str">
        <f>IF(A38&lt;&gt;"","VACANT","")</f>
        <v>VACANT</v>
      </c>
      <c r="C38" s="209">
        <v>2475</v>
      </c>
      <c r="D38" s="229">
        <v>43617</v>
      </c>
      <c r="E38" s="218">
        <v>46356</v>
      </c>
      <c r="F38" s="188">
        <f t="shared" si="17"/>
        <v>7.6</v>
      </c>
      <c r="G38" s="219">
        <v>17.5</v>
      </c>
      <c r="H38" s="527">
        <f>(C38*G38)/12</f>
        <v>3609.375</v>
      </c>
      <c r="I38" s="221"/>
      <c r="J38" s="230"/>
      <c r="K38" s="186"/>
      <c r="O38" s="229"/>
      <c r="P38" s="218"/>
      <c r="Q38" s="188">
        <f t="shared" ref="Q38" si="52">IFERROR(ROUNDUP(((DATEDIF(O38,P38,"d"))/365),1),0)</f>
        <v>0</v>
      </c>
      <c r="R38" s="219"/>
      <c r="S38" s="527">
        <f t="shared" si="20"/>
        <v>0</v>
      </c>
      <c r="T38" s="221"/>
      <c r="U38" s="230"/>
      <c r="W38" s="245" t="s">
        <v>441</v>
      </c>
      <c r="AK38" s="185"/>
      <c r="DB38" s="205">
        <f t="shared" ref="DB38:DY38" si="53">IF(AND($O20&lt;=DB$8,$P20&gt;=DB$8),(($R20*$N20)/12),0)</f>
        <v>0</v>
      </c>
      <c r="DC38" s="204">
        <f t="shared" si="53"/>
        <v>0</v>
      </c>
      <c r="DD38" s="204">
        <f t="shared" si="53"/>
        <v>0</v>
      </c>
      <c r="DE38" s="204">
        <f t="shared" si="53"/>
        <v>0</v>
      </c>
      <c r="DF38" s="204">
        <f t="shared" si="53"/>
        <v>0</v>
      </c>
      <c r="DG38" s="204">
        <f t="shared" si="53"/>
        <v>0</v>
      </c>
      <c r="DH38" s="204">
        <f t="shared" si="53"/>
        <v>0</v>
      </c>
      <c r="DI38" s="204">
        <f t="shared" si="53"/>
        <v>0</v>
      </c>
      <c r="DJ38" s="204">
        <f t="shared" si="53"/>
        <v>0</v>
      </c>
      <c r="DK38" s="204">
        <f t="shared" si="53"/>
        <v>0</v>
      </c>
      <c r="DL38" s="204">
        <f t="shared" si="53"/>
        <v>0</v>
      </c>
      <c r="DM38" s="206">
        <f t="shared" si="53"/>
        <v>0</v>
      </c>
      <c r="DN38" s="185">
        <f t="shared" si="53"/>
        <v>0</v>
      </c>
      <c r="DO38" s="185">
        <f t="shared" si="53"/>
        <v>0</v>
      </c>
      <c r="DP38" s="185">
        <f t="shared" si="53"/>
        <v>0</v>
      </c>
      <c r="DQ38" s="185">
        <f t="shared" si="53"/>
        <v>0</v>
      </c>
      <c r="DR38" s="185">
        <f t="shared" si="53"/>
        <v>0</v>
      </c>
      <c r="DS38" s="185">
        <f t="shared" si="53"/>
        <v>0</v>
      </c>
      <c r="DT38" s="185">
        <f t="shared" si="53"/>
        <v>0</v>
      </c>
      <c r="DU38" s="185">
        <f t="shared" si="53"/>
        <v>0</v>
      </c>
      <c r="DV38" s="185">
        <f t="shared" si="53"/>
        <v>0</v>
      </c>
      <c r="DW38" s="185">
        <f t="shared" si="53"/>
        <v>0</v>
      </c>
      <c r="DX38" s="185">
        <f t="shared" si="53"/>
        <v>0</v>
      </c>
      <c r="DY38" s="185">
        <f t="shared" si="53"/>
        <v>0</v>
      </c>
    </row>
    <row r="39" spans="1:129" x14ac:dyDescent="0.35">
      <c r="A39" s="188" t="s">
        <v>629</v>
      </c>
      <c r="B39" s="34" t="str">
        <f t="shared" si="16"/>
        <v>VACANT</v>
      </c>
      <c r="C39" s="209">
        <v>872</v>
      </c>
      <c r="D39" s="229">
        <v>45962</v>
      </c>
      <c r="E39" s="218">
        <v>46326</v>
      </c>
      <c r="F39" s="188">
        <f t="shared" si="17"/>
        <v>1</v>
      </c>
      <c r="G39" s="219">
        <v>19.5</v>
      </c>
      <c r="H39" s="527">
        <f t="shared" si="18"/>
        <v>1417</v>
      </c>
      <c r="I39" s="221"/>
      <c r="J39" s="230"/>
      <c r="K39" s="186"/>
      <c r="L39" s="188"/>
      <c r="O39" s="229"/>
      <c r="P39" s="218"/>
      <c r="Q39" s="188">
        <f t="shared" si="24"/>
        <v>0</v>
      </c>
      <c r="R39" s="219"/>
      <c r="S39" s="527">
        <f t="shared" si="20"/>
        <v>0</v>
      </c>
      <c r="T39" s="221"/>
      <c r="U39" s="230"/>
      <c r="AK39" s="185"/>
      <c r="DB39" s="205">
        <f t="shared" ref="DB39:DY39" si="54">IF(AND($O21&lt;=DB$8,$P21&gt;=DB$8),(($R21*$N21)/12),0)</f>
        <v>0</v>
      </c>
      <c r="DC39" s="204">
        <f t="shared" si="54"/>
        <v>0</v>
      </c>
      <c r="DD39" s="204">
        <f t="shared" si="54"/>
        <v>0</v>
      </c>
      <c r="DE39" s="204">
        <f t="shared" si="54"/>
        <v>0</v>
      </c>
      <c r="DF39" s="204">
        <f t="shared" si="54"/>
        <v>0</v>
      </c>
      <c r="DG39" s="204">
        <f t="shared" si="54"/>
        <v>0</v>
      </c>
      <c r="DH39" s="204">
        <f t="shared" si="54"/>
        <v>0</v>
      </c>
      <c r="DI39" s="204">
        <f t="shared" si="54"/>
        <v>0</v>
      </c>
      <c r="DJ39" s="204">
        <f t="shared" si="54"/>
        <v>0</v>
      </c>
      <c r="DK39" s="204">
        <f t="shared" si="54"/>
        <v>0</v>
      </c>
      <c r="DL39" s="204">
        <f t="shared" si="54"/>
        <v>0</v>
      </c>
      <c r="DM39" s="206">
        <f t="shared" si="54"/>
        <v>0</v>
      </c>
      <c r="DN39" s="185">
        <f t="shared" si="54"/>
        <v>0</v>
      </c>
      <c r="DO39" s="185">
        <f t="shared" si="54"/>
        <v>0</v>
      </c>
      <c r="DP39" s="185">
        <f t="shared" si="54"/>
        <v>0</v>
      </c>
      <c r="DQ39" s="185">
        <f t="shared" si="54"/>
        <v>0</v>
      </c>
      <c r="DR39" s="185">
        <f t="shared" si="54"/>
        <v>0</v>
      </c>
      <c r="DS39" s="185">
        <f t="shared" si="54"/>
        <v>0</v>
      </c>
      <c r="DT39" s="185">
        <f t="shared" si="54"/>
        <v>0</v>
      </c>
      <c r="DU39" s="185">
        <f t="shared" si="54"/>
        <v>0</v>
      </c>
      <c r="DV39" s="185">
        <f t="shared" si="54"/>
        <v>0</v>
      </c>
      <c r="DW39" s="185">
        <f t="shared" si="54"/>
        <v>0</v>
      </c>
      <c r="DX39" s="185">
        <f t="shared" si="54"/>
        <v>0</v>
      </c>
      <c r="DY39" s="185">
        <f t="shared" si="54"/>
        <v>0</v>
      </c>
    </row>
    <row r="40" spans="1:129" x14ac:dyDescent="0.35">
      <c r="A40" s="499" t="s">
        <v>635</v>
      </c>
      <c r="B40" s="34" t="str">
        <f t="shared" si="16"/>
        <v>VACANT</v>
      </c>
      <c r="C40" s="209">
        <v>18474</v>
      </c>
      <c r="D40" s="497">
        <v>46023</v>
      </c>
      <c r="E40" s="498">
        <v>47177</v>
      </c>
      <c r="F40" s="188">
        <f t="shared" si="17"/>
        <v>3.2</v>
      </c>
      <c r="G40" s="496">
        <v>16.75</v>
      </c>
      <c r="H40" s="527">
        <f t="shared" si="18"/>
        <v>25786.625</v>
      </c>
      <c r="I40" s="221"/>
      <c r="J40" s="230">
        <v>0.05</v>
      </c>
      <c r="K40" s="186"/>
      <c r="L40" s="188"/>
      <c r="O40" s="229"/>
      <c r="P40" s="218"/>
      <c r="Q40" s="188">
        <f t="shared" si="19"/>
        <v>0</v>
      </c>
      <c r="R40" s="219"/>
      <c r="S40" s="527">
        <f t="shared" si="20"/>
        <v>0</v>
      </c>
      <c r="T40" s="221"/>
      <c r="U40" s="230"/>
      <c r="AK40" s="185"/>
      <c r="DB40" s="205">
        <f t="shared" ref="DB40:DY40" si="55">IF(AND($O22&lt;=DB$8,$P22&gt;=DB$8),(($R22*$N22)/12),0)</f>
        <v>0</v>
      </c>
      <c r="DC40" s="204">
        <f t="shared" si="55"/>
        <v>0</v>
      </c>
      <c r="DD40" s="204">
        <f t="shared" si="55"/>
        <v>0</v>
      </c>
      <c r="DE40" s="204">
        <f t="shared" si="55"/>
        <v>0</v>
      </c>
      <c r="DF40" s="204">
        <f t="shared" si="55"/>
        <v>0</v>
      </c>
      <c r="DG40" s="204">
        <f t="shared" si="55"/>
        <v>0</v>
      </c>
      <c r="DH40" s="204">
        <f t="shared" si="55"/>
        <v>0</v>
      </c>
      <c r="DI40" s="204">
        <f t="shared" si="55"/>
        <v>0</v>
      </c>
      <c r="DJ40" s="204">
        <f t="shared" si="55"/>
        <v>0</v>
      </c>
      <c r="DK40" s="204">
        <f t="shared" si="55"/>
        <v>0</v>
      </c>
      <c r="DL40" s="204">
        <f t="shared" si="55"/>
        <v>0</v>
      </c>
      <c r="DM40" s="206">
        <f t="shared" si="55"/>
        <v>0</v>
      </c>
      <c r="DN40" s="185">
        <f t="shared" si="55"/>
        <v>0</v>
      </c>
      <c r="DO40" s="185">
        <f t="shared" si="55"/>
        <v>0</v>
      </c>
      <c r="DP40" s="185">
        <f t="shared" si="55"/>
        <v>0</v>
      </c>
      <c r="DQ40" s="185">
        <f t="shared" si="55"/>
        <v>0</v>
      </c>
      <c r="DR40" s="185">
        <f t="shared" si="55"/>
        <v>0</v>
      </c>
      <c r="DS40" s="185">
        <f t="shared" si="55"/>
        <v>0</v>
      </c>
      <c r="DT40" s="185">
        <f t="shared" si="55"/>
        <v>0</v>
      </c>
      <c r="DU40" s="185">
        <f t="shared" si="55"/>
        <v>0</v>
      </c>
      <c r="DV40" s="185">
        <f t="shared" si="55"/>
        <v>0</v>
      </c>
      <c r="DW40" s="185">
        <f t="shared" si="55"/>
        <v>0</v>
      </c>
      <c r="DX40" s="185">
        <f t="shared" si="55"/>
        <v>0</v>
      </c>
      <c r="DY40" s="185">
        <f t="shared" si="55"/>
        <v>0</v>
      </c>
    </row>
    <row r="41" spans="1:129" x14ac:dyDescent="0.35">
      <c r="A41" s="188" t="s">
        <v>630</v>
      </c>
      <c r="B41" s="34" t="str">
        <f t="shared" si="16"/>
        <v>VACANT</v>
      </c>
      <c r="C41" s="209">
        <v>2562</v>
      </c>
      <c r="D41" s="229"/>
      <c r="E41" s="218"/>
      <c r="F41" s="188">
        <f t="shared" si="17"/>
        <v>0</v>
      </c>
      <c r="G41" s="219"/>
      <c r="H41" s="527">
        <f t="shared" si="18"/>
        <v>0</v>
      </c>
      <c r="I41" s="221"/>
      <c r="J41" s="230"/>
      <c r="K41" s="186"/>
      <c r="L41" s="188"/>
      <c r="M41" s="34"/>
      <c r="N41" s="195"/>
      <c r="O41" s="229"/>
      <c r="P41" s="218"/>
      <c r="Q41" s="188">
        <f t="shared" si="19"/>
        <v>0</v>
      </c>
      <c r="R41" s="219"/>
      <c r="S41" s="527">
        <f t="shared" si="20"/>
        <v>0</v>
      </c>
      <c r="T41" s="221"/>
      <c r="U41" s="230"/>
      <c r="DB41" s="205">
        <f t="shared" ref="DB41:DY41" si="56">IF(AND($O23&lt;=DB$8,$P23&gt;=DB$8),(($R23*$N23)/12),0)</f>
        <v>0</v>
      </c>
      <c r="DC41" s="204">
        <f t="shared" si="56"/>
        <v>0</v>
      </c>
      <c r="DD41" s="204">
        <f t="shared" si="56"/>
        <v>0</v>
      </c>
      <c r="DE41" s="204">
        <f t="shared" si="56"/>
        <v>0</v>
      </c>
      <c r="DF41" s="204">
        <f t="shared" si="56"/>
        <v>0</v>
      </c>
      <c r="DG41" s="204">
        <f t="shared" si="56"/>
        <v>0</v>
      </c>
      <c r="DH41" s="204">
        <f t="shared" si="56"/>
        <v>0</v>
      </c>
      <c r="DI41" s="204">
        <f t="shared" si="56"/>
        <v>0</v>
      </c>
      <c r="DJ41" s="204">
        <f t="shared" si="56"/>
        <v>0</v>
      </c>
      <c r="DK41" s="204">
        <f t="shared" si="56"/>
        <v>0</v>
      </c>
      <c r="DL41" s="204">
        <f t="shared" si="56"/>
        <v>0</v>
      </c>
      <c r="DM41" s="206">
        <f t="shared" si="56"/>
        <v>0</v>
      </c>
      <c r="DN41" s="185">
        <f t="shared" si="56"/>
        <v>0</v>
      </c>
      <c r="DO41" s="185">
        <f t="shared" si="56"/>
        <v>0</v>
      </c>
      <c r="DP41" s="185">
        <f t="shared" si="56"/>
        <v>0</v>
      </c>
      <c r="DQ41" s="185">
        <f t="shared" si="56"/>
        <v>0</v>
      </c>
      <c r="DR41" s="185">
        <f t="shared" si="56"/>
        <v>0</v>
      </c>
      <c r="DS41" s="185">
        <f t="shared" si="56"/>
        <v>0</v>
      </c>
      <c r="DT41" s="185">
        <f t="shared" si="56"/>
        <v>0</v>
      </c>
      <c r="DU41" s="185">
        <f t="shared" si="56"/>
        <v>0</v>
      </c>
      <c r="DV41" s="185">
        <f t="shared" si="56"/>
        <v>0</v>
      </c>
      <c r="DW41" s="185">
        <f t="shared" si="56"/>
        <v>0</v>
      </c>
      <c r="DX41" s="185">
        <f t="shared" si="56"/>
        <v>0</v>
      </c>
      <c r="DY41" s="185">
        <f t="shared" si="56"/>
        <v>0</v>
      </c>
    </row>
    <row r="42" spans="1:129" ht="16.5" thickBot="1" x14ac:dyDescent="0.4">
      <c r="B42" s="34" t="str">
        <f t="shared" si="16"/>
        <v/>
      </c>
      <c r="C42" s="209"/>
      <c r="D42" s="229"/>
      <c r="E42" s="218"/>
      <c r="F42" s="188">
        <f t="shared" si="17"/>
        <v>0</v>
      </c>
      <c r="G42" s="219"/>
      <c r="H42" s="527">
        <f t="shared" si="18"/>
        <v>0</v>
      </c>
      <c r="I42" s="219"/>
      <c r="J42" s="230"/>
      <c r="K42" s="186"/>
      <c r="L42" s="188"/>
      <c r="M42" s="34"/>
      <c r="N42" s="195"/>
      <c r="O42" s="229"/>
      <c r="P42" s="218"/>
      <c r="Q42" s="188">
        <f t="shared" si="19"/>
        <v>0</v>
      </c>
      <c r="R42" s="219"/>
      <c r="S42" s="527">
        <f t="shared" si="20"/>
        <v>0</v>
      </c>
      <c r="T42" s="219"/>
      <c r="U42" s="230"/>
      <c r="DB42" s="193" t="e">
        <f t="shared" ref="DB42:DY42" si="57">SUM(DB27:DB41)</f>
        <v>#REF!</v>
      </c>
      <c r="DC42" s="193" t="e">
        <f t="shared" si="57"/>
        <v>#REF!</v>
      </c>
      <c r="DD42" s="193" t="e">
        <f t="shared" si="57"/>
        <v>#REF!</v>
      </c>
      <c r="DE42" s="193" t="e">
        <f t="shared" si="57"/>
        <v>#REF!</v>
      </c>
      <c r="DF42" s="193" t="e">
        <f t="shared" si="57"/>
        <v>#REF!</v>
      </c>
      <c r="DG42" s="193" t="e">
        <f t="shared" si="57"/>
        <v>#REF!</v>
      </c>
      <c r="DH42" s="193" t="e">
        <f t="shared" si="57"/>
        <v>#REF!</v>
      </c>
      <c r="DI42" s="193" t="e">
        <f t="shared" si="57"/>
        <v>#REF!</v>
      </c>
      <c r="DJ42" s="193" t="e">
        <f t="shared" si="57"/>
        <v>#REF!</v>
      </c>
      <c r="DK42" s="193" t="e">
        <f t="shared" si="57"/>
        <v>#REF!</v>
      </c>
      <c r="DL42" s="193" t="e">
        <f t="shared" si="57"/>
        <v>#REF!</v>
      </c>
      <c r="DM42" s="193" t="e">
        <f t="shared" si="57"/>
        <v>#REF!</v>
      </c>
      <c r="DN42" s="193" t="e">
        <f t="shared" si="57"/>
        <v>#REF!</v>
      </c>
      <c r="DO42" s="193" t="e">
        <f t="shared" si="57"/>
        <v>#REF!</v>
      </c>
      <c r="DP42" s="193" t="e">
        <f t="shared" si="57"/>
        <v>#REF!</v>
      </c>
      <c r="DQ42" s="193" t="e">
        <f t="shared" si="57"/>
        <v>#REF!</v>
      </c>
      <c r="DR42" s="193" t="e">
        <f t="shared" si="57"/>
        <v>#REF!</v>
      </c>
      <c r="DS42" s="193" t="e">
        <f t="shared" si="57"/>
        <v>#REF!</v>
      </c>
      <c r="DT42" s="193" t="e">
        <f t="shared" si="57"/>
        <v>#REF!</v>
      </c>
      <c r="DU42" s="193" t="e">
        <f t="shared" si="57"/>
        <v>#REF!</v>
      </c>
      <c r="DV42" s="193" t="e">
        <f t="shared" si="57"/>
        <v>#REF!</v>
      </c>
      <c r="DW42" s="193" t="e">
        <f t="shared" si="57"/>
        <v>#REF!</v>
      </c>
      <c r="DX42" s="193" t="e">
        <f t="shared" si="57"/>
        <v>#REF!</v>
      </c>
      <c r="DY42" s="193" t="e">
        <f t="shared" si="57"/>
        <v>#REF!</v>
      </c>
    </row>
    <row r="43" spans="1:129" ht="17" thickTop="1" thickBot="1" x14ac:dyDescent="0.4">
      <c r="B43" s="34" t="str">
        <f>IF(A43&lt;&gt;"","VACANT","")</f>
        <v/>
      </c>
      <c r="C43" s="209"/>
      <c r="D43" s="229"/>
      <c r="E43" s="218"/>
      <c r="F43" s="188">
        <f t="shared" si="17"/>
        <v>0</v>
      </c>
      <c r="G43" s="219"/>
      <c r="H43" s="527">
        <f t="shared" si="18"/>
        <v>0</v>
      </c>
      <c r="I43" s="219"/>
      <c r="J43" s="230"/>
      <c r="K43" s="188"/>
      <c r="L43" s="188"/>
      <c r="M43" s="34"/>
      <c r="N43" s="195"/>
      <c r="O43" s="229"/>
      <c r="P43" s="218"/>
      <c r="Q43" s="188">
        <f t="shared" si="19"/>
        <v>0</v>
      </c>
      <c r="R43" s="219"/>
      <c r="S43" s="527">
        <f t="shared" si="20"/>
        <v>0</v>
      </c>
      <c r="T43" s="219"/>
      <c r="U43" s="230"/>
      <c r="DC43" s="192"/>
    </row>
    <row r="44" spans="1:129" ht="18.5" thickBot="1" x14ac:dyDescent="0.4">
      <c r="B44" s="34" t="str">
        <f t="shared" si="16"/>
        <v/>
      </c>
      <c r="C44" s="209"/>
      <c r="D44" s="229"/>
      <c r="E44" s="218"/>
      <c r="F44" s="188">
        <f t="shared" si="17"/>
        <v>0</v>
      </c>
      <c r="G44" s="219"/>
      <c r="H44" s="527">
        <f t="shared" si="18"/>
        <v>0</v>
      </c>
      <c r="I44" s="219"/>
      <c r="J44" s="230"/>
      <c r="K44" s="188"/>
      <c r="L44" s="188"/>
      <c r="M44" s="34"/>
      <c r="N44" s="195"/>
      <c r="O44" s="229"/>
      <c r="P44" s="218"/>
      <c r="Q44" s="188">
        <f t="shared" si="19"/>
        <v>0</v>
      </c>
      <c r="R44" s="219"/>
      <c r="S44" s="527">
        <f t="shared" si="20"/>
        <v>0</v>
      </c>
      <c r="T44" s="219"/>
      <c r="U44" s="230"/>
      <c r="DB44" s="238" t="e">
        <f t="shared" ref="DB44:DY44" si="58">DB24+DB42</f>
        <v>#REF!</v>
      </c>
      <c r="DC44" s="239" t="e">
        <f t="shared" si="58"/>
        <v>#REF!</v>
      </c>
      <c r="DD44" s="239" t="e">
        <f t="shared" si="58"/>
        <v>#REF!</v>
      </c>
      <c r="DE44" s="239" t="e">
        <f t="shared" si="58"/>
        <v>#REF!</v>
      </c>
      <c r="DF44" s="239" t="e">
        <f t="shared" si="58"/>
        <v>#REF!</v>
      </c>
      <c r="DG44" s="239" t="e">
        <f t="shared" si="58"/>
        <v>#REF!</v>
      </c>
      <c r="DH44" s="239" t="e">
        <f t="shared" si="58"/>
        <v>#REF!</v>
      </c>
      <c r="DI44" s="239" t="e">
        <f t="shared" si="58"/>
        <v>#REF!</v>
      </c>
      <c r="DJ44" s="239" t="e">
        <f t="shared" si="58"/>
        <v>#REF!</v>
      </c>
      <c r="DK44" s="239" t="e">
        <f t="shared" si="58"/>
        <v>#REF!</v>
      </c>
      <c r="DL44" s="239" t="e">
        <f t="shared" si="58"/>
        <v>#REF!</v>
      </c>
      <c r="DM44" s="239" t="e">
        <f t="shared" si="58"/>
        <v>#REF!</v>
      </c>
      <c r="DN44" s="239" t="e">
        <f t="shared" si="58"/>
        <v>#REF!</v>
      </c>
      <c r="DO44" s="239" t="e">
        <f t="shared" si="58"/>
        <v>#REF!</v>
      </c>
      <c r="DP44" s="239" t="e">
        <f t="shared" si="58"/>
        <v>#REF!</v>
      </c>
      <c r="DQ44" s="239" t="e">
        <f t="shared" si="58"/>
        <v>#REF!</v>
      </c>
      <c r="DR44" s="239" t="e">
        <f t="shared" si="58"/>
        <v>#REF!</v>
      </c>
      <c r="DS44" s="239" t="e">
        <f t="shared" si="58"/>
        <v>#REF!</v>
      </c>
      <c r="DT44" s="239" t="e">
        <f t="shared" si="58"/>
        <v>#REF!</v>
      </c>
      <c r="DU44" s="239" t="e">
        <f t="shared" si="58"/>
        <v>#REF!</v>
      </c>
      <c r="DV44" s="239" t="e">
        <f t="shared" si="58"/>
        <v>#REF!</v>
      </c>
      <c r="DW44" s="239" t="e">
        <f t="shared" si="58"/>
        <v>#REF!</v>
      </c>
      <c r="DX44" s="239" t="e">
        <f t="shared" si="58"/>
        <v>#REF!</v>
      </c>
      <c r="DY44" s="240" t="e">
        <f t="shared" si="58"/>
        <v>#REF!</v>
      </c>
    </row>
    <row r="45" spans="1:129" x14ac:dyDescent="0.35">
      <c r="A45" s="201"/>
      <c r="B45" s="43" t="str">
        <f t="shared" si="16"/>
        <v/>
      </c>
      <c r="C45" s="210"/>
      <c r="D45" s="231"/>
      <c r="E45" s="222"/>
      <c r="F45" s="201">
        <f t="shared" si="17"/>
        <v>0</v>
      </c>
      <c r="G45" s="223"/>
      <c r="H45" s="528">
        <f t="shared" si="18"/>
        <v>0</v>
      </c>
      <c r="I45" s="223"/>
      <c r="J45" s="232"/>
      <c r="K45" s="188"/>
      <c r="L45" s="201"/>
      <c r="M45" s="43"/>
      <c r="N45" s="202"/>
      <c r="O45" s="231"/>
      <c r="P45" s="222"/>
      <c r="Q45" s="201">
        <f t="shared" si="19"/>
        <v>0</v>
      </c>
      <c r="R45" s="223"/>
      <c r="S45" s="528">
        <f t="shared" si="20"/>
        <v>0</v>
      </c>
      <c r="T45" s="223"/>
      <c r="U45" s="232"/>
      <c r="DC45" s="192"/>
    </row>
    <row r="46" spans="1:129" ht="16.5" thickBot="1" x14ac:dyDescent="0.35">
      <c r="A46" s="187"/>
      <c r="B46" s="44" t="s">
        <v>423</v>
      </c>
      <c r="C46" s="211">
        <f>SUM(C31:C45)</f>
        <v>63674</v>
      </c>
      <c r="D46" s="197"/>
      <c r="E46" s="197"/>
      <c r="F46" s="207"/>
      <c r="G46" s="198"/>
      <c r="H46" s="198"/>
      <c r="I46" s="198"/>
      <c r="J46" s="199"/>
      <c r="K46" s="188"/>
      <c r="L46" s="187"/>
      <c r="M46" s="44" t="s">
        <v>426</v>
      </c>
      <c r="N46" s="211">
        <f>SUM(N31:N45)</f>
        <v>20079</v>
      </c>
      <c r="O46" s="197"/>
      <c r="P46" s="197"/>
      <c r="Q46" s="207"/>
      <c r="R46" s="198"/>
      <c r="S46" s="198"/>
      <c r="T46" s="198"/>
      <c r="U46" s="199"/>
      <c r="DC46" s="192"/>
    </row>
    <row r="47" spans="1:129" s="253" customFormat="1" ht="18.5" thickTop="1" thickBot="1" x14ac:dyDescent="0.3">
      <c r="A47" s="252"/>
      <c r="C47" s="547"/>
      <c r="F47" s="252"/>
      <c r="K47" s="254"/>
      <c r="AK47" s="254"/>
      <c r="DB47" s="551"/>
      <c r="DC47" s="551"/>
      <c r="DD47" s="551"/>
      <c r="DE47" s="551"/>
      <c r="DF47" s="551"/>
      <c r="DG47" s="551"/>
      <c r="DH47" s="551"/>
      <c r="DI47" s="551"/>
      <c r="DJ47" s="551"/>
      <c r="DK47" s="551"/>
      <c r="DL47" s="551"/>
      <c r="DM47" s="551"/>
    </row>
    <row r="48" spans="1:129" x14ac:dyDescent="0.25">
      <c r="K48" s="187"/>
    </row>
    <row r="49" spans="1:129" ht="18" x14ac:dyDescent="0.35">
      <c r="A49" s="215">
        <f>'4070'!B1</f>
        <v>4070</v>
      </c>
      <c r="B49" s="34"/>
      <c r="C49" s="190"/>
      <c r="D49" s="187"/>
      <c r="E49" s="187"/>
      <c r="F49" s="187"/>
      <c r="G49" s="187"/>
      <c r="H49" s="187"/>
      <c r="I49" s="187"/>
      <c r="J49" s="187"/>
      <c r="K49" s="187"/>
    </row>
    <row r="50" spans="1:129" ht="17.5" x14ac:dyDescent="0.25">
      <c r="A50" s="256">
        <f>'4070'!B4</f>
        <v>61508</v>
      </c>
      <c r="B50" s="257">
        <f>(A50-C68)/A50</f>
        <v>0.66579957078753982</v>
      </c>
      <c r="D50" s="258" t="str">
        <f>"Vacancies - "&amp;A49</f>
        <v>Vacancies - 4070</v>
      </c>
      <c r="E50" s="226"/>
      <c r="F50" s="226"/>
      <c r="G50" s="226"/>
      <c r="H50" s="226"/>
      <c r="I50" s="226"/>
      <c r="J50" s="225"/>
      <c r="K50" s="187"/>
      <c r="O50" s="258" t="str">
        <f>"Renewals - "&amp;A49</f>
        <v>Renewals - 4070</v>
      </c>
      <c r="P50" s="226"/>
      <c r="Q50" s="226"/>
      <c r="R50" s="226"/>
      <c r="S50" s="226"/>
      <c r="T50" s="226"/>
      <c r="U50" s="225"/>
    </row>
    <row r="51" spans="1:129" ht="18" x14ac:dyDescent="0.25">
      <c r="A51" s="184"/>
      <c r="D51" s="553" t="s">
        <v>428</v>
      </c>
      <c r="E51" s="554"/>
      <c r="F51" s="554"/>
      <c r="G51" s="554"/>
      <c r="H51" s="554"/>
      <c r="I51" s="554"/>
      <c r="J51" s="555"/>
      <c r="O51" s="553" t="s">
        <v>428</v>
      </c>
      <c r="P51" s="554"/>
      <c r="Q51" s="554"/>
      <c r="R51" s="554"/>
      <c r="S51" s="554"/>
      <c r="T51" s="554"/>
      <c r="U51" s="555"/>
      <c r="W51" s="214">
        <f>A49</f>
        <v>4070</v>
      </c>
      <c r="X51" s="552">
        <v>2025</v>
      </c>
      <c r="Y51" s="552"/>
      <c r="Z51" s="552"/>
      <c r="AA51" s="552"/>
      <c r="AB51" s="552"/>
      <c r="AC51" s="552"/>
      <c r="AD51" s="552"/>
      <c r="AE51" s="552"/>
      <c r="AF51" s="552"/>
      <c r="AG51" s="552"/>
      <c r="AH51" s="552"/>
      <c r="AI51" s="552"/>
      <c r="AJ51" s="552">
        <f>X51+1</f>
        <v>2026</v>
      </c>
      <c r="AK51" s="552"/>
      <c r="AL51" s="552"/>
      <c r="AM51" s="552"/>
      <c r="AN51" s="552"/>
      <c r="AO51" s="552"/>
      <c r="AP51" s="552"/>
      <c r="AQ51" s="552"/>
      <c r="AR51" s="552"/>
      <c r="AS51" s="552"/>
      <c r="AT51" s="552"/>
      <c r="AU51" s="552"/>
      <c r="DB51" s="556" t="str">
        <f>+$DB$7</f>
        <v>2025</v>
      </c>
      <c r="DC51" s="556"/>
      <c r="DD51" s="556"/>
      <c r="DE51" s="556"/>
      <c r="DF51" s="556"/>
      <c r="DG51" s="556"/>
      <c r="DH51" s="556"/>
      <c r="DI51" s="556"/>
      <c r="DJ51" s="556"/>
      <c r="DK51" s="556"/>
      <c r="DL51" s="556"/>
      <c r="DM51" s="556"/>
      <c r="DN51" s="556" t="str">
        <f>+$DN$7</f>
        <v>2026</v>
      </c>
      <c r="DO51" s="556"/>
      <c r="DP51" s="556"/>
      <c r="DQ51" s="556"/>
      <c r="DR51" s="556"/>
      <c r="DS51" s="556"/>
      <c r="DT51" s="556"/>
      <c r="DU51" s="556"/>
      <c r="DV51" s="556"/>
      <c r="DW51" s="556"/>
      <c r="DX51" s="556"/>
      <c r="DY51" s="556"/>
    </row>
    <row r="52" spans="1:129" x14ac:dyDescent="0.35">
      <c r="A52" s="201" t="s">
        <v>224</v>
      </c>
      <c r="B52" s="43" t="s">
        <v>424</v>
      </c>
      <c r="C52" s="208" t="s">
        <v>221</v>
      </c>
      <c r="D52" s="233" t="s">
        <v>429</v>
      </c>
      <c r="E52" s="201" t="s">
        <v>430</v>
      </c>
      <c r="F52" s="201"/>
      <c r="G52" s="200" t="s">
        <v>219</v>
      </c>
      <c r="H52" s="213" t="s">
        <v>624</v>
      </c>
      <c r="I52" s="213" t="s">
        <v>425</v>
      </c>
      <c r="J52" s="203" t="s">
        <v>218</v>
      </c>
      <c r="K52" s="188"/>
      <c r="L52" s="201" t="s">
        <v>224</v>
      </c>
      <c r="M52" s="43" t="s">
        <v>424</v>
      </c>
      <c r="N52" s="208" t="s">
        <v>221</v>
      </c>
      <c r="O52" s="233" t="s">
        <v>429</v>
      </c>
      <c r="P52" s="201" t="s">
        <v>430</v>
      </c>
      <c r="Q52" s="201"/>
      <c r="R52" s="200" t="s">
        <v>219</v>
      </c>
      <c r="S52" s="213" t="s">
        <v>624</v>
      </c>
      <c r="T52" s="213" t="s">
        <v>425</v>
      </c>
      <c r="U52" s="203" t="s">
        <v>218</v>
      </c>
      <c r="X52" s="234">
        <v>45658</v>
      </c>
      <c r="Y52" s="32">
        <v>45689</v>
      </c>
      <c r="Z52" s="32">
        <v>45717</v>
      </c>
      <c r="AA52" s="32">
        <v>45748</v>
      </c>
      <c r="AB52" s="32">
        <v>45778</v>
      </c>
      <c r="AC52" s="32">
        <v>45809</v>
      </c>
      <c r="AD52" s="32">
        <v>45839</v>
      </c>
      <c r="AE52" s="32">
        <v>45870</v>
      </c>
      <c r="AF52" s="32">
        <v>45901</v>
      </c>
      <c r="AG52" s="32">
        <v>45931</v>
      </c>
      <c r="AH52" s="32">
        <v>45962</v>
      </c>
      <c r="AI52" s="235">
        <v>45992</v>
      </c>
      <c r="AJ52" s="32">
        <f>AJ$8</f>
        <v>46023</v>
      </c>
      <c r="AK52" s="32">
        <f t="shared" ref="AK52:AU52" si="59">AK$8</f>
        <v>46054</v>
      </c>
      <c r="AL52" s="32">
        <f t="shared" si="59"/>
        <v>46082</v>
      </c>
      <c r="AM52" s="32">
        <f t="shared" si="59"/>
        <v>46113</v>
      </c>
      <c r="AN52" s="32">
        <f t="shared" si="59"/>
        <v>46143</v>
      </c>
      <c r="AO52" s="32">
        <f t="shared" si="59"/>
        <v>46174</v>
      </c>
      <c r="AP52" s="32">
        <f t="shared" si="59"/>
        <v>46204</v>
      </c>
      <c r="AQ52" s="32">
        <f t="shared" si="59"/>
        <v>46235</v>
      </c>
      <c r="AR52" s="32">
        <f t="shared" si="59"/>
        <v>46266</v>
      </c>
      <c r="AS52" s="32">
        <f t="shared" si="59"/>
        <v>46296</v>
      </c>
      <c r="AT52" s="32">
        <f t="shared" si="59"/>
        <v>46327</v>
      </c>
      <c r="AU52" s="32">
        <f t="shared" si="59"/>
        <v>46357</v>
      </c>
      <c r="AV52" s="275" t="str">
        <f>AJ51&amp;" - Totals"</f>
        <v>2026 - Totals</v>
      </c>
      <c r="DB52" s="234">
        <f t="shared" ref="DB52:DY52" si="60">DB$8</f>
        <v>45658</v>
      </c>
      <c r="DC52" s="32">
        <f t="shared" si="60"/>
        <v>45689</v>
      </c>
      <c r="DD52" s="32">
        <f t="shared" si="60"/>
        <v>45717</v>
      </c>
      <c r="DE52" s="32">
        <f t="shared" si="60"/>
        <v>45748</v>
      </c>
      <c r="DF52" s="32">
        <f t="shared" si="60"/>
        <v>45778</v>
      </c>
      <c r="DG52" s="32">
        <f t="shared" si="60"/>
        <v>45809</v>
      </c>
      <c r="DH52" s="32">
        <f t="shared" si="60"/>
        <v>45839</v>
      </c>
      <c r="DI52" s="32">
        <f t="shared" si="60"/>
        <v>45870</v>
      </c>
      <c r="DJ52" s="32">
        <f t="shared" si="60"/>
        <v>45901</v>
      </c>
      <c r="DK52" s="32">
        <f t="shared" si="60"/>
        <v>45931</v>
      </c>
      <c r="DL52" s="32">
        <f t="shared" si="60"/>
        <v>45962</v>
      </c>
      <c r="DM52" s="235">
        <f t="shared" si="60"/>
        <v>45992</v>
      </c>
      <c r="DN52" s="32">
        <f t="shared" si="60"/>
        <v>46023</v>
      </c>
      <c r="DO52" s="32">
        <f t="shared" si="60"/>
        <v>46054</v>
      </c>
      <c r="DP52" s="32">
        <f t="shared" si="60"/>
        <v>46082</v>
      </c>
      <c r="DQ52" s="32">
        <f t="shared" si="60"/>
        <v>46113</v>
      </c>
      <c r="DR52" s="32">
        <f t="shared" si="60"/>
        <v>46143</v>
      </c>
      <c r="DS52" s="32">
        <f t="shared" si="60"/>
        <v>46174</v>
      </c>
      <c r="DT52" s="32">
        <f t="shared" si="60"/>
        <v>46204</v>
      </c>
      <c r="DU52" s="32">
        <f t="shared" si="60"/>
        <v>46235</v>
      </c>
      <c r="DV52" s="32">
        <f t="shared" si="60"/>
        <v>46266</v>
      </c>
      <c r="DW52" s="32">
        <f t="shared" si="60"/>
        <v>46296</v>
      </c>
      <c r="DX52" s="32">
        <f t="shared" si="60"/>
        <v>46327</v>
      </c>
      <c r="DY52" s="32">
        <f t="shared" si="60"/>
        <v>46357</v>
      </c>
    </row>
    <row r="53" spans="1:129" x14ac:dyDescent="0.35">
      <c r="A53" s="188" t="s">
        <v>637</v>
      </c>
      <c r="B53" s="77" t="s">
        <v>653</v>
      </c>
      <c r="C53" s="209">
        <v>1693</v>
      </c>
      <c r="D53" s="229">
        <v>45992</v>
      </c>
      <c r="E53" s="218">
        <v>46356</v>
      </c>
      <c r="F53" s="246">
        <f>IFERROR(ROUNDUP(((DATEDIF(D53,E53,"d"))/365),1),0)</f>
        <v>1</v>
      </c>
      <c r="G53" s="219">
        <v>20</v>
      </c>
      <c r="H53" s="527">
        <f>(C53*G53)/12</f>
        <v>2821.6666666666665</v>
      </c>
      <c r="I53" s="219"/>
      <c r="J53" s="230"/>
      <c r="K53" s="237"/>
      <c r="L53" s="188" t="s">
        <v>252</v>
      </c>
      <c r="M53" s="34" t="s">
        <v>410</v>
      </c>
      <c r="N53" s="209">
        <v>1311</v>
      </c>
      <c r="O53" s="229">
        <v>46357</v>
      </c>
      <c r="P53" s="218">
        <v>47087</v>
      </c>
      <c r="Q53" s="246">
        <f>IFERROR(ROUNDUP(((DATEDIF(O53,P53,"d"))/365),1),0)</f>
        <v>2</v>
      </c>
      <c r="R53" s="219">
        <v>20.5</v>
      </c>
      <c r="S53" s="527">
        <f>(N53*R53)/12</f>
        <v>2239.625</v>
      </c>
      <c r="T53" s="219">
        <v>2</v>
      </c>
      <c r="U53" s="230">
        <v>0</v>
      </c>
      <c r="W53" s="184" t="s">
        <v>436</v>
      </c>
      <c r="X53" s="261" cm="1">
        <f t="array" ref="X53:AI53">_xlfn.LET(
  _xlpm.months, X52:AI52,
  _xlpm.totalSqft, A50,
  _xlpm.vacSF, C53:C67,
  _xlpm.vacStart, D53:D67,
  _xlpm.vacEnd, E53:E67,
  _xlpm.renSF, N53:N67,
  _xlpm.renEnd, P53:P67,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0.66579999999999995</v>
      </c>
      <c r="Y53" s="262">
        <v>0.66579999999999995</v>
      </c>
      <c r="Z53" s="262">
        <v>0.66579999999999995</v>
      </c>
      <c r="AA53" s="262">
        <v>0.66579999999999995</v>
      </c>
      <c r="AB53" s="262">
        <v>0.66579999999999995</v>
      </c>
      <c r="AC53" s="262">
        <v>0.66579999999999995</v>
      </c>
      <c r="AD53" s="262">
        <v>0.66579999999999995</v>
      </c>
      <c r="AE53" s="262">
        <v>0.66579999999999995</v>
      </c>
      <c r="AF53" s="262">
        <v>0.66579999999999995</v>
      </c>
      <c r="AG53" s="262">
        <v>0.66579999999999995</v>
      </c>
      <c r="AH53" s="262">
        <v>0.66579999999999995</v>
      </c>
      <c r="AI53" s="262">
        <v>0.69330000000000003</v>
      </c>
      <c r="AJ53" s="261" cm="1">
        <f t="array" ref="AJ53:AU53">_xlfn.LET(
  _xlpm.months, AJ52:AU52,
  _xlpm.totalSqft, A50,
  _xlpm.vacSF, C53:C67,
  _xlpm.vacStart, D53:D67,
  _xlpm.vacEnd, E53:E67,
  _xlpm.renSF, N53:N67,
  _xlpm.renEnd, P53:P67,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0.69330000000000003</v>
      </c>
      <c r="AK53" s="262">
        <v>0.69330000000000003</v>
      </c>
      <c r="AL53" s="262">
        <v>0.69330000000000003</v>
      </c>
      <c r="AM53" s="262">
        <v>0.74490000000000001</v>
      </c>
      <c r="AN53" s="262">
        <v>0.74490000000000001</v>
      </c>
      <c r="AO53" s="262">
        <v>0.74490000000000001</v>
      </c>
      <c r="AP53" s="262">
        <v>0.74490000000000001</v>
      </c>
      <c r="AQ53" s="262">
        <v>0.74490000000000001</v>
      </c>
      <c r="AR53" s="262">
        <v>0.74490000000000001</v>
      </c>
      <c r="AS53" s="262">
        <v>0.74490000000000001</v>
      </c>
      <c r="AT53" s="262">
        <v>0.74490000000000001</v>
      </c>
      <c r="AU53" s="262">
        <v>0.71730000000000005</v>
      </c>
      <c r="AV53" s="273"/>
      <c r="DB53" s="205">
        <f t="shared" ref="DB53:DY53" si="61">IF(AND($D53&lt;=DB52,$E53&gt;=DB52),(($G53*$C53)/12),0)</f>
        <v>0</v>
      </c>
      <c r="DC53" s="204">
        <f t="shared" si="61"/>
        <v>0</v>
      </c>
      <c r="DD53" s="204">
        <f t="shared" si="61"/>
        <v>0</v>
      </c>
      <c r="DE53" s="204">
        <f t="shared" si="61"/>
        <v>0</v>
      </c>
      <c r="DF53" s="204">
        <f t="shared" si="61"/>
        <v>0</v>
      </c>
      <c r="DG53" s="204">
        <f t="shared" si="61"/>
        <v>0</v>
      </c>
      <c r="DH53" s="204">
        <f t="shared" si="61"/>
        <v>0</v>
      </c>
      <c r="DI53" s="204">
        <f t="shared" si="61"/>
        <v>0</v>
      </c>
      <c r="DJ53" s="204">
        <f t="shared" si="61"/>
        <v>0</v>
      </c>
      <c r="DK53" s="204">
        <f t="shared" si="61"/>
        <v>0</v>
      </c>
      <c r="DL53" s="204">
        <f t="shared" si="61"/>
        <v>0</v>
      </c>
      <c r="DM53" s="206">
        <f t="shared" si="61"/>
        <v>2821.6666666666665</v>
      </c>
      <c r="DN53" s="185">
        <f t="shared" si="61"/>
        <v>2821.6666666666665</v>
      </c>
      <c r="DO53" s="185">
        <f t="shared" si="61"/>
        <v>2821.6666666666665</v>
      </c>
      <c r="DP53" s="185">
        <f t="shared" si="61"/>
        <v>2821.6666666666665</v>
      </c>
      <c r="DQ53" s="185">
        <f t="shared" si="61"/>
        <v>2821.6666666666665</v>
      </c>
      <c r="DR53" s="185">
        <f t="shared" si="61"/>
        <v>2821.6666666666665</v>
      </c>
      <c r="DS53" s="185">
        <f t="shared" si="61"/>
        <v>2821.6666666666665</v>
      </c>
      <c r="DT53" s="185">
        <f t="shared" si="61"/>
        <v>2821.6666666666665</v>
      </c>
      <c r="DU53" s="185">
        <f t="shared" si="61"/>
        <v>2821.6666666666665</v>
      </c>
      <c r="DV53" s="185">
        <f t="shared" si="61"/>
        <v>2821.6666666666665</v>
      </c>
      <c r="DW53" s="185">
        <f t="shared" si="61"/>
        <v>2821.6666666666665</v>
      </c>
      <c r="DX53" s="185">
        <f t="shared" si="61"/>
        <v>2821.6666666666665</v>
      </c>
      <c r="DY53" s="185">
        <f t="shared" si="61"/>
        <v>0</v>
      </c>
    </row>
    <row r="54" spans="1:129" x14ac:dyDescent="0.35">
      <c r="A54" s="188" t="s">
        <v>638</v>
      </c>
      <c r="B54" s="34" t="str">
        <f t="shared" ref="B54:B67" si="62">IF(A54&lt;&gt;"","VACANT","")</f>
        <v>VACANT</v>
      </c>
      <c r="C54" s="209">
        <v>5816</v>
      </c>
      <c r="D54" s="229"/>
      <c r="E54" s="218"/>
      <c r="F54" s="188">
        <f t="shared" ref="F54:F67" si="63">IFERROR(ROUNDUP(((DATEDIF(D54,E54,"d"))/365),1),0)</f>
        <v>0</v>
      </c>
      <c r="G54" s="219"/>
      <c r="H54" s="527">
        <f t="shared" ref="H54:H67" si="64">(C54*G54)/12</f>
        <v>0</v>
      </c>
      <c r="I54" s="219"/>
      <c r="J54" s="230"/>
      <c r="K54" s="186"/>
      <c r="L54" s="188" t="s">
        <v>639</v>
      </c>
      <c r="M54" s="34" t="s">
        <v>411</v>
      </c>
      <c r="N54" s="209">
        <v>1438</v>
      </c>
      <c r="O54" s="229">
        <v>46023</v>
      </c>
      <c r="P54" s="218">
        <v>46387</v>
      </c>
      <c r="Q54" s="188">
        <f t="shared" ref="Q54:Q67" si="65">IFERROR(ROUNDUP(((DATEDIF(O54,P54,"d"))/365),1),0)</f>
        <v>1</v>
      </c>
      <c r="R54" s="219">
        <v>20</v>
      </c>
      <c r="S54" s="527">
        <f t="shared" ref="S54:S67" si="66">(N54*R54)/12</f>
        <v>2396.6666666666665</v>
      </c>
      <c r="T54" s="219">
        <v>0</v>
      </c>
      <c r="U54" s="230">
        <v>0</v>
      </c>
      <c r="W54" s="184" t="s">
        <v>434</v>
      </c>
      <c r="X54" s="205" cm="1">
        <f t="array" ref="X54">((SUMPRODUCT(($D$53:$D$67&lt;=X$8) * ($E$53:$E$67&gt;=X$8) * ($G$53:$G$67 * $C$53:$C$67)))+(SUMPRODUCT(($O$53:$O$67&lt;=X$8) * ($P$53:$P$67&gt;=X$8) * ($R$53:$R$67 * $N$53:$N$67))))/12</f>
        <v>0</v>
      </c>
      <c r="Y54" s="185" cm="1">
        <f t="array" ref="Y54">((SUMPRODUCT(($D$53:$D$67&lt;=Y$8) * ($E$53:$E$67&gt;=Y$8) * ($G$53:$G$67 * $C$53:$C$67)))+(SUMPRODUCT(($O$53:$O$67&lt;=Y$8) * ($P$53:$P$67&gt;=Y$8) * ($R$53:$R$67 * $N$53:$N$67))))/12</f>
        <v>0</v>
      </c>
      <c r="Z54" s="185" cm="1">
        <f t="array" ref="Z54">((SUMPRODUCT(($D$53:$D$67&lt;=Z$8) * ($E$53:$E$67&gt;=Z$8) * ($G$53:$G$67 * $C$53:$C$67)))+(SUMPRODUCT(($O$53:$O$67&lt;=Z$8) * ($P$53:$P$67&gt;=Z$8) * ($R$53:$R$67 * $N$53:$N$67))))/12</f>
        <v>0</v>
      </c>
      <c r="AA54" s="185" cm="1">
        <f t="array" ref="AA54">((SUMPRODUCT(($D$53:$D$67&lt;=AA$8) * ($E$53:$E$67&gt;=AA$8) * ($G$53:$G$67 * $C$53:$C$67)))+(SUMPRODUCT(($O$53:$O$67&lt;=AA$8) * ($P$53:$P$67&gt;=AA$8) * ($R$53:$R$67 * $N$53:$N$67))))/12</f>
        <v>0</v>
      </c>
      <c r="AB54" s="185" cm="1">
        <f t="array" ref="AB54">((SUMPRODUCT(($D$53:$D$67&lt;=AB$8) * ($E$53:$E$67&gt;=AB$8) * ($G$53:$G$67 * $C$53:$C$67)))+(SUMPRODUCT(($O$53:$O$67&lt;=AB$8) * ($P$53:$P$67&gt;=AB$8) * ($R$53:$R$67 * $N$53:$N$67))))/12</f>
        <v>0</v>
      </c>
      <c r="AC54" s="185" cm="1">
        <f t="array" ref="AC54">((SUMPRODUCT(($D$53:$D$67&lt;=AC$8) * ($E$53:$E$67&gt;=AC$8) * ($G$53:$G$67 * $C$53:$C$67)))+(SUMPRODUCT(($O$53:$O$67&lt;=AC$8) * ($P$53:$P$67&gt;=AC$8) * ($R$53:$R$67 * $N$53:$N$67))))/12</f>
        <v>0</v>
      </c>
      <c r="AD54" s="185" cm="1">
        <f t="array" ref="AD54">((SUMPRODUCT(($D$53:$D$67&lt;=AD$8) * ($E$53:$E$67&gt;=AD$8) * ($G$53:$G$67 * $C$53:$C$67)))+(SUMPRODUCT(($O$53:$O$67&lt;=AD$8) * ($P$53:$P$67&gt;=AD$8) * ($R$53:$R$67 * $N$53:$N$67))))/12</f>
        <v>0</v>
      </c>
      <c r="AE54" s="185" cm="1">
        <f t="array" ref="AE54">((SUMPRODUCT(($D$53:$D$67&lt;=AE$8) * ($E$53:$E$67&gt;=AE$8) * ($G$53:$G$67 * $C$53:$C$67)))+(SUMPRODUCT(($O$53:$O$67&lt;=AE$8) * ($P$53:$P$67&gt;=AE$8) * ($R$53:$R$67 * $N$53:$N$67))))/12</f>
        <v>0</v>
      </c>
      <c r="AF54" s="185" cm="1">
        <f t="array" ref="AF54">((SUMPRODUCT(($D$53:$D$67&lt;=AF$8) * ($E$53:$E$67&gt;=AF$8) * ($G$53:$G$67 * $C$53:$C$67)))+(SUMPRODUCT(($O$53:$O$67&lt;=AF$8) * ($P$53:$P$67&gt;=AF$8) * ($R$53:$R$67 * $N$53:$N$67))))/12</f>
        <v>0</v>
      </c>
      <c r="AG54" s="185" cm="1">
        <f t="array" ref="AG54">((SUMPRODUCT(($D$53:$D$67&lt;=AG$8) * ($E$53:$E$67&gt;=AG$8) * ($G$53:$G$67 * $C$53:$C$67)))+(SUMPRODUCT(($O$53:$O$67&lt;=AG$8) * ($P$53:$P$67&gt;=AG$8) * ($R$53:$R$67 * $N$53:$N$67))))/12</f>
        <v>0</v>
      </c>
      <c r="AH54" s="185" cm="1">
        <f t="array" ref="AH54">((SUMPRODUCT(($D$53:$D$67&lt;=AH$8) * ($E$53:$E$67&gt;=AH$8) * ($G$53:$G$67 * $C$53:$C$67)))+(SUMPRODUCT(($O$53:$O$67&lt;=AH$8) * ($P$53:$P$67&gt;=AH$8) * ($R$53:$R$67 * $N$53:$N$67))))/12</f>
        <v>0</v>
      </c>
      <c r="AI54" s="185" cm="1">
        <f t="array" ref="AI54">((SUMPRODUCT(($D$53:$D$67&lt;=AI$8) * ($E$53:$E$67&gt;=AI$8) * ($G$53:$G$67 * $C$53:$C$67)))+(SUMPRODUCT(($O$53:$O$67&lt;=AI$8) * ($P$53:$P$67&gt;=AI$8) * ($R$53:$R$67 * $N$53:$N$67))))/12</f>
        <v>2821.6666666666665</v>
      </c>
      <c r="AJ54" s="205" cm="1">
        <f t="array" ref="AJ54">((SUMPRODUCT(($D$53:$D$67&lt;=AJ$8) * ($E$53:$E$67&gt;=AJ$8) * ($G$53:$G$67 * $C$53:$C$67)))+(SUMPRODUCT(($O$53:$O$67&lt;=AJ$8) * ($P$53:$P$67&gt;=AJ$8) * ($R$53:$R$67 * $N$53:$N$67))))/12</f>
        <v>8725.3333333333339</v>
      </c>
      <c r="AK54" s="185" cm="1">
        <f t="array" ref="AK54">((SUMPRODUCT(($D$53:$D$67&lt;=AK$8) * ($E$53:$E$67&gt;=AK$8) * ($G$53:$G$67 * $C$53:$C$67)))+(SUMPRODUCT(($O$53:$O$67&lt;=AK$8) * ($P$53:$P$67&gt;=AK$8) * ($R$53:$R$67 * $N$53:$N$67))))/12</f>
        <v>8725.3333333333339</v>
      </c>
      <c r="AL54" s="185" cm="1">
        <f t="array" ref="AL54">((SUMPRODUCT(($D$53:$D$67&lt;=AL$8) * ($E$53:$E$67&gt;=AL$8) * ($G$53:$G$67 * $C$53:$C$67)))+(SUMPRODUCT(($O$53:$O$67&lt;=AL$8) * ($P$53:$P$67&gt;=AL$8) * ($R$53:$R$67 * $N$53:$N$67))))/12</f>
        <v>8725.3333333333339</v>
      </c>
      <c r="AM54" s="185" cm="1">
        <f t="array" ref="AM54">((SUMPRODUCT(($D$53:$D$67&lt;=AM$8) * ($E$53:$E$67&gt;=AM$8) * ($G$53:$G$67 * $C$53:$C$67)))+(SUMPRODUCT(($O$53:$O$67&lt;=AM$8) * ($P$53:$P$67&gt;=AM$8) * ($R$53:$R$67 * $N$53:$N$67))))/12</f>
        <v>13876.583333333334</v>
      </c>
      <c r="AN54" s="185" cm="1">
        <f t="array" ref="AN54">((SUMPRODUCT(($D$53:$D$67&lt;=AN$8) * ($E$53:$E$67&gt;=AN$8) * ($G$53:$G$67 * $C$53:$C$67)))+(SUMPRODUCT(($O$53:$O$67&lt;=AN$8) * ($P$53:$P$67&gt;=AN$8) * ($R$53:$R$67 * $N$53:$N$67))))/12</f>
        <v>13876.583333333334</v>
      </c>
      <c r="AO54" s="185" cm="1">
        <f t="array" ref="AO54">((SUMPRODUCT(($D$53:$D$67&lt;=AO$8) * ($E$53:$E$67&gt;=AO$8) * ($G$53:$G$67 * $C$53:$C$67)))+(SUMPRODUCT(($O$53:$O$67&lt;=AO$8) * ($P$53:$P$67&gt;=AO$8) * ($R$53:$R$67 * $N$53:$N$67))))/12</f>
        <v>13876.583333333334</v>
      </c>
      <c r="AP54" s="185" cm="1">
        <f t="array" ref="AP54">((SUMPRODUCT(($D$53:$D$67&lt;=AP$8) * ($E$53:$E$67&gt;=AP$8) * ($G$53:$G$67 * $C$53:$C$67)))+(SUMPRODUCT(($O$53:$O$67&lt;=AP$8) * ($P$53:$P$67&gt;=AP$8) * ($R$53:$R$67 * $N$53:$N$67))))/12</f>
        <v>13876.583333333334</v>
      </c>
      <c r="AQ54" s="185" cm="1">
        <f t="array" ref="AQ54">((SUMPRODUCT(($D$53:$D$67&lt;=AQ$8) * ($E$53:$E$67&gt;=AQ$8) * ($G$53:$G$67 * $C$53:$C$67)))+(SUMPRODUCT(($O$53:$O$67&lt;=AQ$8) * ($P$53:$P$67&gt;=AQ$8) * ($R$53:$R$67 * $N$53:$N$67))))/12</f>
        <v>13876.583333333334</v>
      </c>
      <c r="AR54" s="185" cm="1">
        <f t="array" ref="AR54">((SUMPRODUCT(($D$53:$D$67&lt;=AR$8) * ($E$53:$E$67&gt;=AR$8) * ($G$53:$G$67 * $C$53:$C$67)))+(SUMPRODUCT(($O$53:$O$67&lt;=AR$8) * ($P$53:$P$67&gt;=AR$8) * ($R$53:$R$67 * $N$53:$N$67))))/12</f>
        <v>13876.583333333334</v>
      </c>
      <c r="AS54" s="185" cm="1">
        <f t="array" ref="AS54">((SUMPRODUCT(($D$53:$D$67&lt;=AS$8) * ($E$53:$E$67&gt;=AS$8) * ($G$53:$G$67 * $C$53:$C$67)))+(SUMPRODUCT(($O$53:$O$67&lt;=AS$8) * ($P$53:$P$67&gt;=AS$8) * ($R$53:$R$67 * $N$53:$N$67))))/12</f>
        <v>13876.583333333334</v>
      </c>
      <c r="AT54" s="185" cm="1">
        <f t="array" ref="AT54">((SUMPRODUCT(($D$53:$D$67&lt;=AT$8) * ($E$53:$E$67&gt;=AT$8) * ($G$53:$G$67 * $C$53:$C$67)))+(SUMPRODUCT(($O$53:$O$67&lt;=AT$8) * ($P$53:$P$67&gt;=AT$8) * ($R$53:$R$67 * $N$53:$N$67))))/12</f>
        <v>13876.583333333334</v>
      </c>
      <c r="AU54" s="185" cm="1">
        <f t="array" ref="AU54">((SUMPRODUCT(($D$53:$D$67&lt;=AU$8) * ($E$53:$E$67&gt;=AU$8) * ($G$53:$G$67 * $C$53:$C$67)))+(SUMPRODUCT(($O$53:$O$67&lt;=AU$8) * ($P$53:$P$67&gt;=AU$8) * ($R$53:$R$67 * $N$53:$N$67))))/12</f>
        <v>13294.541666666666</v>
      </c>
      <c r="AV54" s="274">
        <f>SUM(AJ54:AU54)</f>
        <v>150483.20833333331</v>
      </c>
      <c r="DB54" s="205">
        <f t="shared" ref="DB54:DK67" si="67">IF(AND($D54&lt;=DB$8,$E54&gt;=DB$8),(($G54*$C54)/12),0)</f>
        <v>0</v>
      </c>
      <c r="DC54" s="204">
        <f t="shared" si="67"/>
        <v>0</v>
      </c>
      <c r="DD54" s="204">
        <f t="shared" si="67"/>
        <v>0</v>
      </c>
      <c r="DE54" s="204">
        <f t="shared" si="67"/>
        <v>0</v>
      </c>
      <c r="DF54" s="204">
        <f t="shared" si="67"/>
        <v>0</v>
      </c>
      <c r="DG54" s="204">
        <f t="shared" si="67"/>
        <v>0</v>
      </c>
      <c r="DH54" s="204">
        <f t="shared" si="67"/>
        <v>0</v>
      </c>
      <c r="DI54" s="204">
        <f t="shared" si="67"/>
        <v>0</v>
      </c>
      <c r="DJ54" s="204">
        <f t="shared" si="67"/>
        <v>0</v>
      </c>
      <c r="DK54" s="204">
        <f t="shared" si="67"/>
        <v>0</v>
      </c>
      <c r="DL54" s="204">
        <f t="shared" ref="DL54:DY67" si="68">IF(AND($D54&lt;=DL$8,$E54&gt;=DL$8),(($G54*$C54)/12),0)</f>
        <v>0</v>
      </c>
      <c r="DM54" s="206">
        <f t="shared" si="68"/>
        <v>0</v>
      </c>
      <c r="DN54" s="185">
        <f t="shared" si="68"/>
        <v>0</v>
      </c>
      <c r="DO54" s="185">
        <f t="shared" si="68"/>
        <v>0</v>
      </c>
      <c r="DP54" s="185">
        <f t="shared" si="68"/>
        <v>0</v>
      </c>
      <c r="DQ54" s="185">
        <f t="shared" si="68"/>
        <v>0</v>
      </c>
      <c r="DR54" s="185">
        <f t="shared" si="68"/>
        <v>0</v>
      </c>
      <c r="DS54" s="185">
        <f t="shared" si="68"/>
        <v>0</v>
      </c>
      <c r="DT54" s="185">
        <f t="shared" si="68"/>
        <v>0</v>
      </c>
      <c r="DU54" s="185">
        <f t="shared" si="68"/>
        <v>0</v>
      </c>
      <c r="DV54" s="185">
        <f t="shared" si="68"/>
        <v>0</v>
      </c>
      <c r="DW54" s="185">
        <f t="shared" si="68"/>
        <v>0</v>
      </c>
      <c r="DX54" s="185">
        <f t="shared" si="68"/>
        <v>0</v>
      </c>
      <c r="DY54" s="185">
        <f t="shared" si="68"/>
        <v>0</v>
      </c>
    </row>
    <row r="55" spans="1:129" x14ac:dyDescent="0.35">
      <c r="A55" s="188" t="s">
        <v>641</v>
      </c>
      <c r="B55" s="34" t="str">
        <f t="shared" si="62"/>
        <v>VACANT</v>
      </c>
      <c r="C55" s="209">
        <v>9877</v>
      </c>
      <c r="D55" s="229"/>
      <c r="E55" s="218"/>
      <c r="F55" s="188">
        <f t="shared" si="63"/>
        <v>0</v>
      </c>
      <c r="G55" s="219"/>
      <c r="H55" s="527">
        <f t="shared" si="64"/>
        <v>0</v>
      </c>
      <c r="I55" s="219"/>
      <c r="J55" s="230"/>
      <c r="K55" s="186"/>
      <c r="L55" s="188" t="s">
        <v>640</v>
      </c>
      <c r="M55" s="34" t="s">
        <v>412</v>
      </c>
      <c r="N55" s="209">
        <v>2004</v>
      </c>
      <c r="O55" s="229">
        <v>46023</v>
      </c>
      <c r="P55" s="218">
        <v>46752</v>
      </c>
      <c r="Q55" s="188">
        <f t="shared" si="65"/>
        <v>2</v>
      </c>
      <c r="R55" s="219">
        <v>21</v>
      </c>
      <c r="S55" s="527">
        <f t="shared" si="66"/>
        <v>3507</v>
      </c>
      <c r="T55" s="219">
        <v>2</v>
      </c>
      <c r="U55" s="230">
        <v>0</v>
      </c>
      <c r="W55" s="184" t="s">
        <v>431</v>
      </c>
      <c r="X55" s="205" cm="1">
        <f t="array" ref="X55">(SUMPRODUCT((TEXT($O53:$O67,"yyyymm")=TEXT(X$52,"yyyymm")) * ($T53:$T67 * $N53:$N67)))+(SUMPRODUCT((TEXT($D53:$D67,"yyyymm")=TEXT(X$52,"yyyymm")) * ($I53:$I67 * $C53:$C67)))</f>
        <v>0</v>
      </c>
      <c r="Y55" s="185" cm="1">
        <f t="array" ref="Y55">(SUMPRODUCT((TEXT($O53:$O67,"yyyymm")=TEXT(Y$52,"yyyymm")) * ($T53:$T67 * $N53:$N67)))+(SUMPRODUCT((TEXT($D53:$D67,"yyyymm")=TEXT(Y$52,"yyyymm")) * ($I53:$I67 * $C53:$C67)))</f>
        <v>0</v>
      </c>
      <c r="Z55" s="185" cm="1">
        <f t="array" ref="Z55">(SUMPRODUCT((TEXT($O53:$O67,"yyyymm")=TEXT(Z$52,"yyyymm")) * ($T53:$T67 * $N53:$N67)))+(SUMPRODUCT((TEXT($D53:$D67,"yyyymm")=TEXT(Z$52,"yyyymm")) * ($I53:$I67 * $C53:$C67)))</f>
        <v>0</v>
      </c>
      <c r="AA55" s="185" cm="1">
        <f t="array" ref="AA55">(SUMPRODUCT((TEXT($O53:$O67,"yyyymm")=TEXT(AA$52,"yyyymm")) * ($T53:$T67 * $N53:$N67)))+(SUMPRODUCT((TEXT($D53:$D67,"yyyymm")=TEXT(AA$52,"yyyymm")) * ($I53:$I67 * $C53:$C67)))</f>
        <v>0</v>
      </c>
      <c r="AB55" s="185" cm="1">
        <f t="array" ref="AB55">(SUMPRODUCT((TEXT($O53:$O67,"yyyymm")=TEXT(AB$52,"yyyymm")) * ($T53:$T67 * $N53:$N67)))+(SUMPRODUCT((TEXT($D53:$D67,"yyyymm")=TEXT(AB$52,"yyyymm")) * ($I53:$I67 * $C53:$C67)))</f>
        <v>0</v>
      </c>
      <c r="AC55" s="185" cm="1">
        <f t="array" ref="AC55">(SUMPRODUCT((TEXT($O53:$O67,"yyyymm")=TEXT(AC$52,"yyyymm")) * ($T53:$T67 * $N53:$N67)))+(SUMPRODUCT((TEXT($D53:$D67,"yyyymm")=TEXT(AC$52,"yyyymm")) * ($I53:$I67 * $C53:$C67)))</f>
        <v>0</v>
      </c>
      <c r="AD55" s="185" cm="1">
        <f t="array" ref="AD55">(SUMPRODUCT((TEXT($O53:$O67,"yyyymm")=TEXT(AD$52,"yyyymm")) * ($T53:$T67 * $N53:$N67)))+(SUMPRODUCT((TEXT($D53:$D67,"yyyymm")=TEXT(AD$52,"yyyymm")) * ($I53:$I67 * $C53:$C67)))</f>
        <v>0</v>
      </c>
      <c r="AE55" s="185" cm="1">
        <f t="array" ref="AE55">(SUMPRODUCT((TEXT($O53:$O67,"yyyymm")=TEXT(AE$52,"yyyymm")) * ($T53:$T67 * $N53:$N67)))+(SUMPRODUCT((TEXT($D53:$D67,"yyyymm")=TEXT(AE$52,"yyyymm")) * ($I53:$I67 * $C53:$C67)))</f>
        <v>0</v>
      </c>
      <c r="AF55" s="185" cm="1">
        <f t="array" ref="AF55">(SUMPRODUCT((TEXT($O53:$O67,"yyyymm")=TEXT(AF$52,"yyyymm")) * ($T53:$T67 * $N53:$N67)))+(SUMPRODUCT((TEXT($D53:$D67,"yyyymm")=TEXT(AF$52,"yyyymm")) * ($I53:$I67 * $C53:$C67)))</f>
        <v>0</v>
      </c>
      <c r="AG55" s="185" cm="1">
        <f t="array" ref="AG55">(SUMPRODUCT((TEXT($O53:$O67,"yyyymm")=TEXT(AG$52,"yyyymm")) * ($T53:$T67 * $N53:$N67)))+(SUMPRODUCT((TEXT($D53:$D67,"yyyymm")=TEXT(AG$52,"yyyymm")) * ($I53:$I67 * $C53:$C67)))</f>
        <v>0</v>
      </c>
      <c r="AH55" s="185" cm="1">
        <f t="array" ref="AH55">(SUMPRODUCT((TEXT($O53:$O67,"yyyymm")=TEXT(AH$52,"yyyymm")) * ($T53:$T67 * $N53:$N67)))+(SUMPRODUCT((TEXT($D53:$D67,"yyyymm")=TEXT(AH$52,"yyyymm")) * ($I53:$I67 * $C53:$C67)))</f>
        <v>0</v>
      </c>
      <c r="AI55" s="185" cm="1">
        <f t="array" ref="AI55">(SUMPRODUCT((TEXT($O53:$O67,"yyyymm")=TEXT(AI$52,"yyyymm")) * ($T53:$T67 * $N53:$N67)))+(SUMPRODUCT((TEXT($D53:$D67,"yyyymm")=TEXT(AI$52,"yyyymm")) * ($I53:$I67 * $C53:$C67)))</f>
        <v>0</v>
      </c>
      <c r="AJ55" s="205" cm="1">
        <f t="array" ref="AJ55">(SUMPRODUCT((TEXT($O53:$O67,"yyyymm")=TEXT(AJ$52,"yyyymm")) * ($T53:$T67 * $N53:$N67)))+(SUMPRODUCT((TEXT($D53:$D67,"yyyymm")=TEXT(AJ$52,"yyyymm")) * ($I53:$I67 * $C53:$C67)))</f>
        <v>4008</v>
      </c>
      <c r="AK55" s="185" cm="1">
        <f t="array" ref="AK55">(SUMPRODUCT((TEXT($O53:$O67,"yyyymm")=TEXT(AK$52,"yyyymm")) * ($T53:$T67 * $N53:$N67)))+(SUMPRODUCT((TEXT($D53:$D67,"yyyymm")=TEXT(AK$52,"yyyymm")) * ($I53:$I67 * $C53:$C67)))</f>
        <v>0</v>
      </c>
      <c r="AL55" s="185" cm="1">
        <f t="array" ref="AL55">(SUMPRODUCT((TEXT($O53:$O67,"yyyymm")=TEXT(AL$52,"yyyymm")) * ($T53:$T67 * $N53:$N67)))+(SUMPRODUCT((TEXT($D53:$D67,"yyyymm")=TEXT(AL$52,"yyyymm")) * ($I53:$I67 * $C53:$C67)))</f>
        <v>0</v>
      </c>
      <c r="AM55" s="185" cm="1">
        <f t="array" ref="AM55">(SUMPRODUCT((TEXT($O53:$O67,"yyyymm")=TEXT(AM$52,"yyyymm")) * ($T53:$T67 * $N53:$N67)))+(SUMPRODUCT((TEXT($D53:$D67,"yyyymm")=TEXT(AM$52,"yyyymm")) * ($I53:$I67 * $C53:$C67)))</f>
        <v>9510</v>
      </c>
      <c r="AN55" s="185" cm="1">
        <f t="array" ref="AN55">(SUMPRODUCT((TEXT($O53:$O67,"yyyymm")=TEXT(AN$52,"yyyymm")) * ($T53:$T67 * $N53:$N67)))+(SUMPRODUCT((TEXT($D53:$D67,"yyyymm")=TEXT(AN$52,"yyyymm")) * ($I53:$I67 * $C53:$C67)))</f>
        <v>0</v>
      </c>
      <c r="AO55" s="185" cm="1">
        <f t="array" ref="AO55">(SUMPRODUCT((TEXT($O53:$O67,"yyyymm")=TEXT(AO$52,"yyyymm")) * ($T53:$T67 * $N53:$N67)))+(SUMPRODUCT((TEXT($D53:$D67,"yyyymm")=TEXT(AO$52,"yyyymm")) * ($I53:$I67 * $C53:$C67)))</f>
        <v>0</v>
      </c>
      <c r="AP55" s="185" cm="1">
        <f t="array" ref="AP55">(SUMPRODUCT((TEXT($O53:$O67,"yyyymm")=TEXT(AP$52,"yyyymm")) * ($T53:$T67 * $N53:$N67)))+(SUMPRODUCT((TEXT($D53:$D67,"yyyymm")=TEXT(AP$52,"yyyymm")) * ($I53:$I67 * $C53:$C67)))</f>
        <v>0</v>
      </c>
      <c r="AQ55" s="185" cm="1">
        <f t="array" ref="AQ55">(SUMPRODUCT((TEXT($O53:$O67,"yyyymm")=TEXT(AQ$52,"yyyymm")) * ($T53:$T67 * $N53:$N67)))+(SUMPRODUCT((TEXT($D53:$D67,"yyyymm")=TEXT(AQ$52,"yyyymm")) * ($I53:$I67 * $C53:$C67)))</f>
        <v>0</v>
      </c>
      <c r="AR55" s="185" cm="1">
        <f t="array" ref="AR55">(SUMPRODUCT((TEXT($O53:$O67,"yyyymm")=TEXT(AR$52,"yyyymm")) * ($T53:$T67 * $N53:$N67)))+(SUMPRODUCT((TEXT($D53:$D67,"yyyymm")=TEXT(AR$52,"yyyymm")) * ($I53:$I67 * $C53:$C67)))</f>
        <v>0</v>
      </c>
      <c r="AS55" s="185" cm="1">
        <f t="array" ref="AS55">(SUMPRODUCT((TEXT($O53:$O67,"yyyymm")=TEXT(AS$52,"yyyymm")) * ($T53:$T67 * $N53:$N67)))+(SUMPRODUCT((TEXT($D53:$D67,"yyyymm")=TEXT(AS$52,"yyyymm")) * ($I53:$I67 * $C53:$C67)))</f>
        <v>0</v>
      </c>
      <c r="AT55" s="185" cm="1">
        <f t="array" ref="AT55">(SUMPRODUCT((TEXT($O53:$O67,"yyyymm")=TEXT(AT$52,"yyyymm")) * ($T53:$T67 * $N53:$N67)))+(SUMPRODUCT((TEXT($D53:$D67,"yyyymm")=TEXT(AT$52,"yyyymm")) * ($I53:$I67 * $C53:$C67)))</f>
        <v>0</v>
      </c>
      <c r="AU55" s="185" cm="1">
        <f t="array" ref="AU55">(SUMPRODUCT((TEXT($O53:$O67,"yyyymm")=TEXT(AU$52,"yyyymm")) * ($T53:$T67 * $N53:$N67)))+(SUMPRODUCT((TEXT($D53:$D67,"yyyymm")=TEXT(AU$52,"yyyymm")) * ($I53:$I67 * $C53:$C67)))</f>
        <v>2622</v>
      </c>
      <c r="AV55" s="274">
        <f t="shared" ref="AV55:AV56" si="69">SUM(AJ55:AU55)</f>
        <v>16140</v>
      </c>
      <c r="DB55" s="205">
        <f t="shared" si="67"/>
        <v>0</v>
      </c>
      <c r="DC55" s="204">
        <f t="shared" si="67"/>
        <v>0</v>
      </c>
      <c r="DD55" s="204">
        <f t="shared" si="67"/>
        <v>0</v>
      </c>
      <c r="DE55" s="204">
        <f t="shared" si="67"/>
        <v>0</v>
      </c>
      <c r="DF55" s="204">
        <f t="shared" si="67"/>
        <v>0</v>
      </c>
      <c r="DG55" s="204">
        <f t="shared" si="67"/>
        <v>0</v>
      </c>
      <c r="DH55" s="204">
        <f t="shared" si="67"/>
        <v>0</v>
      </c>
      <c r="DI55" s="204">
        <f t="shared" si="67"/>
        <v>0</v>
      </c>
      <c r="DJ55" s="204">
        <f t="shared" si="67"/>
        <v>0</v>
      </c>
      <c r="DK55" s="204">
        <f t="shared" si="67"/>
        <v>0</v>
      </c>
      <c r="DL55" s="204">
        <f t="shared" si="68"/>
        <v>0</v>
      </c>
      <c r="DM55" s="206">
        <f t="shared" si="68"/>
        <v>0</v>
      </c>
      <c r="DN55" s="185">
        <f t="shared" si="68"/>
        <v>0</v>
      </c>
      <c r="DO55" s="185">
        <f t="shared" si="68"/>
        <v>0</v>
      </c>
      <c r="DP55" s="185">
        <f t="shared" si="68"/>
        <v>0</v>
      </c>
      <c r="DQ55" s="185">
        <f t="shared" si="68"/>
        <v>0</v>
      </c>
      <c r="DR55" s="185">
        <f t="shared" si="68"/>
        <v>0</v>
      </c>
      <c r="DS55" s="185">
        <f t="shared" si="68"/>
        <v>0</v>
      </c>
      <c r="DT55" s="185">
        <f t="shared" si="68"/>
        <v>0</v>
      </c>
      <c r="DU55" s="185">
        <f t="shared" si="68"/>
        <v>0</v>
      </c>
      <c r="DV55" s="185">
        <f t="shared" si="68"/>
        <v>0</v>
      </c>
      <c r="DW55" s="185">
        <f t="shared" si="68"/>
        <v>0</v>
      </c>
      <c r="DX55" s="185">
        <f t="shared" si="68"/>
        <v>0</v>
      </c>
      <c r="DY55" s="185">
        <f t="shared" si="68"/>
        <v>0</v>
      </c>
    </row>
    <row r="56" spans="1:129" x14ac:dyDescent="0.35">
      <c r="A56" s="188" t="s">
        <v>642</v>
      </c>
      <c r="B56" s="34" t="str">
        <f t="shared" ref="B56" si="70">IF(A56&lt;&gt;"","VACANT","")</f>
        <v>VACANT</v>
      </c>
      <c r="C56" s="209">
        <v>3170</v>
      </c>
      <c r="D56" s="229">
        <v>46113</v>
      </c>
      <c r="E56" s="218">
        <v>47208</v>
      </c>
      <c r="F56" s="188">
        <f t="shared" ref="F56" si="71">IFERROR(ROUNDUP(((DATEDIF(D56,E56,"d"))/365),1),0)</f>
        <v>3</v>
      </c>
      <c r="G56" s="219">
        <v>19.5</v>
      </c>
      <c r="H56" s="527">
        <f t="shared" ref="H56" si="72">(C56*G56)/12</f>
        <v>5151.25</v>
      </c>
      <c r="I56" s="219">
        <v>3</v>
      </c>
      <c r="J56" s="230">
        <v>0.05</v>
      </c>
      <c r="K56" s="186"/>
      <c r="L56" s="188" t="s">
        <v>194</v>
      </c>
      <c r="M56" s="34" t="s">
        <v>413</v>
      </c>
      <c r="N56" s="209">
        <v>3455</v>
      </c>
      <c r="O56" s="229">
        <v>46388</v>
      </c>
      <c r="P56" s="220">
        <v>47118</v>
      </c>
      <c r="Q56" s="188">
        <f t="shared" si="65"/>
        <v>2</v>
      </c>
      <c r="R56" s="221">
        <v>20</v>
      </c>
      <c r="S56" s="527">
        <f t="shared" si="66"/>
        <v>5758.333333333333</v>
      </c>
      <c r="T56" s="219">
        <v>2</v>
      </c>
      <c r="U56" s="230">
        <v>0</v>
      </c>
      <c r="W56" s="184" t="s">
        <v>435</v>
      </c>
      <c r="X56" s="205" cm="1">
        <f t="array" ref="X56">IFERROR((SUMPRODUCT((TEXT($O53:$O67,"yyyymm")=TEXT(X$52,"yyyymm")) * ($U53:$U67 * $N53:$N67*$R53:$R67*$Q53:$Q67)))+(SUMPRODUCT((TEXT($D53:$D67,"yyyymm")=TEXT(X$52,"yyyymm")) * ($J53:$J67 * $C53:$C67*$G53:$G67*$F53:$F67))),0)</f>
        <v>0</v>
      </c>
      <c r="Y56" s="185" cm="1">
        <f t="array" ref="Y56">IFERROR((SUMPRODUCT((TEXT($O53:$O67,"yyyymm")=TEXT(Y$52,"yyyymm")) * ($U53:$U67 * $N53:$N67*$R53:$R67*$Q53:$Q67)))+(SUMPRODUCT((TEXT($D53:$D67,"yyyymm")=TEXT(Y$52,"yyyymm")) * ($J53:$J67 * $C53:$C67*$G53:$G67*$F53:$F67))),0)</f>
        <v>0</v>
      </c>
      <c r="Z56" s="185" cm="1">
        <f t="array" ref="Z56">IFERROR((SUMPRODUCT((TEXT($O53:$O67,"yyyymm")=TEXT(Z$52,"yyyymm")) * ($U53:$U67 * $N53:$N67*$R53:$R67*$Q53:$Q67)))+(SUMPRODUCT((TEXT($D53:$D67,"yyyymm")=TEXT(Z$52,"yyyymm")) * ($J53:$J67 * $C53:$C67*$G53:$G67*$F53:$F67))),0)</f>
        <v>0</v>
      </c>
      <c r="AA56" s="185" cm="1">
        <f t="array" ref="AA56">IFERROR((SUMPRODUCT((TEXT($O53:$O67,"yyyymm")=TEXT(AA$52,"yyyymm")) * ($U53:$U67 * $N53:$N67*$R53:$R67*$Q53:$Q67)))+(SUMPRODUCT((TEXT($D53:$D67,"yyyymm")=TEXT(AA$52,"yyyymm")) * ($J53:$J67 * $C53:$C67*$G53:$G67*$F53:$F67))),0)</f>
        <v>0</v>
      </c>
      <c r="AB56" s="185" cm="1">
        <f t="array" ref="AB56">IFERROR((SUMPRODUCT((TEXT($O53:$O67,"yyyymm")=TEXT(AB$52,"yyyymm")) * ($U53:$U67 * $N53:$N67*$R53:$R67*$Q53:$Q67)))+(SUMPRODUCT((TEXT($D53:$D67,"yyyymm")=TEXT(AB$52,"yyyymm")) * ($J53:$J67 * $C53:$C67*$G53:$G67*$F53:$F67))),0)</f>
        <v>0</v>
      </c>
      <c r="AC56" s="185" cm="1">
        <f t="array" ref="AC56">IFERROR((SUMPRODUCT((TEXT($O53:$O67,"yyyymm")=TEXT(AC$52,"yyyymm")) * ($U53:$U67 * $N53:$N67*$R53:$R67*$Q53:$Q67)))+(SUMPRODUCT((TEXT($D53:$D67,"yyyymm")=TEXT(AC$52,"yyyymm")) * ($J53:$J67 * $C53:$C67*$G53:$G67*$F53:$F67))),0)</f>
        <v>0</v>
      </c>
      <c r="AD56" s="185" cm="1">
        <f t="array" ref="AD56">IFERROR((SUMPRODUCT((TEXT($O53:$O67,"yyyymm")=TEXT(AD$52,"yyyymm")) * ($U53:$U67 * $N53:$N67*$R53:$R67*$Q53:$Q67)))+(SUMPRODUCT((TEXT($D53:$D67,"yyyymm")=TEXT(AD$52,"yyyymm")) * ($J53:$J67 * $C53:$C67*$G53:$G67*$F53:$F67))),0)</f>
        <v>0</v>
      </c>
      <c r="AE56" s="185" cm="1">
        <f t="array" ref="AE56">IFERROR((SUMPRODUCT((TEXT($O53:$O67,"yyyymm")=TEXT(AE$52,"yyyymm")) * ($U53:$U67 * $N53:$N67*$R53:$R67*$Q53:$Q67)))+(SUMPRODUCT((TEXT($D53:$D67,"yyyymm")=TEXT(AE$52,"yyyymm")) * ($J53:$J67 * $C53:$C67*$G53:$G67*$F53:$F67))),0)</f>
        <v>0</v>
      </c>
      <c r="AF56" s="185" cm="1">
        <f t="array" ref="AF56">IFERROR((SUMPRODUCT((TEXT($O53:$O67,"yyyymm")=TEXT(AF$52,"yyyymm")) * ($U53:$U67 * $N53:$N67*$R53:$R67*$Q53:$Q67)))+(SUMPRODUCT((TEXT($D53:$D67,"yyyymm")=TEXT(AF$52,"yyyymm")) * ($J53:$J67 * $C53:$C67*$G53:$G67*$F53:$F67))),0)</f>
        <v>0</v>
      </c>
      <c r="AG56" s="185" cm="1">
        <f t="array" ref="AG56">IFERROR((SUMPRODUCT((TEXT($O53:$O67,"yyyymm")=TEXT(AG$52,"yyyymm")) * ($U53:$U67 * $N53:$N67*$R53:$R67*$Q53:$Q67)))+(SUMPRODUCT((TEXT($D53:$D67,"yyyymm")=TEXT(AG$52,"yyyymm")) * ($J53:$J67 * $C53:$C67*$G53:$G67*$F53:$F67))),0)</f>
        <v>0</v>
      </c>
      <c r="AH56" s="185" cm="1">
        <f t="array" ref="AH56">IFERROR((SUMPRODUCT((TEXT($O53:$O67,"yyyymm")=TEXT(AH$52,"yyyymm")) * ($U53:$U67 * $N53:$N67*$R53:$R67*$Q53:$Q67)))+(SUMPRODUCT((TEXT($D53:$D67,"yyyymm")=TEXT(AH$52,"yyyymm")) * ($J53:$J67 * $C53:$C67*$G53:$G67*$F53:$F67))),0)</f>
        <v>0</v>
      </c>
      <c r="AI56" s="185" cm="1">
        <f t="array" ref="AI56">IFERROR((SUMPRODUCT((TEXT($O53:$O67,"yyyymm")=TEXT(AI$52,"yyyymm")) * ($U53:$U67 * $N53:$N67*$R53:$R67*$Q53:$Q67)))+(SUMPRODUCT((TEXT($D53:$D67,"yyyymm")=TEXT(AI$52,"yyyymm")) * ($J53:$J67 * $C53:$C67*$G53:$G67*$F53:$F67))),0)</f>
        <v>0</v>
      </c>
      <c r="AJ56" s="205" cm="1">
        <f t="array" ref="AJ56">IFERROR((SUMPRODUCT((TEXT($O53:$O67,"yyyymm")=TEXT(AJ$52,"yyyymm")) * ($U53:$U67 * $N53:$N67*$R53:$R67*$Q53:$Q67)))+(SUMPRODUCT((TEXT($D53:$D67,"yyyymm")=TEXT(AJ$52,"yyyymm")) * ($J53:$J67 * $C53:$C67*$G53:$G67*$F53:$F67))),0)</f>
        <v>0</v>
      </c>
      <c r="AK56" s="185" cm="1">
        <f t="array" ref="AK56">IFERROR((SUMPRODUCT((TEXT($O53:$O67,"yyyymm")=TEXT(AK$52,"yyyymm")) * ($U53:$U67 * $N53:$N67*$R53:$R67*$Q53:$Q67)))+(SUMPRODUCT((TEXT($D53:$D67,"yyyymm")=TEXT(AK$52,"yyyymm")) * ($J53:$J67 * $C53:$C67*$G53:$G67*$F53:$F67))),0)</f>
        <v>0</v>
      </c>
      <c r="AL56" s="185" cm="1">
        <f t="array" ref="AL56">IFERROR((SUMPRODUCT((TEXT($O53:$O67,"yyyymm")=TEXT(AL$52,"yyyymm")) * ($U53:$U67 * $N53:$N67*$R53:$R67*$Q53:$Q67)))+(SUMPRODUCT((TEXT($D53:$D67,"yyyymm")=TEXT(AL$52,"yyyymm")) * ($J53:$J67 * $C53:$C67*$G53:$G67*$F53:$F67))),0)</f>
        <v>0</v>
      </c>
      <c r="AM56" s="185" cm="1">
        <f t="array" ref="AM56">IFERROR((SUMPRODUCT((TEXT($O53:$O67,"yyyymm")=TEXT(AM$52,"yyyymm")) * ($U53:$U67 * $N53:$N67*$R53:$R67*$Q53:$Q67)))+(SUMPRODUCT((TEXT($D53:$D67,"yyyymm")=TEXT(AM$52,"yyyymm")) * ($J53:$J67 * $C53:$C67*$G53:$G67*$F53:$F67))),0)</f>
        <v>9272.25</v>
      </c>
      <c r="AN56" s="185" cm="1">
        <f t="array" ref="AN56">IFERROR((SUMPRODUCT((TEXT($O53:$O67,"yyyymm")=TEXT(AN$52,"yyyymm")) * ($U53:$U67 * $N53:$N67*$R53:$R67*$Q53:$Q67)))+(SUMPRODUCT((TEXT($D53:$D67,"yyyymm")=TEXT(AN$52,"yyyymm")) * ($J53:$J67 * $C53:$C67*$G53:$G67*$F53:$F67))),0)</f>
        <v>0</v>
      </c>
      <c r="AO56" s="185" cm="1">
        <f t="array" ref="AO56">IFERROR((SUMPRODUCT((TEXT($O53:$O67,"yyyymm")=TEXT(AO$52,"yyyymm")) * ($U53:$U67 * $N53:$N67*$R53:$R67*$Q53:$Q67)))+(SUMPRODUCT((TEXT($D53:$D67,"yyyymm")=TEXT(AO$52,"yyyymm")) * ($J53:$J67 * $C53:$C67*$G53:$G67*$F53:$F67))),0)</f>
        <v>0</v>
      </c>
      <c r="AP56" s="185" cm="1">
        <f t="array" ref="AP56">IFERROR((SUMPRODUCT((TEXT($O53:$O67,"yyyymm")=TEXT(AP$52,"yyyymm")) * ($U53:$U67 * $N53:$N67*$R53:$R67*$Q53:$Q67)))+(SUMPRODUCT((TEXT($D53:$D67,"yyyymm")=TEXT(AP$52,"yyyymm")) * ($J53:$J67 * $C53:$C67*$G53:$G67*$F53:$F67))),0)</f>
        <v>0</v>
      </c>
      <c r="AQ56" s="185" cm="1">
        <f t="array" ref="AQ56">IFERROR((SUMPRODUCT((TEXT($O53:$O67,"yyyymm")=TEXT(AQ$52,"yyyymm")) * ($U53:$U67 * $N53:$N67*$R53:$R67*$Q53:$Q67)))+(SUMPRODUCT((TEXT($D53:$D67,"yyyymm")=TEXT(AQ$52,"yyyymm")) * ($J53:$J67 * $C53:$C67*$G53:$G67*$F53:$F67))),0)</f>
        <v>0</v>
      </c>
      <c r="AR56" s="185" cm="1">
        <f t="array" ref="AR56">IFERROR((SUMPRODUCT((TEXT($O53:$O67,"yyyymm")=TEXT(AR$52,"yyyymm")) * ($U53:$U67 * $N53:$N67*$R53:$R67*$Q53:$Q67)))+(SUMPRODUCT((TEXT($D53:$D67,"yyyymm")=TEXT(AR$52,"yyyymm")) * ($J53:$J67 * $C53:$C67*$G53:$G67*$F53:$F67))),0)</f>
        <v>0</v>
      </c>
      <c r="AS56" s="185" cm="1">
        <f t="array" ref="AS56">IFERROR((SUMPRODUCT((TEXT($O53:$O67,"yyyymm")=TEXT(AS$52,"yyyymm")) * ($U53:$U67 * $N53:$N67*$R53:$R67*$Q53:$Q67)))+(SUMPRODUCT((TEXT($D53:$D67,"yyyymm")=TEXT(AS$52,"yyyymm")) * ($J53:$J67 * $C53:$C67*$G53:$G67*$F53:$F67))),0)</f>
        <v>0</v>
      </c>
      <c r="AT56" s="185" cm="1">
        <f t="array" ref="AT56">IFERROR((SUMPRODUCT((TEXT($O53:$O67,"yyyymm")=TEXT(AT$52,"yyyymm")) * ($U53:$U67 * $N53:$N67*$R53:$R67*$Q53:$Q67)))+(SUMPRODUCT((TEXT($D53:$D67,"yyyymm")=TEXT(AT$52,"yyyymm")) * ($J53:$J67 * $C53:$C67*$G53:$G67*$F53:$F67))),0)</f>
        <v>0</v>
      </c>
      <c r="AU56" s="185" cm="1">
        <f t="array" ref="AU56">IFERROR((SUMPRODUCT((TEXT($O53:$O67,"yyyymm")=TEXT(AU$52,"yyyymm")) * ($U53:$U67 * $N53:$N67*$R53:$R67*$Q53:$Q67)))+(SUMPRODUCT((TEXT($D53:$D67,"yyyymm")=TEXT(AU$52,"yyyymm")) * ($J53:$J67 * $C53:$C67*$G53:$G67*$F53:$F67))),0)</f>
        <v>0</v>
      </c>
      <c r="AV56" s="274">
        <f t="shared" si="69"/>
        <v>9272.25</v>
      </c>
      <c r="DB56" s="205">
        <f t="shared" si="67"/>
        <v>0</v>
      </c>
      <c r="DC56" s="204">
        <f t="shared" si="67"/>
        <v>0</v>
      </c>
      <c r="DD56" s="204">
        <f t="shared" si="67"/>
        <v>0</v>
      </c>
      <c r="DE56" s="204">
        <f t="shared" si="67"/>
        <v>0</v>
      </c>
      <c r="DF56" s="204">
        <f t="shared" si="67"/>
        <v>0</v>
      </c>
      <c r="DG56" s="204">
        <f t="shared" si="67"/>
        <v>0</v>
      </c>
      <c r="DH56" s="204">
        <f t="shared" si="67"/>
        <v>0</v>
      </c>
      <c r="DI56" s="204">
        <f t="shared" si="67"/>
        <v>0</v>
      </c>
      <c r="DJ56" s="204">
        <f t="shared" si="67"/>
        <v>0</v>
      </c>
      <c r="DK56" s="204">
        <f t="shared" si="67"/>
        <v>0</v>
      </c>
      <c r="DL56" s="204">
        <f t="shared" si="68"/>
        <v>0</v>
      </c>
      <c r="DM56" s="206">
        <f t="shared" si="68"/>
        <v>0</v>
      </c>
      <c r="DN56" s="185">
        <f t="shared" si="68"/>
        <v>0</v>
      </c>
      <c r="DO56" s="185">
        <f t="shared" si="68"/>
        <v>0</v>
      </c>
      <c r="DP56" s="185">
        <f t="shared" si="68"/>
        <v>0</v>
      </c>
      <c r="DQ56" s="185">
        <f t="shared" si="68"/>
        <v>5151.25</v>
      </c>
      <c r="DR56" s="185">
        <f t="shared" si="68"/>
        <v>5151.25</v>
      </c>
      <c r="DS56" s="185">
        <f t="shared" si="68"/>
        <v>5151.25</v>
      </c>
      <c r="DT56" s="185">
        <f t="shared" si="68"/>
        <v>5151.25</v>
      </c>
      <c r="DU56" s="185">
        <f t="shared" si="68"/>
        <v>5151.25</v>
      </c>
      <c r="DV56" s="185">
        <f t="shared" si="68"/>
        <v>5151.25</v>
      </c>
      <c r="DW56" s="185">
        <f t="shared" si="68"/>
        <v>5151.25</v>
      </c>
      <c r="DX56" s="185">
        <f t="shared" si="68"/>
        <v>5151.25</v>
      </c>
      <c r="DY56" s="185">
        <f t="shared" si="68"/>
        <v>5151.25</v>
      </c>
    </row>
    <row r="57" spans="1:129" ht="17.5" x14ac:dyDescent="0.35">
      <c r="B57" s="34" t="str">
        <f t="shared" si="62"/>
        <v/>
      </c>
      <c r="C57" s="209"/>
      <c r="D57" s="229"/>
      <c r="E57" s="218"/>
      <c r="F57" s="188">
        <f t="shared" si="63"/>
        <v>0</v>
      </c>
      <c r="G57" s="219"/>
      <c r="H57" s="527">
        <f t="shared" si="64"/>
        <v>0</v>
      </c>
      <c r="I57" s="219"/>
      <c r="J57" s="230"/>
      <c r="K57" s="186"/>
      <c r="L57" s="188"/>
      <c r="M57" s="34"/>
      <c r="N57" s="209"/>
      <c r="O57" s="229"/>
      <c r="P57" s="218"/>
      <c r="Q57" s="188">
        <f t="shared" si="65"/>
        <v>0</v>
      </c>
      <c r="R57" s="219"/>
      <c r="S57" s="527">
        <f t="shared" si="66"/>
        <v>0</v>
      </c>
      <c r="T57" s="219"/>
      <c r="U57" s="230"/>
      <c r="W57" s="250" t="s">
        <v>368</v>
      </c>
      <c r="X57" s="145">
        <f t="shared" ref="X57:AU57" si="73">SUM(X54:X56)</f>
        <v>0</v>
      </c>
      <c r="Y57" s="145">
        <f t="shared" si="73"/>
        <v>0</v>
      </c>
      <c r="Z57" s="145">
        <f t="shared" si="73"/>
        <v>0</v>
      </c>
      <c r="AA57" s="145">
        <f t="shared" si="73"/>
        <v>0</v>
      </c>
      <c r="AB57" s="145">
        <f t="shared" si="73"/>
        <v>0</v>
      </c>
      <c r="AC57" s="145">
        <f t="shared" si="73"/>
        <v>0</v>
      </c>
      <c r="AD57" s="145">
        <f t="shared" si="73"/>
        <v>0</v>
      </c>
      <c r="AE57" s="145">
        <f t="shared" si="73"/>
        <v>0</v>
      </c>
      <c r="AF57" s="145">
        <f t="shared" si="73"/>
        <v>0</v>
      </c>
      <c r="AG57" s="145">
        <f t="shared" si="73"/>
        <v>0</v>
      </c>
      <c r="AH57" s="145">
        <f t="shared" si="73"/>
        <v>0</v>
      </c>
      <c r="AI57" s="145">
        <f t="shared" si="73"/>
        <v>2821.6666666666665</v>
      </c>
      <c r="AJ57" s="145">
        <f t="shared" si="73"/>
        <v>12733.333333333334</v>
      </c>
      <c r="AK57" s="145">
        <f t="shared" si="73"/>
        <v>8725.3333333333339</v>
      </c>
      <c r="AL57" s="145">
        <f t="shared" si="73"/>
        <v>8725.3333333333339</v>
      </c>
      <c r="AM57" s="145">
        <f t="shared" si="73"/>
        <v>32658.833333333336</v>
      </c>
      <c r="AN57" s="145">
        <f t="shared" si="73"/>
        <v>13876.583333333334</v>
      </c>
      <c r="AO57" s="145">
        <f t="shared" si="73"/>
        <v>13876.583333333334</v>
      </c>
      <c r="AP57" s="145">
        <f t="shared" si="73"/>
        <v>13876.583333333334</v>
      </c>
      <c r="AQ57" s="145">
        <f t="shared" si="73"/>
        <v>13876.583333333334</v>
      </c>
      <c r="AR57" s="145">
        <f t="shared" si="73"/>
        <v>13876.583333333334</v>
      </c>
      <c r="AS57" s="145">
        <f t="shared" si="73"/>
        <v>13876.583333333334</v>
      </c>
      <c r="AT57" s="145">
        <f t="shared" si="73"/>
        <v>13876.583333333334</v>
      </c>
      <c r="AU57" s="251">
        <f t="shared" si="73"/>
        <v>15916.541666666666</v>
      </c>
      <c r="AV57" s="145">
        <f t="shared" ref="AV57" si="74">SUM(AV54:AV56)</f>
        <v>175895.45833333331</v>
      </c>
      <c r="DB57" s="205">
        <f t="shared" si="67"/>
        <v>0</v>
      </c>
      <c r="DC57" s="204">
        <f t="shared" si="67"/>
        <v>0</v>
      </c>
      <c r="DD57" s="204">
        <f t="shared" si="67"/>
        <v>0</v>
      </c>
      <c r="DE57" s="204">
        <f t="shared" si="67"/>
        <v>0</v>
      </c>
      <c r="DF57" s="204">
        <f t="shared" si="67"/>
        <v>0</v>
      </c>
      <c r="DG57" s="204">
        <f t="shared" si="67"/>
        <v>0</v>
      </c>
      <c r="DH57" s="204">
        <f t="shared" si="67"/>
        <v>0</v>
      </c>
      <c r="DI57" s="204">
        <f t="shared" si="67"/>
        <v>0</v>
      </c>
      <c r="DJ57" s="204">
        <f t="shared" si="67"/>
        <v>0</v>
      </c>
      <c r="DK57" s="204">
        <f t="shared" si="67"/>
        <v>0</v>
      </c>
      <c r="DL57" s="204">
        <f t="shared" si="68"/>
        <v>0</v>
      </c>
      <c r="DM57" s="206">
        <f t="shared" si="68"/>
        <v>0</v>
      </c>
      <c r="DN57" s="185">
        <f t="shared" si="68"/>
        <v>0</v>
      </c>
      <c r="DO57" s="185">
        <f t="shared" si="68"/>
        <v>0</v>
      </c>
      <c r="DP57" s="185">
        <f t="shared" si="68"/>
        <v>0</v>
      </c>
      <c r="DQ57" s="185">
        <f t="shared" si="68"/>
        <v>0</v>
      </c>
      <c r="DR57" s="185">
        <f t="shared" si="68"/>
        <v>0</v>
      </c>
      <c r="DS57" s="185">
        <f t="shared" si="68"/>
        <v>0</v>
      </c>
      <c r="DT57" s="185">
        <f t="shared" si="68"/>
        <v>0</v>
      </c>
      <c r="DU57" s="185">
        <f t="shared" si="68"/>
        <v>0</v>
      </c>
      <c r="DV57" s="185">
        <f t="shared" si="68"/>
        <v>0</v>
      </c>
      <c r="DW57" s="185">
        <f t="shared" si="68"/>
        <v>0</v>
      </c>
      <c r="DX57" s="185">
        <f t="shared" si="68"/>
        <v>0</v>
      </c>
      <c r="DY57" s="185">
        <f t="shared" si="68"/>
        <v>0</v>
      </c>
    </row>
    <row r="58" spans="1:129" x14ac:dyDescent="0.35">
      <c r="B58" s="34"/>
      <c r="D58" s="229"/>
      <c r="E58" s="218"/>
      <c r="F58" s="188">
        <f t="shared" si="63"/>
        <v>0</v>
      </c>
      <c r="G58" s="219"/>
      <c r="H58" s="527">
        <f t="shared" si="64"/>
        <v>0</v>
      </c>
      <c r="I58" s="219"/>
      <c r="J58" s="230"/>
      <c r="L58" s="188"/>
      <c r="O58" s="229"/>
      <c r="P58" s="218"/>
      <c r="Q58" s="188">
        <f t="shared" si="65"/>
        <v>0</v>
      </c>
      <c r="R58" s="219"/>
      <c r="S58" s="527">
        <f t="shared" si="66"/>
        <v>0</v>
      </c>
      <c r="T58" s="219"/>
      <c r="U58" s="230"/>
      <c r="DB58" s="205">
        <f t="shared" si="67"/>
        <v>0</v>
      </c>
      <c r="DC58" s="204">
        <f t="shared" si="67"/>
        <v>0</v>
      </c>
      <c r="DD58" s="204">
        <f t="shared" si="67"/>
        <v>0</v>
      </c>
      <c r="DE58" s="204">
        <f t="shared" si="67"/>
        <v>0</v>
      </c>
      <c r="DF58" s="204">
        <f t="shared" si="67"/>
        <v>0</v>
      </c>
      <c r="DG58" s="204">
        <f t="shared" si="67"/>
        <v>0</v>
      </c>
      <c r="DH58" s="204">
        <f t="shared" si="67"/>
        <v>0</v>
      </c>
      <c r="DI58" s="204">
        <f t="shared" si="67"/>
        <v>0</v>
      </c>
      <c r="DJ58" s="204">
        <f t="shared" si="67"/>
        <v>0</v>
      </c>
      <c r="DK58" s="204">
        <f t="shared" si="67"/>
        <v>0</v>
      </c>
      <c r="DL58" s="204">
        <f t="shared" si="68"/>
        <v>0</v>
      </c>
      <c r="DM58" s="206">
        <f t="shared" si="68"/>
        <v>0</v>
      </c>
      <c r="DN58" s="185">
        <f t="shared" si="68"/>
        <v>0</v>
      </c>
      <c r="DO58" s="185">
        <f t="shared" si="68"/>
        <v>0</v>
      </c>
      <c r="DP58" s="185">
        <f t="shared" si="68"/>
        <v>0</v>
      </c>
      <c r="DQ58" s="185">
        <f t="shared" si="68"/>
        <v>0</v>
      </c>
      <c r="DR58" s="185">
        <f t="shared" si="68"/>
        <v>0</v>
      </c>
      <c r="DS58" s="185">
        <f t="shared" si="68"/>
        <v>0</v>
      </c>
      <c r="DT58" s="185">
        <f t="shared" si="68"/>
        <v>0</v>
      </c>
      <c r="DU58" s="185">
        <f t="shared" si="68"/>
        <v>0</v>
      </c>
      <c r="DV58" s="185">
        <f t="shared" si="68"/>
        <v>0</v>
      </c>
      <c r="DW58" s="185">
        <f t="shared" si="68"/>
        <v>0</v>
      </c>
      <c r="DX58" s="185">
        <f t="shared" si="68"/>
        <v>0</v>
      </c>
      <c r="DY58" s="185">
        <f t="shared" si="68"/>
        <v>0</v>
      </c>
    </row>
    <row r="59" spans="1:129" x14ac:dyDescent="0.35">
      <c r="B59" s="34" t="str">
        <f t="shared" si="62"/>
        <v/>
      </c>
      <c r="C59" s="209"/>
      <c r="D59" s="229"/>
      <c r="E59" s="218"/>
      <c r="F59" s="188">
        <f t="shared" si="63"/>
        <v>0</v>
      </c>
      <c r="G59" s="219"/>
      <c r="H59" s="527">
        <f t="shared" si="64"/>
        <v>0</v>
      </c>
      <c r="I59" s="221"/>
      <c r="J59" s="230"/>
      <c r="K59" s="186"/>
      <c r="L59" s="188"/>
      <c r="M59" s="34"/>
      <c r="N59" s="209"/>
      <c r="O59" s="229"/>
      <c r="P59" s="218"/>
      <c r="Q59" s="188">
        <f t="shared" si="65"/>
        <v>0</v>
      </c>
      <c r="R59" s="219"/>
      <c r="S59" s="527">
        <f t="shared" si="66"/>
        <v>0</v>
      </c>
      <c r="T59" s="221"/>
      <c r="U59" s="230"/>
      <c r="W59" s="245" t="s">
        <v>440</v>
      </c>
      <c r="AK59" s="185"/>
      <c r="DB59" s="205">
        <f t="shared" si="67"/>
        <v>0</v>
      </c>
      <c r="DC59" s="204">
        <f t="shared" si="67"/>
        <v>0</v>
      </c>
      <c r="DD59" s="204">
        <f t="shared" si="67"/>
        <v>0</v>
      </c>
      <c r="DE59" s="204">
        <f t="shared" si="67"/>
        <v>0</v>
      </c>
      <c r="DF59" s="204">
        <f t="shared" si="67"/>
        <v>0</v>
      </c>
      <c r="DG59" s="204">
        <f t="shared" si="67"/>
        <v>0</v>
      </c>
      <c r="DH59" s="204">
        <f t="shared" si="67"/>
        <v>0</v>
      </c>
      <c r="DI59" s="204">
        <f t="shared" si="67"/>
        <v>0</v>
      </c>
      <c r="DJ59" s="204">
        <f t="shared" si="67"/>
        <v>0</v>
      </c>
      <c r="DK59" s="204">
        <f t="shared" si="67"/>
        <v>0</v>
      </c>
      <c r="DL59" s="204">
        <f t="shared" si="68"/>
        <v>0</v>
      </c>
      <c r="DM59" s="206">
        <f t="shared" si="68"/>
        <v>0</v>
      </c>
      <c r="DN59" s="185">
        <f t="shared" si="68"/>
        <v>0</v>
      </c>
      <c r="DO59" s="185">
        <f t="shared" si="68"/>
        <v>0</v>
      </c>
      <c r="DP59" s="185">
        <f t="shared" si="68"/>
        <v>0</v>
      </c>
      <c r="DQ59" s="185">
        <f t="shared" si="68"/>
        <v>0</v>
      </c>
      <c r="DR59" s="185">
        <f t="shared" si="68"/>
        <v>0</v>
      </c>
      <c r="DS59" s="185">
        <f t="shared" si="68"/>
        <v>0</v>
      </c>
      <c r="DT59" s="185">
        <f t="shared" si="68"/>
        <v>0</v>
      </c>
      <c r="DU59" s="185">
        <f t="shared" si="68"/>
        <v>0</v>
      </c>
      <c r="DV59" s="185">
        <f t="shared" si="68"/>
        <v>0</v>
      </c>
      <c r="DW59" s="185">
        <f t="shared" si="68"/>
        <v>0</v>
      </c>
      <c r="DX59" s="185">
        <f t="shared" si="68"/>
        <v>0</v>
      </c>
      <c r="DY59" s="185">
        <f t="shared" si="68"/>
        <v>0</v>
      </c>
    </row>
    <row r="60" spans="1:129" x14ac:dyDescent="0.35">
      <c r="B60" s="34" t="str">
        <f>IF(A60&lt;&gt;"","VACANT","")</f>
        <v/>
      </c>
      <c r="C60" s="209"/>
      <c r="D60" s="229"/>
      <c r="E60" s="218"/>
      <c r="F60" s="188">
        <f t="shared" si="63"/>
        <v>0</v>
      </c>
      <c r="G60" s="219"/>
      <c r="H60" s="527">
        <f t="shared" si="64"/>
        <v>0</v>
      </c>
      <c r="I60" s="221"/>
      <c r="J60" s="230"/>
      <c r="K60" s="186"/>
      <c r="L60" s="188"/>
      <c r="M60" s="34"/>
      <c r="N60" s="209"/>
      <c r="O60" s="229"/>
      <c r="P60" s="218"/>
      <c r="Q60" s="188">
        <f t="shared" si="65"/>
        <v>0</v>
      </c>
      <c r="R60" s="219"/>
      <c r="S60" s="527">
        <f t="shared" si="66"/>
        <v>0</v>
      </c>
      <c r="T60" s="221"/>
      <c r="U60" s="230"/>
      <c r="W60" s="245" t="s">
        <v>441</v>
      </c>
      <c r="AK60" s="185"/>
      <c r="DB60" s="205">
        <f t="shared" si="67"/>
        <v>0</v>
      </c>
      <c r="DC60" s="204">
        <f t="shared" si="67"/>
        <v>0</v>
      </c>
      <c r="DD60" s="204">
        <f t="shared" si="67"/>
        <v>0</v>
      </c>
      <c r="DE60" s="204">
        <f t="shared" si="67"/>
        <v>0</v>
      </c>
      <c r="DF60" s="204">
        <f t="shared" si="67"/>
        <v>0</v>
      </c>
      <c r="DG60" s="204">
        <f t="shared" si="67"/>
        <v>0</v>
      </c>
      <c r="DH60" s="204">
        <f t="shared" si="67"/>
        <v>0</v>
      </c>
      <c r="DI60" s="204">
        <f t="shared" si="67"/>
        <v>0</v>
      </c>
      <c r="DJ60" s="204">
        <f t="shared" si="67"/>
        <v>0</v>
      </c>
      <c r="DK60" s="204">
        <f t="shared" si="67"/>
        <v>0</v>
      </c>
      <c r="DL60" s="204">
        <f t="shared" si="68"/>
        <v>0</v>
      </c>
      <c r="DM60" s="206">
        <f t="shared" si="68"/>
        <v>0</v>
      </c>
      <c r="DN60" s="185">
        <f t="shared" si="68"/>
        <v>0</v>
      </c>
      <c r="DO60" s="185">
        <f t="shared" si="68"/>
        <v>0</v>
      </c>
      <c r="DP60" s="185">
        <f t="shared" si="68"/>
        <v>0</v>
      </c>
      <c r="DQ60" s="185">
        <f t="shared" si="68"/>
        <v>0</v>
      </c>
      <c r="DR60" s="185">
        <f t="shared" si="68"/>
        <v>0</v>
      </c>
      <c r="DS60" s="185">
        <f t="shared" si="68"/>
        <v>0</v>
      </c>
      <c r="DT60" s="185">
        <f t="shared" si="68"/>
        <v>0</v>
      </c>
      <c r="DU60" s="185">
        <f t="shared" si="68"/>
        <v>0</v>
      </c>
      <c r="DV60" s="185">
        <f t="shared" si="68"/>
        <v>0</v>
      </c>
      <c r="DW60" s="185">
        <f t="shared" si="68"/>
        <v>0</v>
      </c>
      <c r="DX60" s="185">
        <f t="shared" si="68"/>
        <v>0</v>
      </c>
      <c r="DY60" s="185">
        <f t="shared" si="68"/>
        <v>0</v>
      </c>
    </row>
    <row r="61" spans="1:129" x14ac:dyDescent="0.35">
      <c r="B61" s="34" t="str">
        <f t="shared" si="62"/>
        <v/>
      </c>
      <c r="C61" s="209"/>
      <c r="D61" s="229"/>
      <c r="E61" s="218"/>
      <c r="F61" s="188">
        <f t="shared" si="63"/>
        <v>0</v>
      </c>
      <c r="G61" s="219"/>
      <c r="H61" s="527">
        <f t="shared" si="64"/>
        <v>0</v>
      </c>
      <c r="I61" s="221"/>
      <c r="J61" s="230"/>
      <c r="K61" s="186"/>
      <c r="L61" s="188"/>
      <c r="M61" s="34"/>
      <c r="N61" s="209"/>
      <c r="O61" s="229"/>
      <c r="P61" s="218"/>
      <c r="Q61" s="188">
        <f t="shared" si="65"/>
        <v>0</v>
      </c>
      <c r="R61" s="219"/>
      <c r="S61" s="527">
        <f t="shared" si="66"/>
        <v>0</v>
      </c>
      <c r="T61" s="221"/>
      <c r="U61" s="230"/>
      <c r="AK61" s="185"/>
      <c r="DB61" s="205">
        <f t="shared" si="67"/>
        <v>0</v>
      </c>
      <c r="DC61" s="204">
        <f t="shared" si="67"/>
        <v>0</v>
      </c>
      <c r="DD61" s="204">
        <f t="shared" si="67"/>
        <v>0</v>
      </c>
      <c r="DE61" s="204">
        <f t="shared" si="67"/>
        <v>0</v>
      </c>
      <c r="DF61" s="204">
        <f t="shared" si="67"/>
        <v>0</v>
      </c>
      <c r="DG61" s="204">
        <f t="shared" si="67"/>
        <v>0</v>
      </c>
      <c r="DH61" s="204">
        <f t="shared" si="67"/>
        <v>0</v>
      </c>
      <c r="DI61" s="204">
        <f t="shared" si="67"/>
        <v>0</v>
      </c>
      <c r="DJ61" s="204">
        <f t="shared" si="67"/>
        <v>0</v>
      </c>
      <c r="DK61" s="204">
        <f t="shared" si="67"/>
        <v>0</v>
      </c>
      <c r="DL61" s="204">
        <f t="shared" si="68"/>
        <v>0</v>
      </c>
      <c r="DM61" s="206">
        <f t="shared" si="68"/>
        <v>0</v>
      </c>
      <c r="DN61" s="185">
        <f t="shared" si="68"/>
        <v>0</v>
      </c>
      <c r="DO61" s="185">
        <f t="shared" si="68"/>
        <v>0</v>
      </c>
      <c r="DP61" s="185">
        <f t="shared" si="68"/>
        <v>0</v>
      </c>
      <c r="DQ61" s="185">
        <f t="shared" si="68"/>
        <v>0</v>
      </c>
      <c r="DR61" s="185">
        <f t="shared" si="68"/>
        <v>0</v>
      </c>
      <c r="DS61" s="185">
        <f t="shared" si="68"/>
        <v>0</v>
      </c>
      <c r="DT61" s="185">
        <f t="shared" si="68"/>
        <v>0</v>
      </c>
      <c r="DU61" s="185">
        <f t="shared" si="68"/>
        <v>0</v>
      </c>
      <c r="DV61" s="185">
        <f t="shared" si="68"/>
        <v>0</v>
      </c>
      <c r="DW61" s="185">
        <f t="shared" si="68"/>
        <v>0</v>
      </c>
      <c r="DX61" s="185">
        <f t="shared" si="68"/>
        <v>0</v>
      </c>
      <c r="DY61" s="185">
        <f t="shared" si="68"/>
        <v>0</v>
      </c>
    </row>
    <row r="62" spans="1:129" x14ac:dyDescent="0.35">
      <c r="B62" s="34" t="str">
        <f t="shared" si="62"/>
        <v/>
      </c>
      <c r="C62" s="209"/>
      <c r="D62" s="229"/>
      <c r="E62" s="218"/>
      <c r="F62" s="188">
        <f t="shared" si="63"/>
        <v>0</v>
      </c>
      <c r="G62" s="219"/>
      <c r="H62" s="527">
        <f t="shared" si="64"/>
        <v>0</v>
      </c>
      <c r="I62" s="221"/>
      <c r="J62" s="230"/>
      <c r="K62" s="186"/>
      <c r="L62" s="188"/>
      <c r="M62" s="34"/>
      <c r="N62" s="209"/>
      <c r="O62" s="229"/>
      <c r="P62" s="218"/>
      <c r="Q62" s="188">
        <f t="shared" si="65"/>
        <v>0</v>
      </c>
      <c r="R62" s="219"/>
      <c r="S62" s="527">
        <f t="shared" si="66"/>
        <v>0</v>
      </c>
      <c r="T62" s="221"/>
      <c r="U62" s="230"/>
      <c r="DB62" s="205">
        <f t="shared" si="67"/>
        <v>0</v>
      </c>
      <c r="DC62" s="204">
        <f t="shared" si="67"/>
        <v>0</v>
      </c>
      <c r="DD62" s="204">
        <f t="shared" si="67"/>
        <v>0</v>
      </c>
      <c r="DE62" s="204">
        <f t="shared" si="67"/>
        <v>0</v>
      </c>
      <c r="DF62" s="204">
        <f t="shared" si="67"/>
        <v>0</v>
      </c>
      <c r="DG62" s="204">
        <f t="shared" si="67"/>
        <v>0</v>
      </c>
      <c r="DH62" s="204">
        <f t="shared" si="67"/>
        <v>0</v>
      </c>
      <c r="DI62" s="204">
        <f t="shared" si="67"/>
        <v>0</v>
      </c>
      <c r="DJ62" s="204">
        <f t="shared" si="67"/>
        <v>0</v>
      </c>
      <c r="DK62" s="204">
        <f t="shared" si="67"/>
        <v>0</v>
      </c>
      <c r="DL62" s="204">
        <f t="shared" si="68"/>
        <v>0</v>
      </c>
      <c r="DM62" s="206">
        <f t="shared" si="68"/>
        <v>0</v>
      </c>
      <c r="DN62" s="185">
        <f t="shared" si="68"/>
        <v>0</v>
      </c>
      <c r="DO62" s="185">
        <f t="shared" si="68"/>
        <v>0</v>
      </c>
      <c r="DP62" s="185">
        <f t="shared" si="68"/>
        <v>0</v>
      </c>
      <c r="DQ62" s="185">
        <f t="shared" si="68"/>
        <v>0</v>
      </c>
      <c r="DR62" s="185">
        <f t="shared" si="68"/>
        <v>0</v>
      </c>
      <c r="DS62" s="185">
        <f t="shared" si="68"/>
        <v>0</v>
      </c>
      <c r="DT62" s="185">
        <f t="shared" si="68"/>
        <v>0</v>
      </c>
      <c r="DU62" s="185">
        <f t="shared" si="68"/>
        <v>0</v>
      </c>
      <c r="DV62" s="185">
        <f t="shared" si="68"/>
        <v>0</v>
      </c>
      <c r="DW62" s="185">
        <f t="shared" si="68"/>
        <v>0</v>
      </c>
      <c r="DX62" s="185">
        <f t="shared" si="68"/>
        <v>0</v>
      </c>
      <c r="DY62" s="185">
        <f t="shared" si="68"/>
        <v>0</v>
      </c>
    </row>
    <row r="63" spans="1:129" x14ac:dyDescent="0.35">
      <c r="B63" s="34" t="str">
        <f t="shared" si="62"/>
        <v/>
      </c>
      <c r="C63" s="209"/>
      <c r="D63" s="229"/>
      <c r="E63" s="218"/>
      <c r="F63" s="188">
        <f t="shared" si="63"/>
        <v>0</v>
      </c>
      <c r="G63" s="219"/>
      <c r="H63" s="527">
        <f t="shared" si="64"/>
        <v>0</v>
      </c>
      <c r="I63" s="221"/>
      <c r="J63" s="230"/>
      <c r="K63" s="186"/>
      <c r="L63" s="188"/>
      <c r="M63" s="34"/>
      <c r="N63" s="209"/>
      <c r="O63" s="229"/>
      <c r="P63" s="218"/>
      <c r="Q63" s="188">
        <f t="shared" si="65"/>
        <v>0</v>
      </c>
      <c r="R63" s="219"/>
      <c r="S63" s="527">
        <f t="shared" si="66"/>
        <v>0</v>
      </c>
      <c r="T63" s="221"/>
      <c r="U63" s="230"/>
      <c r="DB63" s="205">
        <f t="shared" si="67"/>
        <v>0</v>
      </c>
      <c r="DC63" s="204">
        <f t="shared" si="67"/>
        <v>0</v>
      </c>
      <c r="DD63" s="204">
        <f t="shared" si="67"/>
        <v>0</v>
      </c>
      <c r="DE63" s="204">
        <f t="shared" si="67"/>
        <v>0</v>
      </c>
      <c r="DF63" s="204">
        <f t="shared" si="67"/>
        <v>0</v>
      </c>
      <c r="DG63" s="204">
        <f t="shared" si="67"/>
        <v>0</v>
      </c>
      <c r="DH63" s="204">
        <f t="shared" si="67"/>
        <v>0</v>
      </c>
      <c r="DI63" s="204">
        <f t="shared" si="67"/>
        <v>0</v>
      </c>
      <c r="DJ63" s="204">
        <f t="shared" si="67"/>
        <v>0</v>
      </c>
      <c r="DK63" s="204">
        <f t="shared" si="67"/>
        <v>0</v>
      </c>
      <c r="DL63" s="204">
        <f t="shared" si="68"/>
        <v>0</v>
      </c>
      <c r="DM63" s="206">
        <f t="shared" si="68"/>
        <v>0</v>
      </c>
      <c r="DN63" s="185">
        <f t="shared" si="68"/>
        <v>0</v>
      </c>
      <c r="DO63" s="185">
        <f t="shared" si="68"/>
        <v>0</v>
      </c>
      <c r="DP63" s="185">
        <f t="shared" si="68"/>
        <v>0</v>
      </c>
      <c r="DQ63" s="185">
        <f t="shared" si="68"/>
        <v>0</v>
      </c>
      <c r="DR63" s="185">
        <f t="shared" si="68"/>
        <v>0</v>
      </c>
      <c r="DS63" s="185">
        <f t="shared" si="68"/>
        <v>0</v>
      </c>
      <c r="DT63" s="185">
        <f t="shared" si="68"/>
        <v>0</v>
      </c>
      <c r="DU63" s="185">
        <f t="shared" si="68"/>
        <v>0</v>
      </c>
      <c r="DV63" s="185">
        <f t="shared" si="68"/>
        <v>0</v>
      </c>
      <c r="DW63" s="185">
        <f t="shared" si="68"/>
        <v>0</v>
      </c>
      <c r="DX63" s="185">
        <f t="shared" si="68"/>
        <v>0</v>
      </c>
      <c r="DY63" s="185">
        <f t="shared" si="68"/>
        <v>0</v>
      </c>
    </row>
    <row r="64" spans="1:129" x14ac:dyDescent="0.35">
      <c r="B64" s="34" t="str">
        <f t="shared" si="62"/>
        <v/>
      </c>
      <c r="C64" s="209"/>
      <c r="D64" s="229"/>
      <c r="E64" s="218"/>
      <c r="F64" s="188">
        <f t="shared" si="63"/>
        <v>0</v>
      </c>
      <c r="G64" s="219"/>
      <c r="H64" s="527">
        <f t="shared" si="64"/>
        <v>0</v>
      </c>
      <c r="I64" s="219"/>
      <c r="J64" s="230"/>
      <c r="K64" s="186"/>
      <c r="L64" s="188"/>
      <c r="M64" s="34"/>
      <c r="N64" s="209"/>
      <c r="O64" s="229"/>
      <c r="P64" s="218"/>
      <c r="Q64" s="188">
        <f t="shared" si="65"/>
        <v>0</v>
      </c>
      <c r="R64" s="219"/>
      <c r="S64" s="527">
        <f t="shared" si="66"/>
        <v>0</v>
      </c>
      <c r="T64" s="219"/>
      <c r="U64" s="230"/>
      <c r="DB64" s="205">
        <f t="shared" si="67"/>
        <v>0</v>
      </c>
      <c r="DC64" s="204">
        <f t="shared" si="67"/>
        <v>0</v>
      </c>
      <c r="DD64" s="204">
        <f t="shared" si="67"/>
        <v>0</v>
      </c>
      <c r="DE64" s="204">
        <f t="shared" si="67"/>
        <v>0</v>
      </c>
      <c r="DF64" s="204">
        <f t="shared" si="67"/>
        <v>0</v>
      </c>
      <c r="DG64" s="204">
        <f t="shared" si="67"/>
        <v>0</v>
      </c>
      <c r="DH64" s="204">
        <f t="shared" si="67"/>
        <v>0</v>
      </c>
      <c r="DI64" s="204">
        <f t="shared" si="67"/>
        <v>0</v>
      </c>
      <c r="DJ64" s="204">
        <f t="shared" si="67"/>
        <v>0</v>
      </c>
      <c r="DK64" s="204">
        <f t="shared" si="67"/>
        <v>0</v>
      </c>
      <c r="DL64" s="204">
        <f t="shared" si="68"/>
        <v>0</v>
      </c>
      <c r="DM64" s="206">
        <f t="shared" si="68"/>
        <v>0</v>
      </c>
      <c r="DN64" s="185">
        <f t="shared" si="68"/>
        <v>0</v>
      </c>
      <c r="DO64" s="185">
        <f t="shared" si="68"/>
        <v>0</v>
      </c>
      <c r="DP64" s="185">
        <f t="shared" si="68"/>
        <v>0</v>
      </c>
      <c r="DQ64" s="185">
        <f t="shared" si="68"/>
        <v>0</v>
      </c>
      <c r="DR64" s="185">
        <f t="shared" si="68"/>
        <v>0</v>
      </c>
      <c r="DS64" s="185">
        <f t="shared" si="68"/>
        <v>0</v>
      </c>
      <c r="DT64" s="185">
        <f t="shared" si="68"/>
        <v>0</v>
      </c>
      <c r="DU64" s="185">
        <f t="shared" si="68"/>
        <v>0</v>
      </c>
      <c r="DV64" s="185">
        <f t="shared" si="68"/>
        <v>0</v>
      </c>
      <c r="DW64" s="185">
        <f t="shared" si="68"/>
        <v>0</v>
      </c>
      <c r="DX64" s="185">
        <f t="shared" si="68"/>
        <v>0</v>
      </c>
      <c r="DY64" s="185">
        <f t="shared" si="68"/>
        <v>0</v>
      </c>
    </row>
    <row r="65" spans="1:129" x14ac:dyDescent="0.35">
      <c r="B65" s="34" t="str">
        <f>IF(A65&lt;&gt;"","VACANT","")</f>
        <v/>
      </c>
      <c r="C65" s="209"/>
      <c r="D65" s="229"/>
      <c r="E65" s="218"/>
      <c r="F65" s="188">
        <f t="shared" si="63"/>
        <v>0</v>
      </c>
      <c r="G65" s="219"/>
      <c r="H65" s="527">
        <f t="shared" si="64"/>
        <v>0</v>
      </c>
      <c r="I65" s="219"/>
      <c r="J65" s="230"/>
      <c r="K65" s="186"/>
      <c r="L65" s="188"/>
      <c r="M65" s="34"/>
      <c r="N65" s="209"/>
      <c r="O65" s="229"/>
      <c r="P65" s="218"/>
      <c r="Q65" s="188">
        <f t="shared" si="65"/>
        <v>0</v>
      </c>
      <c r="R65" s="219"/>
      <c r="S65" s="527">
        <f t="shared" si="66"/>
        <v>0</v>
      </c>
      <c r="T65" s="219"/>
      <c r="U65" s="230"/>
      <c r="DB65" s="205">
        <f t="shared" si="67"/>
        <v>0</v>
      </c>
      <c r="DC65" s="204">
        <f t="shared" si="67"/>
        <v>0</v>
      </c>
      <c r="DD65" s="204">
        <f t="shared" si="67"/>
        <v>0</v>
      </c>
      <c r="DE65" s="204">
        <f t="shared" si="67"/>
        <v>0</v>
      </c>
      <c r="DF65" s="204">
        <f t="shared" si="67"/>
        <v>0</v>
      </c>
      <c r="DG65" s="204">
        <f t="shared" si="67"/>
        <v>0</v>
      </c>
      <c r="DH65" s="204">
        <f t="shared" si="67"/>
        <v>0</v>
      </c>
      <c r="DI65" s="204">
        <f t="shared" si="67"/>
        <v>0</v>
      </c>
      <c r="DJ65" s="204">
        <f t="shared" si="67"/>
        <v>0</v>
      </c>
      <c r="DK65" s="204">
        <f t="shared" si="67"/>
        <v>0</v>
      </c>
      <c r="DL65" s="204">
        <f t="shared" si="68"/>
        <v>0</v>
      </c>
      <c r="DM65" s="206">
        <f t="shared" si="68"/>
        <v>0</v>
      </c>
      <c r="DN65" s="185">
        <f t="shared" si="68"/>
        <v>0</v>
      </c>
      <c r="DO65" s="185">
        <f t="shared" si="68"/>
        <v>0</v>
      </c>
      <c r="DP65" s="185">
        <f t="shared" si="68"/>
        <v>0</v>
      </c>
      <c r="DQ65" s="185">
        <f t="shared" si="68"/>
        <v>0</v>
      </c>
      <c r="DR65" s="185">
        <f t="shared" si="68"/>
        <v>0</v>
      </c>
      <c r="DS65" s="185">
        <f t="shared" si="68"/>
        <v>0</v>
      </c>
      <c r="DT65" s="185">
        <f t="shared" si="68"/>
        <v>0</v>
      </c>
      <c r="DU65" s="185">
        <f t="shared" si="68"/>
        <v>0</v>
      </c>
      <c r="DV65" s="185">
        <f t="shared" si="68"/>
        <v>0</v>
      </c>
      <c r="DW65" s="185">
        <f t="shared" si="68"/>
        <v>0</v>
      </c>
      <c r="DX65" s="185">
        <f t="shared" si="68"/>
        <v>0</v>
      </c>
      <c r="DY65" s="185">
        <f t="shared" si="68"/>
        <v>0</v>
      </c>
    </row>
    <row r="66" spans="1:129" x14ac:dyDescent="0.35">
      <c r="B66" s="34" t="str">
        <f t="shared" si="62"/>
        <v/>
      </c>
      <c r="C66" s="209"/>
      <c r="D66" s="229"/>
      <c r="E66" s="218"/>
      <c r="F66" s="188">
        <f t="shared" si="63"/>
        <v>0</v>
      </c>
      <c r="G66" s="219"/>
      <c r="H66" s="527">
        <f t="shared" si="64"/>
        <v>0</v>
      </c>
      <c r="I66" s="219"/>
      <c r="J66" s="230"/>
      <c r="K66" s="186"/>
      <c r="L66" s="188"/>
      <c r="M66" s="34"/>
      <c r="N66" s="209"/>
      <c r="O66" s="229"/>
      <c r="P66" s="218"/>
      <c r="Q66" s="188">
        <f t="shared" si="65"/>
        <v>0</v>
      </c>
      <c r="R66" s="219"/>
      <c r="S66" s="527">
        <f t="shared" si="66"/>
        <v>0</v>
      </c>
      <c r="T66" s="219"/>
      <c r="U66" s="230"/>
      <c r="DB66" s="205">
        <f t="shared" si="67"/>
        <v>0</v>
      </c>
      <c r="DC66" s="204">
        <f t="shared" si="67"/>
        <v>0</v>
      </c>
      <c r="DD66" s="204">
        <f t="shared" si="67"/>
        <v>0</v>
      </c>
      <c r="DE66" s="204">
        <f t="shared" si="67"/>
        <v>0</v>
      </c>
      <c r="DF66" s="204">
        <f t="shared" si="67"/>
        <v>0</v>
      </c>
      <c r="DG66" s="204">
        <f t="shared" si="67"/>
        <v>0</v>
      </c>
      <c r="DH66" s="204">
        <f t="shared" si="67"/>
        <v>0</v>
      </c>
      <c r="DI66" s="204">
        <f t="shared" si="67"/>
        <v>0</v>
      </c>
      <c r="DJ66" s="204">
        <f t="shared" si="67"/>
        <v>0</v>
      </c>
      <c r="DK66" s="204">
        <f t="shared" si="67"/>
        <v>0</v>
      </c>
      <c r="DL66" s="204">
        <f t="shared" si="68"/>
        <v>0</v>
      </c>
      <c r="DM66" s="206">
        <f t="shared" si="68"/>
        <v>0</v>
      </c>
      <c r="DN66" s="185">
        <f t="shared" si="68"/>
        <v>0</v>
      </c>
      <c r="DO66" s="185">
        <f t="shared" si="68"/>
        <v>0</v>
      </c>
      <c r="DP66" s="185">
        <f t="shared" si="68"/>
        <v>0</v>
      </c>
      <c r="DQ66" s="185">
        <f t="shared" si="68"/>
        <v>0</v>
      </c>
      <c r="DR66" s="185">
        <f t="shared" si="68"/>
        <v>0</v>
      </c>
      <c r="DS66" s="185">
        <f t="shared" si="68"/>
        <v>0</v>
      </c>
      <c r="DT66" s="185">
        <f t="shared" si="68"/>
        <v>0</v>
      </c>
      <c r="DU66" s="185">
        <f t="shared" si="68"/>
        <v>0</v>
      </c>
      <c r="DV66" s="185">
        <f t="shared" si="68"/>
        <v>0</v>
      </c>
      <c r="DW66" s="185">
        <f t="shared" si="68"/>
        <v>0</v>
      </c>
      <c r="DX66" s="185">
        <f t="shared" si="68"/>
        <v>0</v>
      </c>
      <c r="DY66" s="185">
        <f t="shared" si="68"/>
        <v>0</v>
      </c>
    </row>
    <row r="67" spans="1:129" x14ac:dyDescent="0.35">
      <c r="A67" s="201"/>
      <c r="B67" s="43" t="str">
        <f t="shared" si="62"/>
        <v/>
      </c>
      <c r="C67" s="210"/>
      <c r="D67" s="231"/>
      <c r="E67" s="222"/>
      <c r="F67" s="201">
        <f t="shared" si="63"/>
        <v>0</v>
      </c>
      <c r="G67" s="223"/>
      <c r="H67" s="528">
        <f t="shared" si="64"/>
        <v>0</v>
      </c>
      <c r="I67" s="223"/>
      <c r="J67" s="232"/>
      <c r="K67" s="186"/>
      <c r="L67" s="201"/>
      <c r="M67" s="43"/>
      <c r="N67" s="210"/>
      <c r="O67" s="231"/>
      <c r="P67" s="222"/>
      <c r="Q67" s="201">
        <f t="shared" si="65"/>
        <v>0</v>
      </c>
      <c r="R67" s="223"/>
      <c r="S67" s="528">
        <f t="shared" si="66"/>
        <v>0</v>
      </c>
      <c r="T67" s="223"/>
      <c r="U67" s="232"/>
      <c r="DB67" s="205">
        <f t="shared" si="67"/>
        <v>0</v>
      </c>
      <c r="DC67" s="204">
        <f t="shared" si="67"/>
        <v>0</v>
      </c>
      <c r="DD67" s="204">
        <f t="shared" si="67"/>
        <v>0</v>
      </c>
      <c r="DE67" s="204">
        <f t="shared" si="67"/>
        <v>0</v>
      </c>
      <c r="DF67" s="204">
        <f t="shared" si="67"/>
        <v>0</v>
      </c>
      <c r="DG67" s="204">
        <f t="shared" si="67"/>
        <v>0</v>
      </c>
      <c r="DH67" s="204">
        <f t="shared" si="67"/>
        <v>0</v>
      </c>
      <c r="DI67" s="204">
        <f t="shared" si="67"/>
        <v>0</v>
      </c>
      <c r="DJ67" s="204">
        <f t="shared" si="67"/>
        <v>0</v>
      </c>
      <c r="DK67" s="204">
        <f t="shared" si="67"/>
        <v>0</v>
      </c>
      <c r="DL67" s="204">
        <f t="shared" si="68"/>
        <v>0</v>
      </c>
      <c r="DM67" s="206">
        <f t="shared" si="68"/>
        <v>0</v>
      </c>
      <c r="DN67" s="185">
        <f t="shared" si="68"/>
        <v>0</v>
      </c>
      <c r="DO67" s="185">
        <f t="shared" si="68"/>
        <v>0</v>
      </c>
      <c r="DP67" s="185">
        <f t="shared" si="68"/>
        <v>0</v>
      </c>
      <c r="DQ67" s="185">
        <f t="shared" si="68"/>
        <v>0</v>
      </c>
      <c r="DR67" s="185">
        <f t="shared" si="68"/>
        <v>0</v>
      </c>
      <c r="DS67" s="185">
        <f t="shared" si="68"/>
        <v>0</v>
      </c>
      <c r="DT67" s="185">
        <f t="shared" si="68"/>
        <v>0</v>
      </c>
      <c r="DU67" s="185">
        <f t="shared" si="68"/>
        <v>0</v>
      </c>
      <c r="DV67" s="185">
        <f t="shared" si="68"/>
        <v>0</v>
      </c>
      <c r="DW67" s="185">
        <f t="shared" si="68"/>
        <v>0</v>
      </c>
      <c r="DX67" s="185">
        <f t="shared" si="68"/>
        <v>0</v>
      </c>
      <c r="DY67" s="185">
        <f t="shared" si="68"/>
        <v>0</v>
      </c>
    </row>
    <row r="68" spans="1:129" ht="16.5" thickBot="1" x14ac:dyDescent="0.35">
      <c r="A68" s="187"/>
      <c r="B68" s="44" t="s">
        <v>423</v>
      </c>
      <c r="C68" s="211">
        <f>SUM(C53:C67)</f>
        <v>20556</v>
      </c>
      <c r="D68" s="197"/>
      <c r="E68" s="197"/>
      <c r="F68" s="207"/>
      <c r="G68" s="198"/>
      <c r="H68" s="198"/>
      <c r="I68" s="198"/>
      <c r="J68" s="199"/>
      <c r="K68" s="186"/>
      <c r="L68" s="187"/>
      <c r="M68" s="44" t="s">
        <v>426</v>
      </c>
      <c r="N68" s="211">
        <f>SUM(N53:N67)</f>
        <v>8208</v>
      </c>
      <c r="O68" s="197"/>
      <c r="P68" s="197"/>
      <c r="Q68" s="207"/>
      <c r="R68" s="198"/>
      <c r="S68" s="198"/>
      <c r="T68" s="198"/>
      <c r="U68" s="199"/>
      <c r="DB68" s="193">
        <f>SUM(DB53:DB67)</f>
        <v>0</v>
      </c>
      <c r="DC68" s="193">
        <f t="shared" ref="DC68:DY68" si="75">SUM(DC53:DC67)</f>
        <v>0</v>
      </c>
      <c r="DD68" s="193">
        <f t="shared" si="75"/>
        <v>0</v>
      </c>
      <c r="DE68" s="193">
        <f t="shared" si="75"/>
        <v>0</v>
      </c>
      <c r="DF68" s="193">
        <f t="shared" si="75"/>
        <v>0</v>
      </c>
      <c r="DG68" s="193">
        <f t="shared" si="75"/>
        <v>0</v>
      </c>
      <c r="DH68" s="193">
        <f t="shared" si="75"/>
        <v>0</v>
      </c>
      <c r="DI68" s="193">
        <f t="shared" si="75"/>
        <v>0</v>
      </c>
      <c r="DJ68" s="193">
        <f t="shared" si="75"/>
        <v>0</v>
      </c>
      <c r="DK68" s="193">
        <f t="shared" si="75"/>
        <v>0</v>
      </c>
      <c r="DL68" s="193">
        <f t="shared" si="75"/>
        <v>0</v>
      </c>
      <c r="DM68" s="193">
        <f t="shared" si="75"/>
        <v>2821.6666666666665</v>
      </c>
      <c r="DN68" s="193">
        <f t="shared" si="75"/>
        <v>2821.6666666666665</v>
      </c>
      <c r="DO68" s="193">
        <f t="shared" si="75"/>
        <v>2821.6666666666665</v>
      </c>
      <c r="DP68" s="193">
        <f t="shared" si="75"/>
        <v>2821.6666666666665</v>
      </c>
      <c r="DQ68" s="193">
        <f t="shared" si="75"/>
        <v>7972.9166666666661</v>
      </c>
      <c r="DR68" s="193">
        <f t="shared" si="75"/>
        <v>7972.9166666666661</v>
      </c>
      <c r="DS68" s="193">
        <f t="shared" si="75"/>
        <v>7972.9166666666661</v>
      </c>
      <c r="DT68" s="193">
        <f t="shared" si="75"/>
        <v>7972.9166666666661</v>
      </c>
      <c r="DU68" s="193">
        <f t="shared" si="75"/>
        <v>7972.9166666666661</v>
      </c>
      <c r="DV68" s="193">
        <f t="shared" si="75"/>
        <v>7972.9166666666661</v>
      </c>
      <c r="DW68" s="193">
        <f t="shared" si="75"/>
        <v>7972.9166666666661</v>
      </c>
      <c r="DX68" s="193">
        <f t="shared" si="75"/>
        <v>7972.9166666666661</v>
      </c>
      <c r="DY68" s="193">
        <f t="shared" si="75"/>
        <v>5151.25</v>
      </c>
    </row>
    <row r="69" spans="1:129" s="253" customFormat="1" ht="18.5" thickTop="1" thickBot="1" x14ac:dyDescent="0.3">
      <c r="A69" s="252"/>
      <c r="F69" s="252"/>
      <c r="K69" s="254"/>
      <c r="AK69" s="254"/>
      <c r="DB69" s="551"/>
      <c r="DC69" s="551"/>
      <c r="DD69" s="551"/>
      <c r="DE69" s="551"/>
      <c r="DF69" s="551"/>
      <c r="DG69" s="551"/>
      <c r="DH69" s="551"/>
      <c r="DI69" s="551"/>
      <c r="DJ69" s="551"/>
      <c r="DK69" s="551"/>
      <c r="DL69" s="551"/>
      <c r="DM69" s="551"/>
    </row>
    <row r="70" spans="1:129" x14ac:dyDescent="0.35">
      <c r="A70" s="184"/>
      <c r="F70" s="184"/>
      <c r="K70" s="188"/>
      <c r="DB70" s="234">
        <f t="shared" ref="DB70:DY70" si="76">DB$8</f>
        <v>45658</v>
      </c>
      <c r="DC70" s="32">
        <f t="shared" si="76"/>
        <v>45689</v>
      </c>
      <c r="DD70" s="32">
        <f t="shared" si="76"/>
        <v>45717</v>
      </c>
      <c r="DE70" s="32">
        <f t="shared" si="76"/>
        <v>45748</v>
      </c>
      <c r="DF70" s="32">
        <f t="shared" si="76"/>
        <v>45778</v>
      </c>
      <c r="DG70" s="32">
        <f t="shared" si="76"/>
        <v>45809</v>
      </c>
      <c r="DH70" s="32">
        <f t="shared" si="76"/>
        <v>45839</v>
      </c>
      <c r="DI70" s="32">
        <f t="shared" si="76"/>
        <v>45870</v>
      </c>
      <c r="DJ70" s="32">
        <f t="shared" si="76"/>
        <v>45901</v>
      </c>
      <c r="DK70" s="32">
        <f t="shared" si="76"/>
        <v>45931</v>
      </c>
      <c r="DL70" s="32">
        <f t="shared" si="76"/>
        <v>45962</v>
      </c>
      <c r="DM70" s="235">
        <f t="shared" si="76"/>
        <v>45992</v>
      </c>
      <c r="DN70" s="32">
        <f t="shared" si="76"/>
        <v>46023</v>
      </c>
      <c r="DO70" s="32">
        <f t="shared" si="76"/>
        <v>46054</v>
      </c>
      <c r="DP70" s="32">
        <f t="shared" si="76"/>
        <v>46082</v>
      </c>
      <c r="DQ70" s="32">
        <f t="shared" si="76"/>
        <v>46113</v>
      </c>
      <c r="DR70" s="32">
        <f t="shared" si="76"/>
        <v>46143</v>
      </c>
      <c r="DS70" s="32">
        <f t="shared" si="76"/>
        <v>46174</v>
      </c>
      <c r="DT70" s="32">
        <f t="shared" si="76"/>
        <v>46204</v>
      </c>
      <c r="DU70" s="32">
        <f t="shared" si="76"/>
        <v>46235</v>
      </c>
      <c r="DV70" s="32">
        <f t="shared" si="76"/>
        <v>46266</v>
      </c>
      <c r="DW70" s="32">
        <f t="shared" si="76"/>
        <v>46296</v>
      </c>
      <c r="DX70" s="32">
        <f t="shared" si="76"/>
        <v>46327</v>
      </c>
      <c r="DY70" s="32">
        <f t="shared" si="76"/>
        <v>46357</v>
      </c>
    </row>
    <row r="71" spans="1:129" ht="18" x14ac:dyDescent="0.35">
      <c r="A71" s="215">
        <f>'4080'!B1</f>
        <v>4080</v>
      </c>
      <c r="B71" s="34"/>
      <c r="C71" s="190"/>
      <c r="D71" s="187"/>
      <c r="E71" s="187"/>
      <c r="F71" s="187"/>
      <c r="G71" s="187"/>
      <c r="H71" s="187"/>
      <c r="I71" s="187"/>
      <c r="J71" s="187"/>
      <c r="K71" s="187"/>
    </row>
    <row r="72" spans="1:129" ht="17.5" x14ac:dyDescent="0.25">
      <c r="A72" s="256">
        <f>'4080'!B4</f>
        <v>127848</v>
      </c>
      <c r="B72" s="257">
        <f>(A72-C90)/A72</f>
        <v>0.54984825730555031</v>
      </c>
      <c r="D72" s="258" t="str">
        <f>"Vacancies - "&amp;A71</f>
        <v>Vacancies - 4080</v>
      </c>
      <c r="E72" s="226"/>
      <c r="F72" s="226"/>
      <c r="G72" s="226"/>
      <c r="H72" s="226"/>
      <c r="I72" s="226"/>
      <c r="J72" s="225"/>
      <c r="K72" s="187"/>
      <c r="O72" s="258" t="str">
        <f>"Renewals - "&amp;A71</f>
        <v>Renewals - 4080</v>
      </c>
      <c r="P72" s="226"/>
      <c r="Q72" s="226"/>
      <c r="R72" s="226"/>
      <c r="S72" s="226"/>
      <c r="T72" s="226"/>
      <c r="U72" s="225"/>
    </row>
    <row r="73" spans="1:129" ht="18" x14ac:dyDescent="0.25">
      <c r="A73" s="184"/>
      <c r="D73" s="553" t="s">
        <v>428</v>
      </c>
      <c r="E73" s="554"/>
      <c r="F73" s="554"/>
      <c r="G73" s="554"/>
      <c r="H73" s="554"/>
      <c r="I73" s="554"/>
      <c r="J73" s="555"/>
      <c r="O73" s="553" t="s">
        <v>428</v>
      </c>
      <c r="P73" s="554"/>
      <c r="Q73" s="554"/>
      <c r="R73" s="554"/>
      <c r="S73" s="554"/>
      <c r="T73" s="554"/>
      <c r="U73" s="555"/>
      <c r="W73" s="214">
        <f>A71</f>
        <v>4080</v>
      </c>
      <c r="X73" s="552">
        <v>2025</v>
      </c>
      <c r="Y73" s="552"/>
      <c r="Z73" s="552"/>
      <c r="AA73" s="552"/>
      <c r="AB73" s="552"/>
      <c r="AC73" s="552"/>
      <c r="AD73" s="552"/>
      <c r="AE73" s="552"/>
      <c r="AF73" s="552"/>
      <c r="AG73" s="552"/>
      <c r="AH73" s="552"/>
      <c r="AI73" s="552"/>
      <c r="AJ73" s="552">
        <f>X73+1</f>
        <v>2026</v>
      </c>
      <c r="AK73" s="552"/>
      <c r="AL73" s="552"/>
      <c r="AM73" s="552"/>
      <c r="AN73" s="552"/>
      <c r="AO73" s="552"/>
      <c r="AP73" s="552"/>
      <c r="AQ73" s="552"/>
      <c r="AR73" s="552"/>
      <c r="AS73" s="552"/>
      <c r="AT73" s="552"/>
      <c r="AU73" s="552"/>
      <c r="DB73" s="556" t="str">
        <f>+$DB$7</f>
        <v>2025</v>
      </c>
      <c r="DC73" s="556"/>
      <c r="DD73" s="556"/>
      <c r="DE73" s="556"/>
      <c r="DF73" s="556"/>
      <c r="DG73" s="556"/>
      <c r="DH73" s="556"/>
      <c r="DI73" s="556"/>
      <c r="DJ73" s="556"/>
      <c r="DK73" s="556"/>
      <c r="DL73" s="556"/>
      <c r="DM73" s="556"/>
      <c r="DN73" s="556" t="str">
        <f>+$DN$7</f>
        <v>2026</v>
      </c>
      <c r="DO73" s="556"/>
      <c r="DP73" s="556"/>
      <c r="DQ73" s="556"/>
      <c r="DR73" s="556"/>
      <c r="DS73" s="556"/>
      <c r="DT73" s="556"/>
      <c r="DU73" s="556"/>
      <c r="DV73" s="556"/>
      <c r="DW73" s="556"/>
      <c r="DX73" s="556"/>
      <c r="DY73" s="556"/>
    </row>
    <row r="74" spans="1:129" x14ac:dyDescent="0.35">
      <c r="A74" s="201" t="s">
        <v>224</v>
      </c>
      <c r="B74" s="43" t="s">
        <v>424</v>
      </c>
      <c r="C74" s="208" t="s">
        <v>221</v>
      </c>
      <c r="D74" s="233" t="s">
        <v>429</v>
      </c>
      <c r="E74" s="201" t="s">
        <v>430</v>
      </c>
      <c r="F74" s="201"/>
      <c r="G74" s="200" t="s">
        <v>219</v>
      </c>
      <c r="H74" s="213" t="s">
        <v>624</v>
      </c>
      <c r="I74" s="213" t="s">
        <v>425</v>
      </c>
      <c r="J74" s="203" t="s">
        <v>218</v>
      </c>
      <c r="K74" s="188"/>
      <c r="L74" s="201" t="s">
        <v>224</v>
      </c>
      <c r="M74" s="43" t="s">
        <v>424</v>
      </c>
      <c r="N74" s="208" t="s">
        <v>221</v>
      </c>
      <c r="O74" s="233" t="s">
        <v>429</v>
      </c>
      <c r="P74" s="201" t="s">
        <v>430</v>
      </c>
      <c r="Q74" s="201"/>
      <c r="R74" s="200" t="s">
        <v>219</v>
      </c>
      <c r="S74" s="213" t="s">
        <v>624</v>
      </c>
      <c r="T74" s="213" t="s">
        <v>425</v>
      </c>
      <c r="U74" s="203" t="s">
        <v>218</v>
      </c>
      <c r="X74" s="234">
        <v>45658</v>
      </c>
      <c r="Y74" s="32">
        <v>45689</v>
      </c>
      <c r="Z74" s="32">
        <v>45717</v>
      </c>
      <c r="AA74" s="32">
        <v>45748</v>
      </c>
      <c r="AB74" s="32">
        <v>45778</v>
      </c>
      <c r="AC74" s="32">
        <v>45809</v>
      </c>
      <c r="AD74" s="32">
        <v>45839</v>
      </c>
      <c r="AE74" s="32">
        <v>45870</v>
      </c>
      <c r="AF74" s="32">
        <v>45901</v>
      </c>
      <c r="AG74" s="32">
        <v>45931</v>
      </c>
      <c r="AH74" s="32">
        <v>45962</v>
      </c>
      <c r="AI74" s="235">
        <v>45992</v>
      </c>
      <c r="AJ74" s="32">
        <f>AJ$8</f>
        <v>46023</v>
      </c>
      <c r="AK74" s="32">
        <f t="shared" ref="AK74:AU74" si="77">AK$8</f>
        <v>46054</v>
      </c>
      <c r="AL74" s="32">
        <f t="shared" si="77"/>
        <v>46082</v>
      </c>
      <c r="AM74" s="32">
        <f t="shared" si="77"/>
        <v>46113</v>
      </c>
      <c r="AN74" s="32">
        <f t="shared" si="77"/>
        <v>46143</v>
      </c>
      <c r="AO74" s="32">
        <f t="shared" si="77"/>
        <v>46174</v>
      </c>
      <c r="AP74" s="32">
        <f t="shared" si="77"/>
        <v>46204</v>
      </c>
      <c r="AQ74" s="32">
        <f t="shared" si="77"/>
        <v>46235</v>
      </c>
      <c r="AR74" s="32">
        <f t="shared" si="77"/>
        <v>46266</v>
      </c>
      <c r="AS74" s="32">
        <f t="shared" si="77"/>
        <v>46296</v>
      </c>
      <c r="AT74" s="32">
        <f t="shared" si="77"/>
        <v>46327</v>
      </c>
      <c r="AU74" s="32">
        <f t="shared" si="77"/>
        <v>46357</v>
      </c>
      <c r="AV74" s="275" t="str">
        <f>AJ73&amp;" - Totals"</f>
        <v>2026 - Totals</v>
      </c>
      <c r="DB74" s="234">
        <f t="shared" ref="DB74:DY74" si="78">DB$8</f>
        <v>45658</v>
      </c>
      <c r="DC74" s="32">
        <f t="shared" si="78"/>
        <v>45689</v>
      </c>
      <c r="DD74" s="32">
        <f t="shared" si="78"/>
        <v>45717</v>
      </c>
      <c r="DE74" s="32">
        <f t="shared" si="78"/>
        <v>45748</v>
      </c>
      <c r="DF74" s="32">
        <f t="shared" si="78"/>
        <v>45778</v>
      </c>
      <c r="DG74" s="32">
        <f t="shared" si="78"/>
        <v>45809</v>
      </c>
      <c r="DH74" s="32">
        <f t="shared" si="78"/>
        <v>45839</v>
      </c>
      <c r="DI74" s="32">
        <f t="shared" si="78"/>
        <v>45870</v>
      </c>
      <c r="DJ74" s="32">
        <f t="shared" si="78"/>
        <v>45901</v>
      </c>
      <c r="DK74" s="32">
        <f t="shared" si="78"/>
        <v>45931</v>
      </c>
      <c r="DL74" s="32">
        <f t="shared" si="78"/>
        <v>45962</v>
      </c>
      <c r="DM74" s="235">
        <f t="shared" si="78"/>
        <v>45992</v>
      </c>
      <c r="DN74" s="32">
        <f t="shared" si="78"/>
        <v>46023</v>
      </c>
      <c r="DO74" s="32">
        <f t="shared" si="78"/>
        <v>46054</v>
      </c>
      <c r="DP74" s="32">
        <f t="shared" si="78"/>
        <v>46082</v>
      </c>
      <c r="DQ74" s="32">
        <f t="shared" si="78"/>
        <v>46113</v>
      </c>
      <c r="DR74" s="32">
        <f t="shared" si="78"/>
        <v>46143</v>
      </c>
      <c r="DS74" s="32">
        <f t="shared" si="78"/>
        <v>46174</v>
      </c>
      <c r="DT74" s="32">
        <f t="shared" si="78"/>
        <v>46204</v>
      </c>
      <c r="DU74" s="32">
        <f t="shared" si="78"/>
        <v>46235</v>
      </c>
      <c r="DV74" s="32">
        <f t="shared" si="78"/>
        <v>46266</v>
      </c>
      <c r="DW74" s="32">
        <f t="shared" si="78"/>
        <v>46296</v>
      </c>
      <c r="DX74" s="32">
        <f t="shared" si="78"/>
        <v>46327</v>
      </c>
      <c r="DY74" s="32">
        <f t="shared" si="78"/>
        <v>46357</v>
      </c>
    </row>
    <row r="75" spans="1:129" x14ac:dyDescent="0.35">
      <c r="A75" s="188" t="s">
        <v>643</v>
      </c>
      <c r="B75" s="34" t="str">
        <f t="shared" ref="B75:B84" si="79">IF(A75&lt;&gt;"","VACANT","")</f>
        <v>VACANT</v>
      </c>
      <c r="C75" s="209">
        <v>6254</v>
      </c>
      <c r="D75" s="229"/>
      <c r="E75" s="218"/>
      <c r="F75" s="246">
        <f>IFERROR(ROUNDUP(((DATEDIF(D75,E75,"d"))/365),1),0)</f>
        <v>0</v>
      </c>
      <c r="G75" s="219"/>
      <c r="H75" s="527">
        <f>(C75*G75)/12</f>
        <v>0</v>
      </c>
      <c r="I75" s="219"/>
      <c r="J75" s="230"/>
      <c r="K75" s="237"/>
      <c r="L75" s="188" t="s">
        <v>253</v>
      </c>
      <c r="M75" s="34" t="s">
        <v>414</v>
      </c>
      <c r="N75" s="209">
        <v>3600</v>
      </c>
      <c r="O75" s="229">
        <v>46296</v>
      </c>
      <c r="P75" s="218">
        <v>47026</v>
      </c>
      <c r="Q75" s="246">
        <f>IFERROR(ROUNDUP(((DATEDIF(O75,P75,"d"))/365),1),0)</f>
        <v>2</v>
      </c>
      <c r="R75" s="219">
        <v>20.5</v>
      </c>
      <c r="S75" s="527">
        <f>(N75*R75)/12</f>
        <v>6150</v>
      </c>
      <c r="T75" s="219">
        <v>3</v>
      </c>
      <c r="U75" s="230">
        <v>0</v>
      </c>
      <c r="W75" s="184" t="s">
        <v>436</v>
      </c>
      <c r="X75" s="261" cm="1">
        <f t="array" ref="X75:AI75">_xlfn.LET(
  _xlpm.months, X74:AI74,
  _xlpm.totalSqft, A72,
  _xlpm.vacSF, C75:C89,
  _xlpm.vacStart, D75:D89,
  _xlpm.vacEnd, E75:E89,
  _xlpm.renSF, N75:N89,
  _xlpm.renEnd, P75:P89,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0.54979999999999996</v>
      </c>
      <c r="Y75" s="262">
        <v>0.54979999999999996</v>
      </c>
      <c r="Z75" s="262">
        <v>0.54979999999999996</v>
      </c>
      <c r="AA75" s="262">
        <v>0.54979999999999996</v>
      </c>
      <c r="AB75" s="262">
        <v>0.54979999999999996</v>
      </c>
      <c r="AC75" s="262">
        <v>0.54979999999999996</v>
      </c>
      <c r="AD75" s="262">
        <v>0.54979999999999996</v>
      </c>
      <c r="AE75" s="262">
        <v>0.54979999999999996</v>
      </c>
      <c r="AF75" s="262">
        <v>0.54979999999999996</v>
      </c>
      <c r="AG75" s="262">
        <v>0.54979999999999996</v>
      </c>
      <c r="AH75" s="262">
        <v>0.55789999999999995</v>
      </c>
      <c r="AI75" s="262">
        <v>0.55789999999999995</v>
      </c>
      <c r="AJ75" s="261" cm="1">
        <f t="array" ref="AJ75:AU75">_xlfn.LET(
  _xlpm.months, AJ74:AU74,
  _xlpm.totalSqft, A72,
  _xlpm.vacSF, C75:C89,
  _xlpm.vacStart, D75:D89,
  _xlpm.vacEnd, E75:E89,
  _xlpm.renSF, N75:N89,
  _xlpm.renEnd, P75:P89,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0.58489999999999998</v>
      </c>
      <c r="AK75" s="262">
        <v>0.58489999999999998</v>
      </c>
      <c r="AL75" s="262">
        <v>0.60089999999999999</v>
      </c>
      <c r="AM75" s="262">
        <v>0.61899999999999999</v>
      </c>
      <c r="AN75" s="262">
        <v>0.61899999999999999</v>
      </c>
      <c r="AO75" s="262">
        <v>0.61899999999999999</v>
      </c>
      <c r="AP75" s="262">
        <v>0.64149999999999996</v>
      </c>
      <c r="AQ75" s="262">
        <v>0.64149999999999996</v>
      </c>
      <c r="AR75" s="262">
        <v>0.64149999999999996</v>
      </c>
      <c r="AS75" s="262">
        <v>0.64149999999999996</v>
      </c>
      <c r="AT75" s="262">
        <v>0.63339999999999996</v>
      </c>
      <c r="AU75" s="262">
        <v>0.63339999999999996</v>
      </c>
      <c r="AV75" s="273"/>
      <c r="DB75" s="205">
        <f t="shared" ref="DB75:DY75" si="80">IF(AND($D75&lt;=DB74,$E75&gt;=DB74),(($G75*$C75)/12),0)</f>
        <v>0</v>
      </c>
      <c r="DC75" s="204">
        <f t="shared" si="80"/>
        <v>0</v>
      </c>
      <c r="DD75" s="204">
        <f t="shared" si="80"/>
        <v>0</v>
      </c>
      <c r="DE75" s="204">
        <f t="shared" si="80"/>
        <v>0</v>
      </c>
      <c r="DF75" s="204">
        <f t="shared" si="80"/>
        <v>0</v>
      </c>
      <c r="DG75" s="204">
        <f t="shared" si="80"/>
        <v>0</v>
      </c>
      <c r="DH75" s="204">
        <f t="shared" si="80"/>
        <v>0</v>
      </c>
      <c r="DI75" s="204">
        <f t="shared" si="80"/>
        <v>0</v>
      </c>
      <c r="DJ75" s="204">
        <f t="shared" si="80"/>
        <v>0</v>
      </c>
      <c r="DK75" s="204">
        <f t="shared" si="80"/>
        <v>0</v>
      </c>
      <c r="DL75" s="204">
        <f t="shared" si="80"/>
        <v>0</v>
      </c>
      <c r="DM75" s="206">
        <f t="shared" si="80"/>
        <v>0</v>
      </c>
      <c r="DN75" s="185">
        <f t="shared" si="80"/>
        <v>0</v>
      </c>
      <c r="DO75" s="185">
        <f t="shared" si="80"/>
        <v>0</v>
      </c>
      <c r="DP75" s="185">
        <f t="shared" si="80"/>
        <v>0</v>
      </c>
      <c r="DQ75" s="185">
        <f t="shared" si="80"/>
        <v>0</v>
      </c>
      <c r="DR75" s="185">
        <f t="shared" si="80"/>
        <v>0</v>
      </c>
      <c r="DS75" s="185">
        <f t="shared" si="80"/>
        <v>0</v>
      </c>
      <c r="DT75" s="185">
        <f t="shared" si="80"/>
        <v>0</v>
      </c>
      <c r="DU75" s="185">
        <f t="shared" si="80"/>
        <v>0</v>
      </c>
      <c r="DV75" s="185">
        <f t="shared" si="80"/>
        <v>0</v>
      </c>
      <c r="DW75" s="185">
        <f t="shared" si="80"/>
        <v>0</v>
      </c>
      <c r="DX75" s="185">
        <f t="shared" si="80"/>
        <v>0</v>
      </c>
      <c r="DY75" s="185">
        <f t="shared" si="80"/>
        <v>0</v>
      </c>
    </row>
    <row r="76" spans="1:129" x14ac:dyDescent="0.35">
      <c r="A76" s="188" t="s">
        <v>644</v>
      </c>
      <c r="B76" s="34" t="str">
        <f t="shared" si="79"/>
        <v>VACANT</v>
      </c>
      <c r="C76" s="209">
        <v>2447</v>
      </c>
      <c r="D76" s="229"/>
      <c r="E76" s="218"/>
      <c r="F76" s="188">
        <f t="shared" ref="F76:F89" si="81">IFERROR(ROUNDUP(((DATEDIF(D76,E76,"d"))/365),1),0)</f>
        <v>0</v>
      </c>
      <c r="G76" s="219"/>
      <c r="H76" s="527">
        <f t="shared" ref="H76:H89" si="82">(C76*G76)/12</f>
        <v>0</v>
      </c>
      <c r="I76" s="219"/>
      <c r="J76" s="230"/>
      <c r="K76" s="186"/>
      <c r="L76" s="188" t="s">
        <v>283</v>
      </c>
      <c r="M76" s="34" t="s">
        <v>415</v>
      </c>
      <c r="N76" s="209">
        <v>1420</v>
      </c>
      <c r="O76" s="229">
        <v>46113</v>
      </c>
      <c r="P76" s="218"/>
      <c r="Q76" s="188">
        <f t="shared" ref="Q76:Q89" si="83">IFERROR(ROUNDUP(((DATEDIF(O76,P76,"d"))/365),1),0)</f>
        <v>0</v>
      </c>
      <c r="R76" s="219"/>
      <c r="S76" s="527">
        <f t="shared" ref="S76:S89" si="84">(N76*R76)/12</f>
        <v>0</v>
      </c>
      <c r="T76" s="219"/>
      <c r="U76" s="230"/>
      <c r="W76" s="184" t="s">
        <v>434</v>
      </c>
      <c r="X76" s="205" cm="1">
        <f t="array" ref="X76">((SUMPRODUCT(($D$75:$D$89&lt;=X$8) * ($E$75:$E$89&gt;=X$8) * ($G$75:$G$89 * $C$75:$C$89)))+(SUMPRODUCT(($O$75:$O$89&lt;=X$8) * ($P$75:$P$89&gt;=X$8) * ($R$75:$R$89 * $N$75:$N$89))))/12</f>
        <v>0</v>
      </c>
      <c r="Y76" s="185" cm="1">
        <f t="array" ref="Y76">((SUMPRODUCT(($D$75:$D$89&lt;=Y$8) * ($E$75:$E$89&gt;=Y$8) * ($G$75:$G$89 * $C$75:$C$89)))+(SUMPRODUCT(($O$75:$O$89&lt;=Y$8) * ($P$75:$P$89&gt;=Y$8) * ($R$75:$R$89 * $N$75:$N$89))))/12</f>
        <v>0</v>
      </c>
      <c r="Z76" s="185" cm="1">
        <f t="array" ref="Z76">((SUMPRODUCT(($D$75:$D$89&lt;=Z$8) * ($E$75:$E$89&gt;=Z$8) * ($G$75:$G$89 * $C$75:$C$89)))+(SUMPRODUCT(($O$75:$O$89&lt;=Z$8) * ($P$75:$P$89&gt;=Z$8) * ($R$75:$R$89 * $N$75:$N$89))))/12</f>
        <v>0</v>
      </c>
      <c r="AA76" s="185" cm="1">
        <f t="array" ref="AA76">((SUMPRODUCT(($D$75:$D$89&lt;=AA$8) * ($E$75:$E$89&gt;=AA$8) * ($G$75:$G$89 * $C$75:$C$89)))+(SUMPRODUCT(($O$75:$O$89&lt;=AA$8) * ($P$75:$P$89&gt;=AA$8) * ($R$75:$R$89 * $N$75:$N$89))))/12</f>
        <v>0</v>
      </c>
      <c r="AB76" s="185" cm="1">
        <f t="array" ref="AB76">((SUMPRODUCT(($D$75:$D$89&lt;=AB$8) * ($E$75:$E$89&gt;=AB$8) * ($G$75:$G$89 * $C$75:$C$89)))+(SUMPRODUCT(($O$75:$O$89&lt;=AB$8) * ($P$75:$P$89&gt;=AB$8) * ($R$75:$R$89 * $N$75:$N$89))))/12</f>
        <v>0</v>
      </c>
      <c r="AC76" s="185" cm="1">
        <f t="array" ref="AC76">((SUMPRODUCT(($D$75:$D$89&lt;=AC$8) * ($E$75:$E$89&gt;=AC$8) * ($G$75:$G$89 * $C$75:$C$89)))+(SUMPRODUCT(($O$75:$O$89&lt;=AC$8) * ($P$75:$P$89&gt;=AC$8) * ($R$75:$R$89 * $N$75:$N$89))))/12</f>
        <v>0</v>
      </c>
      <c r="AD76" s="185" cm="1">
        <f t="array" ref="AD76">((SUMPRODUCT(($D$75:$D$89&lt;=AD$8) * ($E$75:$E$89&gt;=AD$8) * ($G$75:$G$89 * $C$75:$C$89)))+(SUMPRODUCT(($O$75:$O$89&lt;=AD$8) * ($P$75:$P$89&gt;=AD$8) * ($R$75:$R$89 * $N$75:$N$89))))/12</f>
        <v>0</v>
      </c>
      <c r="AE76" s="185" cm="1">
        <f t="array" ref="AE76">((SUMPRODUCT(($D$75:$D$89&lt;=AE$8) * ($E$75:$E$89&gt;=AE$8) * ($G$75:$G$89 * $C$75:$C$89)))+(SUMPRODUCT(($O$75:$O$89&lt;=AE$8) * ($P$75:$P$89&gt;=AE$8) * ($R$75:$R$89 * $N$75:$N$89))))/12</f>
        <v>0</v>
      </c>
      <c r="AF76" s="185" cm="1">
        <f t="array" ref="AF76">((SUMPRODUCT(($D$75:$D$89&lt;=AF$8) * ($E$75:$E$89&gt;=AF$8) * ($G$75:$G$89 * $C$75:$C$89)))+(SUMPRODUCT(($O$75:$O$89&lt;=AF$8) * ($P$75:$P$89&gt;=AF$8) * ($R$75:$R$89 * $N$75:$N$89))))/12</f>
        <v>6732.375</v>
      </c>
      <c r="AG76" s="185" cm="1">
        <f t="array" ref="AG76">((SUMPRODUCT(($D$75:$D$89&lt;=AG$8) * ($E$75:$E$89&gt;=AG$8) * ($G$75:$G$89 * $C$75:$C$89)))+(SUMPRODUCT(($O$75:$O$89&lt;=AG$8) * ($P$75:$P$89&gt;=AG$8) * ($R$75:$R$89 * $N$75:$N$89))))/12</f>
        <v>6732.375</v>
      </c>
      <c r="AH76" s="185" cm="1">
        <f t="array" ref="AH76">((SUMPRODUCT(($D$75:$D$89&lt;=AH$8) * ($E$75:$E$89&gt;=AH$8) * ($G$75:$G$89 * $C$75:$C$89)))+(SUMPRODUCT(($O$75:$O$89&lt;=AH$8) * ($P$75:$P$89&gt;=AH$8) * ($R$75:$R$89 * $N$75:$N$89))))/12</f>
        <v>8404.5</v>
      </c>
      <c r="AI76" s="185" cm="1">
        <f t="array" ref="AI76">((SUMPRODUCT(($D$75:$D$89&lt;=AI$8) * ($E$75:$E$89&gt;=AI$8) * ($G$75:$G$89 * $C$75:$C$89)))+(SUMPRODUCT(($O$75:$O$89&lt;=AI$8) * ($P$75:$P$89&gt;=AI$8) * ($R$75:$R$89 * $N$75:$N$89))))/12</f>
        <v>8404.5</v>
      </c>
      <c r="AJ76" s="205" cm="1">
        <f t="array" ref="AJ76">((SUMPRODUCT(($D$75:$D$89&lt;=AJ$8) * ($E$75:$E$89&gt;=AJ$8) * ($G$75:$G$89 * $C$75:$C$89)))+(SUMPRODUCT(($O$75:$O$89&lt;=AJ$8) * ($P$75:$P$89&gt;=AJ$8) * ($R$75:$R$89 * $N$75:$N$89))))/12</f>
        <v>14152.833333333334</v>
      </c>
      <c r="AK76" s="185" cm="1">
        <f t="array" ref="AK76">((SUMPRODUCT(($D$75:$D$89&lt;=AK$8) * ($E$75:$E$89&gt;=AK$8) * ($G$75:$G$89 * $C$75:$C$89)))+(SUMPRODUCT(($O$75:$O$89&lt;=AK$8) * ($P$75:$P$89&gt;=AK$8) * ($R$75:$R$89 * $N$75:$N$89))))/12</f>
        <v>14152.833333333334</v>
      </c>
      <c r="AL76" s="185" cm="1">
        <f t="array" ref="AL76">((SUMPRODUCT(($D$75:$D$89&lt;=AL$8) * ($E$75:$E$89&gt;=AL$8) * ($G$75:$G$89 * $C$75:$C$89)))+(SUMPRODUCT(($O$75:$O$89&lt;=AL$8) * ($P$75:$P$89&gt;=AL$8) * ($R$75:$R$89 * $N$75:$N$89))))/12</f>
        <v>17660.043333333335</v>
      </c>
      <c r="AM76" s="185" cm="1">
        <f t="array" ref="AM76">((SUMPRODUCT(($D$75:$D$89&lt;=AM$8) * ($E$75:$E$89&gt;=AM$8) * ($G$75:$G$89 * $C$75:$C$89)))+(SUMPRODUCT(($O$75:$O$89&lt;=AM$8) * ($P$75:$P$89&gt;=AM$8) * ($R$75:$R$89 * $N$75:$N$89))))/12</f>
        <v>21501.710000000003</v>
      </c>
      <c r="AN76" s="185" cm="1">
        <f t="array" ref="AN76">((SUMPRODUCT(($D$75:$D$89&lt;=AN$8) * ($E$75:$E$89&gt;=AN$8) * ($G$75:$G$89 * $C$75:$C$89)))+(SUMPRODUCT(($O$75:$O$89&lt;=AN$8) * ($P$75:$P$89&gt;=AN$8) * ($R$75:$R$89 * $N$75:$N$89))))/12</f>
        <v>21501.710000000003</v>
      </c>
      <c r="AO76" s="185" cm="1">
        <f t="array" ref="AO76">((SUMPRODUCT(($D$75:$D$89&lt;=AO$8) * ($E$75:$E$89&gt;=AO$8) * ($G$75:$G$89 * $C$75:$C$89)))+(SUMPRODUCT(($O$75:$O$89&lt;=AO$8) * ($P$75:$P$89&gt;=AO$8) * ($R$75:$R$89 * $N$75:$N$89))))/12</f>
        <v>21501.710000000003</v>
      </c>
      <c r="AP76" s="185" cm="1">
        <f t="array" ref="AP76">((SUMPRODUCT(($D$75:$D$89&lt;=AP$8) * ($E$75:$E$89&gt;=AP$8) * ($G$75:$G$89 * $C$75:$C$89)))+(SUMPRODUCT(($O$75:$O$89&lt;=AP$8) * ($P$75:$P$89&gt;=AP$8) * ($R$75:$R$89 * $N$75:$N$89))))/12</f>
        <v>40758.959999999999</v>
      </c>
      <c r="AQ76" s="185" cm="1">
        <f t="array" ref="AQ76">((SUMPRODUCT(($D$75:$D$89&lt;=AQ$8) * ($E$75:$E$89&gt;=AQ$8) * ($G$75:$G$89 * $C$75:$C$89)))+(SUMPRODUCT(($O$75:$O$89&lt;=AQ$8) * ($P$75:$P$89&gt;=AQ$8) * ($R$75:$R$89 * $N$75:$N$89))))/12</f>
        <v>40758.959999999999</v>
      </c>
      <c r="AR76" s="185" cm="1">
        <f t="array" ref="AR76">((SUMPRODUCT(($D$75:$D$89&lt;=AR$8) * ($E$75:$E$89&gt;=AR$8) * ($G$75:$G$89 * $C$75:$C$89)))+(SUMPRODUCT(($O$75:$O$89&lt;=AR$8) * ($P$75:$P$89&gt;=AR$8) * ($R$75:$R$89 * $N$75:$N$89))))/12</f>
        <v>46868.084999999999</v>
      </c>
      <c r="AS76" s="185" cm="1">
        <f t="array" ref="AS76">((SUMPRODUCT(($D$75:$D$89&lt;=AS$8) * ($E$75:$E$89&gt;=AS$8) * ($G$75:$G$89 * $C$75:$C$89)))+(SUMPRODUCT(($O$75:$O$89&lt;=AS$8) * ($P$75:$P$89&gt;=AS$8) * ($R$75:$R$89 * $N$75:$N$89))))/12</f>
        <v>53018.084999999999</v>
      </c>
      <c r="AT76" s="185" cm="1">
        <f t="array" ref="AT76">((SUMPRODUCT(($D$75:$D$89&lt;=AT$8) * ($E$75:$E$89&gt;=AT$8) * ($G$75:$G$89 * $C$75:$C$89)))+(SUMPRODUCT(($O$75:$O$89&lt;=AT$8) * ($P$75:$P$89&gt;=AT$8) * ($R$75:$R$89 * $N$75:$N$89))))/12</f>
        <v>51345.96</v>
      </c>
      <c r="AU76" s="185" cm="1">
        <f t="array" ref="AU76">((SUMPRODUCT(($D$75:$D$89&lt;=AU$8) * ($E$75:$E$89&gt;=AU$8) * ($G$75:$G$89 * $C$75:$C$89)))+(SUMPRODUCT(($O$75:$O$89&lt;=AU$8) * ($P$75:$P$89&gt;=AU$8) * ($R$75:$R$89 * $N$75:$N$89))))/12</f>
        <v>51345.96</v>
      </c>
      <c r="AV76" s="274">
        <f>SUM(AJ76:AU76)</f>
        <v>394566.85000000003</v>
      </c>
      <c r="DB76" s="205">
        <f t="shared" ref="DB76:DK89" si="85">IF(AND($D76&lt;=DB$8,$E76&gt;=DB$8),(($G76*$C76)/12),0)</f>
        <v>0</v>
      </c>
      <c r="DC76" s="204">
        <f t="shared" si="85"/>
        <v>0</v>
      </c>
      <c r="DD76" s="204">
        <f t="shared" si="85"/>
        <v>0</v>
      </c>
      <c r="DE76" s="204">
        <f t="shared" si="85"/>
        <v>0</v>
      </c>
      <c r="DF76" s="204">
        <f t="shared" si="85"/>
        <v>0</v>
      </c>
      <c r="DG76" s="204">
        <f t="shared" si="85"/>
        <v>0</v>
      </c>
      <c r="DH76" s="204">
        <f t="shared" si="85"/>
        <v>0</v>
      </c>
      <c r="DI76" s="204">
        <f t="shared" si="85"/>
        <v>0</v>
      </c>
      <c r="DJ76" s="204">
        <f t="shared" si="85"/>
        <v>0</v>
      </c>
      <c r="DK76" s="204">
        <f t="shared" si="85"/>
        <v>0</v>
      </c>
      <c r="DL76" s="204">
        <f t="shared" ref="DL76:DY89" si="86">IF(AND($D76&lt;=DL$8,$E76&gt;=DL$8),(($G76*$C76)/12),0)</f>
        <v>0</v>
      </c>
      <c r="DM76" s="206">
        <f t="shared" si="86"/>
        <v>0</v>
      </c>
      <c r="DN76" s="185">
        <f t="shared" si="86"/>
        <v>0</v>
      </c>
      <c r="DO76" s="185">
        <f t="shared" si="86"/>
        <v>0</v>
      </c>
      <c r="DP76" s="185">
        <f t="shared" si="86"/>
        <v>0</v>
      </c>
      <c r="DQ76" s="185">
        <f t="shared" si="86"/>
        <v>0</v>
      </c>
      <c r="DR76" s="185">
        <f t="shared" si="86"/>
        <v>0</v>
      </c>
      <c r="DS76" s="185">
        <f t="shared" si="86"/>
        <v>0</v>
      </c>
      <c r="DT76" s="185">
        <f t="shared" si="86"/>
        <v>0</v>
      </c>
      <c r="DU76" s="185">
        <f t="shared" si="86"/>
        <v>0</v>
      </c>
      <c r="DV76" s="185">
        <f t="shared" si="86"/>
        <v>0</v>
      </c>
      <c r="DW76" s="185">
        <f t="shared" si="86"/>
        <v>0</v>
      </c>
      <c r="DX76" s="185">
        <f t="shared" si="86"/>
        <v>0</v>
      </c>
      <c r="DY76" s="185">
        <f t="shared" si="86"/>
        <v>0</v>
      </c>
    </row>
    <row r="77" spans="1:129" x14ac:dyDescent="0.35">
      <c r="A77" s="188" t="s">
        <v>197</v>
      </c>
      <c r="B77" s="34" t="str">
        <f t="shared" si="79"/>
        <v>VACANT</v>
      </c>
      <c r="C77" s="209">
        <v>2305</v>
      </c>
      <c r="D77" s="229">
        <v>46113</v>
      </c>
      <c r="E77" s="218">
        <v>47938</v>
      </c>
      <c r="F77" s="188">
        <f t="shared" si="81"/>
        <v>5</v>
      </c>
      <c r="G77" s="219">
        <v>20</v>
      </c>
      <c r="H77" s="527">
        <f t="shared" si="82"/>
        <v>3841.6666666666665</v>
      </c>
      <c r="I77" s="219">
        <v>5</v>
      </c>
      <c r="J77" s="230">
        <v>0</v>
      </c>
      <c r="K77" s="186"/>
      <c r="L77" s="188" t="s">
        <v>307</v>
      </c>
      <c r="M77" s="34" t="s">
        <v>416</v>
      </c>
      <c r="N77" s="209">
        <v>1915</v>
      </c>
      <c r="O77" s="229">
        <v>46388</v>
      </c>
      <c r="P77" s="218">
        <v>47848</v>
      </c>
      <c r="Q77" s="188">
        <f t="shared" si="83"/>
        <v>4</v>
      </c>
      <c r="R77" s="219">
        <v>19.5</v>
      </c>
      <c r="S77" s="527">
        <f t="shared" si="84"/>
        <v>3111.875</v>
      </c>
      <c r="T77" s="219">
        <v>0</v>
      </c>
      <c r="U77" s="230">
        <v>0.03</v>
      </c>
      <c r="W77" s="184" t="s">
        <v>431</v>
      </c>
      <c r="X77" s="205" cm="1">
        <f t="array" ref="X77">(SUMPRODUCT((TEXT($O75:$O89,"yyyymm")=TEXT(X$74,"yyyymm")) * ($T75:$T89 * $N75:$N89)))+(SUMPRODUCT((TEXT($D75:$D89,"yyyymm")=TEXT(X$74,"yyyymm")) * ($I75:$I89 * $C75:$C89)))</f>
        <v>0</v>
      </c>
      <c r="Y77" s="185" cm="1">
        <f t="array" ref="Y77">(SUMPRODUCT((TEXT($O75:$O89,"yyyymm")=TEXT(Y$74,"yyyymm")) * ($T75:$T89 * $N75:$N89)))+(SUMPRODUCT((TEXT($D75:$D89,"yyyymm")=TEXT(Y$74,"yyyymm")) * ($I75:$I89 * $C75:$C89)))</f>
        <v>0</v>
      </c>
      <c r="Z77" s="185" cm="1">
        <f t="array" ref="Z77">(SUMPRODUCT((TEXT($O75:$O89,"yyyymm")=TEXT(Z$74,"yyyymm")) * ($T75:$T89 * $N75:$N89)))+(SUMPRODUCT((TEXT($D75:$D89,"yyyymm")=TEXT(Z$74,"yyyymm")) * ($I75:$I89 * $C75:$C89)))</f>
        <v>0</v>
      </c>
      <c r="AA77" s="185" cm="1">
        <f t="array" ref="AA77">(SUMPRODUCT((TEXT($O75:$O89,"yyyymm")=TEXT(AA$74,"yyyymm")) * ($T75:$T89 * $N75:$N89)))+(SUMPRODUCT((TEXT($D75:$D89,"yyyymm")=TEXT(AA$74,"yyyymm")) * ($I75:$I89 * $C75:$C89)))</f>
        <v>0</v>
      </c>
      <c r="AB77" s="185" cm="1">
        <f t="array" ref="AB77">(SUMPRODUCT((TEXT($O75:$O89,"yyyymm")=TEXT(AB$74,"yyyymm")) * ($T75:$T89 * $N75:$N89)))+(SUMPRODUCT((TEXT($D75:$D89,"yyyymm")=TEXT(AB$74,"yyyymm")) * ($I75:$I89 * $C75:$C89)))</f>
        <v>0</v>
      </c>
      <c r="AC77" s="185" cm="1">
        <f t="array" ref="AC77">(SUMPRODUCT((TEXT($O75:$O89,"yyyymm")=TEXT(AC$74,"yyyymm")) * ($T75:$T89 * $N75:$N89)))+(SUMPRODUCT((TEXT($D75:$D89,"yyyymm")=TEXT(AC$74,"yyyymm")) * ($I75:$I89 * $C75:$C89)))</f>
        <v>0</v>
      </c>
      <c r="AD77" s="185" cm="1">
        <f t="array" ref="AD77">(SUMPRODUCT((TEXT($O75:$O89,"yyyymm")=TEXT(AD$74,"yyyymm")) * ($T75:$T89 * $N75:$N89)))+(SUMPRODUCT((TEXT($D75:$D89,"yyyymm")=TEXT(AD$74,"yyyymm")) * ($I75:$I89 * $C75:$C89)))</f>
        <v>0</v>
      </c>
      <c r="AE77" s="185" cm="1">
        <f t="array" ref="AE77">(SUMPRODUCT((TEXT($O75:$O89,"yyyymm")=TEXT(AE$74,"yyyymm")) * ($T75:$T89 * $N75:$N89)))+(SUMPRODUCT((TEXT($D75:$D89,"yyyymm")=TEXT(AE$74,"yyyymm")) * ($I75:$I89 * $C75:$C89)))</f>
        <v>0</v>
      </c>
      <c r="AF77" s="185" cm="1">
        <f t="array" ref="AF77">(SUMPRODUCT((TEXT($O75:$O89,"yyyymm")=TEXT(AF$74,"yyyymm")) * ($T75:$T89 * $N75:$N89)))+(SUMPRODUCT((TEXT($D75:$D89,"yyyymm")=TEXT(AF$74,"yyyymm")) * ($I75:$I89 * $C75:$C89)))</f>
        <v>0</v>
      </c>
      <c r="AG77" s="185" cm="1">
        <f t="array" ref="AG77">(SUMPRODUCT((TEXT($O75:$O89,"yyyymm")=TEXT(AG$74,"yyyymm")) * ($T75:$T89 * $N75:$N89)))+(SUMPRODUCT((TEXT($D75:$D89,"yyyymm")=TEXT(AG$74,"yyyymm")) * ($I75:$I89 * $C75:$C89)))</f>
        <v>0</v>
      </c>
      <c r="AH77" s="185" cm="1">
        <f t="array" ref="AH77">(SUMPRODUCT((TEXT($O75:$O89,"yyyymm")=TEXT(AH$74,"yyyymm")) * ($T75:$T89 * $N75:$N89)))+(SUMPRODUCT((TEXT($D75:$D89,"yyyymm")=TEXT(AH$74,"yyyymm")) * ($I75:$I89 * $C75:$C89)))</f>
        <v>2058</v>
      </c>
      <c r="AI77" s="185" cm="1">
        <f t="array" ref="AI77">(SUMPRODUCT((TEXT($O75:$O89,"yyyymm")=TEXT(AI$74,"yyyymm")) * ($T75:$T89 * $N75:$N89)))+(SUMPRODUCT((TEXT($D75:$D89,"yyyymm")=TEXT(AI$74,"yyyymm")) * ($I75:$I89 * $C75:$C89)))</f>
        <v>0</v>
      </c>
      <c r="AJ77" s="205" cm="1">
        <f t="array" ref="AJ77">(SUMPRODUCT((TEXT($O75:$O89,"yyyymm")=TEXT(AJ$74,"yyyymm")) * ($T75:$T89 * $N75:$N89)))+(SUMPRODUCT((TEXT($D75:$D89,"yyyymm")=TEXT(AJ$74,"yyyymm")) * ($I75:$I89 * $C75:$C89)))</f>
        <v>13796</v>
      </c>
      <c r="AK77" s="185" cm="1">
        <f t="array" ref="AK77">(SUMPRODUCT((TEXT($O75:$O89,"yyyymm")=TEXT(AK$74,"yyyymm")) * ($T75:$T89 * $N75:$N89)))+(SUMPRODUCT((TEXT($D75:$D89,"yyyymm")=TEXT(AK$74,"yyyymm")) * ($I75:$I89 * $C75:$C89)))</f>
        <v>0</v>
      </c>
      <c r="AL77" s="185" cm="1">
        <f t="array" ref="AL77">(SUMPRODUCT((TEXT($O75:$O89,"yyyymm")=TEXT(AL$74,"yyyymm")) * ($T75:$T89 * $N75:$N89)))+(SUMPRODUCT((TEXT($D75:$D89,"yyyymm")=TEXT(AL$74,"yyyymm")) * ($I75:$I89 * $C75:$C89)))</f>
        <v>0</v>
      </c>
      <c r="AM77" s="185" cm="1">
        <f t="array" ref="AM77">(SUMPRODUCT((TEXT($O75:$O89,"yyyymm")=TEXT(AM$74,"yyyymm")) * ($T75:$T89 * $N75:$N89)))+(SUMPRODUCT((TEXT($D75:$D89,"yyyymm")=TEXT(AM$74,"yyyymm")) * ($I75:$I89 * $C75:$C89)))</f>
        <v>11525</v>
      </c>
      <c r="AN77" s="185" cm="1">
        <f t="array" ref="AN77">(SUMPRODUCT((TEXT($O75:$O89,"yyyymm")=TEXT(AN$74,"yyyymm")) * ($T75:$T89 * $N75:$N89)))+(SUMPRODUCT((TEXT($D75:$D89,"yyyymm")=TEXT(AN$74,"yyyymm")) * ($I75:$I89 * $C75:$C89)))</f>
        <v>0</v>
      </c>
      <c r="AO77" s="185" cm="1">
        <f t="array" ref="AO77">(SUMPRODUCT((TEXT($O75:$O89,"yyyymm")=TEXT(AO$74,"yyyymm")) * ($T75:$T89 * $N75:$N89)))+(SUMPRODUCT((TEXT($D75:$D89,"yyyymm")=TEXT(AO$74,"yyyymm")) * ($I75:$I89 * $C75:$C89)))</f>
        <v>0</v>
      </c>
      <c r="AP77" s="185" cm="1">
        <f t="array" ref="AP77">(SUMPRODUCT((TEXT($O75:$O89,"yyyymm")=TEXT(AP$74,"yyyymm")) * ($T75:$T89 * $N75:$N89)))+(SUMPRODUCT((TEXT($D75:$D89,"yyyymm")=TEXT(AP$74,"yyyymm")) * ($I75:$I89 * $C75:$C89)))</f>
        <v>7226</v>
      </c>
      <c r="AQ77" s="185" cm="1">
        <f t="array" ref="AQ77">(SUMPRODUCT((TEXT($O75:$O89,"yyyymm")=TEXT(AQ$74,"yyyymm")) * ($T75:$T89 * $N75:$N89)))+(SUMPRODUCT((TEXT($D75:$D89,"yyyymm")=TEXT(AQ$74,"yyyymm")) * ($I75:$I89 * $C75:$C89)))</f>
        <v>0</v>
      </c>
      <c r="AR77" s="185" cm="1">
        <f t="array" ref="AR77">(SUMPRODUCT((TEXT($O75:$O89,"yyyymm")=TEXT(AR$74,"yyyymm")) * ($T75:$T89 * $N75:$N89)))+(SUMPRODUCT((TEXT($D75:$D89,"yyyymm")=TEXT(AR$74,"yyyymm")) * ($I75:$I89 * $C75:$C89)))</f>
        <v>0</v>
      </c>
      <c r="AS77" s="185" cm="1">
        <f t="array" ref="AS77">(SUMPRODUCT((TEXT($O75:$O89,"yyyymm")=TEXT(AS$74,"yyyymm")) * ($T75:$T89 * $N75:$N89)))+(SUMPRODUCT((TEXT($D75:$D89,"yyyymm")=TEXT(AS$74,"yyyymm")) * ($I75:$I89 * $C75:$C89)))</f>
        <v>10800</v>
      </c>
      <c r="AT77" s="185" cm="1">
        <f t="array" ref="AT77">(SUMPRODUCT((TEXT($O75:$O89,"yyyymm")=TEXT(AT$74,"yyyymm")) * ($T75:$T89 * $N75:$N89)))+(SUMPRODUCT((TEXT($D75:$D89,"yyyymm")=TEXT(AT$74,"yyyymm")) * ($I75:$I89 * $C75:$C89)))</f>
        <v>0</v>
      </c>
      <c r="AU77" s="185" cm="1">
        <f t="array" ref="AU77">(SUMPRODUCT((TEXT($O75:$O89,"yyyymm")=TEXT(AU$74,"yyyymm")) * ($T75:$T89 * $N75:$N89)))+(SUMPRODUCT((TEXT($D75:$D89,"yyyymm")=TEXT(AU$74,"yyyymm")) * ($I75:$I89 * $C75:$C89)))</f>
        <v>0</v>
      </c>
      <c r="AV77" s="274">
        <f t="shared" ref="AV77:AV78" si="87">SUM(AJ77:AU77)</f>
        <v>43347</v>
      </c>
      <c r="DB77" s="205">
        <f t="shared" si="85"/>
        <v>0</v>
      </c>
      <c r="DC77" s="204">
        <f t="shared" si="85"/>
        <v>0</v>
      </c>
      <c r="DD77" s="204">
        <f t="shared" si="85"/>
        <v>0</v>
      </c>
      <c r="DE77" s="204">
        <f t="shared" si="85"/>
        <v>0</v>
      </c>
      <c r="DF77" s="204">
        <f t="shared" si="85"/>
        <v>0</v>
      </c>
      <c r="DG77" s="204">
        <f t="shared" si="85"/>
        <v>0</v>
      </c>
      <c r="DH77" s="204">
        <f t="shared" si="85"/>
        <v>0</v>
      </c>
      <c r="DI77" s="204">
        <f t="shared" si="85"/>
        <v>0</v>
      </c>
      <c r="DJ77" s="204">
        <f t="shared" si="85"/>
        <v>0</v>
      </c>
      <c r="DK77" s="204">
        <f t="shared" si="85"/>
        <v>0</v>
      </c>
      <c r="DL77" s="204">
        <f t="shared" si="86"/>
        <v>0</v>
      </c>
      <c r="DM77" s="206">
        <f t="shared" si="86"/>
        <v>0</v>
      </c>
      <c r="DN77" s="185">
        <f t="shared" si="86"/>
        <v>0</v>
      </c>
      <c r="DO77" s="185">
        <f t="shared" si="86"/>
        <v>0</v>
      </c>
      <c r="DP77" s="185">
        <f t="shared" si="86"/>
        <v>0</v>
      </c>
      <c r="DQ77" s="185">
        <f t="shared" si="86"/>
        <v>3841.6666666666665</v>
      </c>
      <c r="DR77" s="185">
        <f t="shared" si="86"/>
        <v>3841.6666666666665</v>
      </c>
      <c r="DS77" s="185">
        <f t="shared" si="86"/>
        <v>3841.6666666666665</v>
      </c>
      <c r="DT77" s="185">
        <f t="shared" si="86"/>
        <v>3841.6666666666665</v>
      </c>
      <c r="DU77" s="185">
        <f t="shared" si="86"/>
        <v>3841.6666666666665</v>
      </c>
      <c r="DV77" s="185">
        <f t="shared" si="86"/>
        <v>3841.6666666666665</v>
      </c>
      <c r="DW77" s="185">
        <f t="shared" si="86"/>
        <v>3841.6666666666665</v>
      </c>
      <c r="DX77" s="185">
        <f t="shared" si="86"/>
        <v>3841.6666666666665</v>
      </c>
      <c r="DY77" s="185">
        <f t="shared" si="86"/>
        <v>3841.6666666666665</v>
      </c>
    </row>
    <row r="78" spans="1:129" x14ac:dyDescent="0.35">
      <c r="A78" s="188" t="s">
        <v>645</v>
      </c>
      <c r="B78" s="34" t="str">
        <f t="shared" si="79"/>
        <v>VACANT</v>
      </c>
      <c r="C78" s="209">
        <v>2052</v>
      </c>
      <c r="D78" s="229">
        <v>46082</v>
      </c>
      <c r="E78" s="220">
        <v>47907</v>
      </c>
      <c r="F78" s="188">
        <f t="shared" si="81"/>
        <v>5</v>
      </c>
      <c r="G78" s="221">
        <v>20.51</v>
      </c>
      <c r="H78" s="527">
        <f t="shared" si="82"/>
        <v>3507.2100000000005</v>
      </c>
      <c r="I78" s="219"/>
      <c r="J78" s="230"/>
      <c r="K78" s="186"/>
      <c r="L78" s="188" t="s">
        <v>285</v>
      </c>
      <c r="M78" s="34" t="s">
        <v>417</v>
      </c>
      <c r="N78" s="209">
        <v>1462</v>
      </c>
      <c r="O78" s="229">
        <v>46113</v>
      </c>
      <c r="P78" s="220"/>
      <c r="Q78" s="188">
        <f t="shared" si="83"/>
        <v>0</v>
      </c>
      <c r="R78" s="221"/>
      <c r="S78" s="527">
        <f t="shared" si="84"/>
        <v>0</v>
      </c>
      <c r="T78" s="219"/>
      <c r="U78" s="230"/>
      <c r="W78" s="184" t="s">
        <v>435</v>
      </c>
      <c r="X78" s="205" cm="1">
        <f t="array" ref="X78">IFERROR((SUMPRODUCT((TEXT($O75:$O89,"yyyymm")=TEXT(X$74,"yyyymm")) * ($U75:$U89 * $N75:$N89*$R75:$R89*$Q75:$Q89)))+(SUMPRODUCT((TEXT($D75:$D89,"yyyymm")=TEXT(X$74,"yyyymm")) * ($J75:$J89 * $C75:$C89*$G75:$G89*$F75:$F89))),0)</f>
        <v>0</v>
      </c>
      <c r="Y78" s="185" cm="1">
        <f t="array" ref="Y78">IFERROR((SUMPRODUCT((TEXT($O75:$O89,"yyyymm")=TEXT(Y$74,"yyyymm")) * ($U75:$U89 * $N75:$N89*$R75:$R89*$Q75:$Q89)))+(SUMPRODUCT((TEXT($D75:$D89,"yyyymm")=TEXT(Y$74,"yyyymm")) * ($J75:$J89 * $C75:$C89*$G75:$G89*$F75:$F89))),0)</f>
        <v>0</v>
      </c>
      <c r="Z78" s="185" cm="1">
        <f t="array" ref="Z78">IFERROR((SUMPRODUCT((TEXT($O75:$O89,"yyyymm")=TEXT(Z$74,"yyyymm")) * ($U75:$U89 * $N75:$N89*$R75:$R89*$Q75:$Q89)))+(SUMPRODUCT((TEXT($D75:$D89,"yyyymm")=TEXT(Z$74,"yyyymm")) * ($J75:$J89 * $C75:$C89*$G75:$G89*$F75:$F89))),0)</f>
        <v>0</v>
      </c>
      <c r="AA78" s="185" cm="1">
        <f t="array" ref="AA78">IFERROR((SUMPRODUCT((TEXT($O75:$O89,"yyyymm")=TEXT(AA$74,"yyyymm")) * ($U75:$U89 * $N75:$N89*$R75:$R89*$Q75:$Q89)))+(SUMPRODUCT((TEXT($D75:$D89,"yyyymm")=TEXT(AA$74,"yyyymm")) * ($J75:$J89 * $C75:$C89*$G75:$G89*$F75:$F89))),0)</f>
        <v>0</v>
      </c>
      <c r="AB78" s="185" cm="1">
        <f t="array" ref="AB78">IFERROR((SUMPRODUCT((TEXT($O75:$O89,"yyyymm")=TEXT(AB$74,"yyyymm")) * ($U75:$U89 * $N75:$N89*$R75:$R89*$Q75:$Q89)))+(SUMPRODUCT((TEXT($D75:$D89,"yyyymm")=TEXT(AB$74,"yyyymm")) * ($J75:$J89 * $C75:$C89*$G75:$G89*$F75:$F89))),0)</f>
        <v>0</v>
      </c>
      <c r="AC78" s="185" cm="1">
        <f t="array" ref="AC78">IFERROR((SUMPRODUCT((TEXT($O75:$O89,"yyyymm")=TEXT(AC$74,"yyyymm")) * ($U75:$U89 * $N75:$N89*$R75:$R89*$Q75:$Q89)))+(SUMPRODUCT((TEXT($D75:$D89,"yyyymm")=TEXT(AC$74,"yyyymm")) * ($J75:$J89 * $C75:$C89*$G75:$G89*$F75:$F89))),0)</f>
        <v>0</v>
      </c>
      <c r="AD78" s="185" cm="1">
        <f t="array" ref="AD78">IFERROR((SUMPRODUCT((TEXT($O75:$O89,"yyyymm")=TEXT(AD$74,"yyyymm")) * ($U75:$U89 * $N75:$N89*$R75:$R89*$Q75:$Q89)))+(SUMPRODUCT((TEXT($D75:$D89,"yyyymm")=TEXT(AD$74,"yyyymm")) * ($J75:$J89 * $C75:$C89*$G75:$G89*$F75:$F89))),0)</f>
        <v>0</v>
      </c>
      <c r="AE78" s="185" cm="1">
        <f t="array" ref="AE78">IFERROR((SUMPRODUCT((TEXT($O75:$O89,"yyyymm")=TEXT(AE$74,"yyyymm")) * ($U75:$U89 * $N75:$N89*$R75:$R89*$Q75:$Q89)))+(SUMPRODUCT((TEXT($D75:$D89,"yyyymm")=TEXT(AE$74,"yyyymm")) * ($J75:$J89 * $C75:$C89*$G75:$G89*$F75:$F89))),0)</f>
        <v>0</v>
      </c>
      <c r="AF78" s="185" cm="1">
        <f t="array" ref="AF78">IFERROR((SUMPRODUCT((TEXT($O75:$O89,"yyyymm")=TEXT(AF$74,"yyyymm")) * ($U75:$U89 * $N75:$N89*$R75:$R89*$Q75:$Q89)))+(SUMPRODUCT((TEXT($D75:$D89,"yyyymm")=TEXT(AF$74,"yyyymm")) * ($J75:$J89 * $C75:$C89*$G75:$G89*$F75:$F89))),0)</f>
        <v>0</v>
      </c>
      <c r="AG78" s="185" cm="1">
        <f t="array" ref="AG78">IFERROR((SUMPRODUCT((TEXT($O75:$O89,"yyyymm")=TEXT(AG$74,"yyyymm")) * ($U75:$U89 * $N75:$N89*$R75:$R89*$Q75:$Q89)))+(SUMPRODUCT((TEXT($D75:$D89,"yyyymm")=TEXT(AG$74,"yyyymm")) * ($J75:$J89 * $C75:$C89*$G75:$G89*$F75:$F89))),0)</f>
        <v>0</v>
      </c>
      <c r="AH78" s="185" cm="1">
        <f t="array" ref="AH78">IFERROR((SUMPRODUCT((TEXT($O75:$O89,"yyyymm")=TEXT(AH$74,"yyyymm")) * ($U75:$U89 * $N75:$N89*$R75:$R89*$Q75:$Q89)))+(SUMPRODUCT((TEXT($D75:$D89,"yyyymm")=TEXT(AH$74,"yyyymm")) * ($J75:$J89 * $C75:$C89*$G75:$G89*$F75:$F89))),0)</f>
        <v>0</v>
      </c>
      <c r="AI78" s="185" cm="1">
        <f t="array" ref="AI78">IFERROR((SUMPRODUCT((TEXT($O75:$O89,"yyyymm")=TEXT(AI$74,"yyyymm")) * ($U75:$U89 * $N75:$N89*$R75:$R89*$Q75:$Q89)))+(SUMPRODUCT((TEXT($D75:$D89,"yyyymm")=TEXT(AI$74,"yyyymm")) * ($J75:$J89 * $C75:$C89*$G75:$G89*$F75:$F89))),0)</f>
        <v>0</v>
      </c>
      <c r="AJ78" s="205" cm="1">
        <f t="array" ref="AJ78">IFERROR((SUMPRODUCT((TEXT($O75:$O89,"yyyymm")=TEXT(AJ$74,"yyyymm")) * ($U75:$U89 * $N75:$N89*$R75:$R89*$Q75:$Q89)))+(SUMPRODUCT((TEXT($D75:$D89,"yyyymm")=TEXT(AJ$74,"yyyymm")) * ($J75:$J89 * $C75:$C89*$G75:$G89*$F75:$F89))),0)</f>
        <v>10347.000000000002</v>
      </c>
      <c r="AK78" s="185" cm="1">
        <f t="array" ref="AK78">IFERROR((SUMPRODUCT((TEXT($O75:$O89,"yyyymm")=TEXT(AK$74,"yyyymm")) * ($U75:$U89 * $N75:$N89*$R75:$R89*$Q75:$Q89)))+(SUMPRODUCT((TEXT($D75:$D89,"yyyymm")=TEXT(AK$74,"yyyymm")) * ($J75:$J89 * $C75:$C89*$G75:$G89*$F75:$F89))),0)</f>
        <v>0</v>
      </c>
      <c r="AL78" s="185" cm="1">
        <f t="array" ref="AL78">IFERROR((SUMPRODUCT((TEXT($O75:$O89,"yyyymm")=TEXT(AL$74,"yyyymm")) * ($U75:$U89 * $N75:$N89*$R75:$R89*$Q75:$Q89)))+(SUMPRODUCT((TEXT($D75:$D89,"yyyymm")=TEXT(AL$74,"yyyymm")) * ($J75:$J89 * $C75:$C89*$G75:$G89*$F75:$F89))),0)</f>
        <v>0</v>
      </c>
      <c r="AM78" s="185" cm="1">
        <f t="array" ref="AM78">IFERROR((SUMPRODUCT((TEXT($O75:$O89,"yyyymm")=TEXT(AM$74,"yyyymm")) * ($U75:$U89 * $N75:$N89*$R75:$R89*$Q75:$Q89)))+(SUMPRODUCT((TEXT($D75:$D89,"yyyymm")=TEXT(AM$74,"yyyymm")) * ($J75:$J89 * $C75:$C89*$G75:$G89*$F75:$F89))),0)</f>
        <v>0</v>
      </c>
      <c r="AN78" s="185" cm="1">
        <f t="array" ref="AN78">IFERROR((SUMPRODUCT((TEXT($O75:$O89,"yyyymm")=TEXT(AN$74,"yyyymm")) * ($U75:$U89 * $N75:$N89*$R75:$R89*$Q75:$Q89)))+(SUMPRODUCT((TEXT($D75:$D89,"yyyymm")=TEXT(AN$74,"yyyymm")) * ($J75:$J89 * $C75:$C89*$G75:$G89*$F75:$F89))),0)</f>
        <v>0</v>
      </c>
      <c r="AO78" s="185" cm="1">
        <f t="array" ref="AO78">IFERROR((SUMPRODUCT((TEXT($O75:$O89,"yyyymm")=TEXT(AO$74,"yyyymm")) * ($U75:$U89 * $N75:$N89*$R75:$R89*$Q75:$Q89)))+(SUMPRODUCT((TEXT($D75:$D89,"yyyymm")=TEXT(AO$74,"yyyymm")) * ($J75:$J89 * $C75:$C89*$G75:$G89*$F75:$F89))),0)</f>
        <v>0</v>
      </c>
      <c r="AP78" s="185" cm="1">
        <f t="array" ref="AP78">IFERROR((SUMPRODUCT((TEXT($O75:$O89,"yyyymm")=TEXT(AP$74,"yyyymm")) * ($U75:$U89 * $N75:$N89*$R75:$R89*$Q75:$Q89)))+(SUMPRODUCT((TEXT($D75:$D89,"yyyymm")=TEXT(AP$74,"yyyymm")) * ($J75:$J89 * $C75:$C89*$G75:$G89*$F75:$F89))),0)</f>
        <v>11428.529999999999</v>
      </c>
      <c r="AQ78" s="185" cm="1">
        <f t="array" ref="AQ78">IFERROR((SUMPRODUCT((TEXT($O75:$O89,"yyyymm")=TEXT(AQ$74,"yyyymm")) * ($U75:$U89 * $N75:$N89*$R75:$R89*$Q75:$Q89)))+(SUMPRODUCT((TEXT($D75:$D89,"yyyymm")=TEXT(AQ$74,"yyyymm")) * ($J75:$J89 * $C75:$C89*$G75:$G89*$F75:$F89))),0)</f>
        <v>0</v>
      </c>
      <c r="AR78" s="185" cm="1">
        <f t="array" ref="AR78">IFERROR((SUMPRODUCT((TEXT($O75:$O89,"yyyymm")=TEXT(AR$74,"yyyymm")) * ($U75:$U89 * $N75:$N89*$R75:$R89*$Q75:$Q89)))+(SUMPRODUCT((TEXT($D75:$D89,"yyyymm")=TEXT(AR$74,"yyyymm")) * ($J75:$J89 * $C75:$C89*$G75:$G89*$F75:$F89))),0)</f>
        <v>0</v>
      </c>
      <c r="AS78" s="185" cm="1">
        <f t="array" ref="AS78">IFERROR((SUMPRODUCT((TEXT($O75:$O89,"yyyymm")=TEXT(AS$74,"yyyymm")) * ($U75:$U89 * $N75:$N89*$R75:$R89*$Q75:$Q89)))+(SUMPRODUCT((TEXT($D75:$D89,"yyyymm")=TEXT(AS$74,"yyyymm")) * ($J75:$J89 * $C75:$C89*$G75:$G89*$F75:$F89))),0)</f>
        <v>0</v>
      </c>
      <c r="AT78" s="185" cm="1">
        <f t="array" ref="AT78">IFERROR((SUMPRODUCT((TEXT($O75:$O89,"yyyymm")=TEXT(AT$74,"yyyymm")) * ($U75:$U89 * $N75:$N89*$R75:$R89*$Q75:$Q89)))+(SUMPRODUCT((TEXT($D75:$D89,"yyyymm")=TEXT(AT$74,"yyyymm")) * ($J75:$J89 * $C75:$C89*$G75:$G89*$F75:$F89))),0)</f>
        <v>0</v>
      </c>
      <c r="AU78" s="185" cm="1">
        <f t="array" ref="AU78">IFERROR((SUMPRODUCT((TEXT($O75:$O89,"yyyymm")=TEXT(AU$74,"yyyymm")) * ($U75:$U89 * $N75:$N89*$R75:$R89*$Q75:$Q89)))+(SUMPRODUCT((TEXT($D75:$D89,"yyyymm")=TEXT(AU$74,"yyyymm")) * ($J75:$J89 * $C75:$C89*$G75:$G89*$F75:$F89))),0)</f>
        <v>0</v>
      </c>
      <c r="AV78" s="274">
        <f t="shared" si="87"/>
        <v>21775.53</v>
      </c>
      <c r="DB78" s="205">
        <f t="shared" si="85"/>
        <v>0</v>
      </c>
      <c r="DC78" s="204">
        <f t="shared" si="85"/>
        <v>0</v>
      </c>
      <c r="DD78" s="204">
        <f t="shared" si="85"/>
        <v>0</v>
      </c>
      <c r="DE78" s="204">
        <f t="shared" si="85"/>
        <v>0</v>
      </c>
      <c r="DF78" s="204">
        <f t="shared" si="85"/>
        <v>0</v>
      </c>
      <c r="DG78" s="204">
        <f t="shared" si="85"/>
        <v>0</v>
      </c>
      <c r="DH78" s="204">
        <f t="shared" si="85"/>
        <v>0</v>
      </c>
      <c r="DI78" s="204">
        <f t="shared" si="85"/>
        <v>0</v>
      </c>
      <c r="DJ78" s="204">
        <f t="shared" si="85"/>
        <v>0</v>
      </c>
      <c r="DK78" s="204">
        <f t="shared" si="85"/>
        <v>0</v>
      </c>
      <c r="DL78" s="204">
        <f t="shared" si="86"/>
        <v>0</v>
      </c>
      <c r="DM78" s="206">
        <f t="shared" si="86"/>
        <v>0</v>
      </c>
      <c r="DN78" s="185">
        <f t="shared" si="86"/>
        <v>0</v>
      </c>
      <c r="DO78" s="185">
        <f t="shared" si="86"/>
        <v>0</v>
      </c>
      <c r="DP78" s="185">
        <f t="shared" si="86"/>
        <v>3507.2100000000005</v>
      </c>
      <c r="DQ78" s="185">
        <f t="shared" si="86"/>
        <v>3507.2100000000005</v>
      </c>
      <c r="DR78" s="185">
        <f t="shared" si="86"/>
        <v>3507.2100000000005</v>
      </c>
      <c r="DS78" s="185">
        <f t="shared" si="86"/>
        <v>3507.2100000000005</v>
      </c>
      <c r="DT78" s="185">
        <f t="shared" si="86"/>
        <v>3507.2100000000005</v>
      </c>
      <c r="DU78" s="185">
        <f t="shared" si="86"/>
        <v>3507.2100000000005</v>
      </c>
      <c r="DV78" s="185">
        <f t="shared" si="86"/>
        <v>3507.2100000000005</v>
      </c>
      <c r="DW78" s="185">
        <f t="shared" si="86"/>
        <v>3507.2100000000005</v>
      </c>
      <c r="DX78" s="185">
        <f t="shared" si="86"/>
        <v>3507.2100000000005</v>
      </c>
      <c r="DY78" s="185">
        <f t="shared" si="86"/>
        <v>3507.2100000000005</v>
      </c>
    </row>
    <row r="79" spans="1:129" ht="17.5" x14ac:dyDescent="0.35">
      <c r="A79" s="188" t="s">
        <v>647</v>
      </c>
      <c r="B79" s="34" t="str">
        <f t="shared" si="79"/>
        <v>VACANT</v>
      </c>
      <c r="C79" s="209">
        <v>4342</v>
      </c>
      <c r="D79" s="229"/>
      <c r="E79" s="218"/>
      <c r="F79" s="188">
        <f t="shared" si="81"/>
        <v>0</v>
      </c>
      <c r="G79" s="219"/>
      <c r="H79" s="527">
        <f t="shared" si="82"/>
        <v>0</v>
      </c>
      <c r="I79" s="219"/>
      <c r="J79" s="230"/>
      <c r="K79" s="186"/>
      <c r="L79" s="188" t="s">
        <v>245</v>
      </c>
      <c r="M79" s="34" t="s">
        <v>418</v>
      </c>
      <c r="N79" s="209">
        <v>4143</v>
      </c>
      <c r="O79" s="229">
        <v>45901</v>
      </c>
      <c r="P79" s="218">
        <v>46630</v>
      </c>
      <c r="Q79" s="188">
        <f t="shared" si="83"/>
        <v>2</v>
      </c>
      <c r="R79" s="219">
        <v>19.5</v>
      </c>
      <c r="S79" s="527">
        <f t="shared" si="84"/>
        <v>6732.375</v>
      </c>
      <c r="T79" s="219">
        <v>0</v>
      </c>
      <c r="U79" s="230">
        <v>0</v>
      </c>
      <c r="W79" s="250" t="s">
        <v>368</v>
      </c>
      <c r="X79" s="145">
        <f t="shared" ref="X79:AU79" si="88">SUM(X76:X78)</f>
        <v>0</v>
      </c>
      <c r="Y79" s="145">
        <f t="shared" si="88"/>
        <v>0</v>
      </c>
      <c r="Z79" s="145">
        <f t="shared" si="88"/>
        <v>0</v>
      </c>
      <c r="AA79" s="145">
        <f t="shared" si="88"/>
        <v>0</v>
      </c>
      <c r="AB79" s="145">
        <f t="shared" si="88"/>
        <v>0</v>
      </c>
      <c r="AC79" s="145">
        <f t="shared" si="88"/>
        <v>0</v>
      </c>
      <c r="AD79" s="145">
        <f t="shared" si="88"/>
        <v>0</v>
      </c>
      <c r="AE79" s="145">
        <f t="shared" si="88"/>
        <v>0</v>
      </c>
      <c r="AF79" s="145">
        <f t="shared" si="88"/>
        <v>6732.375</v>
      </c>
      <c r="AG79" s="145">
        <f t="shared" si="88"/>
        <v>6732.375</v>
      </c>
      <c r="AH79" s="145">
        <f t="shared" si="88"/>
        <v>10462.5</v>
      </c>
      <c r="AI79" s="145">
        <f t="shared" si="88"/>
        <v>8404.5</v>
      </c>
      <c r="AJ79" s="145">
        <f t="shared" si="88"/>
        <v>38295.833333333336</v>
      </c>
      <c r="AK79" s="145">
        <f t="shared" si="88"/>
        <v>14152.833333333334</v>
      </c>
      <c r="AL79" s="145">
        <f t="shared" si="88"/>
        <v>17660.043333333335</v>
      </c>
      <c r="AM79" s="145">
        <f t="shared" si="88"/>
        <v>33026.710000000006</v>
      </c>
      <c r="AN79" s="145">
        <f t="shared" si="88"/>
        <v>21501.710000000003</v>
      </c>
      <c r="AO79" s="145">
        <f t="shared" si="88"/>
        <v>21501.710000000003</v>
      </c>
      <c r="AP79" s="145">
        <f t="shared" si="88"/>
        <v>59413.49</v>
      </c>
      <c r="AQ79" s="145">
        <f t="shared" si="88"/>
        <v>40758.959999999999</v>
      </c>
      <c r="AR79" s="145">
        <f t="shared" si="88"/>
        <v>46868.084999999999</v>
      </c>
      <c r="AS79" s="145">
        <f t="shared" si="88"/>
        <v>63818.084999999999</v>
      </c>
      <c r="AT79" s="145">
        <f t="shared" si="88"/>
        <v>51345.96</v>
      </c>
      <c r="AU79" s="251">
        <f t="shared" si="88"/>
        <v>51345.96</v>
      </c>
      <c r="AV79" s="145">
        <f t="shared" ref="AV79" si="89">SUM(AV76:AV78)</f>
        <v>459689.38</v>
      </c>
      <c r="DB79" s="205">
        <f t="shared" si="85"/>
        <v>0</v>
      </c>
      <c r="DC79" s="204">
        <f t="shared" si="85"/>
        <v>0</v>
      </c>
      <c r="DD79" s="204">
        <f t="shared" si="85"/>
        <v>0</v>
      </c>
      <c r="DE79" s="204">
        <f t="shared" si="85"/>
        <v>0</v>
      </c>
      <c r="DF79" s="204">
        <f t="shared" si="85"/>
        <v>0</v>
      </c>
      <c r="DG79" s="204">
        <f t="shared" si="85"/>
        <v>0</v>
      </c>
      <c r="DH79" s="204">
        <f t="shared" si="85"/>
        <v>0</v>
      </c>
      <c r="DI79" s="204">
        <f t="shared" si="85"/>
        <v>0</v>
      </c>
      <c r="DJ79" s="204">
        <f t="shared" si="85"/>
        <v>0</v>
      </c>
      <c r="DK79" s="204">
        <f t="shared" si="85"/>
        <v>0</v>
      </c>
      <c r="DL79" s="204">
        <f t="shared" si="86"/>
        <v>0</v>
      </c>
      <c r="DM79" s="206">
        <f t="shared" si="86"/>
        <v>0</v>
      </c>
      <c r="DN79" s="185">
        <f t="shared" si="86"/>
        <v>0</v>
      </c>
      <c r="DO79" s="185">
        <f t="shared" si="86"/>
        <v>0</v>
      </c>
      <c r="DP79" s="185">
        <f t="shared" si="86"/>
        <v>0</v>
      </c>
      <c r="DQ79" s="185">
        <f t="shared" si="86"/>
        <v>0</v>
      </c>
      <c r="DR79" s="185">
        <f t="shared" si="86"/>
        <v>0</v>
      </c>
      <c r="DS79" s="185">
        <f t="shared" si="86"/>
        <v>0</v>
      </c>
      <c r="DT79" s="185">
        <f t="shared" si="86"/>
        <v>0</v>
      </c>
      <c r="DU79" s="185">
        <f t="shared" si="86"/>
        <v>0</v>
      </c>
      <c r="DV79" s="185">
        <f t="shared" si="86"/>
        <v>0</v>
      </c>
      <c r="DW79" s="185">
        <f t="shared" si="86"/>
        <v>0</v>
      </c>
      <c r="DX79" s="185">
        <f t="shared" si="86"/>
        <v>0</v>
      </c>
      <c r="DY79" s="185">
        <f t="shared" si="86"/>
        <v>0</v>
      </c>
    </row>
    <row r="80" spans="1:129" x14ac:dyDescent="0.35">
      <c r="A80" s="188" t="s">
        <v>648</v>
      </c>
      <c r="B80" s="34" t="str">
        <f t="shared" si="79"/>
        <v>VACANT</v>
      </c>
      <c r="C80" s="184">
        <v>3375</v>
      </c>
      <c r="D80" s="229"/>
      <c r="E80" s="218"/>
      <c r="F80" s="188">
        <f t="shared" si="81"/>
        <v>0</v>
      </c>
      <c r="G80" s="219"/>
      <c r="H80" s="527">
        <f t="shared" si="82"/>
        <v>0</v>
      </c>
      <c r="I80" s="219"/>
      <c r="J80" s="230"/>
      <c r="L80" s="188" t="s">
        <v>246</v>
      </c>
      <c r="M80" s="184" t="s">
        <v>247</v>
      </c>
      <c r="N80" s="184">
        <v>4443</v>
      </c>
      <c r="O80" s="229">
        <v>46266</v>
      </c>
      <c r="P80" s="218">
        <v>47361</v>
      </c>
      <c r="Q80" s="188">
        <f t="shared" si="83"/>
        <v>3</v>
      </c>
      <c r="R80" s="219">
        <v>16.5</v>
      </c>
      <c r="S80" s="527">
        <f t="shared" si="84"/>
        <v>6109.125</v>
      </c>
      <c r="T80" s="219">
        <v>0</v>
      </c>
      <c r="U80" s="230">
        <v>0</v>
      </c>
      <c r="AK80" s="185"/>
      <c r="DB80" s="205">
        <f t="shared" si="85"/>
        <v>0</v>
      </c>
      <c r="DC80" s="204">
        <f t="shared" si="85"/>
        <v>0</v>
      </c>
      <c r="DD80" s="204">
        <f t="shared" si="85"/>
        <v>0</v>
      </c>
      <c r="DE80" s="204">
        <f t="shared" si="85"/>
        <v>0</v>
      </c>
      <c r="DF80" s="204">
        <f t="shared" si="85"/>
        <v>0</v>
      </c>
      <c r="DG80" s="204">
        <f t="shared" si="85"/>
        <v>0</v>
      </c>
      <c r="DH80" s="204">
        <f t="shared" si="85"/>
        <v>0</v>
      </c>
      <c r="DI80" s="204">
        <f t="shared" si="85"/>
        <v>0</v>
      </c>
      <c r="DJ80" s="204">
        <f t="shared" si="85"/>
        <v>0</v>
      </c>
      <c r="DK80" s="204">
        <f t="shared" si="85"/>
        <v>0</v>
      </c>
      <c r="DL80" s="204">
        <f t="shared" si="86"/>
        <v>0</v>
      </c>
      <c r="DM80" s="206">
        <f t="shared" si="86"/>
        <v>0</v>
      </c>
      <c r="DN80" s="185">
        <f t="shared" si="86"/>
        <v>0</v>
      </c>
      <c r="DO80" s="185">
        <f t="shared" si="86"/>
        <v>0</v>
      </c>
      <c r="DP80" s="185">
        <f t="shared" si="86"/>
        <v>0</v>
      </c>
      <c r="DQ80" s="185">
        <f t="shared" si="86"/>
        <v>0</v>
      </c>
      <c r="DR80" s="185">
        <f t="shared" si="86"/>
        <v>0</v>
      </c>
      <c r="DS80" s="185">
        <f t="shared" si="86"/>
        <v>0</v>
      </c>
      <c r="DT80" s="185">
        <f t="shared" si="86"/>
        <v>0</v>
      </c>
      <c r="DU80" s="185">
        <f t="shared" si="86"/>
        <v>0</v>
      </c>
      <c r="DV80" s="185">
        <f t="shared" si="86"/>
        <v>0</v>
      </c>
      <c r="DW80" s="185">
        <f t="shared" si="86"/>
        <v>0</v>
      </c>
      <c r="DX80" s="185">
        <f t="shared" si="86"/>
        <v>0</v>
      </c>
      <c r="DY80" s="185">
        <f t="shared" si="86"/>
        <v>0</v>
      </c>
    </row>
    <row r="81" spans="1:129" x14ac:dyDescent="0.35">
      <c r="A81" s="188" t="s">
        <v>204</v>
      </c>
      <c r="B81" s="34" t="s">
        <v>654</v>
      </c>
      <c r="C81" s="209">
        <v>3449</v>
      </c>
      <c r="D81" s="229">
        <v>46023</v>
      </c>
      <c r="E81" s="218">
        <v>47118</v>
      </c>
      <c r="F81" s="188">
        <f t="shared" si="81"/>
        <v>3</v>
      </c>
      <c r="G81" s="219">
        <v>20</v>
      </c>
      <c r="H81" s="527">
        <f t="shared" si="82"/>
        <v>5748.333333333333</v>
      </c>
      <c r="I81" s="221">
        <v>4</v>
      </c>
      <c r="J81" s="230">
        <v>0.05</v>
      </c>
      <c r="K81" s="186"/>
      <c r="L81" s="188" t="s">
        <v>233</v>
      </c>
      <c r="M81" s="34" t="s">
        <v>419</v>
      </c>
      <c r="N81" s="209">
        <v>14574</v>
      </c>
      <c r="O81" s="229">
        <v>46204</v>
      </c>
      <c r="P81" s="218">
        <v>46568</v>
      </c>
      <c r="Q81" s="188">
        <f t="shared" si="83"/>
        <v>1</v>
      </c>
      <c r="R81" s="219">
        <v>12</v>
      </c>
      <c r="S81" s="527">
        <f t="shared" si="84"/>
        <v>14574</v>
      </c>
      <c r="T81" s="221"/>
      <c r="U81" s="230">
        <v>0.03</v>
      </c>
      <c r="W81" s="245" t="s">
        <v>440</v>
      </c>
      <c r="AK81" s="185"/>
      <c r="DB81" s="205">
        <f t="shared" si="85"/>
        <v>0</v>
      </c>
      <c r="DC81" s="204">
        <f t="shared" si="85"/>
        <v>0</v>
      </c>
      <c r="DD81" s="204">
        <f t="shared" si="85"/>
        <v>0</v>
      </c>
      <c r="DE81" s="204">
        <f t="shared" si="85"/>
        <v>0</v>
      </c>
      <c r="DF81" s="204">
        <f t="shared" si="85"/>
        <v>0</v>
      </c>
      <c r="DG81" s="204">
        <f t="shared" si="85"/>
        <v>0</v>
      </c>
      <c r="DH81" s="204">
        <f t="shared" si="85"/>
        <v>0</v>
      </c>
      <c r="DI81" s="204">
        <f t="shared" si="85"/>
        <v>0</v>
      </c>
      <c r="DJ81" s="204">
        <f t="shared" si="85"/>
        <v>0</v>
      </c>
      <c r="DK81" s="204">
        <f t="shared" si="85"/>
        <v>0</v>
      </c>
      <c r="DL81" s="204">
        <f t="shared" si="86"/>
        <v>0</v>
      </c>
      <c r="DM81" s="206">
        <f t="shared" si="86"/>
        <v>0</v>
      </c>
      <c r="DN81" s="185">
        <f t="shared" si="86"/>
        <v>5748.333333333333</v>
      </c>
      <c r="DO81" s="185">
        <f t="shared" si="86"/>
        <v>5748.333333333333</v>
      </c>
      <c r="DP81" s="185">
        <f t="shared" si="86"/>
        <v>5748.333333333333</v>
      </c>
      <c r="DQ81" s="185">
        <f t="shared" si="86"/>
        <v>5748.333333333333</v>
      </c>
      <c r="DR81" s="185">
        <f t="shared" si="86"/>
        <v>5748.333333333333</v>
      </c>
      <c r="DS81" s="185">
        <f t="shared" si="86"/>
        <v>5748.333333333333</v>
      </c>
      <c r="DT81" s="185">
        <f t="shared" si="86"/>
        <v>5748.333333333333</v>
      </c>
      <c r="DU81" s="185">
        <f t="shared" si="86"/>
        <v>5748.333333333333</v>
      </c>
      <c r="DV81" s="185">
        <f t="shared" si="86"/>
        <v>5748.333333333333</v>
      </c>
      <c r="DW81" s="185">
        <f t="shared" si="86"/>
        <v>5748.333333333333</v>
      </c>
      <c r="DX81" s="185">
        <f t="shared" si="86"/>
        <v>5748.333333333333</v>
      </c>
      <c r="DY81" s="185">
        <f t="shared" si="86"/>
        <v>5748.333333333333</v>
      </c>
    </row>
    <row r="82" spans="1:129" x14ac:dyDescent="0.35">
      <c r="A82" s="188" t="s">
        <v>649</v>
      </c>
      <c r="B82" s="34" t="str">
        <f t="shared" si="79"/>
        <v>VACANT</v>
      </c>
      <c r="C82" s="209">
        <v>8569</v>
      </c>
      <c r="D82" s="229"/>
      <c r="E82" s="218"/>
      <c r="F82" s="188">
        <f t="shared" si="81"/>
        <v>0</v>
      </c>
      <c r="G82" s="219"/>
      <c r="H82" s="527">
        <f t="shared" si="82"/>
        <v>0</v>
      </c>
      <c r="I82" s="221"/>
      <c r="J82" s="230"/>
      <c r="K82" s="186"/>
      <c r="L82" s="188" t="s">
        <v>652</v>
      </c>
      <c r="M82" s="34" t="s">
        <v>420</v>
      </c>
      <c r="N82" s="209">
        <v>0</v>
      </c>
      <c r="O82" s="229">
        <v>45901</v>
      </c>
      <c r="P82" s="218"/>
      <c r="Q82" s="188">
        <f t="shared" si="83"/>
        <v>0</v>
      </c>
      <c r="R82" s="219"/>
      <c r="S82" s="527">
        <f t="shared" si="84"/>
        <v>0</v>
      </c>
      <c r="T82" s="221"/>
      <c r="U82" s="230"/>
      <c r="W82" s="245" t="s">
        <v>441</v>
      </c>
      <c r="AK82" s="185"/>
      <c r="DB82" s="205">
        <f t="shared" si="85"/>
        <v>0</v>
      </c>
      <c r="DC82" s="204">
        <f t="shared" si="85"/>
        <v>0</v>
      </c>
      <c r="DD82" s="204">
        <f t="shared" si="85"/>
        <v>0</v>
      </c>
      <c r="DE82" s="204">
        <f t="shared" si="85"/>
        <v>0</v>
      </c>
      <c r="DF82" s="204">
        <f t="shared" si="85"/>
        <v>0</v>
      </c>
      <c r="DG82" s="204">
        <f t="shared" si="85"/>
        <v>0</v>
      </c>
      <c r="DH82" s="204">
        <f t="shared" si="85"/>
        <v>0</v>
      </c>
      <c r="DI82" s="204">
        <f t="shared" si="85"/>
        <v>0</v>
      </c>
      <c r="DJ82" s="204">
        <f t="shared" si="85"/>
        <v>0</v>
      </c>
      <c r="DK82" s="204">
        <f t="shared" si="85"/>
        <v>0</v>
      </c>
      <c r="DL82" s="204">
        <f t="shared" si="86"/>
        <v>0</v>
      </c>
      <c r="DM82" s="206">
        <f t="shared" si="86"/>
        <v>0</v>
      </c>
      <c r="DN82" s="185">
        <f t="shared" si="86"/>
        <v>0</v>
      </c>
      <c r="DO82" s="185">
        <f t="shared" si="86"/>
        <v>0</v>
      </c>
      <c r="DP82" s="185">
        <f t="shared" si="86"/>
        <v>0</v>
      </c>
      <c r="DQ82" s="185">
        <f t="shared" si="86"/>
        <v>0</v>
      </c>
      <c r="DR82" s="185">
        <f t="shared" si="86"/>
        <v>0</v>
      </c>
      <c r="DS82" s="185">
        <f t="shared" si="86"/>
        <v>0</v>
      </c>
      <c r="DT82" s="185">
        <f t="shared" si="86"/>
        <v>0</v>
      </c>
      <c r="DU82" s="185">
        <f t="shared" si="86"/>
        <v>0</v>
      </c>
      <c r="DV82" s="185">
        <f t="shared" si="86"/>
        <v>0</v>
      </c>
      <c r="DW82" s="185">
        <f t="shared" si="86"/>
        <v>0</v>
      </c>
      <c r="DX82" s="185">
        <f t="shared" si="86"/>
        <v>0</v>
      </c>
      <c r="DY82" s="185">
        <f t="shared" si="86"/>
        <v>0</v>
      </c>
    </row>
    <row r="83" spans="1:129" x14ac:dyDescent="0.35">
      <c r="A83" s="188" t="s">
        <v>650</v>
      </c>
      <c r="B83" s="34" t="str">
        <f t="shared" si="79"/>
        <v>VACANT</v>
      </c>
      <c r="C83" s="209">
        <v>3124</v>
      </c>
      <c r="D83" s="229"/>
      <c r="E83" s="218"/>
      <c r="F83" s="188">
        <f t="shared" si="81"/>
        <v>0</v>
      </c>
      <c r="G83" s="219"/>
      <c r="H83" s="527">
        <f t="shared" si="82"/>
        <v>0</v>
      </c>
      <c r="I83" s="221"/>
      <c r="J83" s="230"/>
      <c r="K83" s="186"/>
      <c r="L83" s="188"/>
      <c r="M83" s="34"/>
      <c r="N83" s="209"/>
      <c r="O83" s="229"/>
      <c r="P83" s="218"/>
      <c r="Q83" s="188">
        <f t="shared" si="83"/>
        <v>0</v>
      </c>
      <c r="R83" s="219"/>
      <c r="S83" s="527">
        <f t="shared" si="84"/>
        <v>0</v>
      </c>
      <c r="T83" s="221"/>
      <c r="U83" s="230"/>
      <c r="AK83" s="185"/>
      <c r="DB83" s="205">
        <f t="shared" si="85"/>
        <v>0</v>
      </c>
      <c r="DC83" s="204">
        <f t="shared" si="85"/>
        <v>0</v>
      </c>
      <c r="DD83" s="204">
        <f t="shared" si="85"/>
        <v>0</v>
      </c>
      <c r="DE83" s="204">
        <f t="shared" si="85"/>
        <v>0</v>
      </c>
      <c r="DF83" s="204">
        <f t="shared" si="85"/>
        <v>0</v>
      </c>
      <c r="DG83" s="204">
        <f t="shared" si="85"/>
        <v>0</v>
      </c>
      <c r="DH83" s="204">
        <f t="shared" si="85"/>
        <v>0</v>
      </c>
      <c r="DI83" s="204">
        <f t="shared" si="85"/>
        <v>0</v>
      </c>
      <c r="DJ83" s="204">
        <f t="shared" si="85"/>
        <v>0</v>
      </c>
      <c r="DK83" s="204">
        <f t="shared" si="85"/>
        <v>0</v>
      </c>
      <c r="DL83" s="204">
        <f t="shared" si="86"/>
        <v>0</v>
      </c>
      <c r="DM83" s="206">
        <f t="shared" si="86"/>
        <v>0</v>
      </c>
      <c r="DN83" s="185">
        <f t="shared" si="86"/>
        <v>0</v>
      </c>
      <c r="DO83" s="185">
        <f t="shared" si="86"/>
        <v>0</v>
      </c>
      <c r="DP83" s="185">
        <f t="shared" si="86"/>
        <v>0</v>
      </c>
      <c r="DQ83" s="185">
        <f t="shared" si="86"/>
        <v>0</v>
      </c>
      <c r="DR83" s="185">
        <f t="shared" si="86"/>
        <v>0</v>
      </c>
      <c r="DS83" s="185">
        <f t="shared" si="86"/>
        <v>0</v>
      </c>
      <c r="DT83" s="185">
        <f t="shared" si="86"/>
        <v>0</v>
      </c>
      <c r="DU83" s="185">
        <f t="shared" si="86"/>
        <v>0</v>
      </c>
      <c r="DV83" s="185">
        <f t="shared" si="86"/>
        <v>0</v>
      </c>
      <c r="DW83" s="185">
        <f t="shared" si="86"/>
        <v>0</v>
      </c>
      <c r="DX83" s="185">
        <f t="shared" si="86"/>
        <v>0</v>
      </c>
      <c r="DY83" s="185">
        <f t="shared" si="86"/>
        <v>0</v>
      </c>
    </row>
    <row r="84" spans="1:129" x14ac:dyDescent="0.35">
      <c r="A84" s="188" t="s">
        <v>651</v>
      </c>
      <c r="B84" s="34" t="str">
        <f t="shared" si="79"/>
        <v>VACANT</v>
      </c>
      <c r="C84" s="209">
        <v>17723</v>
      </c>
      <c r="D84" s="229"/>
      <c r="E84" s="218"/>
      <c r="F84" s="188">
        <f t="shared" si="81"/>
        <v>0</v>
      </c>
      <c r="G84" s="219"/>
      <c r="H84" s="527">
        <f t="shared" si="82"/>
        <v>0</v>
      </c>
      <c r="I84" s="221"/>
      <c r="J84" s="230"/>
      <c r="K84" s="186"/>
      <c r="L84" s="188"/>
      <c r="M84" s="34"/>
      <c r="N84" s="209"/>
      <c r="O84" s="229"/>
      <c r="P84" s="218"/>
      <c r="Q84" s="188">
        <f t="shared" si="83"/>
        <v>0</v>
      </c>
      <c r="R84" s="219"/>
      <c r="S84" s="527">
        <f t="shared" si="84"/>
        <v>0</v>
      </c>
      <c r="T84" s="221"/>
      <c r="U84" s="230"/>
      <c r="AK84" s="185"/>
      <c r="DB84" s="205">
        <f t="shared" si="85"/>
        <v>0</v>
      </c>
      <c r="DC84" s="204">
        <f t="shared" si="85"/>
        <v>0</v>
      </c>
      <c r="DD84" s="204">
        <f t="shared" si="85"/>
        <v>0</v>
      </c>
      <c r="DE84" s="204">
        <f t="shared" si="85"/>
        <v>0</v>
      </c>
      <c r="DF84" s="204">
        <f t="shared" si="85"/>
        <v>0</v>
      </c>
      <c r="DG84" s="204">
        <f t="shared" si="85"/>
        <v>0</v>
      </c>
      <c r="DH84" s="204">
        <f t="shared" si="85"/>
        <v>0</v>
      </c>
      <c r="DI84" s="204">
        <f t="shared" si="85"/>
        <v>0</v>
      </c>
      <c r="DJ84" s="204">
        <f t="shared" si="85"/>
        <v>0</v>
      </c>
      <c r="DK84" s="204">
        <f t="shared" si="85"/>
        <v>0</v>
      </c>
      <c r="DL84" s="204">
        <f t="shared" si="86"/>
        <v>0</v>
      </c>
      <c r="DM84" s="206">
        <f t="shared" si="86"/>
        <v>0</v>
      </c>
      <c r="DN84" s="185">
        <f t="shared" si="86"/>
        <v>0</v>
      </c>
      <c r="DO84" s="185">
        <f t="shared" si="86"/>
        <v>0</v>
      </c>
      <c r="DP84" s="185">
        <f t="shared" si="86"/>
        <v>0</v>
      </c>
      <c r="DQ84" s="185">
        <f t="shared" si="86"/>
        <v>0</v>
      </c>
      <c r="DR84" s="185">
        <f t="shared" si="86"/>
        <v>0</v>
      </c>
      <c r="DS84" s="185">
        <f t="shared" si="86"/>
        <v>0</v>
      </c>
      <c r="DT84" s="185">
        <f t="shared" si="86"/>
        <v>0</v>
      </c>
      <c r="DU84" s="185">
        <f t="shared" si="86"/>
        <v>0</v>
      </c>
      <c r="DV84" s="185">
        <f t="shared" si="86"/>
        <v>0</v>
      </c>
      <c r="DW84" s="185">
        <f t="shared" si="86"/>
        <v>0</v>
      </c>
      <c r="DX84" s="185">
        <f t="shared" si="86"/>
        <v>0</v>
      </c>
      <c r="DY84" s="185">
        <f t="shared" si="86"/>
        <v>0</v>
      </c>
    </row>
    <row r="85" spans="1:129" x14ac:dyDescent="0.35">
      <c r="A85" s="188" t="s">
        <v>285</v>
      </c>
      <c r="B85" s="34" t="str">
        <f t="shared" ref="B85:B87" si="90">IF(A85&lt;&gt;"","VACANT","")</f>
        <v>VACANT</v>
      </c>
      <c r="C85" s="209">
        <v>1462</v>
      </c>
      <c r="D85" s="229">
        <v>46204</v>
      </c>
      <c r="E85" s="218">
        <v>46934</v>
      </c>
      <c r="F85" s="188">
        <f>IFERROR(ROUNDUP(((DATEDIF(D85,E85,"d"))/365),1),0)</f>
        <v>2</v>
      </c>
      <c r="G85" s="219">
        <v>19.5</v>
      </c>
      <c r="H85" s="527">
        <f t="shared" si="82"/>
        <v>2375.75</v>
      </c>
      <c r="I85" s="219">
        <v>3</v>
      </c>
      <c r="J85" s="230">
        <v>5.5E-2</v>
      </c>
      <c r="K85" s="186"/>
      <c r="L85" s="188"/>
      <c r="M85" s="34"/>
      <c r="N85" s="209"/>
      <c r="O85" s="229"/>
      <c r="P85" s="218"/>
      <c r="Q85" s="188">
        <f t="shared" si="83"/>
        <v>0</v>
      </c>
      <c r="R85" s="219"/>
      <c r="S85" s="527">
        <f t="shared" si="84"/>
        <v>0</v>
      </c>
      <c r="T85" s="221"/>
      <c r="U85" s="230"/>
      <c r="W85" s="508"/>
      <c r="AK85" s="185"/>
      <c r="DB85" s="205" t="e">
        <f>IF(AND(#REF!&lt;=DB$8,#REF!&gt;=DB$8),((#REF!*#REF!)/12),0)</f>
        <v>#REF!</v>
      </c>
      <c r="DC85" s="204" t="e">
        <f>IF(AND(#REF!&lt;=DC$8,#REF!&gt;=DC$8),((#REF!*#REF!)/12),0)</f>
        <v>#REF!</v>
      </c>
      <c r="DD85" s="204" t="e">
        <f>IF(AND(#REF!&lt;=DD$8,#REF!&gt;=DD$8),((#REF!*#REF!)/12),0)</f>
        <v>#REF!</v>
      </c>
      <c r="DE85" s="204" t="e">
        <f>IF(AND(#REF!&lt;=DE$8,#REF!&gt;=DE$8),((#REF!*#REF!)/12),0)</f>
        <v>#REF!</v>
      </c>
      <c r="DF85" s="204" t="e">
        <f>IF(AND(#REF!&lt;=DF$8,#REF!&gt;=DF$8),((#REF!*#REF!)/12),0)</f>
        <v>#REF!</v>
      </c>
      <c r="DG85" s="204" t="e">
        <f>IF(AND(#REF!&lt;=DG$8,#REF!&gt;=DG$8),((#REF!*#REF!)/12),0)</f>
        <v>#REF!</v>
      </c>
      <c r="DH85" s="204" t="e">
        <f>IF(AND(#REF!&lt;=DH$8,#REF!&gt;=DH$8),((#REF!*#REF!)/12),0)</f>
        <v>#REF!</v>
      </c>
      <c r="DI85" s="204" t="e">
        <f>IF(AND(#REF!&lt;=DI$8,#REF!&gt;=DI$8),((#REF!*#REF!)/12),0)</f>
        <v>#REF!</v>
      </c>
      <c r="DJ85" s="204" t="e">
        <f>IF(AND(#REF!&lt;=DJ$8,#REF!&gt;=DJ$8),((#REF!*#REF!)/12),0)</f>
        <v>#REF!</v>
      </c>
      <c r="DK85" s="204" t="e">
        <f>IF(AND(#REF!&lt;=DK$8,#REF!&gt;=DK$8),((#REF!*#REF!)/12),0)</f>
        <v>#REF!</v>
      </c>
      <c r="DL85" s="204" t="e">
        <f>IF(AND(#REF!&lt;=DL$8,#REF!&gt;=DL$8),((#REF!*#REF!)/12),0)</f>
        <v>#REF!</v>
      </c>
      <c r="DM85" s="206" t="e">
        <f>IF(AND(#REF!&lt;=DM$8,#REF!&gt;=DM$8),((#REF!*#REF!)/12),0)</f>
        <v>#REF!</v>
      </c>
      <c r="DN85" s="185" t="e">
        <f>IF(AND(#REF!&lt;=DN$8,#REF!&gt;=DN$8),((#REF!*#REF!)/12),0)</f>
        <v>#REF!</v>
      </c>
      <c r="DO85" s="185" t="e">
        <f>IF(AND(#REF!&lt;=DO$8,#REF!&gt;=DO$8),((#REF!*#REF!)/12),0)</f>
        <v>#REF!</v>
      </c>
      <c r="DP85" s="185" t="e">
        <f>IF(AND(#REF!&lt;=DP$8,#REF!&gt;=DP$8),((#REF!*#REF!)/12),0)</f>
        <v>#REF!</v>
      </c>
      <c r="DQ85" s="185" t="e">
        <f>IF(AND(#REF!&lt;=DQ$8,#REF!&gt;=DQ$8),((#REF!*#REF!)/12),0)</f>
        <v>#REF!</v>
      </c>
      <c r="DR85" s="185" t="e">
        <f>IF(AND(#REF!&lt;=DR$8,#REF!&gt;=DR$8),((#REF!*#REF!)/12),0)</f>
        <v>#REF!</v>
      </c>
      <c r="DS85" s="185" t="e">
        <f>IF(AND(#REF!&lt;=DS$8,#REF!&gt;=DS$8),((#REF!*#REF!)/12),0)</f>
        <v>#REF!</v>
      </c>
      <c r="DT85" s="185" t="e">
        <f>IF(AND(#REF!&lt;=DT$8,#REF!&gt;=DT$8),((#REF!*#REF!)/12),0)</f>
        <v>#REF!</v>
      </c>
      <c r="DU85" s="185" t="e">
        <f>IF(AND(#REF!&lt;=DU$8,#REF!&gt;=DU$8),((#REF!*#REF!)/12),0)</f>
        <v>#REF!</v>
      </c>
      <c r="DV85" s="185" t="e">
        <f>IF(AND(#REF!&lt;=DV$8,#REF!&gt;=DV$8),((#REF!*#REF!)/12),0)</f>
        <v>#REF!</v>
      </c>
      <c r="DW85" s="185" t="e">
        <f>IF(AND(#REF!&lt;=DW$8,#REF!&gt;=DW$8),((#REF!*#REF!)/12),0)</f>
        <v>#REF!</v>
      </c>
      <c r="DX85" s="185" t="e">
        <f>IF(AND(#REF!&lt;=DX$8,#REF!&gt;=DX$8),((#REF!*#REF!)/12),0)</f>
        <v>#REF!</v>
      </c>
      <c r="DY85" s="185" t="e">
        <f>IF(AND(#REF!&lt;=DY$8,#REF!&gt;=DY$8),((#REF!*#REF!)/12),0)</f>
        <v>#REF!</v>
      </c>
    </row>
    <row r="86" spans="1:129" x14ac:dyDescent="0.35">
      <c r="A86" s="188" t="s">
        <v>223</v>
      </c>
      <c r="B86" s="34" t="str">
        <f t="shared" si="90"/>
        <v>VACANT</v>
      </c>
      <c r="C86" s="209">
        <v>1029</v>
      </c>
      <c r="D86" s="229">
        <v>45962</v>
      </c>
      <c r="E86" s="218">
        <v>46326</v>
      </c>
      <c r="F86" s="188">
        <f>IFERROR(ROUNDUP(((DATEDIF(D86,E86,"d"))/365),1),0)</f>
        <v>1</v>
      </c>
      <c r="G86" s="219">
        <v>19.5</v>
      </c>
      <c r="H86" s="527">
        <f t="shared" si="82"/>
        <v>1672.125</v>
      </c>
      <c r="I86" s="219">
        <v>2</v>
      </c>
      <c r="J86" s="230"/>
      <c r="K86" s="186"/>
      <c r="L86" s="188"/>
      <c r="M86" s="34"/>
      <c r="N86" s="209"/>
      <c r="O86" s="229"/>
      <c r="P86" s="218"/>
      <c r="Q86" s="188">
        <f t="shared" si="83"/>
        <v>0</v>
      </c>
      <c r="R86" s="219"/>
      <c r="S86" s="527">
        <f t="shared" si="84"/>
        <v>0</v>
      </c>
      <c r="T86" s="219"/>
      <c r="U86" s="230"/>
      <c r="AK86" s="185"/>
      <c r="DB86" s="205">
        <f t="shared" ref="DB86:DK88" si="91">IF(AND($D85&lt;=DB$8,$E85&gt;=DB$8),(($G85*$C85)/12),0)</f>
        <v>0</v>
      </c>
      <c r="DC86" s="204">
        <f t="shared" si="91"/>
        <v>0</v>
      </c>
      <c r="DD86" s="204">
        <f t="shared" si="91"/>
        <v>0</v>
      </c>
      <c r="DE86" s="204">
        <f t="shared" si="91"/>
        <v>0</v>
      </c>
      <c r="DF86" s="204">
        <f t="shared" si="91"/>
        <v>0</v>
      </c>
      <c r="DG86" s="204">
        <f t="shared" si="91"/>
        <v>0</v>
      </c>
      <c r="DH86" s="204">
        <f t="shared" si="91"/>
        <v>0</v>
      </c>
      <c r="DI86" s="204">
        <f t="shared" si="91"/>
        <v>0</v>
      </c>
      <c r="DJ86" s="204">
        <f t="shared" si="91"/>
        <v>0</v>
      </c>
      <c r="DK86" s="204">
        <f t="shared" si="91"/>
        <v>0</v>
      </c>
      <c r="DL86" s="204">
        <f t="shared" ref="DL86:DU88" si="92">IF(AND($D85&lt;=DL$8,$E85&gt;=DL$8),(($G85*$C85)/12),0)</f>
        <v>0</v>
      </c>
      <c r="DM86" s="206">
        <f t="shared" si="92"/>
        <v>0</v>
      </c>
      <c r="DN86" s="185">
        <f t="shared" si="92"/>
        <v>0</v>
      </c>
      <c r="DO86" s="185">
        <f t="shared" si="92"/>
        <v>0</v>
      </c>
      <c r="DP86" s="185">
        <f t="shared" si="92"/>
        <v>0</v>
      </c>
      <c r="DQ86" s="185">
        <f t="shared" si="92"/>
        <v>0</v>
      </c>
      <c r="DR86" s="185">
        <f t="shared" si="92"/>
        <v>0</v>
      </c>
      <c r="DS86" s="185">
        <f t="shared" si="92"/>
        <v>0</v>
      </c>
      <c r="DT86" s="185">
        <f t="shared" si="92"/>
        <v>2375.75</v>
      </c>
      <c r="DU86" s="185">
        <f t="shared" si="92"/>
        <v>2375.75</v>
      </c>
      <c r="DV86" s="185">
        <f t="shared" ref="DV86:DY88" si="93">IF(AND($D85&lt;=DV$8,$E85&gt;=DV$8),(($G85*$C85)/12),0)</f>
        <v>2375.75</v>
      </c>
      <c r="DW86" s="185">
        <f t="shared" si="93"/>
        <v>2375.75</v>
      </c>
      <c r="DX86" s="185">
        <f t="shared" si="93"/>
        <v>2375.75</v>
      </c>
      <c r="DY86" s="185">
        <f t="shared" si="93"/>
        <v>2375.75</v>
      </c>
    </row>
    <row r="87" spans="1:129" x14ac:dyDescent="0.35">
      <c r="A87" s="188" t="s">
        <v>283</v>
      </c>
      <c r="B87" s="34" t="str">
        <f t="shared" si="90"/>
        <v>VACANT</v>
      </c>
      <c r="C87" s="209">
        <v>1420</v>
      </c>
      <c r="D87" s="229">
        <v>46204</v>
      </c>
      <c r="E87" s="218">
        <v>46934</v>
      </c>
      <c r="F87" s="188">
        <f>IFERROR(ROUNDUP(((DATEDIF(D87,E87,"d"))/365),1),0)</f>
        <v>2</v>
      </c>
      <c r="G87" s="219">
        <v>19.5</v>
      </c>
      <c r="H87" s="527">
        <f t="shared" si="82"/>
        <v>2307.5</v>
      </c>
      <c r="I87" s="219">
        <v>2</v>
      </c>
      <c r="J87" s="230">
        <v>5.5E-2</v>
      </c>
      <c r="K87" s="186"/>
      <c r="L87" s="188"/>
      <c r="M87" s="34"/>
      <c r="N87" s="209"/>
      <c r="O87" s="229"/>
      <c r="P87" s="218"/>
      <c r="Q87" s="188">
        <f t="shared" si="83"/>
        <v>0</v>
      </c>
      <c r="R87" s="219"/>
      <c r="S87" s="527">
        <f t="shared" si="84"/>
        <v>0</v>
      </c>
      <c r="T87" s="219"/>
      <c r="U87" s="230"/>
      <c r="AK87" s="185"/>
      <c r="DB87" s="205">
        <f t="shared" si="91"/>
        <v>0</v>
      </c>
      <c r="DC87" s="204">
        <f t="shared" si="91"/>
        <v>0</v>
      </c>
      <c r="DD87" s="204">
        <f t="shared" si="91"/>
        <v>0</v>
      </c>
      <c r="DE87" s="204">
        <f t="shared" si="91"/>
        <v>0</v>
      </c>
      <c r="DF87" s="204">
        <f t="shared" si="91"/>
        <v>0</v>
      </c>
      <c r="DG87" s="204">
        <f t="shared" si="91"/>
        <v>0</v>
      </c>
      <c r="DH87" s="204">
        <f t="shared" si="91"/>
        <v>0</v>
      </c>
      <c r="DI87" s="204">
        <f t="shared" si="91"/>
        <v>0</v>
      </c>
      <c r="DJ87" s="204">
        <f t="shared" si="91"/>
        <v>0</v>
      </c>
      <c r="DK87" s="204">
        <f t="shared" si="91"/>
        <v>0</v>
      </c>
      <c r="DL87" s="204">
        <f t="shared" si="92"/>
        <v>1672.125</v>
      </c>
      <c r="DM87" s="206">
        <f t="shared" si="92"/>
        <v>1672.125</v>
      </c>
      <c r="DN87" s="185">
        <f t="shared" si="92"/>
        <v>1672.125</v>
      </c>
      <c r="DO87" s="185">
        <f t="shared" si="92"/>
        <v>1672.125</v>
      </c>
      <c r="DP87" s="185">
        <f t="shared" si="92"/>
        <v>1672.125</v>
      </c>
      <c r="DQ87" s="185">
        <f t="shared" si="92"/>
        <v>1672.125</v>
      </c>
      <c r="DR87" s="185">
        <f t="shared" si="92"/>
        <v>1672.125</v>
      </c>
      <c r="DS87" s="185">
        <f t="shared" si="92"/>
        <v>1672.125</v>
      </c>
      <c r="DT87" s="185">
        <f t="shared" si="92"/>
        <v>1672.125</v>
      </c>
      <c r="DU87" s="185">
        <f t="shared" si="92"/>
        <v>1672.125</v>
      </c>
      <c r="DV87" s="185">
        <f t="shared" si="93"/>
        <v>1672.125</v>
      </c>
      <c r="DW87" s="185">
        <f t="shared" si="93"/>
        <v>1672.125</v>
      </c>
      <c r="DX87" s="185">
        <f t="shared" si="93"/>
        <v>0</v>
      </c>
      <c r="DY87" s="185">
        <f t="shared" si="93"/>
        <v>0</v>
      </c>
    </row>
    <row r="88" spans="1:129" x14ac:dyDescent="0.35">
      <c r="A88" s="188" t="s">
        <v>646</v>
      </c>
      <c r="B88" s="34" t="s">
        <v>636</v>
      </c>
      <c r="C88" s="209">
        <v>0</v>
      </c>
      <c r="D88" s="229"/>
      <c r="E88" s="218"/>
      <c r="F88" s="188">
        <f t="shared" ref="F88" si="94">IFERROR(ROUNDUP(((DATEDIF(D88,E88,"d"))/365),1),0)</f>
        <v>0</v>
      </c>
      <c r="G88" s="219"/>
      <c r="H88" s="527">
        <f t="shared" si="82"/>
        <v>0</v>
      </c>
      <c r="I88" s="221"/>
      <c r="J88" s="230"/>
      <c r="K88" s="186"/>
      <c r="L88" s="188"/>
      <c r="M88" s="34"/>
      <c r="N88" s="209"/>
      <c r="O88" s="229"/>
      <c r="P88" s="218"/>
      <c r="Q88" s="188">
        <f t="shared" si="83"/>
        <v>0</v>
      </c>
      <c r="R88" s="219"/>
      <c r="S88" s="527">
        <f t="shared" si="84"/>
        <v>0</v>
      </c>
      <c r="T88" s="219"/>
      <c r="U88" s="230"/>
      <c r="AK88" s="185"/>
      <c r="DB88" s="205">
        <f t="shared" si="91"/>
        <v>0</v>
      </c>
      <c r="DC88" s="204">
        <f t="shared" si="91"/>
        <v>0</v>
      </c>
      <c r="DD88" s="204">
        <f t="shared" si="91"/>
        <v>0</v>
      </c>
      <c r="DE88" s="204">
        <f t="shared" si="91"/>
        <v>0</v>
      </c>
      <c r="DF88" s="204">
        <f t="shared" si="91"/>
        <v>0</v>
      </c>
      <c r="DG88" s="204">
        <f t="shared" si="91"/>
        <v>0</v>
      </c>
      <c r="DH88" s="204">
        <f t="shared" si="91"/>
        <v>0</v>
      </c>
      <c r="DI88" s="204">
        <f t="shared" si="91"/>
        <v>0</v>
      </c>
      <c r="DJ88" s="204">
        <f t="shared" si="91"/>
        <v>0</v>
      </c>
      <c r="DK88" s="204">
        <f t="shared" si="91"/>
        <v>0</v>
      </c>
      <c r="DL88" s="204">
        <f t="shared" si="92"/>
        <v>0</v>
      </c>
      <c r="DM88" s="206">
        <f t="shared" si="92"/>
        <v>0</v>
      </c>
      <c r="DN88" s="185">
        <f t="shared" si="92"/>
        <v>0</v>
      </c>
      <c r="DO88" s="185">
        <f t="shared" si="92"/>
        <v>0</v>
      </c>
      <c r="DP88" s="185">
        <f t="shared" si="92"/>
        <v>0</v>
      </c>
      <c r="DQ88" s="185">
        <f t="shared" si="92"/>
        <v>0</v>
      </c>
      <c r="DR88" s="185">
        <f t="shared" si="92"/>
        <v>0</v>
      </c>
      <c r="DS88" s="185">
        <f t="shared" si="92"/>
        <v>0</v>
      </c>
      <c r="DT88" s="185">
        <f t="shared" si="92"/>
        <v>2307.5</v>
      </c>
      <c r="DU88" s="185">
        <f t="shared" si="92"/>
        <v>2307.5</v>
      </c>
      <c r="DV88" s="185">
        <f t="shared" si="93"/>
        <v>2307.5</v>
      </c>
      <c r="DW88" s="185">
        <f t="shared" si="93"/>
        <v>2307.5</v>
      </c>
      <c r="DX88" s="185">
        <f t="shared" si="93"/>
        <v>2307.5</v>
      </c>
      <c r="DY88" s="185">
        <f t="shared" si="93"/>
        <v>2307.5</v>
      </c>
    </row>
    <row r="89" spans="1:129" x14ac:dyDescent="0.35">
      <c r="A89" s="201"/>
      <c r="B89" s="43"/>
      <c r="C89" s="210"/>
      <c r="D89" s="231"/>
      <c r="E89" s="222"/>
      <c r="F89" s="201">
        <f t="shared" si="81"/>
        <v>0</v>
      </c>
      <c r="G89" s="223"/>
      <c r="H89" s="528">
        <f t="shared" si="82"/>
        <v>0</v>
      </c>
      <c r="I89" s="223"/>
      <c r="J89" s="232"/>
      <c r="K89" s="186"/>
      <c r="L89" s="201"/>
      <c r="M89" s="43"/>
      <c r="N89" s="210"/>
      <c r="O89" s="231"/>
      <c r="P89" s="222"/>
      <c r="Q89" s="201">
        <f t="shared" si="83"/>
        <v>0</v>
      </c>
      <c r="R89" s="223"/>
      <c r="S89" s="528">
        <f t="shared" si="84"/>
        <v>0</v>
      </c>
      <c r="T89" s="223"/>
      <c r="U89" s="232"/>
      <c r="AK89" s="185"/>
      <c r="DB89" s="205">
        <f t="shared" si="85"/>
        <v>0</v>
      </c>
      <c r="DC89" s="204">
        <f t="shared" si="85"/>
        <v>0</v>
      </c>
      <c r="DD89" s="204">
        <f t="shared" si="85"/>
        <v>0</v>
      </c>
      <c r="DE89" s="204">
        <f t="shared" si="85"/>
        <v>0</v>
      </c>
      <c r="DF89" s="204">
        <f t="shared" si="85"/>
        <v>0</v>
      </c>
      <c r="DG89" s="204">
        <f t="shared" si="85"/>
        <v>0</v>
      </c>
      <c r="DH89" s="204">
        <f t="shared" si="85"/>
        <v>0</v>
      </c>
      <c r="DI89" s="204">
        <f t="shared" si="85"/>
        <v>0</v>
      </c>
      <c r="DJ89" s="204">
        <f t="shared" si="85"/>
        <v>0</v>
      </c>
      <c r="DK89" s="204">
        <f t="shared" si="85"/>
        <v>0</v>
      </c>
      <c r="DL89" s="204">
        <f t="shared" si="86"/>
        <v>0</v>
      </c>
      <c r="DM89" s="206">
        <f t="shared" si="86"/>
        <v>0</v>
      </c>
      <c r="DN89" s="185">
        <f t="shared" si="86"/>
        <v>0</v>
      </c>
      <c r="DO89" s="185">
        <f t="shared" si="86"/>
        <v>0</v>
      </c>
      <c r="DP89" s="185">
        <f t="shared" si="86"/>
        <v>0</v>
      </c>
      <c r="DQ89" s="185">
        <f t="shared" si="86"/>
        <v>0</v>
      </c>
      <c r="DR89" s="185">
        <f t="shared" si="86"/>
        <v>0</v>
      </c>
      <c r="DS89" s="185">
        <f t="shared" si="86"/>
        <v>0</v>
      </c>
      <c r="DT89" s="185">
        <f t="shared" si="86"/>
        <v>0</v>
      </c>
      <c r="DU89" s="185">
        <f t="shared" si="86"/>
        <v>0</v>
      </c>
      <c r="DV89" s="185">
        <f t="shared" si="86"/>
        <v>0</v>
      </c>
      <c r="DW89" s="185">
        <f t="shared" si="86"/>
        <v>0</v>
      </c>
      <c r="DX89" s="185">
        <f t="shared" si="86"/>
        <v>0</v>
      </c>
      <c r="DY89" s="185">
        <f t="shared" si="86"/>
        <v>0</v>
      </c>
    </row>
    <row r="90" spans="1:129" ht="16.5" thickBot="1" x14ac:dyDescent="0.35">
      <c r="A90" s="187"/>
      <c r="B90" s="44" t="s">
        <v>423</v>
      </c>
      <c r="C90" s="211">
        <f>SUM(C75:C89)</f>
        <v>57551</v>
      </c>
      <c r="D90" s="197"/>
      <c r="E90" s="197"/>
      <c r="F90" s="207"/>
      <c r="G90" s="198"/>
      <c r="H90" s="198"/>
      <c r="I90" s="198"/>
      <c r="J90" s="199"/>
      <c r="K90" s="186"/>
      <c r="L90" s="187"/>
      <c r="M90" s="44" t="s">
        <v>426</v>
      </c>
      <c r="N90" s="211">
        <f>SUM(N75:N89)</f>
        <v>31557</v>
      </c>
      <c r="O90" s="312" t="s">
        <v>454</v>
      </c>
      <c r="P90" s="197"/>
      <c r="Q90" s="207"/>
      <c r="R90" s="198"/>
      <c r="S90" s="198"/>
      <c r="T90" s="198"/>
      <c r="U90" s="199"/>
      <c r="AK90" s="185"/>
      <c r="DB90" s="193" t="e">
        <f>SUM(DB75:DB89)</f>
        <v>#REF!</v>
      </c>
      <c r="DC90" s="193" t="e">
        <f t="shared" ref="DC90" si="95">SUM(DC75:DC89)</f>
        <v>#REF!</v>
      </c>
      <c r="DD90" s="193" t="e">
        <f t="shared" ref="DD90" si="96">SUM(DD75:DD89)</f>
        <v>#REF!</v>
      </c>
      <c r="DE90" s="193" t="e">
        <f t="shared" ref="DE90" si="97">SUM(DE75:DE89)</f>
        <v>#REF!</v>
      </c>
      <c r="DF90" s="193" t="e">
        <f t="shared" ref="DF90" si="98">SUM(DF75:DF89)</f>
        <v>#REF!</v>
      </c>
      <c r="DG90" s="193" t="e">
        <f t="shared" ref="DG90" si="99">SUM(DG75:DG89)</f>
        <v>#REF!</v>
      </c>
      <c r="DH90" s="193" t="e">
        <f t="shared" ref="DH90" si="100">SUM(DH75:DH89)</f>
        <v>#REF!</v>
      </c>
      <c r="DI90" s="193" t="e">
        <f t="shared" ref="DI90" si="101">SUM(DI75:DI89)</f>
        <v>#REF!</v>
      </c>
      <c r="DJ90" s="193" t="e">
        <f t="shared" ref="DJ90" si="102">SUM(DJ75:DJ89)</f>
        <v>#REF!</v>
      </c>
      <c r="DK90" s="193" t="e">
        <f t="shared" ref="DK90" si="103">SUM(DK75:DK89)</f>
        <v>#REF!</v>
      </c>
      <c r="DL90" s="193" t="e">
        <f t="shared" ref="DL90" si="104">SUM(DL75:DL89)</f>
        <v>#REF!</v>
      </c>
      <c r="DM90" s="193" t="e">
        <f t="shared" ref="DM90" si="105">SUM(DM75:DM89)</f>
        <v>#REF!</v>
      </c>
      <c r="DN90" s="193" t="e">
        <f t="shared" ref="DN90" si="106">SUM(DN75:DN89)</f>
        <v>#REF!</v>
      </c>
      <c r="DO90" s="193" t="e">
        <f t="shared" ref="DO90" si="107">SUM(DO75:DO89)</f>
        <v>#REF!</v>
      </c>
      <c r="DP90" s="193" t="e">
        <f t="shared" ref="DP90" si="108">SUM(DP75:DP89)</f>
        <v>#REF!</v>
      </c>
      <c r="DQ90" s="193" t="e">
        <f t="shared" ref="DQ90" si="109">SUM(DQ75:DQ89)</f>
        <v>#REF!</v>
      </c>
      <c r="DR90" s="193" t="e">
        <f t="shared" ref="DR90" si="110">SUM(DR75:DR89)</f>
        <v>#REF!</v>
      </c>
      <c r="DS90" s="193" t="e">
        <f t="shared" ref="DS90" si="111">SUM(DS75:DS89)</f>
        <v>#REF!</v>
      </c>
      <c r="DT90" s="193" t="e">
        <f t="shared" ref="DT90" si="112">SUM(DT75:DT89)</f>
        <v>#REF!</v>
      </c>
      <c r="DU90" s="193" t="e">
        <f t="shared" ref="DU90" si="113">SUM(DU75:DU89)</f>
        <v>#REF!</v>
      </c>
      <c r="DV90" s="193" t="e">
        <f t="shared" ref="DV90" si="114">SUM(DV75:DV89)</f>
        <v>#REF!</v>
      </c>
      <c r="DW90" s="193" t="e">
        <f t="shared" ref="DW90" si="115">SUM(DW75:DW89)</f>
        <v>#REF!</v>
      </c>
      <c r="DX90" s="193" t="e">
        <f t="shared" ref="DX90" si="116">SUM(DX75:DX89)</f>
        <v>#REF!</v>
      </c>
      <c r="DY90" s="193" t="e">
        <f t="shared" ref="DY90" si="117">SUM(DY75:DY89)</f>
        <v>#REF!</v>
      </c>
    </row>
    <row r="91" spans="1:129" s="253" customFormat="1" ht="18.5" thickTop="1" thickBot="1" x14ac:dyDescent="0.3">
      <c r="A91" s="252"/>
      <c r="F91" s="252"/>
      <c r="K91" s="254"/>
      <c r="AK91" s="254"/>
      <c r="DB91" s="551"/>
      <c r="DC91" s="551"/>
      <c r="DD91" s="551"/>
      <c r="DE91" s="551"/>
      <c r="DF91" s="551"/>
      <c r="DG91" s="551"/>
      <c r="DH91" s="551"/>
      <c r="DI91" s="551"/>
      <c r="DJ91" s="551"/>
      <c r="DK91" s="551"/>
      <c r="DL91" s="551"/>
      <c r="DM91" s="551"/>
    </row>
    <row r="92" spans="1:129" x14ac:dyDescent="0.35">
      <c r="A92" s="184"/>
      <c r="F92" s="184"/>
      <c r="K92" s="188"/>
      <c r="AK92" s="191"/>
      <c r="DB92" s="234">
        <f t="shared" ref="DB92:DY92" si="118">DB$8</f>
        <v>45658</v>
      </c>
      <c r="DC92" s="32">
        <f t="shared" si="118"/>
        <v>45689</v>
      </c>
      <c r="DD92" s="32">
        <f t="shared" si="118"/>
        <v>45717</v>
      </c>
      <c r="DE92" s="32">
        <f t="shared" si="118"/>
        <v>45748</v>
      </c>
      <c r="DF92" s="32">
        <f t="shared" si="118"/>
        <v>45778</v>
      </c>
      <c r="DG92" s="32">
        <f t="shared" si="118"/>
        <v>45809</v>
      </c>
      <c r="DH92" s="32">
        <f t="shared" si="118"/>
        <v>45839</v>
      </c>
      <c r="DI92" s="32">
        <f t="shared" si="118"/>
        <v>45870</v>
      </c>
      <c r="DJ92" s="32">
        <f t="shared" si="118"/>
        <v>45901</v>
      </c>
      <c r="DK92" s="32">
        <f t="shared" si="118"/>
        <v>45931</v>
      </c>
      <c r="DL92" s="32">
        <f t="shared" si="118"/>
        <v>45962</v>
      </c>
      <c r="DM92" s="235">
        <f t="shared" si="118"/>
        <v>45992</v>
      </c>
      <c r="DN92" s="32">
        <f t="shared" si="118"/>
        <v>46023</v>
      </c>
      <c r="DO92" s="32">
        <f t="shared" si="118"/>
        <v>46054</v>
      </c>
      <c r="DP92" s="32">
        <f t="shared" si="118"/>
        <v>46082</v>
      </c>
      <c r="DQ92" s="32">
        <f t="shared" si="118"/>
        <v>46113</v>
      </c>
      <c r="DR92" s="32">
        <f t="shared" si="118"/>
        <v>46143</v>
      </c>
      <c r="DS92" s="32">
        <f t="shared" si="118"/>
        <v>46174</v>
      </c>
      <c r="DT92" s="32">
        <f t="shared" si="118"/>
        <v>46204</v>
      </c>
      <c r="DU92" s="32">
        <f t="shared" si="118"/>
        <v>46235</v>
      </c>
      <c r="DV92" s="32">
        <f t="shared" si="118"/>
        <v>46266</v>
      </c>
      <c r="DW92" s="32">
        <f t="shared" si="118"/>
        <v>46296</v>
      </c>
      <c r="DX92" s="32">
        <f t="shared" si="118"/>
        <v>46327</v>
      </c>
      <c r="DY92" s="32">
        <f t="shared" si="118"/>
        <v>46357</v>
      </c>
    </row>
    <row r="93" spans="1:129" ht="18" x14ac:dyDescent="0.35">
      <c r="A93" s="215" t="str">
        <f>'40A0'!B1</f>
        <v>40A0</v>
      </c>
      <c r="B93" s="34"/>
      <c r="C93" s="190"/>
      <c r="D93" s="187"/>
      <c r="E93" s="187"/>
      <c r="F93" s="187"/>
      <c r="G93" s="187"/>
      <c r="H93" s="187"/>
      <c r="I93" s="187"/>
      <c r="J93" s="187"/>
      <c r="K93" s="187"/>
    </row>
    <row r="94" spans="1:129" ht="17.5" x14ac:dyDescent="0.25">
      <c r="A94" s="256">
        <f>'40A0'!B4</f>
        <v>15083</v>
      </c>
      <c r="B94" s="257">
        <f>(A94-C112)/A94</f>
        <v>0.95763442286017375</v>
      </c>
      <c r="D94" s="258" t="str">
        <f>"Vacancies - "&amp;A93</f>
        <v>Vacancies - 40A0</v>
      </c>
      <c r="E94" s="226"/>
      <c r="F94" s="226"/>
      <c r="G94" s="226"/>
      <c r="H94" s="226"/>
      <c r="I94" s="226"/>
      <c r="J94" s="225"/>
      <c r="K94" s="187"/>
      <c r="O94" s="258" t="str">
        <f>"Renewals - "&amp;A93</f>
        <v>Renewals - 40A0</v>
      </c>
      <c r="P94" s="226"/>
      <c r="Q94" s="226"/>
      <c r="R94" s="226"/>
      <c r="S94" s="226"/>
      <c r="T94" s="226"/>
      <c r="U94" s="225"/>
    </row>
    <row r="95" spans="1:129" ht="18" x14ac:dyDescent="0.25">
      <c r="A95" s="184"/>
      <c r="D95" s="553" t="s">
        <v>428</v>
      </c>
      <c r="E95" s="554"/>
      <c r="F95" s="554"/>
      <c r="G95" s="554"/>
      <c r="H95" s="554"/>
      <c r="I95" s="554"/>
      <c r="J95" s="555"/>
      <c r="O95" s="553" t="s">
        <v>428</v>
      </c>
      <c r="P95" s="554"/>
      <c r="Q95" s="554"/>
      <c r="R95" s="554"/>
      <c r="S95" s="554"/>
      <c r="T95" s="554"/>
      <c r="U95" s="555"/>
      <c r="W95" s="214" t="str">
        <f>A93</f>
        <v>40A0</v>
      </c>
      <c r="X95" s="552">
        <v>2025</v>
      </c>
      <c r="Y95" s="552"/>
      <c r="Z95" s="552"/>
      <c r="AA95" s="552"/>
      <c r="AB95" s="552"/>
      <c r="AC95" s="552"/>
      <c r="AD95" s="552"/>
      <c r="AE95" s="552"/>
      <c r="AF95" s="552"/>
      <c r="AG95" s="552"/>
      <c r="AH95" s="552"/>
      <c r="AI95" s="552"/>
      <c r="AJ95" s="552">
        <f>X95+1</f>
        <v>2026</v>
      </c>
      <c r="AK95" s="552"/>
      <c r="AL95" s="552"/>
      <c r="AM95" s="552"/>
      <c r="AN95" s="552"/>
      <c r="AO95" s="552"/>
      <c r="AP95" s="552"/>
      <c r="AQ95" s="552"/>
      <c r="AR95" s="552"/>
      <c r="AS95" s="552"/>
      <c r="AT95" s="552"/>
      <c r="AU95" s="552"/>
      <c r="DB95" s="556" t="str">
        <f>+$DB$7</f>
        <v>2025</v>
      </c>
      <c r="DC95" s="556"/>
      <c r="DD95" s="556"/>
      <c r="DE95" s="556"/>
      <c r="DF95" s="556"/>
      <c r="DG95" s="556"/>
      <c r="DH95" s="556"/>
      <c r="DI95" s="556"/>
      <c r="DJ95" s="556"/>
      <c r="DK95" s="556"/>
      <c r="DL95" s="556"/>
      <c r="DM95" s="556"/>
      <c r="DN95" s="556" t="str">
        <f>+$DN$7</f>
        <v>2026</v>
      </c>
      <c r="DO95" s="556"/>
      <c r="DP95" s="556"/>
      <c r="DQ95" s="556"/>
      <c r="DR95" s="556"/>
      <c r="DS95" s="556"/>
      <c r="DT95" s="556"/>
      <c r="DU95" s="556"/>
      <c r="DV95" s="556"/>
      <c r="DW95" s="556"/>
      <c r="DX95" s="556"/>
      <c r="DY95" s="556"/>
    </row>
    <row r="96" spans="1:129" x14ac:dyDescent="0.35">
      <c r="A96" s="201" t="s">
        <v>224</v>
      </c>
      <c r="B96" s="43" t="s">
        <v>424</v>
      </c>
      <c r="C96" s="208" t="s">
        <v>221</v>
      </c>
      <c r="D96" s="233" t="s">
        <v>429</v>
      </c>
      <c r="E96" s="201" t="s">
        <v>430</v>
      </c>
      <c r="F96" s="201"/>
      <c r="G96" s="200" t="s">
        <v>219</v>
      </c>
      <c r="H96" s="213" t="s">
        <v>624</v>
      </c>
      <c r="I96" s="213" t="s">
        <v>425</v>
      </c>
      <c r="J96" s="203" t="s">
        <v>218</v>
      </c>
      <c r="K96" s="188"/>
      <c r="L96" s="201" t="s">
        <v>224</v>
      </c>
      <c r="M96" s="43" t="s">
        <v>424</v>
      </c>
      <c r="N96" s="208" t="s">
        <v>221</v>
      </c>
      <c r="O96" s="233" t="s">
        <v>429</v>
      </c>
      <c r="P96" s="201" t="s">
        <v>430</v>
      </c>
      <c r="Q96" s="201"/>
      <c r="R96" s="200" t="s">
        <v>219</v>
      </c>
      <c r="S96" s="213" t="s">
        <v>624</v>
      </c>
      <c r="T96" s="213" t="s">
        <v>425</v>
      </c>
      <c r="U96" s="203" t="s">
        <v>218</v>
      </c>
      <c r="X96" s="234">
        <v>45658</v>
      </c>
      <c r="Y96" s="32">
        <v>45689</v>
      </c>
      <c r="Z96" s="32">
        <v>45717</v>
      </c>
      <c r="AA96" s="32">
        <v>45748</v>
      </c>
      <c r="AB96" s="32">
        <v>45778</v>
      </c>
      <c r="AC96" s="32">
        <v>45809</v>
      </c>
      <c r="AD96" s="32">
        <v>45839</v>
      </c>
      <c r="AE96" s="32">
        <v>45870</v>
      </c>
      <c r="AF96" s="32">
        <v>45901</v>
      </c>
      <c r="AG96" s="32">
        <v>45931</v>
      </c>
      <c r="AH96" s="32">
        <v>45962</v>
      </c>
      <c r="AI96" s="235">
        <v>45992</v>
      </c>
      <c r="AJ96" s="32">
        <f>AJ$8</f>
        <v>46023</v>
      </c>
      <c r="AK96" s="32">
        <f t="shared" ref="AK96:AU96" si="119">AK$8</f>
        <v>46054</v>
      </c>
      <c r="AL96" s="32">
        <f t="shared" si="119"/>
        <v>46082</v>
      </c>
      <c r="AM96" s="32">
        <f t="shared" si="119"/>
        <v>46113</v>
      </c>
      <c r="AN96" s="32">
        <f t="shared" si="119"/>
        <v>46143</v>
      </c>
      <c r="AO96" s="32">
        <f t="shared" si="119"/>
        <v>46174</v>
      </c>
      <c r="AP96" s="32">
        <f t="shared" si="119"/>
        <v>46204</v>
      </c>
      <c r="AQ96" s="32">
        <f t="shared" si="119"/>
        <v>46235</v>
      </c>
      <c r="AR96" s="32">
        <f t="shared" si="119"/>
        <v>46266</v>
      </c>
      <c r="AS96" s="32">
        <f t="shared" si="119"/>
        <v>46296</v>
      </c>
      <c r="AT96" s="32">
        <f t="shared" si="119"/>
        <v>46327</v>
      </c>
      <c r="AU96" s="32">
        <f t="shared" si="119"/>
        <v>46357</v>
      </c>
      <c r="AV96" s="275" t="str">
        <f>AJ95&amp;" - Totals"</f>
        <v>2026 - Totals</v>
      </c>
      <c r="DB96" s="234">
        <f t="shared" ref="DB96:DY96" si="120">DB$8</f>
        <v>45658</v>
      </c>
      <c r="DC96" s="32">
        <f t="shared" si="120"/>
        <v>45689</v>
      </c>
      <c r="DD96" s="32">
        <f t="shared" si="120"/>
        <v>45717</v>
      </c>
      <c r="DE96" s="32">
        <f t="shared" si="120"/>
        <v>45748</v>
      </c>
      <c r="DF96" s="32">
        <f t="shared" si="120"/>
        <v>45778</v>
      </c>
      <c r="DG96" s="32">
        <f t="shared" si="120"/>
        <v>45809</v>
      </c>
      <c r="DH96" s="32">
        <f t="shared" si="120"/>
        <v>45839</v>
      </c>
      <c r="DI96" s="32">
        <f t="shared" si="120"/>
        <v>45870</v>
      </c>
      <c r="DJ96" s="32">
        <f t="shared" si="120"/>
        <v>45901</v>
      </c>
      <c r="DK96" s="32">
        <f t="shared" si="120"/>
        <v>45931</v>
      </c>
      <c r="DL96" s="32">
        <f t="shared" si="120"/>
        <v>45962</v>
      </c>
      <c r="DM96" s="235">
        <f t="shared" si="120"/>
        <v>45992</v>
      </c>
      <c r="DN96" s="32">
        <f t="shared" si="120"/>
        <v>46023</v>
      </c>
      <c r="DO96" s="32">
        <f t="shared" si="120"/>
        <v>46054</v>
      </c>
      <c r="DP96" s="32">
        <f t="shared" si="120"/>
        <v>46082</v>
      </c>
      <c r="DQ96" s="32">
        <f t="shared" si="120"/>
        <v>46113</v>
      </c>
      <c r="DR96" s="32">
        <f t="shared" si="120"/>
        <v>46143</v>
      </c>
      <c r="DS96" s="32">
        <f t="shared" si="120"/>
        <v>46174</v>
      </c>
      <c r="DT96" s="32">
        <f t="shared" si="120"/>
        <v>46204</v>
      </c>
      <c r="DU96" s="32">
        <f t="shared" si="120"/>
        <v>46235</v>
      </c>
      <c r="DV96" s="32">
        <f t="shared" si="120"/>
        <v>46266</v>
      </c>
      <c r="DW96" s="32">
        <f t="shared" si="120"/>
        <v>46296</v>
      </c>
      <c r="DX96" s="32">
        <f t="shared" si="120"/>
        <v>46327</v>
      </c>
      <c r="DY96" s="32">
        <f t="shared" si="120"/>
        <v>46357</v>
      </c>
    </row>
    <row r="97" spans="1:129" x14ac:dyDescent="0.35">
      <c r="A97" s="188">
        <v>205</v>
      </c>
      <c r="B97" s="34" t="str">
        <f t="shared" ref="B97:B111" si="121">IF(A97&lt;&gt;"","VACANT","")</f>
        <v>VACANT</v>
      </c>
      <c r="C97" s="209">
        <v>639</v>
      </c>
      <c r="D97" s="229">
        <v>46054</v>
      </c>
      <c r="E97" s="218">
        <v>46418</v>
      </c>
      <c r="F97" s="246">
        <f>IFERROR(ROUNDUP(((DATEDIF(D97,E97,"d"))/365),1),0)</f>
        <v>1</v>
      </c>
      <c r="G97" s="219">
        <v>17.5</v>
      </c>
      <c r="H97" s="527">
        <f>(C97*G97)/12</f>
        <v>931.875</v>
      </c>
      <c r="I97" s="219">
        <v>1</v>
      </c>
      <c r="J97" s="230">
        <v>0.06</v>
      </c>
      <c r="K97" s="237"/>
      <c r="L97" s="188">
        <v>201</v>
      </c>
      <c r="M97" s="34" t="s">
        <v>356</v>
      </c>
      <c r="N97" s="209">
        <v>476</v>
      </c>
      <c r="O97" s="229">
        <v>45901</v>
      </c>
      <c r="P97" s="218">
        <v>46265</v>
      </c>
      <c r="Q97" s="246">
        <f>IFERROR(ROUNDUP(((DATEDIF(O97,P97,"d"))/365),1),0)</f>
        <v>1</v>
      </c>
      <c r="R97" s="219">
        <v>18.5</v>
      </c>
      <c r="S97" s="527">
        <f>(N97*R97)/12</f>
        <v>733.83333333333337</v>
      </c>
      <c r="T97" s="219">
        <v>0</v>
      </c>
      <c r="U97" s="230">
        <v>0</v>
      </c>
      <c r="W97" s="184" t="s">
        <v>436</v>
      </c>
      <c r="X97" s="261" cm="1">
        <f t="array" ref="X97:AI97">_xlfn.LET(
  _xlpm.months, X96:AI96,
  _xlpm.totalSqft, A94,
  _xlpm.vacSF, C97:C111,
  _xlpm.vacStart, D97:D111,
  _xlpm.vacEnd, E97:E111,
  _xlpm.renSF, N97:N111,
  _xlpm.renEnd, P97:P111,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0.95760000000000001</v>
      </c>
      <c r="Y97" s="262">
        <v>0.95760000000000001</v>
      </c>
      <c r="Z97" s="262">
        <v>0.95760000000000001</v>
      </c>
      <c r="AA97" s="262">
        <v>0.95760000000000001</v>
      </c>
      <c r="AB97" s="262">
        <v>0.95760000000000001</v>
      </c>
      <c r="AC97" s="262">
        <v>0.95760000000000001</v>
      </c>
      <c r="AD97" s="262">
        <v>0.95760000000000001</v>
      </c>
      <c r="AE97" s="262">
        <v>0.95760000000000001</v>
      </c>
      <c r="AF97" s="262">
        <v>0.95760000000000001</v>
      </c>
      <c r="AG97" s="262">
        <v>0.95760000000000001</v>
      </c>
      <c r="AH97" s="262">
        <v>0.95760000000000001</v>
      </c>
      <c r="AI97" s="262">
        <v>0.95760000000000001</v>
      </c>
      <c r="AJ97" s="261" cm="1">
        <f t="array" ref="AJ97:AU97">_xlfn.LET(
  _xlpm.months, AJ96:AU96,
  _xlpm.totalSqft, A94,
  _xlpm.vacSF, C97:C111,
  _xlpm.vacStart, D97:D111,
  _xlpm.vacEnd, E97:E111,
  _xlpm.renSF, N97:N111,
  _xlpm.renEnd, P97:P111,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0.95760000000000001</v>
      </c>
      <c r="AK97" s="262">
        <v>1</v>
      </c>
      <c r="AL97" s="262">
        <v>1</v>
      </c>
      <c r="AM97" s="262">
        <v>1</v>
      </c>
      <c r="AN97" s="262">
        <v>1</v>
      </c>
      <c r="AO97" s="262">
        <v>1</v>
      </c>
      <c r="AP97" s="262">
        <v>1</v>
      </c>
      <c r="AQ97" s="262">
        <v>1</v>
      </c>
      <c r="AR97" s="262">
        <v>0.96840000000000004</v>
      </c>
      <c r="AS97" s="262">
        <v>0.96840000000000004</v>
      </c>
      <c r="AT97" s="262">
        <v>0.96840000000000004</v>
      </c>
      <c r="AU97" s="262">
        <v>0.96840000000000004</v>
      </c>
      <c r="AV97" s="273"/>
      <c r="DB97" s="205">
        <f t="shared" ref="DB97:DY97" si="122">IF(AND($D97&lt;=DB96,$E97&gt;=DB96),(($G97*$C97)/12),0)</f>
        <v>0</v>
      </c>
      <c r="DC97" s="204">
        <f t="shared" si="122"/>
        <v>0</v>
      </c>
      <c r="DD97" s="204">
        <f t="shared" si="122"/>
        <v>0</v>
      </c>
      <c r="DE97" s="204">
        <f t="shared" si="122"/>
        <v>0</v>
      </c>
      <c r="DF97" s="204">
        <f t="shared" si="122"/>
        <v>0</v>
      </c>
      <c r="DG97" s="204">
        <f t="shared" si="122"/>
        <v>0</v>
      </c>
      <c r="DH97" s="204">
        <f t="shared" si="122"/>
        <v>0</v>
      </c>
      <c r="DI97" s="204">
        <f t="shared" si="122"/>
        <v>0</v>
      </c>
      <c r="DJ97" s="204">
        <f t="shared" si="122"/>
        <v>0</v>
      </c>
      <c r="DK97" s="204">
        <f t="shared" si="122"/>
        <v>0</v>
      </c>
      <c r="DL97" s="204">
        <f t="shared" si="122"/>
        <v>0</v>
      </c>
      <c r="DM97" s="206">
        <f t="shared" si="122"/>
        <v>0</v>
      </c>
      <c r="DN97" s="185">
        <f t="shared" si="122"/>
        <v>0</v>
      </c>
      <c r="DO97" s="185">
        <f t="shared" si="122"/>
        <v>931.875</v>
      </c>
      <c r="DP97" s="185">
        <f t="shared" si="122"/>
        <v>931.875</v>
      </c>
      <c r="DQ97" s="185">
        <f t="shared" si="122"/>
        <v>931.875</v>
      </c>
      <c r="DR97" s="185">
        <f t="shared" si="122"/>
        <v>931.875</v>
      </c>
      <c r="DS97" s="185">
        <f t="shared" si="122"/>
        <v>931.875</v>
      </c>
      <c r="DT97" s="185">
        <f t="shared" si="122"/>
        <v>931.875</v>
      </c>
      <c r="DU97" s="185">
        <f t="shared" si="122"/>
        <v>931.875</v>
      </c>
      <c r="DV97" s="185">
        <f t="shared" si="122"/>
        <v>931.875</v>
      </c>
      <c r="DW97" s="185">
        <f t="shared" si="122"/>
        <v>931.875</v>
      </c>
      <c r="DX97" s="185">
        <f t="shared" si="122"/>
        <v>931.875</v>
      </c>
      <c r="DY97" s="185">
        <f t="shared" si="122"/>
        <v>931.875</v>
      </c>
    </row>
    <row r="98" spans="1:129" x14ac:dyDescent="0.35">
      <c r="B98" s="34" t="str">
        <f t="shared" si="121"/>
        <v/>
      </c>
      <c r="C98" s="209"/>
      <c r="D98" s="229"/>
      <c r="E98" s="218"/>
      <c r="F98" s="188">
        <f t="shared" ref="F98:F111" si="123">IFERROR(ROUNDUP(((DATEDIF(D98,E98,"d"))/365),1),0)</f>
        <v>0</v>
      </c>
      <c r="G98" s="219"/>
      <c r="H98" s="527">
        <f t="shared" ref="H98:H111" si="124">(C98*G98)/12</f>
        <v>0</v>
      </c>
      <c r="I98" s="219"/>
      <c r="J98" s="230"/>
      <c r="K98" s="186"/>
      <c r="L98" s="188">
        <v>205</v>
      </c>
      <c r="M98" s="34" t="s">
        <v>421</v>
      </c>
      <c r="N98" s="209">
        <v>639</v>
      </c>
      <c r="O98" s="229">
        <v>45992</v>
      </c>
      <c r="P98" s="218"/>
      <c r="Q98" s="188">
        <f t="shared" ref="Q98:Q111" si="125">IFERROR(ROUNDUP(((DATEDIF(O98,P98,"d"))/365),1),0)</f>
        <v>0</v>
      </c>
      <c r="R98" s="219"/>
      <c r="S98" s="527">
        <f t="shared" ref="S98:S111" si="126">(N98*R98)/12</f>
        <v>0</v>
      </c>
      <c r="T98" s="219"/>
      <c r="U98" s="230"/>
      <c r="W98" s="184" t="s">
        <v>434</v>
      </c>
      <c r="X98" s="205" cm="1">
        <f t="array" ref="X98">((SUMPRODUCT(($D$97:$D$111&lt;=X$8) * ($E$97:$E$111&gt;=X$8) * ($G$97:$G$111 * $C$97:$C$111)))+(SUMPRODUCT(($O$97:$O$111&lt;=X$8) * ($P$97:$P$111&gt;=X$8) * ($R$97:$R$111 * $N$97:$N$111))))/12</f>
        <v>0</v>
      </c>
      <c r="Y98" s="185" cm="1">
        <f t="array" ref="Y98">((SUMPRODUCT(($D$97:$D$111&lt;=Y$8) * ($E$97:$E$111&gt;=Y$8) * ($G$97:$G$111 * $C$97:$C$111)))+(SUMPRODUCT(($O$97:$O$111&lt;=Y$8) * ($P$97:$P$111&gt;=Y$8) * ($R$97:$R$111 * $N$97:$N$111))))/12</f>
        <v>0</v>
      </c>
      <c r="Z98" s="185" cm="1">
        <f t="array" ref="Z98">((SUMPRODUCT(($D$97:$D$111&lt;=Z$8) * ($E$97:$E$111&gt;=Z$8) * ($G$97:$G$111 * $C$97:$C$111)))+(SUMPRODUCT(($O$97:$O$111&lt;=Z$8) * ($P$97:$P$111&gt;=Z$8) * ($R$97:$R$111 * $N$97:$N$111))))/12</f>
        <v>0</v>
      </c>
      <c r="AA98" s="185" cm="1">
        <f t="array" ref="AA98">((SUMPRODUCT(($D$97:$D$111&lt;=AA$8) * ($E$97:$E$111&gt;=AA$8) * ($G$97:$G$111 * $C$97:$C$111)))+(SUMPRODUCT(($O$97:$O$111&lt;=AA$8) * ($P$97:$P$111&gt;=AA$8) * ($R$97:$R$111 * $N$97:$N$111))))/12</f>
        <v>0</v>
      </c>
      <c r="AB98" s="185" cm="1">
        <f t="array" ref="AB98">((SUMPRODUCT(($D$97:$D$111&lt;=AB$8) * ($E$97:$E$111&gt;=AB$8) * ($G$97:$G$111 * $C$97:$C$111)))+(SUMPRODUCT(($O$97:$O$111&lt;=AB$8) * ($P$97:$P$111&gt;=AB$8) * ($R$97:$R$111 * $N$97:$N$111))))/12</f>
        <v>0</v>
      </c>
      <c r="AC98" s="185" cm="1">
        <f t="array" ref="AC98">((SUMPRODUCT(($D$97:$D$111&lt;=AC$8) * ($E$97:$E$111&gt;=AC$8) * ($G$97:$G$111 * $C$97:$C$111)))+(SUMPRODUCT(($O$97:$O$111&lt;=AC$8) * ($P$97:$P$111&gt;=AC$8) * ($R$97:$R$111 * $N$97:$N$111))))/12</f>
        <v>0</v>
      </c>
      <c r="AD98" s="185" cm="1">
        <f t="array" ref="AD98">((SUMPRODUCT(($D$97:$D$111&lt;=AD$8) * ($E$97:$E$111&gt;=AD$8) * ($G$97:$G$111 * $C$97:$C$111)))+(SUMPRODUCT(($O$97:$O$111&lt;=AD$8) * ($P$97:$P$111&gt;=AD$8) * ($R$97:$R$111 * $N$97:$N$111))))/12</f>
        <v>0</v>
      </c>
      <c r="AE98" s="185" cm="1">
        <f t="array" ref="AE98">((SUMPRODUCT(($D$97:$D$111&lt;=AE$8) * ($E$97:$E$111&gt;=AE$8) * ($G$97:$G$111 * $C$97:$C$111)))+(SUMPRODUCT(($O$97:$O$111&lt;=AE$8) * ($P$97:$P$111&gt;=AE$8) * ($R$97:$R$111 * $N$97:$N$111))))/12</f>
        <v>0</v>
      </c>
      <c r="AF98" s="185" cm="1">
        <f t="array" ref="AF98">((SUMPRODUCT(($D$97:$D$111&lt;=AF$8) * ($E$97:$E$111&gt;=AF$8) * ($G$97:$G$111 * $C$97:$C$111)))+(SUMPRODUCT(($O$97:$O$111&lt;=AF$8) * ($P$97:$P$111&gt;=AF$8) * ($R$97:$R$111 * $N$97:$N$111))))/12</f>
        <v>733.83333333333337</v>
      </c>
      <c r="AG98" s="185" cm="1">
        <f t="array" ref="AG98">((SUMPRODUCT(($D$97:$D$111&lt;=AG$8) * ($E$97:$E$111&gt;=AG$8) * ($G$97:$G$111 * $C$97:$C$111)))+(SUMPRODUCT(($O$97:$O$111&lt;=AG$8) * ($P$97:$P$111&gt;=AG$8) * ($R$97:$R$111 * $N$97:$N$111))))/12</f>
        <v>733.83333333333337</v>
      </c>
      <c r="AH98" s="185" cm="1">
        <f t="array" ref="AH98">((SUMPRODUCT(($D$97:$D$111&lt;=AH$8) * ($E$97:$E$111&gt;=AH$8) * ($G$97:$G$111 * $C$97:$C$111)))+(SUMPRODUCT(($O$97:$O$111&lt;=AH$8) * ($P$97:$P$111&gt;=AH$8) * ($R$97:$R$111 * $N$97:$N$111))))/12</f>
        <v>733.83333333333337</v>
      </c>
      <c r="AI98" s="185" cm="1">
        <f t="array" ref="AI98">((SUMPRODUCT(($D$97:$D$111&lt;=AI$8) * ($E$97:$E$111&gt;=AI$8) * ($G$97:$G$111 * $C$97:$C$111)))+(SUMPRODUCT(($O$97:$O$111&lt;=AI$8) * ($P$97:$P$111&gt;=AI$8) * ($R$97:$R$111 * $N$97:$N$111))))/12</f>
        <v>733.83333333333337</v>
      </c>
      <c r="AJ98" s="205" cm="1">
        <f t="array" ref="AJ98">((SUMPRODUCT(($D$97:$D$111&lt;=AJ$8) * ($E$97:$E$111&gt;=AJ$8) * ($G$97:$G$111 * $C$97:$C$111)))+(SUMPRODUCT(($O$97:$O$111&lt;=AJ$8) * ($P$97:$P$111&gt;=AJ$8) * ($R$97:$R$111 * $N$97:$N$111))))/12</f>
        <v>733.83333333333337</v>
      </c>
      <c r="AK98" s="185" cm="1">
        <f t="array" ref="AK98">((SUMPRODUCT(($D$97:$D$111&lt;=AK$8) * ($E$97:$E$111&gt;=AK$8) * ($G$97:$G$111 * $C$97:$C$111)))+(SUMPRODUCT(($O$97:$O$111&lt;=AK$8) * ($P$97:$P$111&gt;=AK$8) * ($R$97:$R$111 * $N$97:$N$111))))/12</f>
        <v>4033.2708333333335</v>
      </c>
      <c r="AL98" s="185" cm="1">
        <f t="array" ref="AL98">((SUMPRODUCT(($D$97:$D$111&lt;=AL$8) * ($E$97:$E$111&gt;=AL$8) * ($G$97:$G$111 * $C$97:$C$111)))+(SUMPRODUCT(($O$97:$O$111&lt;=AL$8) * ($P$97:$P$111&gt;=AL$8) * ($R$97:$R$111 * $N$97:$N$111))))/12</f>
        <v>4033.2708333333335</v>
      </c>
      <c r="AM98" s="185" cm="1">
        <f t="array" ref="AM98">((SUMPRODUCT(($D$97:$D$111&lt;=AM$8) * ($E$97:$E$111&gt;=AM$8) * ($G$97:$G$111 * $C$97:$C$111)))+(SUMPRODUCT(($O$97:$O$111&lt;=AM$8) * ($P$97:$P$111&gt;=AM$8) * ($R$97:$R$111 * $N$97:$N$111))))/12</f>
        <v>4033.2708333333335</v>
      </c>
      <c r="AN98" s="185" cm="1">
        <f t="array" ref="AN98">((SUMPRODUCT(($D$97:$D$111&lt;=AN$8) * ($E$97:$E$111&gt;=AN$8) * ($G$97:$G$111 * $C$97:$C$111)))+(SUMPRODUCT(($O$97:$O$111&lt;=AN$8) * ($P$97:$P$111&gt;=AN$8) * ($R$97:$R$111 * $N$97:$N$111))))/12</f>
        <v>4033.2708333333335</v>
      </c>
      <c r="AO98" s="185" cm="1">
        <f t="array" ref="AO98">((SUMPRODUCT(($D$97:$D$111&lt;=AO$8) * ($E$97:$E$111&gt;=AO$8) * ($G$97:$G$111 * $C$97:$C$111)))+(SUMPRODUCT(($O$97:$O$111&lt;=AO$8) * ($P$97:$P$111&gt;=AO$8) * ($R$97:$R$111 * $N$97:$N$111))))/12</f>
        <v>4033.2708333333335</v>
      </c>
      <c r="AP98" s="185" cm="1">
        <f t="array" ref="AP98">((SUMPRODUCT(($D$97:$D$111&lt;=AP$8) * ($E$97:$E$111&gt;=AP$8) * ($G$97:$G$111 * $C$97:$C$111)))+(SUMPRODUCT(($O$97:$O$111&lt;=AP$8) * ($P$97:$P$111&gt;=AP$8) * ($R$97:$R$111 * $N$97:$N$111))))/12</f>
        <v>4033.2708333333335</v>
      </c>
      <c r="AQ98" s="185" cm="1">
        <f t="array" ref="AQ98">((SUMPRODUCT(($D$97:$D$111&lt;=AQ$8) * ($E$97:$E$111&gt;=AQ$8) * ($G$97:$G$111 * $C$97:$C$111)))+(SUMPRODUCT(($O$97:$O$111&lt;=AQ$8) * ($P$97:$P$111&gt;=AQ$8) * ($R$97:$R$111 * $N$97:$N$111))))/12</f>
        <v>4033.2708333333335</v>
      </c>
      <c r="AR98" s="185" cm="1">
        <f t="array" ref="AR98">((SUMPRODUCT(($D$97:$D$111&lt;=AR$8) * ($E$97:$E$111&gt;=AR$8) * ($G$97:$G$111 * $C$97:$C$111)))+(SUMPRODUCT(($O$97:$O$111&lt;=AR$8) * ($P$97:$P$111&gt;=AR$8) * ($R$97:$R$111 * $N$97:$N$111))))/12</f>
        <v>3299.4375</v>
      </c>
      <c r="AS98" s="185" cm="1">
        <f t="array" ref="AS98">((SUMPRODUCT(($D$97:$D$111&lt;=AS$8) * ($E$97:$E$111&gt;=AS$8) * ($G$97:$G$111 * $C$97:$C$111)))+(SUMPRODUCT(($O$97:$O$111&lt;=AS$8) * ($P$97:$P$111&gt;=AS$8) * ($R$97:$R$111 * $N$97:$N$111))))/12</f>
        <v>3299.4375</v>
      </c>
      <c r="AT98" s="185" cm="1">
        <f t="array" ref="AT98">((SUMPRODUCT(($D$97:$D$111&lt;=AT$8) * ($E$97:$E$111&gt;=AT$8) * ($G$97:$G$111 * $C$97:$C$111)))+(SUMPRODUCT(($O$97:$O$111&lt;=AT$8) * ($P$97:$P$111&gt;=AT$8) * ($R$97:$R$111 * $N$97:$N$111))))/12</f>
        <v>3299.4375</v>
      </c>
      <c r="AU98" s="185" cm="1">
        <f t="array" ref="AU98">((SUMPRODUCT(($D$97:$D$111&lt;=AU$8) * ($E$97:$E$111&gt;=AU$8) * ($G$97:$G$111 * $C$97:$C$111)))+(SUMPRODUCT(($O$97:$O$111&lt;=AU$8) * ($P$97:$P$111&gt;=AU$8) * ($R$97:$R$111 * $N$97:$N$111))))/12</f>
        <v>3299.4375</v>
      </c>
      <c r="AV98" s="274">
        <f>SUM(AJ98:AU98)</f>
        <v>42164.479166666664</v>
      </c>
      <c r="DB98" s="205">
        <f t="shared" ref="DB98:DK111" si="127">IF(AND($D98&lt;=DB$8,$E98&gt;=DB$8),(($G98*$C98)/12),0)</f>
        <v>0</v>
      </c>
      <c r="DC98" s="204">
        <f t="shared" si="127"/>
        <v>0</v>
      </c>
      <c r="DD98" s="204">
        <f t="shared" si="127"/>
        <v>0</v>
      </c>
      <c r="DE98" s="204">
        <f t="shared" si="127"/>
        <v>0</v>
      </c>
      <c r="DF98" s="204">
        <f t="shared" si="127"/>
        <v>0</v>
      </c>
      <c r="DG98" s="204">
        <f t="shared" si="127"/>
        <v>0</v>
      </c>
      <c r="DH98" s="204">
        <f t="shared" si="127"/>
        <v>0</v>
      </c>
      <c r="DI98" s="204">
        <f t="shared" si="127"/>
        <v>0</v>
      </c>
      <c r="DJ98" s="204">
        <f t="shared" si="127"/>
        <v>0</v>
      </c>
      <c r="DK98" s="204">
        <f t="shared" si="127"/>
        <v>0</v>
      </c>
      <c r="DL98" s="204">
        <f t="shared" ref="DL98:DY111" si="128">IF(AND($D98&lt;=DL$8,$E98&gt;=DL$8),(($G98*$C98)/12),0)</f>
        <v>0</v>
      </c>
      <c r="DM98" s="206">
        <f t="shared" si="128"/>
        <v>0</v>
      </c>
      <c r="DN98" s="185">
        <f t="shared" si="128"/>
        <v>0</v>
      </c>
      <c r="DO98" s="185">
        <f t="shared" si="128"/>
        <v>0</v>
      </c>
      <c r="DP98" s="185">
        <f t="shared" si="128"/>
        <v>0</v>
      </c>
      <c r="DQ98" s="185">
        <f t="shared" si="128"/>
        <v>0</v>
      </c>
      <c r="DR98" s="185">
        <f t="shared" si="128"/>
        <v>0</v>
      </c>
      <c r="DS98" s="185">
        <f t="shared" si="128"/>
        <v>0</v>
      </c>
      <c r="DT98" s="185">
        <f t="shared" si="128"/>
        <v>0</v>
      </c>
      <c r="DU98" s="185">
        <f t="shared" si="128"/>
        <v>0</v>
      </c>
      <c r="DV98" s="185">
        <f t="shared" si="128"/>
        <v>0</v>
      </c>
      <c r="DW98" s="185">
        <f t="shared" si="128"/>
        <v>0</v>
      </c>
      <c r="DX98" s="185">
        <f t="shared" si="128"/>
        <v>0</v>
      </c>
      <c r="DY98" s="185">
        <f t="shared" si="128"/>
        <v>0</v>
      </c>
    </row>
    <row r="99" spans="1:129" x14ac:dyDescent="0.35">
      <c r="B99" s="34" t="str">
        <f t="shared" si="121"/>
        <v/>
      </c>
      <c r="C99" s="209"/>
      <c r="D99" s="229"/>
      <c r="E99" s="218"/>
      <c r="F99" s="188">
        <f t="shared" si="123"/>
        <v>0</v>
      </c>
      <c r="G99" s="219"/>
      <c r="H99" s="527">
        <f t="shared" si="124"/>
        <v>0</v>
      </c>
      <c r="I99" s="219"/>
      <c r="J99" s="230"/>
      <c r="K99" s="186"/>
      <c r="L99" s="188">
        <v>204</v>
      </c>
      <c r="M99" s="34" t="s">
        <v>455</v>
      </c>
      <c r="N99" s="209">
        <v>1863</v>
      </c>
      <c r="O99" s="229">
        <v>46054</v>
      </c>
      <c r="P99" s="218">
        <v>46418</v>
      </c>
      <c r="Q99" s="188">
        <f t="shared" si="125"/>
        <v>1</v>
      </c>
      <c r="R99" s="219">
        <v>15.25</v>
      </c>
      <c r="S99" s="527">
        <f t="shared" si="126"/>
        <v>2367.5625</v>
      </c>
      <c r="T99" s="219">
        <v>0</v>
      </c>
      <c r="U99" s="230">
        <v>0</v>
      </c>
      <c r="W99" s="184" t="s">
        <v>431</v>
      </c>
      <c r="X99" s="205" cm="1">
        <f t="array" ref="X99">(SUMPRODUCT((TEXT($O97:$O111,"yyyymm")=TEXT(X$96,"yyyymm")) * ($T97:$T111 * $N97:$N111)))+(SUMPRODUCT((TEXT($D97:$D111,"yyyymm")=TEXT(X$96,"yyyymm")) * ($I97:$I111 * $C97:$C111)))</f>
        <v>0</v>
      </c>
      <c r="Y99" s="185" cm="1">
        <f t="array" ref="Y99">(SUMPRODUCT((TEXT($O97:$O111,"yyyymm")=TEXT(Y$96,"yyyymm")) * ($T97:$T111 * $N97:$N111)))+(SUMPRODUCT((TEXT($D97:$D111,"yyyymm")=TEXT(Y$96,"yyyymm")) * ($I97:$I111 * $C97:$C111)))</f>
        <v>0</v>
      </c>
      <c r="Z99" s="185" cm="1">
        <f t="array" ref="Z99">(SUMPRODUCT((TEXT($O97:$O111,"yyyymm")=TEXT(Z$96,"yyyymm")) * ($T97:$T111 * $N97:$N111)))+(SUMPRODUCT((TEXT($D97:$D111,"yyyymm")=TEXT(Z$96,"yyyymm")) * ($I97:$I111 * $C97:$C111)))</f>
        <v>0</v>
      </c>
      <c r="AA99" s="185" cm="1">
        <f t="array" ref="AA99">(SUMPRODUCT((TEXT($O97:$O111,"yyyymm")=TEXT(AA$96,"yyyymm")) * ($T97:$T111 * $N97:$N111)))+(SUMPRODUCT((TEXT($D97:$D111,"yyyymm")=TEXT(AA$96,"yyyymm")) * ($I97:$I111 * $C97:$C111)))</f>
        <v>0</v>
      </c>
      <c r="AB99" s="185" cm="1">
        <f t="array" ref="AB99">(SUMPRODUCT((TEXT($O97:$O111,"yyyymm")=TEXT(AB$96,"yyyymm")) * ($T97:$T111 * $N97:$N111)))+(SUMPRODUCT((TEXT($D97:$D111,"yyyymm")=TEXT(AB$96,"yyyymm")) * ($I97:$I111 * $C97:$C111)))</f>
        <v>0</v>
      </c>
      <c r="AC99" s="185" cm="1">
        <f t="array" ref="AC99">(SUMPRODUCT((TEXT($O97:$O111,"yyyymm")=TEXT(AC$96,"yyyymm")) * ($T97:$T111 * $N97:$N111)))+(SUMPRODUCT((TEXT($D97:$D111,"yyyymm")=TEXT(AC$96,"yyyymm")) * ($I97:$I111 * $C97:$C111)))</f>
        <v>0</v>
      </c>
      <c r="AD99" s="185" cm="1">
        <f t="array" ref="AD99">(SUMPRODUCT((TEXT($O97:$O111,"yyyymm")=TEXT(AD$96,"yyyymm")) * ($T97:$T111 * $N97:$N111)))+(SUMPRODUCT((TEXT($D97:$D111,"yyyymm")=TEXT(AD$96,"yyyymm")) * ($I97:$I111 * $C97:$C111)))</f>
        <v>0</v>
      </c>
      <c r="AE99" s="185" cm="1">
        <f t="array" ref="AE99">(SUMPRODUCT((TEXT($O97:$O111,"yyyymm")=TEXT(AE$96,"yyyymm")) * ($T97:$T111 * $N97:$N111)))+(SUMPRODUCT((TEXT($D97:$D111,"yyyymm")=TEXT(AE$96,"yyyymm")) * ($I97:$I111 * $C97:$C111)))</f>
        <v>0</v>
      </c>
      <c r="AF99" s="185" cm="1">
        <f t="array" ref="AF99">(SUMPRODUCT((TEXT($O97:$O111,"yyyymm")=TEXT(AF$96,"yyyymm")) * ($T97:$T111 * $N97:$N111)))+(SUMPRODUCT((TEXT($D97:$D111,"yyyymm")=TEXT(AF$96,"yyyymm")) * ($I97:$I111 * $C97:$C111)))</f>
        <v>0</v>
      </c>
      <c r="AG99" s="185" cm="1">
        <f t="array" ref="AG99">(SUMPRODUCT((TEXT($O97:$O111,"yyyymm")=TEXT(AG$96,"yyyymm")) * ($T97:$T111 * $N97:$N111)))+(SUMPRODUCT((TEXT($D97:$D111,"yyyymm")=TEXT(AG$96,"yyyymm")) * ($I97:$I111 * $C97:$C111)))</f>
        <v>0</v>
      </c>
      <c r="AH99" s="185" cm="1">
        <f t="array" ref="AH99">(SUMPRODUCT((TEXT($O97:$O111,"yyyymm")=TEXT(AH$96,"yyyymm")) * ($T97:$T111 * $N97:$N111)))+(SUMPRODUCT((TEXT($D97:$D111,"yyyymm")=TEXT(AH$96,"yyyymm")) * ($I97:$I111 * $C97:$C111)))</f>
        <v>0</v>
      </c>
      <c r="AI99" s="185" cm="1">
        <f t="array" ref="AI99">(SUMPRODUCT((TEXT($O97:$O111,"yyyymm")=TEXT(AI$96,"yyyymm")) * ($T97:$T111 * $N97:$N111)))+(SUMPRODUCT((TEXT($D97:$D111,"yyyymm")=TEXT(AI$96,"yyyymm")) * ($I97:$I111 * $C97:$C111)))</f>
        <v>0</v>
      </c>
      <c r="AJ99" s="205" cm="1">
        <f t="array" ref="AJ99">(SUMPRODUCT((TEXT($O97:$O111,"yyyymm")=TEXT(AJ$96,"yyyymm")) * ($T97:$T111 * $N97:$N111)))+(SUMPRODUCT((TEXT($D97:$D111,"yyyymm")=TEXT(AJ$96,"yyyymm")) * ($I97:$I111 * $C97:$C111)))</f>
        <v>0</v>
      </c>
      <c r="AK99" s="185" cm="1">
        <f t="array" ref="AK99">(SUMPRODUCT((TEXT($O97:$O111,"yyyymm")=TEXT(AK$96,"yyyymm")) * ($T97:$T111 * $N97:$N111)))+(SUMPRODUCT((TEXT($D97:$D111,"yyyymm")=TEXT(AK$96,"yyyymm")) * ($I97:$I111 * $C97:$C111)))</f>
        <v>639</v>
      </c>
      <c r="AL99" s="185" cm="1">
        <f t="array" ref="AL99">(SUMPRODUCT((TEXT($O97:$O111,"yyyymm")=TEXT(AL$96,"yyyymm")) * ($T97:$T111 * $N97:$N111)))+(SUMPRODUCT((TEXT($D97:$D111,"yyyymm")=TEXT(AL$96,"yyyymm")) * ($I97:$I111 * $C97:$C111)))</f>
        <v>0</v>
      </c>
      <c r="AM99" s="185" cm="1">
        <f t="array" ref="AM99">(SUMPRODUCT((TEXT($O97:$O111,"yyyymm")=TEXT(AM$96,"yyyymm")) * ($T97:$T111 * $N97:$N111)))+(SUMPRODUCT((TEXT($D97:$D111,"yyyymm")=TEXT(AM$96,"yyyymm")) * ($I97:$I111 * $C97:$C111)))</f>
        <v>0</v>
      </c>
      <c r="AN99" s="185" cm="1">
        <f t="array" ref="AN99">(SUMPRODUCT((TEXT($O97:$O111,"yyyymm")=TEXT(AN$96,"yyyymm")) * ($T97:$T111 * $N97:$N111)))+(SUMPRODUCT((TEXT($D97:$D111,"yyyymm")=TEXT(AN$96,"yyyymm")) * ($I97:$I111 * $C97:$C111)))</f>
        <v>0</v>
      </c>
      <c r="AO99" s="185" cm="1">
        <f t="array" ref="AO99">(SUMPRODUCT((TEXT($O97:$O111,"yyyymm")=TEXT(AO$96,"yyyymm")) * ($T97:$T111 * $N97:$N111)))+(SUMPRODUCT((TEXT($D97:$D111,"yyyymm")=TEXT(AO$96,"yyyymm")) * ($I97:$I111 * $C97:$C111)))</f>
        <v>0</v>
      </c>
      <c r="AP99" s="185" cm="1">
        <f t="array" ref="AP99">(SUMPRODUCT((TEXT($O97:$O111,"yyyymm")=TEXT(AP$96,"yyyymm")) * ($T97:$T111 * $N97:$N111)))+(SUMPRODUCT((TEXT($D97:$D111,"yyyymm")=TEXT(AP$96,"yyyymm")) * ($I97:$I111 * $C97:$C111)))</f>
        <v>0</v>
      </c>
      <c r="AQ99" s="185" cm="1">
        <f t="array" ref="AQ99">(SUMPRODUCT((TEXT($O97:$O111,"yyyymm")=TEXT(AQ$96,"yyyymm")) * ($T97:$T111 * $N97:$N111)))+(SUMPRODUCT((TEXT($D97:$D111,"yyyymm")=TEXT(AQ$96,"yyyymm")) * ($I97:$I111 * $C97:$C111)))</f>
        <v>0</v>
      </c>
      <c r="AR99" s="185" cm="1">
        <f t="array" ref="AR99">(SUMPRODUCT((TEXT($O97:$O111,"yyyymm")=TEXT(AR$96,"yyyymm")) * ($T97:$T111 * $N97:$N111)))+(SUMPRODUCT((TEXT($D97:$D111,"yyyymm")=TEXT(AR$96,"yyyymm")) * ($I97:$I111 * $C97:$C111)))</f>
        <v>0</v>
      </c>
      <c r="AS99" s="185" cm="1">
        <f t="array" ref="AS99">(SUMPRODUCT((TEXT($O97:$O111,"yyyymm")=TEXT(AS$96,"yyyymm")) * ($T97:$T111 * $N97:$N111)))+(SUMPRODUCT((TEXT($D97:$D111,"yyyymm")=TEXT(AS$96,"yyyymm")) * ($I97:$I111 * $C97:$C111)))</f>
        <v>0</v>
      </c>
      <c r="AT99" s="185" cm="1">
        <f t="array" ref="AT99">(SUMPRODUCT((TEXT($O97:$O111,"yyyymm")=TEXT(AT$96,"yyyymm")) * ($T97:$T111 * $N97:$N111)))+(SUMPRODUCT((TEXT($D97:$D111,"yyyymm")=TEXT(AT$96,"yyyymm")) * ($I97:$I111 * $C97:$C111)))</f>
        <v>0</v>
      </c>
      <c r="AU99" s="185" cm="1">
        <f t="array" ref="AU99">(SUMPRODUCT((TEXT($O97:$O111,"yyyymm")=TEXT(AU$96,"yyyymm")) * ($T97:$T111 * $N97:$N111)))+(SUMPRODUCT((TEXT($D97:$D111,"yyyymm")=TEXT(AU$96,"yyyymm")) * ($I97:$I111 * $C97:$C111)))</f>
        <v>0</v>
      </c>
      <c r="AV99" s="274">
        <f t="shared" ref="AV99:AV100" si="129">SUM(AJ99:AU99)</f>
        <v>639</v>
      </c>
      <c r="DB99" s="205">
        <f t="shared" si="127"/>
        <v>0</v>
      </c>
      <c r="DC99" s="204">
        <f t="shared" si="127"/>
        <v>0</v>
      </c>
      <c r="DD99" s="204">
        <f t="shared" si="127"/>
        <v>0</v>
      </c>
      <c r="DE99" s="204">
        <f t="shared" si="127"/>
        <v>0</v>
      </c>
      <c r="DF99" s="204">
        <f t="shared" si="127"/>
        <v>0</v>
      </c>
      <c r="DG99" s="204">
        <f t="shared" si="127"/>
        <v>0</v>
      </c>
      <c r="DH99" s="204">
        <f t="shared" si="127"/>
        <v>0</v>
      </c>
      <c r="DI99" s="204">
        <f t="shared" si="127"/>
        <v>0</v>
      </c>
      <c r="DJ99" s="204">
        <f t="shared" si="127"/>
        <v>0</v>
      </c>
      <c r="DK99" s="204">
        <f t="shared" si="127"/>
        <v>0</v>
      </c>
      <c r="DL99" s="204">
        <f t="shared" si="128"/>
        <v>0</v>
      </c>
      <c r="DM99" s="206">
        <f t="shared" si="128"/>
        <v>0</v>
      </c>
      <c r="DN99" s="185">
        <f t="shared" si="128"/>
        <v>0</v>
      </c>
      <c r="DO99" s="185">
        <f t="shared" si="128"/>
        <v>0</v>
      </c>
      <c r="DP99" s="185">
        <f t="shared" si="128"/>
        <v>0</v>
      </c>
      <c r="DQ99" s="185">
        <f t="shared" si="128"/>
        <v>0</v>
      </c>
      <c r="DR99" s="185">
        <f t="shared" si="128"/>
        <v>0</v>
      </c>
      <c r="DS99" s="185">
        <f t="shared" si="128"/>
        <v>0</v>
      </c>
      <c r="DT99" s="185">
        <f t="shared" si="128"/>
        <v>0</v>
      </c>
      <c r="DU99" s="185">
        <f t="shared" si="128"/>
        <v>0</v>
      </c>
      <c r="DV99" s="185">
        <f t="shared" si="128"/>
        <v>0</v>
      </c>
      <c r="DW99" s="185">
        <f t="shared" si="128"/>
        <v>0</v>
      </c>
      <c r="DX99" s="185">
        <f t="shared" si="128"/>
        <v>0</v>
      </c>
      <c r="DY99" s="185">
        <f t="shared" si="128"/>
        <v>0</v>
      </c>
    </row>
    <row r="100" spans="1:129" x14ac:dyDescent="0.35">
      <c r="B100" s="34" t="str">
        <f t="shared" si="121"/>
        <v/>
      </c>
      <c r="C100" s="209"/>
      <c r="D100" s="229"/>
      <c r="E100" s="220"/>
      <c r="F100" s="188">
        <f t="shared" si="123"/>
        <v>0</v>
      </c>
      <c r="G100" s="221"/>
      <c r="H100" s="527">
        <f t="shared" si="124"/>
        <v>0</v>
      </c>
      <c r="I100" s="219"/>
      <c r="J100" s="230"/>
      <c r="K100" s="186"/>
      <c r="L100" s="188"/>
      <c r="M100" s="34"/>
      <c r="N100" s="209"/>
      <c r="O100" s="229"/>
      <c r="P100" s="220"/>
      <c r="Q100" s="188">
        <f t="shared" si="125"/>
        <v>0</v>
      </c>
      <c r="R100" s="221"/>
      <c r="S100" s="527">
        <f t="shared" si="126"/>
        <v>0</v>
      </c>
      <c r="T100" s="219"/>
      <c r="U100" s="230"/>
      <c r="W100" s="184" t="s">
        <v>435</v>
      </c>
      <c r="X100" s="205" cm="1">
        <f t="array" ref="X100">IFERROR((SUMPRODUCT((TEXT($O97:$O111,"yyyymm")=TEXT(X$96,"yyyymm")) * ($U97:$U111 * $N97:$N111*$R97:$R111*$Q97:$Q111)))+(SUMPRODUCT((TEXT($D97:$D111,"yyyymm")=TEXT(X$96,"yyyymm")) * ($J97:$J111 * $C97:$C111*$G97:$G111*$F97:$F111))),0)</f>
        <v>0</v>
      </c>
      <c r="Y100" s="185" cm="1">
        <f t="array" ref="Y100">IFERROR((SUMPRODUCT((TEXT($O97:$O111,"yyyymm")=TEXT(Y$96,"yyyymm")) * ($U97:$U111 * $N97:$N111*$R97:$R111*$Q97:$Q111)))+(SUMPRODUCT((TEXT($D97:$D111,"yyyymm")=TEXT(Y$96,"yyyymm")) * ($J97:$J111 * $C97:$C111*$G97:$G111*$F97:$F111))),0)</f>
        <v>0</v>
      </c>
      <c r="Z100" s="185" cm="1">
        <f t="array" ref="Z100">IFERROR((SUMPRODUCT((TEXT($O97:$O111,"yyyymm")=TEXT(Z$96,"yyyymm")) * ($U97:$U111 * $N97:$N111*$R97:$R111*$Q97:$Q111)))+(SUMPRODUCT((TEXT($D97:$D111,"yyyymm")=TEXT(Z$96,"yyyymm")) * ($J97:$J111 * $C97:$C111*$G97:$G111*$F97:$F111))),0)</f>
        <v>0</v>
      </c>
      <c r="AA100" s="185" cm="1">
        <f t="array" ref="AA100">IFERROR((SUMPRODUCT((TEXT($O97:$O111,"yyyymm")=TEXT(AA$96,"yyyymm")) * ($U97:$U111 * $N97:$N111*$R97:$R111*$Q97:$Q111)))+(SUMPRODUCT((TEXT($D97:$D111,"yyyymm")=TEXT(AA$96,"yyyymm")) * ($J97:$J111 * $C97:$C111*$G97:$G111*$F97:$F111))),0)</f>
        <v>0</v>
      </c>
      <c r="AB100" s="185" cm="1">
        <f t="array" ref="AB100">IFERROR((SUMPRODUCT((TEXT($O97:$O111,"yyyymm")=TEXT(AB$96,"yyyymm")) * ($U97:$U111 * $N97:$N111*$R97:$R111*$Q97:$Q111)))+(SUMPRODUCT((TEXT($D97:$D111,"yyyymm")=TEXT(AB$96,"yyyymm")) * ($J97:$J111 * $C97:$C111*$G97:$G111*$F97:$F111))),0)</f>
        <v>0</v>
      </c>
      <c r="AC100" s="185" cm="1">
        <f t="array" ref="AC100">IFERROR((SUMPRODUCT((TEXT($O97:$O111,"yyyymm")=TEXT(AC$96,"yyyymm")) * ($U97:$U111 * $N97:$N111*$R97:$R111*$Q97:$Q111)))+(SUMPRODUCT((TEXT($D97:$D111,"yyyymm")=TEXT(AC$96,"yyyymm")) * ($J97:$J111 * $C97:$C111*$G97:$G111*$F97:$F111))),0)</f>
        <v>0</v>
      </c>
      <c r="AD100" s="185" cm="1">
        <f t="array" ref="AD100">IFERROR((SUMPRODUCT((TEXT($O97:$O111,"yyyymm")=TEXT(AD$96,"yyyymm")) * ($U97:$U111 * $N97:$N111*$R97:$R111*$Q97:$Q111)))+(SUMPRODUCT((TEXT($D97:$D111,"yyyymm")=TEXT(AD$96,"yyyymm")) * ($J97:$J111 * $C97:$C111*$G97:$G111*$F97:$F111))),0)</f>
        <v>0</v>
      </c>
      <c r="AE100" s="185" cm="1">
        <f t="array" ref="AE100">IFERROR((SUMPRODUCT((TEXT($O97:$O111,"yyyymm")=TEXT(AE$96,"yyyymm")) * ($U97:$U111 * $N97:$N111*$R97:$R111*$Q97:$Q111)))+(SUMPRODUCT((TEXT($D97:$D111,"yyyymm")=TEXT(AE$96,"yyyymm")) * ($J97:$J111 * $C97:$C111*$G97:$G111*$F97:$F111))),0)</f>
        <v>0</v>
      </c>
      <c r="AF100" s="185" cm="1">
        <f t="array" ref="AF100">IFERROR((SUMPRODUCT((TEXT($O97:$O111,"yyyymm")=TEXT(AF$96,"yyyymm")) * ($U97:$U111 * $N97:$N111*$R97:$R111*$Q97:$Q111)))+(SUMPRODUCT((TEXT($D97:$D111,"yyyymm")=TEXT(AF$96,"yyyymm")) * ($J97:$J111 * $C97:$C111*$G97:$G111*$F97:$F111))),0)</f>
        <v>0</v>
      </c>
      <c r="AG100" s="185" cm="1">
        <f t="array" ref="AG100">IFERROR((SUMPRODUCT((TEXT($O97:$O111,"yyyymm")=TEXT(AG$96,"yyyymm")) * ($U97:$U111 * $N97:$N111*$R97:$R111*$Q97:$Q111)))+(SUMPRODUCT((TEXT($D97:$D111,"yyyymm")=TEXT(AG$96,"yyyymm")) * ($J97:$J111 * $C97:$C111*$G97:$G111*$F97:$F111))),0)</f>
        <v>0</v>
      </c>
      <c r="AH100" s="185" cm="1">
        <f t="array" ref="AH100">IFERROR((SUMPRODUCT((TEXT($O97:$O111,"yyyymm")=TEXT(AH$96,"yyyymm")) * ($U97:$U111 * $N97:$N111*$R97:$R111*$Q97:$Q111)))+(SUMPRODUCT((TEXT($D97:$D111,"yyyymm")=TEXT(AH$96,"yyyymm")) * ($J97:$J111 * $C97:$C111*$G97:$G111*$F97:$F111))),0)</f>
        <v>0</v>
      </c>
      <c r="AI100" s="185" cm="1">
        <f t="array" ref="AI100">IFERROR((SUMPRODUCT((TEXT($O97:$O111,"yyyymm")=TEXT(AI$96,"yyyymm")) * ($U97:$U111 * $N97:$N111*$R97:$R111*$Q97:$Q111)))+(SUMPRODUCT((TEXT($D97:$D111,"yyyymm")=TEXT(AI$96,"yyyymm")) * ($J97:$J111 * $C97:$C111*$G97:$G111*$F97:$F111))),0)</f>
        <v>0</v>
      </c>
      <c r="AJ100" s="205" cm="1">
        <f t="array" ref="AJ100">IFERROR((SUMPRODUCT((TEXT($O97:$O111,"yyyymm")=TEXT(AJ$96,"yyyymm")) * ($U97:$U111 * $N97:$N111*$R97:$R111*$Q97:$Q111)))+(SUMPRODUCT((TEXT($D97:$D111,"yyyymm")=TEXT(AJ$96,"yyyymm")) * ($J97:$J111 * $C97:$C111*$G97:$G111*$F97:$F111))),0)</f>
        <v>0</v>
      </c>
      <c r="AK100" s="185" cm="1">
        <f t="array" ref="AK100">IFERROR((SUMPRODUCT((TEXT($O97:$O111,"yyyymm")=TEXT(AK$96,"yyyymm")) * ($U97:$U111 * $N97:$N111*$R97:$R111*$Q97:$Q111)))+(SUMPRODUCT((TEXT($D97:$D111,"yyyymm")=TEXT(AK$96,"yyyymm")) * ($J97:$J111 * $C97:$C111*$G97:$G111*$F97:$F111))),0)</f>
        <v>670.94999999999993</v>
      </c>
      <c r="AL100" s="185" cm="1">
        <f t="array" ref="AL100">IFERROR((SUMPRODUCT((TEXT($O97:$O111,"yyyymm")=TEXT(AL$96,"yyyymm")) * ($U97:$U111 * $N97:$N111*$R97:$R111*$Q97:$Q111)))+(SUMPRODUCT((TEXT($D97:$D111,"yyyymm")=TEXT(AL$96,"yyyymm")) * ($J97:$J111 * $C97:$C111*$G97:$G111*$F97:$F111))),0)</f>
        <v>0</v>
      </c>
      <c r="AM100" s="185" cm="1">
        <f t="array" ref="AM100">IFERROR((SUMPRODUCT((TEXT($O97:$O111,"yyyymm")=TEXT(AM$96,"yyyymm")) * ($U97:$U111 * $N97:$N111*$R97:$R111*$Q97:$Q111)))+(SUMPRODUCT((TEXT($D97:$D111,"yyyymm")=TEXT(AM$96,"yyyymm")) * ($J97:$J111 * $C97:$C111*$G97:$G111*$F97:$F111))),0)</f>
        <v>0</v>
      </c>
      <c r="AN100" s="185" cm="1">
        <f t="array" ref="AN100">IFERROR((SUMPRODUCT((TEXT($O97:$O111,"yyyymm")=TEXT(AN$96,"yyyymm")) * ($U97:$U111 * $N97:$N111*$R97:$R111*$Q97:$Q111)))+(SUMPRODUCT((TEXT($D97:$D111,"yyyymm")=TEXT(AN$96,"yyyymm")) * ($J97:$J111 * $C97:$C111*$G97:$G111*$F97:$F111))),0)</f>
        <v>0</v>
      </c>
      <c r="AO100" s="185" cm="1">
        <f t="array" ref="AO100">IFERROR((SUMPRODUCT((TEXT($O97:$O111,"yyyymm")=TEXT(AO$96,"yyyymm")) * ($U97:$U111 * $N97:$N111*$R97:$R111*$Q97:$Q111)))+(SUMPRODUCT((TEXT($D97:$D111,"yyyymm")=TEXT(AO$96,"yyyymm")) * ($J97:$J111 * $C97:$C111*$G97:$G111*$F97:$F111))),0)</f>
        <v>0</v>
      </c>
      <c r="AP100" s="185" cm="1">
        <f t="array" ref="AP100">IFERROR((SUMPRODUCT((TEXT($O97:$O111,"yyyymm")=TEXT(AP$96,"yyyymm")) * ($U97:$U111 * $N97:$N111*$R97:$R111*$Q97:$Q111)))+(SUMPRODUCT((TEXT($D97:$D111,"yyyymm")=TEXT(AP$96,"yyyymm")) * ($J97:$J111 * $C97:$C111*$G97:$G111*$F97:$F111))),0)</f>
        <v>0</v>
      </c>
      <c r="AQ100" s="185" cm="1">
        <f t="array" ref="AQ100">IFERROR((SUMPRODUCT((TEXT($O97:$O111,"yyyymm")=TEXT(AQ$96,"yyyymm")) * ($U97:$U111 * $N97:$N111*$R97:$R111*$Q97:$Q111)))+(SUMPRODUCT((TEXT($D97:$D111,"yyyymm")=TEXT(AQ$96,"yyyymm")) * ($J97:$J111 * $C97:$C111*$G97:$G111*$F97:$F111))),0)</f>
        <v>0</v>
      </c>
      <c r="AR100" s="185" cm="1">
        <f t="array" ref="AR100">IFERROR((SUMPRODUCT((TEXT($O97:$O111,"yyyymm")=TEXT(AR$96,"yyyymm")) * ($U97:$U111 * $N97:$N111*$R97:$R111*$Q97:$Q111)))+(SUMPRODUCT((TEXT($D97:$D111,"yyyymm")=TEXT(AR$96,"yyyymm")) * ($J97:$J111 * $C97:$C111*$G97:$G111*$F97:$F111))),0)</f>
        <v>0</v>
      </c>
      <c r="AS100" s="185" cm="1">
        <f t="array" ref="AS100">IFERROR((SUMPRODUCT((TEXT($O97:$O111,"yyyymm")=TEXT(AS$96,"yyyymm")) * ($U97:$U111 * $N97:$N111*$R97:$R111*$Q97:$Q111)))+(SUMPRODUCT((TEXT($D97:$D111,"yyyymm")=TEXT(AS$96,"yyyymm")) * ($J97:$J111 * $C97:$C111*$G97:$G111*$F97:$F111))),0)</f>
        <v>0</v>
      </c>
      <c r="AT100" s="185" cm="1">
        <f t="array" ref="AT100">IFERROR((SUMPRODUCT((TEXT($O97:$O111,"yyyymm")=TEXT(AT$96,"yyyymm")) * ($U97:$U111 * $N97:$N111*$R97:$R111*$Q97:$Q111)))+(SUMPRODUCT((TEXT($D97:$D111,"yyyymm")=TEXT(AT$96,"yyyymm")) * ($J97:$J111 * $C97:$C111*$G97:$G111*$F97:$F111))),0)</f>
        <v>0</v>
      </c>
      <c r="AU100" s="185" cm="1">
        <f t="array" ref="AU100">IFERROR((SUMPRODUCT((TEXT($O97:$O111,"yyyymm")=TEXT(AU$96,"yyyymm")) * ($U97:$U111 * $N97:$N111*$R97:$R111*$Q97:$Q111)))+(SUMPRODUCT((TEXT($D97:$D111,"yyyymm")=TEXT(AU$96,"yyyymm")) * ($J97:$J111 * $C97:$C111*$G97:$G111*$F97:$F111))),0)</f>
        <v>0</v>
      </c>
      <c r="AV100" s="274">
        <f t="shared" si="129"/>
        <v>670.94999999999993</v>
      </c>
      <c r="DB100" s="205">
        <f t="shared" si="127"/>
        <v>0</v>
      </c>
      <c r="DC100" s="204">
        <f t="shared" si="127"/>
        <v>0</v>
      </c>
      <c r="DD100" s="204">
        <f t="shared" si="127"/>
        <v>0</v>
      </c>
      <c r="DE100" s="204">
        <f t="shared" si="127"/>
        <v>0</v>
      </c>
      <c r="DF100" s="204">
        <f t="shared" si="127"/>
        <v>0</v>
      </c>
      <c r="DG100" s="204">
        <f t="shared" si="127"/>
        <v>0</v>
      </c>
      <c r="DH100" s="204">
        <f t="shared" si="127"/>
        <v>0</v>
      </c>
      <c r="DI100" s="204">
        <f t="shared" si="127"/>
        <v>0</v>
      </c>
      <c r="DJ100" s="204">
        <f t="shared" si="127"/>
        <v>0</v>
      </c>
      <c r="DK100" s="204">
        <f t="shared" si="127"/>
        <v>0</v>
      </c>
      <c r="DL100" s="204">
        <f t="shared" si="128"/>
        <v>0</v>
      </c>
      <c r="DM100" s="206">
        <f t="shared" si="128"/>
        <v>0</v>
      </c>
      <c r="DN100" s="185">
        <f t="shared" si="128"/>
        <v>0</v>
      </c>
      <c r="DO100" s="185">
        <f t="shared" si="128"/>
        <v>0</v>
      </c>
      <c r="DP100" s="185">
        <f t="shared" si="128"/>
        <v>0</v>
      </c>
      <c r="DQ100" s="185">
        <f t="shared" si="128"/>
        <v>0</v>
      </c>
      <c r="DR100" s="185">
        <f t="shared" si="128"/>
        <v>0</v>
      </c>
      <c r="DS100" s="185">
        <f t="shared" si="128"/>
        <v>0</v>
      </c>
      <c r="DT100" s="185">
        <f t="shared" si="128"/>
        <v>0</v>
      </c>
      <c r="DU100" s="185">
        <f t="shared" si="128"/>
        <v>0</v>
      </c>
      <c r="DV100" s="185">
        <f t="shared" si="128"/>
        <v>0</v>
      </c>
      <c r="DW100" s="185">
        <f t="shared" si="128"/>
        <v>0</v>
      </c>
      <c r="DX100" s="185">
        <f t="shared" si="128"/>
        <v>0</v>
      </c>
      <c r="DY100" s="185">
        <f t="shared" si="128"/>
        <v>0</v>
      </c>
    </row>
    <row r="101" spans="1:129" ht="17.5" x14ac:dyDescent="0.35">
      <c r="B101" s="34" t="str">
        <f t="shared" si="121"/>
        <v/>
      </c>
      <c r="C101" s="209"/>
      <c r="D101" s="229"/>
      <c r="E101" s="218"/>
      <c r="F101" s="188">
        <f t="shared" si="123"/>
        <v>0</v>
      </c>
      <c r="G101" s="219"/>
      <c r="H101" s="527">
        <f t="shared" si="124"/>
        <v>0</v>
      </c>
      <c r="I101" s="219"/>
      <c r="J101" s="230"/>
      <c r="K101" s="186"/>
      <c r="L101" s="188"/>
      <c r="M101" s="34"/>
      <c r="N101" s="209"/>
      <c r="O101" s="229"/>
      <c r="P101" s="218"/>
      <c r="Q101" s="188">
        <f t="shared" si="125"/>
        <v>0</v>
      </c>
      <c r="R101" s="219"/>
      <c r="S101" s="527">
        <f t="shared" si="126"/>
        <v>0</v>
      </c>
      <c r="T101" s="219"/>
      <c r="U101" s="230"/>
      <c r="W101" s="250" t="s">
        <v>368</v>
      </c>
      <c r="X101" s="145">
        <f>SUM(X98:X100)</f>
        <v>0</v>
      </c>
      <c r="Y101" s="145">
        <f t="shared" ref="Y101" si="130">SUM(Y98:Y100)</f>
        <v>0</v>
      </c>
      <c r="Z101" s="145">
        <f t="shared" ref="Z101" si="131">SUM(Z98:Z100)</f>
        <v>0</v>
      </c>
      <c r="AA101" s="145">
        <f t="shared" ref="AA101" si="132">SUM(AA98:AA100)</f>
        <v>0</v>
      </c>
      <c r="AB101" s="145">
        <f t="shared" ref="AB101" si="133">SUM(AB98:AB100)</f>
        <v>0</v>
      </c>
      <c r="AC101" s="145">
        <f t="shared" ref="AC101" si="134">SUM(AC98:AC100)</f>
        <v>0</v>
      </c>
      <c r="AD101" s="145">
        <f t="shared" ref="AD101" si="135">SUM(AD98:AD100)</f>
        <v>0</v>
      </c>
      <c r="AE101" s="145">
        <f t="shared" ref="AE101" si="136">SUM(AE98:AE100)</f>
        <v>0</v>
      </c>
      <c r="AF101" s="145">
        <f t="shared" ref="AF101" si="137">SUM(AF98:AF100)</f>
        <v>733.83333333333337</v>
      </c>
      <c r="AG101" s="145">
        <f t="shared" ref="AG101" si="138">SUM(AG98:AG100)</f>
        <v>733.83333333333337</v>
      </c>
      <c r="AH101" s="145">
        <f t="shared" ref="AH101" si="139">SUM(AH98:AH100)</f>
        <v>733.83333333333337</v>
      </c>
      <c r="AI101" s="145">
        <f t="shared" ref="AI101" si="140">SUM(AI98:AI100)</f>
        <v>733.83333333333337</v>
      </c>
      <c r="AJ101" s="145">
        <f t="shared" ref="AJ101" si="141">SUM(AJ98:AJ100)</f>
        <v>733.83333333333337</v>
      </c>
      <c r="AK101" s="145">
        <f t="shared" ref="AK101" si="142">SUM(AK98:AK100)</f>
        <v>5343.2208333333338</v>
      </c>
      <c r="AL101" s="145">
        <f t="shared" ref="AL101" si="143">SUM(AL98:AL100)</f>
        <v>4033.2708333333335</v>
      </c>
      <c r="AM101" s="145">
        <f t="shared" ref="AM101" si="144">SUM(AM98:AM100)</f>
        <v>4033.2708333333335</v>
      </c>
      <c r="AN101" s="145">
        <f t="shared" ref="AN101" si="145">SUM(AN98:AN100)</f>
        <v>4033.2708333333335</v>
      </c>
      <c r="AO101" s="145">
        <f t="shared" ref="AO101" si="146">SUM(AO98:AO100)</f>
        <v>4033.2708333333335</v>
      </c>
      <c r="AP101" s="145">
        <f t="shared" ref="AP101" si="147">SUM(AP98:AP100)</f>
        <v>4033.2708333333335</v>
      </c>
      <c r="AQ101" s="145">
        <f t="shared" ref="AQ101" si="148">SUM(AQ98:AQ100)</f>
        <v>4033.2708333333335</v>
      </c>
      <c r="AR101" s="145">
        <f t="shared" ref="AR101" si="149">SUM(AR98:AR100)</f>
        <v>3299.4375</v>
      </c>
      <c r="AS101" s="145">
        <f t="shared" ref="AS101" si="150">SUM(AS98:AS100)</f>
        <v>3299.4375</v>
      </c>
      <c r="AT101" s="145">
        <f t="shared" ref="AT101" si="151">SUM(AT98:AT100)</f>
        <v>3299.4375</v>
      </c>
      <c r="AU101" s="251">
        <f t="shared" ref="AU101:AV101" si="152">SUM(AU98:AU100)</f>
        <v>3299.4375</v>
      </c>
      <c r="AV101" s="145">
        <f t="shared" si="152"/>
        <v>43474.429166666661</v>
      </c>
      <c r="DB101" s="205">
        <f t="shared" si="127"/>
        <v>0</v>
      </c>
      <c r="DC101" s="204">
        <f t="shared" si="127"/>
        <v>0</v>
      </c>
      <c r="DD101" s="204">
        <f t="shared" si="127"/>
        <v>0</v>
      </c>
      <c r="DE101" s="204">
        <f t="shared" si="127"/>
        <v>0</v>
      </c>
      <c r="DF101" s="204">
        <f t="shared" si="127"/>
        <v>0</v>
      </c>
      <c r="DG101" s="204">
        <f t="shared" si="127"/>
        <v>0</v>
      </c>
      <c r="DH101" s="204">
        <f t="shared" si="127"/>
        <v>0</v>
      </c>
      <c r="DI101" s="204">
        <f t="shared" si="127"/>
        <v>0</v>
      </c>
      <c r="DJ101" s="204">
        <f t="shared" si="127"/>
        <v>0</v>
      </c>
      <c r="DK101" s="204">
        <f t="shared" si="127"/>
        <v>0</v>
      </c>
      <c r="DL101" s="204">
        <f t="shared" si="128"/>
        <v>0</v>
      </c>
      <c r="DM101" s="206">
        <f t="shared" si="128"/>
        <v>0</v>
      </c>
      <c r="DN101" s="185">
        <f t="shared" si="128"/>
        <v>0</v>
      </c>
      <c r="DO101" s="185">
        <f t="shared" si="128"/>
        <v>0</v>
      </c>
      <c r="DP101" s="185">
        <f t="shared" si="128"/>
        <v>0</v>
      </c>
      <c r="DQ101" s="185">
        <f t="shared" si="128"/>
        <v>0</v>
      </c>
      <c r="DR101" s="185">
        <f t="shared" si="128"/>
        <v>0</v>
      </c>
      <c r="DS101" s="185">
        <f t="shared" si="128"/>
        <v>0</v>
      </c>
      <c r="DT101" s="185">
        <f t="shared" si="128"/>
        <v>0</v>
      </c>
      <c r="DU101" s="185">
        <f t="shared" si="128"/>
        <v>0</v>
      </c>
      <c r="DV101" s="185">
        <f t="shared" si="128"/>
        <v>0</v>
      </c>
      <c r="DW101" s="185">
        <f t="shared" si="128"/>
        <v>0</v>
      </c>
      <c r="DX101" s="185">
        <f t="shared" si="128"/>
        <v>0</v>
      </c>
      <c r="DY101" s="185">
        <f t="shared" si="128"/>
        <v>0</v>
      </c>
    </row>
    <row r="102" spans="1:129" x14ac:dyDescent="0.35">
      <c r="B102" s="34" t="str">
        <f t="shared" si="121"/>
        <v/>
      </c>
      <c r="D102" s="229"/>
      <c r="E102" s="218"/>
      <c r="F102" s="188">
        <f t="shared" si="123"/>
        <v>0</v>
      </c>
      <c r="G102" s="219"/>
      <c r="H102" s="527">
        <f t="shared" si="124"/>
        <v>0</v>
      </c>
      <c r="I102" s="219"/>
      <c r="J102" s="230"/>
      <c r="L102" s="188"/>
      <c r="O102" s="229"/>
      <c r="P102" s="218"/>
      <c r="Q102" s="188">
        <f t="shared" si="125"/>
        <v>0</v>
      </c>
      <c r="R102" s="219"/>
      <c r="S102" s="527">
        <f t="shared" si="126"/>
        <v>0</v>
      </c>
      <c r="T102" s="219"/>
      <c r="U102" s="230"/>
      <c r="DB102" s="205">
        <f t="shared" si="127"/>
        <v>0</v>
      </c>
      <c r="DC102" s="204">
        <f t="shared" si="127"/>
        <v>0</v>
      </c>
      <c r="DD102" s="204">
        <f t="shared" si="127"/>
        <v>0</v>
      </c>
      <c r="DE102" s="204">
        <f t="shared" si="127"/>
        <v>0</v>
      </c>
      <c r="DF102" s="204">
        <f t="shared" si="127"/>
        <v>0</v>
      </c>
      <c r="DG102" s="204">
        <f t="shared" si="127"/>
        <v>0</v>
      </c>
      <c r="DH102" s="204">
        <f t="shared" si="127"/>
        <v>0</v>
      </c>
      <c r="DI102" s="204">
        <f t="shared" si="127"/>
        <v>0</v>
      </c>
      <c r="DJ102" s="204">
        <f t="shared" si="127"/>
        <v>0</v>
      </c>
      <c r="DK102" s="204">
        <f t="shared" si="127"/>
        <v>0</v>
      </c>
      <c r="DL102" s="204">
        <f t="shared" si="128"/>
        <v>0</v>
      </c>
      <c r="DM102" s="206">
        <f t="shared" si="128"/>
        <v>0</v>
      </c>
      <c r="DN102" s="185">
        <f t="shared" si="128"/>
        <v>0</v>
      </c>
      <c r="DO102" s="185">
        <f t="shared" si="128"/>
        <v>0</v>
      </c>
      <c r="DP102" s="185">
        <f t="shared" si="128"/>
        <v>0</v>
      </c>
      <c r="DQ102" s="185">
        <f t="shared" si="128"/>
        <v>0</v>
      </c>
      <c r="DR102" s="185">
        <f t="shared" si="128"/>
        <v>0</v>
      </c>
      <c r="DS102" s="185">
        <f t="shared" si="128"/>
        <v>0</v>
      </c>
      <c r="DT102" s="185">
        <f t="shared" si="128"/>
        <v>0</v>
      </c>
      <c r="DU102" s="185">
        <f t="shared" si="128"/>
        <v>0</v>
      </c>
      <c r="DV102" s="185">
        <f t="shared" si="128"/>
        <v>0</v>
      </c>
      <c r="DW102" s="185">
        <f t="shared" si="128"/>
        <v>0</v>
      </c>
      <c r="DX102" s="185">
        <f t="shared" si="128"/>
        <v>0</v>
      </c>
      <c r="DY102" s="185">
        <f t="shared" si="128"/>
        <v>0</v>
      </c>
    </row>
    <row r="103" spans="1:129" x14ac:dyDescent="0.35">
      <c r="B103" s="34" t="str">
        <f t="shared" si="121"/>
        <v/>
      </c>
      <c r="C103" s="209"/>
      <c r="D103" s="229"/>
      <c r="E103" s="218"/>
      <c r="F103" s="188">
        <f t="shared" si="123"/>
        <v>0</v>
      </c>
      <c r="G103" s="219"/>
      <c r="H103" s="527">
        <f t="shared" si="124"/>
        <v>0</v>
      </c>
      <c r="I103" s="221"/>
      <c r="J103" s="230"/>
      <c r="K103" s="186"/>
      <c r="L103" s="188"/>
      <c r="M103" s="34"/>
      <c r="N103" s="209"/>
      <c r="O103" s="229"/>
      <c r="P103" s="218"/>
      <c r="Q103" s="188">
        <f t="shared" si="125"/>
        <v>0</v>
      </c>
      <c r="R103" s="219"/>
      <c r="S103" s="527">
        <f t="shared" si="126"/>
        <v>0</v>
      </c>
      <c r="T103" s="221"/>
      <c r="U103" s="230"/>
      <c r="W103" s="245" t="s">
        <v>440</v>
      </c>
      <c r="DB103" s="205">
        <f t="shared" si="127"/>
        <v>0</v>
      </c>
      <c r="DC103" s="204">
        <f t="shared" si="127"/>
        <v>0</v>
      </c>
      <c r="DD103" s="204">
        <f t="shared" si="127"/>
        <v>0</v>
      </c>
      <c r="DE103" s="204">
        <f t="shared" si="127"/>
        <v>0</v>
      </c>
      <c r="DF103" s="204">
        <f t="shared" si="127"/>
        <v>0</v>
      </c>
      <c r="DG103" s="204">
        <f t="shared" si="127"/>
        <v>0</v>
      </c>
      <c r="DH103" s="204">
        <f t="shared" si="127"/>
        <v>0</v>
      </c>
      <c r="DI103" s="204">
        <f t="shared" si="127"/>
        <v>0</v>
      </c>
      <c r="DJ103" s="204">
        <f t="shared" si="127"/>
        <v>0</v>
      </c>
      <c r="DK103" s="204">
        <f t="shared" si="127"/>
        <v>0</v>
      </c>
      <c r="DL103" s="204">
        <f t="shared" si="128"/>
        <v>0</v>
      </c>
      <c r="DM103" s="206">
        <f t="shared" si="128"/>
        <v>0</v>
      </c>
      <c r="DN103" s="185">
        <f t="shared" si="128"/>
        <v>0</v>
      </c>
      <c r="DO103" s="185">
        <f t="shared" si="128"/>
        <v>0</v>
      </c>
      <c r="DP103" s="185">
        <f t="shared" si="128"/>
        <v>0</v>
      </c>
      <c r="DQ103" s="185">
        <f t="shared" si="128"/>
        <v>0</v>
      </c>
      <c r="DR103" s="185">
        <f t="shared" si="128"/>
        <v>0</v>
      </c>
      <c r="DS103" s="185">
        <f t="shared" si="128"/>
        <v>0</v>
      </c>
      <c r="DT103" s="185">
        <f t="shared" si="128"/>
        <v>0</v>
      </c>
      <c r="DU103" s="185">
        <f t="shared" si="128"/>
        <v>0</v>
      </c>
      <c r="DV103" s="185">
        <f t="shared" si="128"/>
        <v>0</v>
      </c>
      <c r="DW103" s="185">
        <f t="shared" si="128"/>
        <v>0</v>
      </c>
      <c r="DX103" s="185">
        <f t="shared" si="128"/>
        <v>0</v>
      </c>
      <c r="DY103" s="185">
        <f t="shared" si="128"/>
        <v>0</v>
      </c>
    </row>
    <row r="104" spans="1:129" x14ac:dyDescent="0.35">
      <c r="B104" s="34" t="str">
        <f t="shared" si="121"/>
        <v/>
      </c>
      <c r="C104" s="209"/>
      <c r="D104" s="229"/>
      <c r="E104" s="218"/>
      <c r="F104" s="188">
        <f t="shared" si="123"/>
        <v>0</v>
      </c>
      <c r="G104" s="219"/>
      <c r="H104" s="527">
        <f t="shared" si="124"/>
        <v>0</v>
      </c>
      <c r="I104" s="221"/>
      <c r="J104" s="230"/>
      <c r="K104" s="186"/>
      <c r="L104" s="188"/>
      <c r="M104" s="34"/>
      <c r="N104" s="209"/>
      <c r="O104" s="229"/>
      <c r="P104" s="218"/>
      <c r="Q104" s="188">
        <f t="shared" si="125"/>
        <v>0</v>
      </c>
      <c r="R104" s="219"/>
      <c r="S104" s="527">
        <f t="shared" si="126"/>
        <v>0</v>
      </c>
      <c r="T104" s="221"/>
      <c r="U104" s="230"/>
      <c r="W104" s="245" t="s">
        <v>441</v>
      </c>
      <c r="DB104" s="205">
        <f t="shared" si="127"/>
        <v>0</v>
      </c>
      <c r="DC104" s="204">
        <f t="shared" si="127"/>
        <v>0</v>
      </c>
      <c r="DD104" s="204">
        <f t="shared" si="127"/>
        <v>0</v>
      </c>
      <c r="DE104" s="204">
        <f t="shared" si="127"/>
        <v>0</v>
      </c>
      <c r="DF104" s="204">
        <f t="shared" si="127"/>
        <v>0</v>
      </c>
      <c r="DG104" s="204">
        <f t="shared" si="127"/>
        <v>0</v>
      </c>
      <c r="DH104" s="204">
        <f t="shared" si="127"/>
        <v>0</v>
      </c>
      <c r="DI104" s="204">
        <f t="shared" si="127"/>
        <v>0</v>
      </c>
      <c r="DJ104" s="204">
        <f t="shared" si="127"/>
        <v>0</v>
      </c>
      <c r="DK104" s="204">
        <f t="shared" si="127"/>
        <v>0</v>
      </c>
      <c r="DL104" s="204">
        <f t="shared" si="128"/>
        <v>0</v>
      </c>
      <c r="DM104" s="206">
        <f t="shared" si="128"/>
        <v>0</v>
      </c>
      <c r="DN104" s="185">
        <f t="shared" si="128"/>
        <v>0</v>
      </c>
      <c r="DO104" s="185">
        <f t="shared" si="128"/>
        <v>0</v>
      </c>
      <c r="DP104" s="185">
        <f t="shared" si="128"/>
        <v>0</v>
      </c>
      <c r="DQ104" s="185">
        <f t="shared" si="128"/>
        <v>0</v>
      </c>
      <c r="DR104" s="185">
        <f t="shared" si="128"/>
        <v>0</v>
      </c>
      <c r="DS104" s="185">
        <f t="shared" si="128"/>
        <v>0</v>
      </c>
      <c r="DT104" s="185">
        <f t="shared" si="128"/>
        <v>0</v>
      </c>
      <c r="DU104" s="185">
        <f t="shared" si="128"/>
        <v>0</v>
      </c>
      <c r="DV104" s="185">
        <f t="shared" si="128"/>
        <v>0</v>
      </c>
      <c r="DW104" s="185">
        <f t="shared" si="128"/>
        <v>0</v>
      </c>
      <c r="DX104" s="185">
        <f t="shared" si="128"/>
        <v>0</v>
      </c>
      <c r="DY104" s="185">
        <f t="shared" si="128"/>
        <v>0</v>
      </c>
    </row>
    <row r="105" spans="1:129" x14ac:dyDescent="0.35">
      <c r="B105" s="34" t="str">
        <f t="shared" si="121"/>
        <v/>
      </c>
      <c r="C105" s="209"/>
      <c r="D105" s="229"/>
      <c r="E105" s="218"/>
      <c r="F105" s="188">
        <f t="shared" si="123"/>
        <v>0</v>
      </c>
      <c r="G105" s="219"/>
      <c r="H105" s="527">
        <f t="shared" si="124"/>
        <v>0</v>
      </c>
      <c r="I105" s="221"/>
      <c r="J105" s="230"/>
      <c r="K105" s="186"/>
      <c r="L105" s="188"/>
      <c r="M105" s="34"/>
      <c r="N105" s="209"/>
      <c r="O105" s="229"/>
      <c r="P105" s="218"/>
      <c r="Q105" s="188">
        <f t="shared" si="125"/>
        <v>0</v>
      </c>
      <c r="R105" s="219"/>
      <c r="S105" s="527">
        <f t="shared" si="126"/>
        <v>0</v>
      </c>
      <c r="T105" s="221"/>
      <c r="U105" s="230"/>
      <c r="DB105" s="205">
        <f t="shared" si="127"/>
        <v>0</v>
      </c>
      <c r="DC105" s="204">
        <f t="shared" si="127"/>
        <v>0</v>
      </c>
      <c r="DD105" s="204">
        <f t="shared" si="127"/>
        <v>0</v>
      </c>
      <c r="DE105" s="204">
        <f t="shared" si="127"/>
        <v>0</v>
      </c>
      <c r="DF105" s="204">
        <f t="shared" si="127"/>
        <v>0</v>
      </c>
      <c r="DG105" s="204">
        <f t="shared" si="127"/>
        <v>0</v>
      </c>
      <c r="DH105" s="204">
        <f t="shared" si="127"/>
        <v>0</v>
      </c>
      <c r="DI105" s="204">
        <f t="shared" si="127"/>
        <v>0</v>
      </c>
      <c r="DJ105" s="204">
        <f t="shared" si="127"/>
        <v>0</v>
      </c>
      <c r="DK105" s="204">
        <f t="shared" si="127"/>
        <v>0</v>
      </c>
      <c r="DL105" s="204">
        <f t="shared" si="128"/>
        <v>0</v>
      </c>
      <c r="DM105" s="206">
        <f t="shared" si="128"/>
        <v>0</v>
      </c>
      <c r="DN105" s="185">
        <f t="shared" si="128"/>
        <v>0</v>
      </c>
      <c r="DO105" s="185">
        <f t="shared" si="128"/>
        <v>0</v>
      </c>
      <c r="DP105" s="185">
        <f t="shared" si="128"/>
        <v>0</v>
      </c>
      <c r="DQ105" s="185">
        <f t="shared" si="128"/>
        <v>0</v>
      </c>
      <c r="DR105" s="185">
        <f t="shared" si="128"/>
        <v>0</v>
      </c>
      <c r="DS105" s="185">
        <f t="shared" si="128"/>
        <v>0</v>
      </c>
      <c r="DT105" s="185">
        <f t="shared" si="128"/>
        <v>0</v>
      </c>
      <c r="DU105" s="185">
        <f t="shared" si="128"/>
        <v>0</v>
      </c>
      <c r="DV105" s="185">
        <f t="shared" si="128"/>
        <v>0</v>
      </c>
      <c r="DW105" s="185">
        <f t="shared" si="128"/>
        <v>0</v>
      </c>
      <c r="DX105" s="185">
        <f t="shared" si="128"/>
        <v>0</v>
      </c>
      <c r="DY105" s="185">
        <f t="shared" si="128"/>
        <v>0</v>
      </c>
    </row>
    <row r="106" spans="1:129" x14ac:dyDescent="0.35">
      <c r="B106" s="34" t="str">
        <f t="shared" si="121"/>
        <v/>
      </c>
      <c r="C106" s="209"/>
      <c r="D106" s="229"/>
      <c r="E106" s="218"/>
      <c r="F106" s="188">
        <f t="shared" si="123"/>
        <v>0</v>
      </c>
      <c r="G106" s="219"/>
      <c r="H106" s="527">
        <f t="shared" si="124"/>
        <v>0</v>
      </c>
      <c r="I106" s="221"/>
      <c r="J106" s="230"/>
      <c r="K106" s="186"/>
      <c r="L106" s="188"/>
      <c r="M106" s="34"/>
      <c r="N106" s="209"/>
      <c r="O106" s="229"/>
      <c r="P106" s="218"/>
      <c r="Q106" s="188">
        <f t="shared" si="125"/>
        <v>0</v>
      </c>
      <c r="R106" s="219"/>
      <c r="S106" s="527">
        <f t="shared" si="126"/>
        <v>0</v>
      </c>
      <c r="T106" s="221"/>
      <c r="U106" s="230"/>
      <c r="DB106" s="205">
        <f t="shared" si="127"/>
        <v>0</v>
      </c>
      <c r="DC106" s="204">
        <f t="shared" si="127"/>
        <v>0</v>
      </c>
      <c r="DD106" s="204">
        <f t="shared" si="127"/>
        <v>0</v>
      </c>
      <c r="DE106" s="204">
        <f t="shared" si="127"/>
        <v>0</v>
      </c>
      <c r="DF106" s="204">
        <f t="shared" si="127"/>
        <v>0</v>
      </c>
      <c r="DG106" s="204">
        <f t="shared" si="127"/>
        <v>0</v>
      </c>
      <c r="DH106" s="204">
        <f t="shared" si="127"/>
        <v>0</v>
      </c>
      <c r="DI106" s="204">
        <f t="shared" si="127"/>
        <v>0</v>
      </c>
      <c r="DJ106" s="204">
        <f t="shared" si="127"/>
        <v>0</v>
      </c>
      <c r="DK106" s="204">
        <f t="shared" si="127"/>
        <v>0</v>
      </c>
      <c r="DL106" s="204">
        <f t="shared" si="128"/>
        <v>0</v>
      </c>
      <c r="DM106" s="206">
        <f t="shared" si="128"/>
        <v>0</v>
      </c>
      <c r="DN106" s="185">
        <f t="shared" si="128"/>
        <v>0</v>
      </c>
      <c r="DO106" s="185">
        <f t="shared" si="128"/>
        <v>0</v>
      </c>
      <c r="DP106" s="185">
        <f t="shared" si="128"/>
        <v>0</v>
      </c>
      <c r="DQ106" s="185">
        <f t="shared" si="128"/>
        <v>0</v>
      </c>
      <c r="DR106" s="185">
        <f t="shared" si="128"/>
        <v>0</v>
      </c>
      <c r="DS106" s="185">
        <f t="shared" si="128"/>
        <v>0</v>
      </c>
      <c r="DT106" s="185">
        <f t="shared" si="128"/>
        <v>0</v>
      </c>
      <c r="DU106" s="185">
        <f t="shared" si="128"/>
        <v>0</v>
      </c>
      <c r="DV106" s="185">
        <f t="shared" si="128"/>
        <v>0</v>
      </c>
      <c r="DW106" s="185">
        <f t="shared" si="128"/>
        <v>0</v>
      </c>
      <c r="DX106" s="185">
        <f t="shared" si="128"/>
        <v>0</v>
      </c>
      <c r="DY106" s="185">
        <f t="shared" si="128"/>
        <v>0</v>
      </c>
    </row>
    <row r="107" spans="1:129" x14ac:dyDescent="0.35">
      <c r="B107" s="34" t="str">
        <f t="shared" si="121"/>
        <v/>
      </c>
      <c r="C107" s="209"/>
      <c r="D107" s="229"/>
      <c r="E107" s="218"/>
      <c r="F107" s="188">
        <f t="shared" si="123"/>
        <v>0</v>
      </c>
      <c r="G107" s="219"/>
      <c r="H107" s="527">
        <f t="shared" si="124"/>
        <v>0</v>
      </c>
      <c r="I107" s="221"/>
      <c r="J107" s="230"/>
      <c r="K107" s="186"/>
      <c r="L107" s="188"/>
      <c r="M107" s="34"/>
      <c r="N107" s="209"/>
      <c r="O107" s="229"/>
      <c r="P107" s="218"/>
      <c r="Q107" s="188">
        <f t="shared" si="125"/>
        <v>0</v>
      </c>
      <c r="R107" s="219"/>
      <c r="S107" s="527">
        <f t="shared" si="126"/>
        <v>0</v>
      </c>
      <c r="T107" s="221"/>
      <c r="U107" s="230"/>
      <c r="DB107" s="205">
        <f t="shared" si="127"/>
        <v>0</v>
      </c>
      <c r="DC107" s="204">
        <f t="shared" si="127"/>
        <v>0</v>
      </c>
      <c r="DD107" s="204">
        <f t="shared" si="127"/>
        <v>0</v>
      </c>
      <c r="DE107" s="204">
        <f t="shared" si="127"/>
        <v>0</v>
      </c>
      <c r="DF107" s="204">
        <f t="shared" si="127"/>
        <v>0</v>
      </c>
      <c r="DG107" s="204">
        <f t="shared" si="127"/>
        <v>0</v>
      </c>
      <c r="DH107" s="204">
        <f t="shared" si="127"/>
        <v>0</v>
      </c>
      <c r="DI107" s="204">
        <f t="shared" si="127"/>
        <v>0</v>
      </c>
      <c r="DJ107" s="204">
        <f t="shared" si="127"/>
        <v>0</v>
      </c>
      <c r="DK107" s="204">
        <f t="shared" si="127"/>
        <v>0</v>
      </c>
      <c r="DL107" s="204">
        <f t="shared" si="128"/>
        <v>0</v>
      </c>
      <c r="DM107" s="206">
        <f t="shared" si="128"/>
        <v>0</v>
      </c>
      <c r="DN107" s="185">
        <f t="shared" si="128"/>
        <v>0</v>
      </c>
      <c r="DO107" s="185">
        <f t="shared" si="128"/>
        <v>0</v>
      </c>
      <c r="DP107" s="185">
        <f t="shared" si="128"/>
        <v>0</v>
      </c>
      <c r="DQ107" s="185">
        <f t="shared" si="128"/>
        <v>0</v>
      </c>
      <c r="DR107" s="185">
        <f t="shared" si="128"/>
        <v>0</v>
      </c>
      <c r="DS107" s="185">
        <f t="shared" si="128"/>
        <v>0</v>
      </c>
      <c r="DT107" s="185">
        <f t="shared" si="128"/>
        <v>0</v>
      </c>
      <c r="DU107" s="185">
        <f t="shared" si="128"/>
        <v>0</v>
      </c>
      <c r="DV107" s="185">
        <f t="shared" si="128"/>
        <v>0</v>
      </c>
      <c r="DW107" s="185">
        <f t="shared" si="128"/>
        <v>0</v>
      </c>
      <c r="DX107" s="185">
        <f t="shared" si="128"/>
        <v>0</v>
      </c>
      <c r="DY107" s="185">
        <f t="shared" si="128"/>
        <v>0</v>
      </c>
    </row>
    <row r="108" spans="1:129" x14ac:dyDescent="0.35">
      <c r="B108" s="34" t="str">
        <f t="shared" si="121"/>
        <v/>
      </c>
      <c r="C108" s="209"/>
      <c r="D108" s="229"/>
      <c r="E108" s="218"/>
      <c r="F108" s="188">
        <f t="shared" si="123"/>
        <v>0</v>
      </c>
      <c r="G108" s="219"/>
      <c r="H108" s="527">
        <f t="shared" si="124"/>
        <v>0</v>
      </c>
      <c r="I108" s="219"/>
      <c r="J108" s="230"/>
      <c r="K108" s="186"/>
      <c r="L108" s="188"/>
      <c r="M108" s="34"/>
      <c r="N108" s="209"/>
      <c r="O108" s="229"/>
      <c r="P108" s="218"/>
      <c r="Q108" s="188">
        <f t="shared" si="125"/>
        <v>0</v>
      </c>
      <c r="R108" s="219"/>
      <c r="S108" s="527">
        <f t="shared" si="126"/>
        <v>0</v>
      </c>
      <c r="T108" s="219"/>
      <c r="U108" s="230"/>
      <c r="DB108" s="205">
        <f t="shared" si="127"/>
        <v>0</v>
      </c>
      <c r="DC108" s="204">
        <f t="shared" si="127"/>
        <v>0</v>
      </c>
      <c r="DD108" s="204">
        <f t="shared" si="127"/>
        <v>0</v>
      </c>
      <c r="DE108" s="204">
        <f t="shared" si="127"/>
        <v>0</v>
      </c>
      <c r="DF108" s="204">
        <f t="shared" si="127"/>
        <v>0</v>
      </c>
      <c r="DG108" s="204">
        <f t="shared" si="127"/>
        <v>0</v>
      </c>
      <c r="DH108" s="204">
        <f t="shared" si="127"/>
        <v>0</v>
      </c>
      <c r="DI108" s="204">
        <f t="shared" si="127"/>
        <v>0</v>
      </c>
      <c r="DJ108" s="204">
        <f t="shared" si="127"/>
        <v>0</v>
      </c>
      <c r="DK108" s="204">
        <f t="shared" si="127"/>
        <v>0</v>
      </c>
      <c r="DL108" s="204">
        <f t="shared" si="128"/>
        <v>0</v>
      </c>
      <c r="DM108" s="206">
        <f t="shared" si="128"/>
        <v>0</v>
      </c>
      <c r="DN108" s="185">
        <f t="shared" si="128"/>
        <v>0</v>
      </c>
      <c r="DO108" s="185">
        <f t="shared" si="128"/>
        <v>0</v>
      </c>
      <c r="DP108" s="185">
        <f t="shared" si="128"/>
        <v>0</v>
      </c>
      <c r="DQ108" s="185">
        <f t="shared" si="128"/>
        <v>0</v>
      </c>
      <c r="DR108" s="185">
        <f t="shared" si="128"/>
        <v>0</v>
      </c>
      <c r="DS108" s="185">
        <f t="shared" si="128"/>
        <v>0</v>
      </c>
      <c r="DT108" s="185">
        <f t="shared" si="128"/>
        <v>0</v>
      </c>
      <c r="DU108" s="185">
        <f t="shared" si="128"/>
        <v>0</v>
      </c>
      <c r="DV108" s="185">
        <f t="shared" si="128"/>
        <v>0</v>
      </c>
      <c r="DW108" s="185">
        <f t="shared" si="128"/>
        <v>0</v>
      </c>
      <c r="DX108" s="185">
        <f t="shared" si="128"/>
        <v>0</v>
      </c>
      <c r="DY108" s="185">
        <f t="shared" si="128"/>
        <v>0</v>
      </c>
    </row>
    <row r="109" spans="1:129" x14ac:dyDescent="0.35">
      <c r="B109" s="34" t="str">
        <f t="shared" si="121"/>
        <v/>
      </c>
      <c r="C109" s="209"/>
      <c r="D109" s="229"/>
      <c r="E109" s="218"/>
      <c r="F109" s="188">
        <f t="shared" si="123"/>
        <v>0</v>
      </c>
      <c r="G109" s="219"/>
      <c r="H109" s="527">
        <f t="shared" si="124"/>
        <v>0</v>
      </c>
      <c r="I109" s="219"/>
      <c r="J109" s="230"/>
      <c r="K109" s="186"/>
      <c r="L109" s="188"/>
      <c r="M109" s="34"/>
      <c r="N109" s="209"/>
      <c r="O109" s="229"/>
      <c r="P109" s="218"/>
      <c r="Q109" s="188">
        <f t="shared" si="125"/>
        <v>0</v>
      </c>
      <c r="R109" s="219"/>
      <c r="S109" s="527">
        <f t="shared" si="126"/>
        <v>0</v>
      </c>
      <c r="T109" s="219"/>
      <c r="U109" s="230"/>
      <c r="DB109" s="205">
        <f t="shared" si="127"/>
        <v>0</v>
      </c>
      <c r="DC109" s="204">
        <f t="shared" si="127"/>
        <v>0</v>
      </c>
      <c r="DD109" s="204">
        <f t="shared" si="127"/>
        <v>0</v>
      </c>
      <c r="DE109" s="204">
        <f t="shared" si="127"/>
        <v>0</v>
      </c>
      <c r="DF109" s="204">
        <f t="shared" si="127"/>
        <v>0</v>
      </c>
      <c r="DG109" s="204">
        <f t="shared" si="127"/>
        <v>0</v>
      </c>
      <c r="DH109" s="204">
        <f t="shared" si="127"/>
        <v>0</v>
      </c>
      <c r="DI109" s="204">
        <f t="shared" si="127"/>
        <v>0</v>
      </c>
      <c r="DJ109" s="204">
        <f t="shared" si="127"/>
        <v>0</v>
      </c>
      <c r="DK109" s="204">
        <f t="shared" si="127"/>
        <v>0</v>
      </c>
      <c r="DL109" s="204">
        <f t="shared" si="128"/>
        <v>0</v>
      </c>
      <c r="DM109" s="206">
        <f t="shared" si="128"/>
        <v>0</v>
      </c>
      <c r="DN109" s="185">
        <f t="shared" si="128"/>
        <v>0</v>
      </c>
      <c r="DO109" s="185">
        <f t="shared" si="128"/>
        <v>0</v>
      </c>
      <c r="DP109" s="185">
        <f t="shared" si="128"/>
        <v>0</v>
      </c>
      <c r="DQ109" s="185">
        <f t="shared" si="128"/>
        <v>0</v>
      </c>
      <c r="DR109" s="185">
        <f t="shared" si="128"/>
        <v>0</v>
      </c>
      <c r="DS109" s="185">
        <f t="shared" si="128"/>
        <v>0</v>
      </c>
      <c r="DT109" s="185">
        <f t="shared" si="128"/>
        <v>0</v>
      </c>
      <c r="DU109" s="185">
        <f t="shared" si="128"/>
        <v>0</v>
      </c>
      <c r="DV109" s="185">
        <f t="shared" si="128"/>
        <v>0</v>
      </c>
      <c r="DW109" s="185">
        <f t="shared" si="128"/>
        <v>0</v>
      </c>
      <c r="DX109" s="185">
        <f t="shared" si="128"/>
        <v>0</v>
      </c>
      <c r="DY109" s="185">
        <f t="shared" si="128"/>
        <v>0</v>
      </c>
    </row>
    <row r="110" spans="1:129" x14ac:dyDescent="0.35">
      <c r="B110" s="34" t="str">
        <f t="shared" si="121"/>
        <v/>
      </c>
      <c r="C110" s="209"/>
      <c r="D110" s="229"/>
      <c r="E110" s="218"/>
      <c r="F110" s="188">
        <f t="shared" si="123"/>
        <v>0</v>
      </c>
      <c r="G110" s="219"/>
      <c r="H110" s="527">
        <f t="shared" si="124"/>
        <v>0</v>
      </c>
      <c r="I110" s="219"/>
      <c r="J110" s="230"/>
      <c r="K110" s="186"/>
      <c r="L110" s="188"/>
      <c r="M110" s="34"/>
      <c r="N110" s="209"/>
      <c r="O110" s="229"/>
      <c r="P110" s="218"/>
      <c r="Q110" s="188">
        <f t="shared" si="125"/>
        <v>0</v>
      </c>
      <c r="R110" s="219"/>
      <c r="S110" s="527">
        <f t="shared" si="126"/>
        <v>0</v>
      </c>
      <c r="T110" s="219"/>
      <c r="U110" s="230"/>
      <c r="AK110" s="185"/>
      <c r="DB110" s="205">
        <f t="shared" si="127"/>
        <v>0</v>
      </c>
      <c r="DC110" s="204">
        <f t="shared" si="127"/>
        <v>0</v>
      </c>
      <c r="DD110" s="204">
        <f t="shared" si="127"/>
        <v>0</v>
      </c>
      <c r="DE110" s="204">
        <f t="shared" si="127"/>
        <v>0</v>
      </c>
      <c r="DF110" s="204">
        <f t="shared" si="127"/>
        <v>0</v>
      </c>
      <c r="DG110" s="204">
        <f t="shared" si="127"/>
        <v>0</v>
      </c>
      <c r="DH110" s="204">
        <f t="shared" si="127"/>
        <v>0</v>
      </c>
      <c r="DI110" s="204">
        <f t="shared" si="127"/>
        <v>0</v>
      </c>
      <c r="DJ110" s="204">
        <f t="shared" si="127"/>
        <v>0</v>
      </c>
      <c r="DK110" s="204">
        <f t="shared" si="127"/>
        <v>0</v>
      </c>
      <c r="DL110" s="204">
        <f t="shared" si="128"/>
        <v>0</v>
      </c>
      <c r="DM110" s="206">
        <f t="shared" si="128"/>
        <v>0</v>
      </c>
      <c r="DN110" s="185">
        <f t="shared" si="128"/>
        <v>0</v>
      </c>
      <c r="DO110" s="185">
        <f t="shared" si="128"/>
        <v>0</v>
      </c>
      <c r="DP110" s="185">
        <f t="shared" si="128"/>
        <v>0</v>
      </c>
      <c r="DQ110" s="185">
        <f t="shared" si="128"/>
        <v>0</v>
      </c>
      <c r="DR110" s="185">
        <f t="shared" si="128"/>
        <v>0</v>
      </c>
      <c r="DS110" s="185">
        <f t="shared" si="128"/>
        <v>0</v>
      </c>
      <c r="DT110" s="185">
        <f t="shared" si="128"/>
        <v>0</v>
      </c>
      <c r="DU110" s="185">
        <f t="shared" si="128"/>
        <v>0</v>
      </c>
      <c r="DV110" s="185">
        <f t="shared" si="128"/>
        <v>0</v>
      </c>
      <c r="DW110" s="185">
        <f t="shared" si="128"/>
        <v>0</v>
      </c>
      <c r="DX110" s="185">
        <f t="shared" si="128"/>
        <v>0</v>
      </c>
      <c r="DY110" s="185">
        <f t="shared" si="128"/>
        <v>0</v>
      </c>
    </row>
    <row r="111" spans="1:129" x14ac:dyDescent="0.35">
      <c r="A111" s="201"/>
      <c r="B111" s="43" t="str">
        <f t="shared" si="121"/>
        <v/>
      </c>
      <c r="C111" s="210"/>
      <c r="D111" s="231"/>
      <c r="E111" s="222"/>
      <c r="F111" s="201">
        <f t="shared" si="123"/>
        <v>0</v>
      </c>
      <c r="G111" s="223"/>
      <c r="H111" s="528">
        <f t="shared" si="124"/>
        <v>0</v>
      </c>
      <c r="I111" s="223"/>
      <c r="J111" s="232"/>
      <c r="K111" s="186"/>
      <c r="L111" s="201"/>
      <c r="M111" s="43"/>
      <c r="N111" s="210"/>
      <c r="O111" s="231"/>
      <c r="P111" s="222"/>
      <c r="Q111" s="201">
        <f t="shared" si="125"/>
        <v>0</v>
      </c>
      <c r="R111" s="223"/>
      <c r="S111" s="528">
        <f t="shared" si="126"/>
        <v>0</v>
      </c>
      <c r="T111" s="223"/>
      <c r="U111" s="232"/>
      <c r="AK111" s="185"/>
      <c r="DB111" s="205">
        <f t="shared" si="127"/>
        <v>0</v>
      </c>
      <c r="DC111" s="204">
        <f t="shared" si="127"/>
        <v>0</v>
      </c>
      <c r="DD111" s="204">
        <f t="shared" si="127"/>
        <v>0</v>
      </c>
      <c r="DE111" s="204">
        <f t="shared" si="127"/>
        <v>0</v>
      </c>
      <c r="DF111" s="204">
        <f t="shared" si="127"/>
        <v>0</v>
      </c>
      <c r="DG111" s="204">
        <f t="shared" si="127"/>
        <v>0</v>
      </c>
      <c r="DH111" s="204">
        <f t="shared" si="127"/>
        <v>0</v>
      </c>
      <c r="DI111" s="204">
        <f t="shared" si="127"/>
        <v>0</v>
      </c>
      <c r="DJ111" s="204">
        <f t="shared" si="127"/>
        <v>0</v>
      </c>
      <c r="DK111" s="204">
        <f t="shared" si="127"/>
        <v>0</v>
      </c>
      <c r="DL111" s="204">
        <f t="shared" si="128"/>
        <v>0</v>
      </c>
      <c r="DM111" s="206">
        <f t="shared" si="128"/>
        <v>0</v>
      </c>
      <c r="DN111" s="185">
        <f t="shared" si="128"/>
        <v>0</v>
      </c>
      <c r="DO111" s="185">
        <f t="shared" si="128"/>
        <v>0</v>
      </c>
      <c r="DP111" s="185">
        <f t="shared" si="128"/>
        <v>0</v>
      </c>
      <c r="DQ111" s="185">
        <f t="shared" si="128"/>
        <v>0</v>
      </c>
      <c r="DR111" s="185">
        <f t="shared" si="128"/>
        <v>0</v>
      </c>
      <c r="DS111" s="185">
        <f t="shared" si="128"/>
        <v>0</v>
      </c>
      <c r="DT111" s="185">
        <f t="shared" si="128"/>
        <v>0</v>
      </c>
      <c r="DU111" s="185">
        <f t="shared" si="128"/>
        <v>0</v>
      </c>
      <c r="DV111" s="185">
        <f t="shared" si="128"/>
        <v>0</v>
      </c>
      <c r="DW111" s="185">
        <f t="shared" si="128"/>
        <v>0</v>
      </c>
      <c r="DX111" s="185">
        <f t="shared" si="128"/>
        <v>0</v>
      </c>
      <c r="DY111" s="185">
        <f t="shared" si="128"/>
        <v>0</v>
      </c>
    </row>
    <row r="112" spans="1:129" ht="16.5" thickBot="1" x14ac:dyDescent="0.35">
      <c r="A112" s="187"/>
      <c r="B112" s="44" t="s">
        <v>423</v>
      </c>
      <c r="C112" s="211">
        <f>SUM(C97:C111)</f>
        <v>639</v>
      </c>
      <c r="D112" s="197"/>
      <c r="E112" s="197"/>
      <c r="F112" s="207"/>
      <c r="G112" s="198"/>
      <c r="H112" s="198"/>
      <c r="I112" s="198"/>
      <c r="J112" s="199"/>
      <c r="K112" s="186"/>
      <c r="L112" s="187"/>
      <c r="M112" s="44" t="s">
        <v>426</v>
      </c>
      <c r="N112" s="211">
        <f>SUM(N97:N111)</f>
        <v>2978</v>
      </c>
      <c r="O112" s="197"/>
      <c r="P112" s="197"/>
      <c r="Q112" s="207"/>
      <c r="R112" s="198"/>
      <c r="S112" s="198"/>
      <c r="T112" s="198"/>
      <c r="U112" s="199"/>
      <c r="AK112" s="185"/>
      <c r="DB112" s="193">
        <f>SUM(DB97:DB111)</f>
        <v>0</v>
      </c>
      <c r="DC112" s="193">
        <f t="shared" ref="DC112" si="153">SUM(DC97:DC111)</f>
        <v>0</v>
      </c>
      <c r="DD112" s="193">
        <f t="shared" ref="DD112" si="154">SUM(DD97:DD111)</f>
        <v>0</v>
      </c>
      <c r="DE112" s="193">
        <f t="shared" ref="DE112" si="155">SUM(DE97:DE111)</f>
        <v>0</v>
      </c>
      <c r="DF112" s="193">
        <f t="shared" ref="DF112" si="156">SUM(DF97:DF111)</f>
        <v>0</v>
      </c>
      <c r="DG112" s="193">
        <f t="shared" ref="DG112" si="157">SUM(DG97:DG111)</f>
        <v>0</v>
      </c>
      <c r="DH112" s="193">
        <f t="shared" ref="DH112" si="158">SUM(DH97:DH111)</f>
        <v>0</v>
      </c>
      <c r="DI112" s="193">
        <f t="shared" ref="DI112" si="159">SUM(DI97:DI111)</f>
        <v>0</v>
      </c>
      <c r="DJ112" s="193">
        <f t="shared" ref="DJ112" si="160">SUM(DJ97:DJ111)</f>
        <v>0</v>
      </c>
      <c r="DK112" s="193">
        <f t="shared" ref="DK112" si="161">SUM(DK97:DK111)</f>
        <v>0</v>
      </c>
      <c r="DL112" s="193">
        <f t="shared" ref="DL112" si="162">SUM(DL97:DL111)</f>
        <v>0</v>
      </c>
      <c r="DM112" s="193">
        <f t="shared" ref="DM112" si="163">SUM(DM97:DM111)</f>
        <v>0</v>
      </c>
      <c r="DN112" s="193">
        <f t="shared" ref="DN112" si="164">SUM(DN97:DN111)</f>
        <v>0</v>
      </c>
      <c r="DO112" s="193">
        <f t="shared" ref="DO112" si="165">SUM(DO97:DO111)</f>
        <v>931.875</v>
      </c>
      <c r="DP112" s="193">
        <f t="shared" ref="DP112" si="166">SUM(DP97:DP111)</f>
        <v>931.875</v>
      </c>
      <c r="DQ112" s="193">
        <f t="shared" ref="DQ112" si="167">SUM(DQ97:DQ111)</f>
        <v>931.875</v>
      </c>
      <c r="DR112" s="193">
        <f t="shared" ref="DR112" si="168">SUM(DR97:DR111)</f>
        <v>931.875</v>
      </c>
      <c r="DS112" s="193">
        <f t="shared" ref="DS112" si="169">SUM(DS97:DS111)</f>
        <v>931.875</v>
      </c>
      <c r="DT112" s="193">
        <f t="shared" ref="DT112" si="170">SUM(DT97:DT111)</f>
        <v>931.875</v>
      </c>
      <c r="DU112" s="193">
        <f t="shared" ref="DU112" si="171">SUM(DU97:DU111)</f>
        <v>931.875</v>
      </c>
      <c r="DV112" s="193">
        <f t="shared" ref="DV112" si="172">SUM(DV97:DV111)</f>
        <v>931.875</v>
      </c>
      <c r="DW112" s="193">
        <f t="shared" ref="DW112" si="173">SUM(DW97:DW111)</f>
        <v>931.875</v>
      </c>
      <c r="DX112" s="193">
        <f t="shared" ref="DX112" si="174">SUM(DX97:DX111)</f>
        <v>931.875</v>
      </c>
      <c r="DY112" s="193">
        <f t="shared" ref="DY112" si="175">SUM(DY97:DY111)</f>
        <v>931.875</v>
      </c>
    </row>
    <row r="113" spans="1:129" s="253" customFormat="1" ht="18.5" thickTop="1" thickBot="1" x14ac:dyDescent="0.3">
      <c r="A113" s="252"/>
      <c r="F113" s="252"/>
      <c r="K113" s="254"/>
      <c r="AK113" s="254"/>
      <c r="DB113" s="551"/>
      <c r="DC113" s="551"/>
      <c r="DD113" s="551"/>
      <c r="DE113" s="551"/>
      <c r="DF113" s="551"/>
      <c r="DG113" s="551"/>
      <c r="DH113" s="551"/>
      <c r="DI113" s="551"/>
      <c r="DJ113" s="551"/>
      <c r="DK113" s="551"/>
      <c r="DL113" s="551"/>
      <c r="DM113" s="551"/>
    </row>
    <row r="114" spans="1:129" x14ac:dyDescent="0.35">
      <c r="A114" s="184"/>
      <c r="F114" s="184"/>
      <c r="K114" s="188"/>
      <c r="AK114" s="191"/>
      <c r="DB114" s="234">
        <f t="shared" ref="DB114:DY114" si="176">DB$8</f>
        <v>45658</v>
      </c>
      <c r="DC114" s="32">
        <f t="shared" si="176"/>
        <v>45689</v>
      </c>
      <c r="DD114" s="32">
        <f t="shared" si="176"/>
        <v>45717</v>
      </c>
      <c r="DE114" s="32">
        <f t="shared" si="176"/>
        <v>45748</v>
      </c>
      <c r="DF114" s="32">
        <f t="shared" si="176"/>
        <v>45778</v>
      </c>
      <c r="DG114" s="32">
        <f t="shared" si="176"/>
        <v>45809</v>
      </c>
      <c r="DH114" s="32">
        <f t="shared" si="176"/>
        <v>45839</v>
      </c>
      <c r="DI114" s="32">
        <f t="shared" si="176"/>
        <v>45870</v>
      </c>
      <c r="DJ114" s="32">
        <f t="shared" si="176"/>
        <v>45901</v>
      </c>
      <c r="DK114" s="32">
        <f t="shared" si="176"/>
        <v>45931</v>
      </c>
      <c r="DL114" s="32">
        <f t="shared" si="176"/>
        <v>45962</v>
      </c>
      <c r="DM114" s="235">
        <f t="shared" si="176"/>
        <v>45992</v>
      </c>
      <c r="DN114" s="32">
        <f t="shared" si="176"/>
        <v>46023</v>
      </c>
      <c r="DO114" s="32">
        <f t="shared" si="176"/>
        <v>46054</v>
      </c>
      <c r="DP114" s="32">
        <f t="shared" si="176"/>
        <v>46082</v>
      </c>
      <c r="DQ114" s="32">
        <f t="shared" si="176"/>
        <v>46113</v>
      </c>
      <c r="DR114" s="32">
        <f t="shared" si="176"/>
        <v>46143</v>
      </c>
      <c r="DS114" s="32">
        <f t="shared" si="176"/>
        <v>46174</v>
      </c>
      <c r="DT114" s="32">
        <f t="shared" si="176"/>
        <v>46204</v>
      </c>
      <c r="DU114" s="32">
        <f t="shared" si="176"/>
        <v>46235</v>
      </c>
      <c r="DV114" s="32">
        <f t="shared" si="176"/>
        <v>46266</v>
      </c>
      <c r="DW114" s="32">
        <f t="shared" si="176"/>
        <v>46296</v>
      </c>
      <c r="DX114" s="32">
        <f t="shared" si="176"/>
        <v>46327</v>
      </c>
      <c r="DY114" s="32">
        <f t="shared" si="176"/>
        <v>46357</v>
      </c>
    </row>
    <row r="115" spans="1:129" ht="18" x14ac:dyDescent="0.35">
      <c r="A115" s="215" t="str">
        <f>'40B0'!B1</f>
        <v>40B0</v>
      </c>
      <c r="B115" s="34"/>
      <c r="C115" s="190"/>
      <c r="D115" s="187"/>
      <c r="E115" s="187"/>
      <c r="F115" s="187"/>
      <c r="G115" s="187"/>
      <c r="H115" s="187"/>
      <c r="I115" s="187"/>
      <c r="J115" s="187"/>
      <c r="K115" s="187"/>
    </row>
    <row r="116" spans="1:129" ht="17.5" x14ac:dyDescent="0.25">
      <c r="A116" s="256">
        <f>'40B0'!B4</f>
        <v>12978</v>
      </c>
      <c r="B116" s="257">
        <f>(A116-C134)/A116</f>
        <v>0.81553398058252424</v>
      </c>
      <c r="D116" s="258" t="str">
        <f>"Vacancies - "&amp;A115</f>
        <v>Vacancies - 40B0</v>
      </c>
      <c r="E116" s="226"/>
      <c r="F116" s="226"/>
      <c r="G116" s="226"/>
      <c r="H116" s="226"/>
      <c r="I116" s="226"/>
      <c r="J116" s="225"/>
      <c r="K116" s="187"/>
      <c r="O116" s="258" t="str">
        <f>"Renewals - "&amp;A115</f>
        <v>Renewals - 40B0</v>
      </c>
      <c r="P116" s="226"/>
      <c r="Q116" s="226"/>
      <c r="R116" s="226"/>
      <c r="S116" s="226"/>
      <c r="T116" s="226"/>
      <c r="U116" s="225"/>
    </row>
    <row r="117" spans="1:129" ht="18" x14ac:dyDescent="0.25">
      <c r="D117" s="553" t="s">
        <v>428</v>
      </c>
      <c r="E117" s="554"/>
      <c r="F117" s="554"/>
      <c r="G117" s="554"/>
      <c r="H117" s="554"/>
      <c r="I117" s="554"/>
      <c r="J117" s="555"/>
      <c r="O117" s="553" t="s">
        <v>428</v>
      </c>
      <c r="P117" s="554"/>
      <c r="Q117" s="554"/>
      <c r="R117" s="554"/>
      <c r="S117" s="554"/>
      <c r="T117" s="554"/>
      <c r="U117" s="555"/>
      <c r="W117" s="214" t="str">
        <f>A115</f>
        <v>40B0</v>
      </c>
      <c r="X117" s="552">
        <v>2025</v>
      </c>
      <c r="Y117" s="552"/>
      <c r="Z117" s="552"/>
      <c r="AA117" s="552"/>
      <c r="AB117" s="552"/>
      <c r="AC117" s="552"/>
      <c r="AD117" s="552"/>
      <c r="AE117" s="552"/>
      <c r="AF117" s="552"/>
      <c r="AG117" s="552"/>
      <c r="AH117" s="552"/>
      <c r="AI117" s="552"/>
      <c r="AJ117" s="552">
        <f>X117+1</f>
        <v>2026</v>
      </c>
      <c r="AK117" s="552"/>
      <c r="AL117" s="552"/>
      <c r="AM117" s="552"/>
      <c r="AN117" s="552"/>
      <c r="AO117" s="552"/>
      <c r="AP117" s="552"/>
      <c r="AQ117" s="552"/>
      <c r="AR117" s="552"/>
      <c r="AS117" s="552"/>
      <c r="AT117" s="552"/>
      <c r="AU117" s="552"/>
      <c r="DB117" s="556" t="str">
        <f>+$DB$7</f>
        <v>2025</v>
      </c>
      <c r="DC117" s="556"/>
      <c r="DD117" s="556"/>
      <c r="DE117" s="556"/>
      <c r="DF117" s="556"/>
      <c r="DG117" s="556"/>
      <c r="DH117" s="556"/>
      <c r="DI117" s="556"/>
      <c r="DJ117" s="556"/>
      <c r="DK117" s="556"/>
      <c r="DL117" s="556"/>
      <c r="DM117" s="556"/>
      <c r="DN117" s="556" t="str">
        <f>+$DN$7</f>
        <v>2026</v>
      </c>
      <c r="DO117" s="556"/>
      <c r="DP117" s="556"/>
      <c r="DQ117" s="556"/>
      <c r="DR117" s="556"/>
      <c r="DS117" s="556"/>
      <c r="DT117" s="556"/>
      <c r="DU117" s="556"/>
      <c r="DV117" s="556"/>
      <c r="DW117" s="556"/>
      <c r="DX117" s="556"/>
      <c r="DY117" s="556"/>
    </row>
    <row r="118" spans="1:129" x14ac:dyDescent="0.35">
      <c r="A118" s="201" t="s">
        <v>224</v>
      </c>
      <c r="B118" s="43" t="s">
        <v>424</v>
      </c>
      <c r="C118" s="208" t="s">
        <v>221</v>
      </c>
      <c r="D118" s="233" t="s">
        <v>429</v>
      </c>
      <c r="E118" s="201" t="s">
        <v>430</v>
      </c>
      <c r="F118" s="201"/>
      <c r="G118" s="200" t="s">
        <v>219</v>
      </c>
      <c r="H118" s="213" t="s">
        <v>624</v>
      </c>
      <c r="I118" s="213" t="s">
        <v>425</v>
      </c>
      <c r="J118" s="203" t="s">
        <v>218</v>
      </c>
      <c r="K118" s="188"/>
      <c r="L118" s="201" t="s">
        <v>224</v>
      </c>
      <c r="M118" s="43" t="s">
        <v>424</v>
      </c>
      <c r="N118" s="208" t="s">
        <v>221</v>
      </c>
      <c r="O118" s="233" t="s">
        <v>429</v>
      </c>
      <c r="P118" s="201" t="s">
        <v>430</v>
      </c>
      <c r="Q118" s="201"/>
      <c r="R118" s="200" t="s">
        <v>219</v>
      </c>
      <c r="S118" s="213" t="s">
        <v>624</v>
      </c>
      <c r="T118" s="213" t="s">
        <v>425</v>
      </c>
      <c r="U118" s="203" t="s">
        <v>218</v>
      </c>
      <c r="X118" s="234">
        <v>45658</v>
      </c>
      <c r="Y118" s="32">
        <v>45689</v>
      </c>
      <c r="Z118" s="32">
        <v>45717</v>
      </c>
      <c r="AA118" s="32">
        <v>45748</v>
      </c>
      <c r="AB118" s="32">
        <v>45778</v>
      </c>
      <c r="AC118" s="32">
        <v>45809</v>
      </c>
      <c r="AD118" s="32">
        <v>45839</v>
      </c>
      <c r="AE118" s="32">
        <v>45870</v>
      </c>
      <c r="AF118" s="32">
        <v>45901</v>
      </c>
      <c r="AG118" s="32">
        <v>45931</v>
      </c>
      <c r="AH118" s="32">
        <v>45962</v>
      </c>
      <c r="AI118" s="235">
        <v>45992</v>
      </c>
      <c r="AJ118" s="32">
        <f>AJ$8</f>
        <v>46023</v>
      </c>
      <c r="AK118" s="32">
        <f t="shared" ref="AK118:AU118" si="177">AK$8</f>
        <v>46054</v>
      </c>
      <c r="AL118" s="32">
        <f t="shared" si="177"/>
        <v>46082</v>
      </c>
      <c r="AM118" s="32">
        <f t="shared" si="177"/>
        <v>46113</v>
      </c>
      <c r="AN118" s="32">
        <f t="shared" si="177"/>
        <v>46143</v>
      </c>
      <c r="AO118" s="32">
        <f t="shared" si="177"/>
        <v>46174</v>
      </c>
      <c r="AP118" s="32">
        <f t="shared" si="177"/>
        <v>46204</v>
      </c>
      <c r="AQ118" s="32">
        <f t="shared" si="177"/>
        <v>46235</v>
      </c>
      <c r="AR118" s="32">
        <f t="shared" si="177"/>
        <v>46266</v>
      </c>
      <c r="AS118" s="32">
        <f t="shared" si="177"/>
        <v>46296</v>
      </c>
      <c r="AT118" s="32">
        <f t="shared" si="177"/>
        <v>46327</v>
      </c>
      <c r="AU118" s="32">
        <f t="shared" si="177"/>
        <v>46357</v>
      </c>
      <c r="AV118" s="275" t="str">
        <f>AJ117&amp;" - Totals"</f>
        <v>2026 - Totals</v>
      </c>
      <c r="DB118" s="234">
        <f t="shared" ref="DB118:DY118" si="178">DB$8</f>
        <v>45658</v>
      </c>
      <c r="DC118" s="32">
        <f t="shared" si="178"/>
        <v>45689</v>
      </c>
      <c r="DD118" s="32">
        <f t="shared" si="178"/>
        <v>45717</v>
      </c>
      <c r="DE118" s="32">
        <f t="shared" si="178"/>
        <v>45748</v>
      </c>
      <c r="DF118" s="32">
        <f t="shared" si="178"/>
        <v>45778</v>
      </c>
      <c r="DG118" s="32">
        <f t="shared" si="178"/>
        <v>45809</v>
      </c>
      <c r="DH118" s="32">
        <f t="shared" si="178"/>
        <v>45839</v>
      </c>
      <c r="DI118" s="32">
        <f t="shared" si="178"/>
        <v>45870</v>
      </c>
      <c r="DJ118" s="32">
        <f t="shared" si="178"/>
        <v>45901</v>
      </c>
      <c r="DK118" s="32">
        <f t="shared" si="178"/>
        <v>45931</v>
      </c>
      <c r="DL118" s="32">
        <f t="shared" si="178"/>
        <v>45962</v>
      </c>
      <c r="DM118" s="235">
        <f t="shared" si="178"/>
        <v>45992</v>
      </c>
      <c r="DN118" s="32">
        <f t="shared" si="178"/>
        <v>46023</v>
      </c>
      <c r="DO118" s="32">
        <f t="shared" si="178"/>
        <v>46054</v>
      </c>
      <c r="DP118" s="32">
        <f t="shared" si="178"/>
        <v>46082</v>
      </c>
      <c r="DQ118" s="32">
        <f t="shared" si="178"/>
        <v>46113</v>
      </c>
      <c r="DR118" s="32">
        <f t="shared" si="178"/>
        <v>46143</v>
      </c>
      <c r="DS118" s="32">
        <f t="shared" si="178"/>
        <v>46174</v>
      </c>
      <c r="DT118" s="32">
        <f t="shared" si="178"/>
        <v>46204</v>
      </c>
      <c r="DU118" s="32">
        <f t="shared" si="178"/>
        <v>46235</v>
      </c>
      <c r="DV118" s="32">
        <f t="shared" si="178"/>
        <v>46266</v>
      </c>
      <c r="DW118" s="32">
        <f t="shared" si="178"/>
        <v>46296</v>
      </c>
      <c r="DX118" s="32">
        <f t="shared" si="178"/>
        <v>46327</v>
      </c>
      <c r="DY118" s="32">
        <f t="shared" si="178"/>
        <v>46357</v>
      </c>
    </row>
    <row r="119" spans="1:129" x14ac:dyDescent="0.35">
      <c r="A119" s="188">
        <v>4</v>
      </c>
      <c r="B119" s="77" t="s">
        <v>220</v>
      </c>
      <c r="C119" s="209">
        <v>2394</v>
      </c>
      <c r="D119" s="229">
        <v>46023</v>
      </c>
      <c r="E119" s="218">
        <v>46752</v>
      </c>
      <c r="F119" s="246">
        <f>IFERROR(ROUNDUP(((DATEDIF(D119,E119,"d"))/365),1),0)</f>
        <v>2</v>
      </c>
      <c r="G119" s="219">
        <v>19</v>
      </c>
      <c r="H119" s="527">
        <f>(C119*G119)/12</f>
        <v>3790.5</v>
      </c>
      <c r="I119" s="219">
        <v>0</v>
      </c>
      <c r="J119" s="230">
        <v>5.5E-2</v>
      </c>
      <c r="K119" s="237"/>
      <c r="L119" s="188">
        <v>3</v>
      </c>
      <c r="M119" s="34" t="s">
        <v>422</v>
      </c>
      <c r="N119" s="209">
        <v>1063</v>
      </c>
      <c r="O119" s="229">
        <v>46023</v>
      </c>
      <c r="P119" s="218">
        <v>46752</v>
      </c>
      <c r="Q119" s="246">
        <f>IFERROR(ROUNDUP(((DATEDIF(O119,P119,"d"))/365),1),0)</f>
        <v>2</v>
      </c>
      <c r="R119" s="219">
        <v>19</v>
      </c>
      <c r="S119" s="527">
        <f>(N119*R119)/12</f>
        <v>1683.0833333333333</v>
      </c>
      <c r="T119" s="219">
        <v>0</v>
      </c>
      <c r="U119" s="230">
        <v>0</v>
      </c>
      <c r="W119" s="184" t="s">
        <v>436</v>
      </c>
      <c r="X119" s="261" cm="1">
        <f t="array" ref="X119:AI119">_xlfn.LET(
  _xlpm.months, X118:AI118,
  _xlpm.totalSqft, A116,
  _xlpm.vacSF, C119:C133,
  _xlpm.vacStart, D119:D133,
  _xlpm.vacEnd, E119:E133,
  _xlpm.renSF, N119:N133,
  _xlpm.renEnd, P119:P133,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0.8155</v>
      </c>
      <c r="Y119" s="262">
        <v>0.8155</v>
      </c>
      <c r="Z119" s="262">
        <v>0.8155</v>
      </c>
      <c r="AA119" s="262">
        <v>0.8155</v>
      </c>
      <c r="AB119" s="262">
        <v>0.8155</v>
      </c>
      <c r="AC119" s="262">
        <v>0.8155</v>
      </c>
      <c r="AD119" s="262">
        <v>0.8155</v>
      </c>
      <c r="AE119" s="262">
        <v>0.8155</v>
      </c>
      <c r="AF119" s="262">
        <v>0.8155</v>
      </c>
      <c r="AG119" s="262">
        <v>0.8155</v>
      </c>
      <c r="AH119" s="262">
        <v>0.8155</v>
      </c>
      <c r="AI119" s="262">
        <v>0.8155</v>
      </c>
      <c r="AJ119" s="261" cm="1">
        <f t="array" ref="AJ119:AU119">_xlfn.LET(
  _xlpm.months, AJ118:AU118,
  _xlpm.totalSqft, A116,
  _xlpm.vacSF, C119:C133,
  _xlpm.vacStart, D119:D133,
  _xlpm.vacEnd, E119:E133,
  _xlpm.renSF, N119:N133,
  _xlpm.renEnd, P119:P133,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119" s="262">
        <v>1</v>
      </c>
      <c r="AL119" s="262">
        <v>1</v>
      </c>
      <c r="AM119" s="262">
        <v>1</v>
      </c>
      <c r="AN119" s="262">
        <v>1</v>
      </c>
      <c r="AO119" s="262">
        <v>1</v>
      </c>
      <c r="AP119" s="262">
        <v>1</v>
      </c>
      <c r="AQ119" s="262">
        <v>1</v>
      </c>
      <c r="AR119" s="262">
        <v>1</v>
      </c>
      <c r="AS119" s="262">
        <v>1</v>
      </c>
      <c r="AT119" s="262">
        <v>1</v>
      </c>
      <c r="AU119" s="262">
        <v>1</v>
      </c>
      <c r="AV119" s="273"/>
      <c r="DB119" s="205">
        <f t="shared" ref="DB119:DY119" si="179">IF(AND($D119&lt;=DB118,$E119&gt;=DB118),(($G119*$C119)/12),0)</f>
        <v>0</v>
      </c>
      <c r="DC119" s="204">
        <f t="shared" si="179"/>
        <v>0</v>
      </c>
      <c r="DD119" s="204">
        <f t="shared" si="179"/>
        <v>0</v>
      </c>
      <c r="DE119" s="204">
        <f t="shared" si="179"/>
        <v>0</v>
      </c>
      <c r="DF119" s="204">
        <f t="shared" si="179"/>
        <v>0</v>
      </c>
      <c r="DG119" s="204">
        <f t="shared" si="179"/>
        <v>0</v>
      </c>
      <c r="DH119" s="204">
        <f t="shared" si="179"/>
        <v>0</v>
      </c>
      <c r="DI119" s="204">
        <f t="shared" si="179"/>
        <v>0</v>
      </c>
      <c r="DJ119" s="204">
        <f t="shared" si="179"/>
        <v>0</v>
      </c>
      <c r="DK119" s="204">
        <f t="shared" si="179"/>
        <v>0</v>
      </c>
      <c r="DL119" s="204">
        <f t="shared" si="179"/>
        <v>0</v>
      </c>
      <c r="DM119" s="206">
        <f t="shared" si="179"/>
        <v>0</v>
      </c>
      <c r="DN119" s="185">
        <f t="shared" si="179"/>
        <v>3790.5</v>
      </c>
      <c r="DO119" s="185">
        <f t="shared" si="179"/>
        <v>3790.5</v>
      </c>
      <c r="DP119" s="185">
        <f t="shared" si="179"/>
        <v>3790.5</v>
      </c>
      <c r="DQ119" s="185">
        <f t="shared" si="179"/>
        <v>3790.5</v>
      </c>
      <c r="DR119" s="185">
        <f t="shared" si="179"/>
        <v>3790.5</v>
      </c>
      <c r="DS119" s="185">
        <f t="shared" si="179"/>
        <v>3790.5</v>
      </c>
      <c r="DT119" s="185">
        <f t="shared" si="179"/>
        <v>3790.5</v>
      </c>
      <c r="DU119" s="185">
        <f t="shared" si="179"/>
        <v>3790.5</v>
      </c>
      <c r="DV119" s="185">
        <f t="shared" si="179"/>
        <v>3790.5</v>
      </c>
      <c r="DW119" s="185">
        <f t="shared" si="179"/>
        <v>3790.5</v>
      </c>
      <c r="DX119" s="185">
        <f t="shared" si="179"/>
        <v>3790.5</v>
      </c>
      <c r="DY119" s="185">
        <f t="shared" si="179"/>
        <v>3790.5</v>
      </c>
    </row>
    <row r="120" spans="1:129" x14ac:dyDescent="0.35">
      <c r="B120" s="34"/>
      <c r="C120" s="209"/>
      <c r="D120" s="229"/>
      <c r="E120" s="218"/>
      <c r="F120" s="188">
        <f t="shared" ref="F120:F133" si="180">IFERROR(ROUNDUP(((DATEDIF(D120,E120,"d"))/365),1),0)</f>
        <v>0</v>
      </c>
      <c r="G120" s="219"/>
      <c r="H120" s="527">
        <f t="shared" ref="H120:H133" si="181">(C120*G120)/12</f>
        <v>0</v>
      </c>
      <c r="I120" s="219"/>
      <c r="J120" s="230"/>
      <c r="K120" s="186"/>
      <c r="L120" s="188"/>
      <c r="M120" s="34"/>
      <c r="N120" s="209"/>
      <c r="O120" s="229"/>
      <c r="P120" s="218"/>
      <c r="Q120" s="188">
        <f t="shared" ref="Q120:Q133" si="182">IFERROR(ROUNDUP(((DATEDIF(O120,P120,"d"))/365),1),0)</f>
        <v>0</v>
      </c>
      <c r="R120" s="219"/>
      <c r="S120" s="527">
        <f t="shared" ref="S120:S133" si="183">(N120*R120)/12</f>
        <v>0</v>
      </c>
      <c r="T120" s="219"/>
      <c r="U120" s="230"/>
      <c r="W120" s="184" t="s">
        <v>434</v>
      </c>
      <c r="X120" s="205" cm="1">
        <f t="array" ref="X120">((SUMPRODUCT(($D$119:$D$133&lt;=X$8) * ($E$119:$E$133&gt;=X$8) * ($G$119:$G$133 * $C$119:$C$133)))+(SUMPRODUCT(($O$119:$O$133&lt;=X$8) * ($P$119:$P$133&gt;=X$8) * ($R$119:$R$133 * $N$119:$N$133))))/12</f>
        <v>0</v>
      </c>
      <c r="Y120" s="185" cm="1">
        <f t="array" ref="Y120">((SUMPRODUCT(($D$119:$D$133&lt;=Y$8) * ($E$119:$E$133&gt;=Y$8) * ($G$119:$G$133 * $C$119:$C$133)))+(SUMPRODUCT(($O$119:$O$133&lt;=Y$8) * ($P$119:$P$133&gt;=Y$8) * ($R$119:$R$133 * $N$119:$N$133))))/12</f>
        <v>0</v>
      </c>
      <c r="Z120" s="185" cm="1">
        <f t="array" ref="Z120">((SUMPRODUCT(($D$119:$D$133&lt;=Z$8) * ($E$119:$E$133&gt;=Z$8) * ($G$119:$G$133 * $C$119:$C$133)))+(SUMPRODUCT(($O$119:$O$133&lt;=Z$8) * ($P$119:$P$133&gt;=Z$8) * ($R$119:$R$133 * $N$119:$N$133))))/12</f>
        <v>0</v>
      </c>
      <c r="AA120" s="185" cm="1">
        <f t="array" ref="AA120">((SUMPRODUCT(($D$119:$D$133&lt;=AA$8) * ($E$119:$E$133&gt;=AA$8) * ($G$119:$G$133 * $C$119:$C$133)))+(SUMPRODUCT(($O$119:$O$133&lt;=AA$8) * ($P$119:$P$133&gt;=AA$8) * ($R$119:$R$133 * $N$119:$N$133))))/12</f>
        <v>0</v>
      </c>
      <c r="AB120" s="185" cm="1">
        <f t="array" ref="AB120">((SUMPRODUCT(($D$119:$D$133&lt;=AB$8) * ($E$119:$E$133&gt;=AB$8) * ($G$119:$G$133 * $C$119:$C$133)))+(SUMPRODUCT(($O$119:$O$133&lt;=AB$8) * ($P$119:$P$133&gt;=AB$8) * ($R$119:$R$133 * $N$119:$N$133))))/12</f>
        <v>0</v>
      </c>
      <c r="AC120" s="185" cm="1">
        <f t="array" ref="AC120">((SUMPRODUCT(($D$119:$D$133&lt;=AC$8) * ($E$119:$E$133&gt;=AC$8) * ($G$119:$G$133 * $C$119:$C$133)))+(SUMPRODUCT(($O$119:$O$133&lt;=AC$8) * ($P$119:$P$133&gt;=AC$8) * ($R$119:$R$133 * $N$119:$N$133))))/12</f>
        <v>0</v>
      </c>
      <c r="AD120" s="185" cm="1">
        <f t="array" ref="AD120">((SUMPRODUCT(($D$119:$D$133&lt;=AD$8) * ($E$119:$E$133&gt;=AD$8) * ($G$119:$G$133 * $C$119:$C$133)))+(SUMPRODUCT(($O$119:$O$133&lt;=AD$8) * ($P$119:$P$133&gt;=AD$8) * ($R$119:$R$133 * $N$119:$N$133))))/12</f>
        <v>0</v>
      </c>
      <c r="AE120" s="185" cm="1">
        <f t="array" ref="AE120">((SUMPRODUCT(($D$119:$D$133&lt;=AE$8) * ($E$119:$E$133&gt;=AE$8) * ($G$119:$G$133 * $C$119:$C$133)))+(SUMPRODUCT(($O$119:$O$133&lt;=AE$8) * ($P$119:$P$133&gt;=AE$8) * ($R$119:$R$133 * $N$119:$N$133))))/12</f>
        <v>0</v>
      </c>
      <c r="AF120" s="185" cm="1">
        <f t="array" ref="AF120">((SUMPRODUCT(($D$119:$D$133&lt;=AF$8) * ($E$119:$E$133&gt;=AF$8) * ($G$119:$G$133 * $C$119:$C$133)))+(SUMPRODUCT(($O$119:$O$133&lt;=AF$8) * ($P$119:$P$133&gt;=AF$8) * ($R$119:$R$133 * $N$119:$N$133))))/12</f>
        <v>0</v>
      </c>
      <c r="AG120" s="185" cm="1">
        <f t="array" ref="AG120">((SUMPRODUCT(($D$119:$D$133&lt;=AG$8) * ($E$119:$E$133&gt;=AG$8) * ($G$119:$G$133 * $C$119:$C$133)))+(SUMPRODUCT(($O$119:$O$133&lt;=AG$8) * ($P$119:$P$133&gt;=AG$8) * ($R$119:$R$133 * $N$119:$N$133))))/12</f>
        <v>0</v>
      </c>
      <c r="AH120" s="185" cm="1">
        <f t="array" ref="AH120">((SUMPRODUCT(($D$119:$D$133&lt;=AH$8) * ($E$119:$E$133&gt;=AH$8) * ($G$119:$G$133 * $C$119:$C$133)))+(SUMPRODUCT(($O$119:$O$133&lt;=AH$8) * ($P$119:$P$133&gt;=AH$8) * ($R$119:$R$133 * $N$119:$N$133))))/12</f>
        <v>0</v>
      </c>
      <c r="AI120" s="185" cm="1">
        <f t="array" ref="AI120">((SUMPRODUCT(($D$119:$D$133&lt;=AI$8) * ($E$119:$E$133&gt;=AI$8) * ($G$119:$G$133 * $C$119:$C$133)))+(SUMPRODUCT(($O$119:$O$133&lt;=AI$8) * ($P$119:$P$133&gt;=AI$8) * ($R$119:$R$133 * $N$119:$N$133))))/12</f>
        <v>0</v>
      </c>
      <c r="AJ120" s="205" cm="1">
        <f t="array" ref="AJ120">((SUMPRODUCT(($D$119:$D$133&lt;=AJ$8) * ($E$119:$E$133&gt;=AJ$8) * ($G$119:$G$133 * $C$119:$C$133)))+(SUMPRODUCT(($O$119:$O$133&lt;=AJ$8) * ($P$119:$P$133&gt;=AJ$8) * ($R$119:$R$133 * $N$119:$N$133))))/12</f>
        <v>5473.583333333333</v>
      </c>
      <c r="AK120" s="185" cm="1">
        <f t="array" ref="AK120">((SUMPRODUCT(($D$119:$D$133&lt;=AK$8) * ($E$119:$E$133&gt;=AK$8) * ($G$119:$G$133 * $C$119:$C$133)))+(SUMPRODUCT(($O$119:$O$133&lt;=AK$8) * ($P$119:$P$133&gt;=AK$8) * ($R$119:$R$133 * $N$119:$N$133))))/12</f>
        <v>5473.583333333333</v>
      </c>
      <c r="AL120" s="185" cm="1">
        <f t="array" ref="AL120">((SUMPRODUCT(($D$119:$D$133&lt;=AL$8) * ($E$119:$E$133&gt;=AL$8) * ($G$119:$G$133 * $C$119:$C$133)))+(SUMPRODUCT(($O$119:$O$133&lt;=AL$8) * ($P$119:$P$133&gt;=AL$8) * ($R$119:$R$133 * $N$119:$N$133))))/12</f>
        <v>5473.583333333333</v>
      </c>
      <c r="AM120" s="185" cm="1">
        <f t="array" ref="AM120">((SUMPRODUCT(($D$119:$D$133&lt;=AM$8) * ($E$119:$E$133&gt;=AM$8) * ($G$119:$G$133 * $C$119:$C$133)))+(SUMPRODUCT(($O$119:$O$133&lt;=AM$8) * ($P$119:$P$133&gt;=AM$8) * ($R$119:$R$133 * $N$119:$N$133))))/12</f>
        <v>5473.583333333333</v>
      </c>
      <c r="AN120" s="185" cm="1">
        <f t="array" ref="AN120">((SUMPRODUCT(($D$119:$D$133&lt;=AN$8) * ($E$119:$E$133&gt;=AN$8) * ($G$119:$G$133 * $C$119:$C$133)))+(SUMPRODUCT(($O$119:$O$133&lt;=AN$8) * ($P$119:$P$133&gt;=AN$8) * ($R$119:$R$133 * $N$119:$N$133))))/12</f>
        <v>5473.583333333333</v>
      </c>
      <c r="AO120" s="185" cm="1">
        <f t="array" ref="AO120">((SUMPRODUCT(($D$119:$D$133&lt;=AO$8) * ($E$119:$E$133&gt;=AO$8) * ($G$119:$G$133 * $C$119:$C$133)))+(SUMPRODUCT(($O$119:$O$133&lt;=AO$8) * ($P$119:$P$133&gt;=AO$8) * ($R$119:$R$133 * $N$119:$N$133))))/12</f>
        <v>5473.583333333333</v>
      </c>
      <c r="AP120" s="185" cm="1">
        <f t="array" ref="AP120">((SUMPRODUCT(($D$119:$D$133&lt;=AP$8) * ($E$119:$E$133&gt;=AP$8) * ($G$119:$G$133 * $C$119:$C$133)))+(SUMPRODUCT(($O$119:$O$133&lt;=AP$8) * ($P$119:$P$133&gt;=AP$8) * ($R$119:$R$133 * $N$119:$N$133))))/12</f>
        <v>5473.583333333333</v>
      </c>
      <c r="AQ120" s="185" cm="1">
        <f t="array" ref="AQ120">((SUMPRODUCT(($D$119:$D$133&lt;=AQ$8) * ($E$119:$E$133&gt;=AQ$8) * ($G$119:$G$133 * $C$119:$C$133)))+(SUMPRODUCT(($O$119:$O$133&lt;=AQ$8) * ($P$119:$P$133&gt;=AQ$8) * ($R$119:$R$133 * $N$119:$N$133))))/12</f>
        <v>5473.583333333333</v>
      </c>
      <c r="AR120" s="185" cm="1">
        <f t="array" ref="AR120">((SUMPRODUCT(($D$119:$D$133&lt;=AR$8) * ($E$119:$E$133&gt;=AR$8) * ($G$119:$G$133 * $C$119:$C$133)))+(SUMPRODUCT(($O$119:$O$133&lt;=AR$8) * ($P$119:$P$133&gt;=AR$8) * ($R$119:$R$133 * $N$119:$N$133))))/12</f>
        <v>5473.583333333333</v>
      </c>
      <c r="AS120" s="185" cm="1">
        <f t="array" ref="AS120">((SUMPRODUCT(($D$119:$D$133&lt;=AS$8) * ($E$119:$E$133&gt;=AS$8) * ($G$119:$G$133 * $C$119:$C$133)))+(SUMPRODUCT(($O$119:$O$133&lt;=AS$8) * ($P$119:$P$133&gt;=AS$8) * ($R$119:$R$133 * $N$119:$N$133))))/12</f>
        <v>5473.583333333333</v>
      </c>
      <c r="AT120" s="185" cm="1">
        <f t="array" ref="AT120">((SUMPRODUCT(($D$119:$D$133&lt;=AT$8) * ($E$119:$E$133&gt;=AT$8) * ($G$119:$G$133 * $C$119:$C$133)))+(SUMPRODUCT(($O$119:$O$133&lt;=AT$8) * ($P$119:$P$133&gt;=AT$8) * ($R$119:$R$133 * $N$119:$N$133))))/12</f>
        <v>5473.583333333333</v>
      </c>
      <c r="AU120" s="185" cm="1">
        <f t="array" ref="AU120">((SUMPRODUCT(($D$119:$D$133&lt;=AU$8) * ($E$119:$E$133&gt;=AU$8) * ($G$119:$G$133 * $C$119:$C$133)))+(SUMPRODUCT(($O$119:$O$133&lt;=AU$8) * ($P$119:$P$133&gt;=AU$8) * ($R$119:$R$133 * $N$119:$N$133))))/12</f>
        <v>5473.583333333333</v>
      </c>
      <c r="AV120" s="274">
        <f>SUM(AJ120:AU120)</f>
        <v>65683.000000000015</v>
      </c>
      <c r="DB120" s="205">
        <f t="shared" ref="DB120:DK133" si="184">IF(AND($D120&lt;=DB$8,$E120&gt;=DB$8),(($G120*$C120)/12),0)</f>
        <v>0</v>
      </c>
      <c r="DC120" s="204">
        <f t="shared" si="184"/>
        <v>0</v>
      </c>
      <c r="DD120" s="204">
        <f t="shared" si="184"/>
        <v>0</v>
      </c>
      <c r="DE120" s="204">
        <f t="shared" si="184"/>
        <v>0</v>
      </c>
      <c r="DF120" s="204">
        <f t="shared" si="184"/>
        <v>0</v>
      </c>
      <c r="DG120" s="204">
        <f t="shared" si="184"/>
        <v>0</v>
      </c>
      <c r="DH120" s="204">
        <f t="shared" si="184"/>
        <v>0</v>
      </c>
      <c r="DI120" s="204">
        <f t="shared" si="184"/>
        <v>0</v>
      </c>
      <c r="DJ120" s="204">
        <f t="shared" si="184"/>
        <v>0</v>
      </c>
      <c r="DK120" s="204">
        <f t="shared" si="184"/>
        <v>0</v>
      </c>
      <c r="DL120" s="204">
        <f t="shared" ref="DL120:DY133" si="185">IF(AND($D120&lt;=DL$8,$E120&gt;=DL$8),(($G120*$C120)/12),0)</f>
        <v>0</v>
      </c>
      <c r="DM120" s="206">
        <f t="shared" si="185"/>
        <v>0</v>
      </c>
      <c r="DN120" s="185">
        <f t="shared" si="185"/>
        <v>0</v>
      </c>
      <c r="DO120" s="185">
        <f t="shared" si="185"/>
        <v>0</v>
      </c>
      <c r="DP120" s="185">
        <f t="shared" si="185"/>
        <v>0</v>
      </c>
      <c r="DQ120" s="185">
        <f t="shared" si="185"/>
        <v>0</v>
      </c>
      <c r="DR120" s="185">
        <f t="shared" si="185"/>
        <v>0</v>
      </c>
      <c r="DS120" s="185">
        <f t="shared" si="185"/>
        <v>0</v>
      </c>
      <c r="DT120" s="185">
        <f t="shared" si="185"/>
        <v>0</v>
      </c>
      <c r="DU120" s="185">
        <f t="shared" si="185"/>
        <v>0</v>
      </c>
      <c r="DV120" s="185">
        <f t="shared" si="185"/>
        <v>0</v>
      </c>
      <c r="DW120" s="185">
        <f t="shared" si="185"/>
        <v>0</v>
      </c>
      <c r="DX120" s="185">
        <f t="shared" si="185"/>
        <v>0</v>
      </c>
      <c r="DY120" s="185">
        <f t="shared" si="185"/>
        <v>0</v>
      </c>
    </row>
    <row r="121" spans="1:129" x14ac:dyDescent="0.35">
      <c r="B121" s="34"/>
      <c r="C121" s="209"/>
      <c r="D121" s="229"/>
      <c r="E121" s="218"/>
      <c r="F121" s="188">
        <f t="shared" si="180"/>
        <v>0</v>
      </c>
      <c r="G121" s="219"/>
      <c r="H121" s="527">
        <f t="shared" si="181"/>
        <v>0</v>
      </c>
      <c r="I121" s="219"/>
      <c r="J121" s="230"/>
      <c r="K121" s="186"/>
      <c r="L121" s="188"/>
      <c r="M121" s="34"/>
      <c r="N121" s="209"/>
      <c r="O121" s="229"/>
      <c r="P121" s="218"/>
      <c r="Q121" s="188">
        <f t="shared" si="182"/>
        <v>0</v>
      </c>
      <c r="R121" s="219"/>
      <c r="S121" s="527">
        <f t="shared" si="183"/>
        <v>0</v>
      </c>
      <c r="T121" s="219"/>
      <c r="U121" s="230"/>
      <c r="W121" s="184" t="s">
        <v>431</v>
      </c>
      <c r="X121" s="205" cm="1">
        <f t="array" ref="X121">(SUMPRODUCT((TEXT($O119:$O133,"yyyymm")=TEXT(X$118,"yyyymm")) * ($T119:$T133 * $N119:$N133)))+(SUMPRODUCT((TEXT($D119:$D133,"yyyymm")=TEXT(X$118,"yyyymm")) * ($I119:$I133 * $C119:$C133)))</f>
        <v>0</v>
      </c>
      <c r="Y121" s="185" cm="1">
        <f t="array" ref="Y121">(SUMPRODUCT((TEXT($O119:$O133,"yyyymm")=TEXT(Y$118,"yyyymm")) * ($T119:$T133 * $N119:$N133)))+(SUMPRODUCT((TEXT($D119:$D133,"yyyymm")=TEXT(Y$118,"yyyymm")) * ($I119:$I133 * $C119:$C133)))</f>
        <v>0</v>
      </c>
      <c r="Z121" s="185" cm="1">
        <f t="array" ref="Z121">(SUMPRODUCT((TEXT($O119:$O133,"yyyymm")=TEXT(Z$118,"yyyymm")) * ($T119:$T133 * $N119:$N133)))+(SUMPRODUCT((TEXT($D119:$D133,"yyyymm")=TEXT(Z$118,"yyyymm")) * ($I119:$I133 * $C119:$C133)))</f>
        <v>0</v>
      </c>
      <c r="AA121" s="185" cm="1">
        <f t="array" ref="AA121">(SUMPRODUCT((TEXT($O119:$O133,"yyyymm")=TEXT(AA$118,"yyyymm")) * ($T119:$T133 * $N119:$N133)))+(SUMPRODUCT((TEXT($D119:$D133,"yyyymm")=TEXT(AA$118,"yyyymm")) * ($I119:$I133 * $C119:$C133)))</f>
        <v>0</v>
      </c>
      <c r="AB121" s="185" cm="1">
        <f t="array" ref="AB121">(SUMPRODUCT((TEXT($O119:$O133,"yyyymm")=TEXT(AB$118,"yyyymm")) * ($T119:$T133 * $N119:$N133)))+(SUMPRODUCT((TEXT($D119:$D133,"yyyymm")=TEXT(AB$118,"yyyymm")) * ($I119:$I133 * $C119:$C133)))</f>
        <v>0</v>
      </c>
      <c r="AC121" s="185" cm="1">
        <f t="array" ref="AC121">(SUMPRODUCT((TEXT($O119:$O133,"yyyymm")=TEXT(AC$118,"yyyymm")) * ($T119:$T133 * $N119:$N133)))+(SUMPRODUCT((TEXT($D119:$D133,"yyyymm")=TEXT(AC$118,"yyyymm")) * ($I119:$I133 * $C119:$C133)))</f>
        <v>0</v>
      </c>
      <c r="AD121" s="185" cm="1">
        <f t="array" ref="AD121">(SUMPRODUCT((TEXT($O119:$O133,"yyyymm")=TEXT(AD$118,"yyyymm")) * ($T119:$T133 * $N119:$N133)))+(SUMPRODUCT((TEXT($D119:$D133,"yyyymm")=TEXT(AD$118,"yyyymm")) * ($I119:$I133 * $C119:$C133)))</f>
        <v>0</v>
      </c>
      <c r="AE121" s="185" cm="1">
        <f t="array" ref="AE121">(SUMPRODUCT((TEXT($O119:$O133,"yyyymm")=TEXT(AE$118,"yyyymm")) * ($T119:$T133 * $N119:$N133)))+(SUMPRODUCT((TEXT($D119:$D133,"yyyymm")=TEXT(AE$118,"yyyymm")) * ($I119:$I133 * $C119:$C133)))</f>
        <v>0</v>
      </c>
      <c r="AF121" s="185" cm="1">
        <f t="array" ref="AF121">(SUMPRODUCT((TEXT($O119:$O133,"yyyymm")=TEXT(AF$118,"yyyymm")) * ($T119:$T133 * $N119:$N133)))+(SUMPRODUCT((TEXT($D119:$D133,"yyyymm")=TEXT(AF$118,"yyyymm")) * ($I119:$I133 * $C119:$C133)))</f>
        <v>0</v>
      </c>
      <c r="AG121" s="185" cm="1">
        <f t="array" ref="AG121">(SUMPRODUCT((TEXT($O119:$O133,"yyyymm")=TEXT(AG$118,"yyyymm")) * ($T119:$T133 * $N119:$N133)))+(SUMPRODUCT((TEXT($D119:$D133,"yyyymm")=TEXT(AG$118,"yyyymm")) * ($I119:$I133 * $C119:$C133)))</f>
        <v>0</v>
      </c>
      <c r="AH121" s="185" cm="1">
        <f t="array" ref="AH121">(SUMPRODUCT((TEXT($O119:$O133,"yyyymm")=TEXT(AH$118,"yyyymm")) * ($T119:$T133 * $N119:$N133)))+(SUMPRODUCT((TEXT($D119:$D133,"yyyymm")=TEXT(AH$118,"yyyymm")) * ($I119:$I133 * $C119:$C133)))</f>
        <v>0</v>
      </c>
      <c r="AI121" s="185" cm="1">
        <f t="array" ref="AI121">(SUMPRODUCT((TEXT($O119:$O133,"yyyymm")=TEXT(AI$118,"yyyymm")) * ($T119:$T133 * $N119:$N133)))+(SUMPRODUCT((TEXT($D119:$D133,"yyyymm")=TEXT(AI$118,"yyyymm")) * ($I119:$I133 * $C119:$C133)))</f>
        <v>0</v>
      </c>
      <c r="AJ121" s="205" cm="1">
        <f t="array" ref="AJ121">(SUMPRODUCT((TEXT($O119:$O133,"yyyymm")=TEXT(AJ$118,"yyyymm")) * ($T119:$T133 * $N119:$N133)))+(SUMPRODUCT((TEXT($D119:$D133,"yyyymm")=TEXT(AJ$118,"yyyymm")) * ($I119:$I133 * $C119:$C133)))</f>
        <v>0</v>
      </c>
      <c r="AK121" s="185" cm="1">
        <f t="array" ref="AK121">(SUMPRODUCT((TEXT($O119:$O133,"yyyymm")=TEXT(AK$118,"yyyymm")) * ($T119:$T133 * $N119:$N133)))+(SUMPRODUCT((TEXT($D119:$D133,"yyyymm")=TEXT(AK$118,"yyyymm")) * ($I119:$I133 * $C119:$C133)))</f>
        <v>0</v>
      </c>
      <c r="AL121" s="185" cm="1">
        <f t="array" ref="AL121">(SUMPRODUCT((TEXT($O119:$O133,"yyyymm")=TEXT(AL$118,"yyyymm")) * ($T119:$T133 * $N119:$N133)))+(SUMPRODUCT((TEXT($D119:$D133,"yyyymm")=TEXT(AL$118,"yyyymm")) * ($I119:$I133 * $C119:$C133)))</f>
        <v>0</v>
      </c>
      <c r="AM121" s="185" cm="1">
        <f t="array" ref="AM121">(SUMPRODUCT((TEXT($O119:$O133,"yyyymm")=TEXT(AM$118,"yyyymm")) * ($T119:$T133 * $N119:$N133)))+(SUMPRODUCT((TEXT($D119:$D133,"yyyymm")=TEXT(AM$118,"yyyymm")) * ($I119:$I133 * $C119:$C133)))</f>
        <v>0</v>
      </c>
      <c r="AN121" s="185" cm="1">
        <f t="array" ref="AN121">(SUMPRODUCT((TEXT($O119:$O133,"yyyymm")=TEXT(AN$118,"yyyymm")) * ($T119:$T133 * $N119:$N133)))+(SUMPRODUCT((TEXT($D119:$D133,"yyyymm")=TEXT(AN$118,"yyyymm")) * ($I119:$I133 * $C119:$C133)))</f>
        <v>0</v>
      </c>
      <c r="AO121" s="185" cm="1">
        <f t="array" ref="AO121">(SUMPRODUCT((TEXT($O119:$O133,"yyyymm")=TEXT(AO$118,"yyyymm")) * ($T119:$T133 * $N119:$N133)))+(SUMPRODUCT((TEXT($D119:$D133,"yyyymm")=TEXT(AO$118,"yyyymm")) * ($I119:$I133 * $C119:$C133)))</f>
        <v>0</v>
      </c>
      <c r="AP121" s="185" cm="1">
        <f t="array" ref="AP121">(SUMPRODUCT((TEXT($O119:$O133,"yyyymm")=TEXT(AP$118,"yyyymm")) * ($T119:$T133 * $N119:$N133)))+(SUMPRODUCT((TEXT($D119:$D133,"yyyymm")=TEXT(AP$118,"yyyymm")) * ($I119:$I133 * $C119:$C133)))</f>
        <v>0</v>
      </c>
      <c r="AQ121" s="185" cm="1">
        <f t="array" ref="AQ121">(SUMPRODUCT((TEXT($O119:$O133,"yyyymm")=TEXT(AQ$118,"yyyymm")) * ($T119:$T133 * $N119:$N133)))+(SUMPRODUCT((TEXT($D119:$D133,"yyyymm")=TEXT(AQ$118,"yyyymm")) * ($I119:$I133 * $C119:$C133)))</f>
        <v>0</v>
      </c>
      <c r="AR121" s="185" cm="1">
        <f t="array" ref="AR121">(SUMPRODUCT((TEXT($O119:$O133,"yyyymm")=TEXT(AR$118,"yyyymm")) * ($T119:$T133 * $N119:$N133)))+(SUMPRODUCT((TEXT($D119:$D133,"yyyymm")=TEXT(AR$118,"yyyymm")) * ($I119:$I133 * $C119:$C133)))</f>
        <v>0</v>
      </c>
      <c r="AS121" s="185" cm="1">
        <f t="array" ref="AS121">(SUMPRODUCT((TEXT($O119:$O133,"yyyymm")=TEXT(AS$118,"yyyymm")) * ($T119:$T133 * $N119:$N133)))+(SUMPRODUCT((TEXT($D119:$D133,"yyyymm")=TEXT(AS$118,"yyyymm")) * ($I119:$I133 * $C119:$C133)))</f>
        <v>0</v>
      </c>
      <c r="AT121" s="185" cm="1">
        <f t="array" ref="AT121">(SUMPRODUCT((TEXT($O119:$O133,"yyyymm")=TEXT(AT$118,"yyyymm")) * ($T119:$T133 * $N119:$N133)))+(SUMPRODUCT((TEXT($D119:$D133,"yyyymm")=TEXT(AT$118,"yyyymm")) * ($I119:$I133 * $C119:$C133)))</f>
        <v>0</v>
      </c>
      <c r="AU121" s="185" cm="1">
        <f t="array" ref="AU121">(SUMPRODUCT((TEXT($O119:$O133,"yyyymm")=TEXT(AU$118,"yyyymm")) * ($T119:$T133 * $N119:$N133)))+(SUMPRODUCT((TEXT($D119:$D133,"yyyymm")=TEXT(AU$118,"yyyymm")) * ($I119:$I133 * $C119:$C133)))</f>
        <v>0</v>
      </c>
      <c r="AV121" s="274">
        <f t="shared" ref="AV121:AV122" si="186">SUM(AJ121:AU121)</f>
        <v>0</v>
      </c>
      <c r="DB121" s="205">
        <f t="shared" si="184"/>
        <v>0</v>
      </c>
      <c r="DC121" s="204">
        <f t="shared" si="184"/>
        <v>0</v>
      </c>
      <c r="DD121" s="204">
        <f t="shared" si="184"/>
        <v>0</v>
      </c>
      <c r="DE121" s="204">
        <f t="shared" si="184"/>
        <v>0</v>
      </c>
      <c r="DF121" s="204">
        <f t="shared" si="184"/>
        <v>0</v>
      </c>
      <c r="DG121" s="204">
        <f t="shared" si="184"/>
        <v>0</v>
      </c>
      <c r="DH121" s="204">
        <f t="shared" si="184"/>
        <v>0</v>
      </c>
      <c r="DI121" s="204">
        <f t="shared" si="184"/>
        <v>0</v>
      </c>
      <c r="DJ121" s="204">
        <f t="shared" si="184"/>
        <v>0</v>
      </c>
      <c r="DK121" s="204">
        <f t="shared" si="184"/>
        <v>0</v>
      </c>
      <c r="DL121" s="204">
        <f t="shared" si="185"/>
        <v>0</v>
      </c>
      <c r="DM121" s="206">
        <f t="shared" si="185"/>
        <v>0</v>
      </c>
      <c r="DN121" s="185">
        <f t="shared" si="185"/>
        <v>0</v>
      </c>
      <c r="DO121" s="185">
        <f t="shared" si="185"/>
        <v>0</v>
      </c>
      <c r="DP121" s="185">
        <f t="shared" si="185"/>
        <v>0</v>
      </c>
      <c r="DQ121" s="185">
        <f t="shared" si="185"/>
        <v>0</v>
      </c>
      <c r="DR121" s="185">
        <f t="shared" si="185"/>
        <v>0</v>
      </c>
      <c r="DS121" s="185">
        <f t="shared" si="185"/>
        <v>0</v>
      </c>
      <c r="DT121" s="185">
        <f t="shared" si="185"/>
        <v>0</v>
      </c>
      <c r="DU121" s="185">
        <f t="shared" si="185"/>
        <v>0</v>
      </c>
      <c r="DV121" s="185">
        <f t="shared" si="185"/>
        <v>0</v>
      </c>
      <c r="DW121" s="185">
        <f t="shared" si="185"/>
        <v>0</v>
      </c>
      <c r="DX121" s="185">
        <f t="shared" si="185"/>
        <v>0</v>
      </c>
      <c r="DY121" s="185">
        <f t="shared" si="185"/>
        <v>0</v>
      </c>
    </row>
    <row r="122" spans="1:129" x14ac:dyDescent="0.35">
      <c r="B122" s="34"/>
      <c r="C122" s="209"/>
      <c r="D122" s="229"/>
      <c r="E122" s="220"/>
      <c r="F122" s="188">
        <f t="shared" si="180"/>
        <v>0</v>
      </c>
      <c r="G122" s="221"/>
      <c r="H122" s="527">
        <f t="shared" si="181"/>
        <v>0</v>
      </c>
      <c r="I122" s="219"/>
      <c r="J122" s="230"/>
      <c r="K122" s="186"/>
      <c r="L122" s="188"/>
      <c r="M122" s="34"/>
      <c r="N122" s="209"/>
      <c r="O122" s="229"/>
      <c r="P122" s="220"/>
      <c r="Q122" s="188">
        <f t="shared" si="182"/>
        <v>0</v>
      </c>
      <c r="R122" s="221"/>
      <c r="S122" s="527">
        <f t="shared" si="183"/>
        <v>0</v>
      </c>
      <c r="T122" s="219"/>
      <c r="U122" s="230"/>
      <c r="W122" s="184" t="s">
        <v>435</v>
      </c>
      <c r="X122" s="205" cm="1">
        <f t="array" ref="X122">IFERROR((SUMPRODUCT((TEXT($O119:$O133,"yyyymm")=TEXT(X$118,"yyyymm")) * ($U119:$U133 * $N119:$N133*$R119:$R133*$Q119:$Q133)))+(SUMPRODUCT((TEXT($D119:$D133,"yyyymm")=TEXT(X$118,"yyyymm")) * ($J119:$J133 * $C119:$C133*$G119:$G133*$F119:$F133))),0)</f>
        <v>0</v>
      </c>
      <c r="Y122" s="185" cm="1">
        <f t="array" ref="Y122">IFERROR((SUMPRODUCT((TEXT($O119:$O133,"yyyymm")=TEXT(Y$118,"yyyymm")) * ($U119:$U133 * $N119:$N133*$R119:$R133*$Q119:$Q133)))+(SUMPRODUCT((TEXT($D119:$D133,"yyyymm")=TEXT(Y$118,"yyyymm")) * ($J119:$J133 * $C119:$C133*$G119:$G133*$F119:$F133))),0)</f>
        <v>0</v>
      </c>
      <c r="Z122" s="185" cm="1">
        <f t="array" ref="Z122">IFERROR((SUMPRODUCT((TEXT($O119:$O133,"yyyymm")=TEXT(Z$118,"yyyymm")) * ($U119:$U133 * $N119:$N133*$R119:$R133*$Q119:$Q133)))+(SUMPRODUCT((TEXT($D119:$D133,"yyyymm")=TEXT(Z$118,"yyyymm")) * ($J119:$J133 * $C119:$C133*$G119:$G133*$F119:$F133))),0)</f>
        <v>0</v>
      </c>
      <c r="AA122" s="185" cm="1">
        <f t="array" ref="AA122">IFERROR((SUMPRODUCT((TEXT($O119:$O133,"yyyymm")=TEXT(AA$118,"yyyymm")) * ($U119:$U133 * $N119:$N133*$R119:$R133*$Q119:$Q133)))+(SUMPRODUCT((TEXT($D119:$D133,"yyyymm")=TEXT(AA$118,"yyyymm")) * ($J119:$J133 * $C119:$C133*$G119:$G133*$F119:$F133))),0)</f>
        <v>0</v>
      </c>
      <c r="AB122" s="185" cm="1">
        <f t="array" ref="AB122">IFERROR((SUMPRODUCT((TEXT($O119:$O133,"yyyymm")=TEXT(AB$118,"yyyymm")) * ($U119:$U133 * $N119:$N133*$R119:$R133*$Q119:$Q133)))+(SUMPRODUCT((TEXT($D119:$D133,"yyyymm")=TEXT(AB$118,"yyyymm")) * ($J119:$J133 * $C119:$C133*$G119:$G133*$F119:$F133))),0)</f>
        <v>0</v>
      </c>
      <c r="AC122" s="185" cm="1">
        <f t="array" ref="AC122">IFERROR((SUMPRODUCT((TEXT($O119:$O133,"yyyymm")=TEXT(AC$118,"yyyymm")) * ($U119:$U133 * $N119:$N133*$R119:$R133*$Q119:$Q133)))+(SUMPRODUCT((TEXT($D119:$D133,"yyyymm")=TEXT(AC$118,"yyyymm")) * ($J119:$J133 * $C119:$C133*$G119:$G133*$F119:$F133))),0)</f>
        <v>0</v>
      </c>
      <c r="AD122" s="185" cm="1">
        <f t="array" ref="AD122">IFERROR((SUMPRODUCT((TEXT($O119:$O133,"yyyymm")=TEXT(AD$118,"yyyymm")) * ($U119:$U133 * $N119:$N133*$R119:$R133*$Q119:$Q133)))+(SUMPRODUCT((TEXT($D119:$D133,"yyyymm")=TEXT(AD$118,"yyyymm")) * ($J119:$J133 * $C119:$C133*$G119:$G133*$F119:$F133))),0)</f>
        <v>0</v>
      </c>
      <c r="AE122" s="185" cm="1">
        <f t="array" ref="AE122">IFERROR((SUMPRODUCT((TEXT($O119:$O133,"yyyymm")=TEXT(AE$118,"yyyymm")) * ($U119:$U133 * $N119:$N133*$R119:$R133*$Q119:$Q133)))+(SUMPRODUCT((TEXT($D119:$D133,"yyyymm")=TEXT(AE$118,"yyyymm")) * ($J119:$J133 * $C119:$C133*$G119:$G133*$F119:$F133))),0)</f>
        <v>0</v>
      </c>
      <c r="AF122" s="185" cm="1">
        <f t="array" ref="AF122">IFERROR((SUMPRODUCT((TEXT($O119:$O133,"yyyymm")=TEXT(AF$118,"yyyymm")) * ($U119:$U133 * $N119:$N133*$R119:$R133*$Q119:$Q133)))+(SUMPRODUCT((TEXT($D119:$D133,"yyyymm")=TEXT(AF$118,"yyyymm")) * ($J119:$J133 * $C119:$C133*$G119:$G133*$F119:$F133))),0)</f>
        <v>0</v>
      </c>
      <c r="AG122" s="185" cm="1">
        <f t="array" ref="AG122">IFERROR((SUMPRODUCT((TEXT($O119:$O133,"yyyymm")=TEXT(AG$118,"yyyymm")) * ($U119:$U133 * $N119:$N133*$R119:$R133*$Q119:$Q133)))+(SUMPRODUCT((TEXT($D119:$D133,"yyyymm")=TEXT(AG$118,"yyyymm")) * ($J119:$J133 * $C119:$C133*$G119:$G133*$F119:$F133))),0)</f>
        <v>0</v>
      </c>
      <c r="AH122" s="185" cm="1">
        <f t="array" ref="AH122">IFERROR((SUMPRODUCT((TEXT($O119:$O133,"yyyymm")=TEXT(AH$118,"yyyymm")) * ($U119:$U133 * $N119:$N133*$R119:$R133*$Q119:$Q133)))+(SUMPRODUCT((TEXT($D119:$D133,"yyyymm")=TEXT(AH$118,"yyyymm")) * ($J119:$J133 * $C119:$C133*$G119:$G133*$F119:$F133))),0)</f>
        <v>0</v>
      </c>
      <c r="AI122" s="185" cm="1">
        <f t="array" ref="AI122">IFERROR((SUMPRODUCT((TEXT($O119:$O133,"yyyymm")=TEXT(AI$118,"yyyymm")) * ($U119:$U133 * $N119:$N133*$R119:$R133*$Q119:$Q133)))+(SUMPRODUCT((TEXT($D119:$D133,"yyyymm")=TEXT(AI$118,"yyyymm")) * ($J119:$J133 * $C119:$C133*$G119:$G133*$F119:$F133))),0)</f>
        <v>0</v>
      </c>
      <c r="AJ122" s="205" cm="1">
        <f t="array" ref="AJ122">IFERROR((SUMPRODUCT((TEXT($O119:$O133,"yyyymm")=TEXT(AJ$118,"yyyymm")) * ($U119:$U133 * $N119:$N133*$R119:$R133*$Q119:$Q133)))+(SUMPRODUCT((TEXT($D119:$D133,"yyyymm")=TEXT(AJ$118,"yyyymm")) * ($J119:$J133 * $C119:$C133*$G119:$G133*$F119:$F133))),0)</f>
        <v>5003.4599999999991</v>
      </c>
      <c r="AK122" s="185" cm="1">
        <f t="array" ref="AK122">IFERROR((SUMPRODUCT((TEXT($O119:$O133,"yyyymm")=TEXT(AK$118,"yyyymm")) * ($U119:$U133 * $N119:$N133*$R119:$R133*$Q119:$Q133)))+(SUMPRODUCT((TEXT($D119:$D133,"yyyymm")=TEXT(AK$118,"yyyymm")) * ($J119:$J133 * $C119:$C133*$G119:$G133*$F119:$F133))),0)</f>
        <v>0</v>
      </c>
      <c r="AL122" s="185" cm="1">
        <f t="array" ref="AL122">IFERROR((SUMPRODUCT((TEXT($O119:$O133,"yyyymm")=TEXT(AL$118,"yyyymm")) * ($U119:$U133 * $N119:$N133*$R119:$R133*$Q119:$Q133)))+(SUMPRODUCT((TEXT($D119:$D133,"yyyymm")=TEXT(AL$118,"yyyymm")) * ($J119:$J133 * $C119:$C133*$G119:$G133*$F119:$F133))),0)</f>
        <v>0</v>
      </c>
      <c r="AM122" s="185" cm="1">
        <f t="array" ref="AM122">IFERROR((SUMPRODUCT((TEXT($O119:$O133,"yyyymm")=TEXT(AM$118,"yyyymm")) * ($U119:$U133 * $N119:$N133*$R119:$R133*$Q119:$Q133)))+(SUMPRODUCT((TEXT($D119:$D133,"yyyymm")=TEXT(AM$118,"yyyymm")) * ($J119:$J133 * $C119:$C133*$G119:$G133*$F119:$F133))),0)</f>
        <v>0</v>
      </c>
      <c r="AN122" s="185" cm="1">
        <f t="array" ref="AN122">IFERROR((SUMPRODUCT((TEXT($O119:$O133,"yyyymm")=TEXT(AN$118,"yyyymm")) * ($U119:$U133 * $N119:$N133*$R119:$R133*$Q119:$Q133)))+(SUMPRODUCT((TEXT($D119:$D133,"yyyymm")=TEXT(AN$118,"yyyymm")) * ($J119:$J133 * $C119:$C133*$G119:$G133*$F119:$F133))),0)</f>
        <v>0</v>
      </c>
      <c r="AO122" s="185" cm="1">
        <f t="array" ref="AO122">IFERROR((SUMPRODUCT((TEXT($O119:$O133,"yyyymm")=TEXT(AO$118,"yyyymm")) * ($U119:$U133 * $N119:$N133*$R119:$R133*$Q119:$Q133)))+(SUMPRODUCT((TEXT($D119:$D133,"yyyymm")=TEXT(AO$118,"yyyymm")) * ($J119:$J133 * $C119:$C133*$G119:$G133*$F119:$F133))),0)</f>
        <v>0</v>
      </c>
      <c r="AP122" s="185" cm="1">
        <f t="array" ref="AP122">IFERROR((SUMPRODUCT((TEXT($O119:$O133,"yyyymm")=TEXT(AP$118,"yyyymm")) * ($U119:$U133 * $N119:$N133*$R119:$R133*$Q119:$Q133)))+(SUMPRODUCT((TEXT($D119:$D133,"yyyymm")=TEXT(AP$118,"yyyymm")) * ($J119:$J133 * $C119:$C133*$G119:$G133*$F119:$F133))),0)</f>
        <v>0</v>
      </c>
      <c r="AQ122" s="185" cm="1">
        <f t="array" ref="AQ122">IFERROR((SUMPRODUCT((TEXT($O119:$O133,"yyyymm")=TEXT(AQ$118,"yyyymm")) * ($U119:$U133 * $N119:$N133*$R119:$R133*$Q119:$Q133)))+(SUMPRODUCT((TEXT($D119:$D133,"yyyymm")=TEXT(AQ$118,"yyyymm")) * ($J119:$J133 * $C119:$C133*$G119:$G133*$F119:$F133))),0)</f>
        <v>0</v>
      </c>
      <c r="AR122" s="185" cm="1">
        <f t="array" ref="AR122">IFERROR((SUMPRODUCT((TEXT($O119:$O133,"yyyymm")=TEXT(AR$118,"yyyymm")) * ($U119:$U133 * $N119:$N133*$R119:$R133*$Q119:$Q133)))+(SUMPRODUCT((TEXT($D119:$D133,"yyyymm")=TEXT(AR$118,"yyyymm")) * ($J119:$J133 * $C119:$C133*$G119:$G133*$F119:$F133))),0)</f>
        <v>0</v>
      </c>
      <c r="AS122" s="185" cm="1">
        <f t="array" ref="AS122">IFERROR((SUMPRODUCT((TEXT($O119:$O133,"yyyymm")=TEXT(AS$118,"yyyymm")) * ($U119:$U133 * $N119:$N133*$R119:$R133*$Q119:$Q133)))+(SUMPRODUCT((TEXT($D119:$D133,"yyyymm")=TEXT(AS$118,"yyyymm")) * ($J119:$J133 * $C119:$C133*$G119:$G133*$F119:$F133))),0)</f>
        <v>0</v>
      </c>
      <c r="AT122" s="185" cm="1">
        <f t="array" ref="AT122">IFERROR((SUMPRODUCT((TEXT($O119:$O133,"yyyymm")=TEXT(AT$118,"yyyymm")) * ($U119:$U133 * $N119:$N133*$R119:$R133*$Q119:$Q133)))+(SUMPRODUCT((TEXT($D119:$D133,"yyyymm")=TEXT(AT$118,"yyyymm")) * ($J119:$J133 * $C119:$C133*$G119:$G133*$F119:$F133))),0)</f>
        <v>0</v>
      </c>
      <c r="AU122" s="185" cm="1">
        <f t="array" ref="AU122">IFERROR((SUMPRODUCT((TEXT($O119:$O133,"yyyymm")=TEXT(AU$118,"yyyymm")) * ($U119:$U133 * $N119:$N133*$R119:$R133*$Q119:$Q133)))+(SUMPRODUCT((TEXT($D119:$D133,"yyyymm")=TEXT(AU$118,"yyyymm")) * ($J119:$J133 * $C119:$C133*$G119:$G133*$F119:$F133))),0)</f>
        <v>0</v>
      </c>
      <c r="AV122" s="274">
        <f t="shared" si="186"/>
        <v>5003.4599999999991</v>
      </c>
      <c r="DB122" s="205">
        <f t="shared" si="184"/>
        <v>0</v>
      </c>
      <c r="DC122" s="204">
        <f t="shared" si="184"/>
        <v>0</v>
      </c>
      <c r="DD122" s="204">
        <f t="shared" si="184"/>
        <v>0</v>
      </c>
      <c r="DE122" s="204">
        <f t="shared" si="184"/>
        <v>0</v>
      </c>
      <c r="DF122" s="204">
        <f t="shared" si="184"/>
        <v>0</v>
      </c>
      <c r="DG122" s="204">
        <f t="shared" si="184"/>
        <v>0</v>
      </c>
      <c r="DH122" s="204">
        <f t="shared" si="184"/>
        <v>0</v>
      </c>
      <c r="DI122" s="204">
        <f t="shared" si="184"/>
        <v>0</v>
      </c>
      <c r="DJ122" s="204">
        <f t="shared" si="184"/>
        <v>0</v>
      </c>
      <c r="DK122" s="204">
        <f t="shared" si="184"/>
        <v>0</v>
      </c>
      <c r="DL122" s="204">
        <f t="shared" si="185"/>
        <v>0</v>
      </c>
      <c r="DM122" s="206">
        <f t="shared" si="185"/>
        <v>0</v>
      </c>
      <c r="DN122" s="185">
        <f t="shared" si="185"/>
        <v>0</v>
      </c>
      <c r="DO122" s="185">
        <f t="shared" si="185"/>
        <v>0</v>
      </c>
      <c r="DP122" s="185">
        <f t="shared" si="185"/>
        <v>0</v>
      </c>
      <c r="DQ122" s="185">
        <f t="shared" si="185"/>
        <v>0</v>
      </c>
      <c r="DR122" s="185">
        <f t="shared" si="185"/>
        <v>0</v>
      </c>
      <c r="DS122" s="185">
        <f t="shared" si="185"/>
        <v>0</v>
      </c>
      <c r="DT122" s="185">
        <f t="shared" si="185"/>
        <v>0</v>
      </c>
      <c r="DU122" s="185">
        <f t="shared" si="185"/>
        <v>0</v>
      </c>
      <c r="DV122" s="185">
        <f t="shared" si="185"/>
        <v>0</v>
      </c>
      <c r="DW122" s="185">
        <f t="shared" si="185"/>
        <v>0</v>
      </c>
      <c r="DX122" s="185">
        <f t="shared" si="185"/>
        <v>0</v>
      </c>
      <c r="DY122" s="185">
        <f t="shared" si="185"/>
        <v>0</v>
      </c>
    </row>
    <row r="123" spans="1:129" ht="17.5" x14ac:dyDescent="0.35">
      <c r="B123" s="34"/>
      <c r="C123" s="209"/>
      <c r="D123" s="229"/>
      <c r="E123" s="218"/>
      <c r="F123" s="188">
        <f t="shared" si="180"/>
        <v>0</v>
      </c>
      <c r="G123" s="219"/>
      <c r="H123" s="527">
        <f t="shared" si="181"/>
        <v>0</v>
      </c>
      <c r="I123" s="219"/>
      <c r="J123" s="230"/>
      <c r="K123" s="186"/>
      <c r="L123" s="188"/>
      <c r="M123" s="34"/>
      <c r="N123" s="209"/>
      <c r="O123" s="229"/>
      <c r="P123" s="218"/>
      <c r="Q123" s="188">
        <f t="shared" si="182"/>
        <v>0</v>
      </c>
      <c r="R123" s="219"/>
      <c r="S123" s="527">
        <f t="shared" si="183"/>
        <v>0</v>
      </c>
      <c r="T123" s="219"/>
      <c r="U123" s="230"/>
      <c r="W123" s="250" t="s">
        <v>368</v>
      </c>
      <c r="X123" s="145">
        <f>SUM(X120:X122)</f>
        <v>0</v>
      </c>
      <c r="Y123" s="145">
        <f t="shared" ref="Y123" si="187">SUM(Y120:Y122)</f>
        <v>0</v>
      </c>
      <c r="Z123" s="145">
        <f t="shared" ref="Z123" si="188">SUM(Z120:Z122)</f>
        <v>0</v>
      </c>
      <c r="AA123" s="145">
        <f t="shared" ref="AA123" si="189">SUM(AA120:AA122)</f>
        <v>0</v>
      </c>
      <c r="AB123" s="145">
        <f t="shared" ref="AB123" si="190">SUM(AB120:AB122)</f>
        <v>0</v>
      </c>
      <c r="AC123" s="145">
        <f t="shared" ref="AC123" si="191">SUM(AC120:AC122)</f>
        <v>0</v>
      </c>
      <c r="AD123" s="145">
        <f t="shared" ref="AD123" si="192">SUM(AD120:AD122)</f>
        <v>0</v>
      </c>
      <c r="AE123" s="145">
        <f t="shared" ref="AE123" si="193">SUM(AE120:AE122)</f>
        <v>0</v>
      </c>
      <c r="AF123" s="145">
        <f t="shared" ref="AF123" si="194">SUM(AF120:AF122)</f>
        <v>0</v>
      </c>
      <c r="AG123" s="145">
        <f t="shared" ref="AG123" si="195">SUM(AG120:AG122)</f>
        <v>0</v>
      </c>
      <c r="AH123" s="145">
        <f t="shared" ref="AH123" si="196">SUM(AH120:AH122)</f>
        <v>0</v>
      </c>
      <c r="AI123" s="145">
        <f t="shared" ref="AI123" si="197">SUM(AI120:AI122)</f>
        <v>0</v>
      </c>
      <c r="AJ123" s="145">
        <f t="shared" ref="AJ123" si="198">SUM(AJ120:AJ122)</f>
        <v>10477.043333333331</v>
      </c>
      <c r="AK123" s="145">
        <f t="shared" ref="AK123" si="199">SUM(AK120:AK122)</f>
        <v>5473.583333333333</v>
      </c>
      <c r="AL123" s="145">
        <f t="shared" ref="AL123" si="200">SUM(AL120:AL122)</f>
        <v>5473.583333333333</v>
      </c>
      <c r="AM123" s="145">
        <f t="shared" ref="AM123" si="201">SUM(AM120:AM122)</f>
        <v>5473.583333333333</v>
      </c>
      <c r="AN123" s="145">
        <f t="shared" ref="AN123" si="202">SUM(AN120:AN122)</f>
        <v>5473.583333333333</v>
      </c>
      <c r="AO123" s="145">
        <f t="shared" ref="AO123" si="203">SUM(AO120:AO122)</f>
        <v>5473.583333333333</v>
      </c>
      <c r="AP123" s="145">
        <f t="shared" ref="AP123" si="204">SUM(AP120:AP122)</f>
        <v>5473.583333333333</v>
      </c>
      <c r="AQ123" s="145">
        <f t="shared" ref="AQ123" si="205">SUM(AQ120:AQ122)</f>
        <v>5473.583333333333</v>
      </c>
      <c r="AR123" s="145">
        <f t="shared" ref="AR123" si="206">SUM(AR120:AR122)</f>
        <v>5473.583333333333</v>
      </c>
      <c r="AS123" s="145">
        <f t="shared" ref="AS123" si="207">SUM(AS120:AS122)</f>
        <v>5473.583333333333</v>
      </c>
      <c r="AT123" s="145">
        <f t="shared" ref="AT123" si="208">SUM(AT120:AT122)</f>
        <v>5473.583333333333</v>
      </c>
      <c r="AU123" s="251">
        <f t="shared" ref="AU123:AV123" si="209">SUM(AU120:AU122)</f>
        <v>5473.583333333333</v>
      </c>
      <c r="AV123" s="145">
        <f t="shared" si="209"/>
        <v>70686.460000000021</v>
      </c>
      <c r="DB123" s="205">
        <f t="shared" si="184"/>
        <v>0</v>
      </c>
      <c r="DC123" s="204">
        <f t="shared" si="184"/>
        <v>0</v>
      </c>
      <c r="DD123" s="204">
        <f t="shared" si="184"/>
        <v>0</v>
      </c>
      <c r="DE123" s="204">
        <f t="shared" si="184"/>
        <v>0</v>
      </c>
      <c r="DF123" s="204">
        <f t="shared" si="184"/>
        <v>0</v>
      </c>
      <c r="DG123" s="204">
        <f t="shared" si="184"/>
        <v>0</v>
      </c>
      <c r="DH123" s="204">
        <f t="shared" si="184"/>
        <v>0</v>
      </c>
      <c r="DI123" s="204">
        <f t="shared" si="184"/>
        <v>0</v>
      </c>
      <c r="DJ123" s="204">
        <f t="shared" si="184"/>
        <v>0</v>
      </c>
      <c r="DK123" s="204">
        <f t="shared" si="184"/>
        <v>0</v>
      </c>
      <c r="DL123" s="204">
        <f t="shared" si="185"/>
        <v>0</v>
      </c>
      <c r="DM123" s="206">
        <f t="shared" si="185"/>
        <v>0</v>
      </c>
      <c r="DN123" s="185">
        <f t="shared" si="185"/>
        <v>0</v>
      </c>
      <c r="DO123" s="185">
        <f t="shared" si="185"/>
        <v>0</v>
      </c>
      <c r="DP123" s="185">
        <f t="shared" si="185"/>
        <v>0</v>
      </c>
      <c r="DQ123" s="185">
        <f t="shared" si="185"/>
        <v>0</v>
      </c>
      <c r="DR123" s="185">
        <f t="shared" si="185"/>
        <v>0</v>
      </c>
      <c r="DS123" s="185">
        <f t="shared" si="185"/>
        <v>0</v>
      </c>
      <c r="DT123" s="185">
        <f t="shared" si="185"/>
        <v>0</v>
      </c>
      <c r="DU123" s="185">
        <f t="shared" si="185"/>
        <v>0</v>
      </c>
      <c r="DV123" s="185">
        <f t="shared" si="185"/>
        <v>0</v>
      </c>
      <c r="DW123" s="185">
        <f t="shared" si="185"/>
        <v>0</v>
      </c>
      <c r="DX123" s="185">
        <f t="shared" si="185"/>
        <v>0</v>
      </c>
      <c r="DY123" s="185">
        <f t="shared" si="185"/>
        <v>0</v>
      </c>
    </row>
    <row r="124" spans="1:129" x14ac:dyDescent="0.25">
      <c r="D124" s="229"/>
      <c r="E124" s="218"/>
      <c r="F124" s="188">
        <f t="shared" si="180"/>
        <v>0</v>
      </c>
      <c r="G124" s="219"/>
      <c r="H124" s="527">
        <f t="shared" si="181"/>
        <v>0</v>
      </c>
      <c r="I124" s="219"/>
      <c r="J124" s="230"/>
      <c r="L124" s="188"/>
      <c r="O124" s="229"/>
      <c r="P124" s="218"/>
      <c r="Q124" s="188">
        <f t="shared" si="182"/>
        <v>0</v>
      </c>
      <c r="R124" s="219"/>
      <c r="S124" s="527">
        <f t="shared" si="183"/>
        <v>0</v>
      </c>
      <c r="T124" s="219"/>
      <c r="U124" s="230"/>
      <c r="DB124" s="205">
        <f t="shared" si="184"/>
        <v>0</v>
      </c>
      <c r="DC124" s="204">
        <f t="shared" si="184"/>
        <v>0</v>
      </c>
      <c r="DD124" s="204">
        <f t="shared" si="184"/>
        <v>0</v>
      </c>
      <c r="DE124" s="204">
        <f t="shared" si="184"/>
        <v>0</v>
      </c>
      <c r="DF124" s="204">
        <f t="shared" si="184"/>
        <v>0</v>
      </c>
      <c r="DG124" s="204">
        <f t="shared" si="184"/>
        <v>0</v>
      </c>
      <c r="DH124" s="204">
        <f t="shared" si="184"/>
        <v>0</v>
      </c>
      <c r="DI124" s="204">
        <f t="shared" si="184"/>
        <v>0</v>
      </c>
      <c r="DJ124" s="204">
        <f t="shared" si="184"/>
        <v>0</v>
      </c>
      <c r="DK124" s="204">
        <f t="shared" si="184"/>
        <v>0</v>
      </c>
      <c r="DL124" s="204">
        <f t="shared" si="185"/>
        <v>0</v>
      </c>
      <c r="DM124" s="206">
        <f t="shared" si="185"/>
        <v>0</v>
      </c>
      <c r="DN124" s="185">
        <f t="shared" si="185"/>
        <v>0</v>
      </c>
      <c r="DO124" s="185">
        <f t="shared" si="185"/>
        <v>0</v>
      </c>
      <c r="DP124" s="185">
        <f t="shared" si="185"/>
        <v>0</v>
      </c>
      <c r="DQ124" s="185">
        <f t="shared" si="185"/>
        <v>0</v>
      </c>
      <c r="DR124" s="185">
        <f t="shared" si="185"/>
        <v>0</v>
      </c>
      <c r="DS124" s="185">
        <f t="shared" si="185"/>
        <v>0</v>
      </c>
      <c r="DT124" s="185">
        <f t="shared" si="185"/>
        <v>0</v>
      </c>
      <c r="DU124" s="185">
        <f t="shared" si="185"/>
        <v>0</v>
      </c>
      <c r="DV124" s="185">
        <f t="shared" si="185"/>
        <v>0</v>
      </c>
      <c r="DW124" s="185">
        <f t="shared" si="185"/>
        <v>0</v>
      </c>
      <c r="DX124" s="185">
        <f t="shared" si="185"/>
        <v>0</v>
      </c>
      <c r="DY124" s="185">
        <f t="shared" si="185"/>
        <v>0</v>
      </c>
    </row>
    <row r="125" spans="1:129" x14ac:dyDescent="0.35">
      <c r="B125" s="34"/>
      <c r="C125" s="209"/>
      <c r="D125" s="229"/>
      <c r="E125" s="218"/>
      <c r="F125" s="188">
        <f t="shared" si="180"/>
        <v>0</v>
      </c>
      <c r="G125" s="219"/>
      <c r="H125" s="527">
        <f t="shared" si="181"/>
        <v>0</v>
      </c>
      <c r="I125" s="221"/>
      <c r="J125" s="230"/>
      <c r="K125" s="186"/>
      <c r="L125" s="188"/>
      <c r="M125" s="34"/>
      <c r="N125" s="209"/>
      <c r="O125" s="229"/>
      <c r="P125" s="218"/>
      <c r="Q125" s="188">
        <f t="shared" si="182"/>
        <v>0</v>
      </c>
      <c r="R125" s="219"/>
      <c r="S125" s="527">
        <f t="shared" si="183"/>
        <v>0</v>
      </c>
      <c r="T125" s="221"/>
      <c r="U125" s="230"/>
      <c r="W125" s="245" t="s">
        <v>440</v>
      </c>
      <c r="AK125" s="185"/>
      <c r="DB125" s="205">
        <f t="shared" si="184"/>
        <v>0</v>
      </c>
      <c r="DC125" s="204">
        <f t="shared" si="184"/>
        <v>0</v>
      </c>
      <c r="DD125" s="204">
        <f t="shared" si="184"/>
        <v>0</v>
      </c>
      <c r="DE125" s="204">
        <f t="shared" si="184"/>
        <v>0</v>
      </c>
      <c r="DF125" s="204">
        <f t="shared" si="184"/>
        <v>0</v>
      </c>
      <c r="DG125" s="204">
        <f t="shared" si="184"/>
        <v>0</v>
      </c>
      <c r="DH125" s="204">
        <f t="shared" si="184"/>
        <v>0</v>
      </c>
      <c r="DI125" s="204">
        <f t="shared" si="184"/>
        <v>0</v>
      </c>
      <c r="DJ125" s="204">
        <f t="shared" si="184"/>
        <v>0</v>
      </c>
      <c r="DK125" s="204">
        <f t="shared" si="184"/>
        <v>0</v>
      </c>
      <c r="DL125" s="204">
        <f t="shared" si="185"/>
        <v>0</v>
      </c>
      <c r="DM125" s="206">
        <f t="shared" si="185"/>
        <v>0</v>
      </c>
      <c r="DN125" s="185">
        <f t="shared" si="185"/>
        <v>0</v>
      </c>
      <c r="DO125" s="185">
        <f t="shared" si="185"/>
        <v>0</v>
      </c>
      <c r="DP125" s="185">
        <f t="shared" si="185"/>
        <v>0</v>
      </c>
      <c r="DQ125" s="185">
        <f t="shared" si="185"/>
        <v>0</v>
      </c>
      <c r="DR125" s="185">
        <f t="shared" si="185"/>
        <v>0</v>
      </c>
      <c r="DS125" s="185">
        <f t="shared" si="185"/>
        <v>0</v>
      </c>
      <c r="DT125" s="185">
        <f t="shared" si="185"/>
        <v>0</v>
      </c>
      <c r="DU125" s="185">
        <f t="shared" si="185"/>
        <v>0</v>
      </c>
      <c r="DV125" s="185">
        <f t="shared" si="185"/>
        <v>0</v>
      </c>
      <c r="DW125" s="185">
        <f t="shared" si="185"/>
        <v>0</v>
      </c>
      <c r="DX125" s="185">
        <f t="shared" si="185"/>
        <v>0</v>
      </c>
      <c r="DY125" s="185">
        <f t="shared" si="185"/>
        <v>0</v>
      </c>
    </row>
    <row r="126" spans="1:129" x14ac:dyDescent="0.35">
      <c r="B126" s="34"/>
      <c r="C126" s="209"/>
      <c r="D126" s="229"/>
      <c r="E126" s="218"/>
      <c r="F126" s="188">
        <f t="shared" si="180"/>
        <v>0</v>
      </c>
      <c r="G126" s="219"/>
      <c r="H126" s="527">
        <f t="shared" si="181"/>
        <v>0</v>
      </c>
      <c r="I126" s="221"/>
      <c r="J126" s="230"/>
      <c r="K126" s="186"/>
      <c r="L126" s="188"/>
      <c r="M126" s="34"/>
      <c r="N126" s="209"/>
      <c r="O126" s="229"/>
      <c r="P126" s="218"/>
      <c r="Q126" s="188">
        <f t="shared" si="182"/>
        <v>0</v>
      </c>
      <c r="R126" s="219"/>
      <c r="S126" s="527">
        <f t="shared" si="183"/>
        <v>0</v>
      </c>
      <c r="T126" s="221"/>
      <c r="U126" s="230"/>
      <c r="W126" s="245" t="s">
        <v>441</v>
      </c>
      <c r="AK126" s="185"/>
      <c r="DB126" s="205">
        <f t="shared" si="184"/>
        <v>0</v>
      </c>
      <c r="DC126" s="204">
        <f t="shared" si="184"/>
        <v>0</v>
      </c>
      <c r="DD126" s="204">
        <f t="shared" si="184"/>
        <v>0</v>
      </c>
      <c r="DE126" s="204">
        <f t="shared" si="184"/>
        <v>0</v>
      </c>
      <c r="DF126" s="204">
        <f t="shared" si="184"/>
        <v>0</v>
      </c>
      <c r="DG126" s="204">
        <f t="shared" si="184"/>
        <v>0</v>
      </c>
      <c r="DH126" s="204">
        <f t="shared" si="184"/>
        <v>0</v>
      </c>
      <c r="DI126" s="204">
        <f t="shared" si="184"/>
        <v>0</v>
      </c>
      <c r="DJ126" s="204">
        <f t="shared" si="184"/>
        <v>0</v>
      </c>
      <c r="DK126" s="204">
        <f t="shared" si="184"/>
        <v>0</v>
      </c>
      <c r="DL126" s="204">
        <f t="shared" si="185"/>
        <v>0</v>
      </c>
      <c r="DM126" s="206">
        <f t="shared" si="185"/>
        <v>0</v>
      </c>
      <c r="DN126" s="185">
        <f t="shared" si="185"/>
        <v>0</v>
      </c>
      <c r="DO126" s="185">
        <f t="shared" si="185"/>
        <v>0</v>
      </c>
      <c r="DP126" s="185">
        <f t="shared" si="185"/>
        <v>0</v>
      </c>
      <c r="DQ126" s="185">
        <f t="shared" si="185"/>
        <v>0</v>
      </c>
      <c r="DR126" s="185">
        <f t="shared" si="185"/>
        <v>0</v>
      </c>
      <c r="DS126" s="185">
        <f t="shared" si="185"/>
        <v>0</v>
      </c>
      <c r="DT126" s="185">
        <f t="shared" si="185"/>
        <v>0</v>
      </c>
      <c r="DU126" s="185">
        <f t="shared" si="185"/>
        <v>0</v>
      </c>
      <c r="DV126" s="185">
        <f t="shared" si="185"/>
        <v>0</v>
      </c>
      <c r="DW126" s="185">
        <f t="shared" si="185"/>
        <v>0</v>
      </c>
      <c r="DX126" s="185">
        <f t="shared" si="185"/>
        <v>0</v>
      </c>
      <c r="DY126" s="185">
        <f t="shared" si="185"/>
        <v>0</v>
      </c>
    </row>
    <row r="127" spans="1:129" x14ac:dyDescent="0.35">
      <c r="B127" s="34"/>
      <c r="C127" s="209"/>
      <c r="D127" s="229"/>
      <c r="E127" s="218"/>
      <c r="F127" s="188">
        <f t="shared" si="180"/>
        <v>0</v>
      </c>
      <c r="G127" s="219"/>
      <c r="H127" s="527">
        <f t="shared" si="181"/>
        <v>0</v>
      </c>
      <c r="I127" s="221"/>
      <c r="J127" s="230"/>
      <c r="K127" s="186"/>
      <c r="L127" s="188"/>
      <c r="M127" s="34"/>
      <c r="N127" s="209"/>
      <c r="O127" s="229"/>
      <c r="P127" s="218"/>
      <c r="Q127" s="188">
        <f t="shared" si="182"/>
        <v>0</v>
      </c>
      <c r="R127" s="219"/>
      <c r="S127" s="527">
        <f t="shared" si="183"/>
        <v>0</v>
      </c>
      <c r="T127" s="221"/>
      <c r="U127" s="230"/>
      <c r="DB127" s="205">
        <f t="shared" si="184"/>
        <v>0</v>
      </c>
      <c r="DC127" s="204">
        <f t="shared" si="184"/>
        <v>0</v>
      </c>
      <c r="DD127" s="204">
        <f t="shared" si="184"/>
        <v>0</v>
      </c>
      <c r="DE127" s="204">
        <f t="shared" si="184"/>
        <v>0</v>
      </c>
      <c r="DF127" s="204">
        <f t="shared" si="184"/>
        <v>0</v>
      </c>
      <c r="DG127" s="204">
        <f t="shared" si="184"/>
        <v>0</v>
      </c>
      <c r="DH127" s="204">
        <f t="shared" si="184"/>
        <v>0</v>
      </c>
      <c r="DI127" s="204">
        <f t="shared" si="184"/>
        <v>0</v>
      </c>
      <c r="DJ127" s="204">
        <f t="shared" si="184"/>
        <v>0</v>
      </c>
      <c r="DK127" s="204">
        <f t="shared" si="184"/>
        <v>0</v>
      </c>
      <c r="DL127" s="204">
        <f t="shared" si="185"/>
        <v>0</v>
      </c>
      <c r="DM127" s="206">
        <f t="shared" si="185"/>
        <v>0</v>
      </c>
      <c r="DN127" s="185">
        <f t="shared" si="185"/>
        <v>0</v>
      </c>
      <c r="DO127" s="185">
        <f t="shared" si="185"/>
        <v>0</v>
      </c>
      <c r="DP127" s="185">
        <f t="shared" si="185"/>
        <v>0</v>
      </c>
      <c r="DQ127" s="185">
        <f t="shared" si="185"/>
        <v>0</v>
      </c>
      <c r="DR127" s="185">
        <f t="shared" si="185"/>
        <v>0</v>
      </c>
      <c r="DS127" s="185">
        <f t="shared" si="185"/>
        <v>0</v>
      </c>
      <c r="DT127" s="185">
        <f t="shared" si="185"/>
        <v>0</v>
      </c>
      <c r="DU127" s="185">
        <f t="shared" si="185"/>
        <v>0</v>
      </c>
      <c r="DV127" s="185">
        <f t="shared" si="185"/>
        <v>0</v>
      </c>
      <c r="DW127" s="185">
        <f t="shared" si="185"/>
        <v>0</v>
      </c>
      <c r="DX127" s="185">
        <f t="shared" si="185"/>
        <v>0</v>
      </c>
      <c r="DY127" s="185">
        <f t="shared" si="185"/>
        <v>0</v>
      </c>
    </row>
    <row r="128" spans="1:129" x14ac:dyDescent="0.35">
      <c r="B128" s="34"/>
      <c r="C128" s="209"/>
      <c r="D128" s="229"/>
      <c r="E128" s="218"/>
      <c r="F128" s="188">
        <f t="shared" si="180"/>
        <v>0</v>
      </c>
      <c r="G128" s="219"/>
      <c r="H128" s="527">
        <f t="shared" si="181"/>
        <v>0</v>
      </c>
      <c r="I128" s="221"/>
      <c r="J128" s="230"/>
      <c r="K128" s="186"/>
      <c r="L128" s="188"/>
      <c r="M128" s="34"/>
      <c r="N128" s="209"/>
      <c r="O128" s="229"/>
      <c r="P128" s="218"/>
      <c r="Q128" s="188">
        <f t="shared" si="182"/>
        <v>0</v>
      </c>
      <c r="R128" s="219"/>
      <c r="S128" s="527">
        <f t="shared" si="183"/>
        <v>0</v>
      </c>
      <c r="T128" s="221"/>
      <c r="U128" s="230"/>
      <c r="DB128" s="205">
        <f t="shared" si="184"/>
        <v>0</v>
      </c>
      <c r="DC128" s="204">
        <f t="shared" si="184"/>
        <v>0</v>
      </c>
      <c r="DD128" s="204">
        <f t="shared" si="184"/>
        <v>0</v>
      </c>
      <c r="DE128" s="204">
        <f t="shared" si="184"/>
        <v>0</v>
      </c>
      <c r="DF128" s="204">
        <f t="shared" si="184"/>
        <v>0</v>
      </c>
      <c r="DG128" s="204">
        <f t="shared" si="184"/>
        <v>0</v>
      </c>
      <c r="DH128" s="204">
        <f t="shared" si="184"/>
        <v>0</v>
      </c>
      <c r="DI128" s="204">
        <f t="shared" si="184"/>
        <v>0</v>
      </c>
      <c r="DJ128" s="204">
        <f t="shared" si="184"/>
        <v>0</v>
      </c>
      <c r="DK128" s="204">
        <f t="shared" si="184"/>
        <v>0</v>
      </c>
      <c r="DL128" s="204">
        <f t="shared" si="185"/>
        <v>0</v>
      </c>
      <c r="DM128" s="206">
        <f t="shared" si="185"/>
        <v>0</v>
      </c>
      <c r="DN128" s="185">
        <f t="shared" si="185"/>
        <v>0</v>
      </c>
      <c r="DO128" s="185">
        <f t="shared" si="185"/>
        <v>0</v>
      </c>
      <c r="DP128" s="185">
        <f t="shared" si="185"/>
        <v>0</v>
      </c>
      <c r="DQ128" s="185">
        <f t="shared" si="185"/>
        <v>0</v>
      </c>
      <c r="DR128" s="185">
        <f t="shared" si="185"/>
        <v>0</v>
      </c>
      <c r="DS128" s="185">
        <f t="shared" si="185"/>
        <v>0</v>
      </c>
      <c r="DT128" s="185">
        <f t="shared" si="185"/>
        <v>0</v>
      </c>
      <c r="DU128" s="185">
        <f t="shared" si="185"/>
        <v>0</v>
      </c>
      <c r="DV128" s="185">
        <f t="shared" si="185"/>
        <v>0</v>
      </c>
      <c r="DW128" s="185">
        <f t="shared" si="185"/>
        <v>0</v>
      </c>
      <c r="DX128" s="185">
        <f t="shared" si="185"/>
        <v>0</v>
      </c>
      <c r="DY128" s="185">
        <f t="shared" si="185"/>
        <v>0</v>
      </c>
    </row>
    <row r="129" spans="1:129" x14ac:dyDescent="0.35">
      <c r="B129" s="34"/>
      <c r="C129" s="209"/>
      <c r="D129" s="229"/>
      <c r="E129" s="218"/>
      <c r="F129" s="188">
        <f t="shared" si="180"/>
        <v>0</v>
      </c>
      <c r="G129" s="219"/>
      <c r="H129" s="527">
        <f t="shared" si="181"/>
        <v>0</v>
      </c>
      <c r="I129" s="221"/>
      <c r="J129" s="230"/>
      <c r="K129" s="186"/>
      <c r="L129" s="188"/>
      <c r="M129" s="34"/>
      <c r="N129" s="209"/>
      <c r="O129" s="229"/>
      <c r="P129" s="218"/>
      <c r="Q129" s="188">
        <f t="shared" si="182"/>
        <v>0</v>
      </c>
      <c r="R129" s="219"/>
      <c r="S129" s="527">
        <f t="shared" si="183"/>
        <v>0</v>
      </c>
      <c r="T129" s="221"/>
      <c r="U129" s="230"/>
      <c r="DB129" s="205">
        <f t="shared" si="184"/>
        <v>0</v>
      </c>
      <c r="DC129" s="204">
        <f t="shared" si="184"/>
        <v>0</v>
      </c>
      <c r="DD129" s="204">
        <f t="shared" si="184"/>
        <v>0</v>
      </c>
      <c r="DE129" s="204">
        <f t="shared" si="184"/>
        <v>0</v>
      </c>
      <c r="DF129" s="204">
        <f t="shared" si="184"/>
        <v>0</v>
      </c>
      <c r="DG129" s="204">
        <f t="shared" si="184"/>
        <v>0</v>
      </c>
      <c r="DH129" s="204">
        <f t="shared" si="184"/>
        <v>0</v>
      </c>
      <c r="DI129" s="204">
        <f t="shared" si="184"/>
        <v>0</v>
      </c>
      <c r="DJ129" s="204">
        <f t="shared" si="184"/>
        <v>0</v>
      </c>
      <c r="DK129" s="204">
        <f t="shared" si="184"/>
        <v>0</v>
      </c>
      <c r="DL129" s="204">
        <f t="shared" si="185"/>
        <v>0</v>
      </c>
      <c r="DM129" s="206">
        <f t="shared" si="185"/>
        <v>0</v>
      </c>
      <c r="DN129" s="185">
        <f t="shared" si="185"/>
        <v>0</v>
      </c>
      <c r="DO129" s="185">
        <f t="shared" si="185"/>
        <v>0</v>
      </c>
      <c r="DP129" s="185">
        <f t="shared" si="185"/>
        <v>0</v>
      </c>
      <c r="DQ129" s="185">
        <f t="shared" si="185"/>
        <v>0</v>
      </c>
      <c r="DR129" s="185">
        <f t="shared" si="185"/>
        <v>0</v>
      </c>
      <c r="DS129" s="185">
        <f t="shared" si="185"/>
        <v>0</v>
      </c>
      <c r="DT129" s="185">
        <f t="shared" si="185"/>
        <v>0</v>
      </c>
      <c r="DU129" s="185">
        <f t="shared" si="185"/>
        <v>0</v>
      </c>
      <c r="DV129" s="185">
        <f t="shared" si="185"/>
        <v>0</v>
      </c>
      <c r="DW129" s="185">
        <f t="shared" si="185"/>
        <v>0</v>
      </c>
      <c r="DX129" s="185">
        <f t="shared" si="185"/>
        <v>0</v>
      </c>
      <c r="DY129" s="185">
        <f t="shared" si="185"/>
        <v>0</v>
      </c>
    </row>
    <row r="130" spans="1:129" x14ac:dyDescent="0.35">
      <c r="B130" s="34"/>
      <c r="C130" s="209"/>
      <c r="D130" s="229"/>
      <c r="E130" s="218"/>
      <c r="F130" s="188">
        <f t="shared" si="180"/>
        <v>0</v>
      </c>
      <c r="G130" s="219"/>
      <c r="H130" s="527">
        <f t="shared" si="181"/>
        <v>0</v>
      </c>
      <c r="I130" s="219"/>
      <c r="J130" s="230"/>
      <c r="K130" s="186"/>
      <c r="L130" s="188"/>
      <c r="M130" s="34"/>
      <c r="N130" s="209"/>
      <c r="O130" s="229"/>
      <c r="P130" s="218"/>
      <c r="Q130" s="188">
        <f t="shared" si="182"/>
        <v>0</v>
      </c>
      <c r="R130" s="219"/>
      <c r="S130" s="527">
        <f t="shared" si="183"/>
        <v>0</v>
      </c>
      <c r="T130" s="219"/>
      <c r="U130" s="230"/>
      <c r="DB130" s="205">
        <f t="shared" si="184"/>
        <v>0</v>
      </c>
      <c r="DC130" s="204">
        <f t="shared" si="184"/>
        <v>0</v>
      </c>
      <c r="DD130" s="204">
        <f t="shared" si="184"/>
        <v>0</v>
      </c>
      <c r="DE130" s="204">
        <f t="shared" si="184"/>
        <v>0</v>
      </c>
      <c r="DF130" s="204">
        <f t="shared" si="184"/>
        <v>0</v>
      </c>
      <c r="DG130" s="204">
        <f t="shared" si="184"/>
        <v>0</v>
      </c>
      <c r="DH130" s="204">
        <f t="shared" si="184"/>
        <v>0</v>
      </c>
      <c r="DI130" s="204">
        <f t="shared" si="184"/>
        <v>0</v>
      </c>
      <c r="DJ130" s="204">
        <f t="shared" si="184"/>
        <v>0</v>
      </c>
      <c r="DK130" s="204">
        <f t="shared" si="184"/>
        <v>0</v>
      </c>
      <c r="DL130" s="204">
        <f t="shared" si="185"/>
        <v>0</v>
      </c>
      <c r="DM130" s="206">
        <f t="shared" si="185"/>
        <v>0</v>
      </c>
      <c r="DN130" s="185">
        <f t="shared" si="185"/>
        <v>0</v>
      </c>
      <c r="DO130" s="185">
        <f t="shared" si="185"/>
        <v>0</v>
      </c>
      <c r="DP130" s="185">
        <f t="shared" si="185"/>
        <v>0</v>
      </c>
      <c r="DQ130" s="185">
        <f t="shared" si="185"/>
        <v>0</v>
      </c>
      <c r="DR130" s="185">
        <f t="shared" si="185"/>
        <v>0</v>
      </c>
      <c r="DS130" s="185">
        <f t="shared" si="185"/>
        <v>0</v>
      </c>
      <c r="DT130" s="185">
        <f t="shared" si="185"/>
        <v>0</v>
      </c>
      <c r="DU130" s="185">
        <f t="shared" si="185"/>
        <v>0</v>
      </c>
      <c r="DV130" s="185">
        <f t="shared" si="185"/>
        <v>0</v>
      </c>
      <c r="DW130" s="185">
        <f t="shared" si="185"/>
        <v>0</v>
      </c>
      <c r="DX130" s="185">
        <f t="shared" si="185"/>
        <v>0</v>
      </c>
      <c r="DY130" s="185">
        <f t="shared" si="185"/>
        <v>0</v>
      </c>
    </row>
    <row r="131" spans="1:129" x14ac:dyDescent="0.35">
      <c r="B131" s="34"/>
      <c r="C131" s="209"/>
      <c r="D131" s="229"/>
      <c r="E131" s="218"/>
      <c r="F131" s="188">
        <f t="shared" si="180"/>
        <v>0</v>
      </c>
      <c r="G131" s="219"/>
      <c r="H131" s="527">
        <f t="shared" si="181"/>
        <v>0</v>
      </c>
      <c r="I131" s="219"/>
      <c r="J131" s="230"/>
      <c r="K131" s="186"/>
      <c r="L131" s="188"/>
      <c r="M131" s="34"/>
      <c r="N131" s="209"/>
      <c r="O131" s="229"/>
      <c r="P131" s="218"/>
      <c r="Q131" s="188">
        <f t="shared" si="182"/>
        <v>0</v>
      </c>
      <c r="R131" s="219"/>
      <c r="S131" s="527">
        <f t="shared" si="183"/>
        <v>0</v>
      </c>
      <c r="T131" s="219"/>
      <c r="U131" s="230"/>
      <c r="DB131" s="205">
        <f t="shared" si="184"/>
        <v>0</v>
      </c>
      <c r="DC131" s="204">
        <f t="shared" si="184"/>
        <v>0</v>
      </c>
      <c r="DD131" s="204">
        <f t="shared" si="184"/>
        <v>0</v>
      </c>
      <c r="DE131" s="204">
        <f t="shared" si="184"/>
        <v>0</v>
      </c>
      <c r="DF131" s="204">
        <f t="shared" si="184"/>
        <v>0</v>
      </c>
      <c r="DG131" s="204">
        <f t="shared" si="184"/>
        <v>0</v>
      </c>
      <c r="DH131" s="204">
        <f t="shared" si="184"/>
        <v>0</v>
      </c>
      <c r="DI131" s="204">
        <f t="shared" si="184"/>
        <v>0</v>
      </c>
      <c r="DJ131" s="204">
        <f t="shared" si="184"/>
        <v>0</v>
      </c>
      <c r="DK131" s="204">
        <f t="shared" si="184"/>
        <v>0</v>
      </c>
      <c r="DL131" s="204">
        <f t="shared" si="185"/>
        <v>0</v>
      </c>
      <c r="DM131" s="206">
        <f t="shared" si="185"/>
        <v>0</v>
      </c>
      <c r="DN131" s="185">
        <f t="shared" si="185"/>
        <v>0</v>
      </c>
      <c r="DO131" s="185">
        <f t="shared" si="185"/>
        <v>0</v>
      </c>
      <c r="DP131" s="185">
        <f t="shared" si="185"/>
        <v>0</v>
      </c>
      <c r="DQ131" s="185">
        <f t="shared" si="185"/>
        <v>0</v>
      </c>
      <c r="DR131" s="185">
        <f t="shared" si="185"/>
        <v>0</v>
      </c>
      <c r="DS131" s="185">
        <f t="shared" si="185"/>
        <v>0</v>
      </c>
      <c r="DT131" s="185">
        <f t="shared" si="185"/>
        <v>0</v>
      </c>
      <c r="DU131" s="185">
        <f t="shared" si="185"/>
        <v>0</v>
      </c>
      <c r="DV131" s="185">
        <f t="shared" si="185"/>
        <v>0</v>
      </c>
      <c r="DW131" s="185">
        <f t="shared" si="185"/>
        <v>0</v>
      </c>
      <c r="DX131" s="185">
        <f t="shared" si="185"/>
        <v>0</v>
      </c>
      <c r="DY131" s="185">
        <f t="shared" si="185"/>
        <v>0</v>
      </c>
    </row>
    <row r="132" spans="1:129" x14ac:dyDescent="0.35">
      <c r="B132" s="34"/>
      <c r="C132" s="209"/>
      <c r="D132" s="229"/>
      <c r="E132" s="218"/>
      <c r="F132" s="188">
        <f t="shared" si="180"/>
        <v>0</v>
      </c>
      <c r="G132" s="219"/>
      <c r="H132" s="527">
        <f t="shared" si="181"/>
        <v>0</v>
      </c>
      <c r="I132" s="219"/>
      <c r="J132" s="230"/>
      <c r="K132" s="186"/>
      <c r="L132" s="188"/>
      <c r="M132" s="34"/>
      <c r="N132" s="209"/>
      <c r="O132" s="229"/>
      <c r="P132" s="218"/>
      <c r="Q132" s="188">
        <f t="shared" si="182"/>
        <v>0</v>
      </c>
      <c r="R132" s="219"/>
      <c r="S132" s="527">
        <f t="shared" si="183"/>
        <v>0</v>
      </c>
      <c r="T132" s="219"/>
      <c r="U132" s="230"/>
      <c r="DB132" s="205">
        <f t="shared" si="184"/>
        <v>0</v>
      </c>
      <c r="DC132" s="204">
        <f t="shared" si="184"/>
        <v>0</v>
      </c>
      <c r="DD132" s="204">
        <f t="shared" si="184"/>
        <v>0</v>
      </c>
      <c r="DE132" s="204">
        <f t="shared" si="184"/>
        <v>0</v>
      </c>
      <c r="DF132" s="204">
        <f t="shared" si="184"/>
        <v>0</v>
      </c>
      <c r="DG132" s="204">
        <f t="shared" si="184"/>
        <v>0</v>
      </c>
      <c r="DH132" s="204">
        <f t="shared" si="184"/>
        <v>0</v>
      </c>
      <c r="DI132" s="204">
        <f t="shared" si="184"/>
        <v>0</v>
      </c>
      <c r="DJ132" s="204">
        <f t="shared" si="184"/>
        <v>0</v>
      </c>
      <c r="DK132" s="204">
        <f t="shared" si="184"/>
        <v>0</v>
      </c>
      <c r="DL132" s="204">
        <f t="shared" si="185"/>
        <v>0</v>
      </c>
      <c r="DM132" s="206">
        <f t="shared" si="185"/>
        <v>0</v>
      </c>
      <c r="DN132" s="185">
        <f t="shared" si="185"/>
        <v>0</v>
      </c>
      <c r="DO132" s="185">
        <f t="shared" si="185"/>
        <v>0</v>
      </c>
      <c r="DP132" s="185">
        <f t="shared" si="185"/>
        <v>0</v>
      </c>
      <c r="DQ132" s="185">
        <f t="shared" si="185"/>
        <v>0</v>
      </c>
      <c r="DR132" s="185">
        <f t="shared" si="185"/>
        <v>0</v>
      </c>
      <c r="DS132" s="185">
        <f t="shared" si="185"/>
        <v>0</v>
      </c>
      <c r="DT132" s="185">
        <f t="shared" si="185"/>
        <v>0</v>
      </c>
      <c r="DU132" s="185">
        <f t="shared" si="185"/>
        <v>0</v>
      </c>
      <c r="DV132" s="185">
        <f t="shared" si="185"/>
        <v>0</v>
      </c>
      <c r="DW132" s="185">
        <f t="shared" si="185"/>
        <v>0</v>
      </c>
      <c r="DX132" s="185">
        <f t="shared" si="185"/>
        <v>0</v>
      </c>
      <c r="DY132" s="185">
        <f t="shared" si="185"/>
        <v>0</v>
      </c>
    </row>
    <row r="133" spans="1:129" x14ac:dyDescent="0.35">
      <c r="A133" s="201"/>
      <c r="B133" s="43"/>
      <c r="C133" s="210"/>
      <c r="D133" s="231"/>
      <c r="E133" s="222"/>
      <c r="F133" s="201">
        <f t="shared" si="180"/>
        <v>0</v>
      </c>
      <c r="G133" s="223"/>
      <c r="H133" s="528">
        <f t="shared" si="181"/>
        <v>0</v>
      </c>
      <c r="I133" s="223"/>
      <c r="J133" s="232"/>
      <c r="K133" s="186"/>
      <c r="L133" s="201"/>
      <c r="M133" s="43"/>
      <c r="N133" s="210"/>
      <c r="O133" s="231"/>
      <c r="P133" s="222"/>
      <c r="Q133" s="201">
        <f t="shared" si="182"/>
        <v>0</v>
      </c>
      <c r="R133" s="223"/>
      <c r="S133" s="528">
        <f t="shared" si="183"/>
        <v>0</v>
      </c>
      <c r="T133" s="223"/>
      <c r="U133" s="232"/>
      <c r="DB133" s="205">
        <f t="shared" si="184"/>
        <v>0</v>
      </c>
      <c r="DC133" s="204">
        <f t="shared" si="184"/>
        <v>0</v>
      </c>
      <c r="DD133" s="204">
        <f t="shared" si="184"/>
        <v>0</v>
      </c>
      <c r="DE133" s="204">
        <f t="shared" si="184"/>
        <v>0</v>
      </c>
      <c r="DF133" s="204">
        <f t="shared" si="184"/>
        <v>0</v>
      </c>
      <c r="DG133" s="204">
        <f t="shared" si="184"/>
        <v>0</v>
      </c>
      <c r="DH133" s="204">
        <f t="shared" si="184"/>
        <v>0</v>
      </c>
      <c r="DI133" s="204">
        <f t="shared" si="184"/>
        <v>0</v>
      </c>
      <c r="DJ133" s="204">
        <f t="shared" si="184"/>
        <v>0</v>
      </c>
      <c r="DK133" s="204">
        <f t="shared" si="184"/>
        <v>0</v>
      </c>
      <c r="DL133" s="204">
        <f t="shared" si="185"/>
        <v>0</v>
      </c>
      <c r="DM133" s="206">
        <f t="shared" si="185"/>
        <v>0</v>
      </c>
      <c r="DN133" s="185">
        <f t="shared" si="185"/>
        <v>0</v>
      </c>
      <c r="DO133" s="185">
        <f t="shared" si="185"/>
        <v>0</v>
      </c>
      <c r="DP133" s="185">
        <f t="shared" si="185"/>
        <v>0</v>
      </c>
      <c r="DQ133" s="185">
        <f t="shared" si="185"/>
        <v>0</v>
      </c>
      <c r="DR133" s="185">
        <f t="shared" si="185"/>
        <v>0</v>
      </c>
      <c r="DS133" s="185">
        <f t="shared" si="185"/>
        <v>0</v>
      </c>
      <c r="DT133" s="185">
        <f t="shared" si="185"/>
        <v>0</v>
      </c>
      <c r="DU133" s="185">
        <f t="shared" si="185"/>
        <v>0</v>
      </c>
      <c r="DV133" s="185">
        <f t="shared" si="185"/>
        <v>0</v>
      </c>
      <c r="DW133" s="185">
        <f t="shared" si="185"/>
        <v>0</v>
      </c>
      <c r="DX133" s="185">
        <f t="shared" si="185"/>
        <v>0</v>
      </c>
      <c r="DY133" s="185">
        <f t="shared" si="185"/>
        <v>0</v>
      </c>
    </row>
    <row r="134" spans="1:129" ht="16.5" thickBot="1" x14ac:dyDescent="0.35">
      <c r="A134" s="187"/>
      <c r="B134" s="44" t="s">
        <v>423</v>
      </c>
      <c r="C134" s="211">
        <f>SUM(C119:C133)</f>
        <v>2394</v>
      </c>
      <c r="D134" s="197"/>
      <c r="E134" s="197"/>
      <c r="F134" s="207"/>
      <c r="G134" s="198"/>
      <c r="H134" s="198"/>
      <c r="I134" s="198"/>
      <c r="J134" s="199"/>
      <c r="K134" s="186"/>
      <c r="L134" s="187"/>
      <c r="M134" s="44" t="s">
        <v>426</v>
      </c>
      <c r="N134" s="211">
        <f>SUM(N119:N133)</f>
        <v>1063</v>
      </c>
      <c r="O134" s="197"/>
      <c r="P134" s="197"/>
      <c r="Q134" s="207"/>
      <c r="R134" s="198"/>
      <c r="S134" s="198"/>
      <c r="T134" s="198"/>
      <c r="U134" s="199"/>
      <c r="DB134" s="193">
        <f>SUM(DB119:DB133)</f>
        <v>0</v>
      </c>
      <c r="DC134" s="193">
        <f t="shared" ref="DC134" si="210">SUM(DC119:DC133)</f>
        <v>0</v>
      </c>
      <c r="DD134" s="193">
        <f t="shared" ref="DD134" si="211">SUM(DD119:DD133)</f>
        <v>0</v>
      </c>
      <c r="DE134" s="193">
        <f t="shared" ref="DE134" si="212">SUM(DE119:DE133)</f>
        <v>0</v>
      </c>
      <c r="DF134" s="193">
        <f t="shared" ref="DF134" si="213">SUM(DF119:DF133)</f>
        <v>0</v>
      </c>
      <c r="DG134" s="193">
        <f t="shared" ref="DG134" si="214">SUM(DG119:DG133)</f>
        <v>0</v>
      </c>
      <c r="DH134" s="193">
        <f t="shared" ref="DH134" si="215">SUM(DH119:DH133)</f>
        <v>0</v>
      </c>
      <c r="DI134" s="193">
        <f t="shared" ref="DI134" si="216">SUM(DI119:DI133)</f>
        <v>0</v>
      </c>
      <c r="DJ134" s="193">
        <f t="shared" ref="DJ134" si="217">SUM(DJ119:DJ133)</f>
        <v>0</v>
      </c>
      <c r="DK134" s="193">
        <f t="shared" ref="DK134" si="218">SUM(DK119:DK133)</f>
        <v>0</v>
      </c>
      <c r="DL134" s="193">
        <f t="shared" ref="DL134" si="219">SUM(DL119:DL133)</f>
        <v>0</v>
      </c>
      <c r="DM134" s="193">
        <f t="shared" ref="DM134" si="220">SUM(DM119:DM133)</f>
        <v>0</v>
      </c>
      <c r="DN134" s="193">
        <f t="shared" ref="DN134" si="221">SUM(DN119:DN133)</f>
        <v>3790.5</v>
      </c>
      <c r="DO134" s="193">
        <f t="shared" ref="DO134" si="222">SUM(DO119:DO133)</f>
        <v>3790.5</v>
      </c>
      <c r="DP134" s="193">
        <f t="shared" ref="DP134" si="223">SUM(DP119:DP133)</f>
        <v>3790.5</v>
      </c>
      <c r="DQ134" s="193">
        <f t="shared" ref="DQ134" si="224">SUM(DQ119:DQ133)</f>
        <v>3790.5</v>
      </c>
      <c r="DR134" s="193">
        <f t="shared" ref="DR134" si="225">SUM(DR119:DR133)</f>
        <v>3790.5</v>
      </c>
      <c r="DS134" s="193">
        <f t="shared" ref="DS134" si="226">SUM(DS119:DS133)</f>
        <v>3790.5</v>
      </c>
      <c r="DT134" s="193">
        <f t="shared" ref="DT134" si="227">SUM(DT119:DT133)</f>
        <v>3790.5</v>
      </c>
      <c r="DU134" s="193">
        <f t="shared" ref="DU134" si="228">SUM(DU119:DU133)</f>
        <v>3790.5</v>
      </c>
      <c r="DV134" s="193">
        <f t="shared" ref="DV134" si="229">SUM(DV119:DV133)</f>
        <v>3790.5</v>
      </c>
      <c r="DW134" s="193">
        <f t="shared" ref="DW134" si="230">SUM(DW119:DW133)</f>
        <v>3790.5</v>
      </c>
      <c r="DX134" s="193">
        <f t="shared" ref="DX134" si="231">SUM(DX119:DX133)</f>
        <v>3790.5</v>
      </c>
      <c r="DY134" s="193">
        <f t="shared" ref="DY134" si="232">SUM(DY119:DY133)</f>
        <v>3790.5</v>
      </c>
    </row>
    <row r="135" spans="1:129" s="253" customFormat="1" ht="18.5" thickTop="1" thickBot="1" x14ac:dyDescent="0.3">
      <c r="A135" s="252"/>
      <c r="F135" s="252"/>
      <c r="K135" s="254"/>
      <c r="AK135" s="254"/>
      <c r="DB135" s="551"/>
      <c r="DC135" s="551"/>
      <c r="DD135" s="551"/>
      <c r="DE135" s="551"/>
      <c r="DF135" s="551"/>
      <c r="DG135" s="551"/>
      <c r="DH135" s="551"/>
      <c r="DI135" s="551"/>
      <c r="DJ135" s="551"/>
      <c r="DK135" s="551"/>
      <c r="DL135" s="551"/>
      <c r="DM135" s="551"/>
    </row>
    <row r="136" spans="1:129" x14ac:dyDescent="0.35">
      <c r="A136" s="184"/>
      <c r="F136" s="184"/>
      <c r="K136" s="188"/>
      <c r="AK136" s="191"/>
      <c r="DB136" s="234">
        <f t="shared" ref="DB136:DY136" si="233">DB$8</f>
        <v>45658</v>
      </c>
      <c r="DC136" s="32">
        <f t="shared" si="233"/>
        <v>45689</v>
      </c>
      <c r="DD136" s="32">
        <f t="shared" si="233"/>
        <v>45717</v>
      </c>
      <c r="DE136" s="32">
        <f t="shared" si="233"/>
        <v>45748</v>
      </c>
      <c r="DF136" s="32">
        <f t="shared" si="233"/>
        <v>45778</v>
      </c>
      <c r="DG136" s="32">
        <f t="shared" si="233"/>
        <v>45809</v>
      </c>
      <c r="DH136" s="32">
        <f t="shared" si="233"/>
        <v>45839</v>
      </c>
      <c r="DI136" s="32">
        <f t="shared" si="233"/>
        <v>45870</v>
      </c>
      <c r="DJ136" s="32">
        <f t="shared" si="233"/>
        <v>45901</v>
      </c>
      <c r="DK136" s="32">
        <f t="shared" si="233"/>
        <v>45931</v>
      </c>
      <c r="DL136" s="32">
        <f t="shared" si="233"/>
        <v>45962</v>
      </c>
      <c r="DM136" s="235">
        <f t="shared" si="233"/>
        <v>45992</v>
      </c>
      <c r="DN136" s="32">
        <f t="shared" si="233"/>
        <v>46023</v>
      </c>
      <c r="DO136" s="32">
        <f t="shared" si="233"/>
        <v>46054</v>
      </c>
      <c r="DP136" s="32">
        <f t="shared" si="233"/>
        <v>46082</v>
      </c>
      <c r="DQ136" s="32">
        <f t="shared" si="233"/>
        <v>46113</v>
      </c>
      <c r="DR136" s="32">
        <f t="shared" si="233"/>
        <v>46143</v>
      </c>
      <c r="DS136" s="32">
        <f t="shared" si="233"/>
        <v>46174</v>
      </c>
      <c r="DT136" s="32">
        <f t="shared" si="233"/>
        <v>46204</v>
      </c>
      <c r="DU136" s="32">
        <f t="shared" si="233"/>
        <v>46235</v>
      </c>
      <c r="DV136" s="32">
        <f t="shared" si="233"/>
        <v>46266</v>
      </c>
      <c r="DW136" s="32">
        <f t="shared" si="233"/>
        <v>46296</v>
      </c>
      <c r="DX136" s="32">
        <f t="shared" si="233"/>
        <v>46327</v>
      </c>
      <c r="DY136" s="32">
        <f t="shared" si="233"/>
        <v>46357</v>
      </c>
    </row>
    <row r="137" spans="1:129" ht="18" x14ac:dyDescent="0.35">
      <c r="A137" s="215" t="str">
        <f>'40C0'!B1</f>
        <v>40C0</v>
      </c>
      <c r="B137" s="34"/>
      <c r="C137" s="190"/>
      <c r="D137" s="187"/>
      <c r="E137" s="187"/>
      <c r="F137" s="187"/>
      <c r="G137" s="187"/>
      <c r="H137" s="187"/>
      <c r="I137" s="187"/>
      <c r="J137" s="187"/>
      <c r="K137" s="187"/>
    </row>
    <row r="138" spans="1:129" ht="17.5" x14ac:dyDescent="0.25">
      <c r="A138" s="243">
        <f>'40C0'!B4</f>
        <v>18000</v>
      </c>
      <c r="B138" s="257">
        <f>(A138-C156)/A138</f>
        <v>1</v>
      </c>
      <c r="D138" s="216" t="str">
        <f>"Vacancies - "&amp;A137</f>
        <v>Vacancies - 40C0</v>
      </c>
      <c r="E138" s="187"/>
      <c r="F138" s="187"/>
      <c r="G138" s="187"/>
      <c r="H138" s="187"/>
      <c r="I138" s="187"/>
      <c r="K138" s="187"/>
      <c r="O138" s="216" t="str">
        <f>"Renewals - "&amp;A137</f>
        <v>Renewals - 40C0</v>
      </c>
    </row>
    <row r="139" spans="1:129" ht="18" x14ac:dyDescent="0.25">
      <c r="D139" s="553" t="s">
        <v>428</v>
      </c>
      <c r="E139" s="554"/>
      <c r="F139" s="554"/>
      <c r="G139" s="554"/>
      <c r="H139" s="554"/>
      <c r="I139" s="554"/>
      <c r="J139" s="555"/>
      <c r="O139" s="553" t="s">
        <v>428</v>
      </c>
      <c r="P139" s="554"/>
      <c r="Q139" s="554"/>
      <c r="R139" s="554"/>
      <c r="S139" s="554"/>
      <c r="T139" s="554"/>
      <c r="U139" s="555"/>
      <c r="W139" s="214" t="str">
        <f>A137</f>
        <v>40C0</v>
      </c>
      <c r="X139" s="552">
        <v>2025</v>
      </c>
      <c r="Y139" s="552"/>
      <c r="Z139" s="552"/>
      <c r="AA139" s="552"/>
      <c r="AB139" s="552"/>
      <c r="AC139" s="552"/>
      <c r="AD139" s="552"/>
      <c r="AE139" s="552"/>
      <c r="AF139" s="552"/>
      <c r="AG139" s="552"/>
      <c r="AH139" s="552"/>
      <c r="AI139" s="552"/>
      <c r="AJ139" s="552">
        <f>X139+1</f>
        <v>2026</v>
      </c>
      <c r="AK139" s="552"/>
      <c r="AL139" s="552"/>
      <c r="AM139" s="552"/>
      <c r="AN139" s="552"/>
      <c r="AO139" s="552"/>
      <c r="AP139" s="552"/>
      <c r="AQ139" s="552"/>
      <c r="AR139" s="552"/>
      <c r="AS139" s="552"/>
      <c r="AT139" s="552"/>
      <c r="AU139" s="552"/>
      <c r="DB139" s="556" t="str">
        <f>+$DB$7</f>
        <v>2025</v>
      </c>
      <c r="DC139" s="556"/>
      <c r="DD139" s="556"/>
      <c r="DE139" s="556"/>
      <c r="DF139" s="556"/>
      <c r="DG139" s="556"/>
      <c r="DH139" s="556"/>
      <c r="DI139" s="556"/>
      <c r="DJ139" s="556"/>
      <c r="DK139" s="556"/>
      <c r="DL139" s="556"/>
      <c r="DM139" s="556"/>
      <c r="DN139" s="556" t="str">
        <f>+$DN$7</f>
        <v>2026</v>
      </c>
      <c r="DO139" s="556"/>
      <c r="DP139" s="556"/>
      <c r="DQ139" s="556"/>
      <c r="DR139" s="556"/>
      <c r="DS139" s="556"/>
      <c r="DT139" s="556"/>
      <c r="DU139" s="556"/>
      <c r="DV139" s="556"/>
      <c r="DW139" s="556"/>
      <c r="DX139" s="556"/>
      <c r="DY139" s="556"/>
    </row>
    <row r="140" spans="1:129" x14ac:dyDescent="0.35">
      <c r="A140" s="201" t="s">
        <v>224</v>
      </c>
      <c r="B140" s="43" t="s">
        <v>424</v>
      </c>
      <c r="C140" s="208" t="s">
        <v>221</v>
      </c>
      <c r="D140" s="233" t="s">
        <v>429</v>
      </c>
      <c r="E140" s="201" t="s">
        <v>430</v>
      </c>
      <c r="F140" s="201"/>
      <c r="G140" s="200" t="s">
        <v>219</v>
      </c>
      <c r="H140" s="213" t="s">
        <v>624</v>
      </c>
      <c r="I140" s="213" t="s">
        <v>425</v>
      </c>
      <c r="J140" s="203" t="s">
        <v>218</v>
      </c>
      <c r="K140" s="188"/>
      <c r="L140" s="201" t="s">
        <v>224</v>
      </c>
      <c r="M140" s="43" t="s">
        <v>424</v>
      </c>
      <c r="N140" s="208" t="s">
        <v>221</v>
      </c>
      <c r="O140" s="233" t="s">
        <v>429</v>
      </c>
      <c r="P140" s="201" t="s">
        <v>430</v>
      </c>
      <c r="Q140" s="201"/>
      <c r="R140" s="200" t="s">
        <v>219</v>
      </c>
      <c r="S140" s="213" t="s">
        <v>624</v>
      </c>
      <c r="T140" s="213" t="s">
        <v>425</v>
      </c>
      <c r="U140" s="203" t="s">
        <v>218</v>
      </c>
      <c r="X140" s="234">
        <v>45658</v>
      </c>
      <c r="Y140" s="32">
        <v>45689</v>
      </c>
      <c r="Z140" s="32">
        <v>45717</v>
      </c>
      <c r="AA140" s="32">
        <v>45748</v>
      </c>
      <c r="AB140" s="32">
        <v>45778</v>
      </c>
      <c r="AC140" s="32">
        <v>45809</v>
      </c>
      <c r="AD140" s="32">
        <v>45839</v>
      </c>
      <c r="AE140" s="32">
        <v>45870</v>
      </c>
      <c r="AF140" s="32">
        <v>45901</v>
      </c>
      <c r="AG140" s="32">
        <v>45931</v>
      </c>
      <c r="AH140" s="32">
        <v>45962</v>
      </c>
      <c r="AI140" s="235">
        <v>45992</v>
      </c>
      <c r="AJ140" s="32">
        <f>AJ$8</f>
        <v>46023</v>
      </c>
      <c r="AK140" s="32">
        <f t="shared" ref="AK140:AU140" si="234">AK$8</f>
        <v>46054</v>
      </c>
      <c r="AL140" s="32">
        <f t="shared" si="234"/>
        <v>46082</v>
      </c>
      <c r="AM140" s="32">
        <f t="shared" si="234"/>
        <v>46113</v>
      </c>
      <c r="AN140" s="32">
        <f t="shared" si="234"/>
        <v>46143</v>
      </c>
      <c r="AO140" s="32">
        <f t="shared" si="234"/>
        <v>46174</v>
      </c>
      <c r="AP140" s="32">
        <f t="shared" si="234"/>
        <v>46204</v>
      </c>
      <c r="AQ140" s="32">
        <f t="shared" si="234"/>
        <v>46235</v>
      </c>
      <c r="AR140" s="32">
        <f t="shared" si="234"/>
        <v>46266</v>
      </c>
      <c r="AS140" s="32">
        <f t="shared" si="234"/>
        <v>46296</v>
      </c>
      <c r="AT140" s="32">
        <f t="shared" si="234"/>
        <v>46327</v>
      </c>
      <c r="AU140" s="32">
        <f t="shared" si="234"/>
        <v>46357</v>
      </c>
      <c r="AV140" s="275" t="str">
        <f>AJ139&amp;" - Totals"</f>
        <v>2026 - Totals</v>
      </c>
      <c r="DB140" s="234">
        <f t="shared" ref="DB140:DY140" si="235">DB$8</f>
        <v>45658</v>
      </c>
      <c r="DC140" s="32">
        <f t="shared" si="235"/>
        <v>45689</v>
      </c>
      <c r="DD140" s="32">
        <f t="shared" si="235"/>
        <v>45717</v>
      </c>
      <c r="DE140" s="32">
        <f t="shared" si="235"/>
        <v>45748</v>
      </c>
      <c r="DF140" s="32">
        <f t="shared" si="235"/>
        <v>45778</v>
      </c>
      <c r="DG140" s="32">
        <f t="shared" si="235"/>
        <v>45809</v>
      </c>
      <c r="DH140" s="32">
        <f t="shared" si="235"/>
        <v>45839</v>
      </c>
      <c r="DI140" s="32">
        <f t="shared" si="235"/>
        <v>45870</v>
      </c>
      <c r="DJ140" s="32">
        <f t="shared" si="235"/>
        <v>45901</v>
      </c>
      <c r="DK140" s="32">
        <f t="shared" si="235"/>
        <v>45931</v>
      </c>
      <c r="DL140" s="32">
        <f t="shared" si="235"/>
        <v>45962</v>
      </c>
      <c r="DM140" s="235">
        <f t="shared" si="235"/>
        <v>45992</v>
      </c>
      <c r="DN140" s="32">
        <f t="shared" si="235"/>
        <v>46023</v>
      </c>
      <c r="DO140" s="32">
        <f t="shared" si="235"/>
        <v>46054</v>
      </c>
      <c r="DP140" s="32">
        <f t="shared" si="235"/>
        <v>46082</v>
      </c>
      <c r="DQ140" s="32">
        <f t="shared" si="235"/>
        <v>46113</v>
      </c>
      <c r="DR140" s="32">
        <f t="shared" si="235"/>
        <v>46143</v>
      </c>
      <c r="DS140" s="32">
        <f t="shared" si="235"/>
        <v>46174</v>
      </c>
      <c r="DT140" s="32">
        <f t="shared" si="235"/>
        <v>46204</v>
      </c>
      <c r="DU140" s="32">
        <f t="shared" si="235"/>
        <v>46235</v>
      </c>
      <c r="DV140" s="32">
        <f t="shared" si="235"/>
        <v>46266</v>
      </c>
      <c r="DW140" s="32">
        <f t="shared" si="235"/>
        <v>46296</v>
      </c>
      <c r="DX140" s="32">
        <f t="shared" si="235"/>
        <v>46327</v>
      </c>
      <c r="DY140" s="32">
        <f t="shared" si="235"/>
        <v>46357</v>
      </c>
    </row>
    <row r="141" spans="1:129" x14ac:dyDescent="0.35">
      <c r="B141" s="77"/>
      <c r="C141" s="209"/>
      <c r="D141" s="229"/>
      <c r="E141" s="218"/>
      <c r="F141" s="246">
        <f>IFERROR(ROUNDUP(((DATEDIF(D141,E141,"d"))/365),1),0)</f>
        <v>0</v>
      </c>
      <c r="G141" s="219"/>
      <c r="H141" s="527">
        <f>(C141*G141)/12</f>
        <v>0</v>
      </c>
      <c r="I141" s="219"/>
      <c r="J141" s="230"/>
      <c r="K141" s="237"/>
      <c r="L141" s="188"/>
      <c r="M141" s="34"/>
      <c r="N141" s="209"/>
      <c r="O141" s="229"/>
      <c r="P141" s="218"/>
      <c r="Q141" s="246">
        <f>IFERROR(ROUNDUP(((DATEDIF(O141,P141,"d"))/365),1),0)</f>
        <v>0</v>
      </c>
      <c r="R141" s="219"/>
      <c r="S141" s="527">
        <f>(N141*R141)/12</f>
        <v>0</v>
      </c>
      <c r="T141" s="219"/>
      <c r="U141" s="230"/>
      <c r="W141" s="184" t="s">
        <v>436</v>
      </c>
      <c r="X141" s="261" cm="1">
        <f t="array" ref="X141:AI141">_xlfn.LET(
  _xlpm.months, X140:AI140,
  _xlpm.totalSqft, A138,
  _xlpm.vacSF, C141:C155,
  _xlpm.vacStart, D141:D155,
  _xlpm.vacEnd, E141:E155,
  _xlpm.renSF, N141:N155,
  _xlpm.renEnd, P141:P155,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Y141" s="262">
        <v>1</v>
      </c>
      <c r="Z141" s="262">
        <v>1</v>
      </c>
      <c r="AA141" s="262">
        <v>1</v>
      </c>
      <c r="AB141" s="262">
        <v>1</v>
      </c>
      <c r="AC141" s="262">
        <v>1</v>
      </c>
      <c r="AD141" s="262">
        <v>1</v>
      </c>
      <c r="AE141" s="262">
        <v>1</v>
      </c>
      <c r="AF141" s="262">
        <v>1</v>
      </c>
      <c r="AG141" s="262">
        <v>1</v>
      </c>
      <c r="AH141" s="262">
        <v>1</v>
      </c>
      <c r="AI141" s="262">
        <v>1</v>
      </c>
      <c r="AJ141" s="261" cm="1">
        <f t="array" ref="AJ141:AU141">_xlfn.LET(
  _xlpm.months, AJ140:AU140,
  _xlpm.totalSqft, A138,
  _xlpm.vacSF, C141:C155,
  _xlpm.vacStart, D141:D155,
  _xlpm.vacEnd, E141:E155,
  _xlpm.renSF, N141:N155,
  _xlpm.renEnd, P141:P155,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1</v>
      </c>
      <c r="AK141" s="262">
        <v>1</v>
      </c>
      <c r="AL141" s="262">
        <v>1</v>
      </c>
      <c r="AM141" s="262">
        <v>1</v>
      </c>
      <c r="AN141" s="262">
        <v>1</v>
      </c>
      <c r="AO141" s="262">
        <v>1</v>
      </c>
      <c r="AP141" s="262">
        <v>1</v>
      </c>
      <c r="AQ141" s="262">
        <v>1</v>
      </c>
      <c r="AR141" s="262">
        <v>1</v>
      </c>
      <c r="AS141" s="262">
        <v>1</v>
      </c>
      <c r="AT141" s="262">
        <v>1</v>
      </c>
      <c r="AU141" s="262">
        <v>1</v>
      </c>
      <c r="AV141" s="273"/>
      <c r="DB141" s="205">
        <f t="shared" ref="DB141:DY141" si="236">IF(AND($D141&lt;=DB140,$E141&gt;=DB140),(($G141*$C141)/12),0)</f>
        <v>0</v>
      </c>
      <c r="DC141" s="204">
        <f t="shared" si="236"/>
        <v>0</v>
      </c>
      <c r="DD141" s="204">
        <f t="shared" si="236"/>
        <v>0</v>
      </c>
      <c r="DE141" s="204">
        <f t="shared" si="236"/>
        <v>0</v>
      </c>
      <c r="DF141" s="204">
        <f t="shared" si="236"/>
        <v>0</v>
      </c>
      <c r="DG141" s="204">
        <f t="shared" si="236"/>
        <v>0</v>
      </c>
      <c r="DH141" s="204">
        <f t="shared" si="236"/>
        <v>0</v>
      </c>
      <c r="DI141" s="204">
        <f t="shared" si="236"/>
        <v>0</v>
      </c>
      <c r="DJ141" s="204">
        <f t="shared" si="236"/>
        <v>0</v>
      </c>
      <c r="DK141" s="204">
        <f t="shared" si="236"/>
        <v>0</v>
      </c>
      <c r="DL141" s="204">
        <f t="shared" si="236"/>
        <v>0</v>
      </c>
      <c r="DM141" s="206">
        <f t="shared" si="236"/>
        <v>0</v>
      </c>
      <c r="DN141" s="185">
        <f t="shared" si="236"/>
        <v>0</v>
      </c>
      <c r="DO141" s="185">
        <f t="shared" si="236"/>
        <v>0</v>
      </c>
      <c r="DP141" s="185">
        <f t="shared" si="236"/>
        <v>0</v>
      </c>
      <c r="DQ141" s="185">
        <f t="shared" si="236"/>
        <v>0</v>
      </c>
      <c r="DR141" s="185">
        <f t="shared" si="236"/>
        <v>0</v>
      </c>
      <c r="DS141" s="185">
        <f t="shared" si="236"/>
        <v>0</v>
      </c>
      <c r="DT141" s="185">
        <f t="shared" si="236"/>
        <v>0</v>
      </c>
      <c r="DU141" s="185">
        <f t="shared" si="236"/>
        <v>0</v>
      </c>
      <c r="DV141" s="185">
        <f t="shared" si="236"/>
        <v>0</v>
      </c>
      <c r="DW141" s="185">
        <f t="shared" si="236"/>
        <v>0</v>
      </c>
      <c r="DX141" s="185">
        <f t="shared" si="236"/>
        <v>0</v>
      </c>
      <c r="DY141" s="185">
        <f t="shared" si="236"/>
        <v>0</v>
      </c>
    </row>
    <row r="142" spans="1:129" x14ac:dyDescent="0.35">
      <c r="B142" s="34"/>
      <c r="C142" s="209"/>
      <c r="D142" s="229"/>
      <c r="E142" s="218"/>
      <c r="F142" s="188">
        <f t="shared" ref="F142:F155" si="237">IFERROR(ROUNDUP(((DATEDIF(D142,E142,"d"))/365),1),0)</f>
        <v>0</v>
      </c>
      <c r="G142" s="219"/>
      <c r="H142" s="527">
        <f t="shared" ref="H142:H155" si="238">(C142*G142)/12</f>
        <v>0</v>
      </c>
      <c r="I142" s="219"/>
      <c r="J142" s="230"/>
      <c r="K142" s="186"/>
      <c r="L142" s="188"/>
      <c r="M142" s="34"/>
      <c r="N142" s="209"/>
      <c r="O142" s="229"/>
      <c r="P142" s="218"/>
      <c r="Q142" s="188">
        <f t="shared" ref="Q142:Q155" si="239">IFERROR(ROUNDUP(((DATEDIF(O142,P142,"d"))/365),1),0)</f>
        <v>0</v>
      </c>
      <c r="R142" s="219"/>
      <c r="S142" s="527">
        <f t="shared" ref="S142:S155" si="240">(N142*R142)/12</f>
        <v>0</v>
      </c>
      <c r="T142" s="219"/>
      <c r="U142" s="230"/>
      <c r="W142" s="184" t="s">
        <v>434</v>
      </c>
      <c r="X142" s="205" cm="1">
        <f t="array" ref="X142">((SUMPRODUCT(($D$141:$D$155&lt;=X$8) * ($E$141:$E$155&gt;=X$8) * ($G$141:$G$155 * $C$141:$C$155)))+(SUMPRODUCT(($O$141:$O$155&lt;=X$8) * ($P$141:$P$155&gt;=X$8) * ($R$141:$R$155 * $N$141:$N$155))))/12</f>
        <v>0</v>
      </c>
      <c r="Y142" s="185" cm="1">
        <f t="array" ref="Y142">((SUMPRODUCT(($D$141:$D$155&lt;=Y$8) * ($E$141:$E$155&gt;=Y$8) * ($G$141:$G$155 * $C$141:$C$155)))+(SUMPRODUCT(($O$141:$O$155&lt;=Y$8) * ($P$141:$P$155&gt;=Y$8) * ($R$141:$R$155 * $N$141:$N$155))))/12</f>
        <v>0</v>
      </c>
      <c r="Z142" s="185" cm="1">
        <f t="array" ref="Z142">((SUMPRODUCT(($D$141:$D$155&lt;=Z$8) * ($E$141:$E$155&gt;=Z$8) * ($G$141:$G$155 * $C$141:$C$155)))+(SUMPRODUCT(($O$141:$O$155&lt;=Z$8) * ($P$141:$P$155&gt;=Z$8) * ($R$141:$R$155 * $N$141:$N$155))))/12</f>
        <v>0</v>
      </c>
      <c r="AA142" s="185" cm="1">
        <f t="array" ref="AA142">((SUMPRODUCT(($D$141:$D$155&lt;=AA$8) * ($E$141:$E$155&gt;=AA$8) * ($G$141:$G$155 * $C$141:$C$155)))+(SUMPRODUCT(($O$141:$O$155&lt;=AA$8) * ($P$141:$P$155&gt;=AA$8) * ($R$141:$R$155 * $N$141:$N$155))))/12</f>
        <v>0</v>
      </c>
      <c r="AB142" s="185" cm="1">
        <f t="array" ref="AB142">((SUMPRODUCT(($D$141:$D$155&lt;=AB$8) * ($E$141:$E$155&gt;=AB$8) * ($G$141:$G$155 * $C$141:$C$155)))+(SUMPRODUCT(($O$141:$O$155&lt;=AB$8) * ($P$141:$P$155&gt;=AB$8) * ($R$141:$R$155 * $N$141:$N$155))))/12</f>
        <v>0</v>
      </c>
      <c r="AC142" s="185" cm="1">
        <f t="array" ref="AC142">((SUMPRODUCT(($D$141:$D$155&lt;=AC$8) * ($E$141:$E$155&gt;=AC$8) * ($G$141:$G$155 * $C$141:$C$155)))+(SUMPRODUCT(($O$141:$O$155&lt;=AC$8) * ($P$141:$P$155&gt;=AC$8) * ($R$141:$R$155 * $N$141:$N$155))))/12</f>
        <v>0</v>
      </c>
      <c r="AD142" s="185" cm="1">
        <f t="array" ref="AD142">((SUMPRODUCT(($D$141:$D$155&lt;=AD$8) * ($E$141:$E$155&gt;=AD$8) * ($G$141:$G$155 * $C$141:$C$155)))+(SUMPRODUCT(($O$141:$O$155&lt;=AD$8) * ($P$141:$P$155&gt;=AD$8) * ($R$141:$R$155 * $N$141:$N$155))))/12</f>
        <v>0</v>
      </c>
      <c r="AE142" s="185" cm="1">
        <f t="array" ref="AE142">((SUMPRODUCT(($D$141:$D$155&lt;=AE$8) * ($E$141:$E$155&gt;=AE$8) * ($G$141:$G$155 * $C$141:$C$155)))+(SUMPRODUCT(($O$141:$O$155&lt;=AE$8) * ($P$141:$P$155&gt;=AE$8) * ($R$141:$R$155 * $N$141:$N$155))))/12</f>
        <v>0</v>
      </c>
      <c r="AF142" s="185" cm="1">
        <f t="array" ref="AF142">((SUMPRODUCT(($D$141:$D$155&lt;=AF$8) * ($E$141:$E$155&gt;=AF$8) * ($G$141:$G$155 * $C$141:$C$155)))+(SUMPRODUCT(($O$141:$O$155&lt;=AF$8) * ($P$141:$P$155&gt;=AF$8) * ($R$141:$R$155 * $N$141:$N$155))))/12</f>
        <v>0</v>
      </c>
      <c r="AG142" s="185" cm="1">
        <f t="array" ref="AG142">((SUMPRODUCT(($D$141:$D$155&lt;=AG$8) * ($E$141:$E$155&gt;=AG$8) * ($G$141:$G$155 * $C$141:$C$155)))+(SUMPRODUCT(($O$141:$O$155&lt;=AG$8) * ($P$141:$P$155&gt;=AG$8) * ($R$141:$R$155 * $N$141:$N$155))))/12</f>
        <v>0</v>
      </c>
      <c r="AH142" s="185" cm="1">
        <f t="array" ref="AH142">((SUMPRODUCT(($D$141:$D$155&lt;=AH$8) * ($E$141:$E$155&gt;=AH$8) * ($G$141:$G$155 * $C$141:$C$155)))+(SUMPRODUCT(($O$141:$O$155&lt;=AH$8) * ($P$141:$P$155&gt;=AH$8) * ($R$141:$R$155 * $N$141:$N$155))))/12</f>
        <v>0</v>
      </c>
      <c r="AI142" s="185" cm="1">
        <f t="array" ref="AI142">((SUMPRODUCT(($D$141:$D$155&lt;=AI$8) * ($E$141:$E$155&gt;=AI$8) * ($G$141:$G$155 * $C$141:$C$155)))+(SUMPRODUCT(($O$141:$O$155&lt;=AI$8) * ($P$141:$P$155&gt;=AI$8) * ($R$141:$R$155 * $N$141:$N$155))))/12</f>
        <v>0</v>
      </c>
      <c r="AJ142" s="205" cm="1">
        <f t="array" ref="AJ142">((SUMPRODUCT(($D$141:$D$155&lt;=AJ$8) * ($E$141:$E$155&gt;=AJ$8) * ($G$141:$G$155 * $C$141:$C$155)))+(SUMPRODUCT(($O$141:$O$155&lt;=AJ$8) * ($P$141:$P$155&gt;=AJ$8) * ($R$141:$R$155 * $N$141:$N$155))))/12</f>
        <v>0</v>
      </c>
      <c r="AK142" s="185" cm="1">
        <f t="array" ref="AK142">((SUMPRODUCT(($D$141:$D$155&lt;=AK$8) * ($E$141:$E$155&gt;=AK$8) * ($G$141:$G$155 * $C$141:$C$155)))+(SUMPRODUCT(($O$141:$O$155&lt;=AK$8) * ($P$141:$P$155&gt;=AK$8) * ($R$141:$R$155 * $N$141:$N$155))))/12</f>
        <v>0</v>
      </c>
      <c r="AL142" s="185" cm="1">
        <f t="array" ref="AL142">((SUMPRODUCT(($D$141:$D$155&lt;=AL$8) * ($E$141:$E$155&gt;=AL$8) * ($G$141:$G$155 * $C$141:$C$155)))+(SUMPRODUCT(($O$141:$O$155&lt;=AL$8) * ($P$141:$P$155&gt;=AL$8) * ($R$141:$R$155 * $N$141:$N$155))))/12</f>
        <v>0</v>
      </c>
      <c r="AM142" s="185" cm="1">
        <f t="array" ref="AM142">((SUMPRODUCT(($D$141:$D$155&lt;=AM$8) * ($E$141:$E$155&gt;=AM$8) * ($G$141:$G$155 * $C$141:$C$155)))+(SUMPRODUCT(($O$141:$O$155&lt;=AM$8) * ($P$141:$P$155&gt;=AM$8) * ($R$141:$R$155 * $N$141:$N$155))))/12</f>
        <v>0</v>
      </c>
      <c r="AN142" s="185" cm="1">
        <f t="array" ref="AN142">((SUMPRODUCT(($D$141:$D$155&lt;=AN$8) * ($E$141:$E$155&gt;=AN$8) * ($G$141:$G$155 * $C$141:$C$155)))+(SUMPRODUCT(($O$141:$O$155&lt;=AN$8) * ($P$141:$P$155&gt;=AN$8) * ($R$141:$R$155 * $N$141:$N$155))))/12</f>
        <v>0</v>
      </c>
      <c r="AO142" s="185" cm="1">
        <f t="array" ref="AO142">((SUMPRODUCT(($D$141:$D$155&lt;=AO$8) * ($E$141:$E$155&gt;=AO$8) * ($G$141:$G$155 * $C$141:$C$155)))+(SUMPRODUCT(($O$141:$O$155&lt;=AO$8) * ($P$141:$P$155&gt;=AO$8) * ($R$141:$R$155 * $N$141:$N$155))))/12</f>
        <v>0</v>
      </c>
      <c r="AP142" s="185" cm="1">
        <f t="array" ref="AP142">((SUMPRODUCT(($D$141:$D$155&lt;=AP$8) * ($E$141:$E$155&gt;=AP$8) * ($G$141:$G$155 * $C$141:$C$155)))+(SUMPRODUCT(($O$141:$O$155&lt;=AP$8) * ($P$141:$P$155&gt;=AP$8) * ($R$141:$R$155 * $N$141:$N$155))))/12</f>
        <v>0</v>
      </c>
      <c r="AQ142" s="185" cm="1">
        <f t="array" ref="AQ142">((SUMPRODUCT(($D$141:$D$155&lt;=AQ$8) * ($E$141:$E$155&gt;=AQ$8) * ($G$141:$G$155 * $C$141:$C$155)))+(SUMPRODUCT(($O$141:$O$155&lt;=AQ$8) * ($P$141:$P$155&gt;=AQ$8) * ($R$141:$R$155 * $N$141:$N$155))))/12</f>
        <v>0</v>
      </c>
      <c r="AR142" s="185" cm="1">
        <f t="array" ref="AR142">((SUMPRODUCT(($D$141:$D$155&lt;=AR$8) * ($E$141:$E$155&gt;=AR$8) * ($G$141:$G$155 * $C$141:$C$155)))+(SUMPRODUCT(($O$141:$O$155&lt;=AR$8) * ($P$141:$P$155&gt;=AR$8) * ($R$141:$R$155 * $N$141:$N$155))))/12</f>
        <v>0</v>
      </c>
      <c r="AS142" s="185" cm="1">
        <f t="array" ref="AS142">((SUMPRODUCT(($D$141:$D$155&lt;=AS$8) * ($E$141:$E$155&gt;=AS$8) * ($G$141:$G$155 * $C$141:$C$155)))+(SUMPRODUCT(($O$141:$O$155&lt;=AS$8) * ($P$141:$P$155&gt;=AS$8) * ($R$141:$R$155 * $N$141:$N$155))))/12</f>
        <v>0</v>
      </c>
      <c r="AT142" s="185" cm="1">
        <f t="array" ref="AT142">((SUMPRODUCT(($D$141:$D$155&lt;=AT$8) * ($E$141:$E$155&gt;=AT$8) * ($G$141:$G$155 * $C$141:$C$155)))+(SUMPRODUCT(($O$141:$O$155&lt;=AT$8) * ($P$141:$P$155&gt;=AT$8) * ($R$141:$R$155 * $N$141:$N$155))))/12</f>
        <v>0</v>
      </c>
      <c r="AU142" s="185" cm="1">
        <f t="array" ref="AU142">((SUMPRODUCT(($D$141:$D$155&lt;=AU$8) * ($E$141:$E$155&gt;=AU$8) * ($G$141:$G$155 * $C$141:$C$155)))+(SUMPRODUCT(($O$141:$O$155&lt;=AU$8) * ($P$141:$P$155&gt;=AU$8) * ($R$141:$R$155 * $N$141:$N$155))))/12</f>
        <v>0</v>
      </c>
      <c r="AV142" s="274">
        <f>SUM(AJ142:AU142)</f>
        <v>0</v>
      </c>
      <c r="DB142" s="205">
        <f t="shared" ref="DB142:DK155" si="241">IF(AND($D142&lt;=DB$8,$E142&gt;=DB$8),(($G142*$C142)/12),0)</f>
        <v>0</v>
      </c>
      <c r="DC142" s="204">
        <f t="shared" si="241"/>
        <v>0</v>
      </c>
      <c r="DD142" s="204">
        <f t="shared" si="241"/>
        <v>0</v>
      </c>
      <c r="DE142" s="204">
        <f t="shared" si="241"/>
        <v>0</v>
      </c>
      <c r="DF142" s="204">
        <f t="shared" si="241"/>
        <v>0</v>
      </c>
      <c r="DG142" s="204">
        <f t="shared" si="241"/>
        <v>0</v>
      </c>
      <c r="DH142" s="204">
        <f t="shared" si="241"/>
        <v>0</v>
      </c>
      <c r="DI142" s="204">
        <f t="shared" si="241"/>
        <v>0</v>
      </c>
      <c r="DJ142" s="204">
        <f t="shared" si="241"/>
        <v>0</v>
      </c>
      <c r="DK142" s="204">
        <f t="shared" si="241"/>
        <v>0</v>
      </c>
      <c r="DL142" s="204">
        <f t="shared" ref="DL142:DY155" si="242">IF(AND($D142&lt;=DL$8,$E142&gt;=DL$8),(($G142*$C142)/12),0)</f>
        <v>0</v>
      </c>
      <c r="DM142" s="206">
        <f t="shared" si="242"/>
        <v>0</v>
      </c>
      <c r="DN142" s="185">
        <f t="shared" si="242"/>
        <v>0</v>
      </c>
      <c r="DO142" s="185">
        <f t="shared" si="242"/>
        <v>0</v>
      </c>
      <c r="DP142" s="185">
        <f t="shared" si="242"/>
        <v>0</v>
      </c>
      <c r="DQ142" s="185">
        <f t="shared" si="242"/>
        <v>0</v>
      </c>
      <c r="DR142" s="185">
        <f t="shared" si="242"/>
        <v>0</v>
      </c>
      <c r="DS142" s="185">
        <f t="shared" si="242"/>
        <v>0</v>
      </c>
      <c r="DT142" s="185">
        <f t="shared" si="242"/>
        <v>0</v>
      </c>
      <c r="DU142" s="185">
        <f t="shared" si="242"/>
        <v>0</v>
      </c>
      <c r="DV142" s="185">
        <f t="shared" si="242"/>
        <v>0</v>
      </c>
      <c r="DW142" s="185">
        <f t="shared" si="242"/>
        <v>0</v>
      </c>
      <c r="DX142" s="185">
        <f t="shared" si="242"/>
        <v>0</v>
      </c>
      <c r="DY142" s="185">
        <f t="shared" si="242"/>
        <v>0</v>
      </c>
    </row>
    <row r="143" spans="1:129" x14ac:dyDescent="0.35">
      <c r="B143" s="34"/>
      <c r="C143" s="209"/>
      <c r="D143" s="229"/>
      <c r="E143" s="218"/>
      <c r="F143" s="188">
        <f t="shared" si="237"/>
        <v>0</v>
      </c>
      <c r="G143" s="219"/>
      <c r="H143" s="527">
        <f t="shared" si="238"/>
        <v>0</v>
      </c>
      <c r="I143" s="219"/>
      <c r="J143" s="230"/>
      <c r="K143" s="186"/>
      <c r="L143" s="188"/>
      <c r="M143" s="34"/>
      <c r="N143" s="209"/>
      <c r="O143" s="229"/>
      <c r="P143" s="218"/>
      <c r="Q143" s="188">
        <f t="shared" si="239"/>
        <v>0</v>
      </c>
      <c r="R143" s="219"/>
      <c r="S143" s="527">
        <f t="shared" si="240"/>
        <v>0</v>
      </c>
      <c r="T143" s="219"/>
      <c r="U143" s="230"/>
      <c r="W143" s="184" t="s">
        <v>431</v>
      </c>
      <c r="X143" s="205" cm="1">
        <f t="array" ref="X143">(SUMPRODUCT((TEXT($O141:$O155,"yyyymm")=TEXT(X$140,"yyyymm")) * ($T141:$T155 * $N141:$N155)))+(SUMPRODUCT((TEXT($D141:$D155,"yyyymm")=TEXT(X$140,"yyyymm")) * ($I141:$I155 * $C141:$C155)))</f>
        <v>0</v>
      </c>
      <c r="Y143" s="185" cm="1">
        <f t="array" ref="Y143">(SUMPRODUCT((TEXT($O141:$O155,"yyyymm")=TEXT(Y$140,"yyyymm")) * ($T141:$T155 * $N141:$N155)))+(SUMPRODUCT((TEXT($D141:$D155,"yyyymm")=TEXT(Y$140,"yyyymm")) * ($I141:$I155 * $C141:$C155)))</f>
        <v>0</v>
      </c>
      <c r="Z143" s="185" cm="1">
        <f t="array" ref="Z143">(SUMPRODUCT((TEXT($O141:$O155,"yyyymm")=TEXT(Z$140,"yyyymm")) * ($T141:$T155 * $N141:$N155)))+(SUMPRODUCT((TEXT($D141:$D155,"yyyymm")=TEXT(Z$140,"yyyymm")) * ($I141:$I155 * $C141:$C155)))</f>
        <v>0</v>
      </c>
      <c r="AA143" s="185" cm="1">
        <f t="array" ref="AA143">(SUMPRODUCT((TEXT($O141:$O155,"yyyymm")=TEXT(AA$140,"yyyymm")) * ($T141:$T155 * $N141:$N155)))+(SUMPRODUCT((TEXT($D141:$D155,"yyyymm")=TEXT(AA$140,"yyyymm")) * ($I141:$I155 * $C141:$C155)))</f>
        <v>0</v>
      </c>
      <c r="AB143" s="185" cm="1">
        <f t="array" ref="AB143">(SUMPRODUCT((TEXT($O141:$O155,"yyyymm")=TEXT(AB$140,"yyyymm")) * ($T141:$T155 * $N141:$N155)))+(SUMPRODUCT((TEXT($D141:$D155,"yyyymm")=TEXT(AB$140,"yyyymm")) * ($I141:$I155 * $C141:$C155)))</f>
        <v>0</v>
      </c>
      <c r="AC143" s="185" cm="1">
        <f t="array" ref="AC143">(SUMPRODUCT((TEXT($O141:$O155,"yyyymm")=TEXT(AC$140,"yyyymm")) * ($T141:$T155 * $N141:$N155)))+(SUMPRODUCT((TEXT($D141:$D155,"yyyymm")=TEXT(AC$140,"yyyymm")) * ($I141:$I155 * $C141:$C155)))</f>
        <v>0</v>
      </c>
      <c r="AD143" s="185" cm="1">
        <f t="array" ref="AD143">(SUMPRODUCT((TEXT($O141:$O155,"yyyymm")=TEXT(AD$140,"yyyymm")) * ($T141:$T155 * $N141:$N155)))+(SUMPRODUCT((TEXT($D141:$D155,"yyyymm")=TEXT(AD$140,"yyyymm")) * ($I141:$I155 * $C141:$C155)))</f>
        <v>0</v>
      </c>
      <c r="AE143" s="185" cm="1">
        <f t="array" ref="AE143">(SUMPRODUCT((TEXT($O141:$O155,"yyyymm")=TEXT(AE$140,"yyyymm")) * ($T141:$T155 * $N141:$N155)))+(SUMPRODUCT((TEXT($D141:$D155,"yyyymm")=TEXT(AE$140,"yyyymm")) * ($I141:$I155 * $C141:$C155)))</f>
        <v>0</v>
      </c>
      <c r="AF143" s="185" cm="1">
        <f t="array" ref="AF143">(SUMPRODUCT((TEXT($O141:$O155,"yyyymm")=TEXT(AF$140,"yyyymm")) * ($T141:$T155 * $N141:$N155)))+(SUMPRODUCT((TEXT($D141:$D155,"yyyymm")=TEXT(AF$140,"yyyymm")) * ($I141:$I155 * $C141:$C155)))</f>
        <v>0</v>
      </c>
      <c r="AG143" s="185" cm="1">
        <f t="array" ref="AG143">(SUMPRODUCT((TEXT($O141:$O155,"yyyymm")=TEXT(AG$140,"yyyymm")) * ($T141:$T155 * $N141:$N155)))+(SUMPRODUCT((TEXT($D141:$D155,"yyyymm")=TEXT(AG$140,"yyyymm")) * ($I141:$I155 * $C141:$C155)))</f>
        <v>0</v>
      </c>
      <c r="AH143" s="185" cm="1">
        <f t="array" ref="AH143">(SUMPRODUCT((TEXT($O141:$O155,"yyyymm")=TEXT(AH$140,"yyyymm")) * ($T141:$T155 * $N141:$N155)))+(SUMPRODUCT((TEXT($D141:$D155,"yyyymm")=TEXT(AH$140,"yyyymm")) * ($I141:$I155 * $C141:$C155)))</f>
        <v>0</v>
      </c>
      <c r="AI143" s="185" cm="1">
        <f t="array" ref="AI143">(SUMPRODUCT((TEXT($O141:$O155,"yyyymm")=TEXT(AI$140,"yyyymm")) * ($T141:$T155 * $N141:$N155)))+(SUMPRODUCT((TEXT($D141:$D155,"yyyymm")=TEXT(AI$140,"yyyymm")) * ($I141:$I155 * $C141:$C155)))</f>
        <v>0</v>
      </c>
      <c r="AJ143" s="205" cm="1">
        <f t="array" ref="AJ143">(SUMPRODUCT((TEXT($O141:$O155,"yyyymm")=TEXT(AJ$140,"yyyymm")) * ($T141:$T155 * $N141:$N155)))+(SUMPRODUCT((TEXT($D141:$D155,"yyyymm")=TEXT(AJ$140,"yyyymm")) * ($I141:$I155 * $C141:$C155)))</f>
        <v>0</v>
      </c>
      <c r="AK143" s="185" cm="1">
        <f t="array" ref="AK143">(SUMPRODUCT((TEXT($O141:$O155,"yyyymm")=TEXT(AK$140,"yyyymm")) * ($T141:$T155 * $N141:$N155)))+(SUMPRODUCT((TEXT($D141:$D155,"yyyymm")=TEXT(AK$140,"yyyymm")) * ($I141:$I155 * $C141:$C155)))</f>
        <v>0</v>
      </c>
      <c r="AL143" s="185" cm="1">
        <f t="array" ref="AL143">(SUMPRODUCT((TEXT($O141:$O155,"yyyymm")=TEXT(AL$140,"yyyymm")) * ($T141:$T155 * $N141:$N155)))+(SUMPRODUCT((TEXT($D141:$D155,"yyyymm")=TEXT(AL$140,"yyyymm")) * ($I141:$I155 * $C141:$C155)))</f>
        <v>0</v>
      </c>
      <c r="AM143" s="185" cm="1">
        <f t="array" ref="AM143">(SUMPRODUCT((TEXT($O141:$O155,"yyyymm")=TEXT(AM$140,"yyyymm")) * ($T141:$T155 * $N141:$N155)))+(SUMPRODUCT((TEXT($D141:$D155,"yyyymm")=TEXT(AM$140,"yyyymm")) * ($I141:$I155 * $C141:$C155)))</f>
        <v>0</v>
      </c>
      <c r="AN143" s="185" cm="1">
        <f t="array" ref="AN143">(SUMPRODUCT((TEXT($O141:$O155,"yyyymm")=TEXT(AN$140,"yyyymm")) * ($T141:$T155 * $N141:$N155)))+(SUMPRODUCT((TEXT($D141:$D155,"yyyymm")=TEXT(AN$140,"yyyymm")) * ($I141:$I155 * $C141:$C155)))</f>
        <v>0</v>
      </c>
      <c r="AO143" s="185" cm="1">
        <f t="array" ref="AO143">(SUMPRODUCT((TEXT($O141:$O155,"yyyymm")=TEXT(AO$140,"yyyymm")) * ($T141:$T155 * $N141:$N155)))+(SUMPRODUCT((TEXT($D141:$D155,"yyyymm")=TEXT(AO$140,"yyyymm")) * ($I141:$I155 * $C141:$C155)))</f>
        <v>0</v>
      </c>
      <c r="AP143" s="185" cm="1">
        <f t="array" ref="AP143">(SUMPRODUCT((TEXT($O141:$O155,"yyyymm")=TEXT(AP$140,"yyyymm")) * ($T141:$T155 * $N141:$N155)))+(SUMPRODUCT((TEXT($D141:$D155,"yyyymm")=TEXT(AP$140,"yyyymm")) * ($I141:$I155 * $C141:$C155)))</f>
        <v>0</v>
      </c>
      <c r="AQ143" s="185" cm="1">
        <f t="array" ref="AQ143">(SUMPRODUCT((TEXT($O141:$O155,"yyyymm")=TEXT(AQ$140,"yyyymm")) * ($T141:$T155 * $N141:$N155)))+(SUMPRODUCT((TEXT($D141:$D155,"yyyymm")=TEXT(AQ$140,"yyyymm")) * ($I141:$I155 * $C141:$C155)))</f>
        <v>0</v>
      </c>
      <c r="AR143" s="185" cm="1">
        <f t="array" ref="AR143">(SUMPRODUCT((TEXT($O141:$O155,"yyyymm")=TEXT(AR$140,"yyyymm")) * ($T141:$T155 * $N141:$N155)))+(SUMPRODUCT((TEXT($D141:$D155,"yyyymm")=TEXT(AR$140,"yyyymm")) * ($I141:$I155 * $C141:$C155)))</f>
        <v>0</v>
      </c>
      <c r="AS143" s="185" cm="1">
        <f t="array" ref="AS143">(SUMPRODUCT((TEXT($O141:$O155,"yyyymm")=TEXT(AS$140,"yyyymm")) * ($T141:$T155 * $N141:$N155)))+(SUMPRODUCT((TEXT($D141:$D155,"yyyymm")=TEXT(AS$140,"yyyymm")) * ($I141:$I155 * $C141:$C155)))</f>
        <v>0</v>
      </c>
      <c r="AT143" s="185" cm="1">
        <f t="array" ref="AT143">(SUMPRODUCT((TEXT($O141:$O155,"yyyymm")=TEXT(AT$140,"yyyymm")) * ($T141:$T155 * $N141:$N155)))+(SUMPRODUCT((TEXT($D141:$D155,"yyyymm")=TEXT(AT$140,"yyyymm")) * ($I141:$I155 * $C141:$C155)))</f>
        <v>0</v>
      </c>
      <c r="AU143" s="185" cm="1">
        <f t="array" ref="AU143">(SUMPRODUCT((TEXT($O141:$O155,"yyyymm")=TEXT(AU$140,"yyyymm")) * ($T141:$T155 * $N141:$N155)))+(SUMPRODUCT((TEXT($D141:$D155,"yyyymm")=TEXT(AU$140,"yyyymm")) * ($I141:$I155 * $C141:$C155)))</f>
        <v>0</v>
      </c>
      <c r="AV143" s="274">
        <f t="shared" ref="AV143:AV144" si="243">SUM(AJ143:AU143)</f>
        <v>0</v>
      </c>
      <c r="DB143" s="205">
        <f t="shared" si="241"/>
        <v>0</v>
      </c>
      <c r="DC143" s="204">
        <f t="shared" si="241"/>
        <v>0</v>
      </c>
      <c r="DD143" s="204">
        <f t="shared" si="241"/>
        <v>0</v>
      </c>
      <c r="DE143" s="204">
        <f t="shared" si="241"/>
        <v>0</v>
      </c>
      <c r="DF143" s="204">
        <f t="shared" si="241"/>
        <v>0</v>
      </c>
      <c r="DG143" s="204">
        <f t="shared" si="241"/>
        <v>0</v>
      </c>
      <c r="DH143" s="204">
        <f t="shared" si="241"/>
        <v>0</v>
      </c>
      <c r="DI143" s="204">
        <f t="shared" si="241"/>
        <v>0</v>
      </c>
      <c r="DJ143" s="204">
        <f t="shared" si="241"/>
        <v>0</v>
      </c>
      <c r="DK143" s="204">
        <f t="shared" si="241"/>
        <v>0</v>
      </c>
      <c r="DL143" s="204">
        <f t="shared" si="242"/>
        <v>0</v>
      </c>
      <c r="DM143" s="206">
        <f t="shared" si="242"/>
        <v>0</v>
      </c>
      <c r="DN143" s="185">
        <f t="shared" si="242"/>
        <v>0</v>
      </c>
      <c r="DO143" s="185">
        <f t="shared" si="242"/>
        <v>0</v>
      </c>
      <c r="DP143" s="185">
        <f t="shared" si="242"/>
        <v>0</v>
      </c>
      <c r="DQ143" s="185">
        <f t="shared" si="242"/>
        <v>0</v>
      </c>
      <c r="DR143" s="185">
        <f t="shared" si="242"/>
        <v>0</v>
      </c>
      <c r="DS143" s="185">
        <f t="shared" si="242"/>
        <v>0</v>
      </c>
      <c r="DT143" s="185">
        <f t="shared" si="242"/>
        <v>0</v>
      </c>
      <c r="DU143" s="185">
        <f t="shared" si="242"/>
        <v>0</v>
      </c>
      <c r="DV143" s="185">
        <f t="shared" si="242"/>
        <v>0</v>
      </c>
      <c r="DW143" s="185">
        <f t="shared" si="242"/>
        <v>0</v>
      </c>
      <c r="DX143" s="185">
        <f t="shared" si="242"/>
        <v>0</v>
      </c>
      <c r="DY143" s="185">
        <f t="shared" si="242"/>
        <v>0</v>
      </c>
    </row>
    <row r="144" spans="1:129" x14ac:dyDescent="0.35">
      <c r="B144" s="34"/>
      <c r="C144" s="209"/>
      <c r="D144" s="229"/>
      <c r="E144" s="220"/>
      <c r="F144" s="188">
        <f t="shared" si="237"/>
        <v>0</v>
      </c>
      <c r="G144" s="221"/>
      <c r="H144" s="527">
        <f t="shared" si="238"/>
        <v>0</v>
      </c>
      <c r="I144" s="219"/>
      <c r="J144" s="230"/>
      <c r="K144" s="186"/>
      <c r="L144" s="188"/>
      <c r="M144" s="34"/>
      <c r="N144" s="209"/>
      <c r="O144" s="229"/>
      <c r="P144" s="220"/>
      <c r="Q144" s="188">
        <f t="shared" si="239"/>
        <v>0</v>
      </c>
      <c r="R144" s="221"/>
      <c r="S144" s="527">
        <f t="shared" si="240"/>
        <v>0</v>
      </c>
      <c r="T144" s="219"/>
      <c r="U144" s="230"/>
      <c r="W144" s="184" t="s">
        <v>435</v>
      </c>
      <c r="X144" s="205" cm="1">
        <f t="array" ref="X144">IFERROR((SUMPRODUCT((TEXT($O141:$O155,"yyyymm")=TEXT(X$140,"yyyymm")) * ($U141:$U155 * $N141:$N155*$R141:$R155*$Q141:$Q155)))+(SUMPRODUCT((TEXT($D141:$D155,"yyyymm")=TEXT(X$140,"yyyymm")) * ($J141:$J155 * $C141:$C155*$G141:$G155*$F141:$F155))),0)</f>
        <v>0</v>
      </c>
      <c r="Y144" s="185" cm="1">
        <f t="array" ref="Y144">IFERROR((SUMPRODUCT((TEXT($O141:$O155,"yyyymm")=TEXT(Y$140,"yyyymm")) * ($U141:$U155 * $N141:$N155*$R141:$R155*$Q141:$Q155)))+(SUMPRODUCT((TEXT($D141:$D155,"yyyymm")=TEXT(Y$140,"yyyymm")) * ($J141:$J155 * $C141:$C155*$G141:$G155*$F141:$F155))),0)</f>
        <v>0</v>
      </c>
      <c r="Z144" s="185" cm="1">
        <f t="array" ref="Z144">IFERROR((SUMPRODUCT((TEXT($O141:$O155,"yyyymm")=TEXT(Z$140,"yyyymm")) * ($U141:$U155 * $N141:$N155*$R141:$R155*$Q141:$Q155)))+(SUMPRODUCT((TEXT($D141:$D155,"yyyymm")=TEXT(Z$140,"yyyymm")) * ($J141:$J155 * $C141:$C155*$G141:$G155*$F141:$F155))),0)</f>
        <v>0</v>
      </c>
      <c r="AA144" s="185" cm="1">
        <f t="array" ref="AA144">IFERROR((SUMPRODUCT((TEXT($O141:$O155,"yyyymm")=TEXT(AA$140,"yyyymm")) * ($U141:$U155 * $N141:$N155*$R141:$R155*$Q141:$Q155)))+(SUMPRODUCT((TEXT($D141:$D155,"yyyymm")=TEXT(AA$140,"yyyymm")) * ($J141:$J155 * $C141:$C155*$G141:$G155*$F141:$F155))),0)</f>
        <v>0</v>
      </c>
      <c r="AB144" s="185" cm="1">
        <f t="array" ref="AB144">IFERROR((SUMPRODUCT((TEXT($O141:$O155,"yyyymm")=TEXT(AB$140,"yyyymm")) * ($U141:$U155 * $N141:$N155*$R141:$R155*$Q141:$Q155)))+(SUMPRODUCT((TEXT($D141:$D155,"yyyymm")=TEXT(AB$140,"yyyymm")) * ($J141:$J155 * $C141:$C155*$G141:$G155*$F141:$F155))),0)</f>
        <v>0</v>
      </c>
      <c r="AC144" s="185" cm="1">
        <f t="array" ref="AC144">IFERROR((SUMPRODUCT((TEXT($O141:$O155,"yyyymm")=TEXT(AC$140,"yyyymm")) * ($U141:$U155 * $N141:$N155*$R141:$R155*$Q141:$Q155)))+(SUMPRODUCT((TEXT($D141:$D155,"yyyymm")=TEXT(AC$140,"yyyymm")) * ($J141:$J155 * $C141:$C155*$G141:$G155*$F141:$F155))),0)</f>
        <v>0</v>
      </c>
      <c r="AD144" s="185" cm="1">
        <f t="array" ref="AD144">IFERROR((SUMPRODUCT((TEXT($O141:$O155,"yyyymm")=TEXT(AD$140,"yyyymm")) * ($U141:$U155 * $N141:$N155*$R141:$R155*$Q141:$Q155)))+(SUMPRODUCT((TEXT($D141:$D155,"yyyymm")=TEXT(AD$140,"yyyymm")) * ($J141:$J155 * $C141:$C155*$G141:$G155*$F141:$F155))),0)</f>
        <v>0</v>
      </c>
      <c r="AE144" s="185" cm="1">
        <f t="array" ref="AE144">IFERROR((SUMPRODUCT((TEXT($O141:$O155,"yyyymm")=TEXT(AE$140,"yyyymm")) * ($U141:$U155 * $N141:$N155*$R141:$R155*$Q141:$Q155)))+(SUMPRODUCT((TEXT($D141:$D155,"yyyymm")=TEXT(AE$140,"yyyymm")) * ($J141:$J155 * $C141:$C155*$G141:$G155*$F141:$F155))),0)</f>
        <v>0</v>
      </c>
      <c r="AF144" s="185" cm="1">
        <f t="array" ref="AF144">IFERROR((SUMPRODUCT((TEXT($O141:$O155,"yyyymm")=TEXT(AF$140,"yyyymm")) * ($U141:$U155 * $N141:$N155*$R141:$R155*$Q141:$Q155)))+(SUMPRODUCT((TEXT($D141:$D155,"yyyymm")=TEXT(AF$140,"yyyymm")) * ($J141:$J155 * $C141:$C155*$G141:$G155*$F141:$F155))),0)</f>
        <v>0</v>
      </c>
      <c r="AG144" s="185" cm="1">
        <f t="array" ref="AG144">IFERROR((SUMPRODUCT((TEXT($O141:$O155,"yyyymm")=TEXT(AG$140,"yyyymm")) * ($U141:$U155 * $N141:$N155*$R141:$R155*$Q141:$Q155)))+(SUMPRODUCT((TEXT($D141:$D155,"yyyymm")=TEXT(AG$140,"yyyymm")) * ($J141:$J155 * $C141:$C155*$G141:$G155*$F141:$F155))),0)</f>
        <v>0</v>
      </c>
      <c r="AH144" s="185" cm="1">
        <f t="array" ref="AH144">IFERROR((SUMPRODUCT((TEXT($O141:$O155,"yyyymm")=TEXT(AH$140,"yyyymm")) * ($U141:$U155 * $N141:$N155*$R141:$R155*$Q141:$Q155)))+(SUMPRODUCT((TEXT($D141:$D155,"yyyymm")=TEXT(AH$140,"yyyymm")) * ($J141:$J155 * $C141:$C155*$G141:$G155*$F141:$F155))),0)</f>
        <v>0</v>
      </c>
      <c r="AI144" s="185" cm="1">
        <f t="array" ref="AI144">IFERROR((SUMPRODUCT((TEXT($O141:$O155,"yyyymm")=TEXT(AI$140,"yyyymm")) * ($U141:$U155 * $N141:$N155*$R141:$R155*$Q141:$Q155)))+(SUMPRODUCT((TEXT($D141:$D155,"yyyymm")=TEXT(AI$140,"yyyymm")) * ($J141:$J155 * $C141:$C155*$G141:$G155*$F141:$F155))),0)</f>
        <v>0</v>
      </c>
      <c r="AJ144" s="205" cm="1">
        <f t="array" ref="AJ144">IFERROR((SUMPRODUCT((TEXT($O141:$O155,"yyyymm")=TEXT(AJ$140,"yyyymm")) * ($U141:$U155 * $N141:$N155*$R141:$R155*$Q141:$Q155)))+(SUMPRODUCT((TEXT($D141:$D155,"yyyymm")=TEXT(AJ$140,"yyyymm")) * ($J141:$J155 * $C141:$C155*$G141:$G155*$F141:$F155))),0)</f>
        <v>0</v>
      </c>
      <c r="AK144" s="185" cm="1">
        <f t="array" ref="AK144">IFERROR((SUMPRODUCT((TEXT($O141:$O155,"yyyymm")=TEXT(AK$140,"yyyymm")) * ($U141:$U155 * $N141:$N155*$R141:$R155*$Q141:$Q155)))+(SUMPRODUCT((TEXT($D141:$D155,"yyyymm")=TEXT(AK$140,"yyyymm")) * ($J141:$J155 * $C141:$C155*$G141:$G155*$F141:$F155))),0)</f>
        <v>0</v>
      </c>
      <c r="AL144" s="185" cm="1">
        <f t="array" ref="AL144">IFERROR((SUMPRODUCT((TEXT($O141:$O155,"yyyymm")=TEXT(AL$140,"yyyymm")) * ($U141:$U155 * $N141:$N155*$R141:$R155*$Q141:$Q155)))+(SUMPRODUCT((TEXT($D141:$D155,"yyyymm")=TEXT(AL$140,"yyyymm")) * ($J141:$J155 * $C141:$C155*$G141:$G155*$F141:$F155))),0)</f>
        <v>0</v>
      </c>
      <c r="AM144" s="185" cm="1">
        <f t="array" ref="AM144">IFERROR((SUMPRODUCT((TEXT($O141:$O155,"yyyymm")=TEXT(AM$140,"yyyymm")) * ($U141:$U155 * $N141:$N155*$R141:$R155*$Q141:$Q155)))+(SUMPRODUCT((TEXT($D141:$D155,"yyyymm")=TEXT(AM$140,"yyyymm")) * ($J141:$J155 * $C141:$C155*$G141:$G155*$F141:$F155))),0)</f>
        <v>0</v>
      </c>
      <c r="AN144" s="185" cm="1">
        <f t="array" ref="AN144">IFERROR((SUMPRODUCT((TEXT($O141:$O155,"yyyymm")=TEXT(AN$140,"yyyymm")) * ($U141:$U155 * $N141:$N155*$R141:$R155*$Q141:$Q155)))+(SUMPRODUCT((TEXT($D141:$D155,"yyyymm")=TEXT(AN$140,"yyyymm")) * ($J141:$J155 * $C141:$C155*$G141:$G155*$F141:$F155))),0)</f>
        <v>0</v>
      </c>
      <c r="AO144" s="185" cm="1">
        <f t="array" ref="AO144">IFERROR((SUMPRODUCT((TEXT($O141:$O155,"yyyymm")=TEXT(AO$140,"yyyymm")) * ($U141:$U155 * $N141:$N155*$R141:$R155*$Q141:$Q155)))+(SUMPRODUCT((TEXT($D141:$D155,"yyyymm")=TEXT(AO$140,"yyyymm")) * ($J141:$J155 * $C141:$C155*$G141:$G155*$F141:$F155))),0)</f>
        <v>0</v>
      </c>
      <c r="AP144" s="185" cm="1">
        <f t="array" ref="AP144">IFERROR((SUMPRODUCT((TEXT($O141:$O155,"yyyymm")=TEXT(AP$140,"yyyymm")) * ($U141:$U155 * $N141:$N155*$R141:$R155*$Q141:$Q155)))+(SUMPRODUCT((TEXT($D141:$D155,"yyyymm")=TEXT(AP$140,"yyyymm")) * ($J141:$J155 * $C141:$C155*$G141:$G155*$F141:$F155))),0)</f>
        <v>0</v>
      </c>
      <c r="AQ144" s="185" cm="1">
        <f t="array" ref="AQ144">IFERROR((SUMPRODUCT((TEXT($O141:$O155,"yyyymm")=TEXT(AQ$140,"yyyymm")) * ($U141:$U155 * $N141:$N155*$R141:$R155*$Q141:$Q155)))+(SUMPRODUCT((TEXT($D141:$D155,"yyyymm")=TEXT(AQ$140,"yyyymm")) * ($J141:$J155 * $C141:$C155*$G141:$G155*$F141:$F155))),0)</f>
        <v>0</v>
      </c>
      <c r="AR144" s="185" cm="1">
        <f t="array" ref="AR144">IFERROR((SUMPRODUCT((TEXT($O141:$O155,"yyyymm")=TEXT(AR$140,"yyyymm")) * ($U141:$U155 * $N141:$N155*$R141:$R155*$Q141:$Q155)))+(SUMPRODUCT((TEXT($D141:$D155,"yyyymm")=TEXT(AR$140,"yyyymm")) * ($J141:$J155 * $C141:$C155*$G141:$G155*$F141:$F155))),0)</f>
        <v>0</v>
      </c>
      <c r="AS144" s="185" cm="1">
        <f t="array" ref="AS144">IFERROR((SUMPRODUCT((TEXT($O141:$O155,"yyyymm")=TEXT(AS$140,"yyyymm")) * ($U141:$U155 * $N141:$N155*$R141:$R155*$Q141:$Q155)))+(SUMPRODUCT((TEXT($D141:$D155,"yyyymm")=TEXT(AS$140,"yyyymm")) * ($J141:$J155 * $C141:$C155*$G141:$G155*$F141:$F155))),0)</f>
        <v>0</v>
      </c>
      <c r="AT144" s="185" cm="1">
        <f t="array" ref="AT144">IFERROR((SUMPRODUCT((TEXT($O141:$O155,"yyyymm")=TEXT(AT$140,"yyyymm")) * ($U141:$U155 * $N141:$N155*$R141:$R155*$Q141:$Q155)))+(SUMPRODUCT((TEXT($D141:$D155,"yyyymm")=TEXT(AT$140,"yyyymm")) * ($J141:$J155 * $C141:$C155*$G141:$G155*$F141:$F155))),0)</f>
        <v>0</v>
      </c>
      <c r="AU144" s="185" cm="1">
        <f t="array" ref="AU144">IFERROR((SUMPRODUCT((TEXT($O141:$O155,"yyyymm")=TEXT(AU$140,"yyyymm")) * ($U141:$U155 * $N141:$N155*$R141:$R155*$Q141:$Q155)))+(SUMPRODUCT((TEXT($D141:$D155,"yyyymm")=TEXT(AU$140,"yyyymm")) * ($J141:$J155 * $C141:$C155*$G141:$G155*$F141:$F155))),0)</f>
        <v>0</v>
      </c>
      <c r="AV144" s="274">
        <f t="shared" si="243"/>
        <v>0</v>
      </c>
      <c r="DB144" s="205">
        <f t="shared" si="241"/>
        <v>0</v>
      </c>
      <c r="DC144" s="204">
        <f t="shared" si="241"/>
        <v>0</v>
      </c>
      <c r="DD144" s="204">
        <f t="shared" si="241"/>
        <v>0</v>
      </c>
      <c r="DE144" s="204">
        <f t="shared" si="241"/>
        <v>0</v>
      </c>
      <c r="DF144" s="204">
        <f t="shared" si="241"/>
        <v>0</v>
      </c>
      <c r="DG144" s="204">
        <f t="shared" si="241"/>
        <v>0</v>
      </c>
      <c r="DH144" s="204">
        <f t="shared" si="241"/>
        <v>0</v>
      </c>
      <c r="DI144" s="204">
        <f t="shared" si="241"/>
        <v>0</v>
      </c>
      <c r="DJ144" s="204">
        <f t="shared" si="241"/>
        <v>0</v>
      </c>
      <c r="DK144" s="204">
        <f t="shared" si="241"/>
        <v>0</v>
      </c>
      <c r="DL144" s="204">
        <f t="shared" si="242"/>
        <v>0</v>
      </c>
      <c r="DM144" s="206">
        <f t="shared" si="242"/>
        <v>0</v>
      </c>
      <c r="DN144" s="185">
        <f t="shared" si="242"/>
        <v>0</v>
      </c>
      <c r="DO144" s="185">
        <f t="shared" si="242"/>
        <v>0</v>
      </c>
      <c r="DP144" s="185">
        <f t="shared" si="242"/>
        <v>0</v>
      </c>
      <c r="DQ144" s="185">
        <f t="shared" si="242"/>
        <v>0</v>
      </c>
      <c r="DR144" s="185">
        <f t="shared" si="242"/>
        <v>0</v>
      </c>
      <c r="DS144" s="185">
        <f t="shared" si="242"/>
        <v>0</v>
      </c>
      <c r="DT144" s="185">
        <f t="shared" si="242"/>
        <v>0</v>
      </c>
      <c r="DU144" s="185">
        <f t="shared" si="242"/>
        <v>0</v>
      </c>
      <c r="DV144" s="185">
        <f t="shared" si="242"/>
        <v>0</v>
      </c>
      <c r="DW144" s="185">
        <f t="shared" si="242"/>
        <v>0</v>
      </c>
      <c r="DX144" s="185">
        <f t="shared" si="242"/>
        <v>0</v>
      </c>
      <c r="DY144" s="185">
        <f t="shared" si="242"/>
        <v>0</v>
      </c>
    </row>
    <row r="145" spans="1:129" ht="17.5" x14ac:dyDescent="0.35">
      <c r="B145" s="34"/>
      <c r="C145" s="209"/>
      <c r="D145" s="229"/>
      <c r="E145" s="218"/>
      <c r="F145" s="188">
        <f t="shared" si="237"/>
        <v>0</v>
      </c>
      <c r="G145" s="219"/>
      <c r="H145" s="527">
        <f t="shared" si="238"/>
        <v>0</v>
      </c>
      <c r="I145" s="219"/>
      <c r="J145" s="230"/>
      <c r="K145" s="186"/>
      <c r="L145" s="188"/>
      <c r="M145" s="34"/>
      <c r="N145" s="209"/>
      <c r="O145" s="229"/>
      <c r="P145" s="218"/>
      <c r="Q145" s="188">
        <f t="shared" si="239"/>
        <v>0</v>
      </c>
      <c r="R145" s="219"/>
      <c r="S145" s="527">
        <f t="shared" si="240"/>
        <v>0</v>
      </c>
      <c r="T145" s="219"/>
      <c r="U145" s="230"/>
      <c r="W145" s="250" t="s">
        <v>368</v>
      </c>
      <c r="X145" s="145">
        <f>SUM(X142:X144)</f>
        <v>0</v>
      </c>
      <c r="Y145" s="145">
        <f t="shared" ref="Y145" si="244">SUM(Y142:Y144)</f>
        <v>0</v>
      </c>
      <c r="Z145" s="145">
        <f t="shared" ref="Z145" si="245">SUM(Z142:Z144)</f>
        <v>0</v>
      </c>
      <c r="AA145" s="145">
        <f t="shared" ref="AA145" si="246">SUM(AA142:AA144)</f>
        <v>0</v>
      </c>
      <c r="AB145" s="145">
        <f t="shared" ref="AB145" si="247">SUM(AB142:AB144)</f>
        <v>0</v>
      </c>
      <c r="AC145" s="145">
        <f t="shared" ref="AC145" si="248">SUM(AC142:AC144)</f>
        <v>0</v>
      </c>
      <c r="AD145" s="145">
        <f t="shared" ref="AD145" si="249">SUM(AD142:AD144)</f>
        <v>0</v>
      </c>
      <c r="AE145" s="145">
        <f t="shared" ref="AE145" si="250">SUM(AE142:AE144)</f>
        <v>0</v>
      </c>
      <c r="AF145" s="145">
        <f t="shared" ref="AF145" si="251">SUM(AF142:AF144)</f>
        <v>0</v>
      </c>
      <c r="AG145" s="145">
        <f t="shared" ref="AG145" si="252">SUM(AG142:AG144)</f>
        <v>0</v>
      </c>
      <c r="AH145" s="145">
        <f t="shared" ref="AH145" si="253">SUM(AH142:AH144)</f>
        <v>0</v>
      </c>
      <c r="AI145" s="145">
        <f t="shared" ref="AI145" si="254">SUM(AI142:AI144)</f>
        <v>0</v>
      </c>
      <c r="AJ145" s="145">
        <f t="shared" ref="AJ145" si="255">SUM(AJ142:AJ144)</f>
        <v>0</v>
      </c>
      <c r="AK145" s="145">
        <f t="shared" ref="AK145" si="256">SUM(AK142:AK144)</f>
        <v>0</v>
      </c>
      <c r="AL145" s="145">
        <f t="shared" ref="AL145" si="257">SUM(AL142:AL144)</f>
        <v>0</v>
      </c>
      <c r="AM145" s="145">
        <f t="shared" ref="AM145" si="258">SUM(AM142:AM144)</f>
        <v>0</v>
      </c>
      <c r="AN145" s="145">
        <f t="shared" ref="AN145" si="259">SUM(AN142:AN144)</f>
        <v>0</v>
      </c>
      <c r="AO145" s="145">
        <f t="shared" ref="AO145" si="260">SUM(AO142:AO144)</f>
        <v>0</v>
      </c>
      <c r="AP145" s="145">
        <f t="shared" ref="AP145" si="261">SUM(AP142:AP144)</f>
        <v>0</v>
      </c>
      <c r="AQ145" s="145">
        <f t="shared" ref="AQ145" si="262">SUM(AQ142:AQ144)</f>
        <v>0</v>
      </c>
      <c r="AR145" s="145">
        <f t="shared" ref="AR145" si="263">SUM(AR142:AR144)</f>
        <v>0</v>
      </c>
      <c r="AS145" s="145">
        <f t="shared" ref="AS145" si="264">SUM(AS142:AS144)</f>
        <v>0</v>
      </c>
      <c r="AT145" s="145">
        <f t="shared" ref="AT145" si="265">SUM(AT142:AT144)</f>
        <v>0</v>
      </c>
      <c r="AU145" s="251">
        <f t="shared" ref="AU145:AV145" si="266">SUM(AU142:AU144)</f>
        <v>0</v>
      </c>
      <c r="AV145" s="145">
        <f t="shared" si="266"/>
        <v>0</v>
      </c>
      <c r="DB145" s="205">
        <f t="shared" si="241"/>
        <v>0</v>
      </c>
      <c r="DC145" s="204">
        <f t="shared" si="241"/>
        <v>0</v>
      </c>
      <c r="DD145" s="204">
        <f t="shared" si="241"/>
        <v>0</v>
      </c>
      <c r="DE145" s="204">
        <f t="shared" si="241"/>
        <v>0</v>
      </c>
      <c r="DF145" s="204">
        <f t="shared" si="241"/>
        <v>0</v>
      </c>
      <c r="DG145" s="204">
        <f t="shared" si="241"/>
        <v>0</v>
      </c>
      <c r="DH145" s="204">
        <f t="shared" si="241"/>
        <v>0</v>
      </c>
      <c r="DI145" s="204">
        <f t="shared" si="241"/>
        <v>0</v>
      </c>
      <c r="DJ145" s="204">
        <f t="shared" si="241"/>
        <v>0</v>
      </c>
      <c r="DK145" s="204">
        <f t="shared" si="241"/>
        <v>0</v>
      </c>
      <c r="DL145" s="204">
        <f t="shared" si="242"/>
        <v>0</v>
      </c>
      <c r="DM145" s="206">
        <f t="shared" si="242"/>
        <v>0</v>
      </c>
      <c r="DN145" s="185">
        <f t="shared" si="242"/>
        <v>0</v>
      </c>
      <c r="DO145" s="185">
        <f t="shared" si="242"/>
        <v>0</v>
      </c>
      <c r="DP145" s="185">
        <f t="shared" si="242"/>
        <v>0</v>
      </c>
      <c r="DQ145" s="185">
        <f t="shared" si="242"/>
        <v>0</v>
      </c>
      <c r="DR145" s="185">
        <f t="shared" si="242"/>
        <v>0</v>
      </c>
      <c r="DS145" s="185">
        <f t="shared" si="242"/>
        <v>0</v>
      </c>
      <c r="DT145" s="185">
        <f t="shared" si="242"/>
        <v>0</v>
      </c>
      <c r="DU145" s="185">
        <f t="shared" si="242"/>
        <v>0</v>
      </c>
      <c r="DV145" s="185">
        <f t="shared" si="242"/>
        <v>0</v>
      </c>
      <c r="DW145" s="185">
        <f t="shared" si="242"/>
        <v>0</v>
      </c>
      <c r="DX145" s="185">
        <f t="shared" si="242"/>
        <v>0</v>
      </c>
      <c r="DY145" s="185">
        <f t="shared" si="242"/>
        <v>0</v>
      </c>
    </row>
    <row r="146" spans="1:129" x14ac:dyDescent="0.25">
      <c r="D146" s="229"/>
      <c r="E146" s="218"/>
      <c r="F146" s="188">
        <f t="shared" si="237"/>
        <v>0</v>
      </c>
      <c r="G146" s="219"/>
      <c r="H146" s="527">
        <f t="shared" si="238"/>
        <v>0</v>
      </c>
      <c r="I146" s="219"/>
      <c r="J146" s="230"/>
      <c r="L146" s="188"/>
      <c r="O146" s="229"/>
      <c r="P146" s="218"/>
      <c r="Q146" s="188">
        <f t="shared" si="239"/>
        <v>0</v>
      </c>
      <c r="R146" s="219"/>
      <c r="S146" s="527">
        <f t="shared" si="240"/>
        <v>0</v>
      </c>
      <c r="T146" s="219"/>
      <c r="U146" s="230"/>
      <c r="DB146" s="205">
        <f t="shared" si="241"/>
        <v>0</v>
      </c>
      <c r="DC146" s="204">
        <f t="shared" si="241"/>
        <v>0</v>
      </c>
      <c r="DD146" s="204">
        <f t="shared" si="241"/>
        <v>0</v>
      </c>
      <c r="DE146" s="204">
        <f t="shared" si="241"/>
        <v>0</v>
      </c>
      <c r="DF146" s="204">
        <f t="shared" si="241"/>
        <v>0</v>
      </c>
      <c r="DG146" s="204">
        <f t="shared" si="241"/>
        <v>0</v>
      </c>
      <c r="DH146" s="204">
        <f t="shared" si="241"/>
        <v>0</v>
      </c>
      <c r="DI146" s="204">
        <f t="shared" si="241"/>
        <v>0</v>
      </c>
      <c r="DJ146" s="204">
        <f t="shared" si="241"/>
        <v>0</v>
      </c>
      <c r="DK146" s="204">
        <f t="shared" si="241"/>
        <v>0</v>
      </c>
      <c r="DL146" s="204">
        <f t="shared" si="242"/>
        <v>0</v>
      </c>
      <c r="DM146" s="206">
        <f t="shared" si="242"/>
        <v>0</v>
      </c>
      <c r="DN146" s="185">
        <f t="shared" si="242"/>
        <v>0</v>
      </c>
      <c r="DO146" s="185">
        <f t="shared" si="242"/>
        <v>0</v>
      </c>
      <c r="DP146" s="185">
        <f t="shared" si="242"/>
        <v>0</v>
      </c>
      <c r="DQ146" s="185">
        <f t="shared" si="242"/>
        <v>0</v>
      </c>
      <c r="DR146" s="185">
        <f t="shared" si="242"/>
        <v>0</v>
      </c>
      <c r="DS146" s="185">
        <f t="shared" si="242"/>
        <v>0</v>
      </c>
      <c r="DT146" s="185">
        <f t="shared" si="242"/>
        <v>0</v>
      </c>
      <c r="DU146" s="185">
        <f t="shared" si="242"/>
        <v>0</v>
      </c>
      <c r="DV146" s="185">
        <f t="shared" si="242"/>
        <v>0</v>
      </c>
      <c r="DW146" s="185">
        <f t="shared" si="242"/>
        <v>0</v>
      </c>
      <c r="DX146" s="185">
        <f t="shared" si="242"/>
        <v>0</v>
      </c>
      <c r="DY146" s="185">
        <f t="shared" si="242"/>
        <v>0</v>
      </c>
    </row>
    <row r="147" spans="1:129" x14ac:dyDescent="0.35">
      <c r="B147" s="34"/>
      <c r="C147" s="209"/>
      <c r="D147" s="229"/>
      <c r="E147" s="218"/>
      <c r="F147" s="188">
        <f t="shared" si="237"/>
        <v>0</v>
      </c>
      <c r="G147" s="219"/>
      <c r="H147" s="527">
        <f t="shared" si="238"/>
        <v>0</v>
      </c>
      <c r="I147" s="221"/>
      <c r="J147" s="230"/>
      <c r="K147" s="186"/>
      <c r="L147" s="188"/>
      <c r="M147" s="34"/>
      <c r="N147" s="209"/>
      <c r="O147" s="229"/>
      <c r="P147" s="218"/>
      <c r="Q147" s="188">
        <f t="shared" si="239"/>
        <v>0</v>
      </c>
      <c r="R147" s="219"/>
      <c r="S147" s="527">
        <f t="shared" si="240"/>
        <v>0</v>
      </c>
      <c r="T147" s="221"/>
      <c r="U147" s="230"/>
      <c r="W147" s="245" t="s">
        <v>440</v>
      </c>
      <c r="AK147" s="185"/>
      <c r="DB147" s="205">
        <f t="shared" si="241"/>
        <v>0</v>
      </c>
      <c r="DC147" s="204">
        <f t="shared" si="241"/>
        <v>0</v>
      </c>
      <c r="DD147" s="204">
        <f t="shared" si="241"/>
        <v>0</v>
      </c>
      <c r="DE147" s="204">
        <f t="shared" si="241"/>
        <v>0</v>
      </c>
      <c r="DF147" s="204">
        <f t="shared" si="241"/>
        <v>0</v>
      </c>
      <c r="DG147" s="204">
        <f t="shared" si="241"/>
        <v>0</v>
      </c>
      <c r="DH147" s="204">
        <f t="shared" si="241"/>
        <v>0</v>
      </c>
      <c r="DI147" s="204">
        <f t="shared" si="241"/>
        <v>0</v>
      </c>
      <c r="DJ147" s="204">
        <f t="shared" si="241"/>
        <v>0</v>
      </c>
      <c r="DK147" s="204">
        <f t="shared" si="241"/>
        <v>0</v>
      </c>
      <c r="DL147" s="204">
        <f t="shared" si="242"/>
        <v>0</v>
      </c>
      <c r="DM147" s="206">
        <f t="shared" si="242"/>
        <v>0</v>
      </c>
      <c r="DN147" s="185">
        <f t="shared" si="242"/>
        <v>0</v>
      </c>
      <c r="DO147" s="185">
        <f t="shared" si="242"/>
        <v>0</v>
      </c>
      <c r="DP147" s="185">
        <f t="shared" si="242"/>
        <v>0</v>
      </c>
      <c r="DQ147" s="185">
        <f t="shared" si="242"/>
        <v>0</v>
      </c>
      <c r="DR147" s="185">
        <f t="shared" si="242"/>
        <v>0</v>
      </c>
      <c r="DS147" s="185">
        <f t="shared" si="242"/>
        <v>0</v>
      </c>
      <c r="DT147" s="185">
        <f t="shared" si="242"/>
        <v>0</v>
      </c>
      <c r="DU147" s="185">
        <f t="shared" si="242"/>
        <v>0</v>
      </c>
      <c r="DV147" s="185">
        <f t="shared" si="242"/>
        <v>0</v>
      </c>
      <c r="DW147" s="185">
        <f t="shared" si="242"/>
        <v>0</v>
      </c>
      <c r="DX147" s="185">
        <f t="shared" si="242"/>
        <v>0</v>
      </c>
      <c r="DY147" s="185">
        <f t="shared" si="242"/>
        <v>0</v>
      </c>
    </row>
    <row r="148" spans="1:129" x14ac:dyDescent="0.35">
      <c r="B148" s="34"/>
      <c r="C148" s="209"/>
      <c r="D148" s="229"/>
      <c r="E148" s="218"/>
      <c r="F148" s="188">
        <f t="shared" si="237"/>
        <v>0</v>
      </c>
      <c r="G148" s="219"/>
      <c r="H148" s="527">
        <f t="shared" si="238"/>
        <v>0</v>
      </c>
      <c r="I148" s="221"/>
      <c r="J148" s="230"/>
      <c r="K148" s="186"/>
      <c r="L148" s="188"/>
      <c r="M148" s="34"/>
      <c r="N148" s="209"/>
      <c r="O148" s="229"/>
      <c r="P148" s="218"/>
      <c r="Q148" s="188">
        <f t="shared" si="239"/>
        <v>0</v>
      </c>
      <c r="R148" s="219"/>
      <c r="S148" s="527">
        <f t="shared" si="240"/>
        <v>0</v>
      </c>
      <c r="T148" s="221"/>
      <c r="U148" s="230"/>
      <c r="W148" s="245" t="s">
        <v>441</v>
      </c>
      <c r="DB148" s="205">
        <f t="shared" si="241"/>
        <v>0</v>
      </c>
      <c r="DC148" s="204">
        <f t="shared" si="241"/>
        <v>0</v>
      </c>
      <c r="DD148" s="204">
        <f t="shared" si="241"/>
        <v>0</v>
      </c>
      <c r="DE148" s="204">
        <f t="shared" si="241"/>
        <v>0</v>
      </c>
      <c r="DF148" s="204">
        <f t="shared" si="241"/>
        <v>0</v>
      </c>
      <c r="DG148" s="204">
        <f t="shared" si="241"/>
        <v>0</v>
      </c>
      <c r="DH148" s="204">
        <f t="shared" si="241"/>
        <v>0</v>
      </c>
      <c r="DI148" s="204">
        <f t="shared" si="241"/>
        <v>0</v>
      </c>
      <c r="DJ148" s="204">
        <f t="shared" si="241"/>
        <v>0</v>
      </c>
      <c r="DK148" s="204">
        <f t="shared" si="241"/>
        <v>0</v>
      </c>
      <c r="DL148" s="204">
        <f t="shared" si="242"/>
        <v>0</v>
      </c>
      <c r="DM148" s="206">
        <f t="shared" si="242"/>
        <v>0</v>
      </c>
      <c r="DN148" s="185">
        <f t="shared" si="242"/>
        <v>0</v>
      </c>
      <c r="DO148" s="185">
        <f t="shared" si="242"/>
        <v>0</v>
      </c>
      <c r="DP148" s="185">
        <f t="shared" si="242"/>
        <v>0</v>
      </c>
      <c r="DQ148" s="185">
        <f t="shared" si="242"/>
        <v>0</v>
      </c>
      <c r="DR148" s="185">
        <f t="shared" si="242"/>
        <v>0</v>
      </c>
      <c r="DS148" s="185">
        <f t="shared" si="242"/>
        <v>0</v>
      </c>
      <c r="DT148" s="185">
        <f t="shared" si="242"/>
        <v>0</v>
      </c>
      <c r="DU148" s="185">
        <f t="shared" si="242"/>
        <v>0</v>
      </c>
      <c r="DV148" s="185">
        <f t="shared" si="242"/>
        <v>0</v>
      </c>
      <c r="DW148" s="185">
        <f t="shared" si="242"/>
        <v>0</v>
      </c>
      <c r="DX148" s="185">
        <f t="shared" si="242"/>
        <v>0</v>
      </c>
      <c r="DY148" s="185">
        <f t="shared" si="242"/>
        <v>0</v>
      </c>
    </row>
    <row r="149" spans="1:129" x14ac:dyDescent="0.35">
      <c r="B149" s="34"/>
      <c r="C149" s="209"/>
      <c r="D149" s="229"/>
      <c r="E149" s="218"/>
      <c r="F149" s="188">
        <f t="shared" si="237"/>
        <v>0</v>
      </c>
      <c r="G149" s="219"/>
      <c r="H149" s="527">
        <f t="shared" si="238"/>
        <v>0</v>
      </c>
      <c r="I149" s="221"/>
      <c r="J149" s="230"/>
      <c r="K149" s="186"/>
      <c r="L149" s="188"/>
      <c r="M149" s="34"/>
      <c r="N149" s="209"/>
      <c r="O149" s="229"/>
      <c r="P149" s="218"/>
      <c r="Q149" s="188">
        <f t="shared" si="239"/>
        <v>0</v>
      </c>
      <c r="R149" s="219"/>
      <c r="S149" s="527">
        <f t="shared" si="240"/>
        <v>0</v>
      </c>
      <c r="T149" s="221"/>
      <c r="U149" s="230"/>
      <c r="DB149" s="205">
        <f t="shared" si="241"/>
        <v>0</v>
      </c>
      <c r="DC149" s="204">
        <f t="shared" si="241"/>
        <v>0</v>
      </c>
      <c r="DD149" s="204">
        <f t="shared" si="241"/>
        <v>0</v>
      </c>
      <c r="DE149" s="204">
        <f t="shared" si="241"/>
        <v>0</v>
      </c>
      <c r="DF149" s="204">
        <f t="shared" si="241"/>
        <v>0</v>
      </c>
      <c r="DG149" s="204">
        <f t="shared" si="241"/>
        <v>0</v>
      </c>
      <c r="DH149" s="204">
        <f t="shared" si="241"/>
        <v>0</v>
      </c>
      <c r="DI149" s="204">
        <f t="shared" si="241"/>
        <v>0</v>
      </c>
      <c r="DJ149" s="204">
        <f t="shared" si="241"/>
        <v>0</v>
      </c>
      <c r="DK149" s="204">
        <f t="shared" si="241"/>
        <v>0</v>
      </c>
      <c r="DL149" s="204">
        <f t="shared" si="242"/>
        <v>0</v>
      </c>
      <c r="DM149" s="206">
        <f t="shared" si="242"/>
        <v>0</v>
      </c>
      <c r="DN149" s="185">
        <f t="shared" si="242"/>
        <v>0</v>
      </c>
      <c r="DO149" s="185">
        <f t="shared" si="242"/>
        <v>0</v>
      </c>
      <c r="DP149" s="185">
        <f t="shared" si="242"/>
        <v>0</v>
      </c>
      <c r="DQ149" s="185">
        <f t="shared" si="242"/>
        <v>0</v>
      </c>
      <c r="DR149" s="185">
        <f t="shared" si="242"/>
        <v>0</v>
      </c>
      <c r="DS149" s="185">
        <f t="shared" si="242"/>
        <v>0</v>
      </c>
      <c r="DT149" s="185">
        <f t="shared" si="242"/>
        <v>0</v>
      </c>
      <c r="DU149" s="185">
        <f t="shared" si="242"/>
        <v>0</v>
      </c>
      <c r="DV149" s="185">
        <f t="shared" si="242"/>
        <v>0</v>
      </c>
      <c r="DW149" s="185">
        <f t="shared" si="242"/>
        <v>0</v>
      </c>
      <c r="DX149" s="185">
        <f t="shared" si="242"/>
        <v>0</v>
      </c>
      <c r="DY149" s="185">
        <f t="shared" si="242"/>
        <v>0</v>
      </c>
    </row>
    <row r="150" spans="1:129" x14ac:dyDescent="0.35">
      <c r="B150" s="34"/>
      <c r="C150" s="209"/>
      <c r="D150" s="229"/>
      <c r="E150" s="218"/>
      <c r="F150" s="188">
        <f t="shared" si="237"/>
        <v>0</v>
      </c>
      <c r="G150" s="219"/>
      <c r="H150" s="527">
        <f t="shared" si="238"/>
        <v>0</v>
      </c>
      <c r="I150" s="221"/>
      <c r="J150" s="230"/>
      <c r="K150" s="186"/>
      <c r="L150" s="188"/>
      <c r="M150" s="34"/>
      <c r="N150" s="209"/>
      <c r="O150" s="229"/>
      <c r="P150" s="218"/>
      <c r="Q150" s="188">
        <f t="shared" si="239"/>
        <v>0</v>
      </c>
      <c r="R150" s="219"/>
      <c r="S150" s="527">
        <f t="shared" si="240"/>
        <v>0</v>
      </c>
      <c r="T150" s="221"/>
      <c r="U150" s="230"/>
      <c r="DB150" s="205">
        <f t="shared" si="241"/>
        <v>0</v>
      </c>
      <c r="DC150" s="204">
        <f t="shared" si="241"/>
        <v>0</v>
      </c>
      <c r="DD150" s="204">
        <f t="shared" si="241"/>
        <v>0</v>
      </c>
      <c r="DE150" s="204">
        <f t="shared" si="241"/>
        <v>0</v>
      </c>
      <c r="DF150" s="204">
        <f t="shared" si="241"/>
        <v>0</v>
      </c>
      <c r="DG150" s="204">
        <f t="shared" si="241"/>
        <v>0</v>
      </c>
      <c r="DH150" s="204">
        <f t="shared" si="241"/>
        <v>0</v>
      </c>
      <c r="DI150" s="204">
        <f t="shared" si="241"/>
        <v>0</v>
      </c>
      <c r="DJ150" s="204">
        <f t="shared" si="241"/>
        <v>0</v>
      </c>
      <c r="DK150" s="204">
        <f t="shared" si="241"/>
        <v>0</v>
      </c>
      <c r="DL150" s="204">
        <f t="shared" si="242"/>
        <v>0</v>
      </c>
      <c r="DM150" s="206">
        <f t="shared" si="242"/>
        <v>0</v>
      </c>
      <c r="DN150" s="185">
        <f t="shared" si="242"/>
        <v>0</v>
      </c>
      <c r="DO150" s="185">
        <f t="shared" si="242"/>
        <v>0</v>
      </c>
      <c r="DP150" s="185">
        <f t="shared" si="242"/>
        <v>0</v>
      </c>
      <c r="DQ150" s="185">
        <f t="shared" si="242"/>
        <v>0</v>
      </c>
      <c r="DR150" s="185">
        <f t="shared" si="242"/>
        <v>0</v>
      </c>
      <c r="DS150" s="185">
        <f t="shared" si="242"/>
        <v>0</v>
      </c>
      <c r="DT150" s="185">
        <f t="shared" si="242"/>
        <v>0</v>
      </c>
      <c r="DU150" s="185">
        <f t="shared" si="242"/>
        <v>0</v>
      </c>
      <c r="DV150" s="185">
        <f t="shared" si="242"/>
        <v>0</v>
      </c>
      <c r="DW150" s="185">
        <f t="shared" si="242"/>
        <v>0</v>
      </c>
      <c r="DX150" s="185">
        <f t="shared" si="242"/>
        <v>0</v>
      </c>
      <c r="DY150" s="185">
        <f t="shared" si="242"/>
        <v>0</v>
      </c>
    </row>
    <row r="151" spans="1:129" x14ac:dyDescent="0.35">
      <c r="B151" s="34"/>
      <c r="C151" s="209"/>
      <c r="D151" s="229"/>
      <c r="E151" s="218"/>
      <c r="F151" s="188">
        <f t="shared" si="237"/>
        <v>0</v>
      </c>
      <c r="G151" s="219"/>
      <c r="H151" s="527">
        <f t="shared" si="238"/>
        <v>0</v>
      </c>
      <c r="I151" s="221"/>
      <c r="J151" s="230"/>
      <c r="K151" s="186"/>
      <c r="L151" s="188"/>
      <c r="M151" s="34"/>
      <c r="N151" s="209"/>
      <c r="O151" s="229"/>
      <c r="P151" s="218"/>
      <c r="Q151" s="188">
        <f t="shared" si="239"/>
        <v>0</v>
      </c>
      <c r="R151" s="219"/>
      <c r="S151" s="527">
        <f t="shared" si="240"/>
        <v>0</v>
      </c>
      <c r="T151" s="221"/>
      <c r="U151" s="230"/>
      <c r="DB151" s="205">
        <f t="shared" si="241"/>
        <v>0</v>
      </c>
      <c r="DC151" s="204">
        <f t="shared" si="241"/>
        <v>0</v>
      </c>
      <c r="DD151" s="204">
        <f t="shared" si="241"/>
        <v>0</v>
      </c>
      <c r="DE151" s="204">
        <f t="shared" si="241"/>
        <v>0</v>
      </c>
      <c r="DF151" s="204">
        <f t="shared" si="241"/>
        <v>0</v>
      </c>
      <c r="DG151" s="204">
        <f t="shared" si="241"/>
        <v>0</v>
      </c>
      <c r="DH151" s="204">
        <f t="shared" si="241"/>
        <v>0</v>
      </c>
      <c r="DI151" s="204">
        <f t="shared" si="241"/>
        <v>0</v>
      </c>
      <c r="DJ151" s="204">
        <f t="shared" si="241"/>
        <v>0</v>
      </c>
      <c r="DK151" s="204">
        <f t="shared" si="241"/>
        <v>0</v>
      </c>
      <c r="DL151" s="204">
        <f t="shared" si="242"/>
        <v>0</v>
      </c>
      <c r="DM151" s="206">
        <f t="shared" si="242"/>
        <v>0</v>
      </c>
      <c r="DN151" s="185">
        <f t="shared" si="242"/>
        <v>0</v>
      </c>
      <c r="DO151" s="185">
        <f t="shared" si="242"/>
        <v>0</v>
      </c>
      <c r="DP151" s="185">
        <f t="shared" si="242"/>
        <v>0</v>
      </c>
      <c r="DQ151" s="185">
        <f t="shared" si="242"/>
        <v>0</v>
      </c>
      <c r="DR151" s="185">
        <f t="shared" si="242"/>
        <v>0</v>
      </c>
      <c r="DS151" s="185">
        <f t="shared" si="242"/>
        <v>0</v>
      </c>
      <c r="DT151" s="185">
        <f t="shared" si="242"/>
        <v>0</v>
      </c>
      <c r="DU151" s="185">
        <f t="shared" si="242"/>
        <v>0</v>
      </c>
      <c r="DV151" s="185">
        <f t="shared" si="242"/>
        <v>0</v>
      </c>
      <c r="DW151" s="185">
        <f t="shared" si="242"/>
        <v>0</v>
      </c>
      <c r="DX151" s="185">
        <f t="shared" si="242"/>
        <v>0</v>
      </c>
      <c r="DY151" s="185">
        <f t="shared" si="242"/>
        <v>0</v>
      </c>
    </row>
    <row r="152" spans="1:129" x14ac:dyDescent="0.35">
      <c r="B152" s="34"/>
      <c r="C152" s="209"/>
      <c r="D152" s="229"/>
      <c r="E152" s="218"/>
      <c r="F152" s="188">
        <f t="shared" si="237"/>
        <v>0</v>
      </c>
      <c r="G152" s="219"/>
      <c r="H152" s="527">
        <f t="shared" si="238"/>
        <v>0</v>
      </c>
      <c r="I152" s="219"/>
      <c r="J152" s="230"/>
      <c r="K152" s="186"/>
      <c r="L152" s="188"/>
      <c r="M152" s="34"/>
      <c r="N152" s="209"/>
      <c r="O152" s="229"/>
      <c r="P152" s="218"/>
      <c r="Q152" s="188">
        <f t="shared" si="239"/>
        <v>0</v>
      </c>
      <c r="R152" s="219"/>
      <c r="S152" s="527">
        <f t="shared" si="240"/>
        <v>0</v>
      </c>
      <c r="T152" s="219"/>
      <c r="U152" s="230"/>
      <c r="DB152" s="205">
        <f t="shared" si="241"/>
        <v>0</v>
      </c>
      <c r="DC152" s="204">
        <f t="shared" si="241"/>
        <v>0</v>
      </c>
      <c r="DD152" s="204">
        <f t="shared" si="241"/>
        <v>0</v>
      </c>
      <c r="DE152" s="204">
        <f t="shared" si="241"/>
        <v>0</v>
      </c>
      <c r="DF152" s="204">
        <f t="shared" si="241"/>
        <v>0</v>
      </c>
      <c r="DG152" s="204">
        <f t="shared" si="241"/>
        <v>0</v>
      </c>
      <c r="DH152" s="204">
        <f t="shared" si="241"/>
        <v>0</v>
      </c>
      <c r="DI152" s="204">
        <f t="shared" si="241"/>
        <v>0</v>
      </c>
      <c r="DJ152" s="204">
        <f t="shared" si="241"/>
        <v>0</v>
      </c>
      <c r="DK152" s="204">
        <f t="shared" si="241"/>
        <v>0</v>
      </c>
      <c r="DL152" s="204">
        <f t="shared" si="242"/>
        <v>0</v>
      </c>
      <c r="DM152" s="206">
        <f t="shared" si="242"/>
        <v>0</v>
      </c>
      <c r="DN152" s="185">
        <f t="shared" si="242"/>
        <v>0</v>
      </c>
      <c r="DO152" s="185">
        <f t="shared" si="242"/>
        <v>0</v>
      </c>
      <c r="DP152" s="185">
        <f t="shared" si="242"/>
        <v>0</v>
      </c>
      <c r="DQ152" s="185">
        <f t="shared" si="242"/>
        <v>0</v>
      </c>
      <c r="DR152" s="185">
        <f t="shared" si="242"/>
        <v>0</v>
      </c>
      <c r="DS152" s="185">
        <f t="shared" si="242"/>
        <v>0</v>
      </c>
      <c r="DT152" s="185">
        <f t="shared" si="242"/>
        <v>0</v>
      </c>
      <c r="DU152" s="185">
        <f t="shared" si="242"/>
        <v>0</v>
      </c>
      <c r="DV152" s="185">
        <f t="shared" si="242"/>
        <v>0</v>
      </c>
      <c r="DW152" s="185">
        <f t="shared" si="242"/>
        <v>0</v>
      </c>
      <c r="DX152" s="185">
        <f t="shared" si="242"/>
        <v>0</v>
      </c>
      <c r="DY152" s="185">
        <f t="shared" si="242"/>
        <v>0</v>
      </c>
    </row>
    <row r="153" spans="1:129" x14ac:dyDescent="0.35">
      <c r="B153" s="34"/>
      <c r="C153" s="209"/>
      <c r="D153" s="229"/>
      <c r="E153" s="218"/>
      <c r="F153" s="188">
        <f t="shared" si="237"/>
        <v>0</v>
      </c>
      <c r="G153" s="219"/>
      <c r="H153" s="527">
        <f t="shared" si="238"/>
        <v>0</v>
      </c>
      <c r="I153" s="219"/>
      <c r="J153" s="230"/>
      <c r="K153" s="186"/>
      <c r="L153" s="188"/>
      <c r="M153" s="34"/>
      <c r="N153" s="209"/>
      <c r="O153" s="229"/>
      <c r="P153" s="218"/>
      <c r="Q153" s="188">
        <f t="shared" si="239"/>
        <v>0</v>
      </c>
      <c r="R153" s="219"/>
      <c r="S153" s="527">
        <f t="shared" si="240"/>
        <v>0</v>
      </c>
      <c r="T153" s="219"/>
      <c r="U153" s="230"/>
      <c r="DB153" s="205">
        <f t="shared" si="241"/>
        <v>0</v>
      </c>
      <c r="DC153" s="204">
        <f t="shared" si="241"/>
        <v>0</v>
      </c>
      <c r="DD153" s="204">
        <f t="shared" si="241"/>
        <v>0</v>
      </c>
      <c r="DE153" s="204">
        <f t="shared" si="241"/>
        <v>0</v>
      </c>
      <c r="DF153" s="204">
        <f t="shared" si="241"/>
        <v>0</v>
      </c>
      <c r="DG153" s="204">
        <f t="shared" si="241"/>
        <v>0</v>
      </c>
      <c r="DH153" s="204">
        <f t="shared" si="241"/>
        <v>0</v>
      </c>
      <c r="DI153" s="204">
        <f t="shared" si="241"/>
        <v>0</v>
      </c>
      <c r="DJ153" s="204">
        <f t="shared" si="241"/>
        <v>0</v>
      </c>
      <c r="DK153" s="204">
        <f t="shared" si="241"/>
        <v>0</v>
      </c>
      <c r="DL153" s="204">
        <f t="shared" si="242"/>
        <v>0</v>
      </c>
      <c r="DM153" s="206">
        <f t="shared" si="242"/>
        <v>0</v>
      </c>
      <c r="DN153" s="185">
        <f t="shared" si="242"/>
        <v>0</v>
      </c>
      <c r="DO153" s="185">
        <f t="shared" si="242"/>
        <v>0</v>
      </c>
      <c r="DP153" s="185">
        <f t="shared" si="242"/>
        <v>0</v>
      </c>
      <c r="DQ153" s="185">
        <f t="shared" si="242"/>
        <v>0</v>
      </c>
      <c r="DR153" s="185">
        <f t="shared" si="242"/>
        <v>0</v>
      </c>
      <c r="DS153" s="185">
        <f t="shared" si="242"/>
        <v>0</v>
      </c>
      <c r="DT153" s="185">
        <f t="shared" si="242"/>
        <v>0</v>
      </c>
      <c r="DU153" s="185">
        <f t="shared" si="242"/>
        <v>0</v>
      </c>
      <c r="DV153" s="185">
        <f t="shared" si="242"/>
        <v>0</v>
      </c>
      <c r="DW153" s="185">
        <f t="shared" si="242"/>
        <v>0</v>
      </c>
      <c r="DX153" s="185">
        <f t="shared" si="242"/>
        <v>0</v>
      </c>
      <c r="DY153" s="185">
        <f t="shared" si="242"/>
        <v>0</v>
      </c>
    </row>
    <row r="154" spans="1:129" x14ac:dyDescent="0.35">
      <c r="B154" s="34"/>
      <c r="C154" s="209"/>
      <c r="D154" s="229"/>
      <c r="E154" s="218"/>
      <c r="F154" s="188">
        <f t="shared" si="237"/>
        <v>0</v>
      </c>
      <c r="G154" s="219"/>
      <c r="H154" s="527">
        <f t="shared" si="238"/>
        <v>0</v>
      </c>
      <c r="I154" s="219"/>
      <c r="J154" s="230"/>
      <c r="K154" s="186"/>
      <c r="L154" s="188"/>
      <c r="M154" s="34"/>
      <c r="N154" s="209"/>
      <c r="O154" s="229"/>
      <c r="P154" s="218"/>
      <c r="Q154" s="188">
        <f t="shared" si="239"/>
        <v>0</v>
      </c>
      <c r="R154" s="219"/>
      <c r="S154" s="527">
        <f t="shared" si="240"/>
        <v>0</v>
      </c>
      <c r="T154" s="219"/>
      <c r="U154" s="230"/>
      <c r="DB154" s="205">
        <f t="shared" si="241"/>
        <v>0</v>
      </c>
      <c r="DC154" s="204">
        <f t="shared" si="241"/>
        <v>0</v>
      </c>
      <c r="DD154" s="204">
        <f t="shared" si="241"/>
        <v>0</v>
      </c>
      <c r="DE154" s="204">
        <f t="shared" si="241"/>
        <v>0</v>
      </c>
      <c r="DF154" s="204">
        <f t="shared" si="241"/>
        <v>0</v>
      </c>
      <c r="DG154" s="204">
        <f t="shared" si="241"/>
        <v>0</v>
      </c>
      <c r="DH154" s="204">
        <f t="shared" si="241"/>
        <v>0</v>
      </c>
      <c r="DI154" s="204">
        <f t="shared" si="241"/>
        <v>0</v>
      </c>
      <c r="DJ154" s="204">
        <f t="shared" si="241"/>
        <v>0</v>
      </c>
      <c r="DK154" s="204">
        <f t="shared" si="241"/>
        <v>0</v>
      </c>
      <c r="DL154" s="204">
        <f t="shared" si="242"/>
        <v>0</v>
      </c>
      <c r="DM154" s="206">
        <f t="shared" si="242"/>
        <v>0</v>
      </c>
      <c r="DN154" s="185">
        <f t="shared" si="242"/>
        <v>0</v>
      </c>
      <c r="DO154" s="185">
        <f t="shared" si="242"/>
        <v>0</v>
      </c>
      <c r="DP154" s="185">
        <f t="shared" si="242"/>
        <v>0</v>
      </c>
      <c r="DQ154" s="185">
        <f t="shared" si="242"/>
        <v>0</v>
      </c>
      <c r="DR154" s="185">
        <f t="shared" si="242"/>
        <v>0</v>
      </c>
      <c r="DS154" s="185">
        <f t="shared" si="242"/>
        <v>0</v>
      </c>
      <c r="DT154" s="185">
        <f t="shared" si="242"/>
        <v>0</v>
      </c>
      <c r="DU154" s="185">
        <f t="shared" si="242"/>
        <v>0</v>
      </c>
      <c r="DV154" s="185">
        <f t="shared" si="242"/>
        <v>0</v>
      </c>
      <c r="DW154" s="185">
        <f t="shared" si="242"/>
        <v>0</v>
      </c>
      <c r="DX154" s="185">
        <f t="shared" si="242"/>
        <v>0</v>
      </c>
      <c r="DY154" s="185">
        <f t="shared" si="242"/>
        <v>0</v>
      </c>
    </row>
    <row r="155" spans="1:129" x14ac:dyDescent="0.35">
      <c r="A155" s="201"/>
      <c r="B155" s="43"/>
      <c r="C155" s="210"/>
      <c r="D155" s="231"/>
      <c r="E155" s="222"/>
      <c r="F155" s="201">
        <f t="shared" si="237"/>
        <v>0</v>
      </c>
      <c r="G155" s="223"/>
      <c r="H155" s="528">
        <f t="shared" si="238"/>
        <v>0</v>
      </c>
      <c r="I155" s="223"/>
      <c r="J155" s="232"/>
      <c r="K155" s="186"/>
      <c r="L155" s="201"/>
      <c r="M155" s="43"/>
      <c r="N155" s="210"/>
      <c r="O155" s="231"/>
      <c r="P155" s="222"/>
      <c r="Q155" s="201">
        <f t="shared" si="239"/>
        <v>0</v>
      </c>
      <c r="R155" s="223"/>
      <c r="S155" s="528">
        <f t="shared" si="240"/>
        <v>0</v>
      </c>
      <c r="T155" s="223"/>
      <c r="U155" s="232"/>
      <c r="AK155" s="185"/>
      <c r="DB155" s="205">
        <f t="shared" si="241"/>
        <v>0</v>
      </c>
      <c r="DC155" s="204">
        <f t="shared" si="241"/>
        <v>0</v>
      </c>
      <c r="DD155" s="204">
        <f t="shared" si="241"/>
        <v>0</v>
      </c>
      <c r="DE155" s="204">
        <f t="shared" si="241"/>
        <v>0</v>
      </c>
      <c r="DF155" s="204">
        <f t="shared" si="241"/>
        <v>0</v>
      </c>
      <c r="DG155" s="204">
        <f t="shared" si="241"/>
        <v>0</v>
      </c>
      <c r="DH155" s="204">
        <f t="shared" si="241"/>
        <v>0</v>
      </c>
      <c r="DI155" s="204">
        <f t="shared" si="241"/>
        <v>0</v>
      </c>
      <c r="DJ155" s="204">
        <f t="shared" si="241"/>
        <v>0</v>
      </c>
      <c r="DK155" s="204">
        <f t="shared" si="241"/>
        <v>0</v>
      </c>
      <c r="DL155" s="204">
        <f t="shared" si="242"/>
        <v>0</v>
      </c>
      <c r="DM155" s="206">
        <f t="shared" si="242"/>
        <v>0</v>
      </c>
      <c r="DN155" s="185">
        <f t="shared" si="242"/>
        <v>0</v>
      </c>
      <c r="DO155" s="185">
        <f t="shared" si="242"/>
        <v>0</v>
      </c>
      <c r="DP155" s="185">
        <f t="shared" si="242"/>
        <v>0</v>
      </c>
      <c r="DQ155" s="185">
        <f t="shared" si="242"/>
        <v>0</v>
      </c>
      <c r="DR155" s="185">
        <f t="shared" si="242"/>
        <v>0</v>
      </c>
      <c r="DS155" s="185">
        <f t="shared" si="242"/>
        <v>0</v>
      </c>
      <c r="DT155" s="185">
        <f t="shared" si="242"/>
        <v>0</v>
      </c>
      <c r="DU155" s="185">
        <f t="shared" si="242"/>
        <v>0</v>
      </c>
      <c r="DV155" s="185">
        <f t="shared" si="242"/>
        <v>0</v>
      </c>
      <c r="DW155" s="185">
        <f t="shared" si="242"/>
        <v>0</v>
      </c>
      <c r="DX155" s="185">
        <f t="shared" si="242"/>
        <v>0</v>
      </c>
      <c r="DY155" s="185">
        <f t="shared" si="242"/>
        <v>0</v>
      </c>
    </row>
    <row r="156" spans="1:129" ht="16.5" thickBot="1" x14ac:dyDescent="0.35">
      <c r="A156" s="187"/>
      <c r="B156" s="44" t="s">
        <v>423</v>
      </c>
      <c r="C156" s="211">
        <f>SUM(C141:C155)</f>
        <v>0</v>
      </c>
      <c r="D156" s="197"/>
      <c r="E156" s="197"/>
      <c r="F156" s="207"/>
      <c r="G156" s="198"/>
      <c r="H156" s="198"/>
      <c r="I156" s="198"/>
      <c r="J156" s="199"/>
      <c r="K156" s="186"/>
      <c r="L156" s="187"/>
      <c r="M156" s="44" t="s">
        <v>426</v>
      </c>
      <c r="N156" s="211">
        <f>SUM(N141:N155)</f>
        <v>0</v>
      </c>
      <c r="O156" s="197"/>
      <c r="P156" s="197"/>
      <c r="Q156" s="207"/>
      <c r="R156" s="198"/>
      <c r="S156" s="198"/>
      <c r="T156" s="198"/>
      <c r="U156" s="199"/>
      <c r="AK156" s="185"/>
      <c r="DB156" s="193">
        <f>SUM(DB141:DB155)</f>
        <v>0</v>
      </c>
      <c r="DC156" s="193">
        <f t="shared" ref="DC156" si="267">SUM(DC141:DC155)</f>
        <v>0</v>
      </c>
      <c r="DD156" s="193">
        <f t="shared" ref="DD156" si="268">SUM(DD141:DD155)</f>
        <v>0</v>
      </c>
      <c r="DE156" s="193">
        <f t="shared" ref="DE156" si="269">SUM(DE141:DE155)</f>
        <v>0</v>
      </c>
      <c r="DF156" s="193">
        <f t="shared" ref="DF156" si="270">SUM(DF141:DF155)</f>
        <v>0</v>
      </c>
      <c r="DG156" s="193">
        <f t="shared" ref="DG156" si="271">SUM(DG141:DG155)</f>
        <v>0</v>
      </c>
      <c r="DH156" s="193">
        <f t="shared" ref="DH156" si="272">SUM(DH141:DH155)</f>
        <v>0</v>
      </c>
      <c r="DI156" s="193">
        <f t="shared" ref="DI156" si="273">SUM(DI141:DI155)</f>
        <v>0</v>
      </c>
      <c r="DJ156" s="193">
        <f t="shared" ref="DJ156" si="274">SUM(DJ141:DJ155)</f>
        <v>0</v>
      </c>
      <c r="DK156" s="193">
        <f t="shared" ref="DK156" si="275">SUM(DK141:DK155)</f>
        <v>0</v>
      </c>
      <c r="DL156" s="193">
        <f t="shared" ref="DL156" si="276">SUM(DL141:DL155)</f>
        <v>0</v>
      </c>
      <c r="DM156" s="193">
        <f t="shared" ref="DM156" si="277">SUM(DM141:DM155)</f>
        <v>0</v>
      </c>
      <c r="DN156" s="193">
        <f t="shared" ref="DN156" si="278">SUM(DN141:DN155)</f>
        <v>0</v>
      </c>
      <c r="DO156" s="193">
        <f t="shared" ref="DO156" si="279">SUM(DO141:DO155)</f>
        <v>0</v>
      </c>
      <c r="DP156" s="193">
        <f t="shared" ref="DP156" si="280">SUM(DP141:DP155)</f>
        <v>0</v>
      </c>
      <c r="DQ156" s="193">
        <f t="shared" ref="DQ156" si="281">SUM(DQ141:DQ155)</f>
        <v>0</v>
      </c>
      <c r="DR156" s="193">
        <f t="shared" ref="DR156" si="282">SUM(DR141:DR155)</f>
        <v>0</v>
      </c>
      <c r="DS156" s="193">
        <f t="shared" ref="DS156" si="283">SUM(DS141:DS155)</f>
        <v>0</v>
      </c>
      <c r="DT156" s="193">
        <f t="shared" ref="DT156" si="284">SUM(DT141:DT155)</f>
        <v>0</v>
      </c>
      <c r="DU156" s="193">
        <f t="shared" ref="DU156" si="285">SUM(DU141:DU155)</f>
        <v>0</v>
      </c>
      <c r="DV156" s="193">
        <f t="shared" ref="DV156" si="286">SUM(DV141:DV155)</f>
        <v>0</v>
      </c>
      <c r="DW156" s="193">
        <f t="shared" ref="DW156" si="287">SUM(DW141:DW155)</f>
        <v>0</v>
      </c>
      <c r="DX156" s="193">
        <f t="shared" ref="DX156" si="288">SUM(DX141:DX155)</f>
        <v>0</v>
      </c>
      <c r="DY156" s="193">
        <f t="shared" ref="DY156" si="289">SUM(DY141:DY155)</f>
        <v>0</v>
      </c>
    </row>
    <row r="157" spans="1:129" s="253" customFormat="1" ht="18.5" thickTop="1" thickBot="1" x14ac:dyDescent="0.3">
      <c r="A157" s="252"/>
      <c r="F157" s="252"/>
      <c r="K157" s="254"/>
      <c r="AK157" s="254"/>
      <c r="DB157" s="551"/>
      <c r="DC157" s="551"/>
      <c r="DD157" s="551"/>
      <c r="DE157" s="551"/>
      <c r="DF157" s="551"/>
      <c r="DG157" s="551"/>
      <c r="DH157" s="551"/>
      <c r="DI157" s="551"/>
      <c r="DJ157" s="551"/>
      <c r="DK157" s="551"/>
      <c r="DL157" s="551"/>
      <c r="DM157" s="551"/>
    </row>
    <row r="158" spans="1:129" x14ac:dyDescent="0.35">
      <c r="A158" s="184"/>
      <c r="F158" s="184"/>
      <c r="K158" s="188"/>
      <c r="AK158" s="191"/>
      <c r="DB158" s="234">
        <f t="shared" ref="DB158:DY158" si="290">DB$8</f>
        <v>45658</v>
      </c>
      <c r="DC158" s="32">
        <f t="shared" si="290"/>
        <v>45689</v>
      </c>
      <c r="DD158" s="32">
        <f t="shared" si="290"/>
        <v>45717</v>
      </c>
      <c r="DE158" s="32">
        <f t="shared" si="290"/>
        <v>45748</v>
      </c>
      <c r="DF158" s="32">
        <f t="shared" si="290"/>
        <v>45778</v>
      </c>
      <c r="DG158" s="32">
        <f t="shared" si="290"/>
        <v>45809</v>
      </c>
      <c r="DH158" s="32">
        <f t="shared" si="290"/>
        <v>45839</v>
      </c>
      <c r="DI158" s="32">
        <f t="shared" si="290"/>
        <v>45870</v>
      </c>
      <c r="DJ158" s="32">
        <f t="shared" si="290"/>
        <v>45901</v>
      </c>
      <c r="DK158" s="32">
        <f t="shared" si="290"/>
        <v>45931</v>
      </c>
      <c r="DL158" s="32">
        <f t="shared" si="290"/>
        <v>45962</v>
      </c>
      <c r="DM158" s="235">
        <f t="shared" si="290"/>
        <v>45992</v>
      </c>
      <c r="DN158" s="32">
        <f t="shared" si="290"/>
        <v>46023</v>
      </c>
      <c r="DO158" s="32">
        <f t="shared" si="290"/>
        <v>46054</v>
      </c>
      <c r="DP158" s="32">
        <f t="shared" si="290"/>
        <v>46082</v>
      </c>
      <c r="DQ158" s="32">
        <f t="shared" si="290"/>
        <v>46113</v>
      </c>
      <c r="DR158" s="32">
        <f t="shared" si="290"/>
        <v>46143</v>
      </c>
      <c r="DS158" s="32">
        <f t="shared" si="290"/>
        <v>46174</v>
      </c>
      <c r="DT158" s="32">
        <f t="shared" si="290"/>
        <v>46204</v>
      </c>
      <c r="DU158" s="32">
        <f t="shared" si="290"/>
        <v>46235</v>
      </c>
      <c r="DV158" s="32">
        <f t="shared" si="290"/>
        <v>46266</v>
      </c>
      <c r="DW158" s="32">
        <f t="shared" si="290"/>
        <v>46296</v>
      </c>
      <c r="DX158" s="32">
        <f t="shared" si="290"/>
        <v>46327</v>
      </c>
      <c r="DY158" s="32">
        <f t="shared" si="290"/>
        <v>46357</v>
      </c>
    </row>
    <row r="159" spans="1:129" x14ac:dyDescent="0.25">
      <c r="A159" s="184"/>
      <c r="F159" s="184"/>
      <c r="K159" s="237"/>
      <c r="AK159" s="185"/>
      <c r="DB159" s="205">
        <f t="shared" ref="DB159:DY159" si="291">IF(AND($O141&lt;=DB158,$P141&gt;=DB158),(($R141*$N141)/12),0)</f>
        <v>0</v>
      </c>
      <c r="DC159" s="204">
        <f t="shared" si="291"/>
        <v>0</v>
      </c>
      <c r="DD159" s="204">
        <f t="shared" si="291"/>
        <v>0</v>
      </c>
      <c r="DE159" s="204">
        <f t="shared" si="291"/>
        <v>0</v>
      </c>
      <c r="DF159" s="204">
        <f t="shared" si="291"/>
        <v>0</v>
      </c>
      <c r="DG159" s="204">
        <f t="shared" si="291"/>
        <v>0</v>
      </c>
      <c r="DH159" s="204">
        <f t="shared" si="291"/>
        <v>0</v>
      </c>
      <c r="DI159" s="204">
        <f t="shared" si="291"/>
        <v>0</v>
      </c>
      <c r="DJ159" s="204">
        <f t="shared" si="291"/>
        <v>0</v>
      </c>
      <c r="DK159" s="204">
        <f t="shared" si="291"/>
        <v>0</v>
      </c>
      <c r="DL159" s="204">
        <f t="shared" si="291"/>
        <v>0</v>
      </c>
      <c r="DM159" s="206">
        <f t="shared" si="291"/>
        <v>0</v>
      </c>
      <c r="DN159" s="185">
        <f t="shared" si="291"/>
        <v>0</v>
      </c>
      <c r="DO159" s="185">
        <f t="shared" si="291"/>
        <v>0</v>
      </c>
      <c r="DP159" s="185">
        <f t="shared" si="291"/>
        <v>0</v>
      </c>
      <c r="DQ159" s="185">
        <f t="shared" si="291"/>
        <v>0</v>
      </c>
      <c r="DR159" s="185">
        <f t="shared" si="291"/>
        <v>0</v>
      </c>
      <c r="DS159" s="185">
        <f t="shared" si="291"/>
        <v>0</v>
      </c>
      <c r="DT159" s="185">
        <f t="shared" si="291"/>
        <v>0</v>
      </c>
      <c r="DU159" s="185">
        <f t="shared" si="291"/>
        <v>0</v>
      </c>
      <c r="DV159" s="185">
        <f t="shared" si="291"/>
        <v>0</v>
      </c>
      <c r="DW159" s="185">
        <f t="shared" si="291"/>
        <v>0</v>
      </c>
      <c r="DX159" s="185">
        <f t="shared" si="291"/>
        <v>0</v>
      </c>
      <c r="DY159" s="185">
        <f t="shared" si="291"/>
        <v>0</v>
      </c>
    </row>
    <row r="160" spans="1:129" x14ac:dyDescent="0.25">
      <c r="A160" s="184"/>
      <c r="F160" s="184"/>
      <c r="K160" s="186"/>
      <c r="AK160" s="185"/>
      <c r="DB160" s="205">
        <f t="shared" ref="DB160:DY160" si="292">IF(AND($O142&lt;=DB$8,$P142&gt;=DB$8),(($R142*$N142)/12),0)</f>
        <v>0</v>
      </c>
      <c r="DC160" s="204">
        <f t="shared" si="292"/>
        <v>0</v>
      </c>
      <c r="DD160" s="204">
        <f t="shared" si="292"/>
        <v>0</v>
      </c>
      <c r="DE160" s="204">
        <f t="shared" si="292"/>
        <v>0</v>
      </c>
      <c r="DF160" s="204">
        <f t="shared" si="292"/>
        <v>0</v>
      </c>
      <c r="DG160" s="204">
        <f t="shared" si="292"/>
        <v>0</v>
      </c>
      <c r="DH160" s="204">
        <f t="shared" si="292"/>
        <v>0</v>
      </c>
      <c r="DI160" s="204">
        <f t="shared" si="292"/>
        <v>0</v>
      </c>
      <c r="DJ160" s="204">
        <f t="shared" si="292"/>
        <v>0</v>
      </c>
      <c r="DK160" s="204">
        <f t="shared" si="292"/>
        <v>0</v>
      </c>
      <c r="DL160" s="204">
        <f t="shared" si="292"/>
        <v>0</v>
      </c>
      <c r="DM160" s="206">
        <f t="shared" si="292"/>
        <v>0</v>
      </c>
      <c r="DN160" s="185">
        <f t="shared" si="292"/>
        <v>0</v>
      </c>
      <c r="DO160" s="185">
        <f t="shared" si="292"/>
        <v>0</v>
      </c>
      <c r="DP160" s="185">
        <f t="shared" si="292"/>
        <v>0</v>
      </c>
      <c r="DQ160" s="185">
        <f t="shared" si="292"/>
        <v>0</v>
      </c>
      <c r="DR160" s="185">
        <f t="shared" si="292"/>
        <v>0</v>
      </c>
      <c r="DS160" s="185">
        <f t="shared" si="292"/>
        <v>0</v>
      </c>
      <c r="DT160" s="185">
        <f t="shared" si="292"/>
        <v>0</v>
      </c>
      <c r="DU160" s="185">
        <f t="shared" si="292"/>
        <v>0</v>
      </c>
      <c r="DV160" s="185">
        <f t="shared" si="292"/>
        <v>0</v>
      </c>
      <c r="DW160" s="185">
        <f t="shared" si="292"/>
        <v>0</v>
      </c>
      <c r="DX160" s="185">
        <f t="shared" si="292"/>
        <v>0</v>
      </c>
      <c r="DY160" s="185">
        <f t="shared" si="292"/>
        <v>0</v>
      </c>
    </row>
    <row r="161" spans="1:129" x14ac:dyDescent="0.25">
      <c r="A161" s="184"/>
      <c r="F161" s="184"/>
      <c r="K161" s="186"/>
      <c r="AK161" s="185"/>
      <c r="DB161" s="205">
        <f t="shared" ref="DB161:DY161" si="293">IF(AND($O143&lt;=DB$8,$P143&gt;=DB$8),(($R143*$N143)/12),0)</f>
        <v>0</v>
      </c>
      <c r="DC161" s="204">
        <f t="shared" si="293"/>
        <v>0</v>
      </c>
      <c r="DD161" s="204">
        <f t="shared" si="293"/>
        <v>0</v>
      </c>
      <c r="DE161" s="204">
        <f t="shared" si="293"/>
        <v>0</v>
      </c>
      <c r="DF161" s="204">
        <f t="shared" si="293"/>
        <v>0</v>
      </c>
      <c r="DG161" s="204">
        <f t="shared" si="293"/>
        <v>0</v>
      </c>
      <c r="DH161" s="204">
        <f t="shared" si="293"/>
        <v>0</v>
      </c>
      <c r="DI161" s="204">
        <f t="shared" si="293"/>
        <v>0</v>
      </c>
      <c r="DJ161" s="204">
        <f t="shared" si="293"/>
        <v>0</v>
      </c>
      <c r="DK161" s="204">
        <f t="shared" si="293"/>
        <v>0</v>
      </c>
      <c r="DL161" s="204">
        <f t="shared" si="293"/>
        <v>0</v>
      </c>
      <c r="DM161" s="206">
        <f t="shared" si="293"/>
        <v>0</v>
      </c>
      <c r="DN161" s="185">
        <f t="shared" si="293"/>
        <v>0</v>
      </c>
      <c r="DO161" s="185">
        <f t="shared" si="293"/>
        <v>0</v>
      </c>
      <c r="DP161" s="185">
        <f t="shared" si="293"/>
        <v>0</v>
      </c>
      <c r="DQ161" s="185">
        <f t="shared" si="293"/>
        <v>0</v>
      </c>
      <c r="DR161" s="185">
        <f t="shared" si="293"/>
        <v>0</v>
      </c>
      <c r="DS161" s="185">
        <f t="shared" si="293"/>
        <v>0</v>
      </c>
      <c r="DT161" s="185">
        <f t="shared" si="293"/>
        <v>0</v>
      </c>
      <c r="DU161" s="185">
        <f t="shared" si="293"/>
        <v>0</v>
      </c>
      <c r="DV161" s="185">
        <f t="shared" si="293"/>
        <v>0</v>
      </c>
      <c r="DW161" s="185">
        <f t="shared" si="293"/>
        <v>0</v>
      </c>
      <c r="DX161" s="185">
        <f t="shared" si="293"/>
        <v>0</v>
      </c>
      <c r="DY161" s="185">
        <f t="shared" si="293"/>
        <v>0</v>
      </c>
    </row>
    <row r="162" spans="1:129" x14ac:dyDescent="0.25">
      <c r="A162" s="184"/>
      <c r="F162" s="184"/>
      <c r="K162" s="186"/>
      <c r="AK162" s="185"/>
      <c r="DB162" s="205">
        <f t="shared" ref="DB162:DY162" si="294">IF(AND($O144&lt;=DB$8,$P144&gt;=DB$8),(($R144*$N144)/12),0)</f>
        <v>0</v>
      </c>
      <c r="DC162" s="204">
        <f t="shared" si="294"/>
        <v>0</v>
      </c>
      <c r="DD162" s="204">
        <f t="shared" si="294"/>
        <v>0</v>
      </c>
      <c r="DE162" s="204">
        <f t="shared" si="294"/>
        <v>0</v>
      </c>
      <c r="DF162" s="204">
        <f t="shared" si="294"/>
        <v>0</v>
      </c>
      <c r="DG162" s="204">
        <f t="shared" si="294"/>
        <v>0</v>
      </c>
      <c r="DH162" s="204">
        <f t="shared" si="294"/>
        <v>0</v>
      </c>
      <c r="DI162" s="204">
        <f t="shared" si="294"/>
        <v>0</v>
      </c>
      <c r="DJ162" s="204">
        <f t="shared" si="294"/>
        <v>0</v>
      </c>
      <c r="DK162" s="204">
        <f t="shared" si="294"/>
        <v>0</v>
      </c>
      <c r="DL162" s="204">
        <f t="shared" si="294"/>
        <v>0</v>
      </c>
      <c r="DM162" s="206">
        <f t="shared" si="294"/>
        <v>0</v>
      </c>
      <c r="DN162" s="185">
        <f t="shared" si="294"/>
        <v>0</v>
      </c>
      <c r="DO162" s="185">
        <f t="shared" si="294"/>
        <v>0</v>
      </c>
      <c r="DP162" s="185">
        <f t="shared" si="294"/>
        <v>0</v>
      </c>
      <c r="DQ162" s="185">
        <f t="shared" si="294"/>
        <v>0</v>
      </c>
      <c r="DR162" s="185">
        <f t="shared" si="294"/>
        <v>0</v>
      </c>
      <c r="DS162" s="185">
        <f t="shared" si="294"/>
        <v>0</v>
      </c>
      <c r="DT162" s="185">
        <f t="shared" si="294"/>
        <v>0</v>
      </c>
      <c r="DU162" s="185">
        <f t="shared" si="294"/>
        <v>0</v>
      </c>
      <c r="DV162" s="185">
        <f t="shared" si="294"/>
        <v>0</v>
      </c>
      <c r="DW162" s="185">
        <f t="shared" si="294"/>
        <v>0</v>
      </c>
      <c r="DX162" s="185">
        <f t="shared" si="294"/>
        <v>0</v>
      </c>
      <c r="DY162" s="185">
        <f t="shared" si="294"/>
        <v>0</v>
      </c>
    </row>
    <row r="163" spans="1:129" x14ac:dyDescent="0.25">
      <c r="A163" s="184"/>
      <c r="F163" s="184"/>
      <c r="K163" s="186"/>
      <c r="AK163" s="185"/>
      <c r="DB163" s="205">
        <f t="shared" ref="DB163:DY163" si="295">IF(AND($O145&lt;=DB$8,$P145&gt;=DB$8),(($R145*$N145)/12),0)</f>
        <v>0</v>
      </c>
      <c r="DC163" s="204">
        <f t="shared" si="295"/>
        <v>0</v>
      </c>
      <c r="DD163" s="204">
        <f t="shared" si="295"/>
        <v>0</v>
      </c>
      <c r="DE163" s="204">
        <f t="shared" si="295"/>
        <v>0</v>
      </c>
      <c r="DF163" s="204">
        <f t="shared" si="295"/>
        <v>0</v>
      </c>
      <c r="DG163" s="204">
        <f t="shared" si="295"/>
        <v>0</v>
      </c>
      <c r="DH163" s="204">
        <f t="shared" si="295"/>
        <v>0</v>
      </c>
      <c r="DI163" s="204">
        <f t="shared" si="295"/>
        <v>0</v>
      </c>
      <c r="DJ163" s="204">
        <f t="shared" si="295"/>
        <v>0</v>
      </c>
      <c r="DK163" s="204">
        <f t="shared" si="295"/>
        <v>0</v>
      </c>
      <c r="DL163" s="204">
        <f t="shared" si="295"/>
        <v>0</v>
      </c>
      <c r="DM163" s="206">
        <f t="shared" si="295"/>
        <v>0</v>
      </c>
      <c r="DN163" s="185">
        <f t="shared" si="295"/>
        <v>0</v>
      </c>
      <c r="DO163" s="185">
        <f t="shared" si="295"/>
        <v>0</v>
      </c>
      <c r="DP163" s="185">
        <f t="shared" si="295"/>
        <v>0</v>
      </c>
      <c r="DQ163" s="185">
        <f t="shared" si="295"/>
        <v>0</v>
      </c>
      <c r="DR163" s="185">
        <f t="shared" si="295"/>
        <v>0</v>
      </c>
      <c r="DS163" s="185">
        <f t="shared" si="295"/>
        <v>0</v>
      </c>
      <c r="DT163" s="185">
        <f t="shared" si="295"/>
        <v>0</v>
      </c>
      <c r="DU163" s="185">
        <f t="shared" si="295"/>
        <v>0</v>
      </c>
      <c r="DV163" s="185">
        <f t="shared" si="295"/>
        <v>0</v>
      </c>
      <c r="DW163" s="185">
        <f t="shared" si="295"/>
        <v>0</v>
      </c>
      <c r="DX163" s="185">
        <f t="shared" si="295"/>
        <v>0</v>
      </c>
      <c r="DY163" s="185">
        <f t="shared" si="295"/>
        <v>0</v>
      </c>
    </row>
    <row r="164" spans="1:129" x14ac:dyDescent="0.25">
      <c r="A164" s="184"/>
      <c r="F164" s="184"/>
      <c r="DB164" s="205">
        <f t="shared" ref="DB164:DY164" si="296">IF(AND($O146&lt;=DB$8,$P146&gt;=DB$8),(($R146*$N146)/12),0)</f>
        <v>0</v>
      </c>
      <c r="DC164" s="204">
        <f t="shared" si="296"/>
        <v>0</v>
      </c>
      <c r="DD164" s="204">
        <f t="shared" si="296"/>
        <v>0</v>
      </c>
      <c r="DE164" s="204">
        <f t="shared" si="296"/>
        <v>0</v>
      </c>
      <c r="DF164" s="204">
        <f t="shared" si="296"/>
        <v>0</v>
      </c>
      <c r="DG164" s="204">
        <f t="shared" si="296"/>
        <v>0</v>
      </c>
      <c r="DH164" s="204">
        <f t="shared" si="296"/>
        <v>0</v>
      </c>
      <c r="DI164" s="204">
        <f t="shared" si="296"/>
        <v>0</v>
      </c>
      <c r="DJ164" s="204">
        <f t="shared" si="296"/>
        <v>0</v>
      </c>
      <c r="DK164" s="204">
        <f t="shared" si="296"/>
        <v>0</v>
      </c>
      <c r="DL164" s="204">
        <f t="shared" si="296"/>
        <v>0</v>
      </c>
      <c r="DM164" s="206">
        <f t="shared" si="296"/>
        <v>0</v>
      </c>
      <c r="DN164" s="185">
        <f t="shared" si="296"/>
        <v>0</v>
      </c>
      <c r="DO164" s="185">
        <f t="shared" si="296"/>
        <v>0</v>
      </c>
      <c r="DP164" s="185">
        <f t="shared" si="296"/>
        <v>0</v>
      </c>
      <c r="DQ164" s="185">
        <f t="shared" si="296"/>
        <v>0</v>
      </c>
      <c r="DR164" s="185">
        <f t="shared" si="296"/>
        <v>0</v>
      </c>
      <c r="DS164" s="185">
        <f t="shared" si="296"/>
        <v>0</v>
      </c>
      <c r="DT164" s="185">
        <f t="shared" si="296"/>
        <v>0</v>
      </c>
      <c r="DU164" s="185">
        <f t="shared" si="296"/>
        <v>0</v>
      </c>
      <c r="DV164" s="185">
        <f t="shared" si="296"/>
        <v>0</v>
      </c>
      <c r="DW164" s="185">
        <f t="shared" si="296"/>
        <v>0</v>
      </c>
      <c r="DX164" s="185">
        <f t="shared" si="296"/>
        <v>0</v>
      </c>
      <c r="DY164" s="185">
        <f t="shared" si="296"/>
        <v>0</v>
      </c>
    </row>
    <row r="165" spans="1:129" x14ac:dyDescent="0.25">
      <c r="A165" s="184"/>
      <c r="F165" s="184"/>
      <c r="K165" s="186"/>
      <c r="AK165" s="185"/>
      <c r="DB165" s="205">
        <f t="shared" ref="DB165:DY165" si="297">IF(AND($O147&lt;=DB$8,$P147&gt;=DB$8),(($R147*$N147)/12),0)</f>
        <v>0</v>
      </c>
      <c r="DC165" s="204">
        <f t="shared" si="297"/>
        <v>0</v>
      </c>
      <c r="DD165" s="204">
        <f t="shared" si="297"/>
        <v>0</v>
      </c>
      <c r="DE165" s="204">
        <f t="shared" si="297"/>
        <v>0</v>
      </c>
      <c r="DF165" s="204">
        <f t="shared" si="297"/>
        <v>0</v>
      </c>
      <c r="DG165" s="204">
        <f t="shared" si="297"/>
        <v>0</v>
      </c>
      <c r="DH165" s="204">
        <f t="shared" si="297"/>
        <v>0</v>
      </c>
      <c r="DI165" s="204">
        <f t="shared" si="297"/>
        <v>0</v>
      </c>
      <c r="DJ165" s="204">
        <f t="shared" si="297"/>
        <v>0</v>
      </c>
      <c r="DK165" s="204">
        <f t="shared" si="297"/>
        <v>0</v>
      </c>
      <c r="DL165" s="204">
        <f t="shared" si="297"/>
        <v>0</v>
      </c>
      <c r="DM165" s="206">
        <f t="shared" si="297"/>
        <v>0</v>
      </c>
      <c r="DN165" s="185">
        <f t="shared" si="297"/>
        <v>0</v>
      </c>
      <c r="DO165" s="185">
        <f t="shared" si="297"/>
        <v>0</v>
      </c>
      <c r="DP165" s="185">
        <f t="shared" si="297"/>
        <v>0</v>
      </c>
      <c r="DQ165" s="185">
        <f t="shared" si="297"/>
        <v>0</v>
      </c>
      <c r="DR165" s="185">
        <f t="shared" si="297"/>
        <v>0</v>
      </c>
      <c r="DS165" s="185">
        <f t="shared" si="297"/>
        <v>0</v>
      </c>
      <c r="DT165" s="185">
        <f t="shared" si="297"/>
        <v>0</v>
      </c>
      <c r="DU165" s="185">
        <f t="shared" si="297"/>
        <v>0</v>
      </c>
      <c r="DV165" s="185">
        <f t="shared" si="297"/>
        <v>0</v>
      </c>
      <c r="DW165" s="185">
        <f t="shared" si="297"/>
        <v>0</v>
      </c>
      <c r="DX165" s="185">
        <f t="shared" si="297"/>
        <v>0</v>
      </c>
      <c r="DY165" s="185">
        <f t="shared" si="297"/>
        <v>0</v>
      </c>
    </row>
    <row r="166" spans="1:129" x14ac:dyDescent="0.25">
      <c r="A166" s="184"/>
      <c r="F166" s="184"/>
      <c r="K166" s="186"/>
      <c r="AK166" s="185"/>
      <c r="DB166" s="205">
        <f t="shared" ref="DB166:DY166" si="298">IF(AND($O148&lt;=DB$8,$P148&gt;=DB$8),(($R148*$N148)/12),0)</f>
        <v>0</v>
      </c>
      <c r="DC166" s="204">
        <f t="shared" si="298"/>
        <v>0</v>
      </c>
      <c r="DD166" s="204">
        <f t="shared" si="298"/>
        <v>0</v>
      </c>
      <c r="DE166" s="204">
        <f t="shared" si="298"/>
        <v>0</v>
      </c>
      <c r="DF166" s="204">
        <f t="shared" si="298"/>
        <v>0</v>
      </c>
      <c r="DG166" s="204">
        <f t="shared" si="298"/>
        <v>0</v>
      </c>
      <c r="DH166" s="204">
        <f t="shared" si="298"/>
        <v>0</v>
      </c>
      <c r="DI166" s="204">
        <f t="shared" si="298"/>
        <v>0</v>
      </c>
      <c r="DJ166" s="204">
        <f t="shared" si="298"/>
        <v>0</v>
      </c>
      <c r="DK166" s="204">
        <f t="shared" si="298"/>
        <v>0</v>
      </c>
      <c r="DL166" s="204">
        <f t="shared" si="298"/>
        <v>0</v>
      </c>
      <c r="DM166" s="206">
        <f t="shared" si="298"/>
        <v>0</v>
      </c>
      <c r="DN166" s="185">
        <f t="shared" si="298"/>
        <v>0</v>
      </c>
      <c r="DO166" s="185">
        <f t="shared" si="298"/>
        <v>0</v>
      </c>
      <c r="DP166" s="185">
        <f t="shared" si="298"/>
        <v>0</v>
      </c>
      <c r="DQ166" s="185">
        <f t="shared" si="298"/>
        <v>0</v>
      </c>
      <c r="DR166" s="185">
        <f t="shared" si="298"/>
        <v>0</v>
      </c>
      <c r="DS166" s="185">
        <f t="shared" si="298"/>
        <v>0</v>
      </c>
      <c r="DT166" s="185">
        <f t="shared" si="298"/>
        <v>0</v>
      </c>
      <c r="DU166" s="185">
        <f t="shared" si="298"/>
        <v>0</v>
      </c>
      <c r="DV166" s="185">
        <f t="shared" si="298"/>
        <v>0</v>
      </c>
      <c r="DW166" s="185">
        <f t="shared" si="298"/>
        <v>0</v>
      </c>
      <c r="DX166" s="185">
        <f t="shared" si="298"/>
        <v>0</v>
      </c>
      <c r="DY166" s="185">
        <f t="shared" si="298"/>
        <v>0</v>
      </c>
    </row>
    <row r="167" spans="1:129" x14ac:dyDescent="0.25">
      <c r="A167" s="184"/>
      <c r="F167" s="184"/>
      <c r="K167" s="186"/>
      <c r="AK167" s="185"/>
      <c r="DB167" s="205">
        <f t="shared" ref="DB167:DY167" si="299">IF(AND($O149&lt;=DB$8,$P149&gt;=DB$8),(($R149*$N149)/12),0)</f>
        <v>0</v>
      </c>
      <c r="DC167" s="204">
        <f t="shared" si="299"/>
        <v>0</v>
      </c>
      <c r="DD167" s="204">
        <f t="shared" si="299"/>
        <v>0</v>
      </c>
      <c r="DE167" s="204">
        <f t="shared" si="299"/>
        <v>0</v>
      </c>
      <c r="DF167" s="204">
        <f t="shared" si="299"/>
        <v>0</v>
      </c>
      <c r="DG167" s="204">
        <f t="shared" si="299"/>
        <v>0</v>
      </c>
      <c r="DH167" s="204">
        <f t="shared" si="299"/>
        <v>0</v>
      </c>
      <c r="DI167" s="204">
        <f t="shared" si="299"/>
        <v>0</v>
      </c>
      <c r="DJ167" s="204">
        <f t="shared" si="299"/>
        <v>0</v>
      </c>
      <c r="DK167" s="204">
        <f t="shared" si="299"/>
        <v>0</v>
      </c>
      <c r="DL167" s="204">
        <f t="shared" si="299"/>
        <v>0</v>
      </c>
      <c r="DM167" s="206">
        <f t="shared" si="299"/>
        <v>0</v>
      </c>
      <c r="DN167" s="185">
        <f t="shared" si="299"/>
        <v>0</v>
      </c>
      <c r="DO167" s="185">
        <f t="shared" si="299"/>
        <v>0</v>
      </c>
      <c r="DP167" s="185">
        <f t="shared" si="299"/>
        <v>0</v>
      </c>
      <c r="DQ167" s="185">
        <f t="shared" si="299"/>
        <v>0</v>
      </c>
      <c r="DR167" s="185">
        <f t="shared" si="299"/>
        <v>0</v>
      </c>
      <c r="DS167" s="185">
        <f t="shared" si="299"/>
        <v>0</v>
      </c>
      <c r="DT167" s="185">
        <f t="shared" si="299"/>
        <v>0</v>
      </c>
      <c r="DU167" s="185">
        <f t="shared" si="299"/>
        <v>0</v>
      </c>
      <c r="DV167" s="185">
        <f t="shared" si="299"/>
        <v>0</v>
      </c>
      <c r="DW167" s="185">
        <f t="shared" si="299"/>
        <v>0</v>
      </c>
      <c r="DX167" s="185">
        <f t="shared" si="299"/>
        <v>0</v>
      </c>
      <c r="DY167" s="185">
        <f t="shared" si="299"/>
        <v>0</v>
      </c>
    </row>
    <row r="168" spans="1:129" x14ac:dyDescent="0.25">
      <c r="A168" s="184"/>
      <c r="F168" s="184"/>
      <c r="K168" s="186"/>
      <c r="AK168" s="185"/>
      <c r="DB168" s="205">
        <f t="shared" ref="DB168:DY168" si="300">IF(AND($O150&lt;=DB$8,$P150&gt;=DB$8),(($R150*$N150)/12),0)</f>
        <v>0</v>
      </c>
      <c r="DC168" s="204">
        <f t="shared" si="300"/>
        <v>0</v>
      </c>
      <c r="DD168" s="204">
        <f t="shared" si="300"/>
        <v>0</v>
      </c>
      <c r="DE168" s="204">
        <f t="shared" si="300"/>
        <v>0</v>
      </c>
      <c r="DF168" s="204">
        <f t="shared" si="300"/>
        <v>0</v>
      </c>
      <c r="DG168" s="204">
        <f t="shared" si="300"/>
        <v>0</v>
      </c>
      <c r="DH168" s="204">
        <f t="shared" si="300"/>
        <v>0</v>
      </c>
      <c r="DI168" s="204">
        <f t="shared" si="300"/>
        <v>0</v>
      </c>
      <c r="DJ168" s="204">
        <f t="shared" si="300"/>
        <v>0</v>
      </c>
      <c r="DK168" s="204">
        <f t="shared" si="300"/>
        <v>0</v>
      </c>
      <c r="DL168" s="204">
        <f t="shared" si="300"/>
        <v>0</v>
      </c>
      <c r="DM168" s="206">
        <f t="shared" si="300"/>
        <v>0</v>
      </c>
      <c r="DN168" s="185">
        <f t="shared" si="300"/>
        <v>0</v>
      </c>
      <c r="DO168" s="185">
        <f t="shared" si="300"/>
        <v>0</v>
      </c>
      <c r="DP168" s="185">
        <f t="shared" si="300"/>
        <v>0</v>
      </c>
      <c r="DQ168" s="185">
        <f t="shared" si="300"/>
        <v>0</v>
      </c>
      <c r="DR168" s="185">
        <f t="shared" si="300"/>
        <v>0</v>
      </c>
      <c r="DS168" s="185">
        <f t="shared" si="300"/>
        <v>0</v>
      </c>
      <c r="DT168" s="185">
        <f t="shared" si="300"/>
        <v>0</v>
      </c>
      <c r="DU168" s="185">
        <f t="shared" si="300"/>
        <v>0</v>
      </c>
      <c r="DV168" s="185">
        <f t="shared" si="300"/>
        <v>0</v>
      </c>
      <c r="DW168" s="185">
        <f t="shared" si="300"/>
        <v>0</v>
      </c>
      <c r="DX168" s="185">
        <f t="shared" si="300"/>
        <v>0</v>
      </c>
      <c r="DY168" s="185">
        <f t="shared" si="300"/>
        <v>0</v>
      </c>
    </row>
    <row r="169" spans="1:129" x14ac:dyDescent="0.25">
      <c r="A169" s="184"/>
      <c r="F169" s="184"/>
      <c r="K169" s="186"/>
      <c r="AK169" s="185"/>
      <c r="DB169" s="205">
        <f t="shared" ref="DB169:DY169" si="301">IF(AND($O151&lt;=DB$8,$P151&gt;=DB$8),(($R151*$N151)/12),0)</f>
        <v>0</v>
      </c>
      <c r="DC169" s="204">
        <f t="shared" si="301"/>
        <v>0</v>
      </c>
      <c r="DD169" s="204">
        <f t="shared" si="301"/>
        <v>0</v>
      </c>
      <c r="DE169" s="204">
        <f t="shared" si="301"/>
        <v>0</v>
      </c>
      <c r="DF169" s="204">
        <f t="shared" si="301"/>
        <v>0</v>
      </c>
      <c r="DG169" s="204">
        <f t="shared" si="301"/>
        <v>0</v>
      </c>
      <c r="DH169" s="204">
        <f t="shared" si="301"/>
        <v>0</v>
      </c>
      <c r="DI169" s="204">
        <f t="shared" si="301"/>
        <v>0</v>
      </c>
      <c r="DJ169" s="204">
        <f t="shared" si="301"/>
        <v>0</v>
      </c>
      <c r="DK169" s="204">
        <f t="shared" si="301"/>
        <v>0</v>
      </c>
      <c r="DL169" s="204">
        <f t="shared" si="301"/>
        <v>0</v>
      </c>
      <c r="DM169" s="206">
        <f t="shared" si="301"/>
        <v>0</v>
      </c>
      <c r="DN169" s="185">
        <f t="shared" si="301"/>
        <v>0</v>
      </c>
      <c r="DO169" s="185">
        <f t="shared" si="301"/>
        <v>0</v>
      </c>
      <c r="DP169" s="185">
        <f t="shared" si="301"/>
        <v>0</v>
      </c>
      <c r="DQ169" s="185">
        <f t="shared" si="301"/>
        <v>0</v>
      </c>
      <c r="DR169" s="185">
        <f t="shared" si="301"/>
        <v>0</v>
      </c>
      <c r="DS169" s="185">
        <f t="shared" si="301"/>
        <v>0</v>
      </c>
      <c r="DT169" s="185">
        <f t="shared" si="301"/>
        <v>0</v>
      </c>
      <c r="DU169" s="185">
        <f t="shared" si="301"/>
        <v>0</v>
      </c>
      <c r="DV169" s="185">
        <f t="shared" si="301"/>
        <v>0</v>
      </c>
      <c r="DW169" s="185">
        <f t="shared" si="301"/>
        <v>0</v>
      </c>
      <c r="DX169" s="185">
        <f t="shared" si="301"/>
        <v>0</v>
      </c>
      <c r="DY169" s="185">
        <f t="shared" si="301"/>
        <v>0</v>
      </c>
    </row>
    <row r="170" spans="1:129" x14ac:dyDescent="0.25">
      <c r="A170" s="184"/>
      <c r="F170" s="184"/>
      <c r="K170" s="186"/>
      <c r="AK170" s="185"/>
      <c r="DB170" s="205">
        <f t="shared" ref="DB170:DY170" si="302">IF(AND($O152&lt;=DB$8,$P152&gt;=DB$8),(($R152*$N152)/12),0)</f>
        <v>0</v>
      </c>
      <c r="DC170" s="204">
        <f t="shared" si="302"/>
        <v>0</v>
      </c>
      <c r="DD170" s="204">
        <f t="shared" si="302"/>
        <v>0</v>
      </c>
      <c r="DE170" s="204">
        <f t="shared" si="302"/>
        <v>0</v>
      </c>
      <c r="DF170" s="204">
        <f t="shared" si="302"/>
        <v>0</v>
      </c>
      <c r="DG170" s="204">
        <f t="shared" si="302"/>
        <v>0</v>
      </c>
      <c r="DH170" s="204">
        <f t="shared" si="302"/>
        <v>0</v>
      </c>
      <c r="DI170" s="204">
        <f t="shared" si="302"/>
        <v>0</v>
      </c>
      <c r="DJ170" s="204">
        <f t="shared" si="302"/>
        <v>0</v>
      </c>
      <c r="DK170" s="204">
        <f t="shared" si="302"/>
        <v>0</v>
      </c>
      <c r="DL170" s="204">
        <f t="shared" si="302"/>
        <v>0</v>
      </c>
      <c r="DM170" s="206">
        <f t="shared" si="302"/>
        <v>0</v>
      </c>
      <c r="DN170" s="185">
        <f t="shared" si="302"/>
        <v>0</v>
      </c>
      <c r="DO170" s="185">
        <f t="shared" si="302"/>
        <v>0</v>
      </c>
      <c r="DP170" s="185">
        <f t="shared" si="302"/>
        <v>0</v>
      </c>
      <c r="DQ170" s="185">
        <f t="shared" si="302"/>
        <v>0</v>
      </c>
      <c r="DR170" s="185">
        <f t="shared" si="302"/>
        <v>0</v>
      </c>
      <c r="DS170" s="185">
        <f t="shared" si="302"/>
        <v>0</v>
      </c>
      <c r="DT170" s="185">
        <f t="shared" si="302"/>
        <v>0</v>
      </c>
      <c r="DU170" s="185">
        <f t="shared" si="302"/>
        <v>0</v>
      </c>
      <c r="DV170" s="185">
        <f t="shared" si="302"/>
        <v>0</v>
      </c>
      <c r="DW170" s="185">
        <f t="shared" si="302"/>
        <v>0</v>
      </c>
      <c r="DX170" s="185">
        <f t="shared" si="302"/>
        <v>0</v>
      </c>
      <c r="DY170" s="185">
        <f t="shared" si="302"/>
        <v>0</v>
      </c>
    </row>
    <row r="171" spans="1:129" x14ac:dyDescent="0.25">
      <c r="A171" s="184"/>
      <c r="F171" s="184"/>
      <c r="K171" s="186"/>
      <c r="AK171" s="185"/>
      <c r="DB171" s="205">
        <f t="shared" ref="DB171:DY171" si="303">IF(AND($O153&lt;=DB$8,$P153&gt;=DB$8),(($R153*$N153)/12),0)</f>
        <v>0</v>
      </c>
      <c r="DC171" s="204">
        <f t="shared" si="303"/>
        <v>0</v>
      </c>
      <c r="DD171" s="204">
        <f t="shared" si="303"/>
        <v>0</v>
      </c>
      <c r="DE171" s="204">
        <f t="shared" si="303"/>
        <v>0</v>
      </c>
      <c r="DF171" s="204">
        <f t="shared" si="303"/>
        <v>0</v>
      </c>
      <c r="DG171" s="204">
        <f t="shared" si="303"/>
        <v>0</v>
      </c>
      <c r="DH171" s="204">
        <f t="shared" si="303"/>
        <v>0</v>
      </c>
      <c r="DI171" s="204">
        <f t="shared" si="303"/>
        <v>0</v>
      </c>
      <c r="DJ171" s="204">
        <f t="shared" si="303"/>
        <v>0</v>
      </c>
      <c r="DK171" s="204">
        <f t="shared" si="303"/>
        <v>0</v>
      </c>
      <c r="DL171" s="204">
        <f t="shared" si="303"/>
        <v>0</v>
      </c>
      <c r="DM171" s="206">
        <f t="shared" si="303"/>
        <v>0</v>
      </c>
      <c r="DN171" s="185">
        <f t="shared" si="303"/>
        <v>0</v>
      </c>
      <c r="DO171" s="185">
        <f t="shared" si="303"/>
        <v>0</v>
      </c>
      <c r="DP171" s="185">
        <f t="shared" si="303"/>
        <v>0</v>
      </c>
      <c r="DQ171" s="185">
        <f t="shared" si="303"/>
        <v>0</v>
      </c>
      <c r="DR171" s="185">
        <f t="shared" si="303"/>
        <v>0</v>
      </c>
      <c r="DS171" s="185">
        <f t="shared" si="303"/>
        <v>0</v>
      </c>
      <c r="DT171" s="185">
        <f t="shared" si="303"/>
        <v>0</v>
      </c>
      <c r="DU171" s="185">
        <f t="shared" si="303"/>
        <v>0</v>
      </c>
      <c r="DV171" s="185">
        <f t="shared" si="303"/>
        <v>0</v>
      </c>
      <c r="DW171" s="185">
        <f t="shared" si="303"/>
        <v>0</v>
      </c>
      <c r="DX171" s="185">
        <f t="shared" si="303"/>
        <v>0</v>
      </c>
      <c r="DY171" s="185">
        <f t="shared" si="303"/>
        <v>0</v>
      </c>
    </row>
    <row r="172" spans="1:129" x14ac:dyDescent="0.25">
      <c r="A172" s="184"/>
      <c r="F172" s="184"/>
      <c r="K172" s="186"/>
      <c r="AK172" s="185"/>
      <c r="DB172" s="205">
        <f t="shared" ref="DB172:DY172" si="304">IF(AND($O154&lt;=DB$8,$P154&gt;=DB$8),(($R154*$N154)/12),0)</f>
        <v>0</v>
      </c>
      <c r="DC172" s="204">
        <f t="shared" si="304"/>
        <v>0</v>
      </c>
      <c r="DD172" s="204">
        <f t="shared" si="304"/>
        <v>0</v>
      </c>
      <c r="DE172" s="204">
        <f t="shared" si="304"/>
        <v>0</v>
      </c>
      <c r="DF172" s="204">
        <f t="shared" si="304"/>
        <v>0</v>
      </c>
      <c r="DG172" s="204">
        <f t="shared" si="304"/>
        <v>0</v>
      </c>
      <c r="DH172" s="204">
        <f t="shared" si="304"/>
        <v>0</v>
      </c>
      <c r="DI172" s="204">
        <f t="shared" si="304"/>
        <v>0</v>
      </c>
      <c r="DJ172" s="204">
        <f t="shared" si="304"/>
        <v>0</v>
      </c>
      <c r="DK172" s="204">
        <f t="shared" si="304"/>
        <v>0</v>
      </c>
      <c r="DL172" s="204">
        <f t="shared" si="304"/>
        <v>0</v>
      </c>
      <c r="DM172" s="206">
        <f t="shared" si="304"/>
        <v>0</v>
      </c>
      <c r="DN172" s="185">
        <f t="shared" si="304"/>
        <v>0</v>
      </c>
      <c r="DO172" s="185">
        <f t="shared" si="304"/>
        <v>0</v>
      </c>
      <c r="DP172" s="185">
        <f t="shared" si="304"/>
        <v>0</v>
      </c>
      <c r="DQ172" s="185">
        <f t="shared" si="304"/>
        <v>0</v>
      </c>
      <c r="DR172" s="185">
        <f t="shared" si="304"/>
        <v>0</v>
      </c>
      <c r="DS172" s="185">
        <f t="shared" si="304"/>
        <v>0</v>
      </c>
      <c r="DT172" s="185">
        <f t="shared" si="304"/>
        <v>0</v>
      </c>
      <c r="DU172" s="185">
        <f t="shared" si="304"/>
        <v>0</v>
      </c>
      <c r="DV172" s="185">
        <f t="shared" si="304"/>
        <v>0</v>
      </c>
      <c r="DW172" s="185">
        <f t="shared" si="304"/>
        <v>0</v>
      </c>
      <c r="DX172" s="185">
        <f t="shared" si="304"/>
        <v>0</v>
      </c>
      <c r="DY172" s="185">
        <f t="shared" si="304"/>
        <v>0</v>
      </c>
    </row>
    <row r="173" spans="1:129" x14ac:dyDescent="0.25">
      <c r="A173" s="184"/>
      <c r="F173" s="184"/>
      <c r="K173" s="186"/>
      <c r="AK173" s="185"/>
      <c r="DB173" s="205">
        <f t="shared" ref="DB173:DY173" si="305">IF(AND($O155&lt;=DB$8,$P155&gt;=DB$8),(($R155*$N155)/12),0)</f>
        <v>0</v>
      </c>
      <c r="DC173" s="204">
        <f t="shared" si="305"/>
        <v>0</v>
      </c>
      <c r="DD173" s="204">
        <f t="shared" si="305"/>
        <v>0</v>
      </c>
      <c r="DE173" s="204">
        <f t="shared" si="305"/>
        <v>0</v>
      </c>
      <c r="DF173" s="204">
        <f t="shared" si="305"/>
        <v>0</v>
      </c>
      <c r="DG173" s="204">
        <f t="shared" si="305"/>
        <v>0</v>
      </c>
      <c r="DH173" s="204">
        <f t="shared" si="305"/>
        <v>0</v>
      </c>
      <c r="DI173" s="204">
        <f t="shared" si="305"/>
        <v>0</v>
      </c>
      <c r="DJ173" s="204">
        <f t="shared" si="305"/>
        <v>0</v>
      </c>
      <c r="DK173" s="204">
        <f t="shared" si="305"/>
        <v>0</v>
      </c>
      <c r="DL173" s="204">
        <f t="shared" si="305"/>
        <v>0</v>
      </c>
      <c r="DM173" s="206">
        <f t="shared" si="305"/>
        <v>0</v>
      </c>
      <c r="DN173" s="185">
        <f t="shared" si="305"/>
        <v>0</v>
      </c>
      <c r="DO173" s="185">
        <f t="shared" si="305"/>
        <v>0</v>
      </c>
      <c r="DP173" s="185">
        <f t="shared" si="305"/>
        <v>0</v>
      </c>
      <c r="DQ173" s="185">
        <f t="shared" si="305"/>
        <v>0</v>
      </c>
      <c r="DR173" s="185">
        <f t="shared" si="305"/>
        <v>0</v>
      </c>
      <c r="DS173" s="185">
        <f t="shared" si="305"/>
        <v>0</v>
      </c>
      <c r="DT173" s="185">
        <f t="shared" si="305"/>
        <v>0</v>
      </c>
      <c r="DU173" s="185">
        <f t="shared" si="305"/>
        <v>0</v>
      </c>
      <c r="DV173" s="185">
        <f t="shared" si="305"/>
        <v>0</v>
      </c>
      <c r="DW173" s="185">
        <f t="shared" si="305"/>
        <v>0</v>
      </c>
      <c r="DX173" s="185">
        <f t="shared" si="305"/>
        <v>0</v>
      </c>
      <c r="DY173" s="185">
        <f t="shared" si="305"/>
        <v>0</v>
      </c>
    </row>
    <row r="174" spans="1:129" ht="16.5" thickBot="1" x14ac:dyDescent="0.3">
      <c r="A174" s="184"/>
      <c r="F174" s="184"/>
      <c r="K174" s="186"/>
      <c r="AK174" s="185"/>
      <c r="DB174" s="193">
        <f>SUM(DB159:DB173)</f>
        <v>0</v>
      </c>
      <c r="DC174" s="193">
        <f t="shared" ref="DC174" si="306">SUM(DC159:DC173)</f>
        <v>0</v>
      </c>
      <c r="DD174" s="193">
        <f t="shared" ref="DD174" si="307">SUM(DD159:DD173)</f>
        <v>0</v>
      </c>
      <c r="DE174" s="193">
        <f t="shared" ref="DE174" si="308">SUM(DE159:DE173)</f>
        <v>0</v>
      </c>
      <c r="DF174" s="193">
        <f t="shared" ref="DF174" si="309">SUM(DF159:DF173)</f>
        <v>0</v>
      </c>
      <c r="DG174" s="193">
        <f t="shared" ref="DG174" si="310">SUM(DG159:DG173)</f>
        <v>0</v>
      </c>
      <c r="DH174" s="193">
        <f t="shared" ref="DH174" si="311">SUM(DH159:DH173)</f>
        <v>0</v>
      </c>
      <c r="DI174" s="193">
        <f t="shared" ref="DI174" si="312">SUM(DI159:DI173)</f>
        <v>0</v>
      </c>
      <c r="DJ174" s="193">
        <f t="shared" ref="DJ174" si="313">SUM(DJ159:DJ173)</f>
        <v>0</v>
      </c>
      <c r="DK174" s="193">
        <f t="shared" ref="DK174" si="314">SUM(DK159:DK173)</f>
        <v>0</v>
      </c>
      <c r="DL174" s="193">
        <f t="shared" ref="DL174" si="315">SUM(DL159:DL173)</f>
        <v>0</v>
      </c>
      <c r="DM174" s="193">
        <f t="shared" ref="DM174" si="316">SUM(DM159:DM173)</f>
        <v>0</v>
      </c>
      <c r="DN174" s="193">
        <f t="shared" ref="DN174" si="317">SUM(DN159:DN173)</f>
        <v>0</v>
      </c>
      <c r="DO174" s="193">
        <f t="shared" ref="DO174" si="318">SUM(DO159:DO173)</f>
        <v>0</v>
      </c>
      <c r="DP174" s="193">
        <f t="shared" ref="DP174" si="319">SUM(DP159:DP173)</f>
        <v>0</v>
      </c>
      <c r="DQ174" s="193">
        <f t="shared" ref="DQ174" si="320">SUM(DQ159:DQ173)</f>
        <v>0</v>
      </c>
      <c r="DR174" s="193">
        <f t="shared" ref="DR174" si="321">SUM(DR159:DR173)</f>
        <v>0</v>
      </c>
      <c r="DS174" s="193">
        <f t="shared" ref="DS174" si="322">SUM(DS159:DS173)</f>
        <v>0</v>
      </c>
      <c r="DT174" s="193">
        <f t="shared" ref="DT174" si="323">SUM(DT159:DT173)</f>
        <v>0</v>
      </c>
      <c r="DU174" s="193">
        <f t="shared" ref="DU174" si="324">SUM(DU159:DU173)</f>
        <v>0</v>
      </c>
      <c r="DV174" s="193">
        <f t="shared" ref="DV174" si="325">SUM(DV159:DV173)</f>
        <v>0</v>
      </c>
      <c r="DW174" s="193">
        <f t="shared" ref="DW174" si="326">SUM(DW159:DW173)</f>
        <v>0</v>
      </c>
      <c r="DX174" s="193">
        <f t="shared" ref="DX174" si="327">SUM(DX159:DX173)</f>
        <v>0</v>
      </c>
      <c r="DY174" s="193">
        <f t="shared" ref="DY174" si="328">SUM(DY159:DY173)</f>
        <v>0</v>
      </c>
    </row>
    <row r="175" spans="1:129" ht="17" thickTop="1" thickBot="1" x14ac:dyDescent="0.35">
      <c r="A175" s="187"/>
      <c r="B175" s="44"/>
      <c r="C175" s="211"/>
      <c r="D175" s="197"/>
      <c r="E175" s="197"/>
      <c r="F175" s="207"/>
      <c r="G175" s="198"/>
      <c r="H175" s="198"/>
      <c r="I175" s="198"/>
      <c r="J175" s="199"/>
      <c r="K175" s="186"/>
      <c r="AK175" s="185"/>
      <c r="DB175" s="217"/>
      <c r="DC175" s="217"/>
      <c r="DD175" s="217"/>
      <c r="DE175" s="217"/>
      <c r="DF175" s="217"/>
      <c r="DG175" s="217"/>
      <c r="DH175" s="217"/>
      <c r="DI175" s="217"/>
      <c r="DJ175" s="217"/>
      <c r="DK175" s="217"/>
      <c r="DL175" s="217"/>
      <c r="DM175" s="217"/>
      <c r="DN175" s="217"/>
      <c r="DO175" s="217"/>
      <c r="DP175" s="217"/>
      <c r="DQ175" s="217"/>
      <c r="DR175" s="217"/>
      <c r="DS175" s="217"/>
      <c r="DT175" s="217"/>
      <c r="DU175" s="217"/>
      <c r="DV175" s="217"/>
      <c r="DW175" s="217"/>
      <c r="DX175" s="217"/>
      <c r="DY175" s="217"/>
    </row>
    <row r="176" spans="1:129" ht="18.5" thickBot="1" x14ac:dyDescent="0.4">
      <c r="B176" s="34"/>
      <c r="C176" s="189"/>
      <c r="J176" s="153"/>
      <c r="K176" s="188"/>
      <c r="DB176" s="238">
        <f>DB156+DB174</f>
        <v>0</v>
      </c>
      <c r="DC176" s="239">
        <f t="shared" ref="DC176:DY176" si="329">DC156+DC174</f>
        <v>0</v>
      </c>
      <c r="DD176" s="239">
        <f t="shared" si="329"/>
        <v>0</v>
      </c>
      <c r="DE176" s="239">
        <f t="shared" si="329"/>
        <v>0</v>
      </c>
      <c r="DF176" s="239">
        <f t="shared" si="329"/>
        <v>0</v>
      </c>
      <c r="DG176" s="239">
        <f t="shared" si="329"/>
        <v>0</v>
      </c>
      <c r="DH176" s="239">
        <f t="shared" si="329"/>
        <v>0</v>
      </c>
      <c r="DI176" s="239">
        <f t="shared" si="329"/>
        <v>0</v>
      </c>
      <c r="DJ176" s="239">
        <f t="shared" si="329"/>
        <v>0</v>
      </c>
      <c r="DK176" s="239">
        <f t="shared" si="329"/>
        <v>0</v>
      </c>
      <c r="DL176" s="239">
        <f t="shared" si="329"/>
        <v>0</v>
      </c>
      <c r="DM176" s="239">
        <f t="shared" si="329"/>
        <v>0</v>
      </c>
      <c r="DN176" s="239">
        <f t="shared" si="329"/>
        <v>0</v>
      </c>
      <c r="DO176" s="239">
        <f t="shared" si="329"/>
        <v>0</v>
      </c>
      <c r="DP176" s="239">
        <f t="shared" si="329"/>
        <v>0</v>
      </c>
      <c r="DQ176" s="239">
        <f t="shared" si="329"/>
        <v>0</v>
      </c>
      <c r="DR176" s="239">
        <f t="shared" si="329"/>
        <v>0</v>
      </c>
      <c r="DS176" s="239">
        <f t="shared" si="329"/>
        <v>0</v>
      </c>
      <c r="DT176" s="239">
        <f t="shared" si="329"/>
        <v>0</v>
      </c>
      <c r="DU176" s="239">
        <f t="shared" si="329"/>
        <v>0</v>
      </c>
      <c r="DV176" s="239">
        <f t="shared" si="329"/>
        <v>0</v>
      </c>
      <c r="DW176" s="239">
        <f t="shared" si="329"/>
        <v>0</v>
      </c>
      <c r="DX176" s="239">
        <f t="shared" si="329"/>
        <v>0</v>
      </c>
      <c r="DY176" s="240">
        <f t="shared" si="329"/>
        <v>0</v>
      </c>
    </row>
    <row r="177" spans="2:3" x14ac:dyDescent="0.35">
      <c r="B177" s="34"/>
      <c r="C177" s="189"/>
    </row>
    <row r="223" spans="16:16" x14ac:dyDescent="0.25">
      <c r="P223" s="194"/>
    </row>
  </sheetData>
  <sheetProtection selectLockedCells="1"/>
  <mergeCells count="47">
    <mergeCell ref="DN7:DY7"/>
    <mergeCell ref="D7:J7"/>
    <mergeCell ref="O7:U7"/>
    <mergeCell ref="D29:J29"/>
    <mergeCell ref="O29:U29"/>
    <mergeCell ref="DB7:DM7"/>
    <mergeCell ref="D73:J73"/>
    <mergeCell ref="DB73:DM73"/>
    <mergeCell ref="DN73:DY73"/>
    <mergeCell ref="D51:J51"/>
    <mergeCell ref="DB51:DM51"/>
    <mergeCell ref="DN51:DY51"/>
    <mergeCell ref="O73:U73"/>
    <mergeCell ref="D95:J95"/>
    <mergeCell ref="DB95:DM95"/>
    <mergeCell ref="DN95:DY95"/>
    <mergeCell ref="D139:J139"/>
    <mergeCell ref="DB139:DM139"/>
    <mergeCell ref="DN139:DY139"/>
    <mergeCell ref="X139:AI139"/>
    <mergeCell ref="O95:U95"/>
    <mergeCell ref="DB113:DM113"/>
    <mergeCell ref="D117:J117"/>
    <mergeCell ref="DB117:DM117"/>
    <mergeCell ref="DN117:DY117"/>
    <mergeCell ref="X117:AI117"/>
    <mergeCell ref="AJ117:AU117"/>
    <mergeCell ref="AJ139:AU139"/>
    <mergeCell ref="O139:U139"/>
    <mergeCell ref="DB157:DM157"/>
    <mergeCell ref="O117:U117"/>
    <mergeCell ref="DB135:DM135"/>
    <mergeCell ref="X51:AI51"/>
    <mergeCell ref="AJ51:AU51"/>
    <mergeCell ref="X73:AI73"/>
    <mergeCell ref="AJ73:AU73"/>
    <mergeCell ref="X95:AI95"/>
    <mergeCell ref="AJ95:AU95"/>
    <mergeCell ref="DB91:DM91"/>
    <mergeCell ref="O51:U51"/>
    <mergeCell ref="DB69:DM69"/>
    <mergeCell ref="DB47:DM47"/>
    <mergeCell ref="X7:AI7"/>
    <mergeCell ref="AJ7:AU7"/>
    <mergeCell ref="X29:AI29"/>
    <mergeCell ref="AJ29:AU29"/>
    <mergeCell ref="DB25:DM25"/>
  </mergeCells>
  <conditionalFormatting sqref="D178:D1048576">
    <cfRule type="cellIs" dxfId="62" priority="417" operator="greaterThan">
      <formula>46023</formula>
    </cfRule>
  </conditionalFormatting>
  <conditionalFormatting sqref="D9:G23 I9:J23 D31:G45 I31:J45 D53:G67 I53:J67">
    <cfRule type="expression" dxfId="61" priority="414">
      <formula>$A9&gt;1</formula>
    </cfRule>
  </conditionalFormatting>
  <conditionalFormatting sqref="D9:G23 I9:J23 O31:R45 T31:U45">
    <cfRule type="notContainsBlanks" dxfId="60" priority="373">
      <formula>LEN(TRIM(D9))&gt;0</formula>
    </cfRule>
  </conditionalFormatting>
  <conditionalFormatting sqref="D31:G45 I31:J45">
    <cfRule type="notContainsBlanks" dxfId="59" priority="188">
      <formula>LEN(TRIM(D31))&gt;0</formula>
    </cfRule>
  </conditionalFormatting>
  <conditionalFormatting sqref="D53:G67 I53:J67">
    <cfRule type="notContainsBlanks" dxfId="58" priority="184">
      <formula>LEN(TRIM(D53))&gt;0</formula>
    </cfRule>
  </conditionalFormatting>
  <conditionalFormatting sqref="D75:G89 I75:J89">
    <cfRule type="expression" dxfId="57" priority="29">
      <formula>$A75&gt;1</formula>
    </cfRule>
    <cfRule type="notContainsBlanks" dxfId="56" priority="28">
      <formula>LEN(TRIM(D75))&gt;0</formula>
    </cfRule>
  </conditionalFormatting>
  <conditionalFormatting sqref="D97:G111 I97:J111">
    <cfRule type="notContainsBlanks" dxfId="55" priority="172">
      <formula>LEN(TRIM(D97))&gt;0</formula>
    </cfRule>
    <cfRule type="expression" dxfId="54" priority="173">
      <formula>$A97&gt;1</formula>
    </cfRule>
  </conditionalFormatting>
  <conditionalFormatting sqref="D119:G133 I119:J133">
    <cfRule type="expression" dxfId="53" priority="167">
      <formula>$A119&gt;1</formula>
    </cfRule>
    <cfRule type="notContainsBlanks" dxfId="52" priority="166">
      <formula>LEN(TRIM(D119))&gt;0</formula>
    </cfRule>
  </conditionalFormatting>
  <conditionalFormatting sqref="D141:G155 I141:J155">
    <cfRule type="notContainsBlanks" dxfId="51" priority="160">
      <formula>LEN(TRIM(D141))&gt;0</formula>
    </cfRule>
    <cfRule type="expression" dxfId="50" priority="161">
      <formula>$A141&gt;1</formula>
    </cfRule>
  </conditionalFormatting>
  <conditionalFormatting sqref="F9:F23 Q31:Q45 F75:F89">
    <cfRule type="cellIs" dxfId="49" priority="197" operator="equal">
      <formula>0</formula>
    </cfRule>
  </conditionalFormatting>
  <conditionalFormatting sqref="F31:F45">
    <cfRule type="cellIs" dxfId="48" priority="187" operator="equal">
      <formula>0</formula>
    </cfRule>
  </conditionalFormatting>
  <conditionalFormatting sqref="F53:F67">
    <cfRule type="cellIs" dxfId="47" priority="183" operator="equal">
      <formula>0</formula>
    </cfRule>
  </conditionalFormatting>
  <conditionalFormatting sqref="F97:F111">
    <cfRule type="cellIs" dxfId="46" priority="171" operator="equal">
      <formula>0</formula>
    </cfRule>
  </conditionalFormatting>
  <conditionalFormatting sqref="F119:F133">
    <cfRule type="cellIs" dxfId="45" priority="165" operator="equal">
      <formula>0</formula>
    </cfRule>
  </conditionalFormatting>
  <conditionalFormatting sqref="F141:F155">
    <cfRule type="cellIs" dxfId="44" priority="159" operator="equal">
      <formula>0</formula>
    </cfRule>
  </conditionalFormatting>
  <conditionalFormatting sqref="H9:H23">
    <cfRule type="cellIs" dxfId="43" priority="27" operator="equal">
      <formula>0</formula>
    </cfRule>
  </conditionalFormatting>
  <conditionalFormatting sqref="H31:H45">
    <cfRule type="cellIs" dxfId="42" priority="11" operator="equal">
      <formula>0</formula>
    </cfRule>
  </conditionalFormatting>
  <conditionalFormatting sqref="H53:H67">
    <cfRule type="cellIs" dxfId="41" priority="10" operator="equal">
      <formula>0</formula>
    </cfRule>
  </conditionalFormatting>
  <conditionalFormatting sqref="H75:H89">
    <cfRule type="cellIs" dxfId="40" priority="7" operator="equal">
      <formula>0</formula>
    </cfRule>
  </conditionalFormatting>
  <conditionalFormatting sqref="H97:H111">
    <cfRule type="cellIs" dxfId="39" priority="6" operator="equal">
      <formula>0</formula>
    </cfRule>
  </conditionalFormatting>
  <conditionalFormatting sqref="H119:H133">
    <cfRule type="cellIs" dxfId="38" priority="3" operator="equal">
      <formula>0</formula>
    </cfRule>
  </conditionalFormatting>
  <conditionalFormatting sqref="H141:H155">
    <cfRule type="cellIs" dxfId="37" priority="2" operator="equal">
      <formula>0</formula>
    </cfRule>
  </conditionalFormatting>
  <conditionalFormatting sqref="O9:R23 T9:U23">
    <cfRule type="notContainsBlanks" dxfId="36" priority="190">
      <formula>LEN(TRIM(O9))&gt;0</formula>
    </cfRule>
  </conditionalFormatting>
  <conditionalFormatting sqref="O31:R45 T31:U45 O9:R23 T9:U23 O53:R67 T53:U67 O75:R89 T75:U89 O97:R111 T97:U111 O119:R133 T119:U133 O141:R155 T141:U155">
    <cfRule type="expression" dxfId="35" priority="418">
      <formula>$L9&gt;1</formula>
    </cfRule>
  </conditionalFormatting>
  <conditionalFormatting sqref="O53:R67 T53:U67">
    <cfRule type="notContainsBlanks" dxfId="34" priority="181">
      <formula>LEN(TRIM(O53))&gt;0</formula>
    </cfRule>
  </conditionalFormatting>
  <conditionalFormatting sqref="O75:R89 T75:U89">
    <cfRule type="notContainsBlanks" dxfId="33" priority="175">
      <formula>LEN(TRIM(O75))&gt;0</formula>
    </cfRule>
  </conditionalFormatting>
  <conditionalFormatting sqref="O97:R111 T97:U111">
    <cfRule type="notContainsBlanks" dxfId="32" priority="169">
      <formula>LEN(TRIM(O97))&gt;0</formula>
    </cfRule>
  </conditionalFormatting>
  <conditionalFormatting sqref="O119:R133 T119:U133">
    <cfRule type="notContainsBlanks" dxfId="31" priority="163">
      <formula>LEN(TRIM(O119))&gt;0</formula>
    </cfRule>
  </conditionalFormatting>
  <conditionalFormatting sqref="O141:R155 T141:U155">
    <cfRule type="notContainsBlanks" dxfId="30" priority="157">
      <formula>LEN(TRIM(O141))&gt;0</formula>
    </cfRule>
  </conditionalFormatting>
  <conditionalFormatting sqref="Q9:Q23">
    <cfRule type="cellIs" dxfId="29" priority="189" operator="equal">
      <formula>0</formula>
    </cfRule>
  </conditionalFormatting>
  <conditionalFormatting sqref="Q53:Q67">
    <cfRule type="cellIs" dxfId="28" priority="180" operator="equal">
      <formula>0</formula>
    </cfRule>
  </conditionalFormatting>
  <conditionalFormatting sqref="Q75:Q89">
    <cfRule type="cellIs" dxfId="27" priority="174" operator="equal">
      <formula>0</formula>
    </cfRule>
  </conditionalFormatting>
  <conditionalFormatting sqref="Q97:Q111">
    <cfRule type="cellIs" dxfId="26" priority="168" operator="equal">
      <formula>0</formula>
    </cfRule>
  </conditionalFormatting>
  <conditionalFormatting sqref="Q119:Q133">
    <cfRule type="cellIs" dxfId="25" priority="162" operator="equal">
      <formula>0</formula>
    </cfRule>
  </conditionalFormatting>
  <conditionalFormatting sqref="Q141:Q155">
    <cfRule type="cellIs" dxfId="24" priority="156" operator="equal">
      <formula>0</formula>
    </cfRule>
  </conditionalFormatting>
  <conditionalFormatting sqref="S9:S23">
    <cfRule type="cellIs" dxfId="23" priority="13" operator="equal">
      <formula>0</formula>
    </cfRule>
  </conditionalFormatting>
  <conditionalFormatting sqref="S31:S45">
    <cfRule type="cellIs" dxfId="22" priority="12" operator="equal">
      <formula>0</formula>
    </cfRule>
  </conditionalFormatting>
  <conditionalFormatting sqref="S53:S67">
    <cfRule type="cellIs" dxfId="21" priority="9" operator="equal">
      <formula>0</formula>
    </cfRule>
  </conditionalFormatting>
  <conditionalFormatting sqref="S75:S89">
    <cfRule type="cellIs" dxfId="20" priority="8" operator="equal">
      <formula>0</formula>
    </cfRule>
  </conditionalFormatting>
  <conditionalFormatting sqref="S97:S111">
    <cfRule type="cellIs" dxfId="19" priority="5" operator="equal">
      <formula>0</formula>
    </cfRule>
  </conditionalFormatting>
  <conditionalFormatting sqref="S119:S133">
    <cfRule type="cellIs" dxfId="18" priority="4" operator="equal">
      <formula>0</formula>
    </cfRule>
  </conditionalFormatting>
  <conditionalFormatting sqref="S141:S155">
    <cfRule type="cellIs" dxfId="17" priority="1" operator="equal">
      <formula>0</formula>
    </cfRule>
  </conditionalFormatting>
  <conditionalFormatting sqref="X9:AV12">
    <cfRule type="cellIs" dxfId="16" priority="36" operator="equal">
      <formula>0</formula>
    </cfRule>
  </conditionalFormatting>
  <conditionalFormatting sqref="X31:AV34">
    <cfRule type="cellIs" dxfId="15" priority="35" operator="equal">
      <formula>0</formula>
    </cfRule>
  </conditionalFormatting>
  <conditionalFormatting sqref="X53:AV56">
    <cfRule type="cellIs" dxfId="14" priority="34" operator="equal">
      <formula>0</formula>
    </cfRule>
  </conditionalFormatting>
  <conditionalFormatting sqref="X75:AV78">
    <cfRule type="cellIs" dxfId="13" priority="33" operator="equal">
      <formula>0</formula>
    </cfRule>
  </conditionalFormatting>
  <conditionalFormatting sqref="X97:AV100">
    <cfRule type="cellIs" dxfId="12" priority="32" operator="equal">
      <formula>0</formula>
    </cfRule>
  </conditionalFormatting>
  <conditionalFormatting sqref="X119:AV122">
    <cfRule type="cellIs" dxfId="11" priority="31" operator="equal">
      <formula>0</formula>
    </cfRule>
  </conditionalFormatting>
  <conditionalFormatting sqref="X141:AV144">
    <cfRule type="cellIs" dxfId="10" priority="30" operator="equal">
      <formula>0</formula>
    </cfRule>
  </conditionalFormatting>
  <conditionalFormatting sqref="DB9:DY24">
    <cfRule type="cellIs" dxfId="9" priority="286" operator="equal">
      <formula>0</formula>
    </cfRule>
  </conditionalFormatting>
  <conditionalFormatting sqref="DB27:DY27 DB29:DY42">
    <cfRule type="cellIs" dxfId="8" priority="410" operator="equal">
      <formula>0</formula>
    </cfRule>
  </conditionalFormatting>
  <conditionalFormatting sqref="DB53:DY68">
    <cfRule type="cellIs" dxfId="7" priority="399" operator="equal">
      <formula>0</formula>
    </cfRule>
  </conditionalFormatting>
  <conditionalFormatting sqref="DB75:DY90">
    <cfRule type="cellIs" dxfId="6" priority="285" operator="equal">
      <formula>0</formula>
    </cfRule>
  </conditionalFormatting>
  <conditionalFormatting sqref="DB97:DY112">
    <cfRule type="cellIs" dxfId="5" priority="283" operator="equal">
      <formula>0</formula>
    </cfRule>
  </conditionalFormatting>
  <conditionalFormatting sqref="DB119:DY134">
    <cfRule type="cellIs" dxfId="4" priority="281" operator="equal">
      <formula>0</formula>
    </cfRule>
  </conditionalFormatting>
  <conditionalFormatting sqref="DB141:DY156">
    <cfRule type="cellIs" dxfId="3" priority="279" operator="equal">
      <formula>0</formula>
    </cfRule>
  </conditionalFormatting>
  <conditionalFormatting sqref="DB159:DY175">
    <cfRule type="cellIs" dxfId="2" priority="278" operator="equal">
      <formula>0</formula>
    </cfRule>
  </conditionalFormatting>
  <printOptions horizontalCentered="1" verticalCentered="1"/>
  <pageMargins left="0.25" right="0.25" top="0.75" bottom="0.75" header="0.3" footer="0.3"/>
  <pageSetup scale="35" orientation="landscape" r:id="rId1"/>
  <headerFooter>
    <oddHeader>&amp;R&amp;D</oddHeader>
    <oddFooter>Page &amp;P of &amp;N</oddFooter>
  </headerFooter>
  <rowBreaks count="1" manualBreakCount="1">
    <brk id="69" max="2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tabColor rgb="FF92D050"/>
    <pageSetUpPr fitToPage="1"/>
  </sheetPr>
  <dimension ref="A1:T22"/>
  <sheetViews>
    <sheetView workbookViewId="0">
      <selection activeCell="E22" sqref="E22"/>
    </sheetView>
  </sheetViews>
  <sheetFormatPr defaultColWidth="8.81640625" defaultRowHeight="16" x14ac:dyDescent="0.35"/>
  <cols>
    <col min="1" max="1" width="6.81640625" style="34" customWidth="1"/>
    <col min="2" max="2" width="6.54296875" style="34" bestFit="1" customWidth="1"/>
    <col min="3" max="3" width="13.1796875" style="34" bestFit="1" customWidth="1"/>
    <col min="4" max="4" width="38.1796875" style="34" bestFit="1" customWidth="1"/>
    <col min="5" max="5" width="17" style="34" bestFit="1" customWidth="1"/>
    <col min="6" max="6" width="12.453125" style="34" bestFit="1" customWidth="1"/>
    <col min="7" max="7" width="12.54296875" style="34" bestFit="1" customWidth="1"/>
    <col min="8" max="8" width="14.81640625" style="34" bestFit="1" customWidth="1"/>
    <col min="9" max="10" width="13.54296875" style="34" bestFit="1" customWidth="1"/>
    <col min="11" max="12" width="12.453125" style="34" bestFit="1" customWidth="1"/>
    <col min="13" max="13" width="3.1796875" style="34" customWidth="1"/>
    <col min="14" max="14" width="119.1796875" style="34" bestFit="1" customWidth="1"/>
    <col min="15" max="15" width="14" style="34" customWidth="1"/>
    <col min="16" max="16" width="14.81640625" style="34" bestFit="1" customWidth="1"/>
    <col min="17" max="18" width="13.54296875" style="34" bestFit="1" customWidth="1"/>
    <col min="19" max="20" width="12.453125" style="34" bestFit="1" customWidth="1"/>
    <col min="21" max="21" width="3.81640625" style="34" customWidth="1"/>
    <col min="22" max="16384" width="8.81640625" style="34"/>
  </cols>
  <sheetData>
    <row r="1" spans="1:20" ht="27" x14ac:dyDescent="0.5">
      <c r="B1" s="355" t="s">
        <v>501</v>
      </c>
      <c r="C1" s="333"/>
      <c r="D1" s="333"/>
      <c r="E1" s="333"/>
      <c r="F1" s="333"/>
      <c r="G1" s="333"/>
      <c r="H1" s="333"/>
      <c r="I1" s="46"/>
      <c r="J1" s="46"/>
      <c r="K1" s="46"/>
      <c r="L1" s="53">
        <f>'NI LLC-Consolidated'!Q1</f>
        <v>46023</v>
      </c>
    </row>
    <row r="2" spans="1:20" x14ac:dyDescent="0.35">
      <c r="A2" s="333"/>
      <c r="B2" s="333" t="str">
        <f>'NI LLC-Consolidated'!J2</f>
        <v>Neshaminy Interplex LLC</v>
      </c>
      <c r="C2" s="333"/>
      <c r="D2" s="333"/>
      <c r="E2" s="333"/>
      <c r="F2" s="333"/>
      <c r="G2" s="333"/>
      <c r="H2" s="333"/>
      <c r="I2" s="46"/>
      <c r="J2" s="46"/>
      <c r="K2" s="46"/>
      <c r="N2" s="334"/>
      <c r="O2" s="334"/>
      <c r="P2" s="334"/>
      <c r="Q2" s="334"/>
      <c r="R2" s="334"/>
      <c r="S2" s="334"/>
      <c r="T2" s="334"/>
    </row>
    <row r="3" spans="1:20" x14ac:dyDescent="0.35">
      <c r="H3" s="54"/>
      <c r="M3" s="54"/>
      <c r="N3" s="54"/>
      <c r="O3" s="54"/>
      <c r="P3" s="54"/>
      <c r="R3" s="54"/>
      <c r="S3" s="54"/>
    </row>
    <row r="4" spans="1:20" x14ac:dyDescent="0.35">
      <c r="E4" s="87" t="s">
        <v>493</v>
      </c>
      <c r="F4" s="335">
        <f>'4050'!B1</f>
        <v>4050</v>
      </c>
      <c r="G4" s="335">
        <f>'4060'!B1</f>
        <v>4060</v>
      </c>
      <c r="H4" s="335">
        <f>'4070'!B1</f>
        <v>4070</v>
      </c>
      <c r="I4" s="335">
        <f>'4080'!B1</f>
        <v>4080</v>
      </c>
      <c r="J4" s="336" t="str">
        <f>'40A0'!B1</f>
        <v>40A0</v>
      </c>
      <c r="K4" s="336" t="str">
        <f>'40B0'!B1</f>
        <v>40B0</v>
      </c>
      <c r="L4" s="337" t="str">
        <f>'40C0'!B1</f>
        <v>40C0</v>
      </c>
      <c r="M4" s="338"/>
      <c r="N4" s="34" t="s">
        <v>496</v>
      </c>
    </row>
    <row r="5" spans="1:20" x14ac:dyDescent="0.35">
      <c r="A5" s="54"/>
      <c r="B5" s="339">
        <f>YEAR('NI LLC-Consolidated'!Q1)</f>
        <v>2026</v>
      </c>
      <c r="C5" s="340" t="s">
        <v>107</v>
      </c>
      <c r="D5" s="341" t="s">
        <v>93</v>
      </c>
      <c r="E5" s="354">
        <f>SUM(F5:L5)</f>
        <v>120449.23000000001</v>
      </c>
      <c r="F5" s="34">
        <f>VLOOKUP(C5,'4050'!$A$26:$Q$71,17,FALSE)</f>
        <v>19406.23</v>
      </c>
      <c r="G5" s="34">
        <f>VLOOKUP(C5,'4060'!$A$26:$Q$71,17,FALSE)</f>
        <v>42662.600000000006</v>
      </c>
      <c r="H5" s="34">
        <f>VLOOKUP(C5,'4070'!$A$26:$Q$71,17,FALSE)</f>
        <v>19175.510000000002</v>
      </c>
      <c r="I5" s="34">
        <f>VLOOKUP(C5,'4080'!$A$26:$Q$71,17,FALSE)</f>
        <v>27909.91</v>
      </c>
      <c r="J5" s="34">
        <f>VLOOKUP(C5,'40A0'!$A$26:$Q$71,17,FALSE)</f>
        <v>1643.88</v>
      </c>
      <c r="K5" s="34">
        <f>VLOOKUP(C5,'40B0'!A26:Q71,17,FALSE)</f>
        <v>9651.0999999999985</v>
      </c>
      <c r="L5" s="34">
        <f>VLOOKUP(C5,'40C0'!$A$26:$Q$71,17,FALSE)</f>
        <v>0</v>
      </c>
    </row>
    <row r="6" spans="1:20" x14ac:dyDescent="0.35">
      <c r="B6" s="342">
        <f>+B5</f>
        <v>2026</v>
      </c>
      <c r="C6" s="343" t="s">
        <v>108</v>
      </c>
      <c r="D6" s="344" t="s">
        <v>299</v>
      </c>
      <c r="E6" s="354">
        <f t="shared" ref="E6:E16" si="0">SUM(F6:L6)</f>
        <v>577698</v>
      </c>
      <c r="F6" s="34">
        <f>VLOOKUP(C6,'4050'!$A$26:$Q$71,17,FALSE)</f>
        <v>86553</v>
      </c>
      <c r="G6" s="34">
        <f>VLOOKUP(C6,'4060'!$A$26:$Q$71,17,FALSE)</f>
        <v>116646</v>
      </c>
      <c r="H6" s="34">
        <f>VLOOKUP(C6,'4070'!$A$26:$Q$71,17,FALSE)</f>
        <v>114805</v>
      </c>
      <c r="I6" s="34">
        <f>VLOOKUP(C6,'4080'!$A$26:$Q$71,17,FALSE)</f>
        <v>205734</v>
      </c>
      <c r="J6" s="34">
        <f>VLOOKUP(C6,'40A0'!$A$26:$Q$71,17,FALSE)</f>
        <v>38450</v>
      </c>
      <c r="K6" s="34">
        <f>VLOOKUP(C6,'40B0'!A27:Q72,17,FALSE)</f>
        <v>9075</v>
      </c>
      <c r="L6" s="34">
        <f>VLOOKUP(C6,'40C0'!$A$26:$Q$71,17,FALSE)</f>
        <v>6435</v>
      </c>
    </row>
    <row r="7" spans="1:20" x14ac:dyDescent="0.35">
      <c r="A7" s="282"/>
      <c r="B7" s="342">
        <f t="shared" ref="B7:B15" si="1">+B6</f>
        <v>2026</v>
      </c>
      <c r="C7" s="343" t="s">
        <v>105</v>
      </c>
      <c r="D7" s="344" t="s">
        <v>28</v>
      </c>
      <c r="E7" s="354">
        <f t="shared" si="0"/>
        <v>97542.999999999985</v>
      </c>
      <c r="F7" s="34">
        <f>VLOOKUP(C7,'4050'!$A$26:$Q$71,17,FALSE)</f>
        <v>13259.258633577892</v>
      </c>
      <c r="G7" s="34">
        <f>VLOOKUP(C7,'4060'!$A$26:$Q$71,17,FALSE)</f>
        <v>26487.583579779264</v>
      </c>
      <c r="H7" s="34">
        <f>VLOOKUP(C7,'4070'!$A$26:$Q$71,17,FALSE)</f>
        <v>15100.549548846631</v>
      </c>
      <c r="I7" s="34">
        <f>VLOOKUP(C7,'4080'!$A$26:$Q$71,17,FALSE)</f>
        <v>31387.381458037082</v>
      </c>
      <c r="J7" s="34">
        <f>VLOOKUP(C7,'40A0'!$A$26:$Q$71,17,FALSE)</f>
        <v>3702.9587833331229</v>
      </c>
      <c r="K7" s="34">
        <f>VLOOKUP(C7,'40B0'!A26:Q71,17,FALSE)</f>
        <v>3186.1697997810293</v>
      </c>
      <c r="L7" s="34">
        <f>VLOOKUP(C7,'40C0'!$A$26:$Q$71,17,FALSE)</f>
        <v>4419.098196644979</v>
      </c>
    </row>
    <row r="8" spans="1:20" x14ac:dyDescent="0.35">
      <c r="B8" s="342">
        <f t="shared" si="1"/>
        <v>2026</v>
      </c>
      <c r="C8" s="343" t="s">
        <v>114</v>
      </c>
      <c r="D8" s="344" t="s">
        <v>48</v>
      </c>
      <c r="E8" s="354">
        <f t="shared" si="0"/>
        <v>109367.40000000001</v>
      </c>
      <c r="F8" s="34">
        <f>VLOOKUP(C8,'4050'!$A$26:$Q$71,17,FALSE)</f>
        <v>22012</v>
      </c>
      <c r="G8" s="34">
        <f>VLOOKUP(C8,'4060'!$A$26:$Q$71,17,FALSE)</f>
        <v>21576</v>
      </c>
      <c r="H8" s="34">
        <f>VLOOKUP(C8,'4070'!$A$26:$Q$71,17,FALSE)</f>
        <v>23439</v>
      </c>
      <c r="I8" s="34">
        <f>VLOOKUP(C8,'4080'!$A$26:$Q$71,17,FALSE)</f>
        <v>22203</v>
      </c>
      <c r="J8" s="34">
        <f>VLOOKUP(C8,'40A0'!$A$26:$Q$71,17,FALSE)</f>
        <v>19107.400000000005</v>
      </c>
      <c r="K8" s="34">
        <f>VLOOKUP(C8,'40B0'!A29:Q74,17,FALSE)</f>
        <v>1030</v>
      </c>
      <c r="L8" s="34">
        <f>VLOOKUP(C8,'40C0'!$A$26:$Q$71,17,FALSE)</f>
        <v>0</v>
      </c>
    </row>
    <row r="9" spans="1:20" x14ac:dyDescent="0.35">
      <c r="A9" s="282"/>
      <c r="B9" s="342">
        <f t="shared" si="1"/>
        <v>2026</v>
      </c>
      <c r="C9" s="343" t="s">
        <v>140</v>
      </c>
      <c r="D9" s="344" t="s">
        <v>39</v>
      </c>
      <c r="E9" s="354">
        <f t="shared" si="0"/>
        <v>195087.6</v>
      </c>
      <c r="F9" s="34">
        <f>VLOOKUP(C9,'4050'!$A$26:$Q$71,17,FALSE)</f>
        <v>23721.399999999998</v>
      </c>
      <c r="G9" s="34">
        <f>VLOOKUP(C9,'4060'!$A$26:$Q$71,17,FALSE)</f>
        <v>43136.400000000009</v>
      </c>
      <c r="H9" s="34">
        <f>VLOOKUP(C9,'4070'!$A$26:$Q$71,17,FALSE)</f>
        <v>45670.2</v>
      </c>
      <c r="I9" s="34">
        <f>VLOOKUP(C9,'4080'!$A$26:$Q$71,17,FALSE)</f>
        <v>56274</v>
      </c>
      <c r="J9" s="34">
        <f>VLOOKUP(C9,'40A0'!$A$26:$Q$71,17,FALSE)</f>
        <v>11556.600000000002</v>
      </c>
      <c r="K9" s="34">
        <f>VLOOKUP(C9,'40B0'!A30:Q75,17,FALSE)</f>
        <v>9455.4</v>
      </c>
      <c r="L9" s="34">
        <f>VLOOKUP(C9,'40C0'!$A$26:$Q$71,17,FALSE)</f>
        <v>5273.6</v>
      </c>
    </row>
    <row r="10" spans="1:20" x14ac:dyDescent="0.35">
      <c r="B10" s="342">
        <f t="shared" si="1"/>
        <v>2026</v>
      </c>
      <c r="C10" s="343" t="s">
        <v>112</v>
      </c>
      <c r="D10" s="344" t="s">
        <v>45</v>
      </c>
      <c r="E10" s="354">
        <f t="shared" si="0"/>
        <v>25343.999999999996</v>
      </c>
      <c r="F10" s="34">
        <f>VLOOKUP(C10,'4050'!$A$26:$Q$71,17,FALSE)</f>
        <v>3548.1599999999994</v>
      </c>
      <c r="G10" s="34">
        <f>VLOOKUP(C10,'4060'!$A$26:$Q$71,17,FALSE)</f>
        <v>6842.8799999999983</v>
      </c>
      <c r="H10" s="34">
        <f>VLOOKUP(C10,'4070'!$A$26:$Q$71,17,FALSE)</f>
        <v>3801.6000000000008</v>
      </c>
      <c r="I10" s="34">
        <f>VLOOKUP(C10,'4080'!$A$26:$Q$71,17,FALSE)</f>
        <v>8110.0800000000008</v>
      </c>
      <c r="J10" s="34">
        <f>VLOOKUP(C10,'40A0'!$A$26:$Q$71,17,FALSE)</f>
        <v>1013.7600000000001</v>
      </c>
      <c r="K10" s="34">
        <f>VLOOKUP(C10,'40B0'!A31:Q76,17,FALSE)</f>
        <v>760.32</v>
      </c>
      <c r="L10" s="34">
        <f>VLOOKUP(C10,'40C0'!$A$26:$Q$71,17,FALSE)</f>
        <v>1267.1999999999998</v>
      </c>
    </row>
    <row r="11" spans="1:20" x14ac:dyDescent="0.35">
      <c r="A11" s="282"/>
      <c r="B11" s="342">
        <f t="shared" si="1"/>
        <v>2026</v>
      </c>
      <c r="C11" s="343" t="s">
        <v>110</v>
      </c>
      <c r="D11" s="344" t="s">
        <v>40</v>
      </c>
      <c r="E11" s="354">
        <f t="shared" si="0"/>
        <v>110210</v>
      </c>
      <c r="F11" s="34">
        <f>VLOOKUP(C11,'4050'!$A$26:$Q$71,17,FALSE)</f>
        <v>15450</v>
      </c>
      <c r="G11" s="34">
        <f>VLOOKUP(C11,'4060'!$A$26:$Q$71,17,FALSE)</f>
        <v>28840</v>
      </c>
      <c r="H11" s="34">
        <f>VLOOKUP(C11,'4070'!$A$26:$Q$71,17,FALSE)</f>
        <v>16480</v>
      </c>
      <c r="I11" s="34">
        <f>VLOOKUP(C11,'4080'!$A$26:$Q$71,17,FALSE)</f>
        <v>33990</v>
      </c>
      <c r="J11" s="34">
        <f>VLOOKUP(C11,'40A0'!$A$26:$Q$71,17,FALSE)</f>
        <v>5150</v>
      </c>
      <c r="K11" s="34">
        <f>VLOOKUP(C11,'40B0'!A32:Q77,17,FALSE)</f>
        <v>4120</v>
      </c>
      <c r="L11" s="34">
        <f>VLOOKUP(C11,'40C0'!$A$26:$Q$71,17,FALSE)</f>
        <v>6180</v>
      </c>
    </row>
    <row r="12" spans="1:20" x14ac:dyDescent="0.35">
      <c r="B12" s="342">
        <f t="shared" si="1"/>
        <v>2026</v>
      </c>
      <c r="C12" s="343" t="s">
        <v>111</v>
      </c>
      <c r="D12" s="344" t="s">
        <v>44</v>
      </c>
      <c r="E12" s="354">
        <f t="shared" si="0"/>
        <v>189271.72587520001</v>
      </c>
      <c r="F12" s="34">
        <f>VLOOKUP(C12,'4050'!$A$26:$Q$71,17,FALSE)</f>
        <v>22104.866970572486</v>
      </c>
      <c r="G12" s="34">
        <f>VLOOKUP(C12,'4060'!$A$26:$Q$71,17,FALSE)</f>
        <v>42418.839776816116</v>
      </c>
      <c r="H12" s="34">
        <f>VLOOKUP(C12,'4070'!$A$26:$Q$71,17,FALSE)</f>
        <v>41054.675317537811</v>
      </c>
      <c r="I12" s="34">
        <f>VLOOKUP(C12,'4080'!$A$26:$Q$71,17,FALSE)</f>
        <v>66088.844419014029</v>
      </c>
      <c r="J12" s="34">
        <f>VLOOKUP(C12,'40A0'!$A$26:$Q$71,17,FALSE)</f>
        <v>6850.9806963504516</v>
      </c>
      <c r="K12" s="34">
        <f>VLOOKUP(C12,'40B0'!A33:Q78,17,FALSE)</f>
        <v>5051.2071306723183</v>
      </c>
      <c r="L12" s="34">
        <f>VLOOKUP(C12,'40C0'!$A$26:$Q$71,17,FALSE)</f>
        <v>5702.3115642367793</v>
      </c>
    </row>
    <row r="13" spans="1:20" x14ac:dyDescent="0.35">
      <c r="A13" s="282"/>
      <c r="B13" s="342">
        <f t="shared" si="1"/>
        <v>2026</v>
      </c>
      <c r="C13" s="343" t="s">
        <v>116</v>
      </c>
      <c r="D13" s="344" t="s">
        <v>24</v>
      </c>
      <c r="E13" s="354">
        <f t="shared" si="0"/>
        <v>225497.16000000003</v>
      </c>
      <c r="F13" s="34">
        <f>VLOOKUP(C13,'4050'!$A$26:$Q$71,17,FALSE)</f>
        <v>30665.879999999997</v>
      </c>
      <c r="G13" s="34">
        <f>VLOOKUP(C13,'4060'!$A$26:$Q$71,17,FALSE)</f>
        <v>61103</v>
      </c>
      <c r="H13" s="34">
        <f>VLOOKUP(C13,'4070'!$A$26:$Q$71,17,FALSE)</f>
        <v>35951.440000000002</v>
      </c>
      <c r="I13" s="34">
        <f>VLOOKUP(C13,'4080'!$A$26:$Q$71,17,FALSE)</f>
        <v>71120.280000000013</v>
      </c>
      <c r="J13" s="34">
        <f>VLOOKUP(C13,'40A0'!$A$26:$Q$71,17,FALSE)</f>
        <v>8861.44</v>
      </c>
      <c r="K13" s="34">
        <f>VLOOKUP(C13,'40B0'!A34:Q79,17,FALSE)</f>
        <v>7633.36</v>
      </c>
      <c r="L13" s="34">
        <f>VLOOKUP(C13,'40C0'!$A$26:$Q$71,17,FALSE)</f>
        <v>10161.759999999998</v>
      </c>
    </row>
    <row r="14" spans="1:20" x14ac:dyDescent="0.35">
      <c r="B14" s="342">
        <f t="shared" si="1"/>
        <v>2026</v>
      </c>
      <c r="C14" s="343" t="s">
        <v>113</v>
      </c>
      <c r="D14" s="344" t="s">
        <v>47</v>
      </c>
      <c r="E14" s="354">
        <f t="shared" si="0"/>
        <v>253013</v>
      </c>
      <c r="F14" s="34">
        <f>VLOOKUP(C14,'4050'!$A$26:$Q$71,17,FALSE)</f>
        <v>27842</v>
      </c>
      <c r="G14" s="34">
        <f>VLOOKUP(C14,'4060'!$A$26:$Q$71,17,FALSE)</f>
        <v>57885</v>
      </c>
      <c r="H14" s="34">
        <f>VLOOKUP(C14,'4070'!$A$26:$Q$71,17,FALSE)</f>
        <v>44692</v>
      </c>
      <c r="I14" s="34">
        <f>VLOOKUP(C14,'4080'!$A$26:$Q$71,17,FALSE)</f>
        <v>73830</v>
      </c>
      <c r="J14" s="34">
        <f>VLOOKUP(C14,'40A0'!$A$26:$Q$71,17,FALSE)</f>
        <v>19760</v>
      </c>
      <c r="K14" s="34">
        <f>VLOOKUP(C14,'40B0'!A35:Q80,17,FALSE)</f>
        <v>15396</v>
      </c>
      <c r="L14" s="34">
        <f>VLOOKUP(C14,'40C0'!$A$26:$Q$71,17,FALSE)</f>
        <v>13608</v>
      </c>
    </row>
    <row r="15" spans="1:20" x14ac:dyDescent="0.35">
      <c r="A15" s="282"/>
      <c r="B15" s="342">
        <f t="shared" si="1"/>
        <v>2026</v>
      </c>
      <c r="C15" s="343" t="s">
        <v>300</v>
      </c>
      <c r="D15" s="344" t="s">
        <v>301</v>
      </c>
      <c r="E15" s="354">
        <f t="shared" si="0"/>
        <v>0</v>
      </c>
    </row>
    <row r="16" spans="1:20" ht="16.5" thickBot="1" x14ac:dyDescent="0.4">
      <c r="B16" s="345">
        <f>+B15</f>
        <v>2026</v>
      </c>
      <c r="C16" s="346" t="s">
        <v>117</v>
      </c>
      <c r="D16" s="347" t="s">
        <v>302</v>
      </c>
      <c r="E16" s="354">
        <f t="shared" si="0"/>
        <v>507056.91659503389</v>
      </c>
      <c r="F16" s="34">
        <f>VLOOKUP(C16,'4050'!$A$26:$Q$71,17,FALSE)</f>
        <v>61547.900031768717</v>
      </c>
      <c r="G16" s="34">
        <f>VLOOKUP(C16,'4060'!$A$26:$Q$71,17,FALSE)</f>
        <v>130196.24243136744</v>
      </c>
      <c r="H16" s="34">
        <f>VLOOKUP(C16,'4070'!$A$26:$Q$71,17,FALSE)</f>
        <v>83955.727341733407</v>
      </c>
      <c r="I16" s="34">
        <f>VLOOKUP(C16,'4080'!$A$26:$Q$71,17,FALSE)</f>
        <v>152885.74934540802</v>
      </c>
      <c r="J16" s="34">
        <f>VLOOKUP(C16,'40A0'!$A$26:$Q$71,17,FALSE)</f>
        <v>26639.906779387544</v>
      </c>
      <c r="K16" s="34">
        <f>VLOOKUP(C16,'40B0'!A37:Q82,17,FALSE)</f>
        <v>21974.574665368764</v>
      </c>
      <c r="L16" s="34">
        <f>VLOOKUP(C16,'40C0'!$A$26:$Q$71,17,FALSE)</f>
        <v>29856.815999999995</v>
      </c>
    </row>
    <row r="17" spans="1:14" ht="16.5" thickBot="1" x14ac:dyDescent="0.4">
      <c r="A17" s="54"/>
      <c r="D17" s="348" t="s">
        <v>357</v>
      </c>
      <c r="E17" s="349">
        <f>SUM(F17:L17)</f>
        <v>2410538.0324702342</v>
      </c>
      <c r="F17" s="349">
        <f>SUM(F5:F16)</f>
        <v>326110.69563591911</v>
      </c>
      <c r="G17" s="349">
        <f t="shared" ref="G17:L17" si="2">SUM(G5:G16)</f>
        <v>577794.54578796285</v>
      </c>
      <c r="H17" s="349">
        <f t="shared" si="2"/>
        <v>444125.70220811787</v>
      </c>
      <c r="I17" s="349">
        <f t="shared" si="2"/>
        <v>749533.2452224592</v>
      </c>
      <c r="J17" s="349">
        <f t="shared" si="2"/>
        <v>142736.92625907113</v>
      </c>
      <c r="K17" s="349">
        <f t="shared" si="2"/>
        <v>87333.131595822109</v>
      </c>
      <c r="L17" s="349">
        <f t="shared" si="2"/>
        <v>82903.785760881743</v>
      </c>
      <c r="M17" s="350"/>
    </row>
    <row r="18" spans="1:14" x14ac:dyDescent="0.35">
      <c r="D18" s="351"/>
      <c r="E18" s="351"/>
      <c r="F18" s="62"/>
    </row>
    <row r="19" spans="1:14" x14ac:dyDescent="0.35">
      <c r="A19" s="54"/>
      <c r="D19" s="352" t="s">
        <v>494</v>
      </c>
      <c r="E19" s="354">
        <f t="shared" ref="E19:E22" si="3">SUM(F19:L19)</f>
        <v>602394.70000000007</v>
      </c>
      <c r="F19" s="40">
        <v>42756.62</v>
      </c>
      <c r="G19" s="40">
        <v>23888.76</v>
      </c>
      <c r="H19" s="40">
        <v>102397.37</v>
      </c>
      <c r="I19" s="40">
        <v>195031.69</v>
      </c>
      <c r="J19" s="40">
        <v>136422.82999999999</v>
      </c>
      <c r="K19" s="40">
        <v>49863.040000000001</v>
      </c>
      <c r="L19" s="40">
        <v>52034.39</v>
      </c>
      <c r="N19" s="34" t="s">
        <v>497</v>
      </c>
    </row>
    <row r="20" spans="1:14" x14ac:dyDescent="0.35">
      <c r="A20" s="54"/>
      <c r="D20" s="352" t="s">
        <v>495</v>
      </c>
      <c r="E20" s="354">
        <f t="shared" si="3"/>
        <v>101878.44</v>
      </c>
      <c r="F20" s="40">
        <v>2522.33</v>
      </c>
      <c r="G20" s="40">
        <v>323.77</v>
      </c>
      <c r="H20" s="40">
        <v>4881.22</v>
      </c>
      <c r="I20" s="40">
        <v>27968.67</v>
      </c>
      <c r="J20" s="40">
        <v>19722.29</v>
      </c>
      <c r="K20" s="40">
        <v>14717.48</v>
      </c>
      <c r="L20" s="40">
        <v>31742.68</v>
      </c>
      <c r="M20" s="353"/>
      <c r="N20" s="34" t="s">
        <v>498</v>
      </c>
    </row>
    <row r="21" spans="1:14" x14ac:dyDescent="0.35">
      <c r="D21" s="352" t="s">
        <v>499</v>
      </c>
      <c r="E21" s="354">
        <f t="shared" si="3"/>
        <v>50300</v>
      </c>
      <c r="F21" s="119">
        <f t="shared" ref="F21:L22" si="4">ROUND(+F19/12,-2)</f>
        <v>3600</v>
      </c>
      <c r="G21" s="119">
        <f t="shared" si="4"/>
        <v>2000</v>
      </c>
      <c r="H21" s="119">
        <f t="shared" si="4"/>
        <v>8500</v>
      </c>
      <c r="I21" s="119">
        <f t="shared" si="4"/>
        <v>16300</v>
      </c>
      <c r="J21" s="119">
        <f t="shared" si="4"/>
        <v>11400</v>
      </c>
      <c r="K21" s="119">
        <f t="shared" si="4"/>
        <v>4200</v>
      </c>
      <c r="L21" s="119">
        <f t="shared" si="4"/>
        <v>4300</v>
      </c>
    </row>
    <row r="22" spans="1:14" x14ac:dyDescent="0.35">
      <c r="D22" s="352" t="s">
        <v>500</v>
      </c>
      <c r="E22" s="354">
        <f t="shared" si="3"/>
        <v>8300</v>
      </c>
      <c r="F22" s="119">
        <f t="shared" si="4"/>
        <v>200</v>
      </c>
      <c r="G22" s="119">
        <f t="shared" si="4"/>
        <v>0</v>
      </c>
      <c r="H22" s="119">
        <f t="shared" si="4"/>
        <v>400</v>
      </c>
      <c r="I22" s="119">
        <f t="shared" si="4"/>
        <v>2300</v>
      </c>
      <c r="J22" s="119">
        <f t="shared" si="4"/>
        <v>1600</v>
      </c>
      <c r="K22" s="119">
        <f t="shared" si="4"/>
        <v>1200</v>
      </c>
      <c r="L22" s="119">
        <f t="shared" si="4"/>
        <v>2600</v>
      </c>
    </row>
  </sheetData>
  <sheetProtection sheet="1" objects="1" scenarios="1"/>
  <pageMargins left="0.7" right="0.7" top="0.75" bottom="0.75" header="0.3" footer="0.3"/>
  <pageSetup scale="2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6">
    <tabColor rgb="FFFFC000"/>
  </sheetPr>
  <dimension ref="A1:AA259"/>
  <sheetViews>
    <sheetView tabSelected="1" view="pageBreakPreview" topLeftCell="A152" zoomScale="60" zoomScaleNormal="90" workbookViewId="0">
      <selection activeCell="A11" sqref="A11"/>
    </sheetView>
  </sheetViews>
  <sheetFormatPr defaultColWidth="8.81640625" defaultRowHeight="16" x14ac:dyDescent="0.35"/>
  <cols>
    <col min="1" max="1" width="13.453125" style="34" bestFit="1" customWidth="1"/>
    <col min="2" max="2" width="14.453125" style="34" customWidth="1"/>
    <col min="3" max="3" width="21.54296875" style="34" customWidth="1"/>
    <col min="4" max="5" width="14.1796875" style="34" bestFit="1" customWidth="1"/>
    <col min="6" max="11" width="11.81640625" style="34" customWidth="1"/>
    <col min="12" max="16" width="10" style="34" bestFit="1" customWidth="1"/>
    <col min="17" max="17" width="10.54296875" style="34" customWidth="1"/>
    <col min="18" max="18" width="12.453125" style="34" bestFit="1" customWidth="1"/>
    <col min="19" max="19" width="8.81640625" style="34" bestFit="1" customWidth="1"/>
    <col min="20" max="20" width="13.81640625" style="34" customWidth="1"/>
    <col min="21" max="21" width="13.54296875" style="34" bestFit="1" customWidth="1"/>
    <col min="22" max="22" width="12.81640625" style="34" customWidth="1"/>
    <col min="23" max="23" width="10" style="34" bestFit="1" customWidth="1"/>
    <col min="24" max="24" width="10" style="34" customWidth="1"/>
    <col min="25" max="25" width="12.1796875" style="34" bestFit="1" customWidth="1"/>
    <col min="26" max="27" width="9.1796875" style="34" bestFit="1" customWidth="1"/>
    <col min="28" max="16384" width="8.81640625" style="34"/>
  </cols>
  <sheetData>
    <row r="1" spans="1:20" x14ac:dyDescent="0.35">
      <c r="H1" s="10"/>
      <c r="I1" s="10"/>
      <c r="J1" s="10"/>
      <c r="K1" s="10"/>
      <c r="L1" s="10"/>
      <c r="M1" s="10"/>
      <c r="N1" s="10"/>
    </row>
    <row r="2" spans="1:20" x14ac:dyDescent="0.35">
      <c r="H2" s="10"/>
      <c r="I2" s="10"/>
      <c r="J2" s="10"/>
      <c r="K2" s="10"/>
      <c r="L2" s="10"/>
      <c r="M2" s="10"/>
      <c r="N2" s="10"/>
    </row>
    <row r="3" spans="1:20" ht="16.5" thickBot="1" x14ac:dyDescent="0.4">
      <c r="J3" s="97"/>
    </row>
    <row r="4" spans="1:20" ht="18" thickBot="1" x14ac:dyDescent="0.4">
      <c r="A4" s="34" t="s">
        <v>105</v>
      </c>
      <c r="B4" s="37" t="s">
        <v>367</v>
      </c>
      <c r="C4" s="127"/>
      <c r="P4" s="126"/>
      <c r="Q4" s="126"/>
      <c r="R4" s="510">
        <v>97543</v>
      </c>
      <c r="T4" s="34" t="s">
        <v>613</v>
      </c>
    </row>
    <row r="5" spans="1:20" x14ac:dyDescent="0.35">
      <c r="C5" s="123" t="s">
        <v>366</v>
      </c>
      <c r="D5" s="157" t="s">
        <v>578</v>
      </c>
      <c r="E5" s="123"/>
      <c r="F5" s="123" t="s">
        <v>0</v>
      </c>
      <c r="G5" s="123" t="s">
        <v>1</v>
      </c>
      <c r="H5" s="123" t="s">
        <v>2</v>
      </c>
      <c r="I5" s="123" t="s">
        <v>3</v>
      </c>
      <c r="J5" s="123" t="s">
        <v>4</v>
      </c>
      <c r="K5" s="123" t="s">
        <v>5</v>
      </c>
      <c r="L5" s="123" t="s">
        <v>6</v>
      </c>
      <c r="M5" s="123" t="s">
        <v>7</v>
      </c>
      <c r="N5" s="123" t="s">
        <v>8</v>
      </c>
      <c r="O5" s="123" t="s">
        <v>9</v>
      </c>
      <c r="P5" s="123" t="s">
        <v>10</v>
      </c>
      <c r="Q5" s="123" t="s">
        <v>11</v>
      </c>
      <c r="R5" s="123" t="s">
        <v>12</v>
      </c>
    </row>
    <row r="6" spans="1:20" x14ac:dyDescent="0.35">
      <c r="B6" s="118">
        <v>4050</v>
      </c>
      <c r="C6" s="34">
        <f>'4050'!B4</f>
        <v>54008</v>
      </c>
      <c r="D6" s="158">
        <f>C6/$C$13</f>
        <v>0.13593244654744976</v>
      </c>
      <c r="E6" s="155"/>
      <c r="F6" s="34">
        <f>$R4*$D6/12</f>
        <v>1104.9382194648244</v>
      </c>
      <c r="G6" s="34">
        <f t="shared" ref="G6:Q6" si="0">$R4*$D6/12</f>
        <v>1104.9382194648244</v>
      </c>
      <c r="H6" s="34">
        <f t="shared" si="0"/>
        <v>1104.9382194648244</v>
      </c>
      <c r="I6" s="34">
        <f t="shared" si="0"/>
        <v>1104.9382194648244</v>
      </c>
      <c r="J6" s="34">
        <f t="shared" si="0"/>
        <v>1104.9382194648244</v>
      </c>
      <c r="K6" s="34">
        <f t="shared" si="0"/>
        <v>1104.9382194648244</v>
      </c>
      <c r="L6" s="34">
        <f t="shared" si="0"/>
        <v>1104.9382194648244</v>
      </c>
      <c r="M6" s="34">
        <f t="shared" si="0"/>
        <v>1104.9382194648244</v>
      </c>
      <c r="N6" s="34">
        <f t="shared" si="0"/>
        <v>1104.9382194648244</v>
      </c>
      <c r="O6" s="34">
        <f t="shared" si="0"/>
        <v>1104.9382194648244</v>
      </c>
      <c r="P6" s="34">
        <f t="shared" si="0"/>
        <v>1104.9382194648244</v>
      </c>
      <c r="Q6" s="34">
        <f t="shared" si="0"/>
        <v>1104.9382194648244</v>
      </c>
      <c r="R6" s="119">
        <f>SUM(F6:Q6)</f>
        <v>13259.258633577892</v>
      </c>
    </row>
    <row r="7" spans="1:20" x14ac:dyDescent="0.35">
      <c r="B7" s="118" t="s">
        <v>175</v>
      </c>
      <c r="C7" s="34">
        <f>'4060'!B4</f>
        <v>107890</v>
      </c>
      <c r="D7" s="158">
        <f t="shared" ref="D7:D12" si="1">C7/$C$13</f>
        <v>0.27154776436832234</v>
      </c>
      <c r="E7" s="155"/>
      <c r="F7" s="34">
        <f>$R4*$D7/12</f>
        <v>2207.2986316482725</v>
      </c>
      <c r="G7" s="34">
        <f t="shared" ref="G7:Q7" si="2">$R4*$D7/12</f>
        <v>2207.2986316482725</v>
      </c>
      <c r="H7" s="34">
        <f t="shared" si="2"/>
        <v>2207.2986316482725</v>
      </c>
      <c r="I7" s="34">
        <f t="shared" si="2"/>
        <v>2207.2986316482725</v>
      </c>
      <c r="J7" s="34">
        <f t="shared" si="2"/>
        <v>2207.2986316482725</v>
      </c>
      <c r="K7" s="34">
        <f t="shared" si="2"/>
        <v>2207.2986316482725</v>
      </c>
      <c r="L7" s="34">
        <f t="shared" si="2"/>
        <v>2207.2986316482725</v>
      </c>
      <c r="M7" s="34">
        <f t="shared" si="2"/>
        <v>2207.2986316482725</v>
      </c>
      <c r="N7" s="34">
        <f t="shared" si="2"/>
        <v>2207.2986316482725</v>
      </c>
      <c r="O7" s="34">
        <f t="shared" si="2"/>
        <v>2207.2986316482725</v>
      </c>
      <c r="P7" s="34">
        <f t="shared" si="2"/>
        <v>2207.2986316482725</v>
      </c>
      <c r="Q7" s="34">
        <f t="shared" si="2"/>
        <v>2207.2986316482725</v>
      </c>
      <c r="R7" s="119">
        <f t="shared" ref="R7:R12" si="3">SUM(F7:Q7)</f>
        <v>26487.583579779264</v>
      </c>
    </row>
    <row r="8" spans="1:20" x14ac:dyDescent="0.35">
      <c r="B8" s="118" t="s">
        <v>186</v>
      </c>
      <c r="C8" s="34">
        <f>'4070'!B4</f>
        <v>61508</v>
      </c>
      <c r="D8" s="158">
        <f t="shared" si="1"/>
        <v>0.15480915646275625</v>
      </c>
      <c r="E8" s="155"/>
      <c r="F8" s="34">
        <f>$R4*$D8/12</f>
        <v>1258.3791290705528</v>
      </c>
      <c r="G8" s="34">
        <f t="shared" ref="G8:Q8" si="4">$R4*$D8/12</f>
        <v>1258.3791290705528</v>
      </c>
      <c r="H8" s="34">
        <f t="shared" si="4"/>
        <v>1258.3791290705528</v>
      </c>
      <c r="I8" s="34">
        <f t="shared" si="4"/>
        <v>1258.3791290705528</v>
      </c>
      <c r="J8" s="34">
        <f t="shared" si="4"/>
        <v>1258.3791290705528</v>
      </c>
      <c r="K8" s="34">
        <f t="shared" si="4"/>
        <v>1258.3791290705528</v>
      </c>
      <c r="L8" s="34">
        <f t="shared" si="4"/>
        <v>1258.3791290705528</v>
      </c>
      <c r="M8" s="34">
        <f t="shared" si="4"/>
        <v>1258.3791290705528</v>
      </c>
      <c r="N8" s="34">
        <f t="shared" si="4"/>
        <v>1258.3791290705528</v>
      </c>
      <c r="O8" s="34">
        <f t="shared" si="4"/>
        <v>1258.3791290705528</v>
      </c>
      <c r="P8" s="34">
        <f t="shared" si="4"/>
        <v>1258.3791290705528</v>
      </c>
      <c r="Q8" s="34">
        <f t="shared" si="4"/>
        <v>1258.3791290705528</v>
      </c>
      <c r="R8" s="119">
        <f t="shared" si="3"/>
        <v>15100.549548846631</v>
      </c>
    </row>
    <row r="9" spans="1:20" x14ac:dyDescent="0.35">
      <c r="B9" s="118" t="s">
        <v>196</v>
      </c>
      <c r="C9" s="34">
        <f>'4080'!B4</f>
        <v>127848</v>
      </c>
      <c r="D9" s="158">
        <f t="shared" si="1"/>
        <v>0.32177994790028064</v>
      </c>
      <c r="E9" s="155"/>
      <c r="F9" s="34">
        <f>$R4*$D9/12</f>
        <v>2615.6151215030895</v>
      </c>
      <c r="G9" s="34">
        <f t="shared" ref="G9:Q9" si="5">$R4*$D9/12</f>
        <v>2615.6151215030895</v>
      </c>
      <c r="H9" s="34">
        <f t="shared" si="5"/>
        <v>2615.6151215030895</v>
      </c>
      <c r="I9" s="34">
        <f t="shared" si="5"/>
        <v>2615.6151215030895</v>
      </c>
      <c r="J9" s="34">
        <f t="shared" si="5"/>
        <v>2615.6151215030895</v>
      </c>
      <c r="K9" s="34">
        <f t="shared" si="5"/>
        <v>2615.6151215030895</v>
      </c>
      <c r="L9" s="34">
        <f t="shared" si="5"/>
        <v>2615.6151215030895</v>
      </c>
      <c r="M9" s="34">
        <f t="shared" si="5"/>
        <v>2615.6151215030895</v>
      </c>
      <c r="N9" s="34">
        <f t="shared" si="5"/>
        <v>2615.6151215030895</v>
      </c>
      <c r="O9" s="34">
        <f t="shared" si="5"/>
        <v>2615.6151215030895</v>
      </c>
      <c r="P9" s="34">
        <f t="shared" si="5"/>
        <v>2615.6151215030895</v>
      </c>
      <c r="Q9" s="34">
        <f t="shared" si="5"/>
        <v>2615.6151215030895</v>
      </c>
      <c r="R9" s="119">
        <f>SUM(F9:Q9)</f>
        <v>31387.381458037082</v>
      </c>
    </row>
    <row r="10" spans="1:20" x14ac:dyDescent="0.35">
      <c r="B10" s="118" t="s">
        <v>205</v>
      </c>
      <c r="C10" s="34">
        <f>'40A0'!B4</f>
        <v>15083</v>
      </c>
      <c r="D10" s="158">
        <f t="shared" si="1"/>
        <v>3.7962322087009046E-2</v>
      </c>
      <c r="E10" s="155"/>
      <c r="F10" s="34">
        <f>$R4*$D10/12</f>
        <v>308.5798986110936</v>
      </c>
      <c r="G10" s="34">
        <f t="shared" ref="G10:Q10" si="6">$R4*$D10/12</f>
        <v>308.5798986110936</v>
      </c>
      <c r="H10" s="34">
        <f t="shared" si="6"/>
        <v>308.5798986110936</v>
      </c>
      <c r="I10" s="34">
        <f t="shared" si="6"/>
        <v>308.5798986110936</v>
      </c>
      <c r="J10" s="34">
        <f t="shared" si="6"/>
        <v>308.5798986110936</v>
      </c>
      <c r="K10" s="34">
        <f t="shared" si="6"/>
        <v>308.5798986110936</v>
      </c>
      <c r="L10" s="34">
        <f t="shared" si="6"/>
        <v>308.5798986110936</v>
      </c>
      <c r="M10" s="34">
        <f t="shared" si="6"/>
        <v>308.5798986110936</v>
      </c>
      <c r="N10" s="34">
        <f t="shared" si="6"/>
        <v>308.5798986110936</v>
      </c>
      <c r="O10" s="34">
        <f t="shared" si="6"/>
        <v>308.5798986110936</v>
      </c>
      <c r="P10" s="34">
        <f t="shared" si="6"/>
        <v>308.5798986110936</v>
      </c>
      <c r="Q10" s="34">
        <f t="shared" si="6"/>
        <v>308.5798986110936</v>
      </c>
      <c r="R10" s="119">
        <f t="shared" si="3"/>
        <v>3702.9587833331229</v>
      </c>
    </row>
    <row r="11" spans="1:20" x14ac:dyDescent="0.35">
      <c r="B11" s="118" t="s">
        <v>210</v>
      </c>
      <c r="C11" s="34">
        <f>'40B0'!B4</f>
        <v>12978</v>
      </c>
      <c r="D11" s="158">
        <f t="shared" si="1"/>
        <v>3.2664258837446357E-2</v>
      </c>
      <c r="E11" s="155"/>
      <c r="F11" s="34">
        <f>$R4*$D11/12</f>
        <v>265.5141499817525</v>
      </c>
      <c r="G11" s="34">
        <f t="shared" ref="G11:Q11" si="7">$R4*$D11/12</f>
        <v>265.5141499817525</v>
      </c>
      <c r="H11" s="34">
        <f t="shared" si="7"/>
        <v>265.5141499817525</v>
      </c>
      <c r="I11" s="34">
        <f t="shared" si="7"/>
        <v>265.5141499817525</v>
      </c>
      <c r="J11" s="34">
        <f t="shared" si="7"/>
        <v>265.5141499817525</v>
      </c>
      <c r="K11" s="34">
        <f t="shared" si="7"/>
        <v>265.5141499817525</v>
      </c>
      <c r="L11" s="34">
        <f t="shared" si="7"/>
        <v>265.5141499817525</v>
      </c>
      <c r="M11" s="34">
        <f t="shared" si="7"/>
        <v>265.5141499817525</v>
      </c>
      <c r="N11" s="34">
        <f t="shared" si="7"/>
        <v>265.5141499817525</v>
      </c>
      <c r="O11" s="34">
        <f t="shared" si="7"/>
        <v>265.5141499817525</v>
      </c>
      <c r="P11" s="34">
        <f t="shared" si="7"/>
        <v>265.5141499817525</v>
      </c>
      <c r="Q11" s="34">
        <f t="shared" si="7"/>
        <v>265.5141499817525</v>
      </c>
      <c r="R11" s="119">
        <f t="shared" si="3"/>
        <v>3186.1697997810293</v>
      </c>
      <c r="S11" s="119"/>
      <c r="T11" s="54"/>
    </row>
    <row r="12" spans="1:20" x14ac:dyDescent="0.35">
      <c r="B12" s="118" t="s">
        <v>212</v>
      </c>
      <c r="C12" s="43">
        <v>18000</v>
      </c>
      <c r="D12" s="159">
        <f t="shared" si="1"/>
        <v>4.5304103796735586E-2</v>
      </c>
      <c r="E12" s="154"/>
      <c r="F12" s="34">
        <f>IFERROR($R4*$D12/12,0)</f>
        <v>368.25818305374827</v>
      </c>
      <c r="G12" s="34">
        <f t="shared" ref="G12:Q12" si="8">IFERROR($R4*$D12/12,0)</f>
        <v>368.25818305374827</v>
      </c>
      <c r="H12" s="34">
        <f t="shared" si="8"/>
        <v>368.25818305374827</v>
      </c>
      <c r="I12" s="34">
        <f t="shared" si="8"/>
        <v>368.25818305374827</v>
      </c>
      <c r="J12" s="34">
        <f t="shared" si="8"/>
        <v>368.25818305374827</v>
      </c>
      <c r="K12" s="34">
        <f t="shared" si="8"/>
        <v>368.25818305374827</v>
      </c>
      <c r="L12" s="34">
        <f t="shared" si="8"/>
        <v>368.25818305374827</v>
      </c>
      <c r="M12" s="34">
        <f t="shared" si="8"/>
        <v>368.25818305374827</v>
      </c>
      <c r="N12" s="34">
        <f t="shared" si="8"/>
        <v>368.25818305374827</v>
      </c>
      <c r="O12" s="34">
        <f t="shared" si="8"/>
        <v>368.25818305374827</v>
      </c>
      <c r="P12" s="34">
        <f t="shared" si="8"/>
        <v>368.25818305374827</v>
      </c>
      <c r="Q12" s="34">
        <f t="shared" si="8"/>
        <v>368.25818305374827</v>
      </c>
      <c r="R12" s="119">
        <f t="shared" si="3"/>
        <v>4419.098196644979</v>
      </c>
      <c r="S12" s="124"/>
      <c r="T12" s="54"/>
    </row>
    <row r="13" spans="1:20" x14ac:dyDescent="0.35">
      <c r="B13" s="133" t="s">
        <v>357</v>
      </c>
      <c r="C13" s="34">
        <f>SUM(C6:C12)</f>
        <v>397315</v>
      </c>
      <c r="D13" s="283">
        <f>SUM(D6:D12)</f>
        <v>1</v>
      </c>
      <c r="E13" s="284">
        <f>SUM(E6:E12)</f>
        <v>0</v>
      </c>
      <c r="F13" s="135">
        <f>SUM(F6:F12)</f>
        <v>8128.5833333333348</v>
      </c>
      <c r="G13" s="135">
        <f t="shared" ref="G13:R13" si="9">SUM(G6:G12)</f>
        <v>8128.5833333333348</v>
      </c>
      <c r="H13" s="135">
        <f t="shared" si="9"/>
        <v>8128.5833333333348</v>
      </c>
      <c r="I13" s="135">
        <f t="shared" si="9"/>
        <v>8128.5833333333348</v>
      </c>
      <c r="J13" s="135">
        <f t="shared" si="9"/>
        <v>8128.5833333333348</v>
      </c>
      <c r="K13" s="135">
        <f t="shared" si="9"/>
        <v>8128.5833333333348</v>
      </c>
      <c r="L13" s="135">
        <f t="shared" si="9"/>
        <v>8128.5833333333348</v>
      </c>
      <c r="M13" s="135">
        <f t="shared" si="9"/>
        <v>8128.5833333333348</v>
      </c>
      <c r="N13" s="135">
        <f t="shared" si="9"/>
        <v>8128.5833333333348</v>
      </c>
      <c r="O13" s="135">
        <f t="shared" si="9"/>
        <v>8128.5833333333348</v>
      </c>
      <c r="P13" s="135">
        <f t="shared" si="9"/>
        <v>8128.5833333333348</v>
      </c>
      <c r="Q13" s="135">
        <f t="shared" si="9"/>
        <v>8128.5833333333348</v>
      </c>
      <c r="R13" s="135">
        <f t="shared" si="9"/>
        <v>97542.999999999985</v>
      </c>
      <c r="S13" s="125"/>
      <c r="T13" s="54"/>
    </row>
    <row r="14" spans="1:20" ht="16.5" thickBot="1" x14ac:dyDescent="0.4">
      <c r="D14" s="41"/>
      <c r="E14" s="41"/>
    </row>
    <row r="15" spans="1:20" ht="18" thickBot="1" x14ac:dyDescent="0.4">
      <c r="A15" s="34" t="s">
        <v>111</v>
      </c>
      <c r="B15" s="37" t="s">
        <v>41</v>
      </c>
      <c r="C15" s="127"/>
      <c r="D15" s="41"/>
      <c r="E15" s="41"/>
      <c r="P15" s="126"/>
      <c r="Q15" s="126"/>
      <c r="R15" s="160">
        <f>U20</f>
        <v>95560.928</v>
      </c>
      <c r="T15" s="34" t="s">
        <v>369</v>
      </c>
    </row>
    <row r="16" spans="1:20" x14ac:dyDescent="0.35">
      <c r="C16" s="123" t="s">
        <v>366</v>
      </c>
      <c r="D16" s="123" t="s">
        <v>578</v>
      </c>
      <c r="E16" s="157" t="s">
        <v>475</v>
      </c>
      <c r="F16" s="123" t="s">
        <v>0</v>
      </c>
      <c r="G16" s="123" t="s">
        <v>1</v>
      </c>
      <c r="H16" s="123" t="s">
        <v>2</v>
      </c>
      <c r="I16" s="123" t="s">
        <v>3</v>
      </c>
      <c r="J16" s="123" t="s">
        <v>4</v>
      </c>
      <c r="K16" s="123" t="s">
        <v>5</v>
      </c>
      <c r="L16" s="123" t="s">
        <v>6</v>
      </c>
      <c r="M16" s="123" t="s">
        <v>7</v>
      </c>
      <c r="N16" s="123" t="s">
        <v>8</v>
      </c>
      <c r="O16" s="123" t="s">
        <v>9</v>
      </c>
      <c r="P16" s="123" t="s">
        <v>10</v>
      </c>
      <c r="Q16" s="123" t="s">
        <v>11</v>
      </c>
      <c r="R16" s="123" t="s">
        <v>12</v>
      </c>
      <c r="S16" s="41"/>
      <c r="T16" s="54"/>
    </row>
    <row r="17" spans="1:21" x14ac:dyDescent="0.35">
      <c r="B17" s="118">
        <v>4050</v>
      </c>
      <c r="C17" s="34">
        <f>$C$6</f>
        <v>54008</v>
      </c>
      <c r="D17" s="155">
        <f>C17/$C$13</f>
        <v>0.13593244654744976</v>
      </c>
      <c r="E17" s="158">
        <v>8.6900000000000005E-2</v>
      </c>
      <c r="F17" s="34">
        <v>0</v>
      </c>
      <c r="G17" s="34">
        <v>0</v>
      </c>
      <c r="H17" s="34">
        <f>$R15*$E17/9</f>
        <v>922.69384924444444</v>
      </c>
      <c r="I17" s="34">
        <f t="shared" ref="I17:P17" si="10">$R15*$E17/9</f>
        <v>922.69384924444444</v>
      </c>
      <c r="J17" s="34">
        <f t="shared" si="10"/>
        <v>922.69384924444444</v>
      </c>
      <c r="K17" s="34">
        <f t="shared" si="10"/>
        <v>922.69384924444444</v>
      </c>
      <c r="L17" s="34">
        <f t="shared" si="10"/>
        <v>922.69384924444444</v>
      </c>
      <c r="M17" s="34">
        <f t="shared" si="10"/>
        <v>922.69384924444444</v>
      </c>
      <c r="N17" s="34">
        <f t="shared" si="10"/>
        <v>922.69384924444444</v>
      </c>
      <c r="O17" s="34">
        <f t="shared" si="10"/>
        <v>922.69384924444444</v>
      </c>
      <c r="P17" s="34">
        <f t="shared" si="10"/>
        <v>922.69384924444444</v>
      </c>
      <c r="Q17" s="34">
        <v>0</v>
      </c>
      <c r="R17" s="119">
        <f>SUM(F17:Q17)</f>
        <v>8304.2446431999997</v>
      </c>
      <c r="S17" s="119"/>
      <c r="T17" s="43"/>
      <c r="U17" s="123" t="s">
        <v>12</v>
      </c>
    </row>
    <row r="18" spans="1:21" x14ac:dyDescent="0.35">
      <c r="B18" s="118" t="s">
        <v>175</v>
      </c>
      <c r="C18" s="34">
        <f>$C$7</f>
        <v>107890</v>
      </c>
      <c r="D18" s="155">
        <f t="shared" ref="D18:D23" si="11">C18/$C$13</f>
        <v>0.27154776436832234</v>
      </c>
      <c r="E18" s="158">
        <v>0.1978</v>
      </c>
      <c r="F18" s="34">
        <v>0</v>
      </c>
      <c r="G18" s="34">
        <v>0</v>
      </c>
      <c r="H18" s="34">
        <f>$R15*$E18/9</f>
        <v>2100.216839822222</v>
      </c>
      <c r="I18" s="34">
        <f t="shared" ref="I18:P18" si="12">$R15*$E18/9</f>
        <v>2100.216839822222</v>
      </c>
      <c r="J18" s="34">
        <f t="shared" si="12"/>
        <v>2100.216839822222</v>
      </c>
      <c r="K18" s="34">
        <f t="shared" si="12"/>
        <v>2100.216839822222</v>
      </c>
      <c r="L18" s="34">
        <f t="shared" si="12"/>
        <v>2100.216839822222</v>
      </c>
      <c r="M18" s="34">
        <f t="shared" si="12"/>
        <v>2100.216839822222</v>
      </c>
      <c r="N18" s="34">
        <f t="shared" si="12"/>
        <v>2100.216839822222</v>
      </c>
      <c r="O18" s="34">
        <f t="shared" si="12"/>
        <v>2100.216839822222</v>
      </c>
      <c r="P18" s="34">
        <f t="shared" si="12"/>
        <v>2100.216839822222</v>
      </c>
      <c r="Q18" s="34">
        <v>0</v>
      </c>
      <c r="R18" s="119">
        <f t="shared" ref="R18:R23" si="13">SUM(F18:Q18)</f>
        <v>18901.951558399996</v>
      </c>
      <c r="S18" s="119"/>
      <c r="T18" s="34" t="s">
        <v>576</v>
      </c>
      <c r="U18" s="40">
        <f>1.03*126400</f>
        <v>130192</v>
      </c>
    </row>
    <row r="19" spans="1:21" x14ac:dyDescent="0.35">
      <c r="B19" s="118" t="s">
        <v>186</v>
      </c>
      <c r="C19" s="34">
        <f>$C$8</f>
        <v>61508</v>
      </c>
      <c r="D19" s="155">
        <f t="shared" si="11"/>
        <v>0.15480915646275625</v>
      </c>
      <c r="E19" s="158">
        <v>0.24729999999999999</v>
      </c>
      <c r="F19" s="34">
        <v>0</v>
      </c>
      <c r="G19" s="34">
        <v>0</v>
      </c>
      <c r="H19" s="34">
        <f>$R15*$E19/9</f>
        <v>2625.8019438222223</v>
      </c>
      <c r="I19" s="34">
        <f t="shared" ref="I19:P19" si="14">$R15*$E19/9</f>
        <v>2625.8019438222223</v>
      </c>
      <c r="J19" s="34">
        <f t="shared" si="14"/>
        <v>2625.8019438222223</v>
      </c>
      <c r="K19" s="34">
        <f t="shared" si="14"/>
        <v>2625.8019438222223</v>
      </c>
      <c r="L19" s="34">
        <f t="shared" si="14"/>
        <v>2625.8019438222223</v>
      </c>
      <c r="M19" s="34">
        <f t="shared" si="14"/>
        <v>2625.8019438222223</v>
      </c>
      <c r="N19" s="34">
        <f t="shared" si="14"/>
        <v>2625.8019438222223</v>
      </c>
      <c r="O19" s="34">
        <f t="shared" si="14"/>
        <v>2625.8019438222223</v>
      </c>
      <c r="P19" s="34">
        <f t="shared" si="14"/>
        <v>2625.8019438222223</v>
      </c>
      <c r="Q19" s="34">
        <v>0</v>
      </c>
      <c r="R19" s="119">
        <f t="shared" si="13"/>
        <v>23632.2174944</v>
      </c>
      <c r="S19" s="119"/>
      <c r="T19" s="489" t="s">
        <v>577</v>
      </c>
      <c r="U19" s="490">
        <v>-0.26600000000000001</v>
      </c>
    </row>
    <row r="20" spans="1:21" x14ac:dyDescent="0.35">
      <c r="B20" s="118" t="s">
        <v>196</v>
      </c>
      <c r="C20" s="34">
        <f>$C$9</f>
        <v>127848</v>
      </c>
      <c r="D20" s="155">
        <f t="shared" si="11"/>
        <v>0.32177994790028064</v>
      </c>
      <c r="E20" s="158">
        <v>0.39550000000000002</v>
      </c>
      <c r="F20" s="34">
        <v>0</v>
      </c>
      <c r="G20" s="34">
        <v>0</v>
      </c>
      <c r="H20" s="34">
        <f>$R15*$E20/9</f>
        <v>4199.3718915555555</v>
      </c>
      <c r="I20" s="34">
        <f t="shared" ref="I20:P20" si="15">$R15*$E20/9</f>
        <v>4199.3718915555555</v>
      </c>
      <c r="J20" s="34">
        <f t="shared" si="15"/>
        <v>4199.3718915555555</v>
      </c>
      <c r="K20" s="34">
        <f t="shared" si="15"/>
        <v>4199.3718915555555</v>
      </c>
      <c r="L20" s="34">
        <f t="shared" si="15"/>
        <v>4199.3718915555555</v>
      </c>
      <c r="M20" s="34">
        <f t="shared" si="15"/>
        <v>4199.3718915555555</v>
      </c>
      <c r="N20" s="34">
        <f t="shared" si="15"/>
        <v>4199.3718915555555</v>
      </c>
      <c r="O20" s="34">
        <f t="shared" si="15"/>
        <v>4199.3718915555555</v>
      </c>
      <c r="P20" s="34">
        <f t="shared" si="15"/>
        <v>4199.3718915555555</v>
      </c>
      <c r="Q20" s="34">
        <v>0</v>
      </c>
      <c r="R20" s="119">
        <f t="shared" si="13"/>
        <v>37794.347024000002</v>
      </c>
      <c r="S20" s="119"/>
      <c r="T20" s="36" t="s">
        <v>368</v>
      </c>
      <c r="U20" s="36">
        <f>U18*(1+U19)</f>
        <v>95560.928</v>
      </c>
    </row>
    <row r="21" spans="1:21" x14ac:dyDescent="0.35">
      <c r="B21" s="118" t="s">
        <v>205</v>
      </c>
      <c r="C21" s="34">
        <f>$C$10</f>
        <v>15083</v>
      </c>
      <c r="D21" s="155">
        <f t="shared" si="11"/>
        <v>3.7962322087009046E-2</v>
      </c>
      <c r="E21" s="158">
        <v>2.6499999999999999E-2</v>
      </c>
      <c r="F21" s="34">
        <v>0</v>
      </c>
      <c r="G21" s="34">
        <v>0</v>
      </c>
      <c r="H21" s="34">
        <f>$R15*$E21/9</f>
        <v>281.37384355555554</v>
      </c>
      <c r="I21" s="34">
        <f t="shared" ref="I21:P21" si="16">$R15*$E21/9</f>
        <v>281.37384355555554</v>
      </c>
      <c r="J21" s="34">
        <f t="shared" si="16"/>
        <v>281.37384355555554</v>
      </c>
      <c r="K21" s="34">
        <f t="shared" si="16"/>
        <v>281.37384355555554</v>
      </c>
      <c r="L21" s="34">
        <f t="shared" si="16"/>
        <v>281.37384355555554</v>
      </c>
      <c r="M21" s="34">
        <f t="shared" si="16"/>
        <v>281.37384355555554</v>
      </c>
      <c r="N21" s="34">
        <f t="shared" si="16"/>
        <v>281.37384355555554</v>
      </c>
      <c r="O21" s="34">
        <f t="shared" si="16"/>
        <v>281.37384355555554</v>
      </c>
      <c r="P21" s="34">
        <f t="shared" si="16"/>
        <v>281.37384355555554</v>
      </c>
      <c r="Q21" s="34">
        <v>0</v>
      </c>
      <c r="R21" s="119">
        <f t="shared" si="13"/>
        <v>2532.3645919999999</v>
      </c>
      <c r="S21" s="119"/>
      <c r="T21" s="54"/>
    </row>
    <row r="22" spans="1:21" x14ac:dyDescent="0.35">
      <c r="B22" s="118" t="s">
        <v>210</v>
      </c>
      <c r="C22" s="34">
        <f>$C$11</f>
        <v>12978</v>
      </c>
      <c r="D22" s="155">
        <f t="shared" si="11"/>
        <v>3.2664258837446357E-2</v>
      </c>
      <c r="E22" s="158">
        <v>1.9599999999999999E-2</v>
      </c>
      <c r="F22" s="34">
        <v>0</v>
      </c>
      <c r="G22" s="34">
        <v>0</v>
      </c>
      <c r="H22" s="34">
        <f>$R15*$E22/9</f>
        <v>208.11046542222221</v>
      </c>
      <c r="I22" s="34">
        <f t="shared" ref="I22:P22" si="17">$R15*$E22/9</f>
        <v>208.11046542222221</v>
      </c>
      <c r="J22" s="34">
        <f t="shared" si="17"/>
        <v>208.11046542222221</v>
      </c>
      <c r="K22" s="34">
        <f t="shared" si="17"/>
        <v>208.11046542222221</v>
      </c>
      <c r="L22" s="34">
        <f t="shared" si="17"/>
        <v>208.11046542222221</v>
      </c>
      <c r="M22" s="34">
        <f t="shared" si="17"/>
        <v>208.11046542222221</v>
      </c>
      <c r="N22" s="34">
        <f t="shared" si="17"/>
        <v>208.11046542222221</v>
      </c>
      <c r="O22" s="34">
        <f t="shared" si="17"/>
        <v>208.11046542222221</v>
      </c>
      <c r="P22" s="34">
        <f t="shared" si="17"/>
        <v>208.11046542222221</v>
      </c>
      <c r="Q22" s="34">
        <v>0</v>
      </c>
      <c r="R22" s="119">
        <f t="shared" si="13"/>
        <v>1872.9941887999998</v>
      </c>
      <c r="S22" s="119"/>
      <c r="T22" s="54"/>
    </row>
    <row r="23" spans="1:21" x14ac:dyDescent="0.35">
      <c r="B23" s="118" t="s">
        <v>212</v>
      </c>
      <c r="C23" s="43">
        <f>$C$12</f>
        <v>18000</v>
      </c>
      <c r="D23" s="154">
        <f t="shared" si="11"/>
        <v>4.5304103796735586E-2</v>
      </c>
      <c r="E23" s="159">
        <v>2.64E-2</v>
      </c>
      <c r="F23" s="43">
        <v>0</v>
      </c>
      <c r="G23" s="43">
        <v>0</v>
      </c>
      <c r="H23" s="43">
        <f>IFERROR($R15*$E23/12,0)</f>
        <v>210.23404159999998</v>
      </c>
      <c r="I23" s="43">
        <f t="shared" ref="I23:P23" si="18">IFERROR($R15*$E23/12,0)</f>
        <v>210.23404159999998</v>
      </c>
      <c r="J23" s="43">
        <f t="shared" si="18"/>
        <v>210.23404159999998</v>
      </c>
      <c r="K23" s="43">
        <f t="shared" si="18"/>
        <v>210.23404159999998</v>
      </c>
      <c r="L23" s="43">
        <f t="shared" si="18"/>
        <v>210.23404159999998</v>
      </c>
      <c r="M23" s="43">
        <f t="shared" si="18"/>
        <v>210.23404159999998</v>
      </c>
      <c r="N23" s="43">
        <f t="shared" si="18"/>
        <v>210.23404159999998</v>
      </c>
      <c r="O23" s="43">
        <f t="shared" si="18"/>
        <v>210.23404159999998</v>
      </c>
      <c r="P23" s="43">
        <f t="shared" si="18"/>
        <v>210.23404159999998</v>
      </c>
      <c r="Q23" s="43">
        <v>0</v>
      </c>
      <c r="R23" s="119">
        <f t="shared" si="13"/>
        <v>1892.1063743999998</v>
      </c>
      <c r="S23" s="124"/>
      <c r="T23" s="54"/>
    </row>
    <row r="24" spans="1:21" x14ac:dyDescent="0.35">
      <c r="B24" s="133" t="s">
        <v>357</v>
      </c>
      <c r="C24" s="34">
        <f>SUM(C17:C23)</f>
        <v>397315</v>
      </c>
      <c r="D24" s="284">
        <f>SUM(D17:D23)</f>
        <v>1</v>
      </c>
      <c r="E24" s="283">
        <f>SUM(E17:E23)</f>
        <v>0.99999999999999989</v>
      </c>
      <c r="F24" s="36">
        <f>SUM(F17:F23)</f>
        <v>0</v>
      </c>
      <c r="G24" s="135">
        <f t="shared" ref="G24:R24" si="19">SUM(G17:G23)</f>
        <v>0</v>
      </c>
      <c r="H24" s="135">
        <f t="shared" si="19"/>
        <v>10547.80287502222</v>
      </c>
      <c r="I24" s="135">
        <f t="shared" si="19"/>
        <v>10547.80287502222</v>
      </c>
      <c r="J24" s="135">
        <f t="shared" si="19"/>
        <v>10547.80287502222</v>
      </c>
      <c r="K24" s="135">
        <f t="shared" si="19"/>
        <v>10547.80287502222</v>
      </c>
      <c r="L24" s="135">
        <f t="shared" si="19"/>
        <v>10547.80287502222</v>
      </c>
      <c r="M24" s="135">
        <f t="shared" si="19"/>
        <v>10547.80287502222</v>
      </c>
      <c r="N24" s="135">
        <f t="shared" si="19"/>
        <v>10547.80287502222</v>
      </c>
      <c r="O24" s="135">
        <f t="shared" si="19"/>
        <v>10547.80287502222</v>
      </c>
      <c r="P24" s="135">
        <f t="shared" si="19"/>
        <v>10547.80287502222</v>
      </c>
      <c r="Q24" s="135">
        <f t="shared" si="19"/>
        <v>0</v>
      </c>
      <c r="R24" s="135">
        <f t="shared" si="19"/>
        <v>94930.225875199991</v>
      </c>
      <c r="S24" s="125"/>
      <c r="T24" s="54"/>
    </row>
    <row r="25" spans="1:21" ht="16.5" thickBot="1" x14ac:dyDescent="0.4"/>
    <row r="26" spans="1:21" ht="18" thickBot="1" x14ac:dyDescent="0.4">
      <c r="A26" s="34" t="str">
        <f>'NI LLC-Consolidated'!A50</f>
        <v>6380-8502</v>
      </c>
      <c r="B26" s="37" t="s">
        <v>489</v>
      </c>
      <c r="C26" s="127"/>
      <c r="D26" s="41"/>
      <c r="E26" s="41"/>
      <c r="P26" s="126"/>
      <c r="Q26" s="126"/>
      <c r="R26" s="263">
        <v>50000</v>
      </c>
      <c r="T26" s="34" t="s">
        <v>369</v>
      </c>
    </row>
    <row r="27" spans="1:21" x14ac:dyDescent="0.35">
      <c r="C27" s="123" t="s">
        <v>366</v>
      </c>
      <c r="D27" s="157" t="s">
        <v>578</v>
      </c>
      <c r="E27" s="123"/>
      <c r="F27" s="123" t="s">
        <v>0</v>
      </c>
      <c r="G27" s="123" t="s">
        <v>1</v>
      </c>
      <c r="H27" s="123" t="s">
        <v>2</v>
      </c>
      <c r="I27" s="123" t="s">
        <v>3</v>
      </c>
      <c r="J27" s="123" t="s">
        <v>4</v>
      </c>
      <c r="K27" s="123" t="s">
        <v>5</v>
      </c>
      <c r="L27" s="123" t="s">
        <v>6</v>
      </c>
      <c r="M27" s="123" t="s">
        <v>7</v>
      </c>
      <c r="N27" s="123" t="s">
        <v>8</v>
      </c>
      <c r="O27" s="123" t="s">
        <v>9</v>
      </c>
      <c r="P27" s="123" t="s">
        <v>10</v>
      </c>
      <c r="Q27" s="123" t="s">
        <v>11</v>
      </c>
      <c r="R27" s="123" t="s">
        <v>12</v>
      </c>
      <c r="S27" s="41"/>
      <c r="T27" s="54"/>
    </row>
    <row r="28" spans="1:21" x14ac:dyDescent="0.35">
      <c r="B28" s="118">
        <v>4050</v>
      </c>
      <c r="C28" s="34">
        <f>$C$6</f>
        <v>54008</v>
      </c>
      <c r="D28" s="158">
        <f>C28/$C$13</f>
        <v>0.13593244654744976</v>
      </c>
      <c r="E28" s="155"/>
      <c r="F28" s="34">
        <f t="shared" ref="F28:Q28" si="20">$R26*$D28/12</f>
        <v>566.38519394770731</v>
      </c>
      <c r="G28" s="34">
        <f t="shared" si="20"/>
        <v>566.38519394770731</v>
      </c>
      <c r="H28" s="34">
        <f t="shared" si="20"/>
        <v>566.38519394770731</v>
      </c>
      <c r="I28" s="34">
        <f t="shared" si="20"/>
        <v>566.38519394770731</v>
      </c>
      <c r="J28" s="34">
        <f t="shared" si="20"/>
        <v>566.38519394770731</v>
      </c>
      <c r="K28" s="34">
        <f t="shared" si="20"/>
        <v>566.38519394770731</v>
      </c>
      <c r="L28" s="34">
        <f t="shared" si="20"/>
        <v>566.38519394770731</v>
      </c>
      <c r="M28" s="34">
        <f t="shared" si="20"/>
        <v>566.38519394770731</v>
      </c>
      <c r="N28" s="34">
        <f t="shared" si="20"/>
        <v>566.38519394770731</v>
      </c>
      <c r="O28" s="34">
        <f t="shared" si="20"/>
        <v>566.38519394770731</v>
      </c>
      <c r="P28" s="34">
        <f t="shared" si="20"/>
        <v>566.38519394770731</v>
      </c>
      <c r="Q28" s="34">
        <f t="shared" si="20"/>
        <v>566.38519394770731</v>
      </c>
      <c r="R28" s="119">
        <f>SUM(F28:Q28)</f>
        <v>6796.6223273724872</v>
      </c>
      <c r="S28" s="119"/>
      <c r="T28" s="54"/>
    </row>
    <row r="29" spans="1:21" x14ac:dyDescent="0.35">
      <c r="B29" s="118" t="s">
        <v>175</v>
      </c>
      <c r="C29" s="34">
        <f>$C$7</f>
        <v>107890</v>
      </c>
      <c r="D29" s="158">
        <f t="shared" ref="D29:D34" si="21">C29/$C$13</f>
        <v>0.27154776436832234</v>
      </c>
      <c r="E29" s="155"/>
      <c r="F29" s="34">
        <f t="shared" ref="F29:Q29" si="22">$R26*$D29/12</f>
        <v>1131.4490182013431</v>
      </c>
      <c r="G29" s="34">
        <f t="shared" si="22"/>
        <v>1131.4490182013431</v>
      </c>
      <c r="H29" s="34">
        <f t="shared" si="22"/>
        <v>1131.4490182013431</v>
      </c>
      <c r="I29" s="34">
        <f t="shared" si="22"/>
        <v>1131.4490182013431</v>
      </c>
      <c r="J29" s="34">
        <f t="shared" si="22"/>
        <v>1131.4490182013431</v>
      </c>
      <c r="K29" s="34">
        <f t="shared" si="22"/>
        <v>1131.4490182013431</v>
      </c>
      <c r="L29" s="34">
        <f t="shared" si="22"/>
        <v>1131.4490182013431</v>
      </c>
      <c r="M29" s="34">
        <f t="shared" si="22"/>
        <v>1131.4490182013431</v>
      </c>
      <c r="N29" s="34">
        <f t="shared" si="22"/>
        <v>1131.4490182013431</v>
      </c>
      <c r="O29" s="34">
        <f t="shared" si="22"/>
        <v>1131.4490182013431</v>
      </c>
      <c r="P29" s="34">
        <f t="shared" si="22"/>
        <v>1131.4490182013431</v>
      </c>
      <c r="Q29" s="34">
        <f t="shared" si="22"/>
        <v>1131.4490182013431</v>
      </c>
      <c r="R29" s="119">
        <f t="shared" ref="R29:R34" si="23">SUM(F29:Q29)</f>
        <v>13577.388218416118</v>
      </c>
      <c r="S29" s="119"/>
      <c r="T29" s="54"/>
    </row>
    <row r="30" spans="1:21" x14ac:dyDescent="0.35">
      <c r="B30" s="118" t="s">
        <v>186</v>
      </c>
      <c r="C30" s="34">
        <f>$C$8</f>
        <v>61508</v>
      </c>
      <c r="D30" s="158">
        <f t="shared" si="21"/>
        <v>0.15480915646275625</v>
      </c>
      <c r="E30" s="155"/>
      <c r="F30" s="34">
        <f t="shared" ref="F30:Q30" si="24">$R26*$D30/12</f>
        <v>645.03815192815102</v>
      </c>
      <c r="G30" s="34">
        <f t="shared" si="24"/>
        <v>645.03815192815102</v>
      </c>
      <c r="H30" s="34">
        <f t="shared" si="24"/>
        <v>645.03815192815102</v>
      </c>
      <c r="I30" s="34">
        <f t="shared" si="24"/>
        <v>645.03815192815102</v>
      </c>
      <c r="J30" s="34">
        <f t="shared" si="24"/>
        <v>645.03815192815102</v>
      </c>
      <c r="K30" s="34">
        <f t="shared" si="24"/>
        <v>645.03815192815102</v>
      </c>
      <c r="L30" s="34">
        <f t="shared" si="24"/>
        <v>645.03815192815102</v>
      </c>
      <c r="M30" s="34">
        <f t="shared" si="24"/>
        <v>645.03815192815102</v>
      </c>
      <c r="N30" s="34">
        <f t="shared" si="24"/>
        <v>645.03815192815102</v>
      </c>
      <c r="O30" s="34">
        <f t="shared" si="24"/>
        <v>645.03815192815102</v>
      </c>
      <c r="P30" s="34">
        <f t="shared" si="24"/>
        <v>645.03815192815102</v>
      </c>
      <c r="Q30" s="34">
        <f t="shared" si="24"/>
        <v>645.03815192815102</v>
      </c>
      <c r="R30" s="119">
        <f t="shared" si="23"/>
        <v>7740.4578231378118</v>
      </c>
      <c r="S30" s="119"/>
      <c r="T30" s="54"/>
    </row>
    <row r="31" spans="1:21" x14ac:dyDescent="0.35">
      <c r="B31" s="118" t="s">
        <v>196</v>
      </c>
      <c r="C31" s="34">
        <f>$C$9</f>
        <v>127848</v>
      </c>
      <c r="D31" s="158">
        <f t="shared" si="21"/>
        <v>0.32177994790028064</v>
      </c>
      <c r="E31" s="155"/>
      <c r="F31" s="34">
        <f t="shared" ref="F31:Q31" si="25">$R26*$D31/12</f>
        <v>1340.749782917836</v>
      </c>
      <c r="G31" s="34">
        <f t="shared" si="25"/>
        <v>1340.749782917836</v>
      </c>
      <c r="H31" s="34">
        <f t="shared" si="25"/>
        <v>1340.749782917836</v>
      </c>
      <c r="I31" s="34">
        <f t="shared" si="25"/>
        <v>1340.749782917836</v>
      </c>
      <c r="J31" s="34">
        <f t="shared" si="25"/>
        <v>1340.749782917836</v>
      </c>
      <c r="K31" s="34">
        <f t="shared" si="25"/>
        <v>1340.749782917836</v>
      </c>
      <c r="L31" s="34">
        <f t="shared" si="25"/>
        <v>1340.749782917836</v>
      </c>
      <c r="M31" s="34">
        <f t="shared" si="25"/>
        <v>1340.749782917836</v>
      </c>
      <c r="N31" s="34">
        <f t="shared" si="25"/>
        <v>1340.749782917836</v>
      </c>
      <c r="O31" s="34">
        <f t="shared" si="25"/>
        <v>1340.749782917836</v>
      </c>
      <c r="P31" s="34">
        <f t="shared" si="25"/>
        <v>1340.749782917836</v>
      </c>
      <c r="Q31" s="34">
        <f t="shared" si="25"/>
        <v>1340.749782917836</v>
      </c>
      <c r="R31" s="119">
        <f t="shared" si="23"/>
        <v>16088.997395014028</v>
      </c>
      <c r="S31" s="119"/>
      <c r="T31" s="54"/>
    </row>
    <row r="32" spans="1:21" x14ac:dyDescent="0.35">
      <c r="B32" s="118" t="s">
        <v>205</v>
      </c>
      <c r="C32" s="34">
        <f>$C$10</f>
        <v>15083</v>
      </c>
      <c r="D32" s="158">
        <f t="shared" si="21"/>
        <v>3.7962322087009046E-2</v>
      </c>
      <c r="E32" s="155"/>
      <c r="F32" s="34">
        <f t="shared" ref="F32:Q32" si="26">$R26*$D32/12</f>
        <v>158.17634202920436</v>
      </c>
      <c r="G32" s="34">
        <f t="shared" si="26"/>
        <v>158.17634202920436</v>
      </c>
      <c r="H32" s="34">
        <f t="shared" si="26"/>
        <v>158.17634202920436</v>
      </c>
      <c r="I32" s="34">
        <f t="shared" si="26"/>
        <v>158.17634202920436</v>
      </c>
      <c r="J32" s="34">
        <f t="shared" si="26"/>
        <v>158.17634202920436</v>
      </c>
      <c r="K32" s="34">
        <f t="shared" si="26"/>
        <v>158.17634202920436</v>
      </c>
      <c r="L32" s="34">
        <f t="shared" si="26"/>
        <v>158.17634202920436</v>
      </c>
      <c r="M32" s="34">
        <f t="shared" si="26"/>
        <v>158.17634202920436</v>
      </c>
      <c r="N32" s="34">
        <f t="shared" si="26"/>
        <v>158.17634202920436</v>
      </c>
      <c r="O32" s="34">
        <f t="shared" si="26"/>
        <v>158.17634202920436</v>
      </c>
      <c r="P32" s="34">
        <f t="shared" si="26"/>
        <v>158.17634202920436</v>
      </c>
      <c r="Q32" s="34">
        <f t="shared" si="26"/>
        <v>158.17634202920436</v>
      </c>
      <c r="R32" s="119">
        <f t="shared" si="23"/>
        <v>1898.1161043504519</v>
      </c>
      <c r="S32" s="119"/>
      <c r="T32" s="54"/>
    </row>
    <row r="33" spans="1:21" x14ac:dyDescent="0.35">
      <c r="B33" s="118" t="s">
        <v>210</v>
      </c>
      <c r="C33" s="34">
        <f>$C$11</f>
        <v>12978</v>
      </c>
      <c r="D33" s="158">
        <f t="shared" si="21"/>
        <v>3.2664258837446357E-2</v>
      </c>
      <c r="E33" s="155"/>
      <c r="F33" s="34">
        <f t="shared" ref="F33:Q33" si="27">$R26*$D33/12</f>
        <v>136.10107848935982</v>
      </c>
      <c r="G33" s="34">
        <f t="shared" si="27"/>
        <v>136.10107848935982</v>
      </c>
      <c r="H33" s="34">
        <f t="shared" si="27"/>
        <v>136.10107848935982</v>
      </c>
      <c r="I33" s="34">
        <f t="shared" si="27"/>
        <v>136.10107848935982</v>
      </c>
      <c r="J33" s="34">
        <f t="shared" si="27"/>
        <v>136.10107848935982</v>
      </c>
      <c r="K33" s="34">
        <f t="shared" si="27"/>
        <v>136.10107848935982</v>
      </c>
      <c r="L33" s="34">
        <f t="shared" si="27"/>
        <v>136.10107848935982</v>
      </c>
      <c r="M33" s="34">
        <f t="shared" si="27"/>
        <v>136.10107848935982</v>
      </c>
      <c r="N33" s="34">
        <f t="shared" si="27"/>
        <v>136.10107848935982</v>
      </c>
      <c r="O33" s="34">
        <f t="shared" si="27"/>
        <v>136.10107848935982</v>
      </c>
      <c r="P33" s="34">
        <f t="shared" si="27"/>
        <v>136.10107848935982</v>
      </c>
      <c r="Q33" s="34">
        <f t="shared" si="27"/>
        <v>136.10107848935982</v>
      </c>
      <c r="R33" s="119">
        <f t="shared" si="23"/>
        <v>1633.2129418723182</v>
      </c>
      <c r="S33" s="119"/>
      <c r="T33" s="54"/>
    </row>
    <row r="34" spans="1:21" x14ac:dyDescent="0.35">
      <c r="B34" s="118" t="s">
        <v>212</v>
      </c>
      <c r="C34" s="43">
        <f>$C$12</f>
        <v>18000</v>
      </c>
      <c r="D34" s="159">
        <f t="shared" si="21"/>
        <v>4.5304103796735586E-2</v>
      </c>
      <c r="E34" s="154"/>
      <c r="F34" s="43">
        <f t="shared" ref="F34:Q34" si="28">IFERROR($R26*$D34/12,0)</f>
        <v>188.76709915306495</v>
      </c>
      <c r="G34" s="43">
        <f t="shared" si="28"/>
        <v>188.76709915306495</v>
      </c>
      <c r="H34" s="43">
        <f t="shared" si="28"/>
        <v>188.76709915306495</v>
      </c>
      <c r="I34" s="43">
        <f t="shared" si="28"/>
        <v>188.76709915306495</v>
      </c>
      <c r="J34" s="43">
        <f t="shared" si="28"/>
        <v>188.76709915306495</v>
      </c>
      <c r="K34" s="43">
        <f t="shared" si="28"/>
        <v>188.76709915306495</v>
      </c>
      <c r="L34" s="43">
        <f t="shared" si="28"/>
        <v>188.76709915306495</v>
      </c>
      <c r="M34" s="43">
        <f t="shared" si="28"/>
        <v>188.76709915306495</v>
      </c>
      <c r="N34" s="43">
        <f t="shared" si="28"/>
        <v>188.76709915306495</v>
      </c>
      <c r="O34" s="43">
        <f t="shared" si="28"/>
        <v>188.76709915306495</v>
      </c>
      <c r="P34" s="43">
        <f t="shared" si="28"/>
        <v>188.76709915306495</v>
      </c>
      <c r="Q34" s="43">
        <f t="shared" si="28"/>
        <v>188.76709915306495</v>
      </c>
      <c r="R34" s="119">
        <f t="shared" si="23"/>
        <v>2265.2051898367795</v>
      </c>
      <c r="S34" s="124"/>
      <c r="T34" s="54"/>
    </row>
    <row r="35" spans="1:21" x14ac:dyDescent="0.35">
      <c r="B35" s="133" t="s">
        <v>357</v>
      </c>
      <c r="C35" s="34">
        <f>SUM(C28:C34)</f>
        <v>397315</v>
      </c>
      <c r="D35" s="283">
        <f>SUM(D28:D34)</f>
        <v>1</v>
      </c>
      <c r="E35" s="284">
        <f>SUM(E28:E34)</f>
        <v>0</v>
      </c>
      <c r="F35" s="36">
        <f>SUM(F28:F34)</f>
        <v>4166.666666666667</v>
      </c>
      <c r="G35" s="135">
        <f t="shared" ref="G35:R35" si="29">SUM(G28:G34)</f>
        <v>4166.666666666667</v>
      </c>
      <c r="H35" s="135">
        <f t="shared" si="29"/>
        <v>4166.666666666667</v>
      </c>
      <c r="I35" s="135">
        <f t="shared" si="29"/>
        <v>4166.666666666667</v>
      </c>
      <c r="J35" s="135">
        <f t="shared" si="29"/>
        <v>4166.666666666667</v>
      </c>
      <c r="K35" s="135">
        <f t="shared" si="29"/>
        <v>4166.666666666667</v>
      </c>
      <c r="L35" s="135">
        <f t="shared" si="29"/>
        <v>4166.666666666667</v>
      </c>
      <c r="M35" s="135">
        <f t="shared" si="29"/>
        <v>4166.666666666667</v>
      </c>
      <c r="N35" s="135">
        <f t="shared" si="29"/>
        <v>4166.666666666667</v>
      </c>
      <c r="O35" s="135">
        <f t="shared" si="29"/>
        <v>4166.666666666667</v>
      </c>
      <c r="P35" s="135">
        <f t="shared" si="29"/>
        <v>4166.666666666667</v>
      </c>
      <c r="Q35" s="135">
        <f t="shared" si="29"/>
        <v>4166.666666666667</v>
      </c>
      <c r="R35" s="135">
        <f t="shared" si="29"/>
        <v>50000</v>
      </c>
      <c r="S35" s="125"/>
      <c r="T35" s="54"/>
    </row>
    <row r="36" spans="1:21" ht="16.5" thickBot="1" x14ac:dyDescent="0.4"/>
    <row r="37" spans="1:21" ht="18" thickBot="1" x14ac:dyDescent="0.4">
      <c r="A37" s="34" t="s">
        <v>112</v>
      </c>
      <c r="B37" s="37" t="s">
        <v>474</v>
      </c>
      <c r="C37" s="127"/>
      <c r="D37" s="41"/>
      <c r="E37" s="41"/>
      <c r="P37" s="126"/>
      <c r="Q37" s="126"/>
      <c r="R37" s="160">
        <f>U41*4</f>
        <v>2112</v>
      </c>
      <c r="S37" s="34" t="s">
        <v>478</v>
      </c>
    </row>
    <row r="38" spans="1:21" x14ac:dyDescent="0.35">
      <c r="C38" s="123" t="s">
        <v>366</v>
      </c>
      <c r="D38" s="123" t="s">
        <v>578</v>
      </c>
      <c r="E38" s="157" t="s">
        <v>475</v>
      </c>
      <c r="F38" s="123" t="s">
        <v>0</v>
      </c>
      <c r="G38" s="123" t="s">
        <v>1</v>
      </c>
      <c r="H38" s="123" t="s">
        <v>2</v>
      </c>
      <c r="I38" s="123" t="s">
        <v>3</v>
      </c>
      <c r="J38" s="123" t="s">
        <v>4</v>
      </c>
      <c r="K38" s="123" t="s">
        <v>5</v>
      </c>
      <c r="L38" s="123" t="s">
        <v>6</v>
      </c>
      <c r="M38" s="123" t="s">
        <v>7</v>
      </c>
      <c r="N38" s="123" t="s">
        <v>8</v>
      </c>
      <c r="O38" s="123" t="s">
        <v>9</v>
      </c>
      <c r="P38" s="123" t="s">
        <v>10</v>
      </c>
      <c r="Q38" s="123" t="s">
        <v>11</v>
      </c>
      <c r="R38" s="123" t="s">
        <v>12</v>
      </c>
      <c r="S38" s="41"/>
      <c r="T38" s="43"/>
      <c r="U38" s="123" t="s">
        <v>472</v>
      </c>
    </row>
    <row r="39" spans="1:21" x14ac:dyDescent="0.35">
      <c r="B39" s="118" t="s">
        <v>168</v>
      </c>
      <c r="C39" s="34">
        <f>$C$6</f>
        <v>54008</v>
      </c>
      <c r="D39" s="155">
        <f>C39/$C$13</f>
        <v>0.13593244654744976</v>
      </c>
      <c r="E39" s="158">
        <v>0.14000000000000001</v>
      </c>
      <c r="F39" s="34">
        <f t="shared" ref="F39:Q39" si="30">$R37*$E39</f>
        <v>295.68</v>
      </c>
      <c r="G39" s="34">
        <f t="shared" si="30"/>
        <v>295.68</v>
      </c>
      <c r="H39" s="34">
        <f t="shared" si="30"/>
        <v>295.68</v>
      </c>
      <c r="I39" s="34">
        <f t="shared" si="30"/>
        <v>295.68</v>
      </c>
      <c r="J39" s="34">
        <f t="shared" si="30"/>
        <v>295.68</v>
      </c>
      <c r="K39" s="34">
        <f t="shared" si="30"/>
        <v>295.68</v>
      </c>
      <c r="L39" s="34">
        <f t="shared" si="30"/>
        <v>295.68</v>
      </c>
      <c r="M39" s="34">
        <f t="shared" si="30"/>
        <v>295.68</v>
      </c>
      <c r="N39" s="34">
        <f t="shared" si="30"/>
        <v>295.68</v>
      </c>
      <c r="O39" s="34">
        <f t="shared" si="30"/>
        <v>295.68</v>
      </c>
      <c r="P39" s="34">
        <f t="shared" si="30"/>
        <v>295.68</v>
      </c>
      <c r="Q39" s="34">
        <f t="shared" si="30"/>
        <v>295.68</v>
      </c>
      <c r="R39" s="119">
        <f t="shared" ref="R39:R44" si="31">SUM(G39:Q39)</f>
        <v>3252.4799999999996</v>
      </c>
      <c r="S39" s="119"/>
      <c r="T39" s="34" t="s">
        <v>476</v>
      </c>
      <c r="U39" s="40">
        <f>1.03*500</f>
        <v>515</v>
      </c>
    </row>
    <row r="40" spans="1:21" x14ac:dyDescent="0.35">
      <c r="B40" s="118" t="s">
        <v>175</v>
      </c>
      <c r="C40" s="34">
        <f>$C$7</f>
        <v>107890</v>
      </c>
      <c r="D40" s="155">
        <f t="shared" ref="D40:D45" si="32">C40/$C$13</f>
        <v>0.27154776436832234</v>
      </c>
      <c r="E40" s="158">
        <v>0.27</v>
      </c>
      <c r="F40" s="34">
        <f t="shared" ref="F40:Q40" si="33">$R37*$E40</f>
        <v>570.24</v>
      </c>
      <c r="G40" s="34">
        <f t="shared" si="33"/>
        <v>570.24</v>
      </c>
      <c r="H40" s="34">
        <f t="shared" si="33"/>
        <v>570.24</v>
      </c>
      <c r="I40" s="34">
        <f t="shared" si="33"/>
        <v>570.24</v>
      </c>
      <c r="J40" s="34">
        <f t="shared" si="33"/>
        <v>570.24</v>
      </c>
      <c r="K40" s="34">
        <f t="shared" si="33"/>
        <v>570.24</v>
      </c>
      <c r="L40" s="34">
        <f t="shared" si="33"/>
        <v>570.24</v>
      </c>
      <c r="M40" s="34">
        <f t="shared" si="33"/>
        <v>570.24</v>
      </c>
      <c r="N40" s="34">
        <f t="shared" si="33"/>
        <v>570.24</v>
      </c>
      <c r="O40" s="34">
        <f t="shared" si="33"/>
        <v>570.24</v>
      </c>
      <c r="P40" s="34">
        <f t="shared" si="33"/>
        <v>570.24</v>
      </c>
      <c r="Q40" s="34">
        <f t="shared" si="33"/>
        <v>570.24</v>
      </c>
      <c r="R40" s="119">
        <f t="shared" si="31"/>
        <v>6272.6399999999985</v>
      </c>
      <c r="S40" s="119"/>
      <c r="T40" s="34" t="s">
        <v>477</v>
      </c>
      <c r="U40" s="42">
        <v>13</v>
      </c>
    </row>
    <row r="41" spans="1:21" x14ac:dyDescent="0.35">
      <c r="B41" s="118" t="s">
        <v>186</v>
      </c>
      <c r="C41" s="34">
        <f>$C$8</f>
        <v>61508</v>
      </c>
      <c r="D41" s="155">
        <f t="shared" si="32"/>
        <v>0.15480915646275625</v>
      </c>
      <c r="E41" s="158">
        <v>0.15</v>
      </c>
      <c r="F41" s="34">
        <f t="shared" ref="F41:Q41" si="34">$R37*$E41</f>
        <v>316.8</v>
      </c>
      <c r="G41" s="34">
        <f t="shared" si="34"/>
        <v>316.8</v>
      </c>
      <c r="H41" s="34">
        <f t="shared" si="34"/>
        <v>316.8</v>
      </c>
      <c r="I41" s="34">
        <f t="shared" si="34"/>
        <v>316.8</v>
      </c>
      <c r="J41" s="34">
        <f t="shared" si="34"/>
        <v>316.8</v>
      </c>
      <c r="K41" s="34">
        <f t="shared" si="34"/>
        <v>316.8</v>
      </c>
      <c r="L41" s="34">
        <f t="shared" si="34"/>
        <v>316.8</v>
      </c>
      <c r="M41" s="34">
        <f t="shared" si="34"/>
        <v>316.8</v>
      </c>
      <c r="N41" s="34">
        <f t="shared" si="34"/>
        <v>316.8</v>
      </c>
      <c r="O41" s="34">
        <f t="shared" si="34"/>
        <v>316.8</v>
      </c>
      <c r="P41" s="34">
        <f t="shared" si="34"/>
        <v>316.8</v>
      </c>
      <c r="Q41" s="34">
        <f t="shared" si="34"/>
        <v>316.8</v>
      </c>
      <c r="R41" s="119">
        <f t="shared" si="31"/>
        <v>3484.8000000000006</v>
      </c>
      <c r="S41" s="119"/>
      <c r="T41" s="36" t="s">
        <v>368</v>
      </c>
      <c r="U41" s="36">
        <f>SUM(U39:U40)</f>
        <v>528</v>
      </c>
    </row>
    <row r="42" spans="1:21" x14ac:dyDescent="0.35">
      <c r="B42" s="118" t="s">
        <v>196</v>
      </c>
      <c r="C42" s="34">
        <f>$C$9</f>
        <v>127848</v>
      </c>
      <c r="D42" s="155">
        <f t="shared" si="32"/>
        <v>0.32177994790028064</v>
      </c>
      <c r="E42" s="158">
        <v>0.32</v>
      </c>
      <c r="F42" s="34">
        <f t="shared" ref="F42:Q42" si="35">$R37*$E42</f>
        <v>675.84</v>
      </c>
      <c r="G42" s="34">
        <f t="shared" si="35"/>
        <v>675.84</v>
      </c>
      <c r="H42" s="34">
        <f t="shared" si="35"/>
        <v>675.84</v>
      </c>
      <c r="I42" s="34">
        <f t="shared" si="35"/>
        <v>675.84</v>
      </c>
      <c r="J42" s="34">
        <f t="shared" si="35"/>
        <v>675.84</v>
      </c>
      <c r="K42" s="34">
        <f t="shared" si="35"/>
        <v>675.84</v>
      </c>
      <c r="L42" s="34">
        <f t="shared" si="35"/>
        <v>675.84</v>
      </c>
      <c r="M42" s="34">
        <f t="shared" si="35"/>
        <v>675.84</v>
      </c>
      <c r="N42" s="34">
        <f t="shared" si="35"/>
        <v>675.84</v>
      </c>
      <c r="O42" s="34">
        <f t="shared" si="35"/>
        <v>675.84</v>
      </c>
      <c r="P42" s="34">
        <f t="shared" si="35"/>
        <v>675.84</v>
      </c>
      <c r="Q42" s="34">
        <f t="shared" si="35"/>
        <v>675.84</v>
      </c>
      <c r="R42" s="119">
        <f t="shared" si="31"/>
        <v>7434.2400000000007</v>
      </c>
      <c r="S42" s="119"/>
      <c r="T42" s="34" t="s">
        <v>369</v>
      </c>
    </row>
    <row r="43" spans="1:21" x14ac:dyDescent="0.35">
      <c r="B43" s="118" t="s">
        <v>205</v>
      </c>
      <c r="C43" s="34">
        <f>$C$10</f>
        <v>15083</v>
      </c>
      <c r="D43" s="155">
        <f t="shared" si="32"/>
        <v>3.7962322087009046E-2</v>
      </c>
      <c r="E43" s="158">
        <v>0.04</v>
      </c>
      <c r="F43" s="34">
        <f t="shared" ref="F43:Q43" si="36">$R37*$E43</f>
        <v>84.48</v>
      </c>
      <c r="G43" s="34">
        <f t="shared" si="36"/>
        <v>84.48</v>
      </c>
      <c r="H43" s="34">
        <f t="shared" si="36"/>
        <v>84.48</v>
      </c>
      <c r="I43" s="34">
        <f t="shared" si="36"/>
        <v>84.48</v>
      </c>
      <c r="J43" s="34">
        <f t="shared" si="36"/>
        <v>84.48</v>
      </c>
      <c r="K43" s="34">
        <f t="shared" si="36"/>
        <v>84.48</v>
      </c>
      <c r="L43" s="34">
        <f t="shared" si="36"/>
        <v>84.48</v>
      </c>
      <c r="M43" s="34">
        <f t="shared" si="36"/>
        <v>84.48</v>
      </c>
      <c r="N43" s="34">
        <f t="shared" si="36"/>
        <v>84.48</v>
      </c>
      <c r="O43" s="34">
        <f t="shared" si="36"/>
        <v>84.48</v>
      </c>
      <c r="P43" s="34">
        <f t="shared" si="36"/>
        <v>84.48</v>
      </c>
      <c r="Q43" s="34">
        <f t="shared" si="36"/>
        <v>84.48</v>
      </c>
      <c r="R43" s="119">
        <f t="shared" si="31"/>
        <v>929.28000000000009</v>
      </c>
      <c r="S43" s="119"/>
      <c r="T43" s="54"/>
    </row>
    <row r="44" spans="1:21" x14ac:dyDescent="0.35">
      <c r="B44" s="118" t="s">
        <v>210</v>
      </c>
      <c r="C44" s="34">
        <f>$C$11</f>
        <v>12978</v>
      </c>
      <c r="D44" s="155">
        <f t="shared" si="32"/>
        <v>3.2664258837446357E-2</v>
      </c>
      <c r="E44" s="158">
        <v>0.03</v>
      </c>
      <c r="F44" s="34">
        <f t="shared" ref="F44:Q44" si="37">$R37*$E44</f>
        <v>63.36</v>
      </c>
      <c r="G44" s="34">
        <f t="shared" si="37"/>
        <v>63.36</v>
      </c>
      <c r="H44" s="34">
        <f t="shared" si="37"/>
        <v>63.36</v>
      </c>
      <c r="I44" s="34">
        <f t="shared" si="37"/>
        <v>63.36</v>
      </c>
      <c r="J44" s="34">
        <f t="shared" si="37"/>
        <v>63.36</v>
      </c>
      <c r="K44" s="34">
        <f t="shared" si="37"/>
        <v>63.36</v>
      </c>
      <c r="L44" s="34">
        <f t="shared" si="37"/>
        <v>63.36</v>
      </c>
      <c r="M44" s="34">
        <f t="shared" si="37"/>
        <v>63.36</v>
      </c>
      <c r="N44" s="34">
        <f t="shared" si="37"/>
        <v>63.36</v>
      </c>
      <c r="O44" s="34">
        <f t="shared" si="37"/>
        <v>63.36</v>
      </c>
      <c r="P44" s="34">
        <f t="shared" si="37"/>
        <v>63.36</v>
      </c>
      <c r="Q44" s="34">
        <f t="shared" si="37"/>
        <v>63.36</v>
      </c>
      <c r="R44" s="119">
        <f t="shared" si="31"/>
        <v>696.96</v>
      </c>
      <c r="S44" s="119"/>
      <c r="T44" s="54"/>
    </row>
    <row r="45" spans="1:21" x14ac:dyDescent="0.35">
      <c r="B45" s="118" t="s">
        <v>212</v>
      </c>
      <c r="C45" s="43">
        <f>$C$12</f>
        <v>18000</v>
      </c>
      <c r="D45" s="154">
        <f t="shared" si="32"/>
        <v>4.5304103796735586E-2</v>
      </c>
      <c r="E45" s="159">
        <v>0.05</v>
      </c>
      <c r="F45" s="43">
        <f t="shared" ref="F45:Q45" si="38">IFERROR($R37*$E45,0)</f>
        <v>105.60000000000001</v>
      </c>
      <c r="G45" s="43">
        <f t="shared" si="38"/>
        <v>105.60000000000001</v>
      </c>
      <c r="H45" s="43">
        <f t="shared" si="38"/>
        <v>105.60000000000001</v>
      </c>
      <c r="I45" s="43">
        <f t="shared" si="38"/>
        <v>105.60000000000001</v>
      </c>
      <c r="J45" s="43">
        <f t="shared" si="38"/>
        <v>105.60000000000001</v>
      </c>
      <c r="K45" s="43">
        <f t="shared" si="38"/>
        <v>105.60000000000001</v>
      </c>
      <c r="L45" s="43">
        <f t="shared" si="38"/>
        <v>105.60000000000001</v>
      </c>
      <c r="M45" s="43">
        <f t="shared" si="38"/>
        <v>105.60000000000001</v>
      </c>
      <c r="N45" s="43">
        <f t="shared" si="38"/>
        <v>105.60000000000001</v>
      </c>
      <c r="O45" s="43">
        <f t="shared" si="38"/>
        <v>105.60000000000001</v>
      </c>
      <c r="P45" s="43">
        <f t="shared" si="38"/>
        <v>105.60000000000001</v>
      </c>
      <c r="Q45" s="43">
        <f t="shared" si="38"/>
        <v>105.60000000000001</v>
      </c>
      <c r="R45" s="119">
        <f t="shared" ref="R45" si="39">SUM(F45:Q45)</f>
        <v>1267.1999999999998</v>
      </c>
      <c r="S45" s="124"/>
      <c r="T45" s="54"/>
    </row>
    <row r="46" spans="1:21" x14ac:dyDescent="0.35">
      <c r="B46" s="133" t="s">
        <v>357</v>
      </c>
      <c r="C46" s="34">
        <f>SUM(C39:C45)</f>
        <v>397315</v>
      </c>
      <c r="D46" s="284">
        <f>SUM(D39:D45)</f>
        <v>1</v>
      </c>
      <c r="E46" s="283">
        <f>SUM(E39:E45)</f>
        <v>1.0000000000000002</v>
      </c>
      <c r="F46" s="36">
        <f>SUM(F39:F45)</f>
        <v>2112</v>
      </c>
      <c r="G46" s="135">
        <f t="shared" ref="G46:H46" si="40">SUM(G39:G45)</f>
        <v>2112</v>
      </c>
      <c r="H46" s="135">
        <f t="shared" si="40"/>
        <v>2112</v>
      </c>
      <c r="I46" s="135">
        <f>SUM(I39:I45)</f>
        <v>2112</v>
      </c>
      <c r="J46" s="135">
        <f t="shared" ref="J46:R46" si="41">SUM(J39:J45)</f>
        <v>2112</v>
      </c>
      <c r="K46" s="135">
        <f t="shared" si="41"/>
        <v>2112</v>
      </c>
      <c r="L46" s="135">
        <f t="shared" si="41"/>
        <v>2112</v>
      </c>
      <c r="M46" s="135">
        <f t="shared" si="41"/>
        <v>2112</v>
      </c>
      <c r="N46" s="135">
        <f t="shared" si="41"/>
        <v>2112</v>
      </c>
      <c r="O46" s="135">
        <f t="shared" si="41"/>
        <v>2112</v>
      </c>
      <c r="P46" s="135">
        <f t="shared" si="41"/>
        <v>2112</v>
      </c>
      <c r="Q46" s="135">
        <f t="shared" si="41"/>
        <v>2112</v>
      </c>
      <c r="R46" s="135">
        <f t="shared" si="41"/>
        <v>23337.599999999999</v>
      </c>
      <c r="S46" s="125"/>
      <c r="T46" s="54"/>
    </row>
    <row r="47" spans="1:21" ht="16.5" thickBot="1" x14ac:dyDescent="0.4">
      <c r="B47" s="133"/>
      <c r="D47" s="284"/>
      <c r="E47" s="284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125"/>
      <c r="T47" s="54"/>
    </row>
    <row r="48" spans="1:21" ht="18" thickBot="1" x14ac:dyDescent="0.4">
      <c r="B48" s="37" t="s">
        <v>490</v>
      </c>
      <c r="C48" s="127"/>
      <c r="D48" s="41"/>
      <c r="E48" s="41"/>
      <c r="P48" s="126"/>
      <c r="Q48" s="126"/>
      <c r="R48" s="328">
        <f>U52</f>
        <v>0.13822600000000002</v>
      </c>
      <c r="S48" s="34" t="s">
        <v>470</v>
      </c>
    </row>
    <row r="49" spans="2:22" x14ac:dyDescent="0.35">
      <c r="C49" s="123" t="s">
        <v>366</v>
      </c>
      <c r="D49" s="123"/>
      <c r="E49" s="123"/>
      <c r="F49" s="123" t="s">
        <v>0</v>
      </c>
      <c r="G49" s="123" t="s">
        <v>1</v>
      </c>
      <c r="H49" s="123" t="s">
        <v>2</v>
      </c>
      <c r="I49" s="123" t="s">
        <v>3</v>
      </c>
      <c r="J49" s="123" t="s">
        <v>4</v>
      </c>
      <c r="K49" s="123" t="s">
        <v>5</v>
      </c>
      <c r="L49" s="123" t="s">
        <v>6</v>
      </c>
      <c r="M49" s="123" t="s">
        <v>7</v>
      </c>
      <c r="N49" s="123" t="s">
        <v>8</v>
      </c>
      <c r="O49" s="123" t="s">
        <v>9</v>
      </c>
      <c r="P49" s="123" t="s">
        <v>10</v>
      </c>
      <c r="Q49" s="123" t="s">
        <v>11</v>
      </c>
      <c r="R49" s="123" t="s">
        <v>12</v>
      </c>
      <c r="S49" s="41"/>
      <c r="T49" s="43"/>
      <c r="U49" s="123" t="s">
        <v>472</v>
      </c>
    </row>
    <row r="50" spans="2:22" x14ac:dyDescent="0.35">
      <c r="B50" s="118">
        <v>4050</v>
      </c>
      <c r="C50" s="34">
        <f>$C$6</f>
        <v>54008</v>
      </c>
      <c r="D50" s="155"/>
      <c r="E50" s="155"/>
      <c r="F50" s="34">
        <f>$R$48*('4050'!E$7)</f>
        <v>4373.1784855264004</v>
      </c>
      <c r="G50" s="34">
        <f>$R$48*('4050'!F$7)</f>
        <v>4373.1784855264004</v>
      </c>
      <c r="H50" s="34">
        <f>$R$48*('4050'!G$7)</f>
        <v>4373.1784855264004</v>
      </c>
      <c r="I50" s="34">
        <f>$R$48*('4050'!H$7)</f>
        <v>4373.1784855264004</v>
      </c>
      <c r="J50" s="34">
        <f>$R$48*('4050'!I$7)</f>
        <v>4373.1784855264004</v>
      </c>
      <c r="K50" s="34">
        <f>$R$48*('4050'!J$7)</f>
        <v>4373.1784855264004</v>
      </c>
      <c r="L50" s="34">
        <f>$R$48*('4050'!K$7)</f>
        <v>4373.1784855264004</v>
      </c>
      <c r="M50" s="34">
        <f>$R$48*('4050'!L$7)</f>
        <v>4373.1784855264004</v>
      </c>
      <c r="N50" s="34">
        <f>$R$48*('4050'!M$7)</f>
        <v>4373.1784855264004</v>
      </c>
      <c r="O50" s="34">
        <f>$R$48*('4050'!N$7)</f>
        <v>4373.1784855264004</v>
      </c>
      <c r="P50" s="34">
        <f>$R$48*('4050'!O$7)</f>
        <v>4373.1784855264004</v>
      </c>
      <c r="Q50" s="34">
        <f>$R$48*('4050'!P$7)</f>
        <v>4373.1784855264004</v>
      </c>
      <c r="R50" s="119">
        <f>SUM(F50:Q50)</f>
        <v>52478.141826316794</v>
      </c>
      <c r="S50" s="119"/>
      <c r="T50" s="34" t="s">
        <v>302</v>
      </c>
      <c r="U50" s="324">
        <f>1.03*0.115</f>
        <v>0.11845000000000001</v>
      </c>
      <c r="V50" s="34" t="s">
        <v>369</v>
      </c>
    </row>
    <row r="51" spans="2:22" x14ac:dyDescent="0.35">
      <c r="B51" s="118" t="s">
        <v>175</v>
      </c>
      <c r="C51" s="34">
        <f>$C$7</f>
        <v>107890</v>
      </c>
      <c r="D51" s="155"/>
      <c r="E51" s="155"/>
      <c r="F51" s="34">
        <f>$R$48*('4060'!E$7)</f>
        <v>9744.2869316760007</v>
      </c>
      <c r="G51" s="34">
        <f>$R$48*('4060'!F$7)</f>
        <v>9744.2869316760007</v>
      </c>
      <c r="H51" s="34">
        <f>$R$48*('4060'!G$7)</f>
        <v>9744.2869316760007</v>
      </c>
      <c r="I51" s="34">
        <f>$R$48*('4060'!H$7)</f>
        <v>9744.2869316760007</v>
      </c>
      <c r="J51" s="34">
        <f>$R$48*('4060'!I$7)</f>
        <v>9744.2869316760007</v>
      </c>
      <c r="K51" s="34">
        <f>$R$48*('4060'!J$7)</f>
        <v>9744.2869316760007</v>
      </c>
      <c r="L51" s="34">
        <f>$R$48*('4060'!K$7)</f>
        <v>9141.7935248199992</v>
      </c>
      <c r="M51" s="34">
        <f>$R$48*('4060'!L$7)</f>
        <v>9141.7935248199992</v>
      </c>
      <c r="N51" s="34">
        <f>$R$48*('4060'!M$7)</f>
        <v>9141.7935248199992</v>
      </c>
      <c r="O51" s="34">
        <f>$R$48*('4060'!N$7)</f>
        <v>9141.7935248199992</v>
      </c>
      <c r="P51" s="34">
        <f>$R$48*('4060'!O$7)</f>
        <v>8907.6562355220012</v>
      </c>
      <c r="Q51" s="34">
        <f>$R$48*('4060'!P$7)</f>
        <v>8566.1438836160014</v>
      </c>
      <c r="R51" s="119">
        <f t="shared" ref="R51:R56" si="42">SUM(F51:Q51)</f>
        <v>112506.69580847397</v>
      </c>
      <c r="S51" s="119"/>
      <c r="T51" s="43" t="s">
        <v>471</v>
      </c>
      <c r="U51" s="325">
        <f>1.03*0.0192</f>
        <v>1.9775999999999998E-2</v>
      </c>
      <c r="V51" s="34" t="s">
        <v>369</v>
      </c>
    </row>
    <row r="52" spans="2:22" x14ac:dyDescent="0.35">
      <c r="B52" s="118" t="s">
        <v>186</v>
      </c>
      <c r="C52" s="34">
        <f>$C$8</f>
        <v>61508</v>
      </c>
      <c r="D52" s="155"/>
      <c r="E52" s="155"/>
      <c r="F52" s="34">
        <f>$R$48*('4070'!E$7)</f>
        <v>5894.4399333864012</v>
      </c>
      <c r="G52" s="34">
        <f>$R$48*('4070'!F$7)</f>
        <v>5894.4399333864012</v>
      </c>
      <c r="H52" s="34">
        <f>$R$48*('4070'!G$7)</f>
        <v>5894.4399333864012</v>
      </c>
      <c r="I52" s="34">
        <f>$R$48*('4070'!H$7)</f>
        <v>6333.1433814792008</v>
      </c>
      <c r="J52" s="34">
        <f>$R$48*('4070'!I$7)</f>
        <v>6333.1433814792008</v>
      </c>
      <c r="K52" s="34">
        <f>$R$48*('4070'!J$7)</f>
        <v>6333.1433814792008</v>
      </c>
      <c r="L52" s="34">
        <f>$R$48*('4070'!K$7)</f>
        <v>6333.1433814792008</v>
      </c>
      <c r="M52" s="34">
        <f>$R$48*('4070'!L$7)</f>
        <v>6333.1433814792008</v>
      </c>
      <c r="N52" s="34">
        <f>$R$48*('4070'!M$7)</f>
        <v>6333.1433814792008</v>
      </c>
      <c r="O52" s="34">
        <f>$R$48*('4070'!N$7)</f>
        <v>6333.1433814792008</v>
      </c>
      <c r="P52" s="34">
        <f>$R$48*('4070'!O$7)</f>
        <v>6333.1433814792008</v>
      </c>
      <c r="Q52" s="34">
        <f>$R$48*('4070'!P$7)</f>
        <v>6098.4880487784012</v>
      </c>
      <c r="R52" s="119">
        <f t="shared" si="42"/>
        <v>74446.954900771219</v>
      </c>
      <c r="S52" s="119"/>
      <c r="T52" s="36" t="s">
        <v>368</v>
      </c>
      <c r="U52" s="326">
        <f>SUM(U50:U51)</f>
        <v>0.13822600000000002</v>
      </c>
    </row>
    <row r="53" spans="2:22" x14ac:dyDescent="0.35">
      <c r="B53" s="118" t="s">
        <v>196</v>
      </c>
      <c r="C53" s="34">
        <f>$C$9</f>
        <v>127848</v>
      </c>
      <c r="D53" s="155"/>
      <c r="E53" s="155"/>
      <c r="F53" s="34">
        <f>$R$48*('4080'!E$7)</f>
        <v>10336.304632315199</v>
      </c>
      <c r="G53" s="34">
        <f>$R$48*('4080'!F$7)</f>
        <v>10336.304632315199</v>
      </c>
      <c r="H53" s="34">
        <f>$R$48*('4080'!G$7)</f>
        <v>10619.055314683201</v>
      </c>
      <c r="I53" s="34">
        <f>$R$48*('4080'!H$7)</f>
        <v>10938.917024112001</v>
      </c>
      <c r="J53" s="34">
        <f>$R$48*('4080'!I$7)</f>
        <v>10938.917024112001</v>
      </c>
      <c r="K53" s="34">
        <f>$R$48*('4080'!J$7)</f>
        <v>10938.917024112001</v>
      </c>
      <c r="L53" s="34">
        <f>$R$48*('4080'!K$7)</f>
        <v>11336.535171192001</v>
      </c>
      <c r="M53" s="34">
        <f>$R$48*('4080'!L$7)</f>
        <v>11336.535171192001</v>
      </c>
      <c r="N53" s="34">
        <f>$R$48*('4080'!M$7)</f>
        <v>11336.535171192001</v>
      </c>
      <c r="O53" s="34">
        <f>$R$48*('4080'!N$7)</f>
        <v>11336.535171192001</v>
      </c>
      <c r="P53" s="34">
        <f>$R$48*('4080'!O$7)</f>
        <v>11193.3926382432</v>
      </c>
      <c r="Q53" s="34">
        <f>$R$48*('4080'!P$7)</f>
        <v>11193.3926382432</v>
      </c>
      <c r="R53" s="119">
        <f t="shared" si="42"/>
        <v>131841.34161290398</v>
      </c>
      <c r="S53" s="119"/>
      <c r="U53" s="327"/>
    </row>
    <row r="54" spans="2:22" x14ac:dyDescent="0.35">
      <c r="B54" s="118" t="s">
        <v>205</v>
      </c>
      <c r="C54" s="34">
        <f>$C$10</f>
        <v>15083</v>
      </c>
      <c r="D54" s="155"/>
      <c r="E54" s="155"/>
      <c r="F54" s="34">
        <f>$R$48*('40A0'!E$7)</f>
        <v>1996.4645770608001</v>
      </c>
      <c r="G54" s="34">
        <f>$R$48*('40A0'!F$7)</f>
        <v>2084.8627580000002</v>
      </c>
      <c r="H54" s="34">
        <f>$R$48*('40A0'!G$7)</f>
        <v>2084.8627580000002</v>
      </c>
      <c r="I54" s="34">
        <f>$R$48*('40A0'!H$7)</f>
        <v>2084.8627580000002</v>
      </c>
      <c r="J54" s="34">
        <f>$R$48*('40A0'!I$7)</f>
        <v>2084.8627580000002</v>
      </c>
      <c r="K54" s="34">
        <f>$R$48*('40A0'!J$7)</f>
        <v>2084.8627580000002</v>
      </c>
      <c r="L54" s="34">
        <f>$R$48*('40A0'!K$7)</f>
        <v>2084.8627580000002</v>
      </c>
      <c r="M54" s="34">
        <f>$R$48*('40A0'!L$7)</f>
        <v>2084.8627580000002</v>
      </c>
      <c r="N54" s="34">
        <f>$R$48*('40A0'!M$7)</f>
        <v>2018.9810948472004</v>
      </c>
      <c r="O54" s="34">
        <f>$R$48*('40A0'!N$7)</f>
        <v>2018.9810948472004</v>
      </c>
      <c r="P54" s="34">
        <f>$R$48*('40A0'!O$7)</f>
        <v>2018.9810948472004</v>
      </c>
      <c r="Q54" s="34">
        <f>$R$48*('40A0'!P$7)</f>
        <v>2018.9810948472004</v>
      </c>
      <c r="R54" s="119">
        <f t="shared" si="42"/>
        <v>24666.428262449601</v>
      </c>
      <c r="S54" s="119"/>
      <c r="T54" s="54"/>
    </row>
    <row r="55" spans="2:22" x14ac:dyDescent="0.35">
      <c r="B55" s="118" t="s">
        <v>210</v>
      </c>
      <c r="C55" s="34">
        <f>$C$11</f>
        <v>12978</v>
      </c>
      <c r="D55" s="155"/>
      <c r="E55" s="155"/>
      <c r="F55" s="34">
        <f>$R$48*('40B0'!E$7)</f>
        <v>1793.8970280000001</v>
      </c>
      <c r="G55" s="34">
        <f>$R$48*('40B0'!F$7)</f>
        <v>1793.8970280000001</v>
      </c>
      <c r="H55" s="34">
        <f>$R$48*('40B0'!G$7)</f>
        <v>1793.8970280000001</v>
      </c>
      <c r="I55" s="34">
        <f>$R$48*('40B0'!H$7)</f>
        <v>1793.8970280000001</v>
      </c>
      <c r="J55" s="34">
        <f>$R$48*('40B0'!I$7)</f>
        <v>1793.8970280000001</v>
      </c>
      <c r="K55" s="34">
        <f>$R$48*('40B0'!J$7)</f>
        <v>1793.8970280000001</v>
      </c>
      <c r="L55" s="34">
        <f>$R$48*('40B0'!K$7)</f>
        <v>1793.8970280000001</v>
      </c>
      <c r="M55" s="34">
        <f>$R$48*('40B0'!L$7)</f>
        <v>1793.8970280000001</v>
      </c>
      <c r="N55" s="34">
        <f>$R$48*('40B0'!M$7)</f>
        <v>1793.8970280000001</v>
      </c>
      <c r="O55" s="34">
        <f>$R$48*('40B0'!N$7)</f>
        <v>1793.8970280000001</v>
      </c>
      <c r="P55" s="34">
        <f>$R$48*('40B0'!O$7)</f>
        <v>1793.8970280000001</v>
      </c>
      <c r="Q55" s="34">
        <f>$R$48*('40B0'!P$7)</f>
        <v>1793.8970280000001</v>
      </c>
      <c r="R55" s="119">
        <f t="shared" si="42"/>
        <v>21526.764335999997</v>
      </c>
      <c r="S55" s="119"/>
      <c r="T55" s="54"/>
    </row>
    <row r="56" spans="2:22" x14ac:dyDescent="0.35">
      <c r="B56" s="118" t="s">
        <v>212</v>
      </c>
      <c r="C56" s="43">
        <f>$C$12</f>
        <v>18000</v>
      </c>
      <c r="D56" s="154"/>
      <c r="E56" s="154"/>
      <c r="F56" s="43">
        <f>$R$48*('40C0'!E$7)</f>
        <v>2488.0680000000002</v>
      </c>
      <c r="G56" s="43">
        <f>$R$48*('40C0'!F$7)</f>
        <v>2488.0680000000002</v>
      </c>
      <c r="H56" s="43">
        <f>$R$48*('40C0'!G$7)</f>
        <v>2488.0680000000002</v>
      </c>
      <c r="I56" s="43">
        <f>$R$48*('40C0'!H$7)</f>
        <v>2488.0680000000002</v>
      </c>
      <c r="J56" s="43">
        <f>$R$48*('40C0'!I$7)</f>
        <v>2488.0680000000002</v>
      </c>
      <c r="K56" s="43">
        <f>$R$48*('40C0'!J$7)</f>
        <v>2488.0680000000002</v>
      </c>
      <c r="L56" s="43">
        <f>$R$48*('40C0'!K$7)</f>
        <v>2488.0680000000002</v>
      </c>
      <c r="M56" s="43">
        <f>$R$48*('40C0'!L$7)</f>
        <v>2488.0680000000002</v>
      </c>
      <c r="N56" s="43">
        <f>$R$48*('40C0'!M$7)</f>
        <v>2488.0680000000002</v>
      </c>
      <c r="O56" s="43">
        <f>$R$48*('40C0'!N$7)</f>
        <v>2488.0680000000002</v>
      </c>
      <c r="P56" s="43">
        <f>$R$48*('40C0'!O$7)</f>
        <v>2488.0680000000002</v>
      </c>
      <c r="Q56" s="43">
        <f>$R$48*('40C0'!P$7)</f>
        <v>2488.0680000000002</v>
      </c>
      <c r="R56" s="119">
        <f t="shared" si="42"/>
        <v>29856.815999999995</v>
      </c>
      <c r="S56" s="124"/>
      <c r="T56" s="54"/>
    </row>
    <row r="57" spans="2:22" x14ac:dyDescent="0.35">
      <c r="B57" s="133" t="s">
        <v>357</v>
      </c>
      <c r="C57" s="34">
        <f>SUM(C50:C56)</f>
        <v>397315</v>
      </c>
      <c r="D57" s="284"/>
      <c r="E57" s="284"/>
      <c r="F57" s="36">
        <f>SUM(F50:F56)</f>
        <v>36626.639587964804</v>
      </c>
      <c r="G57" s="135">
        <f t="shared" ref="G57:R57" si="43">SUM(G50:G56)</f>
        <v>36715.037768904003</v>
      </c>
      <c r="H57" s="135">
        <f t="shared" si="43"/>
        <v>36997.788451272005</v>
      </c>
      <c r="I57" s="135">
        <f t="shared" si="43"/>
        <v>37756.353608793601</v>
      </c>
      <c r="J57" s="135">
        <f t="shared" si="43"/>
        <v>37756.353608793601</v>
      </c>
      <c r="K57" s="135">
        <f t="shared" si="43"/>
        <v>37756.353608793601</v>
      </c>
      <c r="L57" s="135">
        <f t="shared" si="43"/>
        <v>37551.478349017598</v>
      </c>
      <c r="M57" s="135">
        <f t="shared" si="43"/>
        <v>37551.478349017598</v>
      </c>
      <c r="N57" s="135">
        <f t="shared" si="43"/>
        <v>37485.596685864795</v>
      </c>
      <c r="O57" s="135">
        <f t="shared" si="43"/>
        <v>37485.596685864795</v>
      </c>
      <c r="P57" s="135">
        <f t="shared" si="43"/>
        <v>37108.316863617998</v>
      </c>
      <c r="Q57" s="135">
        <f t="shared" si="43"/>
        <v>36532.149179011205</v>
      </c>
      <c r="R57" s="135">
        <f t="shared" si="43"/>
        <v>447323.14274691563</v>
      </c>
      <c r="S57" s="125"/>
      <c r="T57" s="54"/>
    </row>
    <row r="58" spans="2:22" ht="16.5" thickBot="1" x14ac:dyDescent="0.4"/>
    <row r="59" spans="2:22" ht="18" thickBot="1" x14ac:dyDescent="0.4">
      <c r="B59" s="37" t="s">
        <v>491</v>
      </c>
      <c r="C59" s="127"/>
      <c r="E59" s="318" t="s">
        <v>467</v>
      </c>
      <c r="P59" s="126"/>
      <c r="Q59" s="126"/>
      <c r="R59" s="263">
        <f>1.03*5339</f>
        <v>5499.17</v>
      </c>
      <c r="T59" s="34" t="s">
        <v>468</v>
      </c>
    </row>
    <row r="60" spans="2:22" x14ac:dyDescent="0.35">
      <c r="C60" s="123" t="s">
        <v>366</v>
      </c>
      <c r="D60" s="123" t="s">
        <v>578</v>
      </c>
      <c r="E60" s="157" t="s">
        <v>475</v>
      </c>
      <c r="F60" s="123" t="s">
        <v>0</v>
      </c>
      <c r="G60" s="123" t="s">
        <v>1</v>
      </c>
      <c r="H60" s="123" t="s">
        <v>2</v>
      </c>
      <c r="I60" s="123" t="s">
        <v>3</v>
      </c>
      <c r="J60" s="123" t="s">
        <v>4</v>
      </c>
      <c r="K60" s="123" t="s">
        <v>5</v>
      </c>
      <c r="L60" s="123" t="s">
        <v>6</v>
      </c>
      <c r="M60" s="123" t="s">
        <v>7</v>
      </c>
      <c r="N60" s="123" t="s">
        <v>8</v>
      </c>
      <c r="O60" s="123" t="s">
        <v>9</v>
      </c>
      <c r="P60" s="123" t="s">
        <v>10</v>
      </c>
      <c r="Q60" s="123" t="s">
        <v>11</v>
      </c>
      <c r="R60" s="123" t="s">
        <v>12</v>
      </c>
      <c r="S60" s="41"/>
      <c r="T60" s="54"/>
    </row>
    <row r="61" spans="2:22" x14ac:dyDescent="0.35">
      <c r="B61" s="118">
        <v>4050</v>
      </c>
      <c r="C61" s="34">
        <f>$C$6</f>
        <v>54008</v>
      </c>
      <c r="D61" s="155">
        <f>C61/$C$13</f>
        <v>0.13593244654744976</v>
      </c>
      <c r="E61" s="320">
        <v>0.10601673638524702</v>
      </c>
      <c r="F61" s="34">
        <f>$R59*$E61</f>
        <v>583.00405622765879</v>
      </c>
      <c r="G61" s="34">
        <f t="shared" ref="G61:Q61" si="44">$R59*$E61</f>
        <v>583.00405622765879</v>
      </c>
      <c r="H61" s="34">
        <f t="shared" si="44"/>
        <v>583.00405622765879</v>
      </c>
      <c r="I61" s="34">
        <f t="shared" si="44"/>
        <v>583.00405622765879</v>
      </c>
      <c r="J61" s="34">
        <f t="shared" si="44"/>
        <v>583.00405622765879</v>
      </c>
      <c r="K61" s="34">
        <f t="shared" si="44"/>
        <v>583.00405622765879</v>
      </c>
      <c r="L61" s="34">
        <f t="shared" si="44"/>
        <v>583.00405622765879</v>
      </c>
      <c r="M61" s="34">
        <f t="shared" si="44"/>
        <v>583.00405622765879</v>
      </c>
      <c r="N61" s="34">
        <f t="shared" si="44"/>
        <v>583.00405622765879</v>
      </c>
      <c r="O61" s="34">
        <f t="shared" si="44"/>
        <v>583.00405622765879</v>
      </c>
      <c r="P61" s="34">
        <f t="shared" si="44"/>
        <v>583.00405622765879</v>
      </c>
      <c r="Q61" s="34">
        <f t="shared" si="44"/>
        <v>583.00405622765879</v>
      </c>
      <c r="R61" s="119">
        <f>SUM(F61:Q61)</f>
        <v>6996.0486747319073</v>
      </c>
      <c r="S61" s="119"/>
      <c r="T61" s="54"/>
    </row>
    <row r="62" spans="2:22" x14ac:dyDescent="0.35">
      <c r="B62" s="118" t="s">
        <v>175</v>
      </c>
      <c r="C62" s="34">
        <f>$C$7</f>
        <v>107890</v>
      </c>
      <c r="D62" s="155">
        <f t="shared" ref="D62:D67" si="45">C62/$C$13</f>
        <v>0.27154776436832234</v>
      </c>
      <c r="E62" s="320">
        <v>0.21178613702792734</v>
      </c>
      <c r="F62" s="34">
        <f>$R59*$E62</f>
        <v>1164.6479711598672</v>
      </c>
      <c r="G62" s="34">
        <f t="shared" ref="G62:Q62" si="46">$R59*$E62</f>
        <v>1164.6479711598672</v>
      </c>
      <c r="H62" s="34">
        <f t="shared" si="46"/>
        <v>1164.6479711598672</v>
      </c>
      <c r="I62" s="34">
        <f t="shared" si="46"/>
        <v>1164.6479711598672</v>
      </c>
      <c r="J62" s="34">
        <f t="shared" si="46"/>
        <v>1164.6479711598672</v>
      </c>
      <c r="K62" s="34">
        <f t="shared" si="46"/>
        <v>1164.6479711598672</v>
      </c>
      <c r="L62" s="34">
        <f t="shared" si="46"/>
        <v>1164.6479711598672</v>
      </c>
      <c r="M62" s="34">
        <f t="shared" si="46"/>
        <v>1164.6479711598672</v>
      </c>
      <c r="N62" s="34">
        <f t="shared" si="46"/>
        <v>1164.6479711598672</v>
      </c>
      <c r="O62" s="34">
        <f t="shared" si="46"/>
        <v>1164.6479711598672</v>
      </c>
      <c r="P62" s="34">
        <f t="shared" si="46"/>
        <v>1164.6479711598672</v>
      </c>
      <c r="Q62" s="34">
        <f t="shared" si="46"/>
        <v>1164.6479711598672</v>
      </c>
      <c r="R62" s="119">
        <f t="shared" ref="R62:R67" si="47">SUM(F62:Q62)</f>
        <v>13975.77565391841</v>
      </c>
      <c r="S62" s="119"/>
      <c r="T62" s="54"/>
    </row>
    <row r="63" spans="2:22" x14ac:dyDescent="0.35">
      <c r="B63" s="118" t="s">
        <v>186</v>
      </c>
      <c r="C63" s="34">
        <f>$C$8</f>
        <v>61508</v>
      </c>
      <c r="D63" s="155">
        <f t="shared" si="45"/>
        <v>0.15480915646275625</v>
      </c>
      <c r="E63" s="320">
        <v>0.12073910201421592</v>
      </c>
      <c r="F63" s="34">
        <f>$R59*$E63</f>
        <v>663.96484762351577</v>
      </c>
      <c r="G63" s="34">
        <f t="shared" ref="G63:Q63" si="48">$R59*$E63</f>
        <v>663.96484762351577</v>
      </c>
      <c r="H63" s="34">
        <f t="shared" si="48"/>
        <v>663.96484762351577</v>
      </c>
      <c r="I63" s="34">
        <f t="shared" si="48"/>
        <v>663.96484762351577</v>
      </c>
      <c r="J63" s="34">
        <f t="shared" si="48"/>
        <v>663.96484762351577</v>
      </c>
      <c r="K63" s="34">
        <f t="shared" si="48"/>
        <v>663.96484762351577</v>
      </c>
      <c r="L63" s="34">
        <f t="shared" si="48"/>
        <v>663.96484762351577</v>
      </c>
      <c r="M63" s="34">
        <f t="shared" si="48"/>
        <v>663.96484762351577</v>
      </c>
      <c r="N63" s="34">
        <f t="shared" si="48"/>
        <v>663.96484762351577</v>
      </c>
      <c r="O63" s="34">
        <f t="shared" si="48"/>
        <v>663.96484762351577</v>
      </c>
      <c r="P63" s="34">
        <f t="shared" si="48"/>
        <v>663.96484762351577</v>
      </c>
      <c r="Q63" s="34">
        <f t="shared" si="48"/>
        <v>663.96484762351577</v>
      </c>
      <c r="R63" s="119">
        <f t="shared" si="47"/>
        <v>7967.5781714821906</v>
      </c>
      <c r="S63" s="119"/>
      <c r="T63" s="54"/>
    </row>
    <row r="64" spans="2:22" x14ac:dyDescent="0.35">
      <c r="B64" s="118" t="s">
        <v>196</v>
      </c>
      <c r="C64" s="34">
        <f>$C$9</f>
        <v>127848</v>
      </c>
      <c r="D64" s="155">
        <f t="shared" si="45"/>
        <v>0.32177994790028064</v>
      </c>
      <c r="E64" s="320">
        <v>0.25096333345765554</v>
      </c>
      <c r="F64" s="34">
        <f>$R59*$E64</f>
        <v>1380.0900344503357</v>
      </c>
      <c r="G64" s="34">
        <f t="shared" ref="G64:Q64" si="49">$R59*$E64</f>
        <v>1380.0900344503357</v>
      </c>
      <c r="H64" s="34">
        <f t="shared" si="49"/>
        <v>1380.0900344503357</v>
      </c>
      <c r="I64" s="34">
        <f t="shared" si="49"/>
        <v>1380.0900344503357</v>
      </c>
      <c r="J64" s="34">
        <f t="shared" si="49"/>
        <v>1380.0900344503357</v>
      </c>
      <c r="K64" s="34">
        <f t="shared" si="49"/>
        <v>1380.0900344503357</v>
      </c>
      <c r="L64" s="34">
        <f t="shared" si="49"/>
        <v>1380.0900344503357</v>
      </c>
      <c r="M64" s="34">
        <f t="shared" si="49"/>
        <v>1380.0900344503357</v>
      </c>
      <c r="N64" s="34">
        <f t="shared" si="49"/>
        <v>1380.0900344503357</v>
      </c>
      <c r="O64" s="34">
        <f t="shared" si="49"/>
        <v>1380.0900344503357</v>
      </c>
      <c r="P64" s="34">
        <f t="shared" si="49"/>
        <v>1380.0900344503357</v>
      </c>
      <c r="Q64" s="34">
        <f t="shared" si="49"/>
        <v>1380.0900344503357</v>
      </c>
      <c r="R64" s="119">
        <f t="shared" si="47"/>
        <v>16561.080413404026</v>
      </c>
      <c r="S64" s="119"/>
      <c r="T64" s="54"/>
    </row>
    <row r="65" spans="2:20" x14ac:dyDescent="0.35">
      <c r="B65" s="118" t="s">
        <v>205</v>
      </c>
      <c r="C65" s="34">
        <f>$C$10</f>
        <v>15083</v>
      </c>
      <c r="D65" s="155">
        <f t="shared" si="45"/>
        <v>3.7962322087009046E-2</v>
      </c>
      <c r="E65" s="320">
        <v>2.9607658770898399E-2</v>
      </c>
      <c r="F65" s="34">
        <f>$R59*$E65</f>
        <v>162.81754888316135</v>
      </c>
      <c r="G65" s="34">
        <f t="shared" ref="G65:Q65" si="50">$R59*$E65</f>
        <v>162.81754888316135</v>
      </c>
      <c r="H65" s="34">
        <f t="shared" si="50"/>
        <v>162.81754888316135</v>
      </c>
      <c r="I65" s="34">
        <f t="shared" si="50"/>
        <v>162.81754888316135</v>
      </c>
      <c r="J65" s="34">
        <f t="shared" si="50"/>
        <v>162.81754888316135</v>
      </c>
      <c r="K65" s="34">
        <f t="shared" si="50"/>
        <v>162.81754888316135</v>
      </c>
      <c r="L65" s="34">
        <f t="shared" si="50"/>
        <v>162.81754888316135</v>
      </c>
      <c r="M65" s="34">
        <f t="shared" si="50"/>
        <v>162.81754888316135</v>
      </c>
      <c r="N65" s="34">
        <f t="shared" si="50"/>
        <v>162.81754888316135</v>
      </c>
      <c r="O65" s="34">
        <f t="shared" si="50"/>
        <v>162.81754888316135</v>
      </c>
      <c r="P65" s="34">
        <f t="shared" si="50"/>
        <v>162.81754888316135</v>
      </c>
      <c r="Q65" s="34">
        <f t="shared" si="50"/>
        <v>162.81754888316135</v>
      </c>
      <c r="R65" s="119">
        <f t="shared" si="47"/>
        <v>1953.8105865979367</v>
      </c>
      <c r="S65" s="119"/>
      <c r="T65" s="54"/>
    </row>
    <row r="66" spans="2:20" x14ac:dyDescent="0.35">
      <c r="B66" s="118" t="s">
        <v>210</v>
      </c>
      <c r="C66" s="34">
        <f>$C$11</f>
        <v>12978</v>
      </c>
      <c r="D66" s="155">
        <f t="shared" si="45"/>
        <v>3.2664258837446357E-2</v>
      </c>
      <c r="E66" s="320">
        <v>6.7860290639127335E-3</v>
      </c>
      <c r="F66" s="34">
        <f>$R59*$E66</f>
        <v>37.317527447396984</v>
      </c>
      <c r="G66" s="34">
        <f t="shared" ref="G66:Q66" si="51">$R59*$E66</f>
        <v>37.317527447396984</v>
      </c>
      <c r="H66" s="34">
        <f t="shared" si="51"/>
        <v>37.317527447396984</v>
      </c>
      <c r="I66" s="34">
        <f t="shared" si="51"/>
        <v>37.317527447396984</v>
      </c>
      <c r="J66" s="34">
        <f t="shared" si="51"/>
        <v>37.317527447396984</v>
      </c>
      <c r="K66" s="34">
        <f t="shared" si="51"/>
        <v>37.317527447396984</v>
      </c>
      <c r="L66" s="34">
        <f t="shared" si="51"/>
        <v>37.317527447396984</v>
      </c>
      <c r="M66" s="34">
        <f t="shared" si="51"/>
        <v>37.317527447396984</v>
      </c>
      <c r="N66" s="34">
        <f t="shared" si="51"/>
        <v>37.317527447396984</v>
      </c>
      <c r="O66" s="34">
        <f t="shared" si="51"/>
        <v>37.317527447396984</v>
      </c>
      <c r="P66" s="34">
        <f t="shared" si="51"/>
        <v>37.317527447396984</v>
      </c>
      <c r="Q66" s="34">
        <f t="shared" si="51"/>
        <v>37.317527447396984</v>
      </c>
      <c r="R66" s="119">
        <f t="shared" si="47"/>
        <v>447.81032936876369</v>
      </c>
      <c r="S66" s="119"/>
      <c r="T66" s="54"/>
    </row>
    <row r="67" spans="2:20" x14ac:dyDescent="0.35">
      <c r="B67" s="118" t="s">
        <v>212</v>
      </c>
      <c r="C67" s="43">
        <f>$C$12</f>
        <v>18000</v>
      </c>
      <c r="D67" s="154">
        <f t="shared" si="45"/>
        <v>4.5304103796735586E-2</v>
      </c>
      <c r="E67" s="321">
        <v>0</v>
      </c>
      <c r="F67" s="43">
        <f>IFERROR($R59*$E67,0)</f>
        <v>0</v>
      </c>
      <c r="G67" s="43">
        <f t="shared" ref="G67:Q67" si="52">IFERROR($R59*$E67,0)</f>
        <v>0</v>
      </c>
      <c r="H67" s="43">
        <f t="shared" si="52"/>
        <v>0</v>
      </c>
      <c r="I67" s="43">
        <f t="shared" si="52"/>
        <v>0</v>
      </c>
      <c r="J67" s="43">
        <f t="shared" si="52"/>
        <v>0</v>
      </c>
      <c r="K67" s="43">
        <f t="shared" si="52"/>
        <v>0</v>
      </c>
      <c r="L67" s="43">
        <f t="shared" si="52"/>
        <v>0</v>
      </c>
      <c r="M67" s="43">
        <f t="shared" si="52"/>
        <v>0</v>
      </c>
      <c r="N67" s="43">
        <f t="shared" si="52"/>
        <v>0</v>
      </c>
      <c r="O67" s="43">
        <f t="shared" si="52"/>
        <v>0</v>
      </c>
      <c r="P67" s="43">
        <f t="shared" si="52"/>
        <v>0</v>
      </c>
      <c r="Q67" s="43">
        <f t="shared" si="52"/>
        <v>0</v>
      </c>
      <c r="R67" s="119">
        <f t="shared" si="47"/>
        <v>0</v>
      </c>
      <c r="S67" s="124"/>
      <c r="T67" s="54"/>
    </row>
    <row r="68" spans="2:20" x14ac:dyDescent="0.35">
      <c r="B68" s="133" t="s">
        <v>473</v>
      </c>
      <c r="C68" s="34">
        <f>SUM(C61:C67)</f>
        <v>397315</v>
      </c>
      <c r="D68" s="284">
        <f>SUM(D61:D67)</f>
        <v>1</v>
      </c>
      <c r="E68" s="319">
        <f>SUM(E61:E67)</f>
        <v>0.72589899671985691</v>
      </c>
      <c r="F68" s="36">
        <f>SUM(F61:F67)</f>
        <v>3991.8419857919357</v>
      </c>
      <c r="G68" s="135">
        <f t="shared" ref="G68:R68" si="53">SUM(G61:G67)</f>
        <v>3991.8419857919357</v>
      </c>
      <c r="H68" s="135">
        <f t="shared" si="53"/>
        <v>3991.8419857919357</v>
      </c>
      <c r="I68" s="135">
        <f t="shared" si="53"/>
        <v>3991.8419857919357</v>
      </c>
      <c r="J68" s="135">
        <f t="shared" si="53"/>
        <v>3991.8419857919357</v>
      </c>
      <c r="K68" s="135">
        <f t="shared" si="53"/>
        <v>3991.8419857919357</v>
      </c>
      <c r="L68" s="135">
        <f t="shared" si="53"/>
        <v>3991.8419857919357</v>
      </c>
      <c r="M68" s="135">
        <f t="shared" si="53"/>
        <v>3991.8419857919357</v>
      </c>
      <c r="N68" s="135">
        <f t="shared" si="53"/>
        <v>3991.8419857919357</v>
      </c>
      <c r="O68" s="135">
        <f t="shared" si="53"/>
        <v>3991.8419857919357</v>
      </c>
      <c r="P68" s="135">
        <f t="shared" si="53"/>
        <v>3991.8419857919357</v>
      </c>
      <c r="Q68" s="135">
        <f t="shared" si="53"/>
        <v>3991.8419857919357</v>
      </c>
      <c r="R68" s="135">
        <f t="shared" si="53"/>
        <v>47902.103829503234</v>
      </c>
      <c r="S68" s="125"/>
      <c r="T68" s="54"/>
    </row>
    <row r="69" spans="2:20" x14ac:dyDescent="0.35">
      <c r="B69" s="322" t="s">
        <v>469</v>
      </c>
      <c r="C69" s="95">
        <v>139635</v>
      </c>
      <c r="E69" s="329">
        <v>0.27410100328014309</v>
      </c>
    </row>
    <row r="70" spans="2:20" x14ac:dyDescent="0.35">
      <c r="B70" s="133" t="s">
        <v>357</v>
      </c>
      <c r="C70" s="34">
        <f>C68+C69</f>
        <v>536950</v>
      </c>
      <c r="E70" s="330">
        <f>E68+E69</f>
        <v>1</v>
      </c>
    </row>
    <row r="71" spans="2:20" ht="16.5" thickBot="1" x14ac:dyDescent="0.4">
      <c r="B71" s="133"/>
      <c r="E71" s="330"/>
    </row>
    <row r="72" spans="2:20" ht="18" thickBot="1" x14ac:dyDescent="0.4">
      <c r="B72" s="37" t="s">
        <v>492</v>
      </c>
      <c r="C72" s="127"/>
      <c r="D72" s="41"/>
      <c r="E72" s="41"/>
      <c r="P72" s="126"/>
      <c r="Q72" s="126"/>
      <c r="R72" s="323">
        <f>0.0075*1.03</f>
        <v>7.7250000000000001E-3</v>
      </c>
      <c r="S72" s="34" t="s">
        <v>470</v>
      </c>
      <c r="T72" s="34" t="s">
        <v>369</v>
      </c>
    </row>
    <row r="73" spans="2:20" x14ac:dyDescent="0.35">
      <c r="C73" s="123" t="s">
        <v>366</v>
      </c>
      <c r="D73" s="123"/>
      <c r="E73" s="123"/>
      <c r="F73" s="123" t="s">
        <v>0</v>
      </c>
      <c r="G73" s="123" t="s">
        <v>1</v>
      </c>
      <c r="H73" s="123" t="s">
        <v>2</v>
      </c>
      <c r="I73" s="123" t="s">
        <v>3</v>
      </c>
      <c r="J73" s="123" t="s">
        <v>4</v>
      </c>
      <c r="K73" s="123" t="s">
        <v>5</v>
      </c>
      <c r="L73" s="123" t="s">
        <v>6</v>
      </c>
      <c r="M73" s="123" t="s">
        <v>7</v>
      </c>
      <c r="N73" s="123" t="s">
        <v>8</v>
      </c>
      <c r="O73" s="123" t="s">
        <v>9</v>
      </c>
      <c r="P73" s="123" t="s">
        <v>10</v>
      </c>
      <c r="Q73" s="123" t="s">
        <v>11</v>
      </c>
      <c r="R73" s="123" t="s">
        <v>12</v>
      </c>
      <c r="S73" s="41"/>
      <c r="T73" s="54"/>
    </row>
    <row r="74" spans="2:20" x14ac:dyDescent="0.35">
      <c r="B74" s="118">
        <v>4050</v>
      </c>
      <c r="C74" s="34">
        <f>$C$6</f>
        <v>54008</v>
      </c>
      <c r="D74" s="155"/>
      <c r="E74" s="155"/>
      <c r="F74" s="77">
        <f>$R$72*('4050'!$B$4-'4050'!E$7)</f>
        <v>172.80912756000001</v>
      </c>
      <c r="G74" s="34">
        <f>$R$72*('4050'!$B$4-'4050'!F$7)</f>
        <v>172.80912756000001</v>
      </c>
      <c r="H74" s="34">
        <f>$R$72*('4050'!$B$4-'4050'!G$7)</f>
        <v>172.80912756000001</v>
      </c>
      <c r="I74" s="34">
        <f>$R$72*('4050'!$B$4-'4050'!H$7)</f>
        <v>172.80912756000001</v>
      </c>
      <c r="J74" s="34">
        <f>$R$72*('4050'!$B$4-'4050'!I$7)</f>
        <v>172.80912756000001</v>
      </c>
      <c r="K74" s="34">
        <f>$R$72*('4050'!$B$4-'4050'!J$7)</f>
        <v>172.80912756000001</v>
      </c>
      <c r="L74" s="34">
        <f>$R$72*('4050'!$B$4-'4050'!K$7)</f>
        <v>172.80912756000001</v>
      </c>
      <c r="M74" s="34">
        <f>$R$72*('4050'!$B$4-'4050'!L$7)</f>
        <v>172.80912756000001</v>
      </c>
      <c r="N74" s="34">
        <f>$R$72*('4050'!$B$4-'4050'!M$7)</f>
        <v>172.80912756000001</v>
      </c>
      <c r="O74" s="34">
        <f>$R$72*('4050'!$B$4-'4050'!N$7)</f>
        <v>172.80912756000001</v>
      </c>
      <c r="P74" s="34">
        <f>$R$72*('4050'!$B$4-'4050'!O$7)</f>
        <v>172.80912756000001</v>
      </c>
      <c r="Q74" s="34">
        <f>$R$72*('4050'!$B$4-'4050'!P$7)</f>
        <v>172.80912756000001</v>
      </c>
      <c r="R74" s="119">
        <f>SUM(F74:Q74)</f>
        <v>2073.7095307200002</v>
      </c>
      <c r="S74" s="119"/>
      <c r="T74" s="54"/>
    </row>
    <row r="75" spans="2:20" x14ac:dyDescent="0.35">
      <c r="B75" s="118" t="s">
        <v>175</v>
      </c>
      <c r="C75" s="34">
        <f>$C$7</f>
        <v>107890</v>
      </c>
      <c r="D75" s="155"/>
      <c r="E75" s="155"/>
      <c r="F75" s="34">
        <f>$R$72*('4060'!$B$4-'4060'!E$7)</f>
        <v>288.87385664999999</v>
      </c>
      <c r="G75" s="34">
        <f>$R$72*('4060'!$B$4-'4060'!F$7)</f>
        <v>288.87385664999999</v>
      </c>
      <c r="H75" s="34">
        <f>$R$72*('4060'!$B$4-'4060'!G$7)</f>
        <v>288.87385664999999</v>
      </c>
      <c r="I75" s="34">
        <f>$R$72*('4060'!$B$4-'4060'!H$7)</f>
        <v>288.87385664999999</v>
      </c>
      <c r="J75" s="34">
        <f>$R$72*('4060'!$B$4-'4060'!I$7)</f>
        <v>288.87385664999999</v>
      </c>
      <c r="K75" s="34">
        <f>$R$72*('4060'!$B$4-'4060'!J$7)</f>
        <v>288.87385664999999</v>
      </c>
      <c r="L75" s="34">
        <f>$R$72*('4060'!$B$4-'4060'!K$7)</f>
        <v>322.54524675000005</v>
      </c>
      <c r="M75" s="34">
        <f>$R$72*('4060'!$B$4-'4060'!L$7)</f>
        <v>322.54524675000005</v>
      </c>
      <c r="N75" s="34">
        <f>$R$72*('4060'!$B$4-'4060'!M$7)</f>
        <v>322.54524675000005</v>
      </c>
      <c r="O75" s="34">
        <f>$R$72*('4060'!$B$4-'4060'!N$7)</f>
        <v>322.54524675000005</v>
      </c>
      <c r="P75" s="34">
        <f>$R$72*('4060'!$B$4-'4060'!O$7)</f>
        <v>335.63041567499994</v>
      </c>
      <c r="Q75" s="34">
        <f>$R$72*('4060'!$B$4-'4060'!P$7)</f>
        <v>354.71642639999999</v>
      </c>
      <c r="R75" s="119">
        <f t="shared" ref="R75:R80" si="54">SUM(F75:Q75)</f>
        <v>3713.7709689749995</v>
      </c>
      <c r="S75" s="119"/>
      <c r="T75" s="54"/>
    </row>
    <row r="76" spans="2:20" x14ac:dyDescent="0.35">
      <c r="B76" s="118" t="s">
        <v>186</v>
      </c>
      <c r="C76" s="34">
        <f>$C$8</f>
        <v>61508</v>
      </c>
      <c r="D76" s="155"/>
      <c r="E76" s="155"/>
      <c r="F76" s="34">
        <f>$R$72*('4070'!$B$4-'4070'!E$7)</f>
        <v>145.72829030999998</v>
      </c>
      <c r="G76" s="34">
        <f>$R$72*('4070'!$B$4-'4070'!F$7)</f>
        <v>145.72829030999998</v>
      </c>
      <c r="H76" s="34">
        <f>$R$72*('4070'!$B$4-'4070'!G$7)</f>
        <v>145.72829030999998</v>
      </c>
      <c r="I76" s="34">
        <f>$R$72*('4070'!$B$4-'4070'!H$7)</f>
        <v>121.21058642999998</v>
      </c>
      <c r="J76" s="34">
        <f>$R$72*('4070'!$B$4-'4070'!I$7)</f>
        <v>121.21058642999998</v>
      </c>
      <c r="K76" s="34">
        <f>$R$72*('4070'!$B$4-'4070'!J$7)</f>
        <v>121.21058642999998</v>
      </c>
      <c r="L76" s="34">
        <f>$R$72*('4070'!$B$4-'4070'!K$7)</f>
        <v>121.21058642999998</v>
      </c>
      <c r="M76" s="34">
        <f>$R$72*('4070'!$B$4-'4070'!L$7)</f>
        <v>121.21058642999998</v>
      </c>
      <c r="N76" s="34">
        <f>$R$72*('4070'!$B$4-'4070'!M$7)</f>
        <v>121.21058642999998</v>
      </c>
      <c r="O76" s="34">
        <f>$R$72*('4070'!$B$4-'4070'!N$7)</f>
        <v>121.21058642999998</v>
      </c>
      <c r="P76" s="34">
        <f>$R$72*('4070'!$B$4-'4070'!O$7)</f>
        <v>121.21058642999998</v>
      </c>
      <c r="Q76" s="34">
        <f>$R$72*('4070'!$B$4-'4070'!P$7)</f>
        <v>134.32470710999996</v>
      </c>
      <c r="R76" s="119">
        <f t="shared" si="54"/>
        <v>1541.1942694799993</v>
      </c>
      <c r="S76" s="119"/>
      <c r="T76" s="54"/>
    </row>
    <row r="77" spans="2:20" x14ac:dyDescent="0.35">
      <c r="B77" s="118" t="s">
        <v>196</v>
      </c>
      <c r="C77" s="34">
        <f>$C$9</f>
        <v>127848</v>
      </c>
      <c r="D77" s="155"/>
      <c r="E77" s="155"/>
      <c r="F77" s="34">
        <f>$R$72*('4080'!$B$4-'4080'!E$7)</f>
        <v>409.96346958000004</v>
      </c>
      <c r="G77" s="34">
        <f>$R$72*('4080'!$B$4-'4080'!F$7)</f>
        <v>409.96346958000004</v>
      </c>
      <c r="H77" s="34">
        <f>$R$72*('4080'!$B$4-'4080'!G$7)</f>
        <v>394.16145678000004</v>
      </c>
      <c r="I77" s="34">
        <f>$R$72*('4080'!$B$4-'4080'!H$7)</f>
        <v>376.28542980000003</v>
      </c>
      <c r="J77" s="34">
        <f>$R$72*('4080'!$B$4-'4080'!I$7)</f>
        <v>376.28542980000003</v>
      </c>
      <c r="K77" s="34">
        <f>$R$72*('4080'!$B$4-'4080'!J$7)</f>
        <v>376.28542980000003</v>
      </c>
      <c r="L77" s="34">
        <f>$R$72*('4080'!$B$4-'4080'!K$7)</f>
        <v>354.06384930000002</v>
      </c>
      <c r="M77" s="34">
        <f>$R$72*('4080'!$B$4-'4080'!L$7)</f>
        <v>354.06384930000002</v>
      </c>
      <c r="N77" s="34">
        <f>$R$72*('4080'!$B$4-'4080'!M$7)</f>
        <v>354.06384930000002</v>
      </c>
      <c r="O77" s="34">
        <f>$R$72*('4080'!$B$4-'4080'!N$7)</f>
        <v>354.06384930000002</v>
      </c>
      <c r="P77" s="34">
        <f>$R$72*('4080'!$B$4-'4080'!O$7)</f>
        <v>362.06361828000007</v>
      </c>
      <c r="Q77" s="34">
        <f>$R$72*('4080'!$B$4-'4080'!P$7)</f>
        <v>362.06361828000007</v>
      </c>
      <c r="R77" s="119">
        <f t="shared" si="54"/>
        <v>4483.3273191000008</v>
      </c>
      <c r="S77" s="119"/>
      <c r="T77" s="54"/>
    </row>
    <row r="78" spans="2:20" x14ac:dyDescent="0.35">
      <c r="B78" s="118" t="s">
        <v>205</v>
      </c>
      <c r="C78" s="34">
        <f>$C$10</f>
        <v>15083</v>
      </c>
      <c r="D78" s="155"/>
      <c r="E78" s="155"/>
      <c r="F78" s="34">
        <f>$R$72*('40A0'!$B$4-'40A0'!E$7)</f>
        <v>4.940285820000005</v>
      </c>
      <c r="G78" s="34">
        <f>$R$72*('40A0'!$B$4-'40A0'!F$7)</f>
        <v>0</v>
      </c>
      <c r="H78" s="34">
        <f>$R$72*('40A0'!$B$4-'40A0'!G$7)</f>
        <v>0</v>
      </c>
      <c r="I78" s="34">
        <f>$R$72*('40A0'!$B$4-'40A0'!H$7)</f>
        <v>0</v>
      </c>
      <c r="J78" s="34">
        <f>$R$72*('40A0'!$B$4-'40A0'!I$7)</f>
        <v>0</v>
      </c>
      <c r="K78" s="34">
        <f>$R$72*('40A0'!$B$4-'40A0'!J$7)</f>
        <v>0</v>
      </c>
      <c r="L78" s="34">
        <f>$R$72*('40A0'!$B$4-'40A0'!K$7)</f>
        <v>0</v>
      </c>
      <c r="M78" s="34">
        <f>$R$72*('40A0'!$B$4-'40A0'!L$7)</f>
        <v>0</v>
      </c>
      <c r="N78" s="34">
        <f>$R$72*('40A0'!$B$4-'40A0'!M$7)</f>
        <v>3.6819111299999938</v>
      </c>
      <c r="O78" s="34">
        <f>$R$72*('40A0'!$B$4-'40A0'!N$7)</f>
        <v>3.6819111299999938</v>
      </c>
      <c r="P78" s="34">
        <f>$R$72*('40A0'!$B$4-'40A0'!O$7)</f>
        <v>3.6819111299999938</v>
      </c>
      <c r="Q78" s="34">
        <f>$R$72*('40A0'!$B$4-'40A0'!P$7)</f>
        <v>3.6819111299999938</v>
      </c>
      <c r="R78" s="119">
        <f t="shared" si="54"/>
        <v>19.66793033999998</v>
      </c>
      <c r="S78" s="119"/>
      <c r="T78" s="54"/>
    </row>
    <row r="79" spans="2:20" x14ac:dyDescent="0.35">
      <c r="B79" s="118" t="s">
        <v>210</v>
      </c>
      <c r="C79" s="34">
        <f>$C$11</f>
        <v>12978</v>
      </c>
      <c r="D79" s="155"/>
      <c r="E79" s="155"/>
      <c r="F79" s="34">
        <f>$R$72*('40B0'!$B$4-'40B0'!E$7)</f>
        <v>0</v>
      </c>
      <c r="G79" s="34">
        <f>$R$72*('40B0'!$B$4-'40B0'!F$7)</f>
        <v>0</v>
      </c>
      <c r="H79" s="34">
        <f>$R$72*('40B0'!$B$4-'40B0'!G$7)</f>
        <v>0</v>
      </c>
      <c r="I79" s="34">
        <f>$R$72*('40B0'!$B$4-'40B0'!H$7)</f>
        <v>0</v>
      </c>
      <c r="J79" s="34">
        <f>$R$72*('40B0'!$B$4-'40B0'!I$7)</f>
        <v>0</v>
      </c>
      <c r="K79" s="34">
        <f>$R$72*('40B0'!$B$4-'40B0'!J$7)</f>
        <v>0</v>
      </c>
      <c r="L79" s="34">
        <f>$R$72*('40B0'!$B$4-'40B0'!K$7)</f>
        <v>0</v>
      </c>
      <c r="M79" s="34">
        <f>$R$72*('40B0'!$B$4-'40B0'!L$7)</f>
        <v>0</v>
      </c>
      <c r="N79" s="34">
        <f>$R$72*('40B0'!$B$4-'40B0'!M$7)</f>
        <v>0</v>
      </c>
      <c r="O79" s="34">
        <f>$R$72*('40B0'!$B$4-'40B0'!N$7)</f>
        <v>0</v>
      </c>
      <c r="P79" s="34">
        <f>$R$72*('40B0'!$B$4-'40B0'!O$7)</f>
        <v>0</v>
      </c>
      <c r="Q79" s="34">
        <f>$R$72*('40B0'!$B$4-'40B0'!P$7)</f>
        <v>0</v>
      </c>
      <c r="R79" s="119">
        <f t="shared" si="54"/>
        <v>0</v>
      </c>
      <c r="S79" s="119"/>
      <c r="T79" s="54"/>
    </row>
    <row r="80" spans="2:20" x14ac:dyDescent="0.35">
      <c r="B80" s="118" t="s">
        <v>212</v>
      </c>
      <c r="C80" s="43">
        <f>$C$12</f>
        <v>18000</v>
      </c>
      <c r="D80" s="154"/>
      <c r="E80" s="154"/>
      <c r="F80" s="43">
        <f>$R$72*('40C0'!$B$4-'40C0'!E$7)</f>
        <v>0</v>
      </c>
      <c r="G80" s="43">
        <f>$R$72*('40C0'!$B$4-'40C0'!F$7)</f>
        <v>0</v>
      </c>
      <c r="H80" s="43">
        <f>$R$72*('40C0'!$B$4-'40C0'!G$7)</f>
        <v>0</v>
      </c>
      <c r="I80" s="43">
        <f>$R$72*('40C0'!$B$4-'40C0'!H$7)</f>
        <v>0</v>
      </c>
      <c r="J80" s="43">
        <f>$R$72*('40C0'!$B$4-'40C0'!I$7)</f>
        <v>0</v>
      </c>
      <c r="K80" s="43">
        <f>$R$72*('40C0'!$B$4-'40C0'!J$7)</f>
        <v>0</v>
      </c>
      <c r="L80" s="43">
        <f>$R$72*('40C0'!$B$4-'40C0'!K$7)</f>
        <v>0</v>
      </c>
      <c r="M80" s="43">
        <f>$R$72*('40C0'!$B$4-'40C0'!L$7)</f>
        <v>0</v>
      </c>
      <c r="N80" s="43">
        <f>$R$72*('40C0'!$B$4-'40C0'!M$7)</f>
        <v>0</v>
      </c>
      <c r="O80" s="43">
        <f>$R$72*('40C0'!$B$4-'40C0'!N$7)</f>
        <v>0</v>
      </c>
      <c r="P80" s="43">
        <f>$R$72*('40C0'!$B$4-'40C0'!O$7)</f>
        <v>0</v>
      </c>
      <c r="Q80" s="43">
        <f>$R$72*('40C0'!$B$4-'40C0'!P$7)</f>
        <v>0</v>
      </c>
      <c r="R80" s="119">
        <f t="shared" si="54"/>
        <v>0</v>
      </c>
      <c r="S80" s="124"/>
      <c r="T80" s="54"/>
    </row>
    <row r="81" spans="1:20" x14ac:dyDescent="0.35">
      <c r="B81" s="133" t="s">
        <v>357</v>
      </c>
      <c r="C81" s="34">
        <f>SUM(C74:C80)</f>
        <v>397315</v>
      </c>
      <c r="D81" s="284"/>
      <c r="E81" s="284"/>
      <c r="F81" s="36">
        <f>SUM(F74:F80)</f>
        <v>1022.31502992</v>
      </c>
      <c r="G81" s="135">
        <f t="shared" ref="G81:R81" si="55">SUM(G74:G80)</f>
        <v>1017.3747441</v>
      </c>
      <c r="H81" s="135">
        <f t="shared" si="55"/>
        <v>1001.5727313</v>
      </c>
      <c r="I81" s="135">
        <f t="shared" si="55"/>
        <v>959.17900043999998</v>
      </c>
      <c r="J81" s="135">
        <f t="shared" si="55"/>
        <v>959.17900043999998</v>
      </c>
      <c r="K81" s="135">
        <f t="shared" si="55"/>
        <v>959.17900043999998</v>
      </c>
      <c r="L81" s="135">
        <f t="shared" si="55"/>
        <v>970.62881004000008</v>
      </c>
      <c r="M81" s="135">
        <f t="shared" si="55"/>
        <v>970.62881004000008</v>
      </c>
      <c r="N81" s="135">
        <f t="shared" si="55"/>
        <v>974.31072117000008</v>
      </c>
      <c r="O81" s="135">
        <f t="shared" si="55"/>
        <v>974.31072117000008</v>
      </c>
      <c r="P81" s="135">
        <f t="shared" si="55"/>
        <v>995.39565907500003</v>
      </c>
      <c r="Q81" s="135">
        <f t="shared" si="55"/>
        <v>1027.59579048</v>
      </c>
      <c r="R81" s="135">
        <f t="shared" si="55"/>
        <v>11831.670018614999</v>
      </c>
      <c r="S81" s="125"/>
      <c r="T81" s="54"/>
    </row>
    <row r="82" spans="1:20" ht="16.5" thickBot="1" x14ac:dyDescent="0.4"/>
    <row r="83" spans="1:20" ht="18" thickBot="1" x14ac:dyDescent="0.4">
      <c r="A83" s="95" t="s">
        <v>118</v>
      </c>
      <c r="B83" s="37" t="s">
        <v>534</v>
      </c>
      <c r="C83" s="127"/>
      <c r="D83" s="41"/>
      <c r="E83" s="41"/>
      <c r="P83" s="126"/>
      <c r="Q83" s="126"/>
      <c r="R83" s="263">
        <v>120847</v>
      </c>
      <c r="T83" s="34" t="s">
        <v>613</v>
      </c>
    </row>
    <row r="84" spans="1:20" x14ac:dyDescent="0.35">
      <c r="C84" s="123" t="s">
        <v>366</v>
      </c>
      <c r="D84" s="157" t="s">
        <v>578</v>
      </c>
      <c r="E84" s="123"/>
      <c r="F84" s="123" t="s">
        <v>0</v>
      </c>
      <c r="G84" s="123" t="s">
        <v>1</v>
      </c>
      <c r="H84" s="123" t="s">
        <v>2</v>
      </c>
      <c r="I84" s="123" t="s">
        <v>3</v>
      </c>
      <c r="J84" s="123" t="s">
        <v>4</v>
      </c>
      <c r="K84" s="123" t="s">
        <v>5</v>
      </c>
      <c r="L84" s="123" t="s">
        <v>6</v>
      </c>
      <c r="M84" s="123" t="s">
        <v>7</v>
      </c>
      <c r="N84" s="123" t="s">
        <v>8</v>
      </c>
      <c r="O84" s="123" t="s">
        <v>9</v>
      </c>
      <c r="P84" s="123" t="s">
        <v>10</v>
      </c>
      <c r="Q84" s="123" t="s">
        <v>11</v>
      </c>
      <c r="R84" s="123" t="s">
        <v>12</v>
      </c>
      <c r="S84" s="41"/>
    </row>
    <row r="85" spans="1:20" x14ac:dyDescent="0.35">
      <c r="B85" s="118">
        <v>4050</v>
      </c>
      <c r="C85" s="34">
        <f>$C$6</f>
        <v>54008</v>
      </c>
      <c r="D85" s="158">
        <f>C85/$C$13</f>
        <v>0.13593244654744976</v>
      </c>
      <c r="E85" s="155"/>
      <c r="F85" s="77">
        <f>$R$83*D85/12</f>
        <v>1368.9190306599719</v>
      </c>
      <c r="G85" s="34">
        <f>+F85</f>
        <v>1368.9190306599719</v>
      </c>
      <c r="H85" s="34">
        <f>+G85</f>
        <v>1368.9190306599719</v>
      </c>
      <c r="I85" s="34">
        <f t="shared" ref="I85:I91" si="56">+H85</f>
        <v>1368.9190306599719</v>
      </c>
      <c r="J85" s="34">
        <f t="shared" ref="J85:J91" si="57">+I85</f>
        <v>1368.9190306599719</v>
      </c>
      <c r="K85" s="34">
        <f t="shared" ref="K85:K91" si="58">+J85</f>
        <v>1368.9190306599719</v>
      </c>
      <c r="L85" s="34">
        <f t="shared" ref="L85:L91" si="59">+K85</f>
        <v>1368.9190306599719</v>
      </c>
      <c r="M85" s="34">
        <f t="shared" ref="M85:M91" si="60">+L85</f>
        <v>1368.9190306599719</v>
      </c>
      <c r="N85" s="34">
        <f t="shared" ref="N85:N91" si="61">+M85</f>
        <v>1368.9190306599719</v>
      </c>
      <c r="O85" s="34">
        <f t="shared" ref="O85:O91" si="62">+N85</f>
        <v>1368.9190306599719</v>
      </c>
      <c r="P85" s="34">
        <f t="shared" ref="P85:P91" si="63">+O85</f>
        <v>1368.9190306599719</v>
      </c>
      <c r="Q85" s="34">
        <f t="shared" ref="Q85:Q91" si="64">+P85</f>
        <v>1368.9190306599719</v>
      </c>
      <c r="R85" s="119">
        <f>SUM(F85:Q85)</f>
        <v>16427.028367919662</v>
      </c>
      <c r="S85" s="119"/>
    </row>
    <row r="86" spans="1:20" x14ac:dyDescent="0.35">
      <c r="B86" s="118" t="s">
        <v>175</v>
      </c>
      <c r="C86" s="34">
        <f>$C$7</f>
        <v>107890</v>
      </c>
      <c r="D86" s="158">
        <f t="shared" ref="D86:D91" si="65">C86/$C$13</f>
        <v>0.27154776436832234</v>
      </c>
      <c r="E86" s="155"/>
      <c r="F86" s="34">
        <f t="shared" ref="F86:F91" si="66">$R$83*D86/12</f>
        <v>2734.6443900515537</v>
      </c>
      <c r="G86" s="34">
        <f t="shared" ref="G86:G91" si="67">+F86</f>
        <v>2734.6443900515537</v>
      </c>
      <c r="H86" s="34">
        <f t="shared" ref="H86:H91" si="68">+G86</f>
        <v>2734.6443900515537</v>
      </c>
      <c r="I86" s="34">
        <f t="shared" si="56"/>
        <v>2734.6443900515537</v>
      </c>
      <c r="J86" s="34">
        <f t="shared" si="57"/>
        <v>2734.6443900515537</v>
      </c>
      <c r="K86" s="34">
        <f t="shared" si="58"/>
        <v>2734.6443900515537</v>
      </c>
      <c r="L86" s="34">
        <f t="shared" si="59"/>
        <v>2734.6443900515537</v>
      </c>
      <c r="M86" s="34">
        <f t="shared" si="60"/>
        <v>2734.6443900515537</v>
      </c>
      <c r="N86" s="34">
        <f t="shared" si="61"/>
        <v>2734.6443900515537</v>
      </c>
      <c r="O86" s="34">
        <f t="shared" si="62"/>
        <v>2734.6443900515537</v>
      </c>
      <c r="P86" s="34">
        <f t="shared" si="63"/>
        <v>2734.6443900515537</v>
      </c>
      <c r="Q86" s="34">
        <f t="shared" si="64"/>
        <v>2734.6443900515537</v>
      </c>
      <c r="R86" s="119">
        <f t="shared" ref="R86:R91" si="69">SUM(F86:Q86)</f>
        <v>32815.732680618654</v>
      </c>
      <c r="S86" s="119"/>
    </row>
    <row r="87" spans="1:20" x14ac:dyDescent="0.35">
      <c r="B87" s="118" t="s">
        <v>186</v>
      </c>
      <c r="C87" s="34">
        <f>$C$8</f>
        <v>61508</v>
      </c>
      <c r="D87" s="158">
        <f t="shared" si="65"/>
        <v>0.15480915646275625</v>
      </c>
      <c r="E87" s="155"/>
      <c r="F87" s="34">
        <f t="shared" si="66"/>
        <v>1559.0185109212255</v>
      </c>
      <c r="G87" s="34">
        <f t="shared" si="67"/>
        <v>1559.0185109212255</v>
      </c>
      <c r="H87" s="34">
        <f t="shared" si="68"/>
        <v>1559.0185109212255</v>
      </c>
      <c r="I87" s="34">
        <f t="shared" si="56"/>
        <v>1559.0185109212255</v>
      </c>
      <c r="J87" s="34">
        <f t="shared" si="57"/>
        <v>1559.0185109212255</v>
      </c>
      <c r="K87" s="34">
        <f t="shared" si="58"/>
        <v>1559.0185109212255</v>
      </c>
      <c r="L87" s="34">
        <f t="shared" si="59"/>
        <v>1559.0185109212255</v>
      </c>
      <c r="M87" s="34">
        <f t="shared" si="60"/>
        <v>1559.0185109212255</v>
      </c>
      <c r="N87" s="34">
        <f t="shared" si="61"/>
        <v>1559.0185109212255</v>
      </c>
      <c r="O87" s="34">
        <f t="shared" si="62"/>
        <v>1559.0185109212255</v>
      </c>
      <c r="P87" s="34">
        <f t="shared" si="63"/>
        <v>1559.0185109212255</v>
      </c>
      <c r="Q87" s="34">
        <f t="shared" si="64"/>
        <v>1559.0185109212255</v>
      </c>
      <c r="R87" s="119">
        <f t="shared" si="69"/>
        <v>18708.222131054707</v>
      </c>
      <c r="S87" s="119"/>
    </row>
    <row r="88" spans="1:20" x14ac:dyDescent="0.35">
      <c r="B88" s="118" t="s">
        <v>196</v>
      </c>
      <c r="C88" s="34">
        <f>$C$9</f>
        <v>127848</v>
      </c>
      <c r="D88" s="158">
        <f t="shared" si="65"/>
        <v>0.32177994790028064</v>
      </c>
      <c r="E88" s="155"/>
      <c r="F88" s="34">
        <f t="shared" si="66"/>
        <v>3240.5117803254343</v>
      </c>
      <c r="G88" s="34">
        <f t="shared" si="67"/>
        <v>3240.5117803254343</v>
      </c>
      <c r="H88" s="34">
        <f t="shared" si="68"/>
        <v>3240.5117803254343</v>
      </c>
      <c r="I88" s="34">
        <f t="shared" si="56"/>
        <v>3240.5117803254343</v>
      </c>
      <c r="J88" s="34">
        <f t="shared" si="57"/>
        <v>3240.5117803254343</v>
      </c>
      <c r="K88" s="34">
        <f t="shared" si="58"/>
        <v>3240.5117803254343</v>
      </c>
      <c r="L88" s="34">
        <f t="shared" si="59"/>
        <v>3240.5117803254343</v>
      </c>
      <c r="M88" s="34">
        <f t="shared" si="60"/>
        <v>3240.5117803254343</v>
      </c>
      <c r="N88" s="34">
        <f t="shared" si="61"/>
        <v>3240.5117803254343</v>
      </c>
      <c r="O88" s="34">
        <f t="shared" si="62"/>
        <v>3240.5117803254343</v>
      </c>
      <c r="P88" s="34">
        <f t="shared" si="63"/>
        <v>3240.5117803254343</v>
      </c>
      <c r="Q88" s="34">
        <f t="shared" si="64"/>
        <v>3240.5117803254343</v>
      </c>
      <c r="R88" s="119">
        <f t="shared" si="69"/>
        <v>38886.141363905204</v>
      </c>
      <c r="S88" s="119"/>
    </row>
    <row r="89" spans="1:20" x14ac:dyDescent="0.35">
      <c r="B89" s="118" t="s">
        <v>205</v>
      </c>
      <c r="C89" s="34">
        <f>$C$10</f>
        <v>15083</v>
      </c>
      <c r="D89" s="158">
        <f t="shared" si="65"/>
        <v>3.7962322087009046E-2</v>
      </c>
      <c r="E89" s="155"/>
      <c r="F89" s="34">
        <f t="shared" si="66"/>
        <v>382.30272810406518</v>
      </c>
      <c r="G89" s="34">
        <f t="shared" si="67"/>
        <v>382.30272810406518</v>
      </c>
      <c r="H89" s="34">
        <f t="shared" si="68"/>
        <v>382.30272810406518</v>
      </c>
      <c r="I89" s="34">
        <f t="shared" si="56"/>
        <v>382.30272810406518</v>
      </c>
      <c r="J89" s="34">
        <f t="shared" si="57"/>
        <v>382.30272810406518</v>
      </c>
      <c r="K89" s="34">
        <f t="shared" si="58"/>
        <v>382.30272810406518</v>
      </c>
      <c r="L89" s="34">
        <f t="shared" si="59"/>
        <v>382.30272810406518</v>
      </c>
      <c r="M89" s="34">
        <f t="shared" si="60"/>
        <v>382.30272810406518</v>
      </c>
      <c r="N89" s="34">
        <f t="shared" si="61"/>
        <v>382.30272810406518</v>
      </c>
      <c r="O89" s="34">
        <f t="shared" si="62"/>
        <v>382.30272810406518</v>
      </c>
      <c r="P89" s="34">
        <f t="shared" si="63"/>
        <v>382.30272810406518</v>
      </c>
      <c r="Q89" s="34">
        <f t="shared" si="64"/>
        <v>382.30272810406518</v>
      </c>
      <c r="R89" s="119">
        <f t="shared" si="69"/>
        <v>4587.6327372487813</v>
      </c>
      <c r="S89" s="119"/>
    </row>
    <row r="90" spans="1:20" x14ac:dyDescent="0.35">
      <c r="B90" s="118" t="s">
        <v>210</v>
      </c>
      <c r="C90" s="34">
        <f>$C$11</f>
        <v>12978</v>
      </c>
      <c r="D90" s="158">
        <f t="shared" si="65"/>
        <v>3.2664258837446357E-2</v>
      </c>
      <c r="E90" s="155"/>
      <c r="F90" s="34">
        <f t="shared" si="66"/>
        <v>328.94814064407331</v>
      </c>
      <c r="G90" s="34">
        <f t="shared" si="67"/>
        <v>328.94814064407331</v>
      </c>
      <c r="H90" s="34">
        <f t="shared" si="68"/>
        <v>328.94814064407331</v>
      </c>
      <c r="I90" s="34">
        <f t="shared" si="56"/>
        <v>328.94814064407331</v>
      </c>
      <c r="J90" s="34">
        <f t="shared" si="57"/>
        <v>328.94814064407331</v>
      </c>
      <c r="K90" s="34">
        <f t="shared" si="58"/>
        <v>328.94814064407331</v>
      </c>
      <c r="L90" s="34">
        <f t="shared" si="59"/>
        <v>328.94814064407331</v>
      </c>
      <c r="M90" s="34">
        <f t="shared" si="60"/>
        <v>328.94814064407331</v>
      </c>
      <c r="N90" s="34">
        <f t="shared" si="61"/>
        <v>328.94814064407331</v>
      </c>
      <c r="O90" s="34">
        <f t="shared" si="62"/>
        <v>328.94814064407331</v>
      </c>
      <c r="P90" s="34">
        <f t="shared" si="63"/>
        <v>328.94814064407331</v>
      </c>
      <c r="Q90" s="34">
        <f t="shared" si="64"/>
        <v>328.94814064407331</v>
      </c>
      <c r="R90" s="119">
        <f t="shared" si="69"/>
        <v>3947.3776877288788</v>
      </c>
      <c r="S90" s="119"/>
    </row>
    <row r="91" spans="1:20" x14ac:dyDescent="0.35">
      <c r="B91" s="118" t="s">
        <v>212</v>
      </c>
      <c r="C91" s="43">
        <f>$C$12</f>
        <v>18000</v>
      </c>
      <c r="D91" s="159">
        <f t="shared" si="65"/>
        <v>4.5304103796735586E-2</v>
      </c>
      <c r="E91" s="154"/>
      <c r="F91" s="43">
        <f t="shared" si="66"/>
        <v>456.23875262700881</v>
      </c>
      <c r="G91" s="34">
        <f t="shared" si="67"/>
        <v>456.23875262700881</v>
      </c>
      <c r="H91" s="34">
        <f t="shared" si="68"/>
        <v>456.23875262700881</v>
      </c>
      <c r="I91" s="34">
        <f t="shared" si="56"/>
        <v>456.23875262700881</v>
      </c>
      <c r="J91" s="34">
        <f t="shared" si="57"/>
        <v>456.23875262700881</v>
      </c>
      <c r="K91" s="34">
        <f t="shared" si="58"/>
        <v>456.23875262700881</v>
      </c>
      <c r="L91" s="34">
        <f t="shared" si="59"/>
        <v>456.23875262700881</v>
      </c>
      <c r="M91" s="34">
        <f t="shared" si="60"/>
        <v>456.23875262700881</v>
      </c>
      <c r="N91" s="34">
        <f t="shared" si="61"/>
        <v>456.23875262700881</v>
      </c>
      <c r="O91" s="34">
        <f t="shared" si="62"/>
        <v>456.23875262700881</v>
      </c>
      <c r="P91" s="34">
        <f t="shared" si="63"/>
        <v>456.23875262700881</v>
      </c>
      <c r="Q91" s="34">
        <f t="shared" si="64"/>
        <v>456.23875262700881</v>
      </c>
      <c r="R91" s="119">
        <f t="shared" si="69"/>
        <v>5474.8650315241039</v>
      </c>
      <c r="S91" s="124"/>
      <c r="T91" s="54"/>
    </row>
    <row r="92" spans="1:20" x14ac:dyDescent="0.35">
      <c r="B92" s="133" t="s">
        <v>357</v>
      </c>
      <c r="C92" s="34">
        <f>SUM(C85:C91)</f>
        <v>397315</v>
      </c>
      <c r="D92" s="283">
        <f>SUM(D85:D91)</f>
        <v>1</v>
      </c>
      <c r="E92" s="284">
        <f>SUM(E85:E91)</f>
        <v>0</v>
      </c>
      <c r="F92" s="36">
        <f>SUM(F85:F91)</f>
        <v>10070.583333333332</v>
      </c>
      <c r="G92" s="135">
        <f t="shared" ref="G92" si="70">SUM(G85:G91)</f>
        <v>10070.583333333332</v>
      </c>
      <c r="H92" s="135">
        <f t="shared" ref="H92" si="71">SUM(H85:H91)</f>
        <v>10070.583333333332</v>
      </c>
      <c r="I92" s="135">
        <f t="shared" ref="I92" si="72">SUM(I85:I91)</f>
        <v>10070.583333333332</v>
      </c>
      <c r="J92" s="135">
        <f t="shared" ref="J92" si="73">SUM(J85:J91)</f>
        <v>10070.583333333332</v>
      </c>
      <c r="K92" s="135">
        <f t="shared" ref="K92" si="74">SUM(K85:K91)</f>
        <v>10070.583333333332</v>
      </c>
      <c r="L92" s="135">
        <f t="shared" ref="L92" si="75">SUM(L85:L91)</f>
        <v>10070.583333333332</v>
      </c>
      <c r="M92" s="135">
        <f t="shared" ref="M92" si="76">SUM(M85:M91)</f>
        <v>10070.583333333332</v>
      </c>
      <c r="N92" s="135">
        <f t="shared" ref="N92" si="77">SUM(N85:N91)</f>
        <v>10070.583333333332</v>
      </c>
      <c r="O92" s="135">
        <f t="shared" ref="O92" si="78">SUM(O85:O91)</f>
        <v>10070.583333333332</v>
      </c>
      <c r="P92" s="135">
        <f t="shared" ref="P92" si="79">SUM(P85:P91)</f>
        <v>10070.583333333332</v>
      </c>
      <c r="Q92" s="135">
        <f t="shared" ref="Q92" si="80">SUM(Q85:Q91)</f>
        <v>10070.583333333332</v>
      </c>
      <c r="R92" s="135">
        <f t="shared" ref="R92" si="81">SUM(R85:R91)</f>
        <v>120847</v>
      </c>
      <c r="S92" s="125"/>
      <c r="T92" s="54"/>
    </row>
    <row r="93" spans="1:20" ht="16.5" thickBot="1" x14ac:dyDescent="0.4">
      <c r="D93" s="41"/>
      <c r="E93" s="41"/>
    </row>
    <row r="94" spans="1:20" ht="18" thickBot="1" x14ac:dyDescent="0.4">
      <c r="A94" s="34" t="s">
        <v>119</v>
      </c>
      <c r="B94" s="37" t="s">
        <v>487</v>
      </c>
      <c r="C94" s="127"/>
      <c r="D94" s="41"/>
      <c r="E94" s="41"/>
      <c r="P94" s="126"/>
      <c r="Q94" s="126"/>
      <c r="R94" s="263">
        <f>1.03*24720</f>
        <v>25461.600000000002</v>
      </c>
      <c r="T94" s="34" t="s">
        <v>369</v>
      </c>
    </row>
    <row r="95" spans="1:20" x14ac:dyDescent="0.35">
      <c r="C95" s="123" t="s">
        <v>366</v>
      </c>
      <c r="D95" s="157" t="s">
        <v>578</v>
      </c>
      <c r="E95" s="123"/>
      <c r="F95" s="123" t="s">
        <v>0</v>
      </c>
      <c r="G95" s="123" t="s">
        <v>1</v>
      </c>
      <c r="H95" s="123" t="s">
        <v>2</v>
      </c>
      <c r="I95" s="123" t="s">
        <v>3</v>
      </c>
      <c r="J95" s="123" t="s">
        <v>4</v>
      </c>
      <c r="K95" s="123" t="s">
        <v>5</v>
      </c>
      <c r="L95" s="123" t="s">
        <v>6</v>
      </c>
      <c r="M95" s="123" t="s">
        <v>7</v>
      </c>
      <c r="N95" s="123" t="s">
        <v>8</v>
      </c>
      <c r="O95" s="123" t="s">
        <v>9</v>
      </c>
      <c r="P95" s="123" t="s">
        <v>10</v>
      </c>
      <c r="Q95" s="123" t="s">
        <v>11</v>
      </c>
      <c r="R95" s="123" t="s">
        <v>12</v>
      </c>
      <c r="S95" s="41"/>
      <c r="T95" s="54"/>
    </row>
    <row r="96" spans="1:20" x14ac:dyDescent="0.35">
      <c r="B96" s="118">
        <v>4050</v>
      </c>
      <c r="C96" s="34">
        <f>$C$6</f>
        <v>54008</v>
      </c>
      <c r="D96" s="158">
        <f>C96/$C$13</f>
        <v>0.13593244654744976</v>
      </c>
      <c r="E96" s="155"/>
      <c r="F96" s="34">
        <f>$R94*$D96/4</f>
        <v>865.26439525313685</v>
      </c>
      <c r="G96" s="77">
        <v>0</v>
      </c>
      <c r="H96" s="77">
        <v>0</v>
      </c>
      <c r="I96" s="34">
        <f>$R94*$D96/4</f>
        <v>865.26439525313685</v>
      </c>
      <c r="J96" s="77">
        <v>0</v>
      </c>
      <c r="K96" s="77">
        <v>0</v>
      </c>
      <c r="L96" s="34">
        <f>$R94*$D96/4</f>
        <v>865.26439525313685</v>
      </c>
      <c r="M96" s="77">
        <v>0</v>
      </c>
      <c r="N96" s="77">
        <v>0</v>
      </c>
      <c r="O96" s="34">
        <f>$R94*$D96/4</f>
        <v>865.26439525313685</v>
      </c>
      <c r="P96" s="77">
        <v>0</v>
      </c>
      <c r="Q96" s="77">
        <v>0</v>
      </c>
      <c r="R96" s="119">
        <f>SUM(F96:Q96)</f>
        <v>3461.0575810125474</v>
      </c>
      <c r="S96" s="119"/>
      <c r="T96" s="54"/>
    </row>
    <row r="97" spans="1:20" x14ac:dyDescent="0.35">
      <c r="B97" s="118" t="s">
        <v>175</v>
      </c>
      <c r="C97" s="34">
        <f>$C$7</f>
        <v>107890</v>
      </c>
      <c r="D97" s="158">
        <f t="shared" ref="D97:D102" si="82">C97/$C$13</f>
        <v>0.27154776436832234</v>
      </c>
      <c r="E97" s="155"/>
      <c r="F97" s="34">
        <f>$R94*$D97/4</f>
        <v>1728.5101393101193</v>
      </c>
      <c r="G97" s="34">
        <v>0</v>
      </c>
      <c r="H97" s="34">
        <v>0</v>
      </c>
      <c r="I97" s="34">
        <f>$R94*$D97/4</f>
        <v>1728.5101393101193</v>
      </c>
      <c r="J97" s="34">
        <v>0</v>
      </c>
      <c r="K97" s="34">
        <v>0</v>
      </c>
      <c r="L97" s="34">
        <f>$R94*$D97/4</f>
        <v>1728.5101393101193</v>
      </c>
      <c r="M97" s="34">
        <v>0</v>
      </c>
      <c r="N97" s="34">
        <v>0</v>
      </c>
      <c r="O97" s="34">
        <f>$R94*$D97/4</f>
        <v>1728.5101393101193</v>
      </c>
      <c r="P97" s="34">
        <v>0</v>
      </c>
      <c r="Q97" s="34">
        <v>0</v>
      </c>
      <c r="R97" s="119">
        <f t="shared" ref="R97:R102" si="83">SUM(F97:Q97)</f>
        <v>6914.040557240477</v>
      </c>
      <c r="S97" s="119"/>
      <c r="T97" s="54"/>
    </row>
    <row r="98" spans="1:20" x14ac:dyDescent="0.35">
      <c r="B98" s="118" t="s">
        <v>186</v>
      </c>
      <c r="C98" s="34">
        <f>$C$8</f>
        <v>61508</v>
      </c>
      <c r="D98" s="158">
        <f t="shared" si="82"/>
        <v>0.15480915646275625</v>
      </c>
      <c r="E98" s="155"/>
      <c r="F98" s="34">
        <f>$R94*$D98/4</f>
        <v>985.42220454802873</v>
      </c>
      <c r="G98" s="34">
        <v>0</v>
      </c>
      <c r="H98" s="34">
        <v>0</v>
      </c>
      <c r="I98" s="34">
        <f>$R94*$D98/4</f>
        <v>985.42220454802873</v>
      </c>
      <c r="J98" s="34">
        <v>0</v>
      </c>
      <c r="K98" s="34">
        <v>0</v>
      </c>
      <c r="L98" s="34">
        <f>$R94*$D98/4</f>
        <v>985.42220454802873</v>
      </c>
      <c r="M98" s="34">
        <v>0</v>
      </c>
      <c r="N98" s="34">
        <v>0</v>
      </c>
      <c r="O98" s="34">
        <f>$R94*$D98/4</f>
        <v>985.42220454802873</v>
      </c>
      <c r="P98" s="34">
        <v>0</v>
      </c>
      <c r="Q98" s="34">
        <v>0</v>
      </c>
      <c r="R98" s="119">
        <f t="shared" si="83"/>
        <v>3941.6888181921149</v>
      </c>
      <c r="S98" s="119"/>
      <c r="T98" s="54"/>
    </row>
    <row r="99" spans="1:20" x14ac:dyDescent="0.35">
      <c r="B99" s="118" t="s">
        <v>196</v>
      </c>
      <c r="C99" s="34">
        <f>$C$9</f>
        <v>127848</v>
      </c>
      <c r="D99" s="158">
        <f t="shared" si="82"/>
        <v>0.32177994790028064</v>
      </c>
      <c r="E99" s="155"/>
      <c r="F99" s="34">
        <f>$R94*$D99/4</f>
        <v>2048.2580803644464</v>
      </c>
      <c r="G99" s="34">
        <v>0</v>
      </c>
      <c r="H99" s="34">
        <v>0</v>
      </c>
      <c r="I99" s="34">
        <f>$R94*$D99/4</f>
        <v>2048.2580803644464</v>
      </c>
      <c r="J99" s="34">
        <v>0</v>
      </c>
      <c r="K99" s="34">
        <v>0</v>
      </c>
      <c r="L99" s="34">
        <f>$R94*$D99/4</f>
        <v>2048.2580803644464</v>
      </c>
      <c r="M99" s="34">
        <v>0</v>
      </c>
      <c r="N99" s="34">
        <v>0</v>
      </c>
      <c r="O99" s="34">
        <f>$R94*$D99/4</f>
        <v>2048.2580803644464</v>
      </c>
      <c r="P99" s="34">
        <v>0</v>
      </c>
      <c r="Q99" s="34">
        <v>0</v>
      </c>
      <c r="R99" s="119">
        <f t="shared" si="83"/>
        <v>8193.0323214577857</v>
      </c>
      <c r="S99" s="119"/>
      <c r="T99" s="54"/>
    </row>
    <row r="100" spans="1:20" x14ac:dyDescent="0.35">
      <c r="B100" s="118" t="s">
        <v>205</v>
      </c>
      <c r="C100" s="34">
        <f>$C$10</f>
        <v>15083</v>
      </c>
      <c r="D100" s="158">
        <f t="shared" si="82"/>
        <v>3.7962322087009046E-2</v>
      </c>
      <c r="E100" s="155"/>
      <c r="F100" s="34">
        <f>$R94*$D100/4</f>
        <v>241.6453650126474</v>
      </c>
      <c r="G100" s="34">
        <v>0</v>
      </c>
      <c r="H100" s="34">
        <v>0</v>
      </c>
      <c r="I100" s="34">
        <f>$R94*$D100/4</f>
        <v>241.6453650126474</v>
      </c>
      <c r="J100" s="34">
        <v>0</v>
      </c>
      <c r="K100" s="34">
        <v>0</v>
      </c>
      <c r="L100" s="34">
        <f>$R94*$D100/4</f>
        <v>241.6453650126474</v>
      </c>
      <c r="M100" s="34">
        <v>0</v>
      </c>
      <c r="N100" s="34">
        <v>0</v>
      </c>
      <c r="O100" s="34">
        <f>$R94*$D100/4</f>
        <v>241.6453650126474</v>
      </c>
      <c r="P100" s="34">
        <v>0</v>
      </c>
      <c r="Q100" s="34">
        <v>0</v>
      </c>
      <c r="R100" s="119">
        <f t="shared" si="83"/>
        <v>966.58146005058961</v>
      </c>
      <c r="S100" s="119"/>
      <c r="T100" s="54"/>
    </row>
    <row r="101" spans="1:20" x14ac:dyDescent="0.35">
      <c r="B101" s="118" t="s">
        <v>210</v>
      </c>
      <c r="C101" s="34">
        <f>$C$11</f>
        <v>12978</v>
      </c>
      <c r="D101" s="158">
        <f t="shared" si="82"/>
        <v>3.2664258837446357E-2</v>
      </c>
      <c r="E101" s="155"/>
      <c r="F101" s="34">
        <f>$R94*$D101/4</f>
        <v>207.92107320388106</v>
      </c>
      <c r="G101" s="34">
        <v>0</v>
      </c>
      <c r="H101" s="34">
        <v>0</v>
      </c>
      <c r="I101" s="34">
        <f>$R94*$D101/4</f>
        <v>207.92107320388106</v>
      </c>
      <c r="J101" s="34">
        <v>0</v>
      </c>
      <c r="K101" s="34">
        <v>0</v>
      </c>
      <c r="L101" s="34">
        <f>$R94*$D101/4</f>
        <v>207.92107320388106</v>
      </c>
      <c r="M101" s="34">
        <v>0</v>
      </c>
      <c r="N101" s="34">
        <v>0</v>
      </c>
      <c r="O101" s="34">
        <f>$R94*$D101/4</f>
        <v>207.92107320388106</v>
      </c>
      <c r="P101" s="34">
        <v>0</v>
      </c>
      <c r="Q101" s="34">
        <v>0</v>
      </c>
      <c r="R101" s="119">
        <f t="shared" si="83"/>
        <v>831.68429281552426</v>
      </c>
      <c r="S101" s="119"/>
      <c r="T101" s="54"/>
    </row>
    <row r="102" spans="1:20" x14ac:dyDescent="0.35">
      <c r="B102" s="118" t="s">
        <v>212</v>
      </c>
      <c r="C102" s="43">
        <f>$C$12</f>
        <v>18000</v>
      </c>
      <c r="D102" s="159">
        <f t="shared" si="82"/>
        <v>4.5304103796735586E-2</v>
      </c>
      <c r="E102" s="154"/>
      <c r="F102" s="43">
        <f>IFERROR($R94*$D102/4,0)</f>
        <v>288.37874230774071</v>
      </c>
      <c r="G102" s="43">
        <v>0</v>
      </c>
      <c r="H102" s="43">
        <v>0</v>
      </c>
      <c r="I102" s="43">
        <f>IFERROR($R94*$D102/4,0)</f>
        <v>288.37874230774071</v>
      </c>
      <c r="J102" s="43">
        <v>0</v>
      </c>
      <c r="K102" s="43">
        <v>0</v>
      </c>
      <c r="L102" s="43">
        <f>IFERROR($R94*$D102/4,0)</f>
        <v>288.37874230774071</v>
      </c>
      <c r="M102" s="43">
        <v>0</v>
      </c>
      <c r="N102" s="43">
        <v>0</v>
      </c>
      <c r="O102" s="43">
        <f>IFERROR($R94*$D102/4,0)</f>
        <v>288.37874230774071</v>
      </c>
      <c r="P102" s="43">
        <v>0</v>
      </c>
      <c r="Q102" s="43">
        <v>0</v>
      </c>
      <c r="R102" s="119">
        <f t="shared" si="83"/>
        <v>1153.5149692309628</v>
      </c>
      <c r="S102" s="124"/>
      <c r="T102" s="54"/>
    </row>
    <row r="103" spans="1:20" x14ac:dyDescent="0.35">
      <c r="B103" s="133" t="s">
        <v>357</v>
      </c>
      <c r="C103" s="34">
        <f>SUM(C96:C102)</f>
        <v>397315</v>
      </c>
      <c r="D103" s="283">
        <f>SUM(D96:D102)</f>
        <v>1</v>
      </c>
      <c r="E103" s="284">
        <f>SUM(E96:E102)</f>
        <v>0</v>
      </c>
      <c r="F103" s="36">
        <f>SUM(F96:F102)</f>
        <v>6365.4000000000015</v>
      </c>
      <c r="G103" s="135">
        <f t="shared" ref="G103:R103" si="84">SUM(G96:G102)</f>
        <v>0</v>
      </c>
      <c r="H103" s="135">
        <f t="shared" si="84"/>
        <v>0</v>
      </c>
      <c r="I103" s="135">
        <f t="shared" si="84"/>
        <v>6365.4000000000015</v>
      </c>
      <c r="J103" s="135">
        <f t="shared" si="84"/>
        <v>0</v>
      </c>
      <c r="K103" s="135">
        <f t="shared" si="84"/>
        <v>0</v>
      </c>
      <c r="L103" s="135">
        <f t="shared" si="84"/>
        <v>6365.4000000000015</v>
      </c>
      <c r="M103" s="135">
        <f t="shared" si="84"/>
        <v>0</v>
      </c>
      <c r="N103" s="135">
        <f t="shared" si="84"/>
        <v>0</v>
      </c>
      <c r="O103" s="135">
        <f t="shared" si="84"/>
        <v>6365.4000000000015</v>
      </c>
      <c r="P103" s="135">
        <f t="shared" si="84"/>
        <v>0</v>
      </c>
      <c r="Q103" s="135">
        <f t="shared" si="84"/>
        <v>0</v>
      </c>
      <c r="R103" s="135">
        <f t="shared" si="84"/>
        <v>25461.600000000006</v>
      </c>
      <c r="S103" s="125"/>
      <c r="T103" s="54"/>
    </row>
    <row r="104" spans="1:20" ht="16.5" thickBot="1" x14ac:dyDescent="0.4"/>
    <row r="105" spans="1:20" ht="18" thickBot="1" x14ac:dyDescent="0.4">
      <c r="A105" s="95" t="s">
        <v>121</v>
      </c>
      <c r="B105" s="37" t="s">
        <v>479</v>
      </c>
      <c r="C105" s="127"/>
      <c r="D105" s="41"/>
      <c r="E105" s="41"/>
      <c r="P105" s="126"/>
      <c r="Q105" s="126"/>
      <c r="R105" s="263">
        <f>(25275+17685)</f>
        <v>42960</v>
      </c>
      <c r="T105" s="34" t="s">
        <v>614</v>
      </c>
    </row>
    <row r="106" spans="1:20" x14ac:dyDescent="0.35">
      <c r="C106" s="123" t="s">
        <v>366</v>
      </c>
      <c r="D106" s="157" t="s">
        <v>578</v>
      </c>
      <c r="E106" s="123"/>
      <c r="F106" s="123" t="s">
        <v>0</v>
      </c>
      <c r="G106" s="123" t="s">
        <v>1</v>
      </c>
      <c r="H106" s="123" t="s">
        <v>2</v>
      </c>
      <c r="I106" s="123" t="s">
        <v>3</v>
      </c>
      <c r="J106" s="123" t="s">
        <v>4</v>
      </c>
      <c r="K106" s="123" t="s">
        <v>5</v>
      </c>
      <c r="L106" s="123" t="s">
        <v>6</v>
      </c>
      <c r="M106" s="123" t="s">
        <v>7</v>
      </c>
      <c r="N106" s="123" t="s">
        <v>8</v>
      </c>
      <c r="O106" s="123" t="s">
        <v>9</v>
      </c>
      <c r="P106" s="123" t="s">
        <v>10</v>
      </c>
      <c r="Q106" s="123" t="s">
        <v>11</v>
      </c>
      <c r="R106" s="123" t="s">
        <v>12</v>
      </c>
      <c r="S106" s="41"/>
      <c r="T106" s="511" t="s">
        <v>615</v>
      </c>
    </row>
    <row r="107" spans="1:20" x14ac:dyDescent="0.35">
      <c r="B107" s="118">
        <v>4050</v>
      </c>
      <c r="C107" s="34">
        <f>$C$6</f>
        <v>54008</v>
      </c>
      <c r="D107" s="158">
        <f>C107/$C$13</f>
        <v>0.13593244654744976</v>
      </c>
      <c r="E107" s="155"/>
      <c r="F107" s="34">
        <f>$R105*$D107/12</f>
        <v>486.63815863987014</v>
      </c>
      <c r="G107" s="34">
        <f t="shared" ref="G107:Q107" si="85">$R105*$D107/12</f>
        <v>486.63815863987014</v>
      </c>
      <c r="H107" s="34">
        <f t="shared" si="85"/>
        <v>486.63815863987014</v>
      </c>
      <c r="I107" s="34">
        <f t="shared" si="85"/>
        <v>486.63815863987014</v>
      </c>
      <c r="J107" s="34">
        <f t="shared" si="85"/>
        <v>486.63815863987014</v>
      </c>
      <c r="K107" s="34">
        <f t="shared" si="85"/>
        <v>486.63815863987014</v>
      </c>
      <c r="L107" s="34">
        <f t="shared" si="85"/>
        <v>486.63815863987014</v>
      </c>
      <c r="M107" s="34">
        <f t="shared" si="85"/>
        <v>486.63815863987014</v>
      </c>
      <c r="N107" s="34">
        <f t="shared" si="85"/>
        <v>486.63815863987014</v>
      </c>
      <c r="O107" s="34">
        <f t="shared" si="85"/>
        <v>486.63815863987014</v>
      </c>
      <c r="P107" s="34">
        <f t="shared" si="85"/>
        <v>486.63815863987014</v>
      </c>
      <c r="Q107" s="34">
        <f t="shared" si="85"/>
        <v>486.63815863987014</v>
      </c>
      <c r="R107" s="119">
        <f>SUM(F107:Q107)</f>
        <v>5839.6579036784415</v>
      </c>
      <c r="S107" s="126"/>
      <c r="T107" s="512" t="s">
        <v>616</v>
      </c>
    </row>
    <row r="108" spans="1:20" x14ac:dyDescent="0.35">
      <c r="B108" s="118" t="s">
        <v>175</v>
      </c>
      <c r="C108" s="34">
        <f>$C$7</f>
        <v>107890</v>
      </c>
      <c r="D108" s="158">
        <f t="shared" ref="D108:D113" si="86">C108/$C$13</f>
        <v>0.27154776436832234</v>
      </c>
      <c r="E108" s="155"/>
      <c r="F108" s="34">
        <f>$R105*$D108/12</f>
        <v>972.14099643859402</v>
      </c>
      <c r="G108" s="34">
        <f t="shared" ref="G108:Q108" si="87">$R105*$D108/12</f>
        <v>972.14099643859402</v>
      </c>
      <c r="H108" s="34">
        <f t="shared" si="87"/>
        <v>972.14099643859402</v>
      </c>
      <c r="I108" s="34">
        <f t="shared" si="87"/>
        <v>972.14099643859402</v>
      </c>
      <c r="J108" s="34">
        <f t="shared" si="87"/>
        <v>972.14099643859402</v>
      </c>
      <c r="K108" s="34">
        <f t="shared" si="87"/>
        <v>972.14099643859402</v>
      </c>
      <c r="L108" s="34">
        <f t="shared" si="87"/>
        <v>972.14099643859402</v>
      </c>
      <c r="M108" s="34">
        <f t="shared" si="87"/>
        <v>972.14099643859402</v>
      </c>
      <c r="N108" s="34">
        <f t="shared" si="87"/>
        <v>972.14099643859402</v>
      </c>
      <c r="O108" s="34">
        <f t="shared" si="87"/>
        <v>972.14099643859402</v>
      </c>
      <c r="P108" s="34">
        <f t="shared" si="87"/>
        <v>972.14099643859402</v>
      </c>
      <c r="Q108" s="34">
        <f t="shared" si="87"/>
        <v>972.14099643859402</v>
      </c>
      <c r="R108" s="119">
        <f t="shared" ref="R108:R113" si="88">SUM(F108:Q108)</f>
        <v>11665.69195726313</v>
      </c>
      <c r="S108" s="126"/>
      <c r="T108" s="54"/>
    </row>
    <row r="109" spans="1:20" x14ac:dyDescent="0.35">
      <c r="B109" s="118" t="s">
        <v>186</v>
      </c>
      <c r="C109" s="34">
        <f>$C$8</f>
        <v>61508</v>
      </c>
      <c r="D109" s="158">
        <f t="shared" si="86"/>
        <v>0.15480915646275625</v>
      </c>
      <c r="E109" s="155"/>
      <c r="F109" s="34">
        <f>$R105*$D109/12</f>
        <v>554.21678013666735</v>
      </c>
      <c r="G109" s="34">
        <f t="shared" ref="G109:Q109" si="89">$R105*$D109/12</f>
        <v>554.21678013666735</v>
      </c>
      <c r="H109" s="34">
        <f t="shared" si="89"/>
        <v>554.21678013666735</v>
      </c>
      <c r="I109" s="34">
        <f t="shared" si="89"/>
        <v>554.21678013666735</v>
      </c>
      <c r="J109" s="34">
        <f t="shared" si="89"/>
        <v>554.21678013666735</v>
      </c>
      <c r="K109" s="34">
        <f t="shared" si="89"/>
        <v>554.21678013666735</v>
      </c>
      <c r="L109" s="34">
        <f t="shared" si="89"/>
        <v>554.21678013666735</v>
      </c>
      <c r="M109" s="34">
        <f t="shared" si="89"/>
        <v>554.21678013666735</v>
      </c>
      <c r="N109" s="34">
        <f t="shared" si="89"/>
        <v>554.21678013666735</v>
      </c>
      <c r="O109" s="34">
        <f t="shared" si="89"/>
        <v>554.21678013666735</v>
      </c>
      <c r="P109" s="34">
        <f t="shared" si="89"/>
        <v>554.21678013666735</v>
      </c>
      <c r="Q109" s="34">
        <f t="shared" si="89"/>
        <v>554.21678013666735</v>
      </c>
      <c r="R109" s="119">
        <f t="shared" si="88"/>
        <v>6650.6013616400096</v>
      </c>
      <c r="S109" s="126"/>
      <c r="T109" s="54"/>
    </row>
    <row r="110" spans="1:20" x14ac:dyDescent="0.35">
      <c r="B110" s="118" t="s">
        <v>196</v>
      </c>
      <c r="C110" s="34">
        <f>$C$9</f>
        <v>127848</v>
      </c>
      <c r="D110" s="158">
        <f t="shared" si="86"/>
        <v>0.32177994790028064</v>
      </c>
      <c r="E110" s="155"/>
      <c r="F110" s="34">
        <f>$R105*$D110/12</f>
        <v>1151.9722134830047</v>
      </c>
      <c r="G110" s="34">
        <f t="shared" ref="G110:Q110" si="90">$R105*$D110/12</f>
        <v>1151.9722134830047</v>
      </c>
      <c r="H110" s="34">
        <f t="shared" si="90"/>
        <v>1151.9722134830047</v>
      </c>
      <c r="I110" s="34">
        <f t="shared" si="90"/>
        <v>1151.9722134830047</v>
      </c>
      <c r="J110" s="34">
        <f t="shared" si="90"/>
        <v>1151.9722134830047</v>
      </c>
      <c r="K110" s="34">
        <f t="shared" si="90"/>
        <v>1151.9722134830047</v>
      </c>
      <c r="L110" s="34">
        <f t="shared" si="90"/>
        <v>1151.9722134830047</v>
      </c>
      <c r="M110" s="34">
        <f t="shared" si="90"/>
        <v>1151.9722134830047</v>
      </c>
      <c r="N110" s="34">
        <f t="shared" si="90"/>
        <v>1151.9722134830047</v>
      </c>
      <c r="O110" s="34">
        <f t="shared" si="90"/>
        <v>1151.9722134830047</v>
      </c>
      <c r="P110" s="34">
        <f t="shared" si="90"/>
        <v>1151.9722134830047</v>
      </c>
      <c r="Q110" s="34">
        <f t="shared" si="90"/>
        <v>1151.9722134830047</v>
      </c>
      <c r="R110" s="119">
        <f t="shared" si="88"/>
        <v>13823.666561796055</v>
      </c>
      <c r="S110" s="126"/>
      <c r="T110" s="54"/>
    </row>
    <row r="111" spans="1:20" x14ac:dyDescent="0.35">
      <c r="B111" s="118" t="s">
        <v>205</v>
      </c>
      <c r="C111" s="34">
        <f>$C$10</f>
        <v>15083</v>
      </c>
      <c r="D111" s="158">
        <f t="shared" si="86"/>
        <v>3.7962322087009046E-2</v>
      </c>
      <c r="E111" s="155"/>
      <c r="F111" s="34">
        <f>$R105*$D111/12</f>
        <v>135.90511307149237</v>
      </c>
      <c r="G111" s="34">
        <f t="shared" ref="G111:Q111" si="91">$R105*$D111/12</f>
        <v>135.90511307149237</v>
      </c>
      <c r="H111" s="34">
        <f t="shared" si="91"/>
        <v>135.90511307149237</v>
      </c>
      <c r="I111" s="34">
        <f t="shared" si="91"/>
        <v>135.90511307149237</v>
      </c>
      <c r="J111" s="34">
        <f t="shared" si="91"/>
        <v>135.90511307149237</v>
      </c>
      <c r="K111" s="34">
        <f t="shared" si="91"/>
        <v>135.90511307149237</v>
      </c>
      <c r="L111" s="34">
        <f t="shared" si="91"/>
        <v>135.90511307149237</v>
      </c>
      <c r="M111" s="34">
        <f t="shared" si="91"/>
        <v>135.90511307149237</v>
      </c>
      <c r="N111" s="34">
        <f t="shared" si="91"/>
        <v>135.90511307149237</v>
      </c>
      <c r="O111" s="34">
        <f t="shared" si="91"/>
        <v>135.90511307149237</v>
      </c>
      <c r="P111" s="34">
        <f t="shared" si="91"/>
        <v>135.90511307149237</v>
      </c>
      <c r="Q111" s="34">
        <f t="shared" si="91"/>
        <v>135.90511307149237</v>
      </c>
      <c r="R111" s="119">
        <f t="shared" si="88"/>
        <v>1630.8613568579087</v>
      </c>
      <c r="S111" s="126"/>
      <c r="T111" s="54"/>
    </row>
    <row r="112" spans="1:20" x14ac:dyDescent="0.35">
      <c r="B112" s="118" t="s">
        <v>210</v>
      </c>
      <c r="C112" s="34">
        <f>$C$11</f>
        <v>12978</v>
      </c>
      <c r="D112" s="158">
        <f t="shared" si="86"/>
        <v>3.2664258837446357E-2</v>
      </c>
      <c r="E112" s="155"/>
      <c r="F112" s="34">
        <f>$R105*$D112/12</f>
        <v>116.93804663805797</v>
      </c>
      <c r="G112" s="34">
        <f t="shared" ref="G112:Q112" si="92">$R105*$D112/12</f>
        <v>116.93804663805797</v>
      </c>
      <c r="H112" s="34">
        <f t="shared" si="92"/>
        <v>116.93804663805797</v>
      </c>
      <c r="I112" s="34">
        <f t="shared" si="92"/>
        <v>116.93804663805797</v>
      </c>
      <c r="J112" s="34">
        <f t="shared" si="92"/>
        <v>116.93804663805797</v>
      </c>
      <c r="K112" s="34">
        <f t="shared" si="92"/>
        <v>116.93804663805797</v>
      </c>
      <c r="L112" s="34">
        <f t="shared" si="92"/>
        <v>116.93804663805797</v>
      </c>
      <c r="M112" s="34">
        <f t="shared" si="92"/>
        <v>116.93804663805797</v>
      </c>
      <c r="N112" s="34">
        <f t="shared" si="92"/>
        <v>116.93804663805797</v>
      </c>
      <c r="O112" s="34">
        <f t="shared" si="92"/>
        <v>116.93804663805797</v>
      </c>
      <c r="P112" s="34">
        <f t="shared" si="92"/>
        <v>116.93804663805797</v>
      </c>
      <c r="Q112" s="34">
        <f t="shared" si="92"/>
        <v>116.93804663805797</v>
      </c>
      <c r="R112" s="119">
        <f t="shared" si="88"/>
        <v>1403.2565596566958</v>
      </c>
      <c r="S112" s="119"/>
      <c r="T112" s="54"/>
    </row>
    <row r="113" spans="1:27" x14ac:dyDescent="0.35">
      <c r="B113" s="118" t="s">
        <v>212</v>
      </c>
      <c r="C113" s="43">
        <f>$C$12</f>
        <v>18000</v>
      </c>
      <c r="D113" s="159">
        <f t="shared" si="86"/>
        <v>4.5304103796735586E-2</v>
      </c>
      <c r="E113" s="154"/>
      <c r="F113" s="43">
        <f>IFERROR($R105*$D113/12,0)</f>
        <v>162.1886915923134</v>
      </c>
      <c r="G113" s="34">
        <f t="shared" ref="G113:Q113" si="93">IFERROR($R105*$D113/12,0)</f>
        <v>162.1886915923134</v>
      </c>
      <c r="H113" s="34">
        <f t="shared" si="93"/>
        <v>162.1886915923134</v>
      </c>
      <c r="I113" s="34">
        <f t="shared" si="93"/>
        <v>162.1886915923134</v>
      </c>
      <c r="J113" s="34">
        <f t="shared" si="93"/>
        <v>162.1886915923134</v>
      </c>
      <c r="K113" s="34">
        <f t="shared" si="93"/>
        <v>162.1886915923134</v>
      </c>
      <c r="L113" s="34">
        <f t="shared" si="93"/>
        <v>162.1886915923134</v>
      </c>
      <c r="M113" s="34">
        <f t="shared" si="93"/>
        <v>162.1886915923134</v>
      </c>
      <c r="N113" s="34">
        <f t="shared" si="93"/>
        <v>162.1886915923134</v>
      </c>
      <c r="O113" s="34">
        <f t="shared" si="93"/>
        <v>162.1886915923134</v>
      </c>
      <c r="P113" s="34">
        <f t="shared" si="93"/>
        <v>162.1886915923134</v>
      </c>
      <c r="Q113" s="34">
        <f t="shared" si="93"/>
        <v>162.1886915923134</v>
      </c>
      <c r="R113" s="34">
        <f t="shared" si="88"/>
        <v>1946.2642991077612</v>
      </c>
      <c r="S113" s="124"/>
      <c r="T113" s="54"/>
    </row>
    <row r="114" spans="1:27" x14ac:dyDescent="0.35">
      <c r="B114" s="133" t="s">
        <v>357</v>
      </c>
      <c r="C114" s="34">
        <f>SUM(C107:C113)</f>
        <v>397315</v>
      </c>
      <c r="D114" s="283">
        <f>SUM(D107:D113)</f>
        <v>1</v>
      </c>
      <c r="E114" s="284">
        <f>SUM(E107:E113)</f>
        <v>0</v>
      </c>
      <c r="F114" s="36">
        <f>SUM(F107:F113)</f>
        <v>3580</v>
      </c>
      <c r="G114" s="135">
        <f t="shared" ref="G114" si="94">SUM(G107:G113)</f>
        <v>3580</v>
      </c>
      <c r="H114" s="135">
        <f t="shared" ref="H114" si="95">SUM(H107:H113)</f>
        <v>3580</v>
      </c>
      <c r="I114" s="135">
        <f t="shared" ref="I114" si="96">SUM(I107:I113)</f>
        <v>3580</v>
      </c>
      <c r="J114" s="135">
        <f t="shared" ref="J114" si="97">SUM(J107:J113)</f>
        <v>3580</v>
      </c>
      <c r="K114" s="135">
        <f t="shared" ref="K114" si="98">SUM(K107:K113)</f>
        <v>3580</v>
      </c>
      <c r="L114" s="135">
        <f t="shared" ref="L114" si="99">SUM(L107:L113)</f>
        <v>3580</v>
      </c>
      <c r="M114" s="135">
        <f t="shared" ref="M114" si="100">SUM(M107:M113)</f>
        <v>3580</v>
      </c>
      <c r="N114" s="135">
        <f t="shared" ref="N114" si="101">SUM(N107:N113)</f>
        <v>3580</v>
      </c>
      <c r="O114" s="135">
        <f t="shared" ref="O114" si="102">SUM(O107:O113)</f>
        <v>3580</v>
      </c>
      <c r="P114" s="135">
        <f t="shared" ref="P114" si="103">SUM(P107:P113)</f>
        <v>3580</v>
      </c>
      <c r="Q114" s="135">
        <f t="shared" ref="Q114:R114" si="104">SUM(Q107:Q113)</f>
        <v>3580</v>
      </c>
      <c r="R114" s="135">
        <f t="shared" si="104"/>
        <v>42960</v>
      </c>
      <c r="S114" s="125"/>
      <c r="T114" s="54"/>
    </row>
    <row r="115" spans="1:27" ht="16.5" thickBot="1" x14ac:dyDescent="0.4"/>
    <row r="116" spans="1:27" ht="18" thickBot="1" x14ac:dyDescent="0.4">
      <c r="A116" s="34" t="s">
        <v>261</v>
      </c>
      <c r="B116" s="37" t="s">
        <v>480</v>
      </c>
      <c r="C116" s="127"/>
      <c r="D116" s="41"/>
      <c r="E116" s="41"/>
      <c r="P116" s="126"/>
      <c r="Q116" s="126"/>
      <c r="R116" s="263">
        <f>1.03*3300</f>
        <v>3399</v>
      </c>
      <c r="T116" s="34" t="s">
        <v>369</v>
      </c>
    </row>
    <row r="117" spans="1:27" x14ac:dyDescent="0.35">
      <c r="C117" s="123" t="s">
        <v>366</v>
      </c>
      <c r="D117" s="157" t="s">
        <v>578</v>
      </c>
      <c r="E117" s="123"/>
      <c r="F117" s="123" t="s">
        <v>0</v>
      </c>
      <c r="G117" s="123" t="s">
        <v>1</v>
      </c>
      <c r="H117" s="123" t="s">
        <v>2</v>
      </c>
      <c r="I117" s="123" t="s">
        <v>3</v>
      </c>
      <c r="J117" s="123" t="s">
        <v>4</v>
      </c>
      <c r="K117" s="123" t="s">
        <v>5</v>
      </c>
      <c r="L117" s="123" t="s">
        <v>6</v>
      </c>
      <c r="M117" s="123" t="s">
        <v>7</v>
      </c>
      <c r="N117" s="123" t="s">
        <v>8</v>
      </c>
      <c r="O117" s="123" t="s">
        <v>9</v>
      </c>
      <c r="P117" s="123" t="s">
        <v>10</v>
      </c>
      <c r="Q117" s="123" t="s">
        <v>11</v>
      </c>
      <c r="R117" s="123" t="s">
        <v>12</v>
      </c>
      <c r="S117" s="41"/>
      <c r="T117" s="54"/>
    </row>
    <row r="118" spans="1:27" x14ac:dyDescent="0.35">
      <c r="B118" s="118">
        <v>4050</v>
      </c>
      <c r="C118" s="34">
        <f>$C$6</f>
        <v>54008</v>
      </c>
      <c r="D118" s="158">
        <f>C118/$C$13</f>
        <v>0.13593244654744976</v>
      </c>
      <c r="E118" s="155"/>
      <c r="F118" s="34">
        <f>$R116*$D118/12</f>
        <v>38.502865484565142</v>
      </c>
      <c r="G118" s="34">
        <f t="shared" ref="G118:Q118" si="105">$R116*$D118/12</f>
        <v>38.502865484565142</v>
      </c>
      <c r="H118" s="34">
        <f t="shared" si="105"/>
        <v>38.502865484565142</v>
      </c>
      <c r="I118" s="34">
        <f t="shared" si="105"/>
        <v>38.502865484565142</v>
      </c>
      <c r="J118" s="34">
        <f t="shared" si="105"/>
        <v>38.502865484565142</v>
      </c>
      <c r="K118" s="34">
        <f t="shared" si="105"/>
        <v>38.502865484565142</v>
      </c>
      <c r="L118" s="34">
        <f t="shared" si="105"/>
        <v>38.502865484565142</v>
      </c>
      <c r="M118" s="34">
        <f t="shared" si="105"/>
        <v>38.502865484565142</v>
      </c>
      <c r="N118" s="34">
        <f t="shared" si="105"/>
        <v>38.502865484565142</v>
      </c>
      <c r="O118" s="34">
        <f t="shared" si="105"/>
        <v>38.502865484565142</v>
      </c>
      <c r="P118" s="34">
        <f t="shared" si="105"/>
        <v>38.502865484565142</v>
      </c>
      <c r="Q118" s="34">
        <f t="shared" si="105"/>
        <v>38.502865484565142</v>
      </c>
      <c r="R118" s="119">
        <f>SUM(F118:Q118)</f>
        <v>462.03438581478161</v>
      </c>
      <c r="S118" s="119"/>
      <c r="T118" s="54"/>
    </row>
    <row r="119" spans="1:27" x14ac:dyDescent="0.35">
      <c r="B119" s="118" t="s">
        <v>175</v>
      </c>
      <c r="C119" s="34">
        <f>$C$7</f>
        <v>107890</v>
      </c>
      <c r="D119" s="158">
        <f t="shared" ref="D119:D124" si="106">C119/$C$13</f>
        <v>0.27154776436832234</v>
      </c>
      <c r="E119" s="155"/>
      <c r="F119" s="34">
        <f>$R116*$D119/12</f>
        <v>76.915904257327313</v>
      </c>
      <c r="G119" s="34">
        <f t="shared" ref="G119:Q119" si="107">$R116*$D119/12</f>
        <v>76.915904257327313</v>
      </c>
      <c r="H119" s="34">
        <f t="shared" si="107"/>
        <v>76.915904257327313</v>
      </c>
      <c r="I119" s="34">
        <f t="shared" si="107"/>
        <v>76.915904257327313</v>
      </c>
      <c r="J119" s="34">
        <f t="shared" si="107"/>
        <v>76.915904257327313</v>
      </c>
      <c r="K119" s="34">
        <f t="shared" si="107"/>
        <v>76.915904257327313</v>
      </c>
      <c r="L119" s="34">
        <f t="shared" si="107"/>
        <v>76.915904257327313</v>
      </c>
      <c r="M119" s="34">
        <f t="shared" si="107"/>
        <v>76.915904257327313</v>
      </c>
      <c r="N119" s="34">
        <f t="shared" si="107"/>
        <v>76.915904257327313</v>
      </c>
      <c r="O119" s="34">
        <f t="shared" si="107"/>
        <v>76.915904257327313</v>
      </c>
      <c r="P119" s="34">
        <f t="shared" si="107"/>
        <v>76.915904257327313</v>
      </c>
      <c r="Q119" s="34">
        <f t="shared" si="107"/>
        <v>76.915904257327313</v>
      </c>
      <c r="R119" s="119">
        <f t="shared" ref="R119:R124" si="108">SUM(F119:Q119)</f>
        <v>922.99085108792758</v>
      </c>
      <c r="S119" s="119"/>
      <c r="T119" s="54"/>
    </row>
    <row r="120" spans="1:27" x14ac:dyDescent="0.35">
      <c r="B120" s="118" t="s">
        <v>186</v>
      </c>
      <c r="C120" s="34">
        <f>$C$8</f>
        <v>61508</v>
      </c>
      <c r="D120" s="158">
        <f t="shared" si="106"/>
        <v>0.15480915646275625</v>
      </c>
      <c r="E120" s="155"/>
      <c r="F120" s="34">
        <f>$R116*$D120/12</f>
        <v>43.849693568075708</v>
      </c>
      <c r="G120" s="34">
        <f t="shared" ref="G120:Q120" si="109">$R116*$D120/12</f>
        <v>43.849693568075708</v>
      </c>
      <c r="H120" s="34">
        <f t="shared" si="109"/>
        <v>43.849693568075708</v>
      </c>
      <c r="I120" s="34">
        <f t="shared" si="109"/>
        <v>43.849693568075708</v>
      </c>
      <c r="J120" s="34">
        <f t="shared" si="109"/>
        <v>43.849693568075708</v>
      </c>
      <c r="K120" s="34">
        <f t="shared" si="109"/>
        <v>43.849693568075708</v>
      </c>
      <c r="L120" s="34">
        <f t="shared" si="109"/>
        <v>43.849693568075708</v>
      </c>
      <c r="M120" s="34">
        <f t="shared" si="109"/>
        <v>43.849693568075708</v>
      </c>
      <c r="N120" s="34">
        <f t="shared" si="109"/>
        <v>43.849693568075708</v>
      </c>
      <c r="O120" s="34">
        <f t="shared" si="109"/>
        <v>43.849693568075708</v>
      </c>
      <c r="P120" s="34">
        <f t="shared" si="109"/>
        <v>43.849693568075708</v>
      </c>
      <c r="Q120" s="34">
        <f t="shared" si="109"/>
        <v>43.849693568075708</v>
      </c>
      <c r="R120" s="119">
        <f t="shared" si="108"/>
        <v>526.19632281690861</v>
      </c>
      <c r="S120" s="119"/>
      <c r="T120" s="54"/>
    </row>
    <row r="121" spans="1:27" x14ac:dyDescent="0.35">
      <c r="B121" s="118" t="s">
        <v>196</v>
      </c>
      <c r="C121" s="34">
        <f>$C$9</f>
        <v>127848</v>
      </c>
      <c r="D121" s="158">
        <f t="shared" si="106"/>
        <v>0.32177994790028064</v>
      </c>
      <c r="E121" s="155"/>
      <c r="F121" s="34">
        <f>$R116*$D121/12</f>
        <v>91.144170242754498</v>
      </c>
      <c r="G121" s="34">
        <f t="shared" ref="G121:Q121" si="110">$R116*$D121/12</f>
        <v>91.144170242754498</v>
      </c>
      <c r="H121" s="34">
        <f t="shared" si="110"/>
        <v>91.144170242754498</v>
      </c>
      <c r="I121" s="34">
        <f t="shared" si="110"/>
        <v>91.144170242754498</v>
      </c>
      <c r="J121" s="34">
        <f t="shared" si="110"/>
        <v>91.144170242754498</v>
      </c>
      <c r="K121" s="34">
        <f t="shared" si="110"/>
        <v>91.144170242754498</v>
      </c>
      <c r="L121" s="34">
        <f t="shared" si="110"/>
        <v>91.144170242754498</v>
      </c>
      <c r="M121" s="34">
        <f t="shared" si="110"/>
        <v>91.144170242754498</v>
      </c>
      <c r="N121" s="34">
        <f t="shared" si="110"/>
        <v>91.144170242754498</v>
      </c>
      <c r="O121" s="34">
        <f t="shared" si="110"/>
        <v>91.144170242754498</v>
      </c>
      <c r="P121" s="34">
        <f t="shared" si="110"/>
        <v>91.144170242754498</v>
      </c>
      <c r="Q121" s="34">
        <f t="shared" si="110"/>
        <v>91.144170242754498</v>
      </c>
      <c r="R121" s="119">
        <f t="shared" si="108"/>
        <v>1093.7300429130539</v>
      </c>
      <c r="S121" s="119"/>
      <c r="T121" s="54"/>
    </row>
    <row r="122" spans="1:27" x14ac:dyDescent="0.35">
      <c r="B122" s="118" t="s">
        <v>205</v>
      </c>
      <c r="C122" s="34">
        <f>$C$10</f>
        <v>15083</v>
      </c>
      <c r="D122" s="158">
        <f t="shared" si="106"/>
        <v>3.7962322087009046E-2</v>
      </c>
      <c r="E122" s="155"/>
      <c r="F122" s="34">
        <f>$R116*$D122/12</f>
        <v>10.752827731145311</v>
      </c>
      <c r="G122" s="34">
        <f t="shared" ref="G122:Q122" si="111">$R116*$D122/12</f>
        <v>10.752827731145311</v>
      </c>
      <c r="H122" s="34">
        <f t="shared" si="111"/>
        <v>10.752827731145311</v>
      </c>
      <c r="I122" s="34">
        <f t="shared" si="111"/>
        <v>10.752827731145311</v>
      </c>
      <c r="J122" s="34">
        <f t="shared" si="111"/>
        <v>10.752827731145311</v>
      </c>
      <c r="K122" s="34">
        <f t="shared" si="111"/>
        <v>10.752827731145311</v>
      </c>
      <c r="L122" s="34">
        <f t="shared" si="111"/>
        <v>10.752827731145311</v>
      </c>
      <c r="M122" s="34">
        <f t="shared" si="111"/>
        <v>10.752827731145311</v>
      </c>
      <c r="N122" s="34">
        <f t="shared" si="111"/>
        <v>10.752827731145311</v>
      </c>
      <c r="O122" s="34">
        <f t="shared" si="111"/>
        <v>10.752827731145311</v>
      </c>
      <c r="P122" s="34">
        <f t="shared" si="111"/>
        <v>10.752827731145311</v>
      </c>
      <c r="Q122" s="34">
        <f t="shared" si="111"/>
        <v>10.752827731145311</v>
      </c>
      <c r="R122" s="119">
        <f t="shared" si="108"/>
        <v>129.03393277374377</v>
      </c>
      <c r="S122" s="119"/>
      <c r="T122" s="54"/>
    </row>
    <row r="123" spans="1:27" x14ac:dyDescent="0.35">
      <c r="B123" s="118" t="s">
        <v>210</v>
      </c>
      <c r="C123" s="34">
        <f>$C$11</f>
        <v>12978</v>
      </c>
      <c r="D123" s="158">
        <f t="shared" si="106"/>
        <v>3.2664258837446357E-2</v>
      </c>
      <c r="E123" s="155"/>
      <c r="F123" s="34">
        <f>$R116*$D123/12</f>
        <v>9.2521513157066817</v>
      </c>
      <c r="G123" s="34">
        <f t="shared" ref="G123:Q123" si="112">$R116*$D123/12</f>
        <v>9.2521513157066817</v>
      </c>
      <c r="H123" s="34">
        <f t="shared" si="112"/>
        <v>9.2521513157066817</v>
      </c>
      <c r="I123" s="34">
        <f t="shared" si="112"/>
        <v>9.2521513157066817</v>
      </c>
      <c r="J123" s="34">
        <f t="shared" si="112"/>
        <v>9.2521513157066817</v>
      </c>
      <c r="K123" s="34">
        <f t="shared" si="112"/>
        <v>9.2521513157066817</v>
      </c>
      <c r="L123" s="34">
        <f t="shared" si="112"/>
        <v>9.2521513157066817</v>
      </c>
      <c r="M123" s="34">
        <f t="shared" si="112"/>
        <v>9.2521513157066817</v>
      </c>
      <c r="N123" s="34">
        <f t="shared" si="112"/>
        <v>9.2521513157066817</v>
      </c>
      <c r="O123" s="34">
        <f t="shared" si="112"/>
        <v>9.2521513157066817</v>
      </c>
      <c r="P123" s="34">
        <f t="shared" si="112"/>
        <v>9.2521513157066817</v>
      </c>
      <c r="Q123" s="34">
        <f t="shared" si="112"/>
        <v>9.2521513157066817</v>
      </c>
      <c r="R123" s="119">
        <f t="shared" si="108"/>
        <v>111.02581578848019</v>
      </c>
      <c r="S123" s="119"/>
      <c r="T123" s="54"/>
    </row>
    <row r="124" spans="1:27" x14ac:dyDescent="0.35">
      <c r="B124" s="118" t="s">
        <v>212</v>
      </c>
      <c r="C124" s="43">
        <f>$C$12</f>
        <v>18000</v>
      </c>
      <c r="D124" s="159">
        <f t="shared" si="106"/>
        <v>4.5304103796735586E-2</v>
      </c>
      <c r="E124" s="154"/>
      <c r="F124" s="43">
        <f>IFERROR($R116*$D124/12,0)</f>
        <v>12.832387400425354</v>
      </c>
      <c r="G124" s="34">
        <f t="shared" ref="G124:Q124" si="113">IFERROR($R116*$D124/12,0)</f>
        <v>12.832387400425354</v>
      </c>
      <c r="H124" s="34">
        <f t="shared" si="113"/>
        <v>12.832387400425354</v>
      </c>
      <c r="I124" s="34">
        <f t="shared" si="113"/>
        <v>12.832387400425354</v>
      </c>
      <c r="J124" s="34">
        <f t="shared" si="113"/>
        <v>12.832387400425354</v>
      </c>
      <c r="K124" s="34">
        <f t="shared" si="113"/>
        <v>12.832387400425354</v>
      </c>
      <c r="L124" s="34">
        <f t="shared" si="113"/>
        <v>12.832387400425354</v>
      </c>
      <c r="M124" s="34">
        <f t="shared" si="113"/>
        <v>12.832387400425354</v>
      </c>
      <c r="N124" s="34">
        <f t="shared" si="113"/>
        <v>12.832387400425354</v>
      </c>
      <c r="O124" s="34">
        <f t="shared" si="113"/>
        <v>12.832387400425354</v>
      </c>
      <c r="P124" s="34">
        <f t="shared" si="113"/>
        <v>12.832387400425354</v>
      </c>
      <c r="Q124" s="34">
        <f t="shared" si="113"/>
        <v>12.832387400425354</v>
      </c>
      <c r="R124" s="34">
        <f t="shared" si="108"/>
        <v>153.98864880510419</v>
      </c>
      <c r="S124" s="124"/>
      <c r="T124" s="54"/>
    </row>
    <row r="125" spans="1:27" x14ac:dyDescent="0.35">
      <c r="B125" s="133" t="s">
        <v>357</v>
      </c>
      <c r="C125" s="34">
        <f>SUM(C118:C124)</f>
        <v>397315</v>
      </c>
      <c r="D125" s="283">
        <f>SUM(D118:D124)</f>
        <v>1</v>
      </c>
      <c r="E125" s="284">
        <f>SUM(E118:E124)</f>
        <v>0</v>
      </c>
      <c r="F125" s="36">
        <f>SUM(F118:F124)</f>
        <v>283.25</v>
      </c>
      <c r="G125" s="135">
        <f t="shared" ref="G125:R125" si="114">SUM(G118:G124)</f>
        <v>283.25</v>
      </c>
      <c r="H125" s="135">
        <f t="shared" si="114"/>
        <v>283.25</v>
      </c>
      <c r="I125" s="135">
        <f t="shared" si="114"/>
        <v>283.25</v>
      </c>
      <c r="J125" s="135">
        <f t="shared" si="114"/>
        <v>283.25</v>
      </c>
      <c r="K125" s="135">
        <f t="shared" si="114"/>
        <v>283.25</v>
      </c>
      <c r="L125" s="135">
        <f t="shared" si="114"/>
        <v>283.25</v>
      </c>
      <c r="M125" s="135">
        <f t="shared" si="114"/>
        <v>283.25</v>
      </c>
      <c r="N125" s="135">
        <f t="shared" si="114"/>
        <v>283.25</v>
      </c>
      <c r="O125" s="135">
        <f t="shared" si="114"/>
        <v>283.25</v>
      </c>
      <c r="P125" s="135">
        <f t="shared" si="114"/>
        <v>283.25</v>
      </c>
      <c r="Q125" s="135">
        <f t="shared" si="114"/>
        <v>283.25</v>
      </c>
      <c r="R125" s="135">
        <f t="shared" si="114"/>
        <v>3399</v>
      </c>
      <c r="S125" s="125"/>
      <c r="T125" s="54"/>
    </row>
    <row r="126" spans="1:27" ht="16.5" thickBot="1" x14ac:dyDescent="0.4"/>
    <row r="127" spans="1:27" ht="18" thickBot="1" x14ac:dyDescent="0.4">
      <c r="A127" s="34" t="s">
        <v>122</v>
      </c>
      <c r="B127" s="37" t="s">
        <v>481</v>
      </c>
      <c r="C127" s="127"/>
      <c r="D127" s="41"/>
      <c r="E127" s="41"/>
      <c r="P127" s="126"/>
      <c r="Q127" s="126"/>
      <c r="R127" s="263">
        <f>1.03*13000</f>
        <v>13390</v>
      </c>
      <c r="T127" s="31" t="s">
        <v>345</v>
      </c>
    </row>
    <row r="128" spans="1:27" x14ac:dyDescent="0.35">
      <c r="C128" s="123" t="s">
        <v>366</v>
      </c>
      <c r="D128" s="157" t="s">
        <v>578</v>
      </c>
      <c r="E128" s="123"/>
      <c r="F128" s="123" t="s">
        <v>0</v>
      </c>
      <c r="G128" s="123" t="s">
        <v>1</v>
      </c>
      <c r="H128" s="123" t="s">
        <v>2</v>
      </c>
      <c r="I128" s="123" t="s">
        <v>3</v>
      </c>
      <c r="J128" s="123" t="s">
        <v>4</v>
      </c>
      <c r="K128" s="123" t="s">
        <v>5</v>
      </c>
      <c r="L128" s="123" t="s">
        <v>6</v>
      </c>
      <c r="M128" s="123" t="s">
        <v>7</v>
      </c>
      <c r="N128" s="123" t="s">
        <v>8</v>
      </c>
      <c r="O128" s="123" t="s">
        <v>9</v>
      </c>
      <c r="P128" s="123" t="s">
        <v>10</v>
      </c>
      <c r="Q128" s="123" t="s">
        <v>11</v>
      </c>
      <c r="R128" s="123" t="s">
        <v>12</v>
      </c>
      <c r="S128" s="41"/>
      <c r="T128" s="54" t="s">
        <v>594</v>
      </c>
      <c r="U128" s="34" t="s">
        <v>596</v>
      </c>
      <c r="V128" s="34" t="s">
        <v>597</v>
      </c>
      <c r="W128" s="34" t="s">
        <v>599</v>
      </c>
      <c r="X128" s="34" t="s">
        <v>600</v>
      </c>
      <c r="Y128" s="34" t="s">
        <v>595</v>
      </c>
      <c r="Z128" s="34" t="s">
        <v>601</v>
      </c>
      <c r="AA128" s="34" t="s">
        <v>602</v>
      </c>
    </row>
    <row r="129" spans="1:27" x14ac:dyDescent="0.35">
      <c r="B129" s="118">
        <v>4050</v>
      </c>
      <c r="C129" s="34">
        <f>$C$6</f>
        <v>54008</v>
      </c>
      <c r="D129" s="158">
        <f>C129/$C$13</f>
        <v>0.13593244654744976</v>
      </c>
      <c r="E129" s="155"/>
      <c r="F129" s="34">
        <v>0</v>
      </c>
      <c r="G129" s="34">
        <v>0</v>
      </c>
      <c r="H129" s="34">
        <v>0</v>
      </c>
      <c r="I129" s="77">
        <f>+AA129</f>
        <v>1619.1844412717451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119">
        <f t="shared" ref="R129:R134" si="115">SUM(G129:Q129)</f>
        <v>1619.1844412717451</v>
      </c>
      <c r="S129" s="119"/>
      <c r="T129" s="34">
        <f>+'4050'!S24</f>
        <v>630605.56000000006</v>
      </c>
      <c r="U129" s="505">
        <v>2.2499999999999998E-3</v>
      </c>
      <c r="V129" s="34">
        <f>+T129*U129</f>
        <v>1418.8625099999999</v>
      </c>
      <c r="W129" s="34">
        <f>-12970*(T129/$T$136)</f>
        <v>-1365.8626711782549</v>
      </c>
      <c r="X129" s="34">
        <f>+V129+W129</f>
        <v>52.999838821745016</v>
      </c>
      <c r="Y129" s="34">
        <f>+'4050'!Q24</f>
        <v>696082.04553333344</v>
      </c>
      <c r="Z129" s="34">
        <f>+U129*Y129</f>
        <v>1566.1846024500001</v>
      </c>
      <c r="AA129" s="34">
        <f>+X129+Z129</f>
        <v>1619.1844412717451</v>
      </c>
    </row>
    <row r="130" spans="1:27" x14ac:dyDescent="0.35">
      <c r="B130" s="118" t="s">
        <v>175</v>
      </c>
      <c r="C130" s="34">
        <f>$C$7</f>
        <v>107890</v>
      </c>
      <c r="D130" s="158">
        <f t="shared" ref="D130:D135" si="116">C130/$C$13</f>
        <v>0.27154776436832234</v>
      </c>
      <c r="E130" s="155"/>
      <c r="F130" s="34">
        <v>0</v>
      </c>
      <c r="G130" s="34">
        <v>0</v>
      </c>
      <c r="H130" s="34">
        <v>0</v>
      </c>
      <c r="I130" s="34">
        <f t="shared" ref="I130:I135" si="117">+AA130</f>
        <v>3419.4117396547813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119">
        <f t="shared" si="115"/>
        <v>3419.4117396547813</v>
      </c>
      <c r="S130" s="119"/>
      <c r="T130" s="34">
        <f>+'4060'!S24</f>
        <v>1943402.67</v>
      </c>
      <c r="U130" s="505">
        <v>2.2499999999999998E-3</v>
      </c>
      <c r="V130" s="34">
        <f t="shared" ref="V130:V135" si="118">+T130*U130</f>
        <v>4372.6560074999998</v>
      </c>
      <c r="W130" s="34">
        <f t="shared" ref="W130:W135" si="119">-12970*(T130/$T$136)</f>
        <v>-4209.3208978702187</v>
      </c>
      <c r="X130" s="34">
        <f t="shared" ref="X130:X135" si="120">+V130+W130</f>
        <v>163.33510962978107</v>
      </c>
      <c r="Y130" s="34">
        <f>+'4060'!Q24</f>
        <v>1447145.1689000002</v>
      </c>
      <c r="Z130" s="34">
        <f t="shared" ref="Z130:Z135" si="121">+U130*Y130</f>
        <v>3256.0766300250002</v>
      </c>
      <c r="AA130" s="34">
        <f t="shared" ref="AA130:AA135" si="122">+X130+Z130</f>
        <v>3419.4117396547813</v>
      </c>
    </row>
    <row r="131" spans="1:27" x14ac:dyDescent="0.35">
      <c r="B131" s="118" t="s">
        <v>186</v>
      </c>
      <c r="C131" s="34">
        <f>$C$8</f>
        <v>61508</v>
      </c>
      <c r="D131" s="158">
        <f t="shared" si="116"/>
        <v>0.15480915646275625</v>
      </c>
      <c r="E131" s="155"/>
      <c r="F131" s="34">
        <v>0</v>
      </c>
      <c r="G131" s="34">
        <v>0</v>
      </c>
      <c r="H131" s="34">
        <v>0</v>
      </c>
      <c r="I131" s="34">
        <f t="shared" si="117"/>
        <v>2598.3351437225883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119">
        <f t="shared" si="115"/>
        <v>2598.3351437225883</v>
      </c>
      <c r="S131" s="119"/>
      <c r="T131" s="34">
        <f>+'4070'!S24</f>
        <v>1005360.9700000001</v>
      </c>
      <c r="U131" s="505">
        <v>2.2499999999999998E-3</v>
      </c>
      <c r="V131" s="34">
        <f t="shared" si="118"/>
        <v>2262.0621824999998</v>
      </c>
      <c r="W131" s="34">
        <f t="shared" si="119"/>
        <v>-2177.5656719274116</v>
      </c>
      <c r="X131" s="34">
        <f t="shared" si="120"/>
        <v>84.496510572588249</v>
      </c>
      <c r="Y131" s="34">
        <f>+'4070'!Q24</f>
        <v>1117261.6147333335</v>
      </c>
      <c r="Z131" s="34">
        <f t="shared" si="121"/>
        <v>2513.8386331500001</v>
      </c>
      <c r="AA131" s="34">
        <f t="shared" si="122"/>
        <v>2598.3351437225883</v>
      </c>
    </row>
    <row r="132" spans="1:27" x14ac:dyDescent="0.35">
      <c r="B132" s="118" t="s">
        <v>196</v>
      </c>
      <c r="C132" s="34">
        <f>$C$9</f>
        <v>127848</v>
      </c>
      <c r="D132" s="158">
        <f t="shared" si="116"/>
        <v>0.32177994790028064</v>
      </c>
      <c r="E132" s="155"/>
      <c r="F132" s="34">
        <v>0</v>
      </c>
      <c r="G132" s="34">
        <v>0</v>
      </c>
      <c r="H132" s="34">
        <v>0</v>
      </c>
      <c r="I132" s="34">
        <f t="shared" si="117"/>
        <v>4292.2352663548008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119">
        <f t="shared" si="115"/>
        <v>4292.2352663548008</v>
      </c>
      <c r="S132" s="119"/>
      <c r="T132" s="34">
        <f>+'4080'!S24</f>
        <v>1657302.5300000003</v>
      </c>
      <c r="U132" s="505">
        <v>2.2499999999999998E-3</v>
      </c>
      <c r="V132" s="34">
        <f t="shared" si="118"/>
        <v>3728.9306925000005</v>
      </c>
      <c r="W132" s="34">
        <f t="shared" si="119"/>
        <v>-3589.6411388701999</v>
      </c>
      <c r="X132" s="34">
        <f t="shared" si="120"/>
        <v>139.28955362980059</v>
      </c>
      <c r="Y132" s="34">
        <f>+'4080'!Q24</f>
        <v>1845753.6501000002</v>
      </c>
      <c r="Z132" s="34">
        <f t="shared" si="121"/>
        <v>4152.9457127249998</v>
      </c>
      <c r="AA132" s="34">
        <f t="shared" si="122"/>
        <v>4292.2352663548008</v>
      </c>
    </row>
    <row r="133" spans="1:27" x14ac:dyDescent="0.35">
      <c r="B133" s="118" t="s">
        <v>205</v>
      </c>
      <c r="C133" s="34">
        <f>$C$10</f>
        <v>15083</v>
      </c>
      <c r="D133" s="158">
        <f t="shared" si="116"/>
        <v>3.7962322087009046E-2</v>
      </c>
      <c r="E133" s="155"/>
      <c r="F133" s="34">
        <v>0</v>
      </c>
      <c r="G133" s="34">
        <v>0</v>
      </c>
      <c r="H133" s="34">
        <v>0</v>
      </c>
      <c r="I133" s="34">
        <f t="shared" si="117"/>
        <v>766.66414677821115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119">
        <f t="shared" si="115"/>
        <v>766.66414677821115</v>
      </c>
      <c r="S133" s="119"/>
      <c r="T133" s="34">
        <f>+'40A0'!S24</f>
        <v>304800.64000000001</v>
      </c>
      <c r="U133" s="505">
        <v>2.2499999999999998E-3</v>
      </c>
      <c r="V133" s="34">
        <f t="shared" si="118"/>
        <v>685.80143999999996</v>
      </c>
      <c r="W133" s="34">
        <f t="shared" si="119"/>
        <v>-660.18418284678876</v>
      </c>
      <c r="X133" s="34">
        <f t="shared" si="120"/>
        <v>25.617257153211199</v>
      </c>
      <c r="Y133" s="34">
        <f>+'40A0'!Q24</f>
        <v>329354.17316666665</v>
      </c>
      <c r="Z133" s="34">
        <f t="shared" si="121"/>
        <v>741.04688962499995</v>
      </c>
      <c r="AA133" s="34">
        <f t="shared" si="122"/>
        <v>766.66414677821115</v>
      </c>
    </row>
    <row r="134" spans="1:27" x14ac:dyDescent="0.35">
      <c r="B134" s="118" t="s">
        <v>210</v>
      </c>
      <c r="C134" s="34">
        <f>$C$11</f>
        <v>12978</v>
      </c>
      <c r="D134" s="158">
        <f t="shared" si="116"/>
        <v>3.2664258837446357E-2</v>
      </c>
      <c r="E134" s="155"/>
      <c r="F134" s="34">
        <v>0</v>
      </c>
      <c r="G134" s="34">
        <v>0</v>
      </c>
      <c r="H134" s="34">
        <v>0</v>
      </c>
      <c r="I134" s="34">
        <f t="shared" si="117"/>
        <v>596.69074763503863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119">
        <f t="shared" si="115"/>
        <v>596.69074763503863</v>
      </c>
      <c r="S134" s="119"/>
      <c r="T134" s="34">
        <f>+'40B0'!S24</f>
        <v>229150.95</v>
      </c>
      <c r="U134" s="505">
        <v>2.2499999999999998E-3</v>
      </c>
      <c r="V134" s="34">
        <f t="shared" si="118"/>
        <v>515.58963749999998</v>
      </c>
      <c r="W134" s="34">
        <f t="shared" si="119"/>
        <v>-496.33042986496145</v>
      </c>
      <c r="X134" s="34">
        <f t="shared" si="120"/>
        <v>19.259207635038535</v>
      </c>
      <c r="Y134" s="34">
        <f>+'40B0'!Q24</f>
        <v>256636.24000000005</v>
      </c>
      <c r="Z134" s="34">
        <f t="shared" si="121"/>
        <v>577.43154000000004</v>
      </c>
      <c r="AA134" s="34">
        <f t="shared" si="122"/>
        <v>596.69074763503863</v>
      </c>
    </row>
    <row r="135" spans="1:27" x14ac:dyDescent="0.35">
      <c r="B135" s="118" t="s">
        <v>212</v>
      </c>
      <c r="C135" s="43">
        <f>$C$12</f>
        <v>18000</v>
      </c>
      <c r="D135" s="159">
        <f t="shared" si="116"/>
        <v>4.5304103796735586E-2</v>
      </c>
      <c r="E135" s="154"/>
      <c r="F135" s="43">
        <v>0</v>
      </c>
      <c r="G135" s="43">
        <v>0</v>
      </c>
      <c r="H135" s="43">
        <v>0</v>
      </c>
      <c r="I135" s="43">
        <f t="shared" si="117"/>
        <v>528.57999255783523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119">
        <f t="shared" ref="R135" si="123">SUM(F135:Q135)</f>
        <v>528.57999255783523</v>
      </c>
      <c r="S135" s="124"/>
      <c r="T135" s="43">
        <f>+'40C0'!S24</f>
        <v>217500</v>
      </c>
      <c r="U135" s="505">
        <v>2.2499999999999998E-3</v>
      </c>
      <c r="V135" s="43">
        <f t="shared" si="118"/>
        <v>489.37499999999994</v>
      </c>
      <c r="W135" s="43">
        <f t="shared" si="119"/>
        <v>-471.09500744216467</v>
      </c>
      <c r="X135" s="43">
        <f t="shared" si="120"/>
        <v>18.279992557835271</v>
      </c>
      <c r="Y135" s="34">
        <f>+'40C0'!Q24</f>
        <v>226800</v>
      </c>
      <c r="Z135" s="43">
        <f t="shared" si="121"/>
        <v>510.29999999999995</v>
      </c>
      <c r="AA135" s="43">
        <f t="shared" si="122"/>
        <v>528.57999255783523</v>
      </c>
    </row>
    <row r="136" spans="1:27" x14ac:dyDescent="0.35">
      <c r="B136" s="133" t="s">
        <v>357</v>
      </c>
      <c r="C136" s="34">
        <f>SUM(C129:C135)</f>
        <v>397315</v>
      </c>
      <c r="D136" s="283">
        <f>SUM(D129:D135)</f>
        <v>1</v>
      </c>
      <c r="E136" s="284">
        <f>SUM(E129:E135)</f>
        <v>0</v>
      </c>
      <c r="F136" s="36">
        <f>SUM(F129:F135)</f>
        <v>0</v>
      </c>
      <c r="G136" s="135">
        <f t="shared" ref="G136" si="124">SUM(G129:G135)</f>
        <v>0</v>
      </c>
      <c r="H136" s="135">
        <f t="shared" ref="H136" si="125">SUM(H129:H135)</f>
        <v>0</v>
      </c>
      <c r="I136" s="36">
        <f>SUM(I129:I135)</f>
        <v>13821.101477975002</v>
      </c>
      <c r="J136" s="135">
        <f t="shared" ref="J136" si="126">SUM(J129:J135)</f>
        <v>0</v>
      </c>
      <c r="K136" s="135">
        <f t="shared" ref="K136" si="127">SUM(K129:K135)</f>
        <v>0</v>
      </c>
      <c r="L136" s="135">
        <f t="shared" ref="L136" si="128">SUM(L129:L135)</f>
        <v>0</v>
      </c>
      <c r="M136" s="135">
        <f t="shared" ref="M136" si="129">SUM(M129:M135)</f>
        <v>0</v>
      </c>
      <c r="N136" s="135">
        <f t="shared" ref="N136" si="130">SUM(N129:N135)</f>
        <v>0</v>
      </c>
      <c r="O136" s="135">
        <f t="shared" ref="O136" si="131">SUM(O129:O135)</f>
        <v>0</v>
      </c>
      <c r="P136" s="135">
        <f t="shared" ref="P136" si="132">SUM(P129:P135)</f>
        <v>0</v>
      </c>
      <c r="Q136" s="135">
        <f t="shared" ref="Q136" si="133">SUM(Q129:Q135)</f>
        <v>0</v>
      </c>
      <c r="R136" s="135">
        <f t="shared" ref="R136" si="134">SUM(R129:R135)</f>
        <v>13821.101477975002</v>
      </c>
      <c r="T136" s="34">
        <f>SUM(T129:T135)</f>
        <v>5988123.3200000003</v>
      </c>
      <c r="V136" s="34">
        <f>SUM(V129:V135)</f>
        <v>13473.277469999999</v>
      </c>
      <c r="W136" s="34">
        <f>SUM(W129:W135)</f>
        <v>-12970.000000000002</v>
      </c>
      <c r="X136" s="34">
        <f>SUM(X129:X135)</f>
        <v>503.27746999999994</v>
      </c>
      <c r="Z136" s="34">
        <f>SUM(Z129:Z135)</f>
        <v>13317.824007974999</v>
      </c>
      <c r="AA136" s="34">
        <f>SUM(AA129:AA135)</f>
        <v>13821.101477975002</v>
      </c>
    </row>
    <row r="137" spans="1:27" x14ac:dyDescent="0.35">
      <c r="S137" s="506"/>
      <c r="T137" s="34" t="s">
        <v>598</v>
      </c>
    </row>
    <row r="138" spans="1:27" ht="16.5" thickBot="1" x14ac:dyDescent="0.4"/>
    <row r="139" spans="1:27" ht="18" thickBot="1" x14ac:dyDescent="0.4">
      <c r="A139" s="34" t="s">
        <v>123</v>
      </c>
      <c r="B139" s="37" t="s">
        <v>482</v>
      </c>
      <c r="C139" s="127"/>
      <c r="D139" s="41"/>
      <c r="F139" s="41"/>
      <c r="P139" s="126"/>
      <c r="Q139" s="126"/>
      <c r="R139" s="263">
        <f>21184*2</f>
        <v>42368</v>
      </c>
      <c r="T139" s="31" t="s">
        <v>536</v>
      </c>
    </row>
    <row r="140" spans="1:27" x14ac:dyDescent="0.35">
      <c r="C140" s="123" t="s">
        <v>366</v>
      </c>
      <c r="D140" s="157" t="s">
        <v>578</v>
      </c>
      <c r="E140" s="123"/>
      <c r="F140" s="123" t="s">
        <v>0</v>
      </c>
      <c r="G140" s="123" t="s">
        <v>1</v>
      </c>
      <c r="H140" s="123" t="s">
        <v>2</v>
      </c>
      <c r="I140" s="123" t="s">
        <v>3</v>
      </c>
      <c r="J140" s="123" t="s">
        <v>4</v>
      </c>
      <c r="K140" s="123" t="s">
        <v>5</v>
      </c>
      <c r="L140" s="123" t="s">
        <v>6</v>
      </c>
      <c r="M140" s="123" t="s">
        <v>7</v>
      </c>
      <c r="N140" s="123" t="s">
        <v>8</v>
      </c>
      <c r="O140" s="123" t="s">
        <v>9</v>
      </c>
      <c r="P140" s="123" t="s">
        <v>10</v>
      </c>
      <c r="Q140" s="123" t="s">
        <v>11</v>
      </c>
      <c r="R140" s="123" t="s">
        <v>12</v>
      </c>
      <c r="S140" s="41"/>
      <c r="T140" s="34" t="s">
        <v>537</v>
      </c>
    </row>
    <row r="141" spans="1:27" x14ac:dyDescent="0.35">
      <c r="B141" s="118">
        <v>4050</v>
      </c>
      <c r="C141" s="34">
        <f>$C$6</f>
        <v>54008</v>
      </c>
      <c r="D141" s="158">
        <f>C141/$C$13</f>
        <v>0.13593244654744976</v>
      </c>
      <c r="E141" s="155"/>
      <c r="F141" s="34">
        <f>$R139*$D141/12</f>
        <v>479.93215794352932</v>
      </c>
      <c r="G141" s="34">
        <f t="shared" ref="G141:Q141" si="135">$R139*$D141/12</f>
        <v>479.93215794352932</v>
      </c>
      <c r="H141" s="34">
        <f t="shared" si="135"/>
        <v>479.93215794352932</v>
      </c>
      <c r="I141" s="34">
        <f t="shared" si="135"/>
        <v>479.93215794352932</v>
      </c>
      <c r="J141" s="34">
        <f t="shared" si="135"/>
        <v>479.93215794352932</v>
      </c>
      <c r="K141" s="34">
        <f t="shared" si="135"/>
        <v>479.93215794352932</v>
      </c>
      <c r="L141" s="34">
        <f t="shared" si="135"/>
        <v>479.93215794352932</v>
      </c>
      <c r="M141" s="34">
        <f t="shared" si="135"/>
        <v>479.93215794352932</v>
      </c>
      <c r="N141" s="34">
        <f t="shared" si="135"/>
        <v>479.93215794352932</v>
      </c>
      <c r="O141" s="34">
        <f t="shared" si="135"/>
        <v>479.93215794352932</v>
      </c>
      <c r="P141" s="34">
        <f t="shared" si="135"/>
        <v>479.93215794352932</v>
      </c>
      <c r="Q141" s="34">
        <f t="shared" si="135"/>
        <v>479.93215794352932</v>
      </c>
      <c r="R141" s="119">
        <f>SUM(F141:Q141)</f>
        <v>5759.18589532235</v>
      </c>
      <c r="S141" s="119"/>
      <c r="T141" s="54"/>
    </row>
    <row r="142" spans="1:27" x14ac:dyDescent="0.35">
      <c r="B142" s="118" t="s">
        <v>175</v>
      </c>
      <c r="C142" s="34">
        <f>$C$7</f>
        <v>107890</v>
      </c>
      <c r="D142" s="158">
        <f t="shared" ref="D142:D147" si="136">C142/$C$13</f>
        <v>0.27154776436832234</v>
      </c>
      <c r="E142" s="155"/>
      <c r="F142" s="34">
        <f>$R139*$D142/12</f>
        <v>958.74464006309006</v>
      </c>
      <c r="G142" s="34">
        <f t="shared" ref="G142:Q142" si="137">$R139*$D142/12</f>
        <v>958.74464006309006</v>
      </c>
      <c r="H142" s="34">
        <f t="shared" si="137"/>
        <v>958.74464006309006</v>
      </c>
      <c r="I142" s="34">
        <f t="shared" si="137"/>
        <v>958.74464006309006</v>
      </c>
      <c r="J142" s="34">
        <f t="shared" si="137"/>
        <v>958.74464006309006</v>
      </c>
      <c r="K142" s="34">
        <f t="shared" si="137"/>
        <v>958.74464006309006</v>
      </c>
      <c r="L142" s="34">
        <f t="shared" si="137"/>
        <v>958.74464006309006</v>
      </c>
      <c r="M142" s="34">
        <f t="shared" si="137"/>
        <v>958.74464006309006</v>
      </c>
      <c r="N142" s="34">
        <f t="shared" si="137"/>
        <v>958.74464006309006</v>
      </c>
      <c r="O142" s="34">
        <f t="shared" si="137"/>
        <v>958.74464006309006</v>
      </c>
      <c r="P142" s="34">
        <f t="shared" si="137"/>
        <v>958.74464006309006</v>
      </c>
      <c r="Q142" s="34">
        <f t="shared" si="137"/>
        <v>958.74464006309006</v>
      </c>
      <c r="R142" s="119">
        <f t="shared" ref="R142:R147" si="138">SUM(F142:Q142)</f>
        <v>11504.935680757082</v>
      </c>
      <c r="S142" s="119"/>
      <c r="T142" s="54"/>
    </row>
    <row r="143" spans="1:27" x14ac:dyDescent="0.35">
      <c r="B143" s="118" t="s">
        <v>186</v>
      </c>
      <c r="C143" s="34">
        <f>$C$8</f>
        <v>61508</v>
      </c>
      <c r="D143" s="158">
        <f t="shared" si="136"/>
        <v>0.15480915646275625</v>
      </c>
      <c r="E143" s="155"/>
      <c r="F143" s="34">
        <f>$R139*$D143/12</f>
        <v>546.57952841783811</v>
      </c>
      <c r="G143" s="34">
        <f t="shared" ref="G143:Q143" si="139">$R139*$D143/12</f>
        <v>546.57952841783811</v>
      </c>
      <c r="H143" s="34">
        <f t="shared" si="139"/>
        <v>546.57952841783811</v>
      </c>
      <c r="I143" s="34">
        <f t="shared" si="139"/>
        <v>546.57952841783811</v>
      </c>
      <c r="J143" s="34">
        <f t="shared" si="139"/>
        <v>546.57952841783811</v>
      </c>
      <c r="K143" s="34">
        <f t="shared" si="139"/>
        <v>546.57952841783811</v>
      </c>
      <c r="L143" s="34">
        <f t="shared" si="139"/>
        <v>546.57952841783811</v>
      </c>
      <c r="M143" s="34">
        <f t="shared" si="139"/>
        <v>546.57952841783811</v>
      </c>
      <c r="N143" s="34">
        <f t="shared" si="139"/>
        <v>546.57952841783811</v>
      </c>
      <c r="O143" s="34">
        <f t="shared" si="139"/>
        <v>546.57952841783811</v>
      </c>
      <c r="P143" s="34">
        <f t="shared" si="139"/>
        <v>546.57952841783811</v>
      </c>
      <c r="Q143" s="34">
        <f t="shared" si="139"/>
        <v>546.57952841783811</v>
      </c>
      <c r="R143" s="119">
        <f t="shared" si="138"/>
        <v>6558.9543410140586</v>
      </c>
      <c r="S143" s="119"/>
      <c r="T143" s="54"/>
    </row>
    <row r="144" spans="1:27" x14ac:dyDescent="0.35">
      <c r="B144" s="118" t="s">
        <v>196</v>
      </c>
      <c r="C144" s="34">
        <f>$C$9</f>
        <v>127848</v>
      </c>
      <c r="D144" s="158">
        <f t="shared" si="136"/>
        <v>0.32177994790028064</v>
      </c>
      <c r="E144" s="155"/>
      <c r="F144" s="34">
        <f>$R139*$D144/12</f>
        <v>1136.0977360532574</v>
      </c>
      <c r="G144" s="34">
        <f t="shared" ref="G144:Q144" si="140">$R139*$D144/12</f>
        <v>1136.0977360532574</v>
      </c>
      <c r="H144" s="34">
        <f t="shared" si="140"/>
        <v>1136.0977360532574</v>
      </c>
      <c r="I144" s="34">
        <f t="shared" si="140"/>
        <v>1136.0977360532574</v>
      </c>
      <c r="J144" s="34">
        <f t="shared" si="140"/>
        <v>1136.0977360532574</v>
      </c>
      <c r="K144" s="34">
        <f t="shared" si="140"/>
        <v>1136.0977360532574</v>
      </c>
      <c r="L144" s="34">
        <f t="shared" si="140"/>
        <v>1136.0977360532574</v>
      </c>
      <c r="M144" s="34">
        <f t="shared" si="140"/>
        <v>1136.0977360532574</v>
      </c>
      <c r="N144" s="34">
        <f t="shared" si="140"/>
        <v>1136.0977360532574</v>
      </c>
      <c r="O144" s="34">
        <f t="shared" si="140"/>
        <v>1136.0977360532574</v>
      </c>
      <c r="P144" s="34">
        <f t="shared" si="140"/>
        <v>1136.0977360532574</v>
      </c>
      <c r="Q144" s="34">
        <f t="shared" si="140"/>
        <v>1136.0977360532574</v>
      </c>
      <c r="R144" s="119">
        <f t="shared" si="138"/>
        <v>13633.172832639093</v>
      </c>
      <c r="S144" s="119"/>
      <c r="T144" s="54"/>
    </row>
    <row r="145" spans="1:20" x14ac:dyDescent="0.35">
      <c r="B145" s="118" t="s">
        <v>205</v>
      </c>
      <c r="C145" s="34">
        <f>$C$10</f>
        <v>15083</v>
      </c>
      <c r="D145" s="158">
        <f t="shared" si="136"/>
        <v>3.7962322087009046E-2</v>
      </c>
      <c r="E145" s="155"/>
      <c r="F145" s="34">
        <f>$R139*$D145/12</f>
        <v>134.0323051818666</v>
      </c>
      <c r="G145" s="34">
        <f t="shared" ref="G145:Q145" si="141">$R139*$D145/12</f>
        <v>134.0323051818666</v>
      </c>
      <c r="H145" s="34">
        <f t="shared" si="141"/>
        <v>134.0323051818666</v>
      </c>
      <c r="I145" s="34">
        <f t="shared" si="141"/>
        <v>134.0323051818666</v>
      </c>
      <c r="J145" s="34">
        <f t="shared" si="141"/>
        <v>134.0323051818666</v>
      </c>
      <c r="K145" s="34">
        <f t="shared" si="141"/>
        <v>134.0323051818666</v>
      </c>
      <c r="L145" s="34">
        <f t="shared" si="141"/>
        <v>134.0323051818666</v>
      </c>
      <c r="M145" s="34">
        <f t="shared" si="141"/>
        <v>134.0323051818666</v>
      </c>
      <c r="N145" s="34">
        <f t="shared" si="141"/>
        <v>134.0323051818666</v>
      </c>
      <c r="O145" s="34">
        <f t="shared" si="141"/>
        <v>134.0323051818666</v>
      </c>
      <c r="P145" s="34">
        <f t="shared" si="141"/>
        <v>134.0323051818666</v>
      </c>
      <c r="Q145" s="34">
        <f t="shared" si="141"/>
        <v>134.0323051818666</v>
      </c>
      <c r="R145" s="119">
        <f t="shared" si="138"/>
        <v>1608.3876621823993</v>
      </c>
      <c r="S145" s="119"/>
      <c r="T145" s="54"/>
    </row>
    <row r="146" spans="1:20" x14ac:dyDescent="0.35">
      <c r="B146" s="118" t="s">
        <v>210</v>
      </c>
      <c r="C146" s="34">
        <f>$C$11</f>
        <v>12978</v>
      </c>
      <c r="D146" s="158">
        <f t="shared" si="136"/>
        <v>3.2664258837446357E-2</v>
      </c>
      <c r="E146" s="155"/>
      <c r="F146" s="34">
        <f>$R139*$D146/12</f>
        <v>115.32660986874394</v>
      </c>
      <c r="G146" s="34">
        <f t="shared" ref="G146:Q146" si="142">$R139*$D146/12</f>
        <v>115.32660986874394</v>
      </c>
      <c r="H146" s="34">
        <f t="shared" si="142"/>
        <v>115.32660986874394</v>
      </c>
      <c r="I146" s="34">
        <f t="shared" si="142"/>
        <v>115.32660986874394</v>
      </c>
      <c r="J146" s="34">
        <f t="shared" si="142"/>
        <v>115.32660986874394</v>
      </c>
      <c r="K146" s="34">
        <f t="shared" si="142"/>
        <v>115.32660986874394</v>
      </c>
      <c r="L146" s="34">
        <f t="shared" si="142"/>
        <v>115.32660986874394</v>
      </c>
      <c r="M146" s="34">
        <f t="shared" si="142"/>
        <v>115.32660986874394</v>
      </c>
      <c r="N146" s="34">
        <f t="shared" si="142"/>
        <v>115.32660986874394</v>
      </c>
      <c r="O146" s="34">
        <f t="shared" si="142"/>
        <v>115.32660986874394</v>
      </c>
      <c r="P146" s="34">
        <f t="shared" si="142"/>
        <v>115.32660986874394</v>
      </c>
      <c r="Q146" s="34">
        <f t="shared" si="142"/>
        <v>115.32660986874394</v>
      </c>
      <c r="R146" s="119">
        <f t="shared" si="138"/>
        <v>1383.919318424927</v>
      </c>
      <c r="S146" s="119"/>
      <c r="T146" s="54"/>
    </row>
    <row r="147" spans="1:20" x14ac:dyDescent="0.35">
      <c r="B147" s="118" t="s">
        <v>212</v>
      </c>
      <c r="C147" s="43">
        <f>$C$12</f>
        <v>18000</v>
      </c>
      <c r="D147" s="159">
        <f t="shared" si="136"/>
        <v>4.5304103796735586E-2</v>
      </c>
      <c r="E147" s="154"/>
      <c r="F147" s="43">
        <f>IFERROR($R139*$D147/12,0)</f>
        <v>159.9536891383411</v>
      </c>
      <c r="G147" s="34">
        <f t="shared" ref="G147:Q147" si="143">IFERROR($R139*$D147/12,0)</f>
        <v>159.9536891383411</v>
      </c>
      <c r="H147" s="34">
        <f t="shared" si="143"/>
        <v>159.9536891383411</v>
      </c>
      <c r="I147" s="34">
        <f t="shared" si="143"/>
        <v>159.9536891383411</v>
      </c>
      <c r="J147" s="34">
        <f t="shared" si="143"/>
        <v>159.9536891383411</v>
      </c>
      <c r="K147" s="34">
        <f t="shared" si="143"/>
        <v>159.9536891383411</v>
      </c>
      <c r="L147" s="34">
        <f t="shared" si="143"/>
        <v>159.9536891383411</v>
      </c>
      <c r="M147" s="34">
        <f t="shared" si="143"/>
        <v>159.9536891383411</v>
      </c>
      <c r="N147" s="34">
        <f t="shared" si="143"/>
        <v>159.9536891383411</v>
      </c>
      <c r="O147" s="34">
        <f t="shared" si="143"/>
        <v>159.9536891383411</v>
      </c>
      <c r="P147" s="34">
        <f t="shared" si="143"/>
        <v>159.9536891383411</v>
      </c>
      <c r="Q147" s="34">
        <f t="shared" si="143"/>
        <v>159.9536891383411</v>
      </c>
      <c r="R147" s="119">
        <f t="shared" si="138"/>
        <v>1919.4442696600934</v>
      </c>
      <c r="S147" s="124"/>
      <c r="T147" s="54"/>
    </row>
    <row r="148" spans="1:20" x14ac:dyDescent="0.35">
      <c r="B148" s="133" t="s">
        <v>357</v>
      </c>
      <c r="C148" s="34">
        <f>SUM(C141:C147)</f>
        <v>397315</v>
      </c>
      <c r="D148" s="283">
        <f>SUM(D141:D147)</f>
        <v>1</v>
      </c>
      <c r="E148" s="284">
        <f>SUM(E141:E147)</f>
        <v>0</v>
      </c>
      <c r="F148" s="36">
        <f>SUM(F141:F147)</f>
        <v>3530.6666666666661</v>
      </c>
      <c r="G148" s="135">
        <f t="shared" ref="G148" si="144">SUM(G141:G147)</f>
        <v>3530.6666666666661</v>
      </c>
      <c r="H148" s="135">
        <f t="shared" ref="H148" si="145">SUM(H141:H147)</f>
        <v>3530.6666666666661</v>
      </c>
      <c r="I148" s="135">
        <f>SUM(I141:I147)</f>
        <v>3530.6666666666661</v>
      </c>
      <c r="J148" s="135">
        <f t="shared" ref="J148" si="146">SUM(J141:J147)</f>
        <v>3530.6666666666661</v>
      </c>
      <c r="K148" s="135">
        <f t="shared" ref="K148" si="147">SUM(K141:K147)</f>
        <v>3530.6666666666661</v>
      </c>
      <c r="L148" s="135">
        <f t="shared" ref="L148" si="148">SUM(L141:L147)</f>
        <v>3530.6666666666661</v>
      </c>
      <c r="M148" s="135">
        <f t="shared" ref="M148" si="149">SUM(M141:M147)</f>
        <v>3530.6666666666661</v>
      </c>
      <c r="N148" s="135">
        <f t="shared" ref="N148" si="150">SUM(N141:N147)</f>
        <v>3530.6666666666661</v>
      </c>
      <c r="O148" s="135">
        <f t="shared" ref="O148" si="151">SUM(O141:O147)</f>
        <v>3530.6666666666661</v>
      </c>
      <c r="P148" s="135">
        <f t="shared" ref="P148" si="152">SUM(P141:P147)</f>
        <v>3530.6666666666661</v>
      </c>
      <c r="Q148" s="135">
        <f t="shared" ref="Q148" si="153">SUM(Q141:Q147)</f>
        <v>3530.6666666666661</v>
      </c>
      <c r="R148" s="135">
        <f t="shared" ref="R148" si="154">SUM(R141:R147)</f>
        <v>42368.000000000007</v>
      </c>
      <c r="S148" s="125"/>
      <c r="T148" s="54"/>
    </row>
    <row r="149" spans="1:20" ht="16.5" thickBot="1" x14ac:dyDescent="0.4"/>
    <row r="150" spans="1:20" ht="18" thickBot="1" x14ac:dyDescent="0.4">
      <c r="A150" s="34" t="s">
        <v>130</v>
      </c>
      <c r="B150" s="37" t="s">
        <v>483</v>
      </c>
      <c r="C150" s="127"/>
      <c r="D150" s="41"/>
      <c r="E150" s="41"/>
      <c r="P150" s="126"/>
      <c r="Q150" s="126"/>
      <c r="R150" s="263">
        <f>1860*1.03</f>
        <v>1915.8</v>
      </c>
    </row>
    <row r="151" spans="1:20" x14ac:dyDescent="0.35">
      <c r="C151" s="123" t="s">
        <v>366</v>
      </c>
      <c r="D151" s="157" t="s">
        <v>578</v>
      </c>
      <c r="E151" s="123"/>
      <c r="F151" s="123" t="s">
        <v>0</v>
      </c>
      <c r="G151" s="123" t="s">
        <v>1</v>
      </c>
      <c r="H151" s="123" t="s">
        <v>2</v>
      </c>
      <c r="I151" s="123" t="s">
        <v>3</v>
      </c>
      <c r="J151" s="123" t="s">
        <v>4</v>
      </c>
      <c r="K151" s="123" t="s">
        <v>5</v>
      </c>
      <c r="L151" s="123" t="s">
        <v>6</v>
      </c>
      <c r="M151" s="123" t="s">
        <v>7</v>
      </c>
      <c r="N151" s="123" t="s">
        <v>8</v>
      </c>
      <c r="O151" s="123" t="s">
        <v>9</v>
      </c>
      <c r="P151" s="123" t="s">
        <v>10</v>
      </c>
      <c r="Q151" s="123" t="s">
        <v>11</v>
      </c>
      <c r="R151" s="123" t="s">
        <v>12</v>
      </c>
      <c r="S151" s="41"/>
      <c r="T151" s="54"/>
    </row>
    <row r="152" spans="1:20" x14ac:dyDescent="0.35">
      <c r="B152" s="118">
        <v>4050</v>
      </c>
      <c r="C152" s="34">
        <f>$C$6</f>
        <v>54008</v>
      </c>
      <c r="D152" s="158">
        <f>C152/$C$13</f>
        <v>0.13593244654744976</v>
      </c>
      <c r="E152" s="155"/>
      <c r="F152" s="34">
        <f>$R150*$D152/12</f>
        <v>21.701615091300354</v>
      </c>
      <c r="G152" s="34">
        <f t="shared" ref="G152:Q152" si="155">$R150*$D152/12</f>
        <v>21.701615091300354</v>
      </c>
      <c r="H152" s="34">
        <f t="shared" si="155"/>
        <v>21.701615091300354</v>
      </c>
      <c r="I152" s="34">
        <f t="shared" si="155"/>
        <v>21.701615091300354</v>
      </c>
      <c r="J152" s="34">
        <f t="shared" si="155"/>
        <v>21.701615091300354</v>
      </c>
      <c r="K152" s="34">
        <f t="shared" si="155"/>
        <v>21.701615091300354</v>
      </c>
      <c r="L152" s="34">
        <f t="shared" si="155"/>
        <v>21.701615091300354</v>
      </c>
      <c r="M152" s="34">
        <f t="shared" si="155"/>
        <v>21.701615091300354</v>
      </c>
      <c r="N152" s="34">
        <f t="shared" si="155"/>
        <v>21.701615091300354</v>
      </c>
      <c r="O152" s="34">
        <f t="shared" si="155"/>
        <v>21.701615091300354</v>
      </c>
      <c r="P152" s="34">
        <f t="shared" si="155"/>
        <v>21.701615091300354</v>
      </c>
      <c r="Q152" s="34">
        <f t="shared" si="155"/>
        <v>21.701615091300354</v>
      </c>
      <c r="R152" s="119">
        <f>SUM(F152:Q152)</f>
        <v>260.41938109560431</v>
      </c>
      <c r="S152" s="119"/>
      <c r="T152" s="54"/>
    </row>
    <row r="153" spans="1:20" x14ac:dyDescent="0.35">
      <c r="B153" s="118" t="s">
        <v>175</v>
      </c>
      <c r="C153" s="34">
        <f>$C$7</f>
        <v>107890</v>
      </c>
      <c r="D153" s="158">
        <f t="shared" ref="D153:D158" si="156">C153/$C$13</f>
        <v>0.27154776436832234</v>
      </c>
      <c r="E153" s="155"/>
      <c r="F153" s="34">
        <f>$R150*$D153/12</f>
        <v>43.352600581402662</v>
      </c>
      <c r="G153" s="34">
        <f t="shared" ref="G153:Q153" si="157">$R150*$D153/12</f>
        <v>43.352600581402662</v>
      </c>
      <c r="H153" s="34">
        <f t="shared" si="157"/>
        <v>43.352600581402662</v>
      </c>
      <c r="I153" s="34">
        <f t="shared" si="157"/>
        <v>43.352600581402662</v>
      </c>
      <c r="J153" s="34">
        <f t="shared" si="157"/>
        <v>43.352600581402662</v>
      </c>
      <c r="K153" s="34">
        <f t="shared" si="157"/>
        <v>43.352600581402662</v>
      </c>
      <c r="L153" s="34">
        <f t="shared" si="157"/>
        <v>43.352600581402662</v>
      </c>
      <c r="M153" s="34">
        <f t="shared" si="157"/>
        <v>43.352600581402662</v>
      </c>
      <c r="N153" s="34">
        <f t="shared" si="157"/>
        <v>43.352600581402662</v>
      </c>
      <c r="O153" s="34">
        <f t="shared" si="157"/>
        <v>43.352600581402662</v>
      </c>
      <c r="P153" s="34">
        <f t="shared" si="157"/>
        <v>43.352600581402662</v>
      </c>
      <c r="Q153" s="34">
        <f t="shared" si="157"/>
        <v>43.352600581402662</v>
      </c>
      <c r="R153" s="119">
        <f t="shared" ref="R153:R157" si="158">SUM(F153:Q153)</f>
        <v>520.23120697683191</v>
      </c>
      <c r="S153" s="119"/>
      <c r="T153" s="54"/>
    </row>
    <row r="154" spans="1:20" x14ac:dyDescent="0.35">
      <c r="B154" s="118" t="s">
        <v>186</v>
      </c>
      <c r="C154" s="34">
        <f>$C$8</f>
        <v>61508</v>
      </c>
      <c r="D154" s="158">
        <f t="shared" si="156"/>
        <v>0.15480915646275625</v>
      </c>
      <c r="E154" s="155"/>
      <c r="F154" s="34">
        <f>$R150*$D154/12</f>
        <v>24.715281829279036</v>
      </c>
      <c r="G154" s="34">
        <f t="shared" ref="G154:Q154" si="159">$R150*$D154/12</f>
        <v>24.715281829279036</v>
      </c>
      <c r="H154" s="34">
        <f t="shared" si="159"/>
        <v>24.715281829279036</v>
      </c>
      <c r="I154" s="34">
        <f t="shared" si="159"/>
        <v>24.715281829279036</v>
      </c>
      <c r="J154" s="34">
        <f t="shared" si="159"/>
        <v>24.715281829279036</v>
      </c>
      <c r="K154" s="34">
        <f t="shared" si="159"/>
        <v>24.715281829279036</v>
      </c>
      <c r="L154" s="34">
        <f t="shared" si="159"/>
        <v>24.715281829279036</v>
      </c>
      <c r="M154" s="34">
        <f t="shared" si="159"/>
        <v>24.715281829279036</v>
      </c>
      <c r="N154" s="34">
        <f t="shared" si="159"/>
        <v>24.715281829279036</v>
      </c>
      <c r="O154" s="34">
        <f t="shared" si="159"/>
        <v>24.715281829279036</v>
      </c>
      <c r="P154" s="34">
        <f t="shared" si="159"/>
        <v>24.715281829279036</v>
      </c>
      <c r="Q154" s="34">
        <f t="shared" si="159"/>
        <v>24.715281829279036</v>
      </c>
      <c r="R154" s="119">
        <f t="shared" si="158"/>
        <v>296.58338195134843</v>
      </c>
      <c r="S154" s="119"/>
      <c r="T154" s="54"/>
    </row>
    <row r="155" spans="1:20" x14ac:dyDescent="0.35">
      <c r="B155" s="118" t="s">
        <v>196</v>
      </c>
      <c r="C155" s="34">
        <f>$C$9</f>
        <v>127848</v>
      </c>
      <c r="D155" s="158">
        <f t="shared" si="156"/>
        <v>0.32177994790028064</v>
      </c>
      <c r="E155" s="155"/>
      <c r="F155" s="34">
        <f>$R150*$D155/12</f>
        <v>51.372168682279806</v>
      </c>
      <c r="G155" s="34">
        <f t="shared" ref="G155:Q155" si="160">$R150*$D155/12</f>
        <v>51.372168682279806</v>
      </c>
      <c r="H155" s="34">
        <f t="shared" si="160"/>
        <v>51.372168682279806</v>
      </c>
      <c r="I155" s="34">
        <f t="shared" si="160"/>
        <v>51.372168682279806</v>
      </c>
      <c r="J155" s="34">
        <f t="shared" si="160"/>
        <v>51.372168682279806</v>
      </c>
      <c r="K155" s="34">
        <f t="shared" si="160"/>
        <v>51.372168682279806</v>
      </c>
      <c r="L155" s="34">
        <f t="shared" si="160"/>
        <v>51.372168682279806</v>
      </c>
      <c r="M155" s="34">
        <f t="shared" si="160"/>
        <v>51.372168682279806</v>
      </c>
      <c r="N155" s="34">
        <f t="shared" si="160"/>
        <v>51.372168682279806</v>
      </c>
      <c r="O155" s="34">
        <f t="shared" si="160"/>
        <v>51.372168682279806</v>
      </c>
      <c r="P155" s="34">
        <f t="shared" si="160"/>
        <v>51.372168682279806</v>
      </c>
      <c r="Q155" s="34">
        <f t="shared" si="160"/>
        <v>51.372168682279806</v>
      </c>
      <c r="R155" s="119">
        <f t="shared" si="158"/>
        <v>616.4660241873579</v>
      </c>
      <c r="S155" s="119"/>
      <c r="T155" s="54"/>
    </row>
    <row r="156" spans="1:20" x14ac:dyDescent="0.35">
      <c r="B156" s="118" t="s">
        <v>205</v>
      </c>
      <c r="C156" s="34">
        <f>$C$10</f>
        <v>15083</v>
      </c>
      <c r="D156" s="158">
        <f t="shared" si="156"/>
        <v>3.7962322087009046E-2</v>
      </c>
      <c r="E156" s="155"/>
      <c r="F156" s="34">
        <f>$R150*$D156/12</f>
        <v>6.0606847211909942</v>
      </c>
      <c r="G156" s="34">
        <f t="shared" ref="G156:Q156" si="161">$R150*$D156/12</f>
        <v>6.0606847211909942</v>
      </c>
      <c r="H156" s="34">
        <f t="shared" si="161"/>
        <v>6.0606847211909942</v>
      </c>
      <c r="I156" s="34">
        <f t="shared" si="161"/>
        <v>6.0606847211909942</v>
      </c>
      <c r="J156" s="34">
        <f t="shared" si="161"/>
        <v>6.0606847211909942</v>
      </c>
      <c r="K156" s="34">
        <f t="shared" si="161"/>
        <v>6.0606847211909942</v>
      </c>
      <c r="L156" s="34">
        <f t="shared" si="161"/>
        <v>6.0606847211909942</v>
      </c>
      <c r="M156" s="34">
        <f t="shared" si="161"/>
        <v>6.0606847211909942</v>
      </c>
      <c r="N156" s="34">
        <f t="shared" si="161"/>
        <v>6.0606847211909942</v>
      </c>
      <c r="O156" s="34">
        <f t="shared" si="161"/>
        <v>6.0606847211909942</v>
      </c>
      <c r="P156" s="34">
        <f t="shared" si="161"/>
        <v>6.0606847211909942</v>
      </c>
      <c r="Q156" s="34">
        <f t="shared" si="161"/>
        <v>6.0606847211909942</v>
      </c>
      <c r="R156" s="119">
        <f t="shared" si="158"/>
        <v>72.728216654291927</v>
      </c>
      <c r="S156" s="119"/>
      <c r="T156" s="54"/>
    </row>
    <row r="157" spans="1:20" x14ac:dyDescent="0.35">
      <c r="B157" s="118" t="s">
        <v>210</v>
      </c>
      <c r="C157" s="34">
        <f>$C$11</f>
        <v>12978</v>
      </c>
      <c r="D157" s="158">
        <f t="shared" si="156"/>
        <v>3.2664258837446357E-2</v>
      </c>
      <c r="E157" s="155"/>
      <c r="F157" s="34">
        <f>$R150*$D157/12</f>
        <v>5.2148489233983106</v>
      </c>
      <c r="G157" s="34">
        <f t="shared" ref="G157:Q157" si="162">$R150*$D157/12</f>
        <v>5.2148489233983106</v>
      </c>
      <c r="H157" s="34">
        <f t="shared" si="162"/>
        <v>5.2148489233983106</v>
      </c>
      <c r="I157" s="34">
        <f t="shared" si="162"/>
        <v>5.2148489233983106</v>
      </c>
      <c r="J157" s="34">
        <f t="shared" si="162"/>
        <v>5.2148489233983106</v>
      </c>
      <c r="K157" s="34">
        <f t="shared" si="162"/>
        <v>5.2148489233983106</v>
      </c>
      <c r="L157" s="34">
        <f t="shared" si="162"/>
        <v>5.2148489233983106</v>
      </c>
      <c r="M157" s="34">
        <f t="shared" si="162"/>
        <v>5.2148489233983106</v>
      </c>
      <c r="N157" s="34">
        <f t="shared" si="162"/>
        <v>5.2148489233983106</v>
      </c>
      <c r="O157" s="34">
        <f t="shared" si="162"/>
        <v>5.2148489233983106</v>
      </c>
      <c r="P157" s="34">
        <f t="shared" si="162"/>
        <v>5.2148489233983106</v>
      </c>
      <c r="Q157" s="34">
        <f t="shared" si="162"/>
        <v>5.2148489233983106</v>
      </c>
      <c r="R157" s="119">
        <f t="shared" si="158"/>
        <v>62.578187080779713</v>
      </c>
      <c r="S157" s="119"/>
      <c r="T157" s="54"/>
    </row>
    <row r="158" spans="1:20" x14ac:dyDescent="0.35">
      <c r="B158" s="118" t="s">
        <v>212</v>
      </c>
      <c r="C158" s="43">
        <f>$C$12</f>
        <v>18000</v>
      </c>
      <c r="D158" s="159">
        <f t="shared" si="156"/>
        <v>4.5304103796735586E-2</v>
      </c>
      <c r="E158" s="154"/>
      <c r="F158" s="43">
        <f>IFERROR($R150*$D158/12,0)</f>
        <v>7.2328001711488357</v>
      </c>
      <c r="G158" s="34">
        <f t="shared" ref="G158:Q158" si="163">IFERROR($R150*$D158/12,0)</f>
        <v>7.2328001711488357</v>
      </c>
      <c r="H158" s="34">
        <f t="shared" si="163"/>
        <v>7.2328001711488357</v>
      </c>
      <c r="I158" s="34">
        <f t="shared" si="163"/>
        <v>7.2328001711488357</v>
      </c>
      <c r="J158" s="34">
        <f t="shared" si="163"/>
        <v>7.2328001711488357</v>
      </c>
      <c r="K158" s="34">
        <f t="shared" si="163"/>
        <v>7.2328001711488357</v>
      </c>
      <c r="L158" s="34">
        <f t="shared" si="163"/>
        <v>7.2328001711488357</v>
      </c>
      <c r="M158" s="34">
        <f t="shared" si="163"/>
        <v>7.2328001711488357</v>
      </c>
      <c r="N158" s="34">
        <f t="shared" si="163"/>
        <v>7.2328001711488357</v>
      </c>
      <c r="O158" s="34">
        <f t="shared" si="163"/>
        <v>7.2328001711488357</v>
      </c>
      <c r="P158" s="34">
        <f t="shared" si="163"/>
        <v>7.2328001711488357</v>
      </c>
      <c r="Q158" s="34">
        <f t="shared" si="163"/>
        <v>7.2328001711488357</v>
      </c>
      <c r="R158" s="119">
        <f t="shared" ref="R158" si="164">IFERROR($R150*$E158/12,0)</f>
        <v>0</v>
      </c>
      <c r="S158" s="124"/>
      <c r="T158" s="54"/>
    </row>
    <row r="159" spans="1:20" x14ac:dyDescent="0.35">
      <c r="B159" s="133" t="s">
        <v>357</v>
      </c>
      <c r="C159" s="34">
        <f>SUM(C152:C158)</f>
        <v>397315</v>
      </c>
      <c r="D159" s="283">
        <f>SUM(D152:D158)</f>
        <v>1</v>
      </c>
      <c r="E159" s="284">
        <f>SUM(E152:E158)</f>
        <v>0</v>
      </c>
      <c r="F159" s="36">
        <f>SUM(F152:F158)</f>
        <v>159.64999999999998</v>
      </c>
      <c r="G159" s="135">
        <f t="shared" ref="G159" si="165">SUM(G152:G158)</f>
        <v>159.64999999999998</v>
      </c>
      <c r="H159" s="135">
        <f t="shared" ref="H159" si="166">SUM(H152:H158)</f>
        <v>159.64999999999998</v>
      </c>
      <c r="I159" s="135">
        <f>SUM(I152:I158)</f>
        <v>159.64999999999998</v>
      </c>
      <c r="J159" s="135">
        <f t="shared" ref="J159" si="167">SUM(J152:J158)</f>
        <v>159.64999999999998</v>
      </c>
      <c r="K159" s="135">
        <f t="shared" ref="K159" si="168">SUM(K152:K158)</f>
        <v>159.64999999999998</v>
      </c>
      <c r="L159" s="135">
        <f t="shared" ref="L159" si="169">SUM(L152:L158)</f>
        <v>159.64999999999998</v>
      </c>
      <c r="M159" s="135">
        <f t="shared" ref="M159" si="170">SUM(M152:M158)</f>
        <v>159.64999999999998</v>
      </c>
      <c r="N159" s="135">
        <f t="shared" ref="N159" si="171">SUM(N152:N158)</f>
        <v>159.64999999999998</v>
      </c>
      <c r="O159" s="135">
        <f t="shared" ref="O159" si="172">SUM(O152:O158)</f>
        <v>159.64999999999998</v>
      </c>
      <c r="P159" s="135">
        <f t="shared" ref="P159" si="173">SUM(P152:P158)</f>
        <v>159.64999999999998</v>
      </c>
      <c r="Q159" s="135">
        <f t="shared" ref="Q159" si="174">SUM(Q152:Q158)</f>
        <v>159.64999999999998</v>
      </c>
      <c r="R159" s="135">
        <f t="shared" ref="R159" si="175">SUM(R152:R158)</f>
        <v>1829.0063979462141</v>
      </c>
      <c r="S159" s="125"/>
      <c r="T159" s="54"/>
    </row>
    <row r="160" spans="1:20" ht="16.5" thickBot="1" x14ac:dyDescent="0.4"/>
    <row r="161" spans="1:20" ht="18" thickBot="1" x14ac:dyDescent="0.4">
      <c r="A161" s="34" t="s">
        <v>146</v>
      </c>
      <c r="B161" s="37" t="s">
        <v>486</v>
      </c>
      <c r="C161" s="127"/>
      <c r="D161" s="41"/>
      <c r="E161" s="41"/>
      <c r="P161" s="126"/>
      <c r="Q161" s="126"/>
      <c r="R161" s="263"/>
      <c r="T161" s="34" t="s">
        <v>306</v>
      </c>
    </row>
    <row r="162" spans="1:20" x14ac:dyDescent="0.35">
      <c r="C162" s="123" t="s">
        <v>366</v>
      </c>
      <c r="D162" s="157" t="s">
        <v>578</v>
      </c>
      <c r="E162" s="123"/>
      <c r="F162" s="123" t="s">
        <v>0</v>
      </c>
      <c r="G162" s="123" t="s">
        <v>1</v>
      </c>
      <c r="H162" s="123" t="s">
        <v>2</v>
      </c>
      <c r="I162" s="123" t="s">
        <v>3</v>
      </c>
      <c r="J162" s="123" t="s">
        <v>4</v>
      </c>
      <c r="K162" s="123" t="s">
        <v>5</v>
      </c>
      <c r="L162" s="123" t="s">
        <v>6</v>
      </c>
      <c r="M162" s="123" t="s">
        <v>7</v>
      </c>
      <c r="N162" s="123" t="s">
        <v>8</v>
      </c>
      <c r="O162" s="123" t="s">
        <v>9</v>
      </c>
      <c r="P162" s="123" t="s">
        <v>10</v>
      </c>
      <c r="Q162" s="123" t="s">
        <v>11</v>
      </c>
      <c r="R162" s="123" t="s">
        <v>12</v>
      </c>
      <c r="S162" s="41"/>
      <c r="T162" s="54"/>
    </row>
    <row r="163" spans="1:20" x14ac:dyDescent="0.35">
      <c r="B163" s="118">
        <v>4050</v>
      </c>
      <c r="C163" s="34">
        <f>$C$6</f>
        <v>54008</v>
      </c>
      <c r="D163" s="158">
        <f>C163/$C$13</f>
        <v>0.13593244654744976</v>
      </c>
      <c r="E163" s="155"/>
      <c r="F163" s="34">
        <f t="shared" ref="F163:Q163" si="176">$R161*$D163/12</f>
        <v>0</v>
      </c>
      <c r="G163" s="34">
        <f t="shared" si="176"/>
        <v>0</v>
      </c>
      <c r="H163" s="34">
        <f t="shared" si="176"/>
        <v>0</v>
      </c>
      <c r="I163" s="34">
        <f t="shared" si="176"/>
        <v>0</v>
      </c>
      <c r="J163" s="34">
        <f t="shared" si="176"/>
        <v>0</v>
      </c>
      <c r="K163" s="34">
        <f t="shared" si="176"/>
        <v>0</v>
      </c>
      <c r="L163" s="34">
        <f t="shared" si="176"/>
        <v>0</v>
      </c>
      <c r="M163" s="34">
        <f t="shared" si="176"/>
        <v>0</v>
      </c>
      <c r="N163" s="34">
        <f t="shared" si="176"/>
        <v>0</v>
      </c>
      <c r="O163" s="34">
        <f t="shared" si="176"/>
        <v>0</v>
      </c>
      <c r="P163" s="34">
        <f t="shared" si="176"/>
        <v>0</v>
      </c>
      <c r="Q163" s="34">
        <f t="shared" si="176"/>
        <v>0</v>
      </c>
      <c r="R163" s="119">
        <f>SUM(F163:Q163)</f>
        <v>0</v>
      </c>
      <c r="S163" s="119"/>
      <c r="T163" s="54"/>
    </row>
    <row r="164" spans="1:20" x14ac:dyDescent="0.35">
      <c r="B164" s="118" t="s">
        <v>175</v>
      </c>
      <c r="C164" s="34">
        <f>$C$7</f>
        <v>107890</v>
      </c>
      <c r="D164" s="158">
        <f t="shared" ref="D164:D169" si="177">C164/$C$13</f>
        <v>0.27154776436832234</v>
      </c>
      <c r="E164" s="155"/>
      <c r="F164" s="34">
        <f t="shared" ref="F164:Q164" si="178">$R161*$D164/12</f>
        <v>0</v>
      </c>
      <c r="G164" s="34">
        <f t="shared" si="178"/>
        <v>0</v>
      </c>
      <c r="H164" s="34">
        <f t="shared" si="178"/>
        <v>0</v>
      </c>
      <c r="I164" s="34">
        <f t="shared" si="178"/>
        <v>0</v>
      </c>
      <c r="J164" s="34">
        <f t="shared" si="178"/>
        <v>0</v>
      </c>
      <c r="K164" s="34">
        <f t="shared" si="178"/>
        <v>0</v>
      </c>
      <c r="L164" s="34">
        <f t="shared" si="178"/>
        <v>0</v>
      </c>
      <c r="M164" s="34">
        <f t="shared" si="178"/>
        <v>0</v>
      </c>
      <c r="N164" s="34">
        <f t="shared" si="178"/>
        <v>0</v>
      </c>
      <c r="O164" s="34">
        <f t="shared" si="178"/>
        <v>0</v>
      </c>
      <c r="P164" s="34">
        <f t="shared" si="178"/>
        <v>0</v>
      </c>
      <c r="Q164" s="34">
        <f t="shared" si="178"/>
        <v>0</v>
      </c>
      <c r="R164" s="119">
        <f t="shared" ref="R164:R169" si="179">SUM(F164:Q164)</f>
        <v>0</v>
      </c>
      <c r="S164" s="119"/>
      <c r="T164" s="54"/>
    </row>
    <row r="165" spans="1:20" x14ac:dyDescent="0.35">
      <c r="B165" s="118" t="s">
        <v>186</v>
      </c>
      <c r="C165" s="34">
        <f>$C$8</f>
        <v>61508</v>
      </c>
      <c r="D165" s="158">
        <f t="shared" si="177"/>
        <v>0.15480915646275625</v>
      </c>
      <c r="E165" s="155"/>
      <c r="F165" s="34">
        <f t="shared" ref="F165:Q165" si="180">$R161*$D165/12</f>
        <v>0</v>
      </c>
      <c r="G165" s="34">
        <f t="shared" si="180"/>
        <v>0</v>
      </c>
      <c r="H165" s="34">
        <f t="shared" si="180"/>
        <v>0</v>
      </c>
      <c r="I165" s="34">
        <f t="shared" si="180"/>
        <v>0</v>
      </c>
      <c r="J165" s="34">
        <f t="shared" si="180"/>
        <v>0</v>
      </c>
      <c r="K165" s="34">
        <f t="shared" si="180"/>
        <v>0</v>
      </c>
      <c r="L165" s="34">
        <f t="shared" si="180"/>
        <v>0</v>
      </c>
      <c r="M165" s="34">
        <f t="shared" si="180"/>
        <v>0</v>
      </c>
      <c r="N165" s="34">
        <f t="shared" si="180"/>
        <v>0</v>
      </c>
      <c r="O165" s="34">
        <f t="shared" si="180"/>
        <v>0</v>
      </c>
      <c r="P165" s="34">
        <f t="shared" si="180"/>
        <v>0</v>
      </c>
      <c r="Q165" s="34">
        <f t="shared" si="180"/>
        <v>0</v>
      </c>
      <c r="R165" s="119">
        <f t="shared" si="179"/>
        <v>0</v>
      </c>
      <c r="S165" s="119"/>
      <c r="T165" s="54"/>
    </row>
    <row r="166" spans="1:20" x14ac:dyDescent="0.35">
      <c r="B166" s="118" t="s">
        <v>196</v>
      </c>
      <c r="C166" s="34">
        <f>$C$9</f>
        <v>127848</v>
      </c>
      <c r="D166" s="158">
        <f t="shared" si="177"/>
        <v>0.32177994790028064</v>
      </c>
      <c r="E166" s="155"/>
      <c r="F166" s="34">
        <f t="shared" ref="F166:Q166" si="181">$R161*$D166/12</f>
        <v>0</v>
      </c>
      <c r="G166" s="34">
        <f t="shared" si="181"/>
        <v>0</v>
      </c>
      <c r="H166" s="34">
        <f t="shared" si="181"/>
        <v>0</v>
      </c>
      <c r="I166" s="34">
        <f t="shared" si="181"/>
        <v>0</v>
      </c>
      <c r="J166" s="34">
        <f t="shared" si="181"/>
        <v>0</v>
      </c>
      <c r="K166" s="34">
        <f t="shared" si="181"/>
        <v>0</v>
      </c>
      <c r="L166" s="34">
        <f t="shared" si="181"/>
        <v>0</v>
      </c>
      <c r="M166" s="34">
        <f t="shared" si="181"/>
        <v>0</v>
      </c>
      <c r="N166" s="34">
        <f t="shared" si="181"/>
        <v>0</v>
      </c>
      <c r="O166" s="34">
        <f t="shared" si="181"/>
        <v>0</v>
      </c>
      <c r="P166" s="34">
        <f t="shared" si="181"/>
        <v>0</v>
      </c>
      <c r="Q166" s="34">
        <f t="shared" si="181"/>
        <v>0</v>
      </c>
      <c r="R166" s="119">
        <f t="shared" si="179"/>
        <v>0</v>
      </c>
      <c r="S166" s="119"/>
      <c r="T166" s="54"/>
    </row>
    <row r="167" spans="1:20" x14ac:dyDescent="0.35">
      <c r="B167" s="118" t="s">
        <v>205</v>
      </c>
      <c r="C167" s="34">
        <f>$C$10</f>
        <v>15083</v>
      </c>
      <c r="D167" s="158">
        <f t="shared" si="177"/>
        <v>3.7962322087009046E-2</v>
      </c>
      <c r="E167" s="155"/>
      <c r="F167" s="34">
        <f t="shared" ref="F167:Q167" si="182">$R161*$D167/12</f>
        <v>0</v>
      </c>
      <c r="G167" s="34">
        <f t="shared" si="182"/>
        <v>0</v>
      </c>
      <c r="H167" s="34">
        <f t="shared" si="182"/>
        <v>0</v>
      </c>
      <c r="I167" s="34">
        <f t="shared" si="182"/>
        <v>0</v>
      </c>
      <c r="J167" s="34">
        <f t="shared" si="182"/>
        <v>0</v>
      </c>
      <c r="K167" s="34">
        <f t="shared" si="182"/>
        <v>0</v>
      </c>
      <c r="L167" s="34">
        <f t="shared" si="182"/>
        <v>0</v>
      </c>
      <c r="M167" s="34">
        <f t="shared" si="182"/>
        <v>0</v>
      </c>
      <c r="N167" s="34">
        <f t="shared" si="182"/>
        <v>0</v>
      </c>
      <c r="O167" s="34">
        <f t="shared" si="182"/>
        <v>0</v>
      </c>
      <c r="P167" s="34">
        <f t="shared" si="182"/>
        <v>0</v>
      </c>
      <c r="Q167" s="34">
        <f t="shared" si="182"/>
        <v>0</v>
      </c>
      <c r="R167" s="119">
        <f t="shared" si="179"/>
        <v>0</v>
      </c>
      <c r="S167" s="119"/>
      <c r="T167" s="54"/>
    </row>
    <row r="168" spans="1:20" x14ac:dyDescent="0.35">
      <c r="B168" s="118" t="s">
        <v>210</v>
      </c>
      <c r="C168" s="34">
        <f>$C$11</f>
        <v>12978</v>
      </c>
      <c r="D168" s="158">
        <f t="shared" si="177"/>
        <v>3.2664258837446357E-2</v>
      </c>
      <c r="E168" s="155"/>
      <c r="F168" s="34">
        <f t="shared" ref="F168:Q168" si="183">$R161*$D168/12</f>
        <v>0</v>
      </c>
      <c r="G168" s="34">
        <f t="shared" si="183"/>
        <v>0</v>
      </c>
      <c r="H168" s="34">
        <f t="shared" si="183"/>
        <v>0</v>
      </c>
      <c r="I168" s="34">
        <f t="shared" si="183"/>
        <v>0</v>
      </c>
      <c r="J168" s="34">
        <f t="shared" si="183"/>
        <v>0</v>
      </c>
      <c r="K168" s="34">
        <f t="shared" si="183"/>
        <v>0</v>
      </c>
      <c r="L168" s="34">
        <f t="shared" si="183"/>
        <v>0</v>
      </c>
      <c r="M168" s="34">
        <f t="shared" si="183"/>
        <v>0</v>
      </c>
      <c r="N168" s="34">
        <f t="shared" si="183"/>
        <v>0</v>
      </c>
      <c r="O168" s="34">
        <f t="shared" si="183"/>
        <v>0</v>
      </c>
      <c r="P168" s="34">
        <f t="shared" si="183"/>
        <v>0</v>
      </c>
      <c r="Q168" s="34">
        <f t="shared" si="183"/>
        <v>0</v>
      </c>
      <c r="R168" s="119">
        <f t="shared" si="179"/>
        <v>0</v>
      </c>
      <c r="S168" s="119"/>
      <c r="T168" s="54"/>
    </row>
    <row r="169" spans="1:20" x14ac:dyDescent="0.35">
      <c r="B169" s="118" t="s">
        <v>212</v>
      </c>
      <c r="C169" s="43">
        <f>$C$12</f>
        <v>18000</v>
      </c>
      <c r="D169" s="159">
        <f t="shared" si="177"/>
        <v>4.5304103796735586E-2</v>
      </c>
      <c r="E169" s="154"/>
      <c r="F169" s="43">
        <f t="shared" ref="F169:Q169" si="184">IFERROR($R161*$D169/12,0)</f>
        <v>0</v>
      </c>
      <c r="G169" s="43">
        <f t="shared" si="184"/>
        <v>0</v>
      </c>
      <c r="H169" s="43">
        <f t="shared" si="184"/>
        <v>0</v>
      </c>
      <c r="I169" s="43">
        <f t="shared" si="184"/>
        <v>0</v>
      </c>
      <c r="J169" s="43">
        <f t="shared" si="184"/>
        <v>0</v>
      </c>
      <c r="K169" s="43">
        <f t="shared" si="184"/>
        <v>0</v>
      </c>
      <c r="L169" s="43">
        <f t="shared" si="184"/>
        <v>0</v>
      </c>
      <c r="M169" s="43">
        <f t="shared" si="184"/>
        <v>0</v>
      </c>
      <c r="N169" s="43">
        <f t="shared" si="184"/>
        <v>0</v>
      </c>
      <c r="O169" s="43">
        <f t="shared" si="184"/>
        <v>0</v>
      </c>
      <c r="P169" s="43">
        <f t="shared" si="184"/>
        <v>0</v>
      </c>
      <c r="Q169" s="43">
        <f t="shared" si="184"/>
        <v>0</v>
      </c>
      <c r="R169" s="119">
        <f t="shared" si="179"/>
        <v>0</v>
      </c>
      <c r="S169" s="124"/>
      <c r="T169" s="54"/>
    </row>
    <row r="170" spans="1:20" x14ac:dyDescent="0.35">
      <c r="B170" s="133" t="s">
        <v>357</v>
      </c>
      <c r="C170" s="34">
        <f>SUM(C163:C169)</f>
        <v>397315</v>
      </c>
      <c r="D170" s="283">
        <f>SUM(D163:D169)</f>
        <v>1</v>
      </c>
      <c r="E170" s="284">
        <f>SUM(E163:E169)</f>
        <v>0</v>
      </c>
      <c r="F170" s="36">
        <f>SUM(F163:F169)</f>
        <v>0</v>
      </c>
      <c r="G170" s="135">
        <f t="shared" ref="G170" si="185">SUM(G163:G169)</f>
        <v>0</v>
      </c>
      <c r="H170" s="135">
        <f t="shared" ref="H170" si="186">SUM(H163:H169)</f>
        <v>0</v>
      </c>
      <c r="I170" s="135">
        <f t="shared" ref="I170" si="187">SUM(I163:I169)</f>
        <v>0</v>
      </c>
      <c r="J170" s="135">
        <f t="shared" ref="J170" si="188">SUM(J163:J169)</f>
        <v>0</v>
      </c>
      <c r="K170" s="135">
        <f t="shared" ref="K170" si="189">SUM(K163:K169)</f>
        <v>0</v>
      </c>
      <c r="L170" s="135">
        <f t="shared" ref="L170" si="190">SUM(L163:L169)</f>
        <v>0</v>
      </c>
      <c r="M170" s="135">
        <f t="shared" ref="M170" si="191">SUM(M163:M169)</f>
        <v>0</v>
      </c>
      <c r="N170" s="135">
        <f t="shared" ref="N170" si="192">SUM(N163:N169)</f>
        <v>0</v>
      </c>
      <c r="O170" s="135">
        <f t="shared" ref="O170" si="193">SUM(O163:O169)</f>
        <v>0</v>
      </c>
      <c r="P170" s="135">
        <f t="shared" ref="P170" si="194">SUM(P163:P169)</f>
        <v>0</v>
      </c>
      <c r="Q170" s="135">
        <f t="shared" ref="Q170" si="195">SUM(Q163:Q169)</f>
        <v>0</v>
      </c>
      <c r="R170" s="135">
        <f t="shared" ref="R170" si="196">SUM(R163:R169)</f>
        <v>0</v>
      </c>
      <c r="S170" s="125"/>
      <c r="T170" s="54"/>
    </row>
    <row r="171" spans="1:20" ht="16.5" thickBot="1" x14ac:dyDescent="0.4"/>
    <row r="172" spans="1:20" ht="18" thickBot="1" x14ac:dyDescent="0.4">
      <c r="A172" s="34" t="s">
        <v>147</v>
      </c>
      <c r="B172" s="37" t="s">
        <v>485</v>
      </c>
      <c r="C172" s="127"/>
      <c r="D172" s="41"/>
      <c r="E172" s="41"/>
      <c r="P172" s="126"/>
      <c r="Q172" s="126"/>
      <c r="R172" s="263"/>
      <c r="T172" s="34" t="s">
        <v>306</v>
      </c>
    </row>
    <row r="173" spans="1:20" x14ac:dyDescent="0.35">
      <c r="C173" s="123" t="s">
        <v>366</v>
      </c>
      <c r="D173" s="157" t="s">
        <v>578</v>
      </c>
      <c r="E173" s="123"/>
      <c r="F173" s="123" t="s">
        <v>0</v>
      </c>
      <c r="G173" s="123" t="s">
        <v>1</v>
      </c>
      <c r="H173" s="123" t="s">
        <v>2</v>
      </c>
      <c r="I173" s="123" t="s">
        <v>3</v>
      </c>
      <c r="J173" s="123" t="s">
        <v>4</v>
      </c>
      <c r="K173" s="123" t="s">
        <v>5</v>
      </c>
      <c r="L173" s="123" t="s">
        <v>6</v>
      </c>
      <c r="M173" s="123" t="s">
        <v>7</v>
      </c>
      <c r="N173" s="123" t="s">
        <v>8</v>
      </c>
      <c r="O173" s="123" t="s">
        <v>9</v>
      </c>
      <c r="P173" s="123" t="s">
        <v>10</v>
      </c>
      <c r="Q173" s="123" t="s">
        <v>11</v>
      </c>
      <c r="R173" s="123" t="s">
        <v>12</v>
      </c>
      <c r="S173" s="41"/>
      <c r="T173" s="54"/>
    </row>
    <row r="174" spans="1:20" x14ac:dyDescent="0.35">
      <c r="B174" s="118">
        <v>4050</v>
      </c>
      <c r="C174" s="34">
        <f>$C$6</f>
        <v>54008</v>
      </c>
      <c r="D174" s="158">
        <f>C174/$C$13</f>
        <v>0.13593244654744976</v>
      </c>
      <c r="E174" s="155"/>
      <c r="F174" s="34">
        <f t="shared" ref="F174:Q174" si="197">$R172*$D174/12</f>
        <v>0</v>
      </c>
      <c r="G174" s="34">
        <f t="shared" si="197"/>
        <v>0</v>
      </c>
      <c r="H174" s="34">
        <f t="shared" si="197"/>
        <v>0</v>
      </c>
      <c r="I174" s="34">
        <f t="shared" si="197"/>
        <v>0</v>
      </c>
      <c r="J174" s="34">
        <f t="shared" si="197"/>
        <v>0</v>
      </c>
      <c r="K174" s="34">
        <f t="shared" si="197"/>
        <v>0</v>
      </c>
      <c r="L174" s="34">
        <f t="shared" si="197"/>
        <v>0</v>
      </c>
      <c r="M174" s="34">
        <f t="shared" si="197"/>
        <v>0</v>
      </c>
      <c r="N174" s="34">
        <f t="shared" si="197"/>
        <v>0</v>
      </c>
      <c r="O174" s="34">
        <f t="shared" si="197"/>
        <v>0</v>
      </c>
      <c r="P174" s="34">
        <f t="shared" si="197"/>
        <v>0</v>
      </c>
      <c r="Q174" s="34">
        <f t="shared" si="197"/>
        <v>0</v>
      </c>
      <c r="R174" s="119">
        <f>SUM(F174:Q174)</f>
        <v>0</v>
      </c>
      <c r="S174" s="119"/>
      <c r="T174" s="54"/>
    </row>
    <row r="175" spans="1:20" x14ac:dyDescent="0.35">
      <c r="B175" s="118" t="s">
        <v>175</v>
      </c>
      <c r="C175" s="34">
        <f>$C$7</f>
        <v>107890</v>
      </c>
      <c r="D175" s="158">
        <f t="shared" ref="D175:D180" si="198">C175/$C$13</f>
        <v>0.27154776436832234</v>
      </c>
      <c r="E175" s="155"/>
      <c r="F175" s="34">
        <f t="shared" ref="F175:Q175" si="199">$R172*$D175/12</f>
        <v>0</v>
      </c>
      <c r="G175" s="34">
        <f t="shared" si="199"/>
        <v>0</v>
      </c>
      <c r="H175" s="34">
        <f t="shared" si="199"/>
        <v>0</v>
      </c>
      <c r="I175" s="34">
        <f t="shared" si="199"/>
        <v>0</v>
      </c>
      <c r="J175" s="34">
        <f t="shared" si="199"/>
        <v>0</v>
      </c>
      <c r="K175" s="34">
        <f t="shared" si="199"/>
        <v>0</v>
      </c>
      <c r="L175" s="34">
        <f t="shared" si="199"/>
        <v>0</v>
      </c>
      <c r="M175" s="34">
        <f t="shared" si="199"/>
        <v>0</v>
      </c>
      <c r="N175" s="34">
        <f t="shared" si="199"/>
        <v>0</v>
      </c>
      <c r="O175" s="34">
        <f t="shared" si="199"/>
        <v>0</v>
      </c>
      <c r="P175" s="34">
        <f t="shared" si="199"/>
        <v>0</v>
      </c>
      <c r="Q175" s="34">
        <f t="shared" si="199"/>
        <v>0</v>
      </c>
      <c r="R175" s="119">
        <f t="shared" ref="R175:R180" si="200">SUM(F175:Q175)</f>
        <v>0</v>
      </c>
      <c r="S175" s="119"/>
      <c r="T175" s="54"/>
    </row>
    <row r="176" spans="1:20" x14ac:dyDescent="0.35">
      <c r="B176" s="118" t="s">
        <v>186</v>
      </c>
      <c r="C176" s="34">
        <f>$C$8</f>
        <v>61508</v>
      </c>
      <c r="D176" s="158">
        <f t="shared" si="198"/>
        <v>0.15480915646275625</v>
      </c>
      <c r="E176" s="155"/>
      <c r="F176" s="34">
        <f t="shared" ref="F176:Q176" si="201">$R172*$D176/12</f>
        <v>0</v>
      </c>
      <c r="G176" s="34">
        <f t="shared" si="201"/>
        <v>0</v>
      </c>
      <c r="H176" s="34">
        <f t="shared" si="201"/>
        <v>0</v>
      </c>
      <c r="I176" s="34">
        <f t="shared" si="201"/>
        <v>0</v>
      </c>
      <c r="J176" s="34">
        <f t="shared" si="201"/>
        <v>0</v>
      </c>
      <c r="K176" s="34">
        <f t="shared" si="201"/>
        <v>0</v>
      </c>
      <c r="L176" s="34">
        <f t="shared" si="201"/>
        <v>0</v>
      </c>
      <c r="M176" s="34">
        <f t="shared" si="201"/>
        <v>0</v>
      </c>
      <c r="N176" s="34">
        <f t="shared" si="201"/>
        <v>0</v>
      </c>
      <c r="O176" s="34">
        <f t="shared" si="201"/>
        <v>0</v>
      </c>
      <c r="P176" s="34">
        <f t="shared" si="201"/>
        <v>0</v>
      </c>
      <c r="Q176" s="34">
        <f t="shared" si="201"/>
        <v>0</v>
      </c>
      <c r="R176" s="119">
        <f t="shared" si="200"/>
        <v>0</v>
      </c>
      <c r="S176" s="119"/>
      <c r="T176" s="54"/>
    </row>
    <row r="177" spans="1:21" x14ac:dyDescent="0.35">
      <c r="B177" s="118" t="s">
        <v>196</v>
      </c>
      <c r="C177" s="34">
        <f>$C$9</f>
        <v>127848</v>
      </c>
      <c r="D177" s="158">
        <f t="shared" si="198"/>
        <v>0.32177994790028064</v>
      </c>
      <c r="E177" s="155"/>
      <c r="F177" s="34">
        <f t="shared" ref="F177:Q177" si="202">$R172*$D177/12</f>
        <v>0</v>
      </c>
      <c r="G177" s="34">
        <f t="shared" si="202"/>
        <v>0</v>
      </c>
      <c r="H177" s="34">
        <f t="shared" si="202"/>
        <v>0</v>
      </c>
      <c r="I177" s="34">
        <f t="shared" si="202"/>
        <v>0</v>
      </c>
      <c r="J177" s="34">
        <f t="shared" si="202"/>
        <v>0</v>
      </c>
      <c r="K177" s="34">
        <f t="shared" si="202"/>
        <v>0</v>
      </c>
      <c r="L177" s="34">
        <f t="shared" si="202"/>
        <v>0</v>
      </c>
      <c r="M177" s="34">
        <f t="shared" si="202"/>
        <v>0</v>
      </c>
      <c r="N177" s="34">
        <f t="shared" si="202"/>
        <v>0</v>
      </c>
      <c r="O177" s="34">
        <f t="shared" si="202"/>
        <v>0</v>
      </c>
      <c r="P177" s="34">
        <f t="shared" si="202"/>
        <v>0</v>
      </c>
      <c r="Q177" s="34">
        <f t="shared" si="202"/>
        <v>0</v>
      </c>
      <c r="R177" s="119">
        <f t="shared" si="200"/>
        <v>0</v>
      </c>
      <c r="S177" s="119"/>
      <c r="T177" s="54"/>
    </row>
    <row r="178" spans="1:21" x14ac:dyDescent="0.35">
      <c r="B178" s="118" t="s">
        <v>205</v>
      </c>
      <c r="C178" s="34">
        <f>$C$10</f>
        <v>15083</v>
      </c>
      <c r="D178" s="158">
        <f t="shared" si="198"/>
        <v>3.7962322087009046E-2</v>
      </c>
      <c r="E178" s="155"/>
      <c r="F178" s="34">
        <f t="shared" ref="F178:Q178" si="203">$R172*$D178/12</f>
        <v>0</v>
      </c>
      <c r="G178" s="34">
        <f t="shared" si="203"/>
        <v>0</v>
      </c>
      <c r="H178" s="34">
        <f t="shared" si="203"/>
        <v>0</v>
      </c>
      <c r="I178" s="34">
        <f t="shared" si="203"/>
        <v>0</v>
      </c>
      <c r="J178" s="34">
        <f t="shared" si="203"/>
        <v>0</v>
      </c>
      <c r="K178" s="34">
        <f t="shared" si="203"/>
        <v>0</v>
      </c>
      <c r="L178" s="34">
        <f t="shared" si="203"/>
        <v>0</v>
      </c>
      <c r="M178" s="34">
        <f t="shared" si="203"/>
        <v>0</v>
      </c>
      <c r="N178" s="34">
        <f t="shared" si="203"/>
        <v>0</v>
      </c>
      <c r="O178" s="34">
        <f t="shared" si="203"/>
        <v>0</v>
      </c>
      <c r="P178" s="34">
        <f t="shared" si="203"/>
        <v>0</v>
      </c>
      <c r="Q178" s="34">
        <f t="shared" si="203"/>
        <v>0</v>
      </c>
      <c r="R178" s="119">
        <f t="shared" si="200"/>
        <v>0</v>
      </c>
      <c r="S178" s="119"/>
      <c r="T178" s="54"/>
    </row>
    <row r="179" spans="1:21" x14ac:dyDescent="0.35">
      <c r="B179" s="118" t="s">
        <v>210</v>
      </c>
      <c r="C179" s="34">
        <f>$C$11</f>
        <v>12978</v>
      </c>
      <c r="D179" s="158">
        <f t="shared" si="198"/>
        <v>3.2664258837446357E-2</v>
      </c>
      <c r="E179" s="155"/>
      <c r="F179" s="34">
        <f t="shared" ref="F179:Q179" si="204">$R172*$D179/12</f>
        <v>0</v>
      </c>
      <c r="G179" s="34">
        <f t="shared" si="204"/>
        <v>0</v>
      </c>
      <c r="H179" s="34">
        <f t="shared" si="204"/>
        <v>0</v>
      </c>
      <c r="I179" s="34">
        <f t="shared" si="204"/>
        <v>0</v>
      </c>
      <c r="J179" s="34">
        <f t="shared" si="204"/>
        <v>0</v>
      </c>
      <c r="K179" s="34">
        <f t="shared" si="204"/>
        <v>0</v>
      </c>
      <c r="L179" s="34">
        <f t="shared" si="204"/>
        <v>0</v>
      </c>
      <c r="M179" s="34">
        <f t="shared" si="204"/>
        <v>0</v>
      </c>
      <c r="N179" s="34">
        <f t="shared" si="204"/>
        <v>0</v>
      </c>
      <c r="O179" s="34">
        <f t="shared" si="204"/>
        <v>0</v>
      </c>
      <c r="P179" s="34">
        <f t="shared" si="204"/>
        <v>0</v>
      </c>
      <c r="Q179" s="34">
        <f t="shared" si="204"/>
        <v>0</v>
      </c>
      <c r="R179" s="119">
        <f t="shared" si="200"/>
        <v>0</v>
      </c>
      <c r="S179" s="119"/>
      <c r="T179" s="54"/>
    </row>
    <row r="180" spans="1:21" x14ac:dyDescent="0.35">
      <c r="B180" s="118" t="s">
        <v>212</v>
      </c>
      <c r="C180" s="43">
        <f>$C$12</f>
        <v>18000</v>
      </c>
      <c r="D180" s="159">
        <f t="shared" si="198"/>
        <v>4.5304103796735586E-2</v>
      </c>
      <c r="E180" s="154"/>
      <c r="F180" s="43">
        <f t="shared" ref="F180:Q180" si="205">IFERROR($R172*$D180/12,0)</f>
        <v>0</v>
      </c>
      <c r="G180" s="43">
        <f t="shared" si="205"/>
        <v>0</v>
      </c>
      <c r="H180" s="43">
        <f t="shared" si="205"/>
        <v>0</v>
      </c>
      <c r="I180" s="43">
        <f t="shared" si="205"/>
        <v>0</v>
      </c>
      <c r="J180" s="43">
        <f t="shared" si="205"/>
        <v>0</v>
      </c>
      <c r="K180" s="43">
        <f t="shared" si="205"/>
        <v>0</v>
      </c>
      <c r="L180" s="43">
        <f t="shared" si="205"/>
        <v>0</v>
      </c>
      <c r="M180" s="43">
        <f t="shared" si="205"/>
        <v>0</v>
      </c>
      <c r="N180" s="43">
        <f t="shared" si="205"/>
        <v>0</v>
      </c>
      <c r="O180" s="43">
        <f t="shared" si="205"/>
        <v>0</v>
      </c>
      <c r="P180" s="43">
        <f t="shared" si="205"/>
        <v>0</v>
      </c>
      <c r="Q180" s="43">
        <f t="shared" si="205"/>
        <v>0</v>
      </c>
      <c r="R180" s="119">
        <f t="shared" si="200"/>
        <v>0</v>
      </c>
      <c r="S180" s="124"/>
      <c r="T180" s="54"/>
    </row>
    <row r="181" spans="1:21" x14ac:dyDescent="0.35">
      <c r="B181" s="133" t="s">
        <v>357</v>
      </c>
      <c r="C181" s="34">
        <f>SUM(C174:C180)</f>
        <v>397315</v>
      </c>
      <c r="D181" s="283">
        <f>SUM(D174:D180)</f>
        <v>1</v>
      </c>
      <c r="E181" s="284">
        <f>SUM(E174:E180)</f>
        <v>0</v>
      </c>
      <c r="F181" s="36">
        <f>SUM(F174:F180)</f>
        <v>0</v>
      </c>
      <c r="G181" s="135">
        <f t="shared" ref="G181" si="206">SUM(G174:G180)</f>
        <v>0</v>
      </c>
      <c r="H181" s="135">
        <f t="shared" ref="H181" si="207">SUM(H174:H180)</f>
        <v>0</v>
      </c>
      <c r="I181" s="135">
        <f t="shared" ref="I181" si="208">SUM(I174:I180)</f>
        <v>0</v>
      </c>
      <c r="J181" s="135">
        <f t="shared" ref="J181" si="209">SUM(J174:J180)</f>
        <v>0</v>
      </c>
      <c r="K181" s="135">
        <f t="shared" ref="K181" si="210">SUM(K174:K180)</f>
        <v>0</v>
      </c>
      <c r="L181" s="135">
        <f t="shared" ref="L181" si="211">SUM(L174:L180)</f>
        <v>0</v>
      </c>
      <c r="M181" s="135">
        <f t="shared" ref="M181" si="212">SUM(M174:M180)</f>
        <v>0</v>
      </c>
      <c r="N181" s="135">
        <f t="shared" ref="N181" si="213">SUM(N174:N180)</f>
        <v>0</v>
      </c>
      <c r="O181" s="135">
        <f t="shared" ref="O181" si="214">SUM(O174:O180)</f>
        <v>0</v>
      </c>
      <c r="P181" s="135">
        <f t="shared" ref="P181" si="215">SUM(P174:P180)</f>
        <v>0</v>
      </c>
      <c r="Q181" s="135">
        <f t="shared" ref="Q181" si="216">SUM(Q174:Q180)</f>
        <v>0</v>
      </c>
      <c r="R181" s="135">
        <f t="shared" ref="R181" si="217">SUM(R174:R180)</f>
        <v>0</v>
      </c>
      <c r="S181" s="125"/>
      <c r="T181" s="54"/>
    </row>
    <row r="182" spans="1:21" ht="16.5" thickBot="1" x14ac:dyDescent="0.4"/>
    <row r="183" spans="1:21" ht="18" thickBot="1" x14ac:dyDescent="0.4">
      <c r="A183" s="34" t="s">
        <v>131</v>
      </c>
      <c r="B183" s="37" t="s">
        <v>488</v>
      </c>
      <c r="C183" s="127"/>
      <c r="D183" s="41"/>
      <c r="E183" s="41"/>
      <c r="P183" s="126"/>
      <c r="Q183" s="126"/>
      <c r="R183" s="263">
        <f>1.03*1800</f>
        <v>1854</v>
      </c>
      <c r="T183" s="34" t="s">
        <v>369</v>
      </c>
    </row>
    <row r="184" spans="1:21" x14ac:dyDescent="0.35">
      <c r="C184" s="123" t="s">
        <v>366</v>
      </c>
      <c r="D184" s="157" t="s">
        <v>578</v>
      </c>
      <c r="E184" s="123"/>
      <c r="F184" s="123" t="s">
        <v>0</v>
      </c>
      <c r="G184" s="123" t="s">
        <v>1</v>
      </c>
      <c r="H184" s="123" t="s">
        <v>2</v>
      </c>
      <c r="I184" s="123" t="s">
        <v>3</v>
      </c>
      <c r="J184" s="123" t="s">
        <v>4</v>
      </c>
      <c r="K184" s="123" t="s">
        <v>5</v>
      </c>
      <c r="L184" s="123" t="s">
        <v>6</v>
      </c>
      <c r="M184" s="123" t="s">
        <v>7</v>
      </c>
      <c r="N184" s="123" t="s">
        <v>8</v>
      </c>
      <c r="O184" s="123" t="s">
        <v>9</v>
      </c>
      <c r="P184" s="123" t="s">
        <v>10</v>
      </c>
      <c r="Q184" s="123" t="s">
        <v>11</v>
      </c>
      <c r="R184" s="123" t="s">
        <v>12</v>
      </c>
      <c r="S184" s="41"/>
      <c r="T184" s="31" t="s">
        <v>305</v>
      </c>
      <c r="U184" s="31"/>
    </row>
    <row r="185" spans="1:21" x14ac:dyDescent="0.35">
      <c r="B185" s="118">
        <v>4050</v>
      </c>
      <c r="C185" s="34">
        <f>$C$6</f>
        <v>54008</v>
      </c>
      <c r="D185" s="158">
        <f>C185/$C$13</f>
        <v>0.13593244654744976</v>
      </c>
      <c r="E185" s="155"/>
      <c r="F185" s="34">
        <f t="shared" ref="F185:Q185" si="218">$R183*$D185/12</f>
        <v>21.00156299158099</v>
      </c>
      <c r="G185" s="34">
        <f t="shared" si="218"/>
        <v>21.00156299158099</v>
      </c>
      <c r="H185" s="34">
        <f t="shared" si="218"/>
        <v>21.00156299158099</v>
      </c>
      <c r="I185" s="34">
        <f t="shared" si="218"/>
        <v>21.00156299158099</v>
      </c>
      <c r="J185" s="34">
        <f t="shared" si="218"/>
        <v>21.00156299158099</v>
      </c>
      <c r="K185" s="34">
        <f t="shared" si="218"/>
        <v>21.00156299158099</v>
      </c>
      <c r="L185" s="34">
        <f t="shared" si="218"/>
        <v>21.00156299158099</v>
      </c>
      <c r="M185" s="34">
        <f t="shared" si="218"/>
        <v>21.00156299158099</v>
      </c>
      <c r="N185" s="34">
        <f t="shared" si="218"/>
        <v>21.00156299158099</v>
      </c>
      <c r="O185" s="34">
        <f t="shared" si="218"/>
        <v>21.00156299158099</v>
      </c>
      <c r="P185" s="34">
        <f t="shared" si="218"/>
        <v>21.00156299158099</v>
      </c>
      <c r="Q185" s="34">
        <f t="shared" si="218"/>
        <v>21.00156299158099</v>
      </c>
      <c r="R185" s="119">
        <f>SUM(F185:Q185)</f>
        <v>252.01875589897182</v>
      </c>
      <c r="S185" s="119"/>
      <c r="T185" s="54"/>
    </row>
    <row r="186" spans="1:21" x14ac:dyDescent="0.35">
      <c r="B186" s="118" t="s">
        <v>175</v>
      </c>
      <c r="C186" s="34">
        <f>$C$7</f>
        <v>107890</v>
      </c>
      <c r="D186" s="158">
        <f t="shared" ref="D186:D191" si="219">C186/$C$13</f>
        <v>0.27154776436832234</v>
      </c>
      <c r="E186" s="155"/>
      <c r="F186" s="34">
        <f t="shared" ref="F186:Q186" si="220">$R183*$D186/12</f>
        <v>41.954129594905801</v>
      </c>
      <c r="G186" s="34">
        <f t="shared" si="220"/>
        <v>41.954129594905801</v>
      </c>
      <c r="H186" s="34">
        <f t="shared" si="220"/>
        <v>41.954129594905801</v>
      </c>
      <c r="I186" s="34">
        <f t="shared" si="220"/>
        <v>41.954129594905801</v>
      </c>
      <c r="J186" s="34">
        <f t="shared" si="220"/>
        <v>41.954129594905801</v>
      </c>
      <c r="K186" s="34">
        <f t="shared" si="220"/>
        <v>41.954129594905801</v>
      </c>
      <c r="L186" s="34">
        <f t="shared" si="220"/>
        <v>41.954129594905801</v>
      </c>
      <c r="M186" s="34">
        <f t="shared" si="220"/>
        <v>41.954129594905801</v>
      </c>
      <c r="N186" s="34">
        <f t="shared" si="220"/>
        <v>41.954129594905801</v>
      </c>
      <c r="O186" s="34">
        <f t="shared" si="220"/>
        <v>41.954129594905801</v>
      </c>
      <c r="P186" s="34">
        <f t="shared" si="220"/>
        <v>41.954129594905801</v>
      </c>
      <c r="Q186" s="34">
        <f t="shared" si="220"/>
        <v>41.954129594905801</v>
      </c>
      <c r="R186" s="119">
        <f t="shared" ref="R186:R191" si="221">SUM(F186:Q186)</f>
        <v>503.44955513886958</v>
      </c>
      <c r="S186" s="119"/>
      <c r="T186" s="54"/>
    </row>
    <row r="187" spans="1:21" x14ac:dyDescent="0.35">
      <c r="B187" s="118" t="s">
        <v>186</v>
      </c>
      <c r="C187" s="34">
        <f>$C$8</f>
        <v>61508</v>
      </c>
      <c r="D187" s="158">
        <f t="shared" si="219"/>
        <v>0.15480915646275625</v>
      </c>
      <c r="E187" s="155"/>
      <c r="F187" s="34">
        <f t="shared" ref="F187:Q187" si="222">$R183*$D187/12</f>
        <v>23.918014673495843</v>
      </c>
      <c r="G187" s="34">
        <f t="shared" si="222"/>
        <v>23.918014673495843</v>
      </c>
      <c r="H187" s="34">
        <f t="shared" si="222"/>
        <v>23.918014673495843</v>
      </c>
      <c r="I187" s="34">
        <f t="shared" si="222"/>
        <v>23.918014673495843</v>
      </c>
      <c r="J187" s="34">
        <f t="shared" si="222"/>
        <v>23.918014673495843</v>
      </c>
      <c r="K187" s="34">
        <f t="shared" si="222"/>
        <v>23.918014673495843</v>
      </c>
      <c r="L187" s="34">
        <f t="shared" si="222"/>
        <v>23.918014673495843</v>
      </c>
      <c r="M187" s="34">
        <f t="shared" si="222"/>
        <v>23.918014673495843</v>
      </c>
      <c r="N187" s="34">
        <f t="shared" si="222"/>
        <v>23.918014673495843</v>
      </c>
      <c r="O187" s="34">
        <f t="shared" si="222"/>
        <v>23.918014673495843</v>
      </c>
      <c r="P187" s="34">
        <f t="shared" si="222"/>
        <v>23.918014673495843</v>
      </c>
      <c r="Q187" s="34">
        <f t="shared" si="222"/>
        <v>23.918014673495843</v>
      </c>
      <c r="R187" s="119">
        <f t="shared" si="221"/>
        <v>287.01617608195011</v>
      </c>
      <c r="S187" s="119"/>
      <c r="T187" s="54"/>
    </row>
    <row r="188" spans="1:21" x14ac:dyDescent="0.35">
      <c r="B188" s="118" t="s">
        <v>196</v>
      </c>
      <c r="C188" s="34">
        <f>$C$9</f>
        <v>127848</v>
      </c>
      <c r="D188" s="158">
        <f t="shared" si="219"/>
        <v>0.32177994790028064</v>
      </c>
      <c r="E188" s="155"/>
      <c r="F188" s="34">
        <f t="shared" ref="F188:Q188" si="223">$R183*$D188/12</f>
        <v>49.715001950593354</v>
      </c>
      <c r="G188" s="34">
        <f t="shared" si="223"/>
        <v>49.715001950593354</v>
      </c>
      <c r="H188" s="34">
        <f t="shared" si="223"/>
        <v>49.715001950593354</v>
      </c>
      <c r="I188" s="34">
        <f t="shared" si="223"/>
        <v>49.715001950593354</v>
      </c>
      <c r="J188" s="34">
        <f t="shared" si="223"/>
        <v>49.715001950593354</v>
      </c>
      <c r="K188" s="34">
        <f t="shared" si="223"/>
        <v>49.715001950593354</v>
      </c>
      <c r="L188" s="34">
        <f t="shared" si="223"/>
        <v>49.715001950593354</v>
      </c>
      <c r="M188" s="34">
        <f t="shared" si="223"/>
        <v>49.715001950593354</v>
      </c>
      <c r="N188" s="34">
        <f t="shared" si="223"/>
        <v>49.715001950593354</v>
      </c>
      <c r="O188" s="34">
        <f t="shared" si="223"/>
        <v>49.715001950593354</v>
      </c>
      <c r="P188" s="34">
        <f t="shared" si="223"/>
        <v>49.715001950593354</v>
      </c>
      <c r="Q188" s="34">
        <f t="shared" si="223"/>
        <v>49.715001950593354</v>
      </c>
      <c r="R188" s="119">
        <f t="shared" si="221"/>
        <v>596.58002340712028</v>
      </c>
      <c r="S188" s="119"/>
      <c r="T188" s="54"/>
    </row>
    <row r="189" spans="1:21" x14ac:dyDescent="0.35">
      <c r="B189" s="118" t="s">
        <v>205</v>
      </c>
      <c r="C189" s="34">
        <f>$C$10</f>
        <v>15083</v>
      </c>
      <c r="D189" s="158">
        <f t="shared" si="219"/>
        <v>3.7962322087009046E-2</v>
      </c>
      <c r="E189" s="155"/>
      <c r="F189" s="34">
        <f t="shared" ref="F189:Q189" si="224">$R183*$D189/12</f>
        <v>5.8651787624428975</v>
      </c>
      <c r="G189" s="34">
        <f t="shared" si="224"/>
        <v>5.8651787624428975</v>
      </c>
      <c r="H189" s="34">
        <f t="shared" si="224"/>
        <v>5.8651787624428975</v>
      </c>
      <c r="I189" s="34">
        <f t="shared" si="224"/>
        <v>5.8651787624428975</v>
      </c>
      <c r="J189" s="34">
        <f t="shared" si="224"/>
        <v>5.8651787624428975</v>
      </c>
      <c r="K189" s="34">
        <f t="shared" si="224"/>
        <v>5.8651787624428975</v>
      </c>
      <c r="L189" s="34">
        <f t="shared" si="224"/>
        <v>5.8651787624428975</v>
      </c>
      <c r="M189" s="34">
        <f t="shared" si="224"/>
        <v>5.8651787624428975</v>
      </c>
      <c r="N189" s="34">
        <f t="shared" si="224"/>
        <v>5.8651787624428975</v>
      </c>
      <c r="O189" s="34">
        <f t="shared" si="224"/>
        <v>5.8651787624428975</v>
      </c>
      <c r="P189" s="34">
        <f t="shared" si="224"/>
        <v>5.8651787624428975</v>
      </c>
      <c r="Q189" s="34">
        <f t="shared" si="224"/>
        <v>5.8651787624428975</v>
      </c>
      <c r="R189" s="119">
        <f t="shared" si="221"/>
        <v>70.382145149314752</v>
      </c>
      <c r="S189" s="119"/>
      <c r="T189" s="54"/>
    </row>
    <row r="190" spans="1:21" x14ac:dyDescent="0.35">
      <c r="B190" s="118" t="s">
        <v>210</v>
      </c>
      <c r="C190" s="34">
        <f>$C$11</f>
        <v>12978</v>
      </c>
      <c r="D190" s="158">
        <f t="shared" si="219"/>
        <v>3.2664258837446357E-2</v>
      </c>
      <c r="E190" s="155"/>
      <c r="F190" s="34">
        <f t="shared" ref="F190:Q190" si="225">$R183*$D190/12</f>
        <v>5.0466279903854625</v>
      </c>
      <c r="G190" s="34">
        <f t="shared" si="225"/>
        <v>5.0466279903854625</v>
      </c>
      <c r="H190" s="34">
        <f t="shared" si="225"/>
        <v>5.0466279903854625</v>
      </c>
      <c r="I190" s="34">
        <f t="shared" si="225"/>
        <v>5.0466279903854625</v>
      </c>
      <c r="J190" s="34">
        <f t="shared" si="225"/>
        <v>5.0466279903854625</v>
      </c>
      <c r="K190" s="34">
        <f t="shared" si="225"/>
        <v>5.0466279903854625</v>
      </c>
      <c r="L190" s="34">
        <f t="shared" si="225"/>
        <v>5.0466279903854625</v>
      </c>
      <c r="M190" s="34">
        <f t="shared" si="225"/>
        <v>5.0466279903854625</v>
      </c>
      <c r="N190" s="34">
        <f t="shared" si="225"/>
        <v>5.0466279903854625</v>
      </c>
      <c r="O190" s="34">
        <f t="shared" si="225"/>
        <v>5.0466279903854625</v>
      </c>
      <c r="P190" s="34">
        <f t="shared" si="225"/>
        <v>5.0466279903854625</v>
      </c>
      <c r="Q190" s="34">
        <f t="shared" si="225"/>
        <v>5.0466279903854625</v>
      </c>
      <c r="R190" s="119">
        <f t="shared" si="221"/>
        <v>60.559535884625539</v>
      </c>
      <c r="S190" s="119"/>
      <c r="T190" s="54"/>
    </row>
    <row r="191" spans="1:21" x14ac:dyDescent="0.35">
      <c r="B191" s="118" t="s">
        <v>212</v>
      </c>
      <c r="C191" s="43">
        <f>$C$12</f>
        <v>18000</v>
      </c>
      <c r="D191" s="159">
        <f t="shared" si="219"/>
        <v>4.5304103796735586E-2</v>
      </c>
      <c r="E191" s="154"/>
      <c r="F191" s="43">
        <f t="shared" ref="F191:Q191" si="226">IFERROR($R183*$D191/12,0)</f>
        <v>6.9994840365956472</v>
      </c>
      <c r="G191" s="43">
        <f t="shared" si="226"/>
        <v>6.9994840365956472</v>
      </c>
      <c r="H191" s="43">
        <f t="shared" si="226"/>
        <v>6.9994840365956472</v>
      </c>
      <c r="I191" s="43">
        <f t="shared" si="226"/>
        <v>6.9994840365956472</v>
      </c>
      <c r="J191" s="43">
        <f t="shared" si="226"/>
        <v>6.9994840365956472</v>
      </c>
      <c r="K191" s="43">
        <f t="shared" si="226"/>
        <v>6.9994840365956472</v>
      </c>
      <c r="L191" s="43">
        <f t="shared" si="226"/>
        <v>6.9994840365956472</v>
      </c>
      <c r="M191" s="43">
        <f t="shared" si="226"/>
        <v>6.9994840365956472</v>
      </c>
      <c r="N191" s="43">
        <f t="shared" si="226"/>
        <v>6.9994840365956472</v>
      </c>
      <c r="O191" s="43">
        <f t="shared" si="226"/>
        <v>6.9994840365956472</v>
      </c>
      <c r="P191" s="43">
        <f t="shared" si="226"/>
        <v>6.9994840365956472</v>
      </c>
      <c r="Q191" s="43">
        <f t="shared" si="226"/>
        <v>6.9994840365956472</v>
      </c>
      <c r="R191" s="119">
        <f t="shared" si="221"/>
        <v>83.99380843914777</v>
      </c>
      <c r="S191" s="124"/>
      <c r="T191" s="54"/>
    </row>
    <row r="192" spans="1:21" x14ac:dyDescent="0.35">
      <c r="B192" s="133" t="s">
        <v>357</v>
      </c>
      <c r="C192" s="34">
        <f>SUM(C185:C191)</f>
        <v>397315</v>
      </c>
      <c r="D192" s="283">
        <f>SUM(D185:D191)</f>
        <v>1</v>
      </c>
      <c r="E192" s="284">
        <f>SUM(E185:E191)</f>
        <v>0</v>
      </c>
      <c r="F192" s="36">
        <f>SUM(F185:F191)</f>
        <v>154.5</v>
      </c>
      <c r="G192" s="135">
        <f t="shared" ref="G192:R192" si="227">SUM(G185:G191)</f>
        <v>154.5</v>
      </c>
      <c r="H192" s="135">
        <f t="shared" si="227"/>
        <v>154.5</v>
      </c>
      <c r="I192" s="135">
        <f t="shared" si="227"/>
        <v>154.5</v>
      </c>
      <c r="J192" s="135">
        <f t="shared" si="227"/>
        <v>154.5</v>
      </c>
      <c r="K192" s="135">
        <f t="shared" si="227"/>
        <v>154.5</v>
      </c>
      <c r="L192" s="135">
        <f t="shared" si="227"/>
        <v>154.5</v>
      </c>
      <c r="M192" s="135">
        <f t="shared" si="227"/>
        <v>154.5</v>
      </c>
      <c r="N192" s="135">
        <f t="shared" si="227"/>
        <v>154.5</v>
      </c>
      <c r="O192" s="135">
        <f t="shared" si="227"/>
        <v>154.5</v>
      </c>
      <c r="P192" s="135">
        <f t="shared" si="227"/>
        <v>154.5</v>
      </c>
      <c r="Q192" s="135">
        <f t="shared" si="227"/>
        <v>154.5</v>
      </c>
      <c r="R192" s="135">
        <f t="shared" si="227"/>
        <v>1854</v>
      </c>
      <c r="S192" s="125"/>
      <c r="T192" s="54"/>
    </row>
    <row r="194" spans="1:27" ht="17.5" x14ac:dyDescent="0.35">
      <c r="A194" s="34" t="s">
        <v>124</v>
      </c>
      <c r="B194" s="37" t="s">
        <v>484</v>
      </c>
      <c r="C194" s="127"/>
      <c r="D194" s="41"/>
      <c r="E194" s="41"/>
      <c r="P194" s="126"/>
      <c r="Q194" s="126"/>
      <c r="R194" s="54"/>
    </row>
    <row r="195" spans="1:27" x14ac:dyDescent="0.35">
      <c r="C195" s="123"/>
      <c r="D195" s="123"/>
      <c r="E195" s="123"/>
      <c r="F195" s="123" t="s">
        <v>0</v>
      </c>
      <c r="G195" s="123" t="s">
        <v>1</v>
      </c>
      <c r="H195" s="123" t="s">
        <v>2</v>
      </c>
      <c r="I195" s="123" t="s">
        <v>3</v>
      </c>
      <c r="J195" s="123" t="s">
        <v>4</v>
      </c>
      <c r="K195" s="123" t="s">
        <v>5</v>
      </c>
      <c r="L195" s="123" t="s">
        <v>6</v>
      </c>
      <c r="M195" s="123" t="s">
        <v>7</v>
      </c>
      <c r="N195" s="123" t="s">
        <v>8</v>
      </c>
      <c r="O195" s="123" t="s">
        <v>9</v>
      </c>
      <c r="P195" s="123" t="s">
        <v>10</v>
      </c>
      <c r="Q195" s="123" t="s">
        <v>11</v>
      </c>
      <c r="R195" s="123" t="s">
        <v>12</v>
      </c>
      <c r="S195" s="41"/>
      <c r="T195" s="54"/>
    </row>
    <row r="196" spans="1:27" x14ac:dyDescent="0.35">
      <c r="B196" s="118">
        <v>4050</v>
      </c>
      <c r="D196" s="155"/>
      <c r="E196" s="155"/>
      <c r="F196" s="115">
        <v>650</v>
      </c>
      <c r="G196" s="34">
        <f t="shared" ref="G196:G202" si="228">F196</f>
        <v>650</v>
      </c>
      <c r="H196" s="34">
        <f t="shared" ref="H196:Q196" si="229">G196</f>
        <v>650</v>
      </c>
      <c r="I196" s="34">
        <f t="shared" si="229"/>
        <v>650</v>
      </c>
      <c r="J196" s="34">
        <f t="shared" si="229"/>
        <v>650</v>
      </c>
      <c r="K196" s="34">
        <f t="shared" si="229"/>
        <v>650</v>
      </c>
      <c r="L196" s="34">
        <f t="shared" si="229"/>
        <v>650</v>
      </c>
      <c r="M196" s="34">
        <f t="shared" si="229"/>
        <v>650</v>
      </c>
      <c r="N196" s="34">
        <f t="shared" si="229"/>
        <v>650</v>
      </c>
      <c r="O196" s="34">
        <f t="shared" si="229"/>
        <v>650</v>
      </c>
      <c r="P196" s="34">
        <f t="shared" si="229"/>
        <v>650</v>
      </c>
      <c r="Q196" s="34">
        <f t="shared" si="229"/>
        <v>650</v>
      </c>
      <c r="R196" s="119">
        <f>SUM(F196:Q196)</f>
        <v>7800</v>
      </c>
      <c r="S196" s="119"/>
      <c r="T196" s="475" t="s">
        <v>124</v>
      </c>
      <c r="U196" s="9" t="s">
        <v>71</v>
      </c>
      <c r="V196" s="147">
        <f>7450*12</f>
        <v>89400</v>
      </c>
      <c r="W196" s="148">
        <v>45574</v>
      </c>
      <c r="X196" s="148"/>
      <c r="Y196" s="9" t="s">
        <v>304</v>
      </c>
      <c r="Z196" s="9" t="s">
        <v>344</v>
      </c>
      <c r="AA196" s="9"/>
    </row>
    <row r="197" spans="1:27" x14ac:dyDescent="0.35">
      <c r="B197" s="118" t="s">
        <v>175</v>
      </c>
      <c r="D197" s="155"/>
      <c r="E197" s="155"/>
      <c r="F197" s="115">
        <v>1470</v>
      </c>
      <c r="G197" s="34">
        <f t="shared" si="228"/>
        <v>1470</v>
      </c>
      <c r="H197" s="34">
        <f t="shared" ref="H197:Q197" si="230">G197</f>
        <v>1470</v>
      </c>
      <c r="I197" s="34">
        <f t="shared" si="230"/>
        <v>1470</v>
      </c>
      <c r="J197" s="34">
        <f t="shared" si="230"/>
        <v>1470</v>
      </c>
      <c r="K197" s="34">
        <f t="shared" si="230"/>
        <v>1470</v>
      </c>
      <c r="L197" s="34">
        <f t="shared" si="230"/>
        <v>1470</v>
      </c>
      <c r="M197" s="34">
        <f t="shared" si="230"/>
        <v>1470</v>
      </c>
      <c r="N197" s="34">
        <f t="shared" si="230"/>
        <v>1470</v>
      </c>
      <c r="O197" s="34">
        <f t="shared" si="230"/>
        <v>1470</v>
      </c>
      <c r="P197" s="34">
        <f t="shared" si="230"/>
        <v>1470</v>
      </c>
      <c r="Q197" s="34">
        <f t="shared" si="230"/>
        <v>1470</v>
      </c>
      <c r="R197" s="119">
        <f t="shared" ref="R197:R202" si="231">SUM(F197:Q197)</f>
        <v>17640</v>
      </c>
      <c r="S197" s="119"/>
      <c r="T197" s="54"/>
    </row>
    <row r="198" spans="1:27" x14ac:dyDescent="0.35">
      <c r="B198" s="118" t="s">
        <v>186</v>
      </c>
      <c r="D198" s="155"/>
      <c r="E198" s="155"/>
      <c r="F198" s="115">
        <v>1840</v>
      </c>
      <c r="G198" s="34">
        <f t="shared" si="228"/>
        <v>1840</v>
      </c>
      <c r="H198" s="34">
        <f t="shared" ref="H198:Q198" si="232">G198</f>
        <v>1840</v>
      </c>
      <c r="I198" s="34">
        <f t="shared" si="232"/>
        <v>1840</v>
      </c>
      <c r="J198" s="34">
        <f t="shared" si="232"/>
        <v>1840</v>
      </c>
      <c r="K198" s="34">
        <f t="shared" si="232"/>
        <v>1840</v>
      </c>
      <c r="L198" s="34">
        <f t="shared" si="232"/>
        <v>1840</v>
      </c>
      <c r="M198" s="34">
        <f t="shared" si="232"/>
        <v>1840</v>
      </c>
      <c r="N198" s="34">
        <f t="shared" si="232"/>
        <v>1840</v>
      </c>
      <c r="O198" s="34">
        <f t="shared" si="232"/>
        <v>1840</v>
      </c>
      <c r="P198" s="34">
        <f t="shared" si="232"/>
        <v>1840</v>
      </c>
      <c r="Q198" s="34">
        <f t="shared" si="232"/>
        <v>1840</v>
      </c>
      <c r="R198" s="119">
        <f t="shared" si="231"/>
        <v>22080</v>
      </c>
      <c r="S198" s="119"/>
      <c r="T198" s="54"/>
    </row>
    <row r="199" spans="1:27" x14ac:dyDescent="0.35">
      <c r="B199" s="118" t="s">
        <v>196</v>
      </c>
      <c r="D199" s="155"/>
      <c r="E199" s="155"/>
      <c r="F199" s="115">
        <v>2940</v>
      </c>
      <c r="G199" s="34">
        <f t="shared" si="228"/>
        <v>2940</v>
      </c>
      <c r="H199" s="34">
        <f t="shared" ref="H199:Q199" si="233">G199</f>
        <v>2940</v>
      </c>
      <c r="I199" s="34">
        <f t="shared" si="233"/>
        <v>2940</v>
      </c>
      <c r="J199" s="34">
        <f t="shared" si="233"/>
        <v>2940</v>
      </c>
      <c r="K199" s="34">
        <f t="shared" si="233"/>
        <v>2940</v>
      </c>
      <c r="L199" s="34">
        <f t="shared" si="233"/>
        <v>2940</v>
      </c>
      <c r="M199" s="34">
        <f t="shared" si="233"/>
        <v>2940</v>
      </c>
      <c r="N199" s="34">
        <f t="shared" si="233"/>
        <v>2940</v>
      </c>
      <c r="O199" s="34">
        <f t="shared" si="233"/>
        <v>2940</v>
      </c>
      <c r="P199" s="34">
        <f t="shared" si="233"/>
        <v>2940</v>
      </c>
      <c r="Q199" s="34">
        <f t="shared" si="233"/>
        <v>2940</v>
      </c>
      <c r="R199" s="119">
        <f t="shared" si="231"/>
        <v>35280</v>
      </c>
      <c r="S199" s="119"/>
      <c r="T199" s="54"/>
    </row>
    <row r="200" spans="1:27" x14ac:dyDescent="0.35">
      <c r="B200" s="118" t="s">
        <v>205</v>
      </c>
      <c r="D200" s="155"/>
      <c r="E200" s="155"/>
      <c r="F200" s="115">
        <v>200</v>
      </c>
      <c r="G200" s="34">
        <f t="shared" si="228"/>
        <v>200</v>
      </c>
      <c r="H200" s="34">
        <f t="shared" ref="H200:Q200" si="234">G200</f>
        <v>200</v>
      </c>
      <c r="I200" s="34">
        <f t="shared" si="234"/>
        <v>200</v>
      </c>
      <c r="J200" s="34">
        <f t="shared" si="234"/>
        <v>200</v>
      </c>
      <c r="K200" s="34">
        <f t="shared" si="234"/>
        <v>200</v>
      </c>
      <c r="L200" s="34">
        <f t="shared" si="234"/>
        <v>200</v>
      </c>
      <c r="M200" s="34">
        <f t="shared" si="234"/>
        <v>200</v>
      </c>
      <c r="N200" s="34">
        <f t="shared" si="234"/>
        <v>200</v>
      </c>
      <c r="O200" s="34">
        <f t="shared" si="234"/>
        <v>200</v>
      </c>
      <c r="P200" s="34">
        <f t="shared" si="234"/>
        <v>200</v>
      </c>
      <c r="Q200" s="34">
        <f t="shared" si="234"/>
        <v>200</v>
      </c>
      <c r="R200" s="119">
        <f t="shared" si="231"/>
        <v>2400</v>
      </c>
      <c r="S200" s="119"/>
      <c r="T200" s="54"/>
    </row>
    <row r="201" spans="1:27" x14ac:dyDescent="0.35">
      <c r="B201" s="118" t="s">
        <v>210</v>
      </c>
      <c r="D201" s="155"/>
      <c r="E201" s="155"/>
      <c r="F201" s="115">
        <v>150</v>
      </c>
      <c r="G201" s="34">
        <f t="shared" si="228"/>
        <v>150</v>
      </c>
      <c r="H201" s="34">
        <f t="shared" ref="H201:Q201" si="235">G201</f>
        <v>150</v>
      </c>
      <c r="I201" s="34">
        <f t="shared" si="235"/>
        <v>150</v>
      </c>
      <c r="J201" s="34">
        <f t="shared" si="235"/>
        <v>150</v>
      </c>
      <c r="K201" s="34">
        <f t="shared" si="235"/>
        <v>150</v>
      </c>
      <c r="L201" s="34">
        <f t="shared" si="235"/>
        <v>150</v>
      </c>
      <c r="M201" s="34">
        <f t="shared" si="235"/>
        <v>150</v>
      </c>
      <c r="N201" s="34">
        <f t="shared" si="235"/>
        <v>150</v>
      </c>
      <c r="O201" s="34">
        <f t="shared" si="235"/>
        <v>150</v>
      </c>
      <c r="P201" s="34">
        <f t="shared" si="235"/>
        <v>150</v>
      </c>
      <c r="Q201" s="34">
        <f t="shared" si="235"/>
        <v>150</v>
      </c>
      <c r="R201" s="119">
        <f t="shared" si="231"/>
        <v>1800</v>
      </c>
      <c r="S201" s="119"/>
      <c r="T201" s="54"/>
    </row>
    <row r="202" spans="1:27" x14ac:dyDescent="0.35">
      <c r="B202" s="118" t="s">
        <v>212</v>
      </c>
      <c r="C202" s="43"/>
      <c r="D202" s="154"/>
      <c r="E202" s="154"/>
      <c r="F202" s="116">
        <v>200</v>
      </c>
      <c r="G202" s="43">
        <f t="shared" si="228"/>
        <v>200</v>
      </c>
      <c r="H202" s="43">
        <f t="shared" ref="H202:Q202" si="236">G202</f>
        <v>200</v>
      </c>
      <c r="I202" s="43">
        <f t="shared" si="236"/>
        <v>200</v>
      </c>
      <c r="J202" s="43">
        <f t="shared" si="236"/>
        <v>200</v>
      </c>
      <c r="K202" s="43">
        <f t="shared" si="236"/>
        <v>200</v>
      </c>
      <c r="L202" s="43">
        <f t="shared" si="236"/>
        <v>200</v>
      </c>
      <c r="M202" s="43">
        <f t="shared" si="236"/>
        <v>200</v>
      </c>
      <c r="N202" s="43">
        <f t="shared" si="236"/>
        <v>200</v>
      </c>
      <c r="O202" s="43">
        <f t="shared" si="236"/>
        <v>200</v>
      </c>
      <c r="P202" s="43">
        <f t="shared" si="236"/>
        <v>200</v>
      </c>
      <c r="Q202" s="43">
        <f t="shared" si="236"/>
        <v>200</v>
      </c>
      <c r="R202" s="119">
        <f t="shared" si="231"/>
        <v>2400</v>
      </c>
      <c r="S202" s="124"/>
      <c r="T202" s="54"/>
    </row>
    <row r="203" spans="1:27" x14ac:dyDescent="0.35">
      <c r="B203" s="133" t="s">
        <v>357</v>
      </c>
      <c r="D203" s="156"/>
      <c r="E203" s="156"/>
      <c r="F203" s="36">
        <f>SUM(F196:F202)</f>
        <v>7450</v>
      </c>
      <c r="G203" s="135">
        <f t="shared" ref="G203" si="237">SUM(G196:G202)</f>
        <v>7450</v>
      </c>
      <c r="H203" s="135">
        <f t="shared" ref="H203" si="238">SUM(H196:H202)</f>
        <v>7450</v>
      </c>
      <c r="I203" s="135">
        <f t="shared" ref="I203" si="239">SUM(I196:I202)</f>
        <v>7450</v>
      </c>
      <c r="J203" s="135">
        <f t="shared" ref="J203" si="240">SUM(J196:J202)</f>
        <v>7450</v>
      </c>
      <c r="K203" s="135">
        <f t="shared" ref="K203" si="241">SUM(K196:K202)</f>
        <v>7450</v>
      </c>
      <c r="L203" s="135">
        <f t="shared" ref="L203" si="242">SUM(L196:L202)</f>
        <v>7450</v>
      </c>
      <c r="M203" s="135">
        <f t="shared" ref="M203" si="243">SUM(M196:M202)</f>
        <v>7450</v>
      </c>
      <c r="N203" s="135">
        <f t="shared" ref="N203" si="244">SUM(N196:N202)</f>
        <v>7450</v>
      </c>
      <c r="O203" s="135">
        <f t="shared" ref="O203" si="245">SUM(O196:O202)</f>
        <v>7450</v>
      </c>
      <c r="P203" s="135">
        <f t="shared" ref="P203" si="246">SUM(P196:P202)</f>
        <v>7450</v>
      </c>
      <c r="Q203" s="135">
        <f t="shared" ref="Q203" si="247">SUM(Q196:Q202)</f>
        <v>7450</v>
      </c>
      <c r="R203" s="135">
        <f t="shared" ref="R203" si="248">SUM(R196:R202)</f>
        <v>89400</v>
      </c>
      <c r="S203" s="125"/>
      <c r="T203" s="54"/>
    </row>
    <row r="205" spans="1:27" ht="18" thickBot="1" x14ac:dyDescent="0.4">
      <c r="B205" s="37" t="s">
        <v>446</v>
      </c>
      <c r="D205" s="63"/>
      <c r="Q205" s="126"/>
      <c r="R205" s="126"/>
      <c r="S205" s="129"/>
    </row>
    <row r="206" spans="1:27" ht="16.5" thickBot="1" x14ac:dyDescent="0.4">
      <c r="D206" s="127"/>
      <c r="Q206" s="126"/>
      <c r="R206" s="263">
        <v>93058</v>
      </c>
      <c r="S206" s="129" t="s">
        <v>478</v>
      </c>
    </row>
    <row r="207" spans="1:27" ht="18" x14ac:dyDescent="0.35">
      <c r="C207" s="123" t="s">
        <v>366</v>
      </c>
      <c r="D207" s="157" t="s">
        <v>578</v>
      </c>
      <c r="E207" s="123"/>
      <c r="F207" s="55" t="s">
        <v>0</v>
      </c>
      <c r="G207" s="55" t="s">
        <v>1</v>
      </c>
      <c r="H207" s="55" t="s">
        <v>2</v>
      </c>
      <c r="I207" s="55" t="s">
        <v>3</v>
      </c>
      <c r="J207" s="55" t="s">
        <v>4</v>
      </c>
      <c r="K207" s="55" t="s">
        <v>5</v>
      </c>
      <c r="L207" s="55" t="s">
        <v>6</v>
      </c>
      <c r="M207" s="55" t="s">
        <v>7</v>
      </c>
      <c r="N207" s="55" t="s">
        <v>8</v>
      </c>
      <c r="O207" s="55" t="s">
        <v>9</v>
      </c>
      <c r="P207" s="55" t="s">
        <v>10</v>
      </c>
      <c r="Q207" s="55" t="s">
        <v>11</v>
      </c>
      <c r="R207" s="55" t="s">
        <v>12</v>
      </c>
      <c r="S207" s="131"/>
      <c r="T207" s="129"/>
    </row>
    <row r="208" spans="1:27" x14ac:dyDescent="0.35">
      <c r="B208" s="282">
        <f>'INS RET'!C59</f>
        <v>4050</v>
      </c>
      <c r="C208" s="34">
        <f>$C$6</f>
        <v>54008</v>
      </c>
      <c r="D208" s="158">
        <f>C208/$C$13</f>
        <v>0.13593244654744976</v>
      </c>
      <c r="E208" s="155"/>
      <c r="F208" s="34">
        <f>D208*$R$206</f>
        <v>12649.60161081258</v>
      </c>
      <c r="G208" s="34">
        <f t="shared" ref="G208:Q208" si="249">+F208</f>
        <v>12649.60161081258</v>
      </c>
      <c r="H208" s="34">
        <f t="shared" si="249"/>
        <v>12649.60161081258</v>
      </c>
      <c r="I208" s="34">
        <f t="shared" si="249"/>
        <v>12649.60161081258</v>
      </c>
      <c r="J208" s="34">
        <f t="shared" si="249"/>
        <v>12649.60161081258</v>
      </c>
      <c r="K208" s="34">
        <f t="shared" si="249"/>
        <v>12649.60161081258</v>
      </c>
      <c r="L208" s="34">
        <f t="shared" si="249"/>
        <v>12649.60161081258</v>
      </c>
      <c r="M208" s="34">
        <f t="shared" si="249"/>
        <v>12649.60161081258</v>
      </c>
      <c r="N208" s="34">
        <f t="shared" si="249"/>
        <v>12649.60161081258</v>
      </c>
      <c r="O208" s="34">
        <f t="shared" si="249"/>
        <v>12649.60161081258</v>
      </c>
      <c r="P208" s="34">
        <f t="shared" si="249"/>
        <v>12649.60161081258</v>
      </c>
      <c r="Q208" s="34">
        <f t="shared" si="249"/>
        <v>12649.60161081258</v>
      </c>
      <c r="R208" s="119">
        <f t="shared" ref="R208:R214" si="250">SUM(F208:Q208)</f>
        <v>151795.21932975095</v>
      </c>
      <c r="S208" s="126"/>
    </row>
    <row r="209" spans="2:19" x14ac:dyDescent="0.35">
      <c r="B209" s="282">
        <f>'INS RET'!C60</f>
        <v>4060</v>
      </c>
      <c r="C209" s="34">
        <f>$C$7</f>
        <v>107890</v>
      </c>
      <c r="D209" s="158">
        <f t="shared" ref="D209:D214" si="251">C209/$C$13</f>
        <v>0.27154776436832234</v>
      </c>
      <c r="E209" s="155"/>
      <c r="F209" s="34">
        <f t="shared" ref="F209:F214" si="252">D209*$R$206</f>
        <v>25269.691856587342</v>
      </c>
      <c r="G209" s="34">
        <f t="shared" ref="G209:Q209" si="253">+F209</f>
        <v>25269.691856587342</v>
      </c>
      <c r="H209" s="34">
        <f t="shared" si="253"/>
        <v>25269.691856587342</v>
      </c>
      <c r="I209" s="34">
        <f t="shared" si="253"/>
        <v>25269.691856587342</v>
      </c>
      <c r="J209" s="34">
        <f t="shared" si="253"/>
        <v>25269.691856587342</v>
      </c>
      <c r="K209" s="34">
        <f t="shared" si="253"/>
        <v>25269.691856587342</v>
      </c>
      <c r="L209" s="34">
        <f t="shared" si="253"/>
        <v>25269.691856587342</v>
      </c>
      <c r="M209" s="34">
        <f t="shared" si="253"/>
        <v>25269.691856587342</v>
      </c>
      <c r="N209" s="34">
        <f t="shared" si="253"/>
        <v>25269.691856587342</v>
      </c>
      <c r="O209" s="34">
        <f t="shared" si="253"/>
        <v>25269.691856587342</v>
      </c>
      <c r="P209" s="34">
        <f t="shared" si="253"/>
        <v>25269.691856587342</v>
      </c>
      <c r="Q209" s="34">
        <f t="shared" si="253"/>
        <v>25269.691856587342</v>
      </c>
      <c r="R209" s="119">
        <f t="shared" si="250"/>
        <v>303236.30227904808</v>
      </c>
      <c r="S209" s="126"/>
    </row>
    <row r="210" spans="2:19" x14ac:dyDescent="0.35">
      <c r="B210" s="282">
        <f>'INS RET'!C61</f>
        <v>4070</v>
      </c>
      <c r="C210" s="34">
        <f>$C$8</f>
        <v>61508</v>
      </c>
      <c r="D210" s="158">
        <f t="shared" si="251"/>
        <v>0.15480915646275625</v>
      </c>
      <c r="E210" s="155"/>
      <c r="F210" s="34">
        <f t="shared" si="252"/>
        <v>14406.230482111172</v>
      </c>
      <c r="G210" s="34">
        <f t="shared" ref="G210:Q210" si="254">+F210</f>
        <v>14406.230482111172</v>
      </c>
      <c r="H210" s="34">
        <f t="shared" si="254"/>
        <v>14406.230482111172</v>
      </c>
      <c r="I210" s="34">
        <f t="shared" si="254"/>
        <v>14406.230482111172</v>
      </c>
      <c r="J210" s="34">
        <f t="shared" si="254"/>
        <v>14406.230482111172</v>
      </c>
      <c r="K210" s="34">
        <f t="shared" si="254"/>
        <v>14406.230482111172</v>
      </c>
      <c r="L210" s="34">
        <f t="shared" si="254"/>
        <v>14406.230482111172</v>
      </c>
      <c r="M210" s="34">
        <f t="shared" si="254"/>
        <v>14406.230482111172</v>
      </c>
      <c r="N210" s="34">
        <f t="shared" si="254"/>
        <v>14406.230482111172</v>
      </c>
      <c r="O210" s="34">
        <f t="shared" si="254"/>
        <v>14406.230482111172</v>
      </c>
      <c r="P210" s="34">
        <f t="shared" si="254"/>
        <v>14406.230482111172</v>
      </c>
      <c r="Q210" s="34">
        <f t="shared" si="254"/>
        <v>14406.230482111172</v>
      </c>
      <c r="R210" s="119">
        <f t="shared" si="250"/>
        <v>172874.76578533405</v>
      </c>
      <c r="S210" s="126"/>
    </row>
    <row r="211" spans="2:19" x14ac:dyDescent="0.35">
      <c r="B211" s="282">
        <f>'INS RET'!C62</f>
        <v>4080</v>
      </c>
      <c r="C211" s="34">
        <f>$C$9</f>
        <v>127848</v>
      </c>
      <c r="D211" s="158">
        <f t="shared" si="251"/>
        <v>0.32177994790028064</v>
      </c>
      <c r="E211" s="155"/>
      <c r="F211" s="34">
        <f t="shared" si="252"/>
        <v>29944.198391704314</v>
      </c>
      <c r="G211" s="34">
        <f t="shared" ref="G211:Q211" si="255">+F211</f>
        <v>29944.198391704314</v>
      </c>
      <c r="H211" s="34">
        <f t="shared" si="255"/>
        <v>29944.198391704314</v>
      </c>
      <c r="I211" s="34">
        <f t="shared" si="255"/>
        <v>29944.198391704314</v>
      </c>
      <c r="J211" s="34">
        <f t="shared" si="255"/>
        <v>29944.198391704314</v>
      </c>
      <c r="K211" s="34">
        <f t="shared" si="255"/>
        <v>29944.198391704314</v>
      </c>
      <c r="L211" s="34">
        <f t="shared" si="255"/>
        <v>29944.198391704314</v>
      </c>
      <c r="M211" s="34">
        <f t="shared" si="255"/>
        <v>29944.198391704314</v>
      </c>
      <c r="N211" s="34">
        <f t="shared" si="255"/>
        <v>29944.198391704314</v>
      </c>
      <c r="O211" s="34">
        <f t="shared" si="255"/>
        <v>29944.198391704314</v>
      </c>
      <c r="P211" s="34">
        <f t="shared" si="255"/>
        <v>29944.198391704314</v>
      </c>
      <c r="Q211" s="34">
        <f t="shared" si="255"/>
        <v>29944.198391704314</v>
      </c>
      <c r="R211" s="119">
        <f t="shared" si="250"/>
        <v>359330.38070045173</v>
      </c>
      <c r="S211" s="126"/>
    </row>
    <row r="212" spans="2:19" x14ac:dyDescent="0.35">
      <c r="B212" s="282" t="str">
        <f>'INS RET'!C63</f>
        <v>40A0</v>
      </c>
      <c r="C212" s="34">
        <f>$C$10</f>
        <v>15083</v>
      </c>
      <c r="D212" s="158">
        <f t="shared" si="251"/>
        <v>3.7962322087009046E-2</v>
      </c>
      <c r="E212" s="155"/>
      <c r="F212" s="34">
        <f t="shared" si="252"/>
        <v>3532.6977687728877</v>
      </c>
      <c r="G212" s="34">
        <f t="shared" ref="G212:Q212" si="256">+F212</f>
        <v>3532.6977687728877</v>
      </c>
      <c r="H212" s="34">
        <f t="shared" si="256"/>
        <v>3532.6977687728877</v>
      </c>
      <c r="I212" s="34">
        <f t="shared" si="256"/>
        <v>3532.6977687728877</v>
      </c>
      <c r="J212" s="34">
        <f t="shared" si="256"/>
        <v>3532.6977687728877</v>
      </c>
      <c r="K212" s="34">
        <f t="shared" si="256"/>
        <v>3532.6977687728877</v>
      </c>
      <c r="L212" s="34">
        <f t="shared" si="256"/>
        <v>3532.6977687728877</v>
      </c>
      <c r="M212" s="34">
        <f t="shared" si="256"/>
        <v>3532.6977687728877</v>
      </c>
      <c r="N212" s="34">
        <f t="shared" si="256"/>
        <v>3532.6977687728877</v>
      </c>
      <c r="O212" s="34">
        <f t="shared" si="256"/>
        <v>3532.6977687728877</v>
      </c>
      <c r="P212" s="34">
        <f t="shared" si="256"/>
        <v>3532.6977687728877</v>
      </c>
      <c r="Q212" s="34">
        <f t="shared" si="256"/>
        <v>3532.6977687728877</v>
      </c>
      <c r="R212" s="119">
        <f t="shared" si="250"/>
        <v>42392.373225274649</v>
      </c>
      <c r="S212" s="126"/>
    </row>
    <row r="213" spans="2:19" x14ac:dyDescent="0.35">
      <c r="B213" s="282" t="str">
        <f>'INS RET'!C64</f>
        <v>40B0</v>
      </c>
      <c r="C213" s="34">
        <f>$C$11</f>
        <v>12978</v>
      </c>
      <c r="D213" s="158">
        <f t="shared" si="251"/>
        <v>3.2664258837446357E-2</v>
      </c>
      <c r="E213" s="155"/>
      <c r="F213" s="34">
        <f t="shared" si="252"/>
        <v>3039.670598895083</v>
      </c>
      <c r="G213" s="34">
        <f t="shared" ref="G213:Q213" si="257">+F213</f>
        <v>3039.670598895083</v>
      </c>
      <c r="H213" s="34">
        <f t="shared" si="257"/>
        <v>3039.670598895083</v>
      </c>
      <c r="I213" s="34">
        <f t="shared" si="257"/>
        <v>3039.670598895083</v>
      </c>
      <c r="J213" s="34">
        <f t="shared" si="257"/>
        <v>3039.670598895083</v>
      </c>
      <c r="K213" s="34">
        <f t="shared" si="257"/>
        <v>3039.670598895083</v>
      </c>
      <c r="L213" s="34">
        <f t="shared" si="257"/>
        <v>3039.670598895083</v>
      </c>
      <c r="M213" s="34">
        <f t="shared" si="257"/>
        <v>3039.670598895083</v>
      </c>
      <c r="N213" s="34">
        <f t="shared" si="257"/>
        <v>3039.670598895083</v>
      </c>
      <c r="O213" s="34">
        <f t="shared" si="257"/>
        <v>3039.670598895083</v>
      </c>
      <c r="P213" s="34">
        <f t="shared" si="257"/>
        <v>3039.670598895083</v>
      </c>
      <c r="Q213" s="34">
        <f t="shared" si="257"/>
        <v>3039.670598895083</v>
      </c>
      <c r="R213" s="119">
        <f t="shared" si="250"/>
        <v>36476.047186740994</v>
      </c>
      <c r="S213" s="126"/>
    </row>
    <row r="214" spans="2:19" x14ac:dyDescent="0.35">
      <c r="B214" s="282" t="str">
        <f>'INS RET'!C65</f>
        <v>40C0</v>
      </c>
      <c r="C214" s="43">
        <f>$C$12</f>
        <v>18000</v>
      </c>
      <c r="D214" s="159">
        <f t="shared" si="251"/>
        <v>4.5304103796735586E-2</v>
      </c>
      <c r="E214" s="154"/>
      <c r="F214" s="34">
        <f t="shared" si="252"/>
        <v>4215.9092911166199</v>
      </c>
      <c r="G214" s="34">
        <f t="shared" ref="G214:Q214" si="258">+F214</f>
        <v>4215.9092911166199</v>
      </c>
      <c r="H214" s="34">
        <f t="shared" si="258"/>
        <v>4215.9092911166199</v>
      </c>
      <c r="I214" s="34">
        <f t="shared" si="258"/>
        <v>4215.9092911166199</v>
      </c>
      <c r="J214" s="34">
        <f t="shared" si="258"/>
        <v>4215.9092911166199</v>
      </c>
      <c r="K214" s="34">
        <f t="shared" si="258"/>
        <v>4215.9092911166199</v>
      </c>
      <c r="L214" s="34">
        <f t="shared" si="258"/>
        <v>4215.9092911166199</v>
      </c>
      <c r="M214" s="34">
        <f t="shared" si="258"/>
        <v>4215.9092911166199</v>
      </c>
      <c r="N214" s="34">
        <f t="shared" si="258"/>
        <v>4215.9092911166199</v>
      </c>
      <c r="O214" s="34">
        <f t="shared" si="258"/>
        <v>4215.9092911166199</v>
      </c>
      <c r="P214" s="34">
        <f t="shared" si="258"/>
        <v>4215.9092911166199</v>
      </c>
      <c r="Q214" s="34">
        <f t="shared" si="258"/>
        <v>4215.9092911166199</v>
      </c>
      <c r="R214" s="119">
        <f t="shared" si="250"/>
        <v>50590.91149339945</v>
      </c>
      <c r="S214" s="126"/>
    </row>
    <row r="215" spans="2:19" x14ac:dyDescent="0.35">
      <c r="B215" s="133" t="s">
        <v>357</v>
      </c>
      <c r="C215" s="34">
        <f>SUM(C208:C214)</f>
        <v>397315</v>
      </c>
      <c r="D215" s="283">
        <f>SUM(D208:D214)</f>
        <v>1</v>
      </c>
      <c r="E215" s="156"/>
      <c r="F215" s="135">
        <f t="shared" ref="F215:R215" si="259">SUM(F208:F214)</f>
        <v>93058.000000000015</v>
      </c>
      <c r="G215" s="135">
        <f t="shared" si="259"/>
        <v>93058.000000000015</v>
      </c>
      <c r="H215" s="135">
        <f t="shared" si="259"/>
        <v>93058.000000000015</v>
      </c>
      <c r="I215" s="135">
        <f t="shared" si="259"/>
        <v>93058.000000000015</v>
      </c>
      <c r="J215" s="135">
        <f t="shared" si="259"/>
        <v>93058.000000000015</v>
      </c>
      <c r="K215" s="135">
        <f t="shared" si="259"/>
        <v>93058.000000000015</v>
      </c>
      <c r="L215" s="135">
        <f t="shared" si="259"/>
        <v>93058.000000000015</v>
      </c>
      <c r="M215" s="135">
        <f t="shared" si="259"/>
        <v>93058.000000000015</v>
      </c>
      <c r="N215" s="135">
        <f t="shared" si="259"/>
        <v>93058.000000000015</v>
      </c>
      <c r="O215" s="135">
        <f t="shared" si="259"/>
        <v>93058.000000000015</v>
      </c>
      <c r="P215" s="135">
        <f t="shared" si="259"/>
        <v>93058.000000000015</v>
      </c>
      <c r="Q215" s="135">
        <f t="shared" si="259"/>
        <v>93058.000000000015</v>
      </c>
      <c r="R215" s="135">
        <f t="shared" si="259"/>
        <v>1116695.9999999998</v>
      </c>
      <c r="S215" s="125"/>
    </row>
    <row r="216" spans="2:19" x14ac:dyDescent="0.35">
      <c r="B216" s="127"/>
      <c r="C216" s="127"/>
      <c r="D216" s="127"/>
      <c r="R216" s="308"/>
      <c r="S216" s="308"/>
    </row>
    <row r="217" spans="2:19" x14ac:dyDescent="0.35">
      <c r="C217" s="127"/>
      <c r="D217" s="127"/>
      <c r="E217" s="309"/>
    </row>
    <row r="218" spans="2:19" x14ac:dyDescent="0.35">
      <c r="C218" s="127"/>
      <c r="D218" s="127"/>
      <c r="E218" s="36"/>
      <c r="F218" s="36"/>
      <c r="G218" s="36"/>
      <c r="H218" s="310"/>
      <c r="Q218" s="311"/>
      <c r="R218" s="311"/>
    </row>
    <row r="219" spans="2:19" x14ac:dyDescent="0.35">
      <c r="C219" s="127"/>
      <c r="D219" s="127"/>
      <c r="E219" s="309"/>
    </row>
    <row r="220" spans="2:19" x14ac:dyDescent="0.35">
      <c r="C220" s="127"/>
      <c r="D220" s="127"/>
    </row>
    <row r="221" spans="2:19" x14ac:dyDescent="0.35">
      <c r="B221" s="94" t="s">
        <v>225</v>
      </c>
      <c r="C221" s="96"/>
      <c r="D221" s="96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</row>
    <row r="222" spans="2:19" x14ac:dyDescent="0.35">
      <c r="B222" s="95"/>
      <c r="C222" s="150"/>
      <c r="D222" s="150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142" t="s">
        <v>12</v>
      </c>
      <c r="R222" s="307"/>
    </row>
    <row r="223" spans="2:19" x14ac:dyDescent="0.35">
      <c r="B223" s="151"/>
      <c r="C223" s="150"/>
      <c r="D223" s="150"/>
      <c r="E223" s="142" t="s">
        <v>0</v>
      </c>
      <c r="F223" s="142" t="s">
        <v>1</v>
      </c>
      <c r="G223" s="142" t="s">
        <v>2</v>
      </c>
      <c r="H223" s="142" t="s">
        <v>3</v>
      </c>
      <c r="I223" s="142" t="s">
        <v>4</v>
      </c>
      <c r="J223" s="142" t="s">
        <v>5</v>
      </c>
      <c r="K223" s="142" t="s">
        <v>6</v>
      </c>
      <c r="L223" s="142" t="s">
        <v>7</v>
      </c>
      <c r="M223" s="142" t="s">
        <v>8</v>
      </c>
      <c r="N223" s="142" t="s">
        <v>9</v>
      </c>
      <c r="O223" s="142" t="s">
        <v>10</v>
      </c>
      <c r="P223" s="142" t="s">
        <v>11</v>
      </c>
      <c r="Q223" s="95"/>
      <c r="S223" s="485"/>
    </row>
    <row r="224" spans="2:19" x14ac:dyDescent="0.35">
      <c r="B224" s="151">
        <f t="shared" ref="B224:B230" si="260">B208</f>
        <v>4050</v>
      </c>
      <c r="C224" s="152"/>
      <c r="D224" s="152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136">
        <f>SUM('INS RET'!E59:P59)</f>
        <v>45256.543138800007</v>
      </c>
      <c r="R224" s="486"/>
    </row>
    <row r="225" spans="2:18" x14ac:dyDescent="0.35">
      <c r="B225" s="151">
        <f t="shared" si="260"/>
        <v>4060</v>
      </c>
      <c r="C225" s="152"/>
      <c r="D225" s="152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137">
        <f>SUM('INS RET'!E60:P60)</f>
        <v>109813.67085150001</v>
      </c>
      <c r="R225" s="487"/>
    </row>
    <row r="226" spans="2:18" x14ac:dyDescent="0.35">
      <c r="B226" s="151">
        <f t="shared" si="260"/>
        <v>4070</v>
      </c>
      <c r="C226" s="152"/>
      <c r="D226" s="152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137">
        <f>SUM('INS RET'!E61:P61)</f>
        <v>75539.630527200003</v>
      </c>
      <c r="R226" s="487"/>
    </row>
    <row r="227" spans="2:18" x14ac:dyDescent="0.35">
      <c r="B227" s="151">
        <f t="shared" si="260"/>
        <v>4080</v>
      </c>
      <c r="C227" s="152"/>
      <c r="D227" s="152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137">
        <f>SUM('INS RET'!E62:P62)</f>
        <v>157657.40544959996</v>
      </c>
      <c r="R227" s="487"/>
    </row>
    <row r="228" spans="2:18" x14ac:dyDescent="0.35">
      <c r="B228" s="151" t="str">
        <f t="shared" si="260"/>
        <v>40A0</v>
      </c>
      <c r="C228" s="152"/>
      <c r="D228" s="152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137">
        <f>SUM('INS RET'!E63:P63)</f>
        <v>20205.715436676004</v>
      </c>
      <c r="R228" s="487"/>
    </row>
    <row r="229" spans="2:18" x14ac:dyDescent="0.35">
      <c r="B229" s="151" t="str">
        <f t="shared" si="260"/>
        <v>40B0</v>
      </c>
      <c r="C229" s="152"/>
      <c r="D229" s="152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137">
        <f>SUM('INS RET'!E64:P64)</f>
        <v>17144.243400816002</v>
      </c>
      <c r="R229" s="487"/>
    </row>
    <row r="230" spans="2:18" x14ac:dyDescent="0.35">
      <c r="B230" s="151" t="str">
        <f t="shared" si="260"/>
        <v>40C0</v>
      </c>
      <c r="C230" s="152"/>
      <c r="D230" s="152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137">
        <f>SUM('INS RET'!E65:P65)</f>
        <v>23879.481879707997</v>
      </c>
      <c r="R230" s="487"/>
    </row>
    <row r="231" spans="2:18" x14ac:dyDescent="0.35">
      <c r="B231" s="122"/>
      <c r="C231" s="152"/>
      <c r="D231" s="152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</row>
    <row r="232" spans="2:18" x14ac:dyDescent="0.35">
      <c r="B232" s="95"/>
      <c r="C232" s="150"/>
      <c r="D232" s="150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142" t="s">
        <v>12</v>
      </c>
      <c r="R232" s="307"/>
    </row>
    <row r="233" spans="2:18" x14ac:dyDescent="0.35">
      <c r="B233" s="95"/>
      <c r="C233" s="150"/>
      <c r="D233" s="150"/>
      <c r="E233" s="139" t="s">
        <v>260</v>
      </c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3" t="e">
        <f>SUM(#REF!)</f>
        <v>#REF!</v>
      </c>
      <c r="R233" s="41"/>
    </row>
    <row r="234" spans="2:18" x14ac:dyDescent="0.35">
      <c r="B234" s="95"/>
      <c r="C234" s="150"/>
      <c r="D234" s="150"/>
      <c r="E234" s="94">
        <v>59833.46758818836</v>
      </c>
      <c r="F234" s="94">
        <v>60077.78758084013</v>
      </c>
      <c r="G234" s="94">
        <v>60323.105213461895</v>
      </c>
      <c r="H234" s="140">
        <v>60569.424559750216</v>
      </c>
      <c r="I234" s="141">
        <v>60816.74971003586</v>
      </c>
      <c r="J234" s="141">
        <v>61065.084771351831</v>
      </c>
      <c r="K234" s="141">
        <v>61314.433867501502</v>
      </c>
      <c r="L234" s="141">
        <v>61564.801139127143</v>
      </c>
      <c r="M234" s="141">
        <v>61816.190743778585</v>
      </c>
      <c r="N234" s="141">
        <v>62068.606855982347</v>
      </c>
      <c r="O234" s="141">
        <v>62322.053667310931</v>
      </c>
      <c r="P234" s="141">
        <v>62576.535386452451</v>
      </c>
      <c r="Q234" s="95">
        <f t="shared" ref="Q234:Q240" si="261">SUM(F208:Q208)</f>
        <v>151795.21932975095</v>
      </c>
    </row>
    <row r="235" spans="2:18" x14ac:dyDescent="0.35">
      <c r="B235" s="95"/>
      <c r="C235" s="150"/>
      <c r="D235" s="150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>
        <f t="shared" si="261"/>
        <v>303236.30227904808</v>
      </c>
    </row>
    <row r="236" spans="2:18" x14ac:dyDescent="0.35">
      <c r="B236" s="95"/>
      <c r="C236" s="150"/>
      <c r="D236" s="150"/>
      <c r="E236" s="95">
        <f t="shared" ref="E236:P236" si="262">+E218+E234</f>
        <v>59833.46758818836</v>
      </c>
      <c r="F236" s="95">
        <f t="shared" si="262"/>
        <v>60077.78758084013</v>
      </c>
      <c r="G236" s="95">
        <f t="shared" si="262"/>
        <v>60323.105213461895</v>
      </c>
      <c r="H236" s="95">
        <f t="shared" si="262"/>
        <v>60569.424559750216</v>
      </c>
      <c r="I236" s="95">
        <f t="shared" si="262"/>
        <v>60816.74971003586</v>
      </c>
      <c r="J236" s="95">
        <f t="shared" si="262"/>
        <v>61065.084771351831</v>
      </c>
      <c r="K236" s="95">
        <f t="shared" si="262"/>
        <v>61314.433867501502</v>
      </c>
      <c r="L236" s="95">
        <f t="shared" si="262"/>
        <v>61564.801139127143</v>
      </c>
      <c r="M236" s="95">
        <f t="shared" si="262"/>
        <v>61816.190743778585</v>
      </c>
      <c r="N236" s="95">
        <f t="shared" si="262"/>
        <v>62068.606855982347</v>
      </c>
      <c r="O236" s="95">
        <f t="shared" si="262"/>
        <v>62322.053667310931</v>
      </c>
      <c r="P236" s="95">
        <f t="shared" si="262"/>
        <v>62576.535386452451</v>
      </c>
      <c r="Q236" s="95">
        <f t="shared" si="261"/>
        <v>172874.76578533405</v>
      </c>
    </row>
    <row r="237" spans="2:18" x14ac:dyDescent="0.35">
      <c r="B237" s="95"/>
      <c r="C237" s="150"/>
      <c r="D237" s="150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>
        <f t="shared" si="261"/>
        <v>359330.38070045173</v>
      </c>
    </row>
    <row r="238" spans="2:18" x14ac:dyDescent="0.35">
      <c r="B238" s="95"/>
      <c r="C238" s="150"/>
      <c r="D238" s="150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>
        <f t="shared" si="261"/>
        <v>42392.373225274649</v>
      </c>
    </row>
    <row r="239" spans="2:18" x14ac:dyDescent="0.35">
      <c r="B239" s="95"/>
      <c r="C239" s="150"/>
      <c r="D239" s="150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>
        <f t="shared" si="261"/>
        <v>36476.047186740994</v>
      </c>
    </row>
    <row r="240" spans="2:18" x14ac:dyDescent="0.35">
      <c r="B240" s="95"/>
      <c r="C240" s="150"/>
      <c r="D240" s="150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>
        <f t="shared" si="261"/>
        <v>50590.91149339945</v>
      </c>
    </row>
    <row r="241" spans="2:24" x14ac:dyDescent="0.35">
      <c r="B241" s="95"/>
      <c r="C241" s="150"/>
      <c r="D241" s="150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</row>
    <row r="242" spans="2:24" x14ac:dyDescent="0.35">
      <c r="B242" s="95"/>
      <c r="C242" s="150"/>
      <c r="D242" s="150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W242" s="138"/>
      <c r="X242" s="138"/>
    </row>
    <row r="243" spans="2:24" x14ac:dyDescent="0.35">
      <c r="B243" s="95"/>
      <c r="C243" s="150"/>
      <c r="D243" s="150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>
        <f>SUM(E218:P218)</f>
        <v>0</v>
      </c>
      <c r="W243" s="138"/>
      <c r="X243" s="138"/>
    </row>
    <row r="244" spans="2:24" x14ac:dyDescent="0.35">
      <c r="B244" s="95"/>
      <c r="C244" s="150"/>
      <c r="D244" s="150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W244" s="138"/>
      <c r="X244" s="138"/>
    </row>
    <row r="245" spans="2:24" x14ac:dyDescent="0.35">
      <c r="B245" s="95"/>
      <c r="C245" s="150"/>
      <c r="D245" s="150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W245" s="138"/>
      <c r="X245" s="138"/>
    </row>
    <row r="246" spans="2:24" x14ac:dyDescent="0.35">
      <c r="B246" s="95"/>
      <c r="C246" s="150"/>
      <c r="D246" s="150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</row>
    <row r="247" spans="2:24" x14ac:dyDescent="0.35">
      <c r="B247" s="95"/>
      <c r="C247" s="150"/>
      <c r="D247" s="150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</row>
    <row r="248" spans="2:24" x14ac:dyDescent="0.35">
      <c r="B248" s="95"/>
      <c r="C248" s="150"/>
      <c r="D248" s="150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142" t="s">
        <v>12</v>
      </c>
      <c r="R248" s="307"/>
    </row>
    <row r="249" spans="2:24" x14ac:dyDescent="0.35">
      <c r="B249" s="95"/>
      <c r="C249" s="150"/>
      <c r="D249" s="150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>
        <f t="shared" ref="Q249:Q255" si="263">SUM(E224:P224)</f>
        <v>0</v>
      </c>
    </row>
    <row r="250" spans="2:24" x14ac:dyDescent="0.35">
      <c r="B250" s="95"/>
      <c r="C250" s="150"/>
      <c r="D250" s="150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>
        <f t="shared" si="263"/>
        <v>0</v>
      </c>
    </row>
    <row r="251" spans="2:24" x14ac:dyDescent="0.35">
      <c r="B251" s="95"/>
      <c r="C251" s="150"/>
      <c r="D251" s="150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>
        <f t="shared" si="263"/>
        <v>0</v>
      </c>
    </row>
    <row r="252" spans="2:24" x14ac:dyDescent="0.35">
      <c r="B252" s="95"/>
      <c r="C252" s="150"/>
      <c r="D252" s="150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>
        <f t="shared" si="263"/>
        <v>0</v>
      </c>
    </row>
    <row r="253" spans="2:24" x14ac:dyDescent="0.35">
      <c r="B253" s="95"/>
      <c r="C253" s="150"/>
      <c r="D253" s="150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>
        <f t="shared" si="263"/>
        <v>0</v>
      </c>
    </row>
    <row r="254" spans="2:24" x14ac:dyDescent="0.35">
      <c r="B254" s="95"/>
      <c r="C254" s="150"/>
      <c r="D254" s="150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>
        <f t="shared" si="263"/>
        <v>0</v>
      </c>
    </row>
    <row r="255" spans="2:24" x14ac:dyDescent="0.35">
      <c r="B255" s="95"/>
      <c r="C255" s="150"/>
      <c r="D255" s="150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>
        <f t="shared" si="263"/>
        <v>0</v>
      </c>
    </row>
    <row r="256" spans="2:24" x14ac:dyDescent="0.35">
      <c r="B256" s="95"/>
      <c r="C256" s="150"/>
      <c r="D256" s="150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</row>
    <row r="257" spans="2:17" x14ac:dyDescent="0.35">
      <c r="B257" s="95"/>
      <c r="C257" s="150"/>
      <c r="D257" s="150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</row>
    <row r="258" spans="2:17" x14ac:dyDescent="0.35">
      <c r="B258" s="95"/>
      <c r="C258" s="150"/>
      <c r="D258" s="150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>
        <f>SUM(E234:P234)</f>
        <v>734348.24108378123</v>
      </c>
    </row>
    <row r="259" spans="2:17" x14ac:dyDescent="0.35">
      <c r="C259" s="127"/>
      <c r="D259" s="127"/>
    </row>
  </sheetData>
  <sheetProtection sheet="1" selectLockedCells="1"/>
  <phoneticPr fontId="3" type="noConversion"/>
  <conditionalFormatting sqref="H218">
    <cfRule type="expression" dxfId="1" priority="2" stopIfTrue="1">
      <formula>MOD($B218,periods_per_year)=0</formula>
    </cfRule>
  </conditionalFormatting>
  <conditionalFormatting sqref="H234">
    <cfRule type="expression" dxfId="0" priority="1" stopIfTrue="1">
      <formula>MOD($B234,periods_per_year)=0</formula>
    </cfRule>
  </conditionalFormatting>
  <printOptions horizontalCentered="1" verticalCentered="1"/>
  <pageMargins left="0.25" right="0.25" top="0.75" bottom="0.75" header="0.3" footer="0.3"/>
  <pageSetup scale="40" fitToWidth="0" fitToHeight="0" orientation="landscape" verticalDpi="300" r:id="rId1"/>
  <headerFooter>
    <oddHeader>&amp;R&amp;D</oddHeader>
    <oddFooter>Page &amp;P of &amp;N</oddFooter>
  </headerFooter>
  <rowBreaks count="2" manualBreakCount="2">
    <brk id="82" max="22" man="1"/>
    <brk id="149" max="2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0AA2-1955-4BD2-90E0-1DC6F696E89F}">
  <sheetPr>
    <tabColor rgb="FFFFC000"/>
  </sheetPr>
  <dimension ref="B1:R45"/>
  <sheetViews>
    <sheetView tabSelected="1" view="pageBreakPreview" zoomScale="60" zoomScaleNormal="100" workbookViewId="0">
      <selection activeCell="A11" sqref="A11"/>
    </sheetView>
  </sheetViews>
  <sheetFormatPr defaultColWidth="8.81640625" defaultRowHeight="16" x14ac:dyDescent="0.35"/>
  <cols>
    <col min="1" max="1" width="8.81640625" style="34" customWidth="1"/>
    <col min="2" max="2" width="6.453125" style="34" bestFit="1" customWidth="1"/>
    <col min="3" max="3" width="16.453125" style="127" customWidth="1"/>
    <col min="4" max="15" width="12.1796875" style="34" bestFit="1" customWidth="1"/>
    <col min="16" max="16" width="14.1796875" style="36" customWidth="1"/>
    <col min="17" max="17" width="4.1796875" style="34" customWidth="1"/>
    <col min="18" max="18" width="35.54296875" style="34" bestFit="1" customWidth="1"/>
    <col min="19" max="19" width="13.81640625" style="34" bestFit="1" customWidth="1"/>
    <col min="20" max="20" width="12" style="34" bestFit="1" customWidth="1"/>
    <col min="21" max="27" width="8.81640625" style="34"/>
    <col min="28" max="28" width="33.81640625" style="34" bestFit="1" customWidth="1"/>
    <col min="29" max="29" width="13.81640625" style="34" bestFit="1" customWidth="1"/>
    <col min="30" max="30" width="12" style="34" bestFit="1" customWidth="1"/>
    <col min="31" max="16384" width="8.81640625" style="34"/>
  </cols>
  <sheetData>
    <row r="1" spans="2:18" ht="29" x14ac:dyDescent="0.5">
      <c r="C1" s="34" t="s">
        <v>107</v>
      </c>
      <c r="D1" s="45" t="s">
        <v>29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53">
        <f>'NI LLC-Consolidated'!Q1</f>
        <v>46023</v>
      </c>
    </row>
    <row r="2" spans="2:18" ht="18" x14ac:dyDescent="0.35">
      <c r="C2" s="63"/>
      <c r="D2" s="121" t="str">
        <f>'NI LLC-Consolidated'!J2</f>
        <v>Neshaminy Interplex LLC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4" spans="2:18" ht="18" x14ac:dyDescent="0.35">
      <c r="D4" s="55" t="s">
        <v>0</v>
      </c>
      <c r="E4" s="55" t="s">
        <v>1</v>
      </c>
      <c r="F4" s="55" t="s">
        <v>2</v>
      </c>
      <c r="G4" s="55" t="s">
        <v>3</v>
      </c>
      <c r="H4" s="55" t="s">
        <v>4</v>
      </c>
      <c r="I4" s="55" t="s">
        <v>5</v>
      </c>
      <c r="J4" s="55" t="s">
        <v>6</v>
      </c>
      <c r="K4" s="55" t="s">
        <v>7</v>
      </c>
      <c r="L4" s="55" t="s">
        <v>8</v>
      </c>
      <c r="M4" s="55" t="s">
        <v>9</v>
      </c>
      <c r="N4" s="55" t="s">
        <v>10</v>
      </c>
      <c r="O4" s="55" t="s">
        <v>11</v>
      </c>
      <c r="P4" s="492" t="s">
        <v>12</v>
      </c>
      <c r="Q4" s="131"/>
    </row>
    <row r="5" spans="2:18" ht="18" x14ac:dyDescent="0.35"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53"/>
      <c r="Q5" s="131"/>
    </row>
    <row r="6" spans="2:18" x14ac:dyDescent="0.35">
      <c r="B6" s="282">
        <f>'4050'!B1</f>
        <v>4050</v>
      </c>
      <c r="C6" s="128" t="s">
        <v>579</v>
      </c>
      <c r="D6" s="40">
        <v>359.47</v>
      </c>
      <c r="E6" s="40">
        <v>372.86</v>
      </c>
      <c r="F6" s="40">
        <v>398.61</v>
      </c>
      <c r="G6" s="40">
        <v>389.34000000000003</v>
      </c>
      <c r="H6" s="40">
        <v>402.73</v>
      </c>
      <c r="I6" s="40">
        <v>375.95</v>
      </c>
      <c r="J6" s="40">
        <v>371.83</v>
      </c>
      <c r="K6" s="40">
        <v>371.83</v>
      </c>
      <c r="L6" s="40">
        <v>403.76</v>
      </c>
      <c r="M6" s="40">
        <v>395.52</v>
      </c>
      <c r="N6" s="40">
        <v>389.34000000000003</v>
      </c>
      <c r="O6" s="40">
        <v>387.28000000000003</v>
      </c>
      <c r="P6" s="36">
        <f>SUM(D6:O6)</f>
        <v>4618.5199999999995</v>
      </c>
      <c r="Q6" s="125"/>
      <c r="R6" s="38" t="s">
        <v>568</v>
      </c>
    </row>
    <row r="7" spans="2:18" x14ac:dyDescent="0.35">
      <c r="B7" s="118"/>
      <c r="C7" s="128" t="s">
        <v>579</v>
      </c>
      <c r="D7" s="40">
        <v>276.04000000000002</v>
      </c>
      <c r="E7" s="40">
        <v>269.86</v>
      </c>
      <c r="F7" s="40">
        <v>268.83</v>
      </c>
      <c r="G7" s="40">
        <v>270.89</v>
      </c>
      <c r="H7" s="40">
        <v>260.59000000000003</v>
      </c>
      <c r="I7" s="40">
        <v>259.56</v>
      </c>
      <c r="J7" s="40">
        <v>261.62</v>
      </c>
      <c r="K7" s="40">
        <v>261.62</v>
      </c>
      <c r="L7" s="40">
        <v>259.56</v>
      </c>
      <c r="M7" s="40">
        <v>261.62</v>
      </c>
      <c r="N7" s="40">
        <v>267.8</v>
      </c>
      <c r="O7" s="40">
        <v>296.64</v>
      </c>
      <c r="P7" s="36">
        <f>SUM(D7:O7)</f>
        <v>3214.6299999999997</v>
      </c>
      <c r="Q7" s="125"/>
    </row>
    <row r="8" spans="2:18" x14ac:dyDescent="0.35">
      <c r="B8" s="118"/>
      <c r="C8" s="128" t="s">
        <v>579</v>
      </c>
      <c r="D8" s="40">
        <v>121.54</v>
      </c>
      <c r="E8" s="40">
        <v>121.54</v>
      </c>
      <c r="F8" s="40">
        <v>121.54</v>
      </c>
      <c r="G8" s="40">
        <v>122.57000000000001</v>
      </c>
      <c r="H8" s="40">
        <v>737.48</v>
      </c>
      <c r="I8" s="40">
        <v>1231.8800000000001</v>
      </c>
      <c r="J8" s="40">
        <v>1442</v>
      </c>
      <c r="K8" s="40">
        <v>1944.64</v>
      </c>
      <c r="L8" s="40">
        <v>2250.5500000000002</v>
      </c>
      <c r="M8" s="40">
        <v>1192.74</v>
      </c>
      <c r="N8" s="40">
        <v>216.3</v>
      </c>
      <c r="O8" s="40">
        <v>131.84</v>
      </c>
      <c r="P8" s="36">
        <f>SUM(D8:O8)</f>
        <v>9634.6200000000008</v>
      </c>
      <c r="Q8" s="125"/>
    </row>
    <row r="9" spans="2:18" x14ac:dyDescent="0.35">
      <c r="B9" s="118"/>
      <c r="C9" s="128" t="s">
        <v>580</v>
      </c>
      <c r="D9" s="42">
        <v>146.26</v>
      </c>
      <c r="E9" s="42">
        <v>155.53</v>
      </c>
      <c r="F9" s="42">
        <v>173.04</v>
      </c>
      <c r="G9" s="42">
        <v>163.77000000000001</v>
      </c>
      <c r="H9" s="42">
        <v>172.01</v>
      </c>
      <c r="I9" s="42">
        <v>155.53</v>
      </c>
      <c r="J9" s="42">
        <v>159.65</v>
      </c>
      <c r="K9" s="42">
        <v>128.75</v>
      </c>
      <c r="L9" s="42">
        <v>182.31</v>
      </c>
      <c r="M9" s="42">
        <v>173.04</v>
      </c>
      <c r="N9" s="42">
        <v>168.92000000000002</v>
      </c>
      <c r="O9" s="42">
        <v>159.65</v>
      </c>
      <c r="P9" s="87">
        <f>SUM(D9:O9)</f>
        <v>1938.46</v>
      </c>
      <c r="Q9" s="125"/>
    </row>
    <row r="10" spans="2:18" x14ac:dyDescent="0.35">
      <c r="B10" s="118"/>
      <c r="C10" s="133" t="s">
        <v>357</v>
      </c>
      <c r="D10" s="36">
        <f>SUM(D6:D9)</f>
        <v>903.31</v>
      </c>
      <c r="E10" s="36">
        <f t="shared" ref="E10:O10" si="0">SUM(E6:E9)</f>
        <v>919.79</v>
      </c>
      <c r="F10" s="36">
        <f t="shared" si="0"/>
        <v>962.02</v>
      </c>
      <c r="G10" s="36">
        <f t="shared" si="0"/>
        <v>946.57</v>
      </c>
      <c r="H10" s="36">
        <f t="shared" si="0"/>
        <v>1572.8100000000002</v>
      </c>
      <c r="I10" s="36">
        <f t="shared" si="0"/>
        <v>2022.92</v>
      </c>
      <c r="J10" s="36">
        <f t="shared" si="0"/>
        <v>2235.1</v>
      </c>
      <c r="K10" s="36">
        <f t="shared" si="0"/>
        <v>2706.84</v>
      </c>
      <c r="L10" s="36">
        <f t="shared" si="0"/>
        <v>3096.18</v>
      </c>
      <c r="M10" s="36">
        <f t="shared" si="0"/>
        <v>2022.92</v>
      </c>
      <c r="N10" s="36">
        <f t="shared" si="0"/>
        <v>1042.3600000000001</v>
      </c>
      <c r="O10" s="36">
        <f t="shared" si="0"/>
        <v>975.41000000000008</v>
      </c>
      <c r="P10" s="36">
        <f>SUM(P6:P9)</f>
        <v>19406.23</v>
      </c>
      <c r="Q10" s="125"/>
    </row>
    <row r="11" spans="2:18" x14ac:dyDescent="0.35">
      <c r="B11" s="118"/>
      <c r="C11" s="128"/>
      <c r="Q11" s="125"/>
    </row>
    <row r="12" spans="2:18" x14ac:dyDescent="0.35">
      <c r="B12" s="282">
        <f>'4060'!B1</f>
        <v>4060</v>
      </c>
      <c r="C12" s="128" t="s">
        <v>579</v>
      </c>
      <c r="D12" s="40">
        <v>597.4</v>
      </c>
      <c r="E12" s="40">
        <v>651.99</v>
      </c>
      <c r="F12" s="40">
        <v>639.63</v>
      </c>
      <c r="G12" s="40">
        <v>666.41</v>
      </c>
      <c r="H12" s="40">
        <v>954.81000000000006</v>
      </c>
      <c r="I12" s="40">
        <v>1463.63</v>
      </c>
      <c r="J12" s="40">
        <v>1590.32</v>
      </c>
      <c r="K12" s="40">
        <v>1673.75</v>
      </c>
      <c r="L12" s="40">
        <v>1207.1600000000001</v>
      </c>
      <c r="M12" s="40">
        <v>650.96</v>
      </c>
      <c r="N12" s="40">
        <v>646.84</v>
      </c>
      <c r="O12" s="40">
        <v>661.26</v>
      </c>
      <c r="P12" s="36">
        <f>SUM(D12:O12)</f>
        <v>11404.159999999998</v>
      </c>
      <c r="Q12" s="125"/>
      <c r="R12" s="38" t="s">
        <v>568</v>
      </c>
    </row>
    <row r="13" spans="2:18" x14ac:dyDescent="0.35">
      <c r="B13" s="118"/>
      <c r="C13" s="128" t="s">
        <v>579</v>
      </c>
      <c r="D13" s="40">
        <v>447.02000000000004</v>
      </c>
      <c r="E13" s="40">
        <v>173.04</v>
      </c>
      <c r="F13" s="40">
        <v>447.02000000000004</v>
      </c>
      <c r="G13" s="40">
        <v>452.17</v>
      </c>
      <c r="H13" s="40">
        <v>452.17</v>
      </c>
      <c r="I13" s="40">
        <v>452.17</v>
      </c>
      <c r="J13" s="40">
        <v>455.26</v>
      </c>
      <c r="K13" s="40">
        <v>455.26</v>
      </c>
      <c r="L13" s="40">
        <v>439.81</v>
      </c>
      <c r="M13" s="40">
        <v>443.93</v>
      </c>
      <c r="N13" s="40">
        <v>443.93</v>
      </c>
      <c r="O13" s="40">
        <v>465.56</v>
      </c>
      <c r="P13" s="36">
        <f>SUM(D13:O13)</f>
        <v>5127.3400000000011</v>
      </c>
      <c r="Q13" s="125"/>
    </row>
    <row r="14" spans="2:18" x14ac:dyDescent="0.35">
      <c r="B14" s="118"/>
      <c r="C14" s="128" t="s">
        <v>579</v>
      </c>
      <c r="D14" s="40">
        <v>173.04</v>
      </c>
      <c r="E14" s="40">
        <v>447.02000000000004</v>
      </c>
      <c r="F14" s="40">
        <v>173.04</v>
      </c>
      <c r="G14" s="40">
        <v>175.1</v>
      </c>
      <c r="H14" s="40">
        <v>1479.08</v>
      </c>
      <c r="I14" s="40">
        <v>3111.63</v>
      </c>
      <c r="J14" s="40">
        <v>3318.6600000000003</v>
      </c>
      <c r="K14" s="40">
        <v>6334.5</v>
      </c>
      <c r="L14" s="40">
        <v>1802.5</v>
      </c>
      <c r="M14" s="40">
        <v>2903.57</v>
      </c>
      <c r="N14" s="40">
        <v>442.90000000000003</v>
      </c>
      <c r="O14" s="40">
        <v>182.31</v>
      </c>
      <c r="P14" s="36">
        <f>SUM(D14:O14)</f>
        <v>20543.350000000002</v>
      </c>
      <c r="Q14" s="125"/>
    </row>
    <row r="15" spans="2:18" x14ac:dyDescent="0.35">
      <c r="B15" s="118"/>
      <c r="C15" s="128" t="s">
        <v>580</v>
      </c>
      <c r="D15" s="42">
        <v>190.55</v>
      </c>
      <c r="E15" s="42">
        <v>257.5</v>
      </c>
      <c r="F15" s="42">
        <v>219.39000000000001</v>
      </c>
      <c r="G15" s="42">
        <v>232.78</v>
      </c>
      <c r="H15" s="42">
        <v>451.14</v>
      </c>
      <c r="I15" s="42">
        <v>869.32</v>
      </c>
      <c r="J15" s="42">
        <v>964.08</v>
      </c>
      <c r="K15" s="42">
        <v>1033.0899999999999</v>
      </c>
      <c r="L15" s="42">
        <v>687.01</v>
      </c>
      <c r="M15" s="42">
        <v>230.72</v>
      </c>
      <c r="N15" s="42">
        <v>228.66</v>
      </c>
      <c r="O15" s="42">
        <v>223.51000000000002</v>
      </c>
      <c r="P15" s="87">
        <f>SUM(D15:O15)</f>
        <v>5587.7500000000009</v>
      </c>
      <c r="Q15" s="125"/>
    </row>
    <row r="16" spans="2:18" x14ac:dyDescent="0.35">
      <c r="B16" s="118"/>
      <c r="C16" s="133" t="s">
        <v>357</v>
      </c>
      <c r="D16" s="36">
        <f>SUM(D12:D15)</f>
        <v>1408.01</v>
      </c>
      <c r="E16" s="36">
        <f t="shared" ref="E16" si="1">SUM(E12:E15)</f>
        <v>1529.55</v>
      </c>
      <c r="F16" s="36">
        <f t="shared" ref="F16" si="2">SUM(F12:F15)</f>
        <v>1479.0800000000002</v>
      </c>
      <c r="G16" s="36">
        <f t="shared" ref="G16" si="3">SUM(G12:G15)</f>
        <v>1526.4599999999998</v>
      </c>
      <c r="H16" s="36">
        <f t="shared" ref="H16" si="4">SUM(H12:H15)</f>
        <v>3337.2</v>
      </c>
      <c r="I16" s="36">
        <f t="shared" ref="I16" si="5">SUM(I12:I15)</f>
        <v>5896.75</v>
      </c>
      <c r="J16" s="36">
        <f t="shared" ref="J16" si="6">SUM(J12:J15)</f>
        <v>6328.32</v>
      </c>
      <c r="K16" s="36">
        <f t="shared" ref="K16" si="7">SUM(K12:K15)</f>
        <v>9496.6</v>
      </c>
      <c r="L16" s="36">
        <f t="shared" ref="L16" si="8">SUM(L12:L15)</f>
        <v>4136.4800000000005</v>
      </c>
      <c r="M16" s="36">
        <f t="shared" ref="M16" si="9">SUM(M12:M15)</f>
        <v>4229.18</v>
      </c>
      <c r="N16" s="36">
        <f t="shared" ref="N16" si="10">SUM(N12:N15)</f>
        <v>1762.3300000000002</v>
      </c>
      <c r="O16" s="36">
        <f t="shared" ref="O16" si="11">SUM(O12:O15)</f>
        <v>1532.6399999999999</v>
      </c>
      <c r="P16" s="36">
        <f>SUM(P12:P15)</f>
        <v>42662.600000000006</v>
      </c>
      <c r="Q16" s="125"/>
    </row>
    <row r="17" spans="2:18" x14ac:dyDescent="0.35">
      <c r="B17" s="118"/>
      <c r="C17" s="128"/>
      <c r="Q17" s="125"/>
    </row>
    <row r="18" spans="2:18" x14ac:dyDescent="0.35">
      <c r="B18" s="282">
        <f>'4070'!B1</f>
        <v>4070</v>
      </c>
      <c r="C18" s="128" t="s">
        <v>579</v>
      </c>
      <c r="D18" s="40">
        <v>658.17000000000007</v>
      </c>
      <c r="E18" s="40">
        <v>655.08000000000004</v>
      </c>
      <c r="F18" s="40">
        <v>658.17000000000007</v>
      </c>
      <c r="G18" s="40">
        <v>660.23</v>
      </c>
      <c r="H18" s="40">
        <v>697.31000000000006</v>
      </c>
      <c r="I18" s="40">
        <v>645.81000000000006</v>
      </c>
      <c r="J18" s="40">
        <v>667.44</v>
      </c>
      <c r="K18" s="40">
        <v>679.80000000000007</v>
      </c>
      <c r="L18" s="40">
        <v>649.93000000000006</v>
      </c>
      <c r="M18" s="40">
        <v>620.06000000000006</v>
      </c>
      <c r="N18" s="40">
        <v>650.96</v>
      </c>
      <c r="O18" s="40">
        <v>651.99</v>
      </c>
      <c r="P18" s="36">
        <f>SUM(D18:O18)</f>
        <v>7894.9500000000007</v>
      </c>
      <c r="Q18" s="125"/>
      <c r="R18" s="38" t="s">
        <v>568</v>
      </c>
    </row>
    <row r="19" spans="2:18" x14ac:dyDescent="0.35">
      <c r="B19" s="118"/>
      <c r="C19" s="128" t="s">
        <v>579</v>
      </c>
      <c r="D19" s="40">
        <v>256.47000000000003</v>
      </c>
      <c r="E19" s="40">
        <v>256.47000000000003</v>
      </c>
      <c r="F19" s="40">
        <v>256.47000000000003</v>
      </c>
      <c r="G19" s="40">
        <v>259.56</v>
      </c>
      <c r="H19" s="40">
        <v>259.56</v>
      </c>
      <c r="I19" s="40">
        <v>259.56</v>
      </c>
      <c r="J19" s="40">
        <v>261.62</v>
      </c>
      <c r="K19" s="40">
        <v>261.62</v>
      </c>
      <c r="L19" s="40">
        <v>252.35</v>
      </c>
      <c r="M19" s="40">
        <v>254.41</v>
      </c>
      <c r="N19" s="40">
        <v>254.41</v>
      </c>
      <c r="O19" s="40">
        <v>276.04000000000002</v>
      </c>
      <c r="P19" s="36">
        <f>SUM(D19:O19)</f>
        <v>3108.5399999999995</v>
      </c>
      <c r="Q19" s="125"/>
    </row>
    <row r="20" spans="2:18" x14ac:dyDescent="0.35">
      <c r="B20" s="118"/>
      <c r="C20" s="128" t="s">
        <v>579</v>
      </c>
      <c r="D20" s="40">
        <v>173.04</v>
      </c>
      <c r="E20" s="40">
        <v>173.04</v>
      </c>
      <c r="F20" s="40">
        <v>173.04</v>
      </c>
      <c r="G20" s="40">
        <v>175.1</v>
      </c>
      <c r="H20" s="40">
        <v>643.75</v>
      </c>
      <c r="I20" s="40">
        <v>490.28000000000003</v>
      </c>
      <c r="J20" s="40">
        <v>648.9</v>
      </c>
      <c r="K20" s="40">
        <v>1187.5899999999999</v>
      </c>
      <c r="L20" s="40">
        <v>586.07000000000005</v>
      </c>
      <c r="M20" s="40">
        <v>537.66</v>
      </c>
      <c r="N20" s="40">
        <v>433.63</v>
      </c>
      <c r="O20" s="40">
        <v>182.31</v>
      </c>
      <c r="P20" s="36">
        <f>SUM(D20:O20)</f>
        <v>5404.41</v>
      </c>
      <c r="Q20" s="125"/>
    </row>
    <row r="21" spans="2:18" x14ac:dyDescent="0.35">
      <c r="B21" s="118"/>
      <c r="C21" s="128" t="s">
        <v>580</v>
      </c>
      <c r="D21" s="42">
        <v>231.75</v>
      </c>
      <c r="E21" s="42">
        <v>230.72</v>
      </c>
      <c r="F21" s="42">
        <v>231.75</v>
      </c>
      <c r="G21" s="42">
        <v>229.69</v>
      </c>
      <c r="H21" s="42">
        <v>254.41</v>
      </c>
      <c r="I21" s="42">
        <v>219.39000000000001</v>
      </c>
      <c r="J21" s="42">
        <v>230.72</v>
      </c>
      <c r="K21" s="42">
        <v>238.96</v>
      </c>
      <c r="L21" s="42">
        <v>234.84</v>
      </c>
      <c r="M21" s="42">
        <v>210.12</v>
      </c>
      <c r="N21" s="42">
        <v>230.72</v>
      </c>
      <c r="O21" s="42">
        <v>224.54</v>
      </c>
      <c r="P21" s="87">
        <f>SUM(D21:O21)</f>
        <v>2767.61</v>
      </c>
      <c r="Q21" s="125"/>
    </row>
    <row r="22" spans="2:18" x14ac:dyDescent="0.35">
      <c r="B22" s="118"/>
      <c r="C22" s="133" t="s">
        <v>357</v>
      </c>
      <c r="D22" s="36">
        <f>SUM(D18:D21)</f>
        <v>1319.43</v>
      </c>
      <c r="E22" s="36">
        <f t="shared" ref="E22" si="12">SUM(E18:E21)</f>
        <v>1315.3100000000002</v>
      </c>
      <c r="F22" s="36">
        <f t="shared" ref="F22" si="13">SUM(F18:F21)</f>
        <v>1319.43</v>
      </c>
      <c r="G22" s="36">
        <f t="shared" ref="G22" si="14">SUM(G18:G21)</f>
        <v>1324.58</v>
      </c>
      <c r="H22" s="36">
        <f t="shared" ref="H22" si="15">SUM(H18:H21)</f>
        <v>1855.0300000000002</v>
      </c>
      <c r="I22" s="36">
        <f t="shared" ref="I22" si="16">SUM(I18:I21)</f>
        <v>1615.0400000000002</v>
      </c>
      <c r="J22" s="36">
        <f t="shared" ref="J22" si="17">SUM(J18:J21)</f>
        <v>1808.68</v>
      </c>
      <c r="K22" s="36">
        <f t="shared" ref="K22" si="18">SUM(K18:K21)</f>
        <v>2367.9700000000003</v>
      </c>
      <c r="L22" s="36">
        <f t="shared" ref="L22" si="19">SUM(L18:L21)</f>
        <v>1723.19</v>
      </c>
      <c r="M22" s="36">
        <f t="shared" ref="M22" si="20">SUM(M18:M21)</f>
        <v>1622.25</v>
      </c>
      <c r="N22" s="36">
        <f t="shared" ref="N22" si="21">SUM(N18:N21)</f>
        <v>1569.72</v>
      </c>
      <c r="O22" s="36">
        <f t="shared" ref="O22" si="22">SUM(O18:O21)</f>
        <v>1334.8799999999999</v>
      </c>
      <c r="P22" s="36">
        <f>SUM(P18:P21)</f>
        <v>19175.510000000002</v>
      </c>
      <c r="Q22" s="125"/>
    </row>
    <row r="23" spans="2:18" x14ac:dyDescent="0.35">
      <c r="B23" s="118"/>
      <c r="C23" s="128"/>
      <c r="Q23" s="125"/>
    </row>
    <row r="24" spans="2:18" x14ac:dyDescent="0.35">
      <c r="B24" s="282">
        <f>'4080'!B1</f>
        <v>4080</v>
      </c>
      <c r="C24" s="128" t="s">
        <v>579</v>
      </c>
      <c r="D24" s="40">
        <v>688.04</v>
      </c>
      <c r="E24" s="40">
        <v>256.47000000000003</v>
      </c>
      <c r="F24" s="40">
        <v>779.71</v>
      </c>
      <c r="G24" s="40">
        <v>744.69</v>
      </c>
      <c r="H24" s="40">
        <v>808.55000000000007</v>
      </c>
      <c r="I24" s="40">
        <v>741.6</v>
      </c>
      <c r="J24" s="40">
        <v>770.44</v>
      </c>
      <c r="K24" s="40">
        <v>787.95</v>
      </c>
      <c r="L24" s="40">
        <v>889.92000000000007</v>
      </c>
      <c r="M24" s="40">
        <v>768.38</v>
      </c>
      <c r="N24" s="40">
        <v>1084.5899999999999</v>
      </c>
      <c r="O24" s="40">
        <v>711.73</v>
      </c>
      <c r="P24" s="36">
        <f>SUM(D24:O24)</f>
        <v>9032.07</v>
      </c>
      <c r="Q24" s="125"/>
      <c r="R24" s="38" t="s">
        <v>568</v>
      </c>
    </row>
    <row r="25" spans="2:18" x14ac:dyDescent="0.35">
      <c r="B25" s="118"/>
      <c r="C25" s="128" t="s">
        <v>579</v>
      </c>
      <c r="D25" s="40">
        <v>256.47000000000003</v>
      </c>
      <c r="E25" s="40">
        <v>173.04</v>
      </c>
      <c r="F25" s="40">
        <v>258.53000000000003</v>
      </c>
      <c r="G25" s="40">
        <v>259.56</v>
      </c>
      <c r="H25" s="40">
        <v>259.56</v>
      </c>
      <c r="I25" s="40">
        <v>259.56</v>
      </c>
      <c r="J25" s="40">
        <v>261.62</v>
      </c>
      <c r="K25" s="40">
        <v>261.62</v>
      </c>
      <c r="L25" s="40">
        <v>252.35</v>
      </c>
      <c r="M25" s="40">
        <v>254.41</v>
      </c>
      <c r="N25" s="40">
        <v>254.41</v>
      </c>
      <c r="O25" s="40">
        <v>276.04000000000002</v>
      </c>
      <c r="P25" s="36">
        <f>SUM(D25:O25)</f>
        <v>3027.1699999999992</v>
      </c>
      <c r="Q25" s="125"/>
    </row>
    <row r="26" spans="2:18" x14ac:dyDescent="0.35">
      <c r="B26" s="118"/>
      <c r="C26" s="128" t="s">
        <v>579</v>
      </c>
      <c r="D26" s="40">
        <v>173.04</v>
      </c>
      <c r="E26" s="40">
        <v>704.52</v>
      </c>
      <c r="F26" s="40">
        <v>173.04</v>
      </c>
      <c r="G26" s="40">
        <v>175.1</v>
      </c>
      <c r="H26" s="40">
        <v>836.36</v>
      </c>
      <c r="I26" s="40">
        <v>1747.91</v>
      </c>
      <c r="J26" s="40">
        <v>1864.3</v>
      </c>
      <c r="K26" s="40">
        <v>1072.23</v>
      </c>
      <c r="L26" s="40">
        <v>2809.84</v>
      </c>
      <c r="M26" s="40">
        <v>2020.8600000000001</v>
      </c>
      <c r="N26" s="40">
        <v>173.04</v>
      </c>
      <c r="O26" s="40">
        <v>182.31</v>
      </c>
      <c r="P26" s="36">
        <f>SUM(D26:O26)</f>
        <v>11932.550000000001</v>
      </c>
      <c r="Q26" s="125"/>
    </row>
    <row r="27" spans="2:18" x14ac:dyDescent="0.35">
      <c r="B27" s="118"/>
      <c r="C27" s="128" t="s">
        <v>580</v>
      </c>
      <c r="D27" s="42">
        <v>252.35</v>
      </c>
      <c r="E27" s="42">
        <v>264.70999999999998</v>
      </c>
      <c r="F27" s="42">
        <v>316.21000000000004</v>
      </c>
      <c r="G27" s="42">
        <v>286.34000000000003</v>
      </c>
      <c r="H27" s="42">
        <v>330.63</v>
      </c>
      <c r="I27" s="42">
        <v>284.28000000000003</v>
      </c>
      <c r="J27" s="42">
        <v>300.76</v>
      </c>
      <c r="K27" s="42">
        <v>312.09000000000003</v>
      </c>
      <c r="L27" s="42">
        <v>167.89000000000001</v>
      </c>
      <c r="M27" s="42">
        <v>154.5</v>
      </c>
      <c r="N27" s="42">
        <v>982.62</v>
      </c>
      <c r="O27" s="42">
        <v>265.74</v>
      </c>
      <c r="P27" s="87">
        <f>SUM(D27:O27)</f>
        <v>3918.12</v>
      </c>
      <c r="Q27" s="125"/>
    </row>
    <row r="28" spans="2:18" x14ac:dyDescent="0.35">
      <c r="B28" s="118"/>
      <c r="C28" s="133" t="s">
        <v>357</v>
      </c>
      <c r="D28" s="36">
        <f>SUM(D24:D27)</f>
        <v>1369.8999999999999</v>
      </c>
      <c r="E28" s="36">
        <f t="shared" ref="E28" si="23">SUM(E24:E27)</f>
        <v>1398.74</v>
      </c>
      <c r="F28" s="36">
        <f t="shared" ref="F28" si="24">SUM(F24:F27)</f>
        <v>1527.49</v>
      </c>
      <c r="G28" s="36">
        <f t="shared" ref="G28" si="25">SUM(G24:G27)</f>
        <v>1465.69</v>
      </c>
      <c r="H28" s="36">
        <f t="shared" ref="H28" si="26">SUM(H24:H27)</f>
        <v>2235.1000000000004</v>
      </c>
      <c r="I28" s="36">
        <f t="shared" ref="I28" si="27">SUM(I24:I27)</f>
        <v>3033.3500000000004</v>
      </c>
      <c r="J28" s="36">
        <f t="shared" ref="J28" si="28">SUM(J24:J27)</f>
        <v>3197.12</v>
      </c>
      <c r="K28" s="36">
        <f t="shared" ref="K28" si="29">SUM(K24:K27)</f>
        <v>2433.8900000000003</v>
      </c>
      <c r="L28" s="36">
        <f t="shared" ref="L28" si="30">SUM(L24:L27)</f>
        <v>4120</v>
      </c>
      <c r="M28" s="36">
        <f t="shared" ref="M28" si="31">SUM(M24:M27)</f>
        <v>3198.15</v>
      </c>
      <c r="N28" s="36">
        <f t="shared" ref="N28" si="32">SUM(N24:N27)</f>
        <v>2494.66</v>
      </c>
      <c r="O28" s="36">
        <f t="shared" ref="O28" si="33">SUM(O24:O27)</f>
        <v>1435.82</v>
      </c>
      <c r="P28" s="36">
        <f>SUM(P24:P27)</f>
        <v>27909.91</v>
      </c>
      <c r="Q28" s="125"/>
    </row>
    <row r="29" spans="2:18" x14ac:dyDescent="0.35">
      <c r="B29" s="118"/>
      <c r="C29" s="128"/>
      <c r="Q29" s="125"/>
    </row>
    <row r="30" spans="2:18" x14ac:dyDescent="0.35">
      <c r="B30" s="282" t="str">
        <f>'40A0'!B1</f>
        <v>40A0</v>
      </c>
      <c r="C30" s="128" t="s">
        <v>579</v>
      </c>
      <c r="D30" s="40">
        <v>58.71</v>
      </c>
      <c r="E30" s="40">
        <v>67.98</v>
      </c>
      <c r="F30" s="40">
        <v>67.98</v>
      </c>
      <c r="G30" s="40">
        <v>70.040000000000006</v>
      </c>
      <c r="H30" s="40">
        <v>80.34</v>
      </c>
      <c r="I30" s="40">
        <v>73.13</v>
      </c>
      <c r="J30" s="40">
        <v>78.28</v>
      </c>
      <c r="K30" s="40">
        <v>79.31</v>
      </c>
      <c r="L30" s="40">
        <v>70.040000000000006</v>
      </c>
      <c r="M30" s="40">
        <v>83.43</v>
      </c>
      <c r="N30" s="40">
        <v>84.460000000000008</v>
      </c>
      <c r="O30" s="40">
        <v>89.61</v>
      </c>
      <c r="P30" s="36">
        <f>SUM(D30:O30)</f>
        <v>903.31000000000006</v>
      </c>
      <c r="Q30" s="125"/>
      <c r="R30" s="38" t="s">
        <v>568</v>
      </c>
    </row>
    <row r="31" spans="2:18" x14ac:dyDescent="0.35">
      <c r="B31" s="118"/>
      <c r="C31" s="128" t="s">
        <v>579</v>
      </c>
      <c r="D31" s="40">
        <v>52.53</v>
      </c>
      <c r="E31" s="40">
        <v>57.68</v>
      </c>
      <c r="F31" s="40">
        <v>57.68</v>
      </c>
      <c r="G31" s="40">
        <v>58.71</v>
      </c>
      <c r="H31" s="40">
        <v>64.89</v>
      </c>
      <c r="I31" s="40">
        <v>60.77</v>
      </c>
      <c r="J31" s="40">
        <v>62.83</v>
      </c>
      <c r="K31" s="40">
        <v>63.86</v>
      </c>
      <c r="L31" s="40">
        <v>59.74</v>
      </c>
      <c r="M31" s="40">
        <v>67.98</v>
      </c>
      <c r="N31" s="40">
        <v>69.010000000000005</v>
      </c>
      <c r="O31" s="40">
        <v>64.89</v>
      </c>
      <c r="P31" s="36">
        <f>SUM(D31:O31)</f>
        <v>740.56999999999994</v>
      </c>
      <c r="Q31" s="125"/>
    </row>
    <row r="32" spans="2:18" x14ac:dyDescent="0.35">
      <c r="B32" s="118"/>
      <c r="C32" s="128" t="s">
        <v>580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87">
        <f>SUM(D32:O32)</f>
        <v>0</v>
      </c>
      <c r="Q32" s="125"/>
    </row>
    <row r="33" spans="2:18" x14ac:dyDescent="0.35">
      <c r="B33" s="118"/>
      <c r="C33" s="133" t="s">
        <v>357</v>
      </c>
      <c r="D33" s="36">
        <f>SUM(D29:D32)</f>
        <v>111.24000000000001</v>
      </c>
      <c r="E33" s="36">
        <f t="shared" ref="E33" si="34">SUM(E29:E32)</f>
        <v>125.66</v>
      </c>
      <c r="F33" s="36">
        <f t="shared" ref="F33" si="35">SUM(F29:F32)</f>
        <v>125.66</v>
      </c>
      <c r="G33" s="36">
        <f t="shared" ref="G33" si="36">SUM(G29:G32)</f>
        <v>128.75</v>
      </c>
      <c r="H33" s="36">
        <f t="shared" ref="H33" si="37">SUM(H29:H32)</f>
        <v>145.23000000000002</v>
      </c>
      <c r="I33" s="36">
        <f t="shared" ref="I33" si="38">SUM(I29:I32)</f>
        <v>133.9</v>
      </c>
      <c r="J33" s="36">
        <f t="shared" ref="J33" si="39">SUM(J29:J32)</f>
        <v>141.11000000000001</v>
      </c>
      <c r="K33" s="36">
        <f t="shared" ref="K33" si="40">SUM(K29:K32)</f>
        <v>143.17000000000002</v>
      </c>
      <c r="L33" s="36">
        <f t="shared" ref="L33" si="41">SUM(L29:L32)</f>
        <v>129.78</v>
      </c>
      <c r="M33" s="36">
        <f t="shared" ref="M33" si="42">SUM(M29:M32)</f>
        <v>151.41000000000003</v>
      </c>
      <c r="N33" s="36">
        <f t="shared" ref="N33" si="43">SUM(N29:N32)</f>
        <v>153.47000000000003</v>
      </c>
      <c r="O33" s="36">
        <f t="shared" ref="O33" si="44">SUM(O29:O32)</f>
        <v>154.5</v>
      </c>
      <c r="P33" s="36">
        <f>SUM(P29:P32)</f>
        <v>1643.88</v>
      </c>
      <c r="Q33" s="125"/>
    </row>
    <row r="34" spans="2:18" x14ac:dyDescent="0.35">
      <c r="B34" s="118"/>
      <c r="C34" s="128"/>
      <c r="Q34" s="125"/>
    </row>
    <row r="35" spans="2:18" x14ac:dyDescent="0.35">
      <c r="B35" s="282" t="str">
        <f>'40B0'!B1</f>
        <v>40B0</v>
      </c>
      <c r="C35" s="128" t="s">
        <v>579</v>
      </c>
      <c r="D35" s="40">
        <v>150.38</v>
      </c>
      <c r="E35" s="40">
        <v>194.67000000000002</v>
      </c>
      <c r="F35" s="40">
        <v>378.01</v>
      </c>
      <c r="G35" s="40">
        <v>400.67</v>
      </c>
      <c r="H35" s="40">
        <v>499.55</v>
      </c>
      <c r="I35" s="40">
        <v>437.75</v>
      </c>
      <c r="J35" s="40">
        <v>751.9</v>
      </c>
      <c r="K35" s="40">
        <v>999.1</v>
      </c>
      <c r="L35" s="40">
        <v>375.95</v>
      </c>
      <c r="M35" s="40">
        <v>192.61</v>
      </c>
      <c r="N35" s="40">
        <v>18.54</v>
      </c>
      <c r="O35" s="40">
        <v>196.73000000000002</v>
      </c>
      <c r="P35" s="36">
        <f>SUM(D35:O35)</f>
        <v>4595.8599999999988</v>
      </c>
      <c r="Q35" s="125"/>
      <c r="R35" s="38" t="s">
        <v>568</v>
      </c>
    </row>
    <row r="36" spans="2:18" x14ac:dyDescent="0.35">
      <c r="B36" s="118"/>
      <c r="C36" s="128" t="s">
        <v>580</v>
      </c>
      <c r="D36" s="42">
        <v>108.15</v>
      </c>
      <c r="E36" s="42">
        <v>136.99</v>
      </c>
      <c r="F36" s="42">
        <v>263.68</v>
      </c>
      <c r="G36" s="42">
        <v>275.01</v>
      </c>
      <c r="H36" s="42">
        <v>346.08</v>
      </c>
      <c r="I36" s="42">
        <v>300.76</v>
      </c>
      <c r="J36" s="42">
        <v>550.02</v>
      </c>
      <c r="K36" s="42">
        <v>751.9</v>
      </c>
      <c r="L36" s="42">
        <v>265.74</v>
      </c>
      <c r="M36" s="42">
        <v>136.99</v>
      </c>
      <c r="N36" s="42">
        <v>144.20000000000002</v>
      </c>
      <c r="O36" s="42">
        <v>131.84</v>
      </c>
      <c r="P36" s="87">
        <f>SUM(D36:O36)</f>
        <v>3411.3599999999997</v>
      </c>
      <c r="Q36" s="125"/>
    </row>
    <row r="37" spans="2:18" x14ac:dyDescent="0.35">
      <c r="B37" s="118"/>
      <c r="C37" s="133" t="s">
        <v>357</v>
      </c>
      <c r="D37" s="36">
        <f>SUM(D33:D36)</f>
        <v>369.77</v>
      </c>
      <c r="E37" s="36">
        <f t="shared" ref="E37" si="45">SUM(E33:E36)</f>
        <v>457.32000000000005</v>
      </c>
      <c r="F37" s="36">
        <f t="shared" ref="F37" si="46">SUM(F33:F36)</f>
        <v>767.34999999999991</v>
      </c>
      <c r="G37" s="36">
        <f t="shared" ref="G37" si="47">SUM(G33:G36)</f>
        <v>804.43000000000006</v>
      </c>
      <c r="H37" s="36">
        <f t="shared" ref="H37" si="48">SUM(H33:H36)</f>
        <v>990.8599999999999</v>
      </c>
      <c r="I37" s="36">
        <f t="shared" ref="I37" si="49">SUM(I33:I36)</f>
        <v>872.41</v>
      </c>
      <c r="J37" s="36">
        <f t="shared" ref="J37" si="50">SUM(J33:J36)</f>
        <v>1443.03</v>
      </c>
      <c r="K37" s="36">
        <f t="shared" ref="K37" si="51">SUM(K33:K36)</f>
        <v>1894.17</v>
      </c>
      <c r="L37" s="36">
        <f t="shared" ref="L37" si="52">SUM(L33:L36)</f>
        <v>771.47</v>
      </c>
      <c r="M37" s="36">
        <f t="shared" ref="M37" si="53">SUM(M33:M36)</f>
        <v>481.01000000000005</v>
      </c>
      <c r="N37" s="36">
        <f t="shared" ref="N37" si="54">SUM(N33:N36)</f>
        <v>316.21000000000004</v>
      </c>
      <c r="O37" s="36">
        <f t="shared" ref="O37" si="55">SUM(O33:O36)</f>
        <v>483.07000000000005</v>
      </c>
      <c r="P37" s="36">
        <f>SUM(P33:P36)</f>
        <v>9651.0999999999985</v>
      </c>
      <c r="Q37" s="125"/>
    </row>
    <row r="38" spans="2:18" x14ac:dyDescent="0.35">
      <c r="B38" s="118"/>
      <c r="C38" s="128"/>
      <c r="Q38" s="125"/>
    </row>
    <row r="39" spans="2:18" x14ac:dyDescent="0.35">
      <c r="B39" s="282" t="str">
        <f>'40C0'!B1</f>
        <v>40C0</v>
      </c>
      <c r="C39" s="128" t="s">
        <v>579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36">
        <f>SUM(D39:O39)</f>
        <v>0</v>
      </c>
      <c r="Q39" s="125"/>
      <c r="R39" s="38" t="s">
        <v>568</v>
      </c>
    </row>
    <row r="40" spans="2:18" x14ac:dyDescent="0.35">
      <c r="B40" s="118"/>
      <c r="C40" s="128" t="s">
        <v>579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36">
        <f>SUM(D40:O40)</f>
        <v>0</v>
      </c>
      <c r="Q40" s="125"/>
    </row>
    <row r="41" spans="2:18" x14ac:dyDescent="0.35">
      <c r="B41" s="118"/>
      <c r="C41" s="128" t="s">
        <v>579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36">
        <f>SUM(D41:O41)</f>
        <v>0</v>
      </c>
      <c r="Q41" s="125"/>
    </row>
    <row r="42" spans="2:18" x14ac:dyDescent="0.35">
      <c r="B42" s="118"/>
      <c r="C42" s="128" t="s">
        <v>580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87">
        <f>SUM(D42:O42)</f>
        <v>0</v>
      </c>
      <c r="Q42" s="125"/>
    </row>
    <row r="43" spans="2:18" x14ac:dyDescent="0.35">
      <c r="B43" s="118"/>
      <c r="C43" s="133" t="s">
        <v>357</v>
      </c>
      <c r="D43" s="36">
        <f>SUM(D39:D42)</f>
        <v>0</v>
      </c>
      <c r="E43" s="36">
        <f t="shared" ref="E43" si="56">SUM(E39:E42)</f>
        <v>0</v>
      </c>
      <c r="F43" s="36">
        <f t="shared" ref="F43" si="57">SUM(F39:F42)</f>
        <v>0</v>
      </c>
      <c r="G43" s="36">
        <f t="shared" ref="G43" si="58">SUM(G39:G42)</f>
        <v>0</v>
      </c>
      <c r="H43" s="36">
        <f t="shared" ref="H43" si="59">SUM(H39:H42)</f>
        <v>0</v>
      </c>
      <c r="I43" s="36">
        <f t="shared" ref="I43" si="60">SUM(I39:I42)</f>
        <v>0</v>
      </c>
      <c r="J43" s="36">
        <f t="shared" ref="J43" si="61">SUM(J39:J42)</f>
        <v>0</v>
      </c>
      <c r="K43" s="36">
        <f t="shared" ref="K43" si="62">SUM(K39:K42)</f>
        <v>0</v>
      </c>
      <c r="L43" s="36">
        <f t="shared" ref="L43" si="63">SUM(L39:L42)</f>
        <v>0</v>
      </c>
      <c r="M43" s="36">
        <f t="shared" ref="M43" si="64">SUM(M39:M42)</f>
        <v>0</v>
      </c>
      <c r="N43" s="36">
        <f t="shared" ref="N43" si="65">SUM(N39:N42)</f>
        <v>0</v>
      </c>
      <c r="O43" s="36">
        <f t="shared" ref="O43" si="66">SUM(O39:O42)</f>
        <v>0</v>
      </c>
      <c r="P43" s="36">
        <f>SUM(P39:P42)</f>
        <v>0</v>
      </c>
      <c r="Q43" s="125"/>
    </row>
    <row r="44" spans="2:18" x14ac:dyDescent="0.35">
      <c r="B44" s="118"/>
      <c r="C44" s="133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Q44" s="125"/>
    </row>
    <row r="45" spans="2:18" x14ac:dyDescent="0.35">
      <c r="B45" s="118"/>
      <c r="C45" s="133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134"/>
      <c r="Q45" s="126"/>
    </row>
  </sheetData>
  <sheetProtection sheet="1" selectLockedCells="1"/>
  <printOptions horizontalCentered="1" verticalCentered="1"/>
  <pageMargins left="0.25" right="0.25" top="0.75" bottom="0.75" header="0.3" footer="0.3"/>
  <pageSetup scale="71" fitToHeight="0" orientation="landscape" r:id="rId1"/>
  <headerFooter>
    <oddHeader>&amp;R&amp;D</oddHeader>
    <oddFooter>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5">
    <tabColor rgb="FFFFC000"/>
  </sheetPr>
  <dimension ref="B1:X67"/>
  <sheetViews>
    <sheetView tabSelected="1" view="pageBreakPreview" zoomScale="60" zoomScaleNormal="100" workbookViewId="0">
      <selection activeCell="A11" sqref="A11"/>
    </sheetView>
  </sheetViews>
  <sheetFormatPr defaultColWidth="8.81640625" defaultRowHeight="16" x14ac:dyDescent="0.35"/>
  <cols>
    <col min="1" max="1" width="8.81640625" style="34"/>
    <col min="2" max="2" width="14.1796875" style="34" customWidth="1"/>
    <col min="3" max="3" width="18.54296875" style="127" bestFit="1" customWidth="1"/>
    <col min="4" max="4" width="18.54296875" style="127" customWidth="1"/>
    <col min="5" max="16" width="12.1796875" style="34" bestFit="1" customWidth="1"/>
    <col min="17" max="17" width="14.1796875" style="36" customWidth="1"/>
    <col min="18" max="18" width="4.1796875" style="34" customWidth="1"/>
    <col min="19" max="19" width="12.1796875" style="34" customWidth="1"/>
    <col min="20" max="20" width="9.54296875" style="34" bestFit="1" customWidth="1"/>
    <col min="21" max="21" width="9.81640625" style="34" customWidth="1"/>
    <col min="22" max="22" width="11.1796875" style="34" bestFit="1" customWidth="1"/>
    <col min="23" max="23" width="13.81640625" style="34" bestFit="1" customWidth="1"/>
    <col min="24" max="24" width="12" style="34" bestFit="1" customWidth="1"/>
    <col min="25" max="31" width="8.81640625" style="34"/>
    <col min="32" max="32" width="33.81640625" style="34" bestFit="1" customWidth="1"/>
    <col min="33" max="33" width="13.81640625" style="34" bestFit="1" customWidth="1"/>
    <col min="34" max="34" width="12" style="34" bestFit="1" customWidth="1"/>
    <col min="35" max="16384" width="8.81640625" style="34"/>
  </cols>
  <sheetData>
    <row r="1" spans="2:20" ht="29" x14ac:dyDescent="0.5">
      <c r="C1" s="63"/>
      <c r="D1" s="63"/>
      <c r="E1" s="45" t="s">
        <v>443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53">
        <f>'NI LLC-Consolidated'!Q1</f>
        <v>46023</v>
      </c>
      <c r="S1" s="34" t="s">
        <v>399</v>
      </c>
    </row>
    <row r="2" spans="2:20" ht="18" x14ac:dyDescent="0.35">
      <c r="C2" s="63"/>
      <c r="D2" s="63"/>
      <c r="E2" s="121" t="s">
        <v>444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4"/>
    </row>
    <row r="4" spans="2:20" ht="18" x14ac:dyDescent="0.35">
      <c r="D4" s="55" t="s">
        <v>398</v>
      </c>
      <c r="E4" s="55" t="s">
        <v>0</v>
      </c>
      <c r="F4" s="55" t="s">
        <v>1</v>
      </c>
      <c r="G4" s="55" t="s">
        <v>2</v>
      </c>
      <c r="H4" s="55" t="s">
        <v>3</v>
      </c>
      <c r="I4" s="55" t="s">
        <v>4</v>
      </c>
      <c r="J4" s="55" t="s">
        <v>5</v>
      </c>
      <c r="K4" s="55" t="s">
        <v>6</v>
      </c>
      <c r="L4" s="55" t="s">
        <v>7</v>
      </c>
      <c r="M4" s="55" t="s">
        <v>8</v>
      </c>
      <c r="N4" s="55" t="s">
        <v>9</v>
      </c>
      <c r="O4" s="55" t="s">
        <v>10</v>
      </c>
      <c r="P4" s="55" t="s">
        <v>11</v>
      </c>
      <c r="Q4" s="492" t="s">
        <v>12</v>
      </c>
      <c r="R4" s="131"/>
      <c r="S4" s="43" t="s">
        <v>363</v>
      </c>
    </row>
    <row r="5" spans="2:20" ht="18" x14ac:dyDescent="0.35"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53"/>
      <c r="R5" s="131"/>
    </row>
    <row r="6" spans="2:20" x14ac:dyDescent="0.35">
      <c r="B6" s="282">
        <f>'4050'!B1</f>
        <v>4050</v>
      </c>
      <c r="C6" s="128" t="s">
        <v>228</v>
      </c>
      <c r="D6" s="491">
        <v>8783.56</v>
      </c>
      <c r="E6" s="34">
        <f>ROUND(D6/12,0)</f>
        <v>732</v>
      </c>
      <c r="F6" s="34">
        <f>+E6</f>
        <v>732</v>
      </c>
      <c r="G6" s="34">
        <f t="shared" ref="G6:N6" si="0">+F6</f>
        <v>732</v>
      </c>
      <c r="H6" s="34">
        <f t="shared" si="0"/>
        <v>732</v>
      </c>
      <c r="I6" s="34">
        <f t="shared" si="0"/>
        <v>732</v>
      </c>
      <c r="J6" s="34">
        <f t="shared" si="0"/>
        <v>732</v>
      </c>
      <c r="K6" s="34">
        <f t="shared" si="0"/>
        <v>732</v>
      </c>
      <c r="L6" s="34">
        <f t="shared" si="0"/>
        <v>732</v>
      </c>
      <c r="M6" s="34">
        <f t="shared" si="0"/>
        <v>732</v>
      </c>
      <c r="N6" s="34">
        <f t="shared" si="0"/>
        <v>732</v>
      </c>
      <c r="O6" s="34">
        <f>N6*1.02</f>
        <v>746.64</v>
      </c>
      <c r="P6" s="34">
        <f t="shared" ref="P6:P7" si="1">+O6</f>
        <v>746.64</v>
      </c>
      <c r="Q6" s="36">
        <f>SUM(E6:P6)</f>
        <v>8813.2800000000007</v>
      </c>
      <c r="R6" s="125"/>
      <c r="S6" s="129" t="s">
        <v>226</v>
      </c>
      <c r="T6" s="34" t="s">
        <v>49</v>
      </c>
    </row>
    <row r="7" spans="2:20" x14ac:dyDescent="0.35">
      <c r="B7" s="118"/>
      <c r="C7" s="128" t="s">
        <v>229</v>
      </c>
      <c r="D7" s="149">
        <v>8752.0499999999993</v>
      </c>
      <c r="E7" s="43">
        <f>ROUND(D7/12,0)</f>
        <v>729</v>
      </c>
      <c r="F7" s="43">
        <f t="shared" ref="F7:F52" si="2">+E7</f>
        <v>729</v>
      </c>
      <c r="G7" s="43">
        <f t="shared" ref="G7:G52" si="3">+F7</f>
        <v>729</v>
      </c>
      <c r="H7" s="43">
        <f t="shared" ref="H7:H52" si="4">+G7</f>
        <v>729</v>
      </c>
      <c r="I7" s="43">
        <f t="shared" ref="I7:I52" si="5">+H7</f>
        <v>729</v>
      </c>
      <c r="J7" s="43">
        <f t="shared" ref="J7:J52" si="6">+I7</f>
        <v>729</v>
      </c>
      <c r="K7" s="43">
        <f t="shared" ref="K7:K52" si="7">+J7</f>
        <v>729</v>
      </c>
      <c r="L7" s="43">
        <f t="shared" ref="L7:L52" si="8">+K7</f>
        <v>729</v>
      </c>
      <c r="M7" s="43">
        <f t="shared" ref="M7:M52" si="9">+L7</f>
        <v>729</v>
      </c>
      <c r="N7" s="43">
        <f t="shared" ref="N7:N52" si="10">+M7</f>
        <v>729</v>
      </c>
      <c r="O7" s="43">
        <f>N7*1.02</f>
        <v>743.58</v>
      </c>
      <c r="P7" s="43">
        <f t="shared" si="1"/>
        <v>743.58</v>
      </c>
      <c r="Q7" s="36">
        <f>SUM(E7:P7)</f>
        <v>8777.16</v>
      </c>
      <c r="R7" s="125"/>
      <c r="S7" s="129" t="s">
        <v>226</v>
      </c>
      <c r="T7" s="34" t="s">
        <v>49</v>
      </c>
    </row>
    <row r="8" spans="2:20" x14ac:dyDescent="0.35">
      <c r="B8" s="118"/>
      <c r="C8" s="132" t="s">
        <v>364</v>
      </c>
      <c r="D8" s="77">
        <f>SUM(D6:D7)</f>
        <v>17535.61</v>
      </c>
      <c r="E8" s="77">
        <f>SUM(E6:E7)</f>
        <v>1461</v>
      </c>
      <c r="F8" s="77">
        <f t="shared" ref="F8:N8" si="11">SUM(F6:F7)</f>
        <v>1461</v>
      </c>
      <c r="G8" s="77">
        <f t="shared" si="11"/>
        <v>1461</v>
      </c>
      <c r="H8" s="77">
        <f t="shared" si="11"/>
        <v>1461</v>
      </c>
      <c r="I8" s="77">
        <f t="shared" si="11"/>
        <v>1461</v>
      </c>
      <c r="J8" s="77">
        <f t="shared" si="11"/>
        <v>1461</v>
      </c>
      <c r="K8" s="77">
        <f t="shared" si="11"/>
        <v>1461</v>
      </c>
      <c r="L8" s="77">
        <f t="shared" si="11"/>
        <v>1461</v>
      </c>
      <c r="M8" s="77">
        <f t="shared" si="11"/>
        <v>1461</v>
      </c>
      <c r="N8" s="77">
        <f t="shared" si="11"/>
        <v>1461</v>
      </c>
      <c r="O8" s="77">
        <f t="shared" ref="O8" si="12">SUM(O6:O7)</f>
        <v>1490.22</v>
      </c>
      <c r="P8" s="77">
        <f t="shared" ref="P8:Q8" si="13">SUM(P6:P7)</f>
        <v>1490.22</v>
      </c>
      <c r="Q8" s="135">
        <f t="shared" si="13"/>
        <v>17590.440000000002</v>
      </c>
      <c r="R8" s="125"/>
      <c r="S8" s="129"/>
    </row>
    <row r="9" spans="2:20" x14ac:dyDescent="0.35">
      <c r="B9" s="118"/>
      <c r="C9" s="128" t="s">
        <v>230</v>
      </c>
      <c r="D9" s="491">
        <v>12428.24</v>
      </c>
      <c r="E9" s="34">
        <f>ROUND(D9/12,0)</f>
        <v>1036</v>
      </c>
      <c r="F9" s="34">
        <f t="shared" si="2"/>
        <v>1036</v>
      </c>
      <c r="G9" s="34">
        <f t="shared" si="3"/>
        <v>1036</v>
      </c>
      <c r="H9" s="34">
        <f t="shared" si="4"/>
        <v>1036</v>
      </c>
      <c r="I9" s="34">
        <f t="shared" si="5"/>
        <v>1036</v>
      </c>
      <c r="J9" s="34">
        <f t="shared" si="6"/>
        <v>1036</v>
      </c>
      <c r="K9" s="34">
        <f t="shared" si="7"/>
        <v>1036</v>
      </c>
      <c r="L9" s="34">
        <f t="shared" si="8"/>
        <v>1036</v>
      </c>
      <c r="M9" s="34">
        <f t="shared" si="9"/>
        <v>1036</v>
      </c>
      <c r="N9" s="34">
        <f t="shared" si="10"/>
        <v>1036</v>
      </c>
      <c r="O9" s="34">
        <f>N9*1.02</f>
        <v>1056.72</v>
      </c>
      <c r="P9" s="34">
        <f t="shared" ref="P9:P10" si="14">+O9</f>
        <v>1056.72</v>
      </c>
      <c r="Q9" s="36">
        <f>SUM(E9:P9)</f>
        <v>12473.439999999999</v>
      </c>
      <c r="R9" s="125"/>
      <c r="S9" s="129" t="s">
        <v>227</v>
      </c>
      <c r="T9" s="34" t="s">
        <v>90</v>
      </c>
    </row>
    <row r="10" spans="2:20" x14ac:dyDescent="0.35">
      <c r="B10" s="118"/>
      <c r="C10" s="128" t="s">
        <v>231</v>
      </c>
      <c r="D10" s="149">
        <v>604.55999999999995</v>
      </c>
      <c r="E10" s="43">
        <f>ROUND(D10/12,0)</f>
        <v>50</v>
      </c>
      <c r="F10" s="43">
        <f t="shared" si="2"/>
        <v>50</v>
      </c>
      <c r="G10" s="43">
        <f t="shared" si="3"/>
        <v>50</v>
      </c>
      <c r="H10" s="43">
        <f t="shared" si="4"/>
        <v>50</v>
      </c>
      <c r="I10" s="43">
        <f t="shared" si="5"/>
        <v>50</v>
      </c>
      <c r="J10" s="43">
        <f t="shared" si="6"/>
        <v>50</v>
      </c>
      <c r="K10" s="43">
        <f t="shared" si="7"/>
        <v>50</v>
      </c>
      <c r="L10" s="43">
        <f t="shared" si="8"/>
        <v>50</v>
      </c>
      <c r="M10" s="43">
        <f t="shared" si="9"/>
        <v>50</v>
      </c>
      <c r="N10" s="43">
        <f t="shared" si="10"/>
        <v>50</v>
      </c>
      <c r="O10" s="43">
        <f>N10*1.02</f>
        <v>51</v>
      </c>
      <c r="P10" s="43">
        <f t="shared" si="14"/>
        <v>51</v>
      </c>
      <c r="Q10" s="87">
        <f>SUM(E10:P10)</f>
        <v>602</v>
      </c>
      <c r="R10" s="125"/>
      <c r="S10" s="129" t="s">
        <v>256</v>
      </c>
      <c r="T10" s="34" t="s">
        <v>51</v>
      </c>
    </row>
    <row r="11" spans="2:20" x14ac:dyDescent="0.35">
      <c r="B11" s="118"/>
      <c r="C11" s="133" t="s">
        <v>357</v>
      </c>
      <c r="D11" s="36">
        <f>SUM(D8:D10)</f>
        <v>30568.41</v>
      </c>
      <c r="E11" s="36">
        <f>SUM(E8:E10)</f>
        <v>2547</v>
      </c>
      <c r="F11" s="36">
        <f t="shared" ref="F11:N11" si="15">SUM(F8:F10)</f>
        <v>2547</v>
      </c>
      <c r="G11" s="36">
        <f t="shared" si="15"/>
        <v>2547</v>
      </c>
      <c r="H11" s="36">
        <f t="shared" si="15"/>
        <v>2547</v>
      </c>
      <c r="I11" s="36">
        <f t="shared" si="15"/>
        <v>2547</v>
      </c>
      <c r="J11" s="36">
        <f t="shared" si="15"/>
        <v>2547</v>
      </c>
      <c r="K11" s="36">
        <f t="shared" si="15"/>
        <v>2547</v>
      </c>
      <c r="L11" s="36">
        <f t="shared" si="15"/>
        <v>2547</v>
      </c>
      <c r="M11" s="36">
        <f t="shared" si="15"/>
        <v>2547</v>
      </c>
      <c r="N11" s="36">
        <f t="shared" si="15"/>
        <v>2547</v>
      </c>
      <c r="O11" s="36">
        <f t="shared" ref="O11" si="16">SUM(O8:O10)</f>
        <v>2597.94</v>
      </c>
      <c r="P11" s="36">
        <f t="shared" ref="P11:Q11" si="17">SUM(P8:P10)</f>
        <v>2597.94</v>
      </c>
      <c r="Q11" s="36">
        <f t="shared" si="17"/>
        <v>30665.88</v>
      </c>
      <c r="R11" s="125"/>
      <c r="S11" s="129"/>
    </row>
    <row r="12" spans="2:20" x14ac:dyDescent="0.35">
      <c r="B12" s="118"/>
      <c r="C12" s="128"/>
      <c r="D12" s="125"/>
      <c r="R12" s="125"/>
      <c r="S12" s="129"/>
    </row>
    <row r="13" spans="2:20" x14ac:dyDescent="0.35">
      <c r="B13" s="282">
        <f>'4060'!B1</f>
        <v>4060</v>
      </c>
      <c r="C13" s="128" t="s">
        <v>228</v>
      </c>
      <c r="D13" s="491">
        <v>17639.53</v>
      </c>
      <c r="E13" s="34">
        <f>ROUND(D13/12,0)</f>
        <v>1470</v>
      </c>
      <c r="F13" s="34">
        <f t="shared" si="2"/>
        <v>1470</v>
      </c>
      <c r="G13" s="34">
        <f t="shared" si="3"/>
        <v>1470</v>
      </c>
      <c r="H13" s="34">
        <f t="shared" si="4"/>
        <v>1470</v>
      </c>
      <c r="I13" s="34">
        <f t="shared" si="5"/>
        <v>1470</v>
      </c>
      <c r="J13" s="34">
        <f t="shared" si="6"/>
        <v>1470</v>
      </c>
      <c r="K13" s="34">
        <f t="shared" si="7"/>
        <v>1470</v>
      </c>
      <c r="L13" s="34">
        <f t="shared" si="8"/>
        <v>1470</v>
      </c>
      <c r="M13" s="34">
        <f t="shared" si="9"/>
        <v>1470</v>
      </c>
      <c r="N13" s="34">
        <f t="shared" si="10"/>
        <v>1470</v>
      </c>
      <c r="O13" s="34">
        <f>N13*1.02</f>
        <v>1499.4</v>
      </c>
      <c r="P13" s="34">
        <f t="shared" ref="P13:P14" si="18">+O13</f>
        <v>1499.4</v>
      </c>
      <c r="Q13" s="36">
        <f>SUM(E13:P13)</f>
        <v>17698.8</v>
      </c>
      <c r="R13" s="125"/>
      <c r="S13" s="129" t="s">
        <v>226</v>
      </c>
      <c r="T13" s="34" t="s">
        <v>49</v>
      </c>
    </row>
    <row r="14" spans="2:20" x14ac:dyDescent="0.35">
      <c r="B14" s="118"/>
      <c r="C14" s="128" t="s">
        <v>229</v>
      </c>
      <c r="D14" s="149">
        <v>17576.259999999998</v>
      </c>
      <c r="E14" s="43">
        <f>ROUND(D14/12,0)</f>
        <v>1465</v>
      </c>
      <c r="F14" s="43">
        <f t="shared" si="2"/>
        <v>1465</v>
      </c>
      <c r="G14" s="43">
        <f t="shared" si="3"/>
        <v>1465</v>
      </c>
      <c r="H14" s="43">
        <f t="shared" si="4"/>
        <v>1465</v>
      </c>
      <c r="I14" s="43">
        <f t="shared" si="5"/>
        <v>1465</v>
      </c>
      <c r="J14" s="43">
        <f t="shared" si="6"/>
        <v>1465</v>
      </c>
      <c r="K14" s="43">
        <f t="shared" si="7"/>
        <v>1465</v>
      </c>
      <c r="L14" s="43">
        <f t="shared" si="8"/>
        <v>1465</v>
      </c>
      <c r="M14" s="43">
        <f t="shared" si="9"/>
        <v>1465</v>
      </c>
      <c r="N14" s="43">
        <f t="shared" si="10"/>
        <v>1465</v>
      </c>
      <c r="O14" s="43">
        <f>N14*1.02</f>
        <v>1494.3</v>
      </c>
      <c r="P14" s="43">
        <f t="shared" si="18"/>
        <v>1494.3</v>
      </c>
      <c r="Q14" s="36">
        <f>SUM(E14:P14)</f>
        <v>17638.599999999999</v>
      </c>
      <c r="R14" s="125"/>
      <c r="S14" s="129" t="s">
        <v>226</v>
      </c>
      <c r="T14" s="34" t="s">
        <v>49</v>
      </c>
    </row>
    <row r="15" spans="2:20" x14ac:dyDescent="0.35">
      <c r="B15" s="118"/>
      <c r="C15" s="132" t="s">
        <v>364</v>
      </c>
      <c r="D15" s="77">
        <f>SUM(D13:D14)</f>
        <v>35215.789999999994</v>
      </c>
      <c r="E15" s="77">
        <f>SUM(E13:E14)</f>
        <v>2935</v>
      </c>
      <c r="F15" s="77">
        <f t="shared" ref="F15" si="19">SUM(F13:F14)</f>
        <v>2935</v>
      </c>
      <c r="G15" s="77">
        <f t="shared" ref="G15" si="20">SUM(G13:G14)</f>
        <v>2935</v>
      </c>
      <c r="H15" s="77">
        <f t="shared" ref="H15" si="21">SUM(H13:H14)</f>
        <v>2935</v>
      </c>
      <c r="I15" s="77">
        <f t="shared" ref="I15" si="22">SUM(I13:I14)</f>
        <v>2935</v>
      </c>
      <c r="J15" s="77">
        <f t="shared" ref="J15" si="23">SUM(J13:J14)</f>
        <v>2935</v>
      </c>
      <c r="K15" s="77">
        <f t="shared" ref="K15" si="24">SUM(K13:K14)</f>
        <v>2935</v>
      </c>
      <c r="L15" s="77">
        <f t="shared" ref="L15" si="25">SUM(L13:L14)</f>
        <v>2935</v>
      </c>
      <c r="M15" s="77">
        <f t="shared" ref="M15" si="26">SUM(M13:M14)</f>
        <v>2935</v>
      </c>
      <c r="N15" s="77">
        <f t="shared" ref="N15:O15" si="27">SUM(N13:N14)</f>
        <v>2935</v>
      </c>
      <c r="O15" s="77">
        <f t="shared" si="27"/>
        <v>2993.7</v>
      </c>
      <c r="P15" s="77">
        <f t="shared" ref="P15:Q15" si="28">SUM(P13:P14)</f>
        <v>2993.7</v>
      </c>
      <c r="Q15" s="135">
        <f t="shared" si="28"/>
        <v>35337.399999999994</v>
      </c>
      <c r="R15" s="125"/>
      <c r="S15" s="129"/>
    </row>
    <row r="16" spans="2:20" x14ac:dyDescent="0.35">
      <c r="B16" s="118"/>
      <c r="C16" s="128" t="s">
        <v>230</v>
      </c>
      <c r="D16" s="491">
        <v>25684.52</v>
      </c>
      <c r="E16" s="34">
        <f>ROUND(D16/12,0)</f>
        <v>2140</v>
      </c>
      <c r="F16" s="34">
        <f t="shared" si="2"/>
        <v>2140</v>
      </c>
      <c r="G16" s="34">
        <f t="shared" si="3"/>
        <v>2140</v>
      </c>
      <c r="H16" s="34">
        <f t="shared" si="4"/>
        <v>2140</v>
      </c>
      <c r="I16" s="34">
        <f t="shared" si="5"/>
        <v>2140</v>
      </c>
      <c r="J16" s="34">
        <f t="shared" si="6"/>
        <v>2140</v>
      </c>
      <c r="K16" s="34">
        <f t="shared" si="7"/>
        <v>2140</v>
      </c>
      <c r="L16" s="34">
        <f t="shared" si="8"/>
        <v>2140</v>
      </c>
      <c r="M16" s="34">
        <f t="shared" si="9"/>
        <v>2140</v>
      </c>
      <c r="N16" s="34">
        <f t="shared" si="10"/>
        <v>2140</v>
      </c>
      <c r="O16" s="34">
        <f>N16*1.02</f>
        <v>2182.8000000000002</v>
      </c>
      <c r="P16" s="34">
        <f t="shared" ref="P16:P17" si="29">+O16</f>
        <v>2182.8000000000002</v>
      </c>
      <c r="Q16" s="36">
        <f>SUM(E16:P16)</f>
        <v>25765.599999999999</v>
      </c>
      <c r="R16" s="125"/>
      <c r="S16" s="129" t="s">
        <v>227</v>
      </c>
      <c r="T16" s="34" t="s">
        <v>90</v>
      </c>
    </row>
    <row r="17" spans="2:20" x14ac:dyDescent="0.35">
      <c r="B17" s="118"/>
      <c r="C17" s="128" t="s">
        <v>231</v>
      </c>
      <c r="D17" s="149">
        <v>0</v>
      </c>
      <c r="E17" s="43">
        <f>ROUND(D17/12,0)</f>
        <v>0</v>
      </c>
      <c r="F17" s="43">
        <f t="shared" si="2"/>
        <v>0</v>
      </c>
      <c r="G17" s="43">
        <f t="shared" si="3"/>
        <v>0</v>
      </c>
      <c r="H17" s="43">
        <f t="shared" si="4"/>
        <v>0</v>
      </c>
      <c r="I17" s="43">
        <f t="shared" si="5"/>
        <v>0</v>
      </c>
      <c r="J17" s="43">
        <f t="shared" si="6"/>
        <v>0</v>
      </c>
      <c r="K17" s="43">
        <f t="shared" si="7"/>
        <v>0</v>
      </c>
      <c r="L17" s="43">
        <f t="shared" si="8"/>
        <v>0</v>
      </c>
      <c r="M17" s="43">
        <f t="shared" si="9"/>
        <v>0</v>
      </c>
      <c r="N17" s="43">
        <f t="shared" si="10"/>
        <v>0</v>
      </c>
      <c r="O17" s="43">
        <f>N17*1.02</f>
        <v>0</v>
      </c>
      <c r="P17" s="43">
        <f t="shared" si="29"/>
        <v>0</v>
      </c>
      <c r="Q17" s="87">
        <f>SUM(E17:P17)</f>
        <v>0</v>
      </c>
      <c r="R17" s="125"/>
      <c r="S17" s="129" t="s">
        <v>256</v>
      </c>
      <c r="T17" s="34" t="s">
        <v>51</v>
      </c>
    </row>
    <row r="18" spans="2:20" x14ac:dyDescent="0.35">
      <c r="B18" s="118"/>
      <c r="C18" s="133" t="s">
        <v>357</v>
      </c>
      <c r="D18" s="36">
        <f t="shared" ref="D18" si="30">SUM(D15:D17)</f>
        <v>60900.31</v>
      </c>
      <c r="E18" s="36">
        <f>SUM(E15:E17)</f>
        <v>5075</v>
      </c>
      <c r="F18" s="36">
        <f t="shared" ref="F18" si="31">SUM(F15:F17)</f>
        <v>5075</v>
      </c>
      <c r="G18" s="36">
        <f t="shared" ref="G18" si="32">SUM(G15:G17)</f>
        <v>5075</v>
      </c>
      <c r="H18" s="36">
        <f t="shared" ref="H18" si="33">SUM(H15:H17)</f>
        <v>5075</v>
      </c>
      <c r="I18" s="36">
        <f t="shared" ref="I18" si="34">SUM(I15:I17)</f>
        <v>5075</v>
      </c>
      <c r="J18" s="36">
        <f t="shared" ref="J18" si="35">SUM(J15:J17)</f>
        <v>5075</v>
      </c>
      <c r="K18" s="36">
        <f t="shared" ref="K18" si="36">SUM(K15:K17)</f>
        <v>5075</v>
      </c>
      <c r="L18" s="36">
        <f t="shared" ref="L18" si="37">SUM(L15:L17)</f>
        <v>5075</v>
      </c>
      <c r="M18" s="36">
        <f t="shared" ref="M18" si="38">SUM(M15:M17)</f>
        <v>5075</v>
      </c>
      <c r="N18" s="36">
        <f t="shared" ref="N18" si="39">SUM(N15:N17)</f>
        <v>5075</v>
      </c>
      <c r="O18" s="36">
        <f t="shared" ref="O18" si="40">SUM(O15:O17)</f>
        <v>5176.5</v>
      </c>
      <c r="P18" s="36">
        <f t="shared" ref="P18:Q18" si="41">SUM(P15:P17)</f>
        <v>5176.5</v>
      </c>
      <c r="Q18" s="36">
        <f t="shared" si="41"/>
        <v>61102.999999999993</v>
      </c>
      <c r="R18" s="125"/>
      <c r="S18" s="129"/>
    </row>
    <row r="19" spans="2:20" x14ac:dyDescent="0.35">
      <c r="B19" s="118"/>
      <c r="C19" s="128"/>
      <c r="D19" s="125"/>
      <c r="R19" s="125"/>
      <c r="S19" s="129"/>
    </row>
    <row r="20" spans="2:20" x14ac:dyDescent="0.35">
      <c r="B20" s="282">
        <f>'4070'!B1</f>
        <v>4070</v>
      </c>
      <c r="C20" s="128" t="s">
        <v>228</v>
      </c>
      <c r="D20" s="491">
        <v>10067.85</v>
      </c>
      <c r="E20" s="34">
        <f>ROUND(D20/12,0)</f>
        <v>839</v>
      </c>
      <c r="F20" s="34">
        <f t="shared" si="2"/>
        <v>839</v>
      </c>
      <c r="G20" s="34">
        <f t="shared" si="3"/>
        <v>839</v>
      </c>
      <c r="H20" s="34">
        <f t="shared" si="4"/>
        <v>839</v>
      </c>
      <c r="I20" s="34">
        <f t="shared" si="5"/>
        <v>839</v>
      </c>
      <c r="J20" s="34">
        <f t="shared" si="6"/>
        <v>839</v>
      </c>
      <c r="K20" s="34">
        <f t="shared" si="7"/>
        <v>839</v>
      </c>
      <c r="L20" s="34">
        <f t="shared" si="8"/>
        <v>839</v>
      </c>
      <c r="M20" s="34">
        <f t="shared" si="9"/>
        <v>839</v>
      </c>
      <c r="N20" s="34">
        <f t="shared" si="10"/>
        <v>839</v>
      </c>
      <c r="O20" s="34">
        <f>N20*1.02</f>
        <v>855.78</v>
      </c>
      <c r="P20" s="34">
        <f t="shared" ref="P20:P21" si="42">+O20</f>
        <v>855.78</v>
      </c>
      <c r="Q20" s="36">
        <f>SUM(E20:P20)</f>
        <v>10101.560000000001</v>
      </c>
      <c r="R20" s="125"/>
      <c r="S20" s="129" t="s">
        <v>226</v>
      </c>
      <c r="T20" s="34" t="s">
        <v>49</v>
      </c>
    </row>
    <row r="21" spans="2:20" x14ac:dyDescent="0.35">
      <c r="B21" s="118"/>
      <c r="C21" s="128" t="s">
        <v>229</v>
      </c>
      <c r="D21" s="149">
        <v>10031.73</v>
      </c>
      <c r="E21" s="43">
        <f>ROUND(D21/12,0)</f>
        <v>836</v>
      </c>
      <c r="F21" s="43">
        <f t="shared" si="2"/>
        <v>836</v>
      </c>
      <c r="G21" s="43">
        <f t="shared" si="3"/>
        <v>836</v>
      </c>
      <c r="H21" s="43">
        <f t="shared" si="4"/>
        <v>836</v>
      </c>
      <c r="I21" s="43">
        <f t="shared" si="5"/>
        <v>836</v>
      </c>
      <c r="J21" s="43">
        <f t="shared" si="6"/>
        <v>836</v>
      </c>
      <c r="K21" s="43">
        <f t="shared" si="7"/>
        <v>836</v>
      </c>
      <c r="L21" s="43">
        <f t="shared" si="8"/>
        <v>836</v>
      </c>
      <c r="M21" s="43">
        <f t="shared" si="9"/>
        <v>836</v>
      </c>
      <c r="N21" s="43">
        <f t="shared" si="10"/>
        <v>836</v>
      </c>
      <c r="O21" s="43">
        <f>N21*1.02</f>
        <v>852.72</v>
      </c>
      <c r="P21" s="43">
        <f t="shared" si="42"/>
        <v>852.72</v>
      </c>
      <c r="Q21" s="36">
        <f>SUM(E21:P21)</f>
        <v>10065.439999999999</v>
      </c>
      <c r="R21" s="125"/>
      <c r="S21" s="129" t="s">
        <v>226</v>
      </c>
      <c r="T21" s="34" t="s">
        <v>49</v>
      </c>
    </row>
    <row r="22" spans="2:20" x14ac:dyDescent="0.35">
      <c r="B22" s="118"/>
      <c r="C22" s="132" t="s">
        <v>364</v>
      </c>
      <c r="D22" s="77">
        <f>SUM(D20:D21)</f>
        <v>20099.580000000002</v>
      </c>
      <c r="E22" s="77">
        <f>SUM(E20:E21)</f>
        <v>1675</v>
      </c>
      <c r="F22" s="77">
        <f t="shared" ref="F22" si="43">SUM(F20:F21)</f>
        <v>1675</v>
      </c>
      <c r="G22" s="77">
        <f t="shared" ref="G22" si="44">SUM(G20:G21)</f>
        <v>1675</v>
      </c>
      <c r="H22" s="77">
        <f t="shared" ref="H22" si="45">SUM(H20:H21)</f>
        <v>1675</v>
      </c>
      <c r="I22" s="77">
        <f t="shared" ref="I22" si="46">SUM(I20:I21)</f>
        <v>1675</v>
      </c>
      <c r="J22" s="77">
        <f t="shared" ref="J22" si="47">SUM(J20:J21)</f>
        <v>1675</v>
      </c>
      <c r="K22" s="77">
        <f t="shared" ref="K22" si="48">SUM(K20:K21)</f>
        <v>1675</v>
      </c>
      <c r="L22" s="77">
        <f t="shared" ref="L22" si="49">SUM(L20:L21)</f>
        <v>1675</v>
      </c>
      <c r="M22" s="77">
        <f t="shared" ref="M22" si="50">SUM(M20:M21)</f>
        <v>1675</v>
      </c>
      <c r="N22" s="77">
        <f t="shared" ref="N22:O22" si="51">SUM(N20:N21)</f>
        <v>1675</v>
      </c>
      <c r="O22" s="77">
        <f t="shared" si="51"/>
        <v>1708.5</v>
      </c>
      <c r="P22" s="77">
        <f t="shared" ref="P22:Q22" si="52">SUM(P20:P21)</f>
        <v>1708.5</v>
      </c>
      <c r="Q22" s="135">
        <f t="shared" si="52"/>
        <v>20167</v>
      </c>
      <c r="R22" s="125"/>
      <c r="S22" s="129"/>
    </row>
    <row r="23" spans="2:20" x14ac:dyDescent="0.35">
      <c r="B23" s="118"/>
      <c r="C23" s="128" t="s">
        <v>230</v>
      </c>
      <c r="D23" s="491">
        <v>14591.56</v>
      </c>
      <c r="E23" s="34">
        <f>ROUND(D23/12,0)</f>
        <v>1216</v>
      </c>
      <c r="F23" s="34">
        <f t="shared" si="2"/>
        <v>1216</v>
      </c>
      <c r="G23" s="34">
        <f t="shared" si="3"/>
        <v>1216</v>
      </c>
      <c r="H23" s="34">
        <f t="shared" si="4"/>
        <v>1216</v>
      </c>
      <c r="I23" s="34">
        <f t="shared" si="5"/>
        <v>1216</v>
      </c>
      <c r="J23" s="34">
        <f t="shared" si="6"/>
        <v>1216</v>
      </c>
      <c r="K23" s="34">
        <f t="shared" si="7"/>
        <v>1216</v>
      </c>
      <c r="L23" s="34">
        <f t="shared" si="8"/>
        <v>1216</v>
      </c>
      <c r="M23" s="34">
        <f t="shared" si="9"/>
        <v>1216</v>
      </c>
      <c r="N23" s="34">
        <f t="shared" si="10"/>
        <v>1216</v>
      </c>
      <c r="O23" s="34">
        <f>N23*1.02</f>
        <v>1240.32</v>
      </c>
      <c r="P23" s="34">
        <f t="shared" ref="P23:P24" si="53">+O23</f>
        <v>1240.32</v>
      </c>
      <c r="Q23" s="36">
        <f>SUM(E23:P23)</f>
        <v>14640.64</v>
      </c>
      <c r="R23" s="125"/>
      <c r="S23" s="129" t="s">
        <v>227</v>
      </c>
      <c r="T23" s="34" t="s">
        <v>90</v>
      </c>
    </row>
    <row r="24" spans="2:20" x14ac:dyDescent="0.35">
      <c r="B24" s="118"/>
      <c r="C24" s="128" t="s">
        <v>231</v>
      </c>
      <c r="D24" s="149">
        <v>1135.1099999999999</v>
      </c>
      <c r="E24" s="43">
        <f>ROUND(D24/12,0)</f>
        <v>95</v>
      </c>
      <c r="F24" s="43">
        <f t="shared" si="2"/>
        <v>95</v>
      </c>
      <c r="G24" s="43">
        <f t="shared" si="3"/>
        <v>95</v>
      </c>
      <c r="H24" s="43">
        <f t="shared" si="4"/>
        <v>95</v>
      </c>
      <c r="I24" s="43">
        <f t="shared" si="5"/>
        <v>95</v>
      </c>
      <c r="J24" s="43">
        <f t="shared" si="6"/>
        <v>95</v>
      </c>
      <c r="K24" s="43">
        <f t="shared" si="7"/>
        <v>95</v>
      </c>
      <c r="L24" s="43">
        <f t="shared" si="8"/>
        <v>95</v>
      </c>
      <c r="M24" s="43">
        <f t="shared" si="9"/>
        <v>95</v>
      </c>
      <c r="N24" s="43">
        <f t="shared" si="10"/>
        <v>95</v>
      </c>
      <c r="O24" s="43">
        <f>N24*1.02</f>
        <v>96.9</v>
      </c>
      <c r="P24" s="43">
        <f t="shared" si="53"/>
        <v>96.9</v>
      </c>
      <c r="Q24" s="87">
        <f>SUM(E24:P24)</f>
        <v>1143.8000000000002</v>
      </c>
      <c r="R24" s="125"/>
      <c r="S24" s="129" t="s">
        <v>256</v>
      </c>
      <c r="T24" s="34" t="s">
        <v>51</v>
      </c>
    </row>
    <row r="25" spans="2:20" x14ac:dyDescent="0.35">
      <c r="B25" s="118"/>
      <c r="C25" s="133" t="s">
        <v>357</v>
      </c>
      <c r="D25" s="36">
        <f t="shared" ref="D25" si="54">SUM(D22:D24)</f>
        <v>35826.25</v>
      </c>
      <c r="E25" s="36">
        <f>SUM(E22:E24)</f>
        <v>2986</v>
      </c>
      <c r="F25" s="36">
        <f t="shared" ref="F25" si="55">SUM(F22:F24)</f>
        <v>2986</v>
      </c>
      <c r="G25" s="36">
        <f t="shared" ref="G25" si="56">SUM(G22:G24)</f>
        <v>2986</v>
      </c>
      <c r="H25" s="36">
        <f t="shared" ref="H25" si="57">SUM(H22:H24)</f>
        <v>2986</v>
      </c>
      <c r="I25" s="36">
        <f t="shared" ref="I25" si="58">SUM(I22:I24)</f>
        <v>2986</v>
      </c>
      <c r="J25" s="36">
        <f t="shared" ref="J25" si="59">SUM(J22:J24)</f>
        <v>2986</v>
      </c>
      <c r="K25" s="36">
        <f t="shared" ref="K25" si="60">SUM(K22:K24)</f>
        <v>2986</v>
      </c>
      <c r="L25" s="36">
        <f t="shared" ref="L25" si="61">SUM(L22:L24)</f>
        <v>2986</v>
      </c>
      <c r="M25" s="36">
        <f t="shared" ref="M25" si="62">SUM(M22:M24)</f>
        <v>2986</v>
      </c>
      <c r="N25" s="36">
        <f t="shared" ref="N25" si="63">SUM(N22:N24)</f>
        <v>2986</v>
      </c>
      <c r="O25" s="36">
        <f t="shared" ref="O25" si="64">SUM(O22:O24)</f>
        <v>3045.72</v>
      </c>
      <c r="P25" s="36">
        <f t="shared" ref="P25:Q25" si="65">SUM(P22:P24)</f>
        <v>3045.72</v>
      </c>
      <c r="Q25" s="36">
        <f t="shared" si="65"/>
        <v>35951.440000000002</v>
      </c>
      <c r="R25" s="125"/>
      <c r="S25" s="129"/>
    </row>
    <row r="26" spans="2:20" x14ac:dyDescent="0.35">
      <c r="B26" s="118"/>
      <c r="C26" s="128"/>
      <c r="D26" s="125"/>
      <c r="R26" s="125"/>
      <c r="S26" s="129"/>
    </row>
    <row r="27" spans="2:20" x14ac:dyDescent="0.35">
      <c r="B27" s="282">
        <f>'4080'!B1</f>
        <v>4080</v>
      </c>
      <c r="C27" s="128" t="s">
        <v>228</v>
      </c>
      <c r="D27" s="491">
        <v>20867.490000000002</v>
      </c>
      <c r="E27" s="34">
        <f>ROUND(D27/12,0)</f>
        <v>1739</v>
      </c>
      <c r="F27" s="34">
        <f t="shared" si="2"/>
        <v>1739</v>
      </c>
      <c r="G27" s="34">
        <f t="shared" si="3"/>
        <v>1739</v>
      </c>
      <c r="H27" s="34">
        <f t="shared" si="4"/>
        <v>1739</v>
      </c>
      <c r="I27" s="34">
        <f t="shared" si="5"/>
        <v>1739</v>
      </c>
      <c r="J27" s="34">
        <f t="shared" si="6"/>
        <v>1739</v>
      </c>
      <c r="K27" s="34">
        <f t="shared" si="7"/>
        <v>1739</v>
      </c>
      <c r="L27" s="34">
        <f t="shared" si="8"/>
        <v>1739</v>
      </c>
      <c r="M27" s="34">
        <f t="shared" si="9"/>
        <v>1739</v>
      </c>
      <c r="N27" s="34">
        <f t="shared" si="10"/>
        <v>1739</v>
      </c>
      <c r="O27" s="34">
        <f>N27*1.02</f>
        <v>1773.78</v>
      </c>
      <c r="P27" s="34">
        <f t="shared" ref="P27:P28" si="66">+O27</f>
        <v>1773.78</v>
      </c>
      <c r="Q27" s="36">
        <f>SUM(E27:P27)</f>
        <v>20937.559999999998</v>
      </c>
      <c r="R27" s="125"/>
      <c r="S27" s="129" t="s">
        <v>226</v>
      </c>
      <c r="T27" s="34" t="s">
        <v>49</v>
      </c>
    </row>
    <row r="28" spans="2:20" x14ac:dyDescent="0.35">
      <c r="B28" s="118"/>
      <c r="C28" s="128" t="s">
        <v>229</v>
      </c>
      <c r="D28" s="149">
        <v>19059.46</v>
      </c>
      <c r="E28" s="43">
        <f>ROUND(D28/12,0)</f>
        <v>1588</v>
      </c>
      <c r="F28" s="43">
        <f t="shared" si="2"/>
        <v>1588</v>
      </c>
      <c r="G28" s="43">
        <f t="shared" si="3"/>
        <v>1588</v>
      </c>
      <c r="H28" s="43">
        <f t="shared" si="4"/>
        <v>1588</v>
      </c>
      <c r="I28" s="43">
        <f t="shared" si="5"/>
        <v>1588</v>
      </c>
      <c r="J28" s="43">
        <f t="shared" si="6"/>
        <v>1588</v>
      </c>
      <c r="K28" s="43">
        <f t="shared" si="7"/>
        <v>1588</v>
      </c>
      <c r="L28" s="43">
        <f t="shared" si="8"/>
        <v>1588</v>
      </c>
      <c r="M28" s="43">
        <f t="shared" si="9"/>
        <v>1588</v>
      </c>
      <c r="N28" s="43">
        <f t="shared" si="10"/>
        <v>1588</v>
      </c>
      <c r="O28" s="43">
        <f>N28*1.02</f>
        <v>1619.76</v>
      </c>
      <c r="P28" s="43">
        <f t="shared" si="66"/>
        <v>1619.76</v>
      </c>
      <c r="Q28" s="36">
        <f>SUM(E28:P28)</f>
        <v>19119.519999999997</v>
      </c>
      <c r="R28" s="125"/>
      <c r="S28" s="129" t="s">
        <v>226</v>
      </c>
      <c r="T28" s="34" t="s">
        <v>49</v>
      </c>
    </row>
    <row r="29" spans="2:20" x14ac:dyDescent="0.35">
      <c r="B29" s="118"/>
      <c r="C29" s="132" t="s">
        <v>364</v>
      </c>
      <c r="D29" s="77">
        <f>SUM(D27:D28)</f>
        <v>39926.949999999997</v>
      </c>
      <c r="E29" s="77">
        <f>SUM(E27:E28)</f>
        <v>3327</v>
      </c>
      <c r="F29" s="77">
        <f t="shared" ref="F29" si="67">SUM(F27:F28)</f>
        <v>3327</v>
      </c>
      <c r="G29" s="77">
        <f t="shared" ref="G29" si="68">SUM(G27:G28)</f>
        <v>3327</v>
      </c>
      <c r="H29" s="77">
        <f t="shared" ref="H29" si="69">SUM(H27:H28)</f>
        <v>3327</v>
      </c>
      <c r="I29" s="77">
        <f t="shared" ref="I29" si="70">SUM(I27:I28)</f>
        <v>3327</v>
      </c>
      <c r="J29" s="77">
        <f t="shared" ref="J29" si="71">SUM(J27:J28)</f>
        <v>3327</v>
      </c>
      <c r="K29" s="77">
        <f t="shared" ref="K29" si="72">SUM(K27:K28)</f>
        <v>3327</v>
      </c>
      <c r="L29" s="77">
        <f t="shared" ref="L29" si="73">SUM(L27:L28)</f>
        <v>3327</v>
      </c>
      <c r="M29" s="77">
        <f t="shared" ref="M29" si="74">SUM(M27:M28)</f>
        <v>3327</v>
      </c>
      <c r="N29" s="77">
        <f t="shared" ref="N29:O29" si="75">SUM(N27:N28)</f>
        <v>3327</v>
      </c>
      <c r="O29" s="77">
        <f t="shared" si="75"/>
        <v>3393.54</v>
      </c>
      <c r="P29" s="77">
        <f t="shared" ref="P29:Q29" si="76">SUM(P27:P28)</f>
        <v>3393.54</v>
      </c>
      <c r="Q29" s="135">
        <f t="shared" si="76"/>
        <v>40057.079999999994</v>
      </c>
      <c r="R29" s="125"/>
      <c r="S29" s="129"/>
    </row>
    <row r="30" spans="2:20" x14ac:dyDescent="0.35">
      <c r="B30" s="118"/>
      <c r="C30" s="128" t="s">
        <v>230</v>
      </c>
      <c r="D30" s="491">
        <v>29520.11</v>
      </c>
      <c r="E30" s="34">
        <f>ROUND(D30/12,0)</f>
        <v>2460</v>
      </c>
      <c r="F30" s="34">
        <f t="shared" si="2"/>
        <v>2460</v>
      </c>
      <c r="G30" s="34">
        <f t="shared" si="3"/>
        <v>2460</v>
      </c>
      <c r="H30" s="34">
        <f t="shared" si="4"/>
        <v>2460</v>
      </c>
      <c r="I30" s="34">
        <f t="shared" si="5"/>
        <v>2460</v>
      </c>
      <c r="J30" s="34">
        <f t="shared" si="6"/>
        <v>2460</v>
      </c>
      <c r="K30" s="34">
        <f t="shared" si="7"/>
        <v>2460</v>
      </c>
      <c r="L30" s="34">
        <f t="shared" si="8"/>
        <v>2460</v>
      </c>
      <c r="M30" s="34">
        <f t="shared" si="9"/>
        <v>2460</v>
      </c>
      <c r="N30" s="34">
        <f t="shared" si="10"/>
        <v>2460</v>
      </c>
      <c r="O30" s="34">
        <f>N30*1.02</f>
        <v>2509.1999999999998</v>
      </c>
      <c r="P30" s="34">
        <f t="shared" ref="P30:P31" si="77">+O30</f>
        <v>2509.1999999999998</v>
      </c>
      <c r="Q30" s="36">
        <f>SUM(E30:P30)</f>
        <v>29618.400000000001</v>
      </c>
      <c r="R30" s="125"/>
      <c r="S30" s="129" t="s">
        <v>227</v>
      </c>
      <c r="T30" s="34" t="s">
        <v>90</v>
      </c>
    </row>
    <row r="31" spans="2:20" x14ac:dyDescent="0.35">
      <c r="B31" s="118"/>
      <c r="C31" s="128" t="s">
        <v>231</v>
      </c>
      <c r="D31" s="149">
        <v>1436.61</v>
      </c>
      <c r="E31" s="43">
        <f>ROUND(D31/12,0)</f>
        <v>120</v>
      </c>
      <c r="F31" s="43">
        <f t="shared" si="2"/>
        <v>120</v>
      </c>
      <c r="G31" s="43">
        <f t="shared" si="3"/>
        <v>120</v>
      </c>
      <c r="H31" s="43">
        <f t="shared" si="4"/>
        <v>120</v>
      </c>
      <c r="I31" s="43">
        <f t="shared" si="5"/>
        <v>120</v>
      </c>
      <c r="J31" s="43">
        <f t="shared" si="6"/>
        <v>120</v>
      </c>
      <c r="K31" s="43">
        <f t="shared" si="7"/>
        <v>120</v>
      </c>
      <c r="L31" s="43">
        <f t="shared" si="8"/>
        <v>120</v>
      </c>
      <c r="M31" s="43">
        <f t="shared" si="9"/>
        <v>120</v>
      </c>
      <c r="N31" s="43">
        <f t="shared" si="10"/>
        <v>120</v>
      </c>
      <c r="O31" s="43">
        <f>N31*1.02</f>
        <v>122.4</v>
      </c>
      <c r="P31" s="43">
        <f t="shared" si="77"/>
        <v>122.4</v>
      </c>
      <c r="Q31" s="87">
        <f>SUM(E31:P31)</f>
        <v>1444.8000000000002</v>
      </c>
      <c r="R31" s="125"/>
      <c r="S31" s="129" t="s">
        <v>256</v>
      </c>
      <c r="T31" s="34" t="s">
        <v>51</v>
      </c>
    </row>
    <row r="32" spans="2:20" x14ac:dyDescent="0.35">
      <c r="B32" s="118"/>
      <c r="C32" s="133" t="s">
        <v>357</v>
      </c>
      <c r="D32" s="36">
        <f t="shared" ref="D32" si="78">SUM(D29:D31)</f>
        <v>70883.67</v>
      </c>
      <c r="E32" s="36">
        <f>SUM(E29:E31)</f>
        <v>5907</v>
      </c>
      <c r="F32" s="36">
        <f t="shared" ref="F32" si="79">SUM(F29:F31)</f>
        <v>5907</v>
      </c>
      <c r="G32" s="36">
        <f t="shared" ref="G32" si="80">SUM(G29:G31)</f>
        <v>5907</v>
      </c>
      <c r="H32" s="36">
        <f t="shared" ref="H32" si="81">SUM(H29:H31)</f>
        <v>5907</v>
      </c>
      <c r="I32" s="36">
        <f t="shared" ref="I32" si="82">SUM(I29:I31)</f>
        <v>5907</v>
      </c>
      <c r="J32" s="36">
        <f t="shared" ref="J32" si="83">SUM(J29:J31)</f>
        <v>5907</v>
      </c>
      <c r="K32" s="36">
        <f t="shared" ref="K32" si="84">SUM(K29:K31)</f>
        <v>5907</v>
      </c>
      <c r="L32" s="36">
        <f t="shared" ref="L32" si="85">SUM(L29:L31)</f>
        <v>5907</v>
      </c>
      <c r="M32" s="36">
        <f t="shared" ref="M32" si="86">SUM(M29:M31)</f>
        <v>5907</v>
      </c>
      <c r="N32" s="36">
        <f t="shared" ref="N32" si="87">SUM(N29:N31)</f>
        <v>5907</v>
      </c>
      <c r="O32" s="36">
        <f t="shared" ref="O32" si="88">SUM(O29:O31)</f>
        <v>6025.1399999999994</v>
      </c>
      <c r="P32" s="36">
        <f t="shared" ref="P32:Q32" si="89">SUM(P29:P31)</f>
        <v>6025.1399999999994</v>
      </c>
      <c r="Q32" s="36">
        <f t="shared" si="89"/>
        <v>71120.28</v>
      </c>
      <c r="R32" s="125"/>
      <c r="S32" s="129"/>
    </row>
    <row r="33" spans="2:20" x14ac:dyDescent="0.35">
      <c r="B33" s="118"/>
      <c r="C33" s="128"/>
      <c r="D33" s="125"/>
      <c r="R33" s="125"/>
      <c r="S33" s="129"/>
    </row>
    <row r="34" spans="2:20" x14ac:dyDescent="0.35">
      <c r="B34" s="282" t="str">
        <f>'40A0'!B1</f>
        <v>40A0</v>
      </c>
      <c r="C34" s="128" t="s">
        <v>228</v>
      </c>
      <c r="D34" s="491">
        <v>2492.6</v>
      </c>
      <c r="E34" s="34">
        <f>ROUND(D34/12,0)</f>
        <v>208</v>
      </c>
      <c r="F34" s="34">
        <f t="shared" si="2"/>
        <v>208</v>
      </c>
      <c r="G34" s="34">
        <f t="shared" si="3"/>
        <v>208</v>
      </c>
      <c r="H34" s="34">
        <f t="shared" si="4"/>
        <v>208</v>
      </c>
      <c r="I34" s="34">
        <f t="shared" si="5"/>
        <v>208</v>
      </c>
      <c r="J34" s="34">
        <f t="shared" si="6"/>
        <v>208</v>
      </c>
      <c r="K34" s="34">
        <f t="shared" si="7"/>
        <v>208</v>
      </c>
      <c r="L34" s="34">
        <f t="shared" si="8"/>
        <v>208</v>
      </c>
      <c r="M34" s="34">
        <f t="shared" si="9"/>
        <v>208</v>
      </c>
      <c r="N34" s="34">
        <f t="shared" si="10"/>
        <v>208</v>
      </c>
      <c r="O34" s="34">
        <f>N34*1.02</f>
        <v>212.16</v>
      </c>
      <c r="P34" s="34">
        <f t="shared" ref="P34:P35" si="90">+O34</f>
        <v>212.16</v>
      </c>
      <c r="Q34" s="36">
        <f>SUM(E34:P34)</f>
        <v>2504.3199999999997</v>
      </c>
      <c r="R34" s="125"/>
      <c r="S34" s="129" t="s">
        <v>226</v>
      </c>
      <c r="T34" s="34" t="s">
        <v>49</v>
      </c>
    </row>
    <row r="35" spans="2:20" x14ac:dyDescent="0.35">
      <c r="B35" s="118"/>
      <c r="C35" s="128" t="s">
        <v>229</v>
      </c>
      <c r="D35" s="149">
        <v>2483.66</v>
      </c>
      <c r="E35" s="43">
        <f>ROUND(D35/12,0)</f>
        <v>207</v>
      </c>
      <c r="F35" s="43">
        <f t="shared" si="2"/>
        <v>207</v>
      </c>
      <c r="G35" s="43">
        <f t="shared" si="3"/>
        <v>207</v>
      </c>
      <c r="H35" s="43">
        <f t="shared" si="4"/>
        <v>207</v>
      </c>
      <c r="I35" s="43">
        <f t="shared" si="5"/>
        <v>207</v>
      </c>
      <c r="J35" s="43">
        <f t="shared" si="6"/>
        <v>207</v>
      </c>
      <c r="K35" s="43">
        <f t="shared" si="7"/>
        <v>207</v>
      </c>
      <c r="L35" s="43">
        <f t="shared" si="8"/>
        <v>207</v>
      </c>
      <c r="M35" s="43">
        <f t="shared" si="9"/>
        <v>207</v>
      </c>
      <c r="N35" s="43">
        <f t="shared" si="10"/>
        <v>207</v>
      </c>
      <c r="O35" s="43">
        <f>N35*1.02</f>
        <v>211.14000000000001</v>
      </c>
      <c r="P35" s="43">
        <f t="shared" si="90"/>
        <v>211.14000000000001</v>
      </c>
      <c r="Q35" s="36">
        <f>SUM(E35:P35)</f>
        <v>2492.2799999999997</v>
      </c>
      <c r="R35" s="125"/>
      <c r="S35" s="129" t="s">
        <v>226</v>
      </c>
      <c r="T35" s="34" t="s">
        <v>49</v>
      </c>
    </row>
    <row r="36" spans="2:20" x14ac:dyDescent="0.35">
      <c r="B36" s="118"/>
      <c r="C36" s="132" t="s">
        <v>364</v>
      </c>
      <c r="D36" s="77">
        <f>SUM(D34:D35)</f>
        <v>4976.26</v>
      </c>
      <c r="E36" s="77">
        <f>SUM(E34:E35)</f>
        <v>415</v>
      </c>
      <c r="F36" s="77">
        <f t="shared" ref="F36" si="91">SUM(F34:F35)</f>
        <v>415</v>
      </c>
      <c r="G36" s="77">
        <f t="shared" ref="G36" si="92">SUM(G34:G35)</f>
        <v>415</v>
      </c>
      <c r="H36" s="77">
        <f t="shared" ref="H36" si="93">SUM(H34:H35)</f>
        <v>415</v>
      </c>
      <c r="I36" s="77">
        <f t="shared" ref="I36" si="94">SUM(I34:I35)</f>
        <v>415</v>
      </c>
      <c r="J36" s="77">
        <f t="shared" ref="J36" si="95">SUM(J34:J35)</f>
        <v>415</v>
      </c>
      <c r="K36" s="77">
        <f t="shared" ref="K36" si="96">SUM(K34:K35)</f>
        <v>415</v>
      </c>
      <c r="L36" s="77">
        <f t="shared" ref="L36" si="97">SUM(L34:L35)</f>
        <v>415</v>
      </c>
      <c r="M36" s="77">
        <f t="shared" ref="M36" si="98">SUM(M34:M35)</f>
        <v>415</v>
      </c>
      <c r="N36" s="77">
        <f t="shared" ref="N36:O36" si="99">SUM(N34:N35)</f>
        <v>415</v>
      </c>
      <c r="O36" s="77">
        <f t="shared" si="99"/>
        <v>423.3</v>
      </c>
      <c r="P36" s="77">
        <f t="shared" ref="P36:Q36" si="100">SUM(P34:P35)</f>
        <v>423.3</v>
      </c>
      <c r="Q36" s="135">
        <f t="shared" si="100"/>
        <v>4996.5999999999995</v>
      </c>
      <c r="R36" s="125"/>
      <c r="S36" s="129"/>
    </row>
    <row r="37" spans="2:20" x14ac:dyDescent="0.35">
      <c r="B37" s="118"/>
      <c r="C37" s="128" t="s">
        <v>230</v>
      </c>
      <c r="D37" s="491">
        <v>3576.55</v>
      </c>
      <c r="E37" s="34">
        <f>ROUND(D37/12,0)</f>
        <v>298</v>
      </c>
      <c r="F37" s="34">
        <f t="shared" si="2"/>
        <v>298</v>
      </c>
      <c r="G37" s="34">
        <f t="shared" si="3"/>
        <v>298</v>
      </c>
      <c r="H37" s="34">
        <f t="shared" si="4"/>
        <v>298</v>
      </c>
      <c r="I37" s="34">
        <f t="shared" si="5"/>
        <v>298</v>
      </c>
      <c r="J37" s="34">
        <f t="shared" si="6"/>
        <v>298</v>
      </c>
      <c r="K37" s="34">
        <f t="shared" si="7"/>
        <v>298</v>
      </c>
      <c r="L37" s="34">
        <f t="shared" si="8"/>
        <v>298</v>
      </c>
      <c r="M37" s="34">
        <f t="shared" si="9"/>
        <v>298</v>
      </c>
      <c r="N37" s="34">
        <f t="shared" si="10"/>
        <v>298</v>
      </c>
      <c r="O37" s="34">
        <f>N37*1.02</f>
        <v>303.95999999999998</v>
      </c>
      <c r="P37" s="34">
        <f t="shared" ref="P37:P38" si="101">+O37</f>
        <v>303.95999999999998</v>
      </c>
      <c r="Q37" s="36">
        <f>SUM(E37:P37)</f>
        <v>3587.92</v>
      </c>
      <c r="R37" s="125"/>
      <c r="S37" s="129" t="s">
        <v>227</v>
      </c>
      <c r="T37" s="34" t="s">
        <v>90</v>
      </c>
    </row>
    <row r="38" spans="2:20" x14ac:dyDescent="0.35">
      <c r="B38" s="118"/>
      <c r="C38" s="128" t="s">
        <v>231</v>
      </c>
      <c r="D38" s="149">
        <v>276.72000000000003</v>
      </c>
      <c r="E38" s="43">
        <f>ROUND(D38/12,0)</f>
        <v>23</v>
      </c>
      <c r="F38" s="43">
        <f t="shared" si="2"/>
        <v>23</v>
      </c>
      <c r="G38" s="43">
        <f t="shared" si="3"/>
        <v>23</v>
      </c>
      <c r="H38" s="43">
        <f t="shared" si="4"/>
        <v>23</v>
      </c>
      <c r="I38" s="43">
        <f t="shared" si="5"/>
        <v>23</v>
      </c>
      <c r="J38" s="43">
        <f t="shared" si="6"/>
        <v>23</v>
      </c>
      <c r="K38" s="43">
        <f t="shared" si="7"/>
        <v>23</v>
      </c>
      <c r="L38" s="43">
        <f t="shared" si="8"/>
        <v>23</v>
      </c>
      <c r="M38" s="43">
        <f t="shared" si="9"/>
        <v>23</v>
      </c>
      <c r="N38" s="43">
        <f t="shared" si="10"/>
        <v>23</v>
      </c>
      <c r="O38" s="43">
        <f>N38*1.02</f>
        <v>23.46</v>
      </c>
      <c r="P38" s="43">
        <f t="shared" si="101"/>
        <v>23.46</v>
      </c>
      <c r="Q38" s="87">
        <f>SUM(E38:P38)</f>
        <v>276.92</v>
      </c>
      <c r="R38" s="125"/>
      <c r="S38" s="129" t="s">
        <v>256</v>
      </c>
      <c r="T38" s="34" t="s">
        <v>51</v>
      </c>
    </row>
    <row r="39" spans="2:20" x14ac:dyDescent="0.35">
      <c r="B39" s="118"/>
      <c r="C39" s="133" t="s">
        <v>357</v>
      </c>
      <c r="D39" s="36">
        <f t="shared" ref="D39" si="102">SUM(D36:D38)</f>
        <v>8829.5300000000007</v>
      </c>
      <c r="E39" s="36">
        <f>SUM(E36:E38)</f>
        <v>736</v>
      </c>
      <c r="F39" s="36">
        <f t="shared" ref="F39" si="103">SUM(F36:F38)</f>
        <v>736</v>
      </c>
      <c r="G39" s="36">
        <f t="shared" ref="G39" si="104">SUM(G36:G38)</f>
        <v>736</v>
      </c>
      <c r="H39" s="36">
        <f t="shared" ref="H39" si="105">SUM(H36:H38)</f>
        <v>736</v>
      </c>
      <c r="I39" s="36">
        <f t="shared" ref="I39" si="106">SUM(I36:I38)</f>
        <v>736</v>
      </c>
      <c r="J39" s="36">
        <f t="shared" ref="J39" si="107">SUM(J36:J38)</f>
        <v>736</v>
      </c>
      <c r="K39" s="36">
        <f t="shared" ref="K39" si="108">SUM(K36:K38)</f>
        <v>736</v>
      </c>
      <c r="L39" s="36">
        <f t="shared" ref="L39" si="109">SUM(L36:L38)</f>
        <v>736</v>
      </c>
      <c r="M39" s="36">
        <f t="shared" ref="M39" si="110">SUM(M36:M38)</f>
        <v>736</v>
      </c>
      <c r="N39" s="36">
        <f t="shared" ref="N39" si="111">SUM(N36:N38)</f>
        <v>736</v>
      </c>
      <c r="O39" s="36">
        <f t="shared" ref="O39" si="112">SUM(O36:O38)</f>
        <v>750.72</v>
      </c>
      <c r="P39" s="36">
        <f t="shared" ref="P39:Q39" si="113">SUM(P36:P38)</f>
        <v>750.72</v>
      </c>
      <c r="Q39" s="36">
        <f t="shared" si="113"/>
        <v>8861.44</v>
      </c>
      <c r="R39" s="125"/>
      <c r="S39" s="129"/>
    </row>
    <row r="40" spans="2:20" x14ac:dyDescent="0.35">
      <c r="B40" s="118"/>
      <c r="C40" s="128"/>
      <c r="D40" s="125"/>
      <c r="R40" s="125"/>
      <c r="S40" s="129"/>
    </row>
    <row r="41" spans="2:20" x14ac:dyDescent="0.35">
      <c r="B41" s="282" t="str">
        <f>'40B0'!B1</f>
        <v>40B0</v>
      </c>
      <c r="C41" s="128" t="s">
        <v>228</v>
      </c>
      <c r="D41" s="491">
        <v>2152.4699999999998</v>
      </c>
      <c r="E41" s="34">
        <f>ROUND(D41/12,0)</f>
        <v>179</v>
      </c>
      <c r="F41" s="34">
        <f t="shared" si="2"/>
        <v>179</v>
      </c>
      <c r="G41" s="34">
        <f t="shared" si="3"/>
        <v>179</v>
      </c>
      <c r="H41" s="34">
        <f t="shared" si="4"/>
        <v>179</v>
      </c>
      <c r="I41" s="34">
        <f t="shared" si="5"/>
        <v>179</v>
      </c>
      <c r="J41" s="34">
        <f t="shared" si="6"/>
        <v>179</v>
      </c>
      <c r="K41" s="34">
        <f t="shared" si="7"/>
        <v>179</v>
      </c>
      <c r="L41" s="34">
        <f t="shared" si="8"/>
        <v>179</v>
      </c>
      <c r="M41" s="34">
        <f t="shared" si="9"/>
        <v>179</v>
      </c>
      <c r="N41" s="34">
        <f t="shared" si="10"/>
        <v>179</v>
      </c>
      <c r="O41" s="34">
        <f>N41*1.02</f>
        <v>182.58</v>
      </c>
      <c r="P41" s="34">
        <f t="shared" ref="P41:P42" si="114">+O41</f>
        <v>182.58</v>
      </c>
      <c r="Q41" s="36">
        <f>SUM(E41:P41)</f>
        <v>2155.16</v>
      </c>
      <c r="R41" s="125"/>
      <c r="S41" s="129" t="s">
        <v>226</v>
      </c>
      <c r="T41" s="34" t="s">
        <v>49</v>
      </c>
    </row>
    <row r="42" spans="2:20" x14ac:dyDescent="0.35">
      <c r="B42" s="118"/>
      <c r="C42" s="128" t="s">
        <v>229</v>
      </c>
      <c r="D42" s="149">
        <v>2144.75</v>
      </c>
      <c r="E42" s="43">
        <f>ROUND(D42/12,0)</f>
        <v>179</v>
      </c>
      <c r="F42" s="43">
        <f t="shared" si="2"/>
        <v>179</v>
      </c>
      <c r="G42" s="43">
        <f t="shared" si="3"/>
        <v>179</v>
      </c>
      <c r="H42" s="43">
        <f t="shared" si="4"/>
        <v>179</v>
      </c>
      <c r="I42" s="43">
        <f t="shared" si="5"/>
        <v>179</v>
      </c>
      <c r="J42" s="43">
        <f t="shared" si="6"/>
        <v>179</v>
      </c>
      <c r="K42" s="43">
        <f t="shared" si="7"/>
        <v>179</v>
      </c>
      <c r="L42" s="43">
        <f t="shared" si="8"/>
        <v>179</v>
      </c>
      <c r="M42" s="43">
        <f t="shared" si="9"/>
        <v>179</v>
      </c>
      <c r="N42" s="43">
        <f t="shared" si="10"/>
        <v>179</v>
      </c>
      <c r="O42" s="43">
        <f>N42*1.02</f>
        <v>182.58</v>
      </c>
      <c r="P42" s="43">
        <f t="shared" si="114"/>
        <v>182.58</v>
      </c>
      <c r="Q42" s="36">
        <f>SUM(E42:P42)</f>
        <v>2155.16</v>
      </c>
      <c r="R42" s="125"/>
      <c r="S42" s="129" t="s">
        <v>226</v>
      </c>
      <c r="T42" s="34" t="s">
        <v>49</v>
      </c>
    </row>
    <row r="43" spans="2:20" x14ac:dyDescent="0.35">
      <c r="B43" s="118"/>
      <c r="C43" s="132" t="s">
        <v>364</v>
      </c>
      <c r="D43" s="77">
        <f>SUM(D41:D42)</f>
        <v>4297.2199999999993</v>
      </c>
      <c r="E43" s="77">
        <f>SUM(E41:E42)</f>
        <v>358</v>
      </c>
      <c r="F43" s="77">
        <f t="shared" ref="F43" si="115">SUM(F41:F42)</f>
        <v>358</v>
      </c>
      <c r="G43" s="77">
        <f t="shared" ref="G43" si="116">SUM(G41:G42)</f>
        <v>358</v>
      </c>
      <c r="H43" s="77">
        <f t="shared" ref="H43" si="117">SUM(H41:H42)</f>
        <v>358</v>
      </c>
      <c r="I43" s="77">
        <f t="shared" ref="I43" si="118">SUM(I41:I42)</f>
        <v>358</v>
      </c>
      <c r="J43" s="77">
        <f t="shared" ref="J43" si="119">SUM(J41:J42)</f>
        <v>358</v>
      </c>
      <c r="K43" s="77">
        <f t="shared" ref="K43" si="120">SUM(K41:K42)</f>
        <v>358</v>
      </c>
      <c r="L43" s="77">
        <f t="shared" ref="L43" si="121">SUM(L41:L42)</f>
        <v>358</v>
      </c>
      <c r="M43" s="77">
        <f t="shared" ref="M43" si="122">SUM(M41:M42)</f>
        <v>358</v>
      </c>
      <c r="N43" s="77">
        <f t="shared" ref="N43:O43" si="123">SUM(N41:N42)</f>
        <v>358</v>
      </c>
      <c r="O43" s="77">
        <f t="shared" si="123"/>
        <v>365.16</v>
      </c>
      <c r="P43" s="77">
        <f t="shared" ref="P43:Q43" si="124">SUM(P41:P42)</f>
        <v>365.16</v>
      </c>
      <c r="Q43" s="135">
        <f t="shared" si="124"/>
        <v>4310.32</v>
      </c>
      <c r="R43" s="125"/>
      <c r="S43" s="129"/>
    </row>
    <row r="44" spans="2:20" x14ac:dyDescent="0.35">
      <c r="B44" s="118"/>
      <c r="C44" s="128" t="s">
        <v>230</v>
      </c>
      <c r="D44" s="491">
        <v>3077.43</v>
      </c>
      <c r="E44" s="34">
        <f>ROUND(D44/12,0)</f>
        <v>256</v>
      </c>
      <c r="F44" s="34">
        <f t="shared" si="2"/>
        <v>256</v>
      </c>
      <c r="G44" s="34">
        <f t="shared" si="3"/>
        <v>256</v>
      </c>
      <c r="H44" s="34">
        <f t="shared" si="4"/>
        <v>256</v>
      </c>
      <c r="I44" s="34">
        <f t="shared" si="5"/>
        <v>256</v>
      </c>
      <c r="J44" s="34">
        <f t="shared" si="6"/>
        <v>256</v>
      </c>
      <c r="K44" s="34">
        <f t="shared" si="7"/>
        <v>256</v>
      </c>
      <c r="L44" s="34">
        <f t="shared" si="8"/>
        <v>256</v>
      </c>
      <c r="M44" s="34">
        <f t="shared" si="9"/>
        <v>256</v>
      </c>
      <c r="N44" s="34">
        <f t="shared" si="10"/>
        <v>256</v>
      </c>
      <c r="O44" s="34">
        <f>N44*1.02</f>
        <v>261.12</v>
      </c>
      <c r="P44" s="34">
        <f t="shared" ref="P44:P45" si="125">+O44</f>
        <v>261.12</v>
      </c>
      <c r="Q44" s="36">
        <f>SUM(E44:P44)</f>
        <v>3082.24</v>
      </c>
      <c r="R44" s="125"/>
      <c r="S44" s="129" t="s">
        <v>227</v>
      </c>
      <c r="T44" s="34" t="s">
        <v>90</v>
      </c>
    </row>
    <row r="45" spans="2:20" x14ac:dyDescent="0.35">
      <c r="B45" s="118"/>
      <c r="C45" s="128" t="s">
        <v>231</v>
      </c>
      <c r="D45" s="149">
        <v>238.14</v>
      </c>
      <c r="E45" s="43">
        <f>ROUND(D45/12,0)</f>
        <v>20</v>
      </c>
      <c r="F45" s="43">
        <f t="shared" si="2"/>
        <v>20</v>
      </c>
      <c r="G45" s="43">
        <f t="shared" si="3"/>
        <v>20</v>
      </c>
      <c r="H45" s="43">
        <f t="shared" si="4"/>
        <v>20</v>
      </c>
      <c r="I45" s="43">
        <f t="shared" si="5"/>
        <v>20</v>
      </c>
      <c r="J45" s="43">
        <f t="shared" si="6"/>
        <v>20</v>
      </c>
      <c r="K45" s="43">
        <f t="shared" si="7"/>
        <v>20</v>
      </c>
      <c r="L45" s="43">
        <f t="shared" si="8"/>
        <v>20</v>
      </c>
      <c r="M45" s="43">
        <f t="shared" si="9"/>
        <v>20</v>
      </c>
      <c r="N45" s="43">
        <f t="shared" si="10"/>
        <v>20</v>
      </c>
      <c r="O45" s="43">
        <f>N45*1.02</f>
        <v>20.399999999999999</v>
      </c>
      <c r="P45" s="43">
        <f t="shared" si="125"/>
        <v>20.399999999999999</v>
      </c>
      <c r="Q45" s="87">
        <f>SUM(E45:P45)</f>
        <v>240.8</v>
      </c>
      <c r="R45" s="125"/>
      <c r="S45" s="129" t="s">
        <v>256</v>
      </c>
      <c r="T45" s="34" t="s">
        <v>51</v>
      </c>
    </row>
    <row r="46" spans="2:20" x14ac:dyDescent="0.35">
      <c r="B46" s="118"/>
      <c r="C46" s="133" t="s">
        <v>357</v>
      </c>
      <c r="D46" s="36">
        <f t="shared" ref="D46" si="126">SUM(D43:D45)</f>
        <v>7612.79</v>
      </c>
      <c r="E46" s="36">
        <f>SUM(E43:E45)</f>
        <v>634</v>
      </c>
      <c r="F46" s="36">
        <f t="shared" ref="F46" si="127">SUM(F43:F45)</f>
        <v>634</v>
      </c>
      <c r="G46" s="36">
        <f t="shared" ref="G46" si="128">SUM(G43:G45)</f>
        <v>634</v>
      </c>
      <c r="H46" s="36">
        <f t="shared" ref="H46" si="129">SUM(H43:H45)</f>
        <v>634</v>
      </c>
      <c r="I46" s="36">
        <f t="shared" ref="I46" si="130">SUM(I43:I45)</f>
        <v>634</v>
      </c>
      <c r="J46" s="36">
        <f t="shared" ref="J46" si="131">SUM(J43:J45)</f>
        <v>634</v>
      </c>
      <c r="K46" s="36">
        <f t="shared" ref="K46" si="132">SUM(K43:K45)</f>
        <v>634</v>
      </c>
      <c r="L46" s="36">
        <f t="shared" ref="L46" si="133">SUM(L43:L45)</f>
        <v>634</v>
      </c>
      <c r="M46" s="36">
        <f t="shared" ref="M46" si="134">SUM(M43:M45)</f>
        <v>634</v>
      </c>
      <c r="N46" s="36">
        <f t="shared" ref="N46" si="135">SUM(N43:N45)</f>
        <v>634</v>
      </c>
      <c r="O46" s="36">
        <f t="shared" ref="O46" si="136">SUM(O43:O45)</f>
        <v>646.67999999999995</v>
      </c>
      <c r="P46" s="36">
        <f t="shared" ref="P46:Q46" si="137">SUM(P43:P45)</f>
        <v>646.67999999999995</v>
      </c>
      <c r="Q46" s="36">
        <f t="shared" si="137"/>
        <v>7633.36</v>
      </c>
      <c r="R46" s="125"/>
      <c r="S46" s="129"/>
    </row>
    <row r="47" spans="2:20" x14ac:dyDescent="0.35">
      <c r="B47" s="118"/>
      <c r="C47" s="128"/>
      <c r="D47" s="125"/>
      <c r="R47" s="125"/>
      <c r="S47" s="129"/>
    </row>
    <row r="48" spans="2:20" x14ac:dyDescent="0.35">
      <c r="B48" s="282" t="str">
        <f>'40C0'!B1</f>
        <v>40C0</v>
      </c>
      <c r="C48" s="128" t="s">
        <v>228</v>
      </c>
      <c r="D48" s="491">
        <v>2900.01</v>
      </c>
      <c r="E48" s="34">
        <f>ROUND(D48/12,0)</f>
        <v>242</v>
      </c>
      <c r="F48" s="34">
        <f t="shared" si="2"/>
        <v>242</v>
      </c>
      <c r="G48" s="34">
        <f t="shared" si="3"/>
        <v>242</v>
      </c>
      <c r="H48" s="34">
        <f t="shared" si="4"/>
        <v>242</v>
      </c>
      <c r="I48" s="34">
        <f t="shared" si="5"/>
        <v>242</v>
      </c>
      <c r="J48" s="34">
        <f t="shared" si="6"/>
        <v>242</v>
      </c>
      <c r="K48" s="34">
        <f t="shared" si="7"/>
        <v>242</v>
      </c>
      <c r="L48" s="34">
        <f t="shared" si="8"/>
        <v>242</v>
      </c>
      <c r="M48" s="34">
        <f t="shared" si="9"/>
        <v>242</v>
      </c>
      <c r="N48" s="34">
        <f t="shared" si="10"/>
        <v>242</v>
      </c>
      <c r="O48" s="34">
        <f>N48*1.02</f>
        <v>246.84</v>
      </c>
      <c r="P48" s="34">
        <f t="shared" ref="P48:P49" si="138">+O48</f>
        <v>246.84</v>
      </c>
      <c r="Q48" s="36">
        <f>SUM(E48:P48)</f>
        <v>2913.6800000000003</v>
      </c>
      <c r="R48" s="125"/>
      <c r="S48" s="129" t="s">
        <v>226</v>
      </c>
      <c r="T48" s="34" t="s">
        <v>49</v>
      </c>
    </row>
    <row r="49" spans="2:24" x14ac:dyDescent="0.35">
      <c r="B49" s="118"/>
      <c r="C49" s="128" t="s">
        <v>229</v>
      </c>
      <c r="D49" s="149">
        <v>2889.61</v>
      </c>
      <c r="E49" s="43">
        <f>ROUND(D49/12,0)</f>
        <v>241</v>
      </c>
      <c r="F49" s="43">
        <f t="shared" si="2"/>
        <v>241</v>
      </c>
      <c r="G49" s="43">
        <f t="shared" si="3"/>
        <v>241</v>
      </c>
      <c r="H49" s="43">
        <f t="shared" si="4"/>
        <v>241</v>
      </c>
      <c r="I49" s="43">
        <f t="shared" si="5"/>
        <v>241</v>
      </c>
      <c r="J49" s="43">
        <f t="shared" si="6"/>
        <v>241</v>
      </c>
      <c r="K49" s="43">
        <f t="shared" si="7"/>
        <v>241</v>
      </c>
      <c r="L49" s="43">
        <f t="shared" si="8"/>
        <v>241</v>
      </c>
      <c r="M49" s="43">
        <f t="shared" si="9"/>
        <v>241</v>
      </c>
      <c r="N49" s="43">
        <f t="shared" si="10"/>
        <v>241</v>
      </c>
      <c r="O49" s="43">
        <f>N49*1.02</f>
        <v>245.82</v>
      </c>
      <c r="P49" s="43">
        <f t="shared" si="138"/>
        <v>245.82</v>
      </c>
      <c r="Q49" s="36">
        <f>SUM(E49:P49)</f>
        <v>2901.6400000000003</v>
      </c>
      <c r="R49" s="125"/>
      <c r="S49" s="129" t="s">
        <v>226</v>
      </c>
      <c r="T49" s="34" t="s">
        <v>49</v>
      </c>
    </row>
    <row r="50" spans="2:24" x14ac:dyDescent="0.35">
      <c r="B50" s="118"/>
      <c r="C50" s="132" t="s">
        <v>364</v>
      </c>
      <c r="D50" s="77">
        <f>SUM(D48:D49)</f>
        <v>5789.6200000000008</v>
      </c>
      <c r="E50" s="77">
        <f>SUM(E48:E49)</f>
        <v>483</v>
      </c>
      <c r="F50" s="77">
        <f t="shared" ref="F50" si="139">SUM(F48:F49)</f>
        <v>483</v>
      </c>
      <c r="G50" s="77">
        <f t="shared" ref="G50" si="140">SUM(G48:G49)</f>
        <v>483</v>
      </c>
      <c r="H50" s="77">
        <f t="shared" ref="H50" si="141">SUM(H48:H49)</f>
        <v>483</v>
      </c>
      <c r="I50" s="77">
        <f t="shared" ref="I50" si="142">SUM(I48:I49)</f>
        <v>483</v>
      </c>
      <c r="J50" s="77">
        <f t="shared" ref="J50" si="143">SUM(J48:J49)</f>
        <v>483</v>
      </c>
      <c r="K50" s="77">
        <f t="shared" ref="K50" si="144">SUM(K48:K49)</f>
        <v>483</v>
      </c>
      <c r="L50" s="77">
        <f t="shared" ref="L50" si="145">SUM(L48:L49)</f>
        <v>483</v>
      </c>
      <c r="M50" s="77">
        <f t="shared" ref="M50" si="146">SUM(M48:M49)</f>
        <v>483</v>
      </c>
      <c r="N50" s="77">
        <f t="shared" ref="N50:O50" si="147">SUM(N48:N49)</f>
        <v>483</v>
      </c>
      <c r="O50" s="77">
        <f t="shared" si="147"/>
        <v>492.65999999999997</v>
      </c>
      <c r="P50" s="77">
        <f t="shared" ref="P50:Q50" si="148">SUM(P48:P49)</f>
        <v>492.65999999999997</v>
      </c>
      <c r="Q50" s="135">
        <f t="shared" si="148"/>
        <v>5815.3200000000006</v>
      </c>
      <c r="R50" s="125"/>
      <c r="S50" s="129"/>
    </row>
    <row r="51" spans="2:24" x14ac:dyDescent="0.35">
      <c r="B51" s="118"/>
      <c r="C51" s="128" t="s">
        <v>230</v>
      </c>
      <c r="D51" s="491">
        <v>4134.28</v>
      </c>
      <c r="E51" s="34">
        <f>ROUND(D51/12,0)</f>
        <v>345</v>
      </c>
      <c r="F51" s="34">
        <f t="shared" si="2"/>
        <v>345</v>
      </c>
      <c r="G51" s="34">
        <f t="shared" si="3"/>
        <v>345</v>
      </c>
      <c r="H51" s="34">
        <f t="shared" si="4"/>
        <v>345</v>
      </c>
      <c r="I51" s="34">
        <f t="shared" si="5"/>
        <v>345</v>
      </c>
      <c r="J51" s="34">
        <f t="shared" si="6"/>
        <v>345</v>
      </c>
      <c r="K51" s="34">
        <f t="shared" si="7"/>
        <v>345</v>
      </c>
      <c r="L51" s="34">
        <f t="shared" si="8"/>
        <v>345</v>
      </c>
      <c r="M51" s="34">
        <f t="shared" si="9"/>
        <v>345</v>
      </c>
      <c r="N51" s="34">
        <f t="shared" si="10"/>
        <v>345</v>
      </c>
      <c r="O51" s="34">
        <f>N51*1.02</f>
        <v>351.90000000000003</v>
      </c>
      <c r="P51" s="34">
        <f t="shared" ref="P51:P52" si="149">+O51</f>
        <v>351.90000000000003</v>
      </c>
      <c r="Q51" s="36">
        <f>SUM(E51:P51)</f>
        <v>4153.8</v>
      </c>
      <c r="R51" s="125"/>
      <c r="S51" s="129" t="s">
        <v>227</v>
      </c>
      <c r="T51" s="34" t="s">
        <v>90</v>
      </c>
    </row>
    <row r="52" spans="2:24" x14ac:dyDescent="0.35">
      <c r="B52" s="118"/>
      <c r="C52" s="128" t="s">
        <v>231</v>
      </c>
      <c r="D52" s="149">
        <v>193.16</v>
      </c>
      <c r="E52" s="43">
        <f>ROUND(D52/12,0)</f>
        <v>16</v>
      </c>
      <c r="F52" s="43">
        <f t="shared" si="2"/>
        <v>16</v>
      </c>
      <c r="G52" s="43">
        <f t="shared" si="3"/>
        <v>16</v>
      </c>
      <c r="H52" s="43">
        <f t="shared" si="4"/>
        <v>16</v>
      </c>
      <c r="I52" s="43">
        <f t="shared" si="5"/>
        <v>16</v>
      </c>
      <c r="J52" s="43">
        <f t="shared" si="6"/>
        <v>16</v>
      </c>
      <c r="K52" s="43">
        <f t="shared" si="7"/>
        <v>16</v>
      </c>
      <c r="L52" s="43">
        <f t="shared" si="8"/>
        <v>16</v>
      </c>
      <c r="M52" s="43">
        <f t="shared" si="9"/>
        <v>16</v>
      </c>
      <c r="N52" s="43">
        <f t="shared" si="10"/>
        <v>16</v>
      </c>
      <c r="O52" s="43">
        <f>N52*1.02</f>
        <v>16.32</v>
      </c>
      <c r="P52" s="43">
        <f t="shared" si="149"/>
        <v>16.32</v>
      </c>
      <c r="Q52" s="87">
        <f>SUM(E52:P52)</f>
        <v>192.64</v>
      </c>
      <c r="R52" s="125"/>
      <c r="S52" s="129" t="s">
        <v>256</v>
      </c>
      <c r="T52" s="34" t="s">
        <v>51</v>
      </c>
    </row>
    <row r="53" spans="2:24" x14ac:dyDescent="0.35">
      <c r="B53" s="118"/>
      <c r="C53" s="133" t="s">
        <v>357</v>
      </c>
      <c r="D53" s="36">
        <f t="shared" ref="D53" si="150">SUM(D50:D52)</f>
        <v>10117.060000000001</v>
      </c>
      <c r="E53" s="36">
        <f>SUM(E50:E52)</f>
        <v>844</v>
      </c>
      <c r="F53" s="36">
        <f t="shared" ref="F53" si="151">SUM(F50:F52)</f>
        <v>844</v>
      </c>
      <c r="G53" s="36">
        <f t="shared" ref="G53" si="152">SUM(G50:G52)</f>
        <v>844</v>
      </c>
      <c r="H53" s="36">
        <f t="shared" ref="H53" si="153">SUM(H50:H52)</f>
        <v>844</v>
      </c>
      <c r="I53" s="36">
        <f t="shared" ref="I53" si="154">SUM(I50:I52)</f>
        <v>844</v>
      </c>
      <c r="J53" s="36">
        <f t="shared" ref="J53" si="155">SUM(J50:J52)</f>
        <v>844</v>
      </c>
      <c r="K53" s="36">
        <f t="shared" ref="K53" si="156">SUM(K50:K52)</f>
        <v>844</v>
      </c>
      <c r="L53" s="36">
        <f t="shared" ref="L53" si="157">SUM(L50:L52)</f>
        <v>844</v>
      </c>
      <c r="M53" s="36">
        <f t="shared" ref="M53" si="158">SUM(M50:M52)</f>
        <v>844</v>
      </c>
      <c r="N53" s="36">
        <f t="shared" ref="N53" si="159">SUM(N50:N52)</f>
        <v>844</v>
      </c>
      <c r="O53" s="36">
        <f t="shared" ref="O53" si="160">SUM(O50:O52)</f>
        <v>860.88</v>
      </c>
      <c r="P53" s="36">
        <f t="shared" ref="P53:Q53" si="161">SUM(P50:P52)</f>
        <v>860.88</v>
      </c>
      <c r="Q53" s="36">
        <f t="shared" si="161"/>
        <v>10161.76</v>
      </c>
      <c r="R53" s="125"/>
      <c r="S53" s="129"/>
    </row>
    <row r="54" spans="2:24" x14ac:dyDescent="0.35">
      <c r="B54" s="118"/>
      <c r="C54" s="133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R54" s="125"/>
      <c r="S54" s="129"/>
    </row>
    <row r="55" spans="2:24" s="35" customFormat="1" ht="18" x14ac:dyDescent="0.35">
      <c r="B55" s="143"/>
      <c r="C55" s="144" t="s">
        <v>365</v>
      </c>
      <c r="D55" s="145">
        <f>SUM(D11,D18,D25,D32,D39,D46,D53)</f>
        <v>224738.02000000002</v>
      </c>
      <c r="E55" s="145">
        <f>SUM(E11,E18,E25,E32,E39,E46,E53)</f>
        <v>18729</v>
      </c>
      <c r="F55" s="145">
        <f t="shared" ref="F55:P55" si="162">SUM(F11,F18,F25,F32,F39,F46,F53)</f>
        <v>18729</v>
      </c>
      <c r="G55" s="145">
        <f t="shared" si="162"/>
        <v>18729</v>
      </c>
      <c r="H55" s="145">
        <f t="shared" si="162"/>
        <v>18729</v>
      </c>
      <c r="I55" s="145">
        <f t="shared" si="162"/>
        <v>18729</v>
      </c>
      <c r="J55" s="145">
        <f t="shared" si="162"/>
        <v>18729</v>
      </c>
      <c r="K55" s="145">
        <f t="shared" si="162"/>
        <v>18729</v>
      </c>
      <c r="L55" s="145">
        <f t="shared" si="162"/>
        <v>18729</v>
      </c>
      <c r="M55" s="145">
        <f t="shared" si="162"/>
        <v>18729</v>
      </c>
      <c r="N55" s="145">
        <f t="shared" si="162"/>
        <v>18729</v>
      </c>
      <c r="O55" s="145">
        <f t="shared" si="162"/>
        <v>19103.580000000002</v>
      </c>
      <c r="P55" s="145">
        <f t="shared" si="162"/>
        <v>19103.580000000002</v>
      </c>
      <c r="Q55" s="145">
        <f t="shared" ref="Q55" si="163">SUM(Q11,Q18,Q25,Q32,Q39,Q46,Q53)</f>
        <v>225497.15999999997</v>
      </c>
      <c r="R55" s="146"/>
      <c r="S55" s="86"/>
    </row>
    <row r="56" spans="2:24" x14ac:dyDescent="0.35">
      <c r="B56" s="118"/>
      <c r="C56" s="133"/>
      <c r="D56" s="133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134"/>
      <c r="R56" s="126"/>
      <c r="S56" s="129"/>
    </row>
    <row r="57" spans="2:24" ht="17.5" x14ac:dyDescent="0.35">
      <c r="C57" s="37" t="s">
        <v>564</v>
      </c>
      <c r="Q57" s="493"/>
      <c r="R57" s="126"/>
      <c r="S57" s="531" t="b">
        <v>1</v>
      </c>
      <c r="V57" s="558" t="s">
        <v>663</v>
      </c>
      <c r="W57" s="558"/>
      <c r="X57" s="558"/>
    </row>
    <row r="58" spans="2:24" ht="18" x14ac:dyDescent="0.35">
      <c r="C58" s="34"/>
      <c r="E58" s="55" t="s">
        <v>0</v>
      </c>
      <c r="F58" s="55" t="s">
        <v>1</v>
      </c>
      <c r="G58" s="55" t="s">
        <v>2</v>
      </c>
      <c r="H58" s="55" t="s">
        <v>3</v>
      </c>
      <c r="I58" s="55" t="s">
        <v>4</v>
      </c>
      <c r="J58" s="55" t="s">
        <v>5</v>
      </c>
      <c r="K58" s="55" t="s">
        <v>6</v>
      </c>
      <c r="L58" s="55" t="s">
        <v>7</v>
      </c>
      <c r="M58" s="55" t="s">
        <v>8</v>
      </c>
      <c r="N58" s="55" t="s">
        <v>9</v>
      </c>
      <c r="O58" s="55" t="s">
        <v>10</v>
      </c>
      <c r="P58" s="55" t="s">
        <v>11</v>
      </c>
      <c r="Q58" s="492" t="s">
        <v>12</v>
      </c>
      <c r="R58" s="131"/>
      <c r="S58" s="526" t="s">
        <v>658</v>
      </c>
      <c r="V58" s="43" t="s">
        <v>659</v>
      </c>
      <c r="W58" s="489" t="s">
        <v>660</v>
      </c>
      <c r="X58" s="43" t="s">
        <v>661</v>
      </c>
    </row>
    <row r="59" spans="2:24" x14ac:dyDescent="0.35">
      <c r="C59" s="282">
        <f>B6</f>
        <v>4050</v>
      </c>
      <c r="D59" s="128"/>
      <c r="E59" s="34">
        <f>+Q59/12</f>
        <v>3771.3785948999998</v>
      </c>
      <c r="F59" s="34">
        <f>+E59</f>
        <v>3771.3785948999998</v>
      </c>
      <c r="G59" s="34">
        <f>+F59</f>
        <v>3771.3785948999998</v>
      </c>
      <c r="H59" s="34">
        <f t="shared" ref="H59:P59" si="164">+G59</f>
        <v>3771.3785948999998</v>
      </c>
      <c r="I59" s="34">
        <f t="shared" si="164"/>
        <v>3771.3785948999998</v>
      </c>
      <c r="J59" s="34">
        <f t="shared" si="164"/>
        <v>3771.3785948999998</v>
      </c>
      <c r="K59" s="34">
        <f t="shared" si="164"/>
        <v>3771.3785948999998</v>
      </c>
      <c r="L59" s="34">
        <f t="shared" si="164"/>
        <v>3771.3785948999998</v>
      </c>
      <c r="M59" s="34">
        <f t="shared" si="164"/>
        <v>3771.3785948999998</v>
      </c>
      <c r="N59" s="34">
        <f t="shared" si="164"/>
        <v>3771.3785948999998</v>
      </c>
      <c r="O59" s="34">
        <f t="shared" si="164"/>
        <v>3771.3785948999998</v>
      </c>
      <c r="P59" s="34">
        <f t="shared" si="164"/>
        <v>3771.3785948999998</v>
      </c>
      <c r="Q59" s="494">
        <f>IF(S57=TRUE,S59,115010)</f>
        <v>45256.5431388</v>
      </c>
      <c r="R59" s="119"/>
      <c r="S59" s="494">
        <v>45256.5431388</v>
      </c>
      <c r="V59" s="530">
        <f>C59</f>
        <v>4050</v>
      </c>
      <c r="W59" s="34">
        <f>Q59</f>
        <v>45256.5431388</v>
      </c>
      <c r="X59" s="34">
        <f>S59</f>
        <v>45256.5431388</v>
      </c>
    </row>
    <row r="60" spans="2:24" x14ac:dyDescent="0.35">
      <c r="C60" s="282">
        <f>B13</f>
        <v>4060</v>
      </c>
      <c r="D60" s="128"/>
      <c r="E60" s="34">
        <f t="shared" ref="E60:E65" si="165">+Q60/12</f>
        <v>9151.1392376250005</v>
      </c>
      <c r="F60" s="34">
        <f t="shared" ref="F60:F65" si="166">+E60</f>
        <v>9151.1392376250005</v>
      </c>
      <c r="G60" s="34">
        <f t="shared" ref="G60:P60" si="167">+F60</f>
        <v>9151.1392376250005</v>
      </c>
      <c r="H60" s="34">
        <f t="shared" si="167"/>
        <v>9151.1392376250005</v>
      </c>
      <c r="I60" s="34">
        <f t="shared" si="167"/>
        <v>9151.1392376250005</v>
      </c>
      <c r="J60" s="34">
        <f t="shared" si="167"/>
        <v>9151.1392376250005</v>
      </c>
      <c r="K60" s="34">
        <f t="shared" si="167"/>
        <v>9151.1392376250005</v>
      </c>
      <c r="L60" s="34">
        <f t="shared" si="167"/>
        <v>9151.1392376250005</v>
      </c>
      <c r="M60" s="34">
        <f t="shared" si="167"/>
        <v>9151.1392376250005</v>
      </c>
      <c r="N60" s="34">
        <f t="shared" si="167"/>
        <v>9151.1392376250005</v>
      </c>
      <c r="O60" s="34">
        <f t="shared" si="167"/>
        <v>9151.1392376250005</v>
      </c>
      <c r="P60" s="34">
        <f t="shared" si="167"/>
        <v>9151.1392376250005</v>
      </c>
      <c r="Q60" s="494">
        <f>IF(S57=TRUE,S60,177213)</f>
        <v>109813.67085150001</v>
      </c>
      <c r="R60" s="119"/>
      <c r="S60" s="494">
        <v>109813.67085150001</v>
      </c>
      <c r="V60" s="530">
        <f t="shared" ref="V60:V65" si="168">C60</f>
        <v>4060</v>
      </c>
      <c r="W60" s="34">
        <f t="shared" ref="W60:W65" si="169">Q60</f>
        <v>109813.67085150001</v>
      </c>
      <c r="X60" s="34">
        <f t="shared" ref="X60:X65" si="170">S60</f>
        <v>109813.67085150001</v>
      </c>
    </row>
    <row r="61" spans="2:24" x14ac:dyDescent="0.35">
      <c r="C61" s="282">
        <f>B20</f>
        <v>4070</v>
      </c>
      <c r="D61" s="128"/>
      <c r="E61" s="34">
        <f t="shared" si="165"/>
        <v>6294.9692106000002</v>
      </c>
      <c r="F61" s="34">
        <f t="shared" si="166"/>
        <v>6294.9692106000002</v>
      </c>
      <c r="G61" s="34">
        <f t="shared" ref="G61:P61" si="171">+F61</f>
        <v>6294.9692106000002</v>
      </c>
      <c r="H61" s="34">
        <f t="shared" si="171"/>
        <v>6294.9692106000002</v>
      </c>
      <c r="I61" s="34">
        <f t="shared" si="171"/>
        <v>6294.9692106000002</v>
      </c>
      <c r="J61" s="34">
        <f t="shared" si="171"/>
        <v>6294.9692106000002</v>
      </c>
      <c r="K61" s="34">
        <f t="shared" si="171"/>
        <v>6294.9692106000002</v>
      </c>
      <c r="L61" s="34">
        <f t="shared" si="171"/>
        <v>6294.9692106000002</v>
      </c>
      <c r="M61" s="34">
        <f t="shared" si="171"/>
        <v>6294.9692106000002</v>
      </c>
      <c r="N61" s="34">
        <f t="shared" si="171"/>
        <v>6294.9692106000002</v>
      </c>
      <c r="O61" s="34">
        <f t="shared" si="171"/>
        <v>6294.9692106000002</v>
      </c>
      <c r="P61" s="34">
        <f t="shared" si="171"/>
        <v>6294.9692106000002</v>
      </c>
      <c r="Q61" s="494">
        <f>IF(S57=TRUE,S61,148071)</f>
        <v>75539.630527200003</v>
      </c>
      <c r="R61" s="119"/>
      <c r="S61" s="494">
        <v>75539.630527200003</v>
      </c>
      <c r="V61" s="530">
        <f t="shared" si="168"/>
        <v>4070</v>
      </c>
      <c r="W61" s="34">
        <f t="shared" si="169"/>
        <v>75539.630527200003</v>
      </c>
      <c r="X61" s="34">
        <f t="shared" si="170"/>
        <v>75539.630527200003</v>
      </c>
    </row>
    <row r="62" spans="2:24" x14ac:dyDescent="0.35">
      <c r="C62" s="282">
        <f>B27</f>
        <v>4080</v>
      </c>
      <c r="D62" s="128"/>
      <c r="E62" s="34">
        <f t="shared" si="165"/>
        <v>13138.1171208</v>
      </c>
      <c r="F62" s="34">
        <f t="shared" si="166"/>
        <v>13138.1171208</v>
      </c>
      <c r="G62" s="34">
        <f t="shared" ref="G62:P63" si="172">+F62</f>
        <v>13138.1171208</v>
      </c>
      <c r="H62" s="34">
        <f t="shared" si="172"/>
        <v>13138.1171208</v>
      </c>
      <c r="I62" s="34">
        <f t="shared" si="172"/>
        <v>13138.1171208</v>
      </c>
      <c r="J62" s="34">
        <f t="shared" si="172"/>
        <v>13138.1171208</v>
      </c>
      <c r="K62" s="34">
        <f t="shared" si="172"/>
        <v>13138.1171208</v>
      </c>
      <c r="L62" s="34">
        <f t="shared" si="172"/>
        <v>13138.1171208</v>
      </c>
      <c r="M62" s="34">
        <f t="shared" si="172"/>
        <v>13138.1171208</v>
      </c>
      <c r="N62" s="34">
        <f t="shared" si="172"/>
        <v>13138.1171208</v>
      </c>
      <c r="O62" s="34">
        <f t="shared" si="172"/>
        <v>13138.1171208</v>
      </c>
      <c r="P62" s="34">
        <f t="shared" si="172"/>
        <v>13138.1171208</v>
      </c>
      <c r="Q62" s="494">
        <f>IF(S57=TRUE,S62,240281)</f>
        <v>157657.40544959999</v>
      </c>
      <c r="R62" s="119"/>
      <c r="S62" s="494">
        <v>157657.40544959999</v>
      </c>
      <c r="V62" s="530">
        <f t="shared" si="168"/>
        <v>4080</v>
      </c>
      <c r="W62" s="34">
        <f t="shared" si="169"/>
        <v>157657.40544959999</v>
      </c>
      <c r="X62" s="34">
        <f t="shared" si="170"/>
        <v>157657.40544959999</v>
      </c>
    </row>
    <row r="63" spans="2:24" x14ac:dyDescent="0.35">
      <c r="C63" s="282" t="str">
        <f>B34</f>
        <v>40A0</v>
      </c>
      <c r="D63" s="132" t="s">
        <v>437</v>
      </c>
      <c r="E63" s="34">
        <f t="shared" si="165"/>
        <v>1683.809619723</v>
      </c>
      <c r="F63" s="34">
        <f t="shared" si="166"/>
        <v>1683.809619723</v>
      </c>
      <c r="G63" s="34">
        <f t="shared" si="172"/>
        <v>1683.809619723</v>
      </c>
      <c r="H63" s="34">
        <f t="shared" si="172"/>
        <v>1683.809619723</v>
      </c>
      <c r="I63" s="34">
        <f t="shared" si="172"/>
        <v>1683.809619723</v>
      </c>
      <c r="J63" s="34">
        <f t="shared" si="172"/>
        <v>1683.809619723</v>
      </c>
      <c r="K63" s="34">
        <f t="shared" si="172"/>
        <v>1683.809619723</v>
      </c>
      <c r="L63" s="34">
        <f t="shared" si="172"/>
        <v>1683.809619723</v>
      </c>
      <c r="M63" s="34">
        <f t="shared" si="172"/>
        <v>1683.809619723</v>
      </c>
      <c r="N63" s="34">
        <f t="shared" si="172"/>
        <v>1683.809619723</v>
      </c>
      <c r="O63" s="34">
        <f t="shared" si="172"/>
        <v>1683.809619723</v>
      </c>
      <c r="P63" s="34">
        <f t="shared" si="172"/>
        <v>1683.809619723</v>
      </c>
      <c r="Q63" s="494">
        <f>IF(S57=TRUE,S63,23645)</f>
        <v>20205.715436676001</v>
      </c>
      <c r="R63" s="119"/>
      <c r="S63" s="494">
        <f>D63*61229.4407172</f>
        <v>20205.715436676001</v>
      </c>
      <c r="V63" s="530" t="str">
        <f t="shared" si="168"/>
        <v>40A0</v>
      </c>
      <c r="W63" s="34">
        <f t="shared" si="169"/>
        <v>20205.715436676001</v>
      </c>
      <c r="X63" s="34">
        <f t="shared" si="170"/>
        <v>20205.715436676001</v>
      </c>
    </row>
    <row r="64" spans="2:24" x14ac:dyDescent="0.35">
      <c r="C64" s="282" t="str">
        <f>B41</f>
        <v>40B0</v>
      </c>
      <c r="D64" s="132" t="s">
        <v>438</v>
      </c>
      <c r="E64" s="34">
        <f t="shared" si="165"/>
        <v>1428.6869500680002</v>
      </c>
      <c r="F64" s="34">
        <f t="shared" si="166"/>
        <v>1428.6869500680002</v>
      </c>
      <c r="G64" s="34">
        <f t="shared" ref="G64:P65" si="173">+F64</f>
        <v>1428.6869500680002</v>
      </c>
      <c r="H64" s="34">
        <f t="shared" si="173"/>
        <v>1428.6869500680002</v>
      </c>
      <c r="I64" s="34">
        <f t="shared" si="173"/>
        <v>1428.6869500680002</v>
      </c>
      <c r="J64" s="34">
        <f t="shared" si="173"/>
        <v>1428.6869500680002</v>
      </c>
      <c r="K64" s="34">
        <f t="shared" si="173"/>
        <v>1428.6869500680002</v>
      </c>
      <c r="L64" s="34">
        <f t="shared" si="173"/>
        <v>1428.6869500680002</v>
      </c>
      <c r="M64" s="34">
        <f t="shared" si="173"/>
        <v>1428.6869500680002</v>
      </c>
      <c r="N64" s="34">
        <f t="shared" si="173"/>
        <v>1428.6869500680002</v>
      </c>
      <c r="O64" s="34">
        <f t="shared" si="173"/>
        <v>1428.6869500680002</v>
      </c>
      <c r="P64" s="34">
        <f t="shared" si="173"/>
        <v>1428.6869500680002</v>
      </c>
      <c r="Q64" s="494">
        <f>IF(S57=TRUE,S64,20062)</f>
        <v>17144.243400816002</v>
      </c>
      <c r="R64" s="119"/>
      <c r="S64" s="494">
        <f>D64*61229.4407172</f>
        <v>17144.243400816002</v>
      </c>
      <c r="V64" s="530" t="str">
        <f t="shared" si="168"/>
        <v>40B0</v>
      </c>
      <c r="W64" s="34">
        <f t="shared" si="169"/>
        <v>17144.243400816002</v>
      </c>
      <c r="X64" s="34">
        <f t="shared" si="170"/>
        <v>17144.243400816002</v>
      </c>
    </row>
    <row r="65" spans="2:24" x14ac:dyDescent="0.35">
      <c r="C65" s="282" t="str">
        <f>B48</f>
        <v>40C0</v>
      </c>
      <c r="D65" s="132" t="s">
        <v>439</v>
      </c>
      <c r="E65" s="34">
        <f t="shared" si="165"/>
        <v>1989.9568233090001</v>
      </c>
      <c r="F65" s="34">
        <f t="shared" si="166"/>
        <v>1989.9568233090001</v>
      </c>
      <c r="G65" s="34">
        <f t="shared" si="173"/>
        <v>1989.9568233090001</v>
      </c>
      <c r="H65" s="34">
        <f t="shared" si="173"/>
        <v>1989.9568233090001</v>
      </c>
      <c r="I65" s="34">
        <f t="shared" si="173"/>
        <v>1989.9568233090001</v>
      </c>
      <c r="J65" s="34">
        <f t="shared" si="173"/>
        <v>1989.9568233090001</v>
      </c>
      <c r="K65" s="34">
        <f t="shared" si="173"/>
        <v>1989.9568233090001</v>
      </c>
      <c r="L65" s="34">
        <f t="shared" si="173"/>
        <v>1989.9568233090001</v>
      </c>
      <c r="M65" s="34">
        <f t="shared" si="173"/>
        <v>1989.9568233090001</v>
      </c>
      <c r="N65" s="34">
        <f t="shared" si="173"/>
        <v>1989.9568233090001</v>
      </c>
      <c r="O65" s="34">
        <f t="shared" si="173"/>
        <v>1989.9568233090001</v>
      </c>
      <c r="P65" s="34">
        <f t="shared" si="173"/>
        <v>1989.9568233090001</v>
      </c>
      <c r="Q65" s="495">
        <f>IF(S57=TRUE,S65,27944)</f>
        <v>23879.481879708001</v>
      </c>
      <c r="R65" s="124"/>
      <c r="S65" s="494">
        <f>D65*61229.4407172</f>
        <v>23879.481879708001</v>
      </c>
      <c r="V65" s="530" t="str">
        <f t="shared" si="168"/>
        <v>40C0</v>
      </c>
      <c r="W65" s="43">
        <f t="shared" si="169"/>
        <v>23879.481879708001</v>
      </c>
      <c r="X65" s="43">
        <f t="shared" si="170"/>
        <v>23879.481879708001</v>
      </c>
    </row>
    <row r="66" spans="2:24" x14ac:dyDescent="0.35">
      <c r="C66" s="118"/>
      <c r="D66" s="133" t="s">
        <v>445</v>
      </c>
      <c r="E66" s="135">
        <f>SUM(E59:E65)</f>
        <v>37458.057557025</v>
      </c>
      <c r="F66" s="135">
        <f t="shared" ref="F66:S66" si="174">SUM(F59:F65)</f>
        <v>37458.057557025</v>
      </c>
      <c r="G66" s="135">
        <f t="shared" si="174"/>
        <v>37458.057557025</v>
      </c>
      <c r="H66" s="135">
        <f t="shared" si="174"/>
        <v>37458.057557025</v>
      </c>
      <c r="I66" s="135">
        <f t="shared" si="174"/>
        <v>37458.057557025</v>
      </c>
      <c r="J66" s="135">
        <f t="shared" si="174"/>
        <v>37458.057557025</v>
      </c>
      <c r="K66" s="135">
        <f t="shared" si="174"/>
        <v>37458.057557025</v>
      </c>
      <c r="L66" s="135">
        <f t="shared" si="174"/>
        <v>37458.057557025</v>
      </c>
      <c r="M66" s="135">
        <f t="shared" si="174"/>
        <v>37458.057557025</v>
      </c>
      <c r="N66" s="135">
        <f t="shared" si="174"/>
        <v>37458.057557025</v>
      </c>
      <c r="O66" s="135">
        <f t="shared" si="174"/>
        <v>37458.057557025</v>
      </c>
      <c r="P66" s="135">
        <f t="shared" si="174"/>
        <v>37458.057557025</v>
      </c>
      <c r="Q66" s="135">
        <f t="shared" si="174"/>
        <v>449496.69068429997</v>
      </c>
      <c r="R66" s="125"/>
      <c r="S66" s="135">
        <f t="shared" si="174"/>
        <v>449496.69068429997</v>
      </c>
      <c r="W66" s="34">
        <f>Q66</f>
        <v>449496.69068429997</v>
      </c>
      <c r="X66" s="34">
        <f>S66</f>
        <v>449496.69068429997</v>
      </c>
    </row>
    <row r="67" spans="2:24" x14ac:dyDescent="0.35">
      <c r="B67" s="118"/>
      <c r="C67" s="133"/>
      <c r="D67" s="133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R67" s="125"/>
      <c r="S67" s="129"/>
      <c r="V67" s="41" t="s">
        <v>662</v>
      </c>
      <c r="W67" s="34">
        <f>'NI LLC-Consolidated'!Q134</f>
        <v>297243.99780082563</v>
      </c>
      <c r="X67" s="34">
        <v>167886.35250927694</v>
      </c>
    </row>
  </sheetData>
  <sheetProtection selectLockedCells="1"/>
  <mergeCells count="1">
    <mergeCell ref="V57:X57"/>
  </mergeCells>
  <phoneticPr fontId="3" type="noConversion"/>
  <printOptions horizontalCentered="1" verticalCentered="1"/>
  <pageMargins left="0.25" right="0.25" top="0.75" bottom="0.75" header="0.3" footer="0.3"/>
  <pageSetup scale="56" fitToHeight="0" orientation="landscape" r:id="rId1"/>
  <headerFooter>
    <oddHeader>&amp;R&amp;D</oddHeader>
    <oddFooter>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E502-61A3-4F3B-9E61-E5D7FA00D870}">
  <sheetPr>
    <tabColor rgb="FFFFC000"/>
  </sheetPr>
  <dimension ref="A1:W256"/>
  <sheetViews>
    <sheetView tabSelected="1" view="pageBreakPreview" topLeftCell="A181" zoomScale="60" zoomScaleNormal="100" workbookViewId="0">
      <selection activeCell="A11" sqref="A11"/>
    </sheetView>
  </sheetViews>
  <sheetFormatPr defaultColWidth="8.54296875" defaultRowHeight="16" x14ac:dyDescent="0.35"/>
  <cols>
    <col min="1" max="1" width="17" style="34" customWidth="1"/>
    <col min="2" max="2" width="14.453125" style="34" customWidth="1"/>
    <col min="3" max="8" width="11.54296875" style="34" customWidth="1"/>
    <col min="9" max="9" width="10" style="34" bestFit="1" customWidth="1"/>
    <col min="10" max="14" width="9.54296875" style="34" bestFit="1" customWidth="1"/>
    <col min="15" max="15" width="12.453125" style="36" bestFit="1" customWidth="1"/>
    <col min="16" max="16" width="9.54296875" style="34" bestFit="1" customWidth="1"/>
    <col min="17" max="16384" width="8.54296875" style="34"/>
  </cols>
  <sheetData>
    <row r="1" spans="1:16" ht="29" x14ac:dyDescent="0.5">
      <c r="A1" s="35" t="s">
        <v>108</v>
      </c>
      <c r="C1" s="45" t="s">
        <v>33</v>
      </c>
      <c r="D1" s="476"/>
      <c r="E1" s="46"/>
      <c r="F1" s="46"/>
      <c r="G1" s="46"/>
      <c r="H1" s="46"/>
      <c r="I1" s="46"/>
      <c r="J1" s="46"/>
      <c r="K1" s="46"/>
      <c r="L1" s="46"/>
      <c r="M1" s="46"/>
      <c r="N1" s="46"/>
      <c r="O1" s="53">
        <f>'NI LLC-Consolidated'!Q1</f>
        <v>46023</v>
      </c>
      <c r="P1" s="46"/>
    </row>
    <row r="2" spans="1:16" ht="18" x14ac:dyDescent="0.35">
      <c r="C2" s="121" t="str">
        <f>'NI LLC-Consolidated'!J2</f>
        <v>Neshaminy Interplex LLC</v>
      </c>
      <c r="D2" s="476"/>
      <c r="E2" s="46"/>
      <c r="F2" s="46"/>
      <c r="G2" s="46"/>
      <c r="H2" s="46"/>
      <c r="I2" s="46"/>
      <c r="J2" s="46"/>
      <c r="K2" s="46"/>
      <c r="L2" s="46"/>
      <c r="M2" s="46"/>
      <c r="N2" s="46"/>
      <c r="O2" s="34"/>
      <c r="P2" s="46"/>
    </row>
    <row r="3" spans="1:16" x14ac:dyDescent="0.35">
      <c r="G3" s="97"/>
    </row>
    <row r="4" spans="1:16" ht="18" x14ac:dyDescent="0.35">
      <c r="A4" s="35"/>
      <c r="B4" s="37" t="s">
        <v>538</v>
      </c>
      <c r="M4" s="126"/>
      <c r="N4" s="126"/>
    </row>
    <row r="5" spans="1:16" x14ac:dyDescent="0.35">
      <c r="C5" s="123" t="s">
        <v>0</v>
      </c>
      <c r="D5" s="123" t="s">
        <v>1</v>
      </c>
      <c r="E5" s="123" t="s">
        <v>2</v>
      </c>
      <c r="F5" s="123" t="s">
        <v>3</v>
      </c>
      <c r="G5" s="123" t="s">
        <v>4</v>
      </c>
      <c r="H5" s="123" t="s">
        <v>5</v>
      </c>
      <c r="I5" s="123" t="s">
        <v>6</v>
      </c>
      <c r="J5" s="123" t="s">
        <v>7</v>
      </c>
      <c r="K5" s="123" t="s">
        <v>8</v>
      </c>
      <c r="L5" s="123" t="s">
        <v>9</v>
      </c>
      <c r="M5" s="123" t="s">
        <v>10</v>
      </c>
      <c r="N5" s="123" t="s">
        <v>11</v>
      </c>
      <c r="O5" s="481" t="s">
        <v>12</v>
      </c>
      <c r="P5" s="41"/>
    </row>
    <row r="6" spans="1:16" x14ac:dyDescent="0.35">
      <c r="B6" s="282">
        <f>'4050'!$B$1</f>
        <v>4050</v>
      </c>
      <c r="C6" s="34">
        <f>C29+C40+C51+C62+C73+C84+C95+C106+C117+C128+C139</f>
        <v>2350</v>
      </c>
      <c r="D6" s="34">
        <f t="shared" ref="D6:N6" si="0">D29+D40+D51+D62+D73+D84+D95+D106+D117+D128+D139</f>
        <v>1100</v>
      </c>
      <c r="E6" s="34">
        <f t="shared" si="0"/>
        <v>1300</v>
      </c>
      <c r="F6" s="34">
        <f t="shared" si="0"/>
        <v>1725</v>
      </c>
      <c r="G6" s="34">
        <f t="shared" si="0"/>
        <v>2940</v>
      </c>
      <c r="H6" s="34">
        <f t="shared" si="0"/>
        <v>1475</v>
      </c>
      <c r="I6" s="34">
        <f t="shared" si="0"/>
        <v>3845</v>
      </c>
      <c r="J6" s="34">
        <f t="shared" si="0"/>
        <v>1100</v>
      </c>
      <c r="K6" s="34">
        <f t="shared" si="0"/>
        <v>1300</v>
      </c>
      <c r="L6" s="34">
        <f t="shared" si="0"/>
        <v>1725</v>
      </c>
      <c r="M6" s="34">
        <f t="shared" si="0"/>
        <v>1575</v>
      </c>
      <c r="N6" s="34">
        <f t="shared" si="0"/>
        <v>1100</v>
      </c>
      <c r="O6" s="482">
        <f>SUM(C6:N6)</f>
        <v>21535</v>
      </c>
      <c r="P6" s="119"/>
    </row>
    <row r="7" spans="1:16" x14ac:dyDescent="0.35">
      <c r="B7" s="282">
        <f>'4060'!$B$1</f>
        <v>4060</v>
      </c>
      <c r="C7" s="34">
        <f t="shared" ref="C7:N7" si="1">C30+C41+C52+C63+C74+C85+C96+C107+C118+C129+C140</f>
        <v>4205</v>
      </c>
      <c r="D7" s="34">
        <f t="shared" si="1"/>
        <v>2700</v>
      </c>
      <c r="E7" s="34">
        <f t="shared" si="1"/>
        <v>2900</v>
      </c>
      <c r="F7" s="34">
        <f t="shared" si="1"/>
        <v>3325</v>
      </c>
      <c r="G7" s="34">
        <f t="shared" si="1"/>
        <v>5590</v>
      </c>
      <c r="H7" s="34">
        <f t="shared" si="1"/>
        <v>3225</v>
      </c>
      <c r="I7" s="34">
        <f t="shared" si="1"/>
        <v>6160</v>
      </c>
      <c r="J7" s="34">
        <f t="shared" si="1"/>
        <v>2700</v>
      </c>
      <c r="K7" s="34">
        <f t="shared" si="1"/>
        <v>2900</v>
      </c>
      <c r="L7" s="34">
        <f t="shared" si="1"/>
        <v>3325</v>
      </c>
      <c r="M7" s="34">
        <f t="shared" si="1"/>
        <v>3175</v>
      </c>
      <c r="N7" s="34">
        <f t="shared" si="1"/>
        <v>2700</v>
      </c>
      <c r="O7" s="482">
        <f t="shared" ref="O7:O12" si="2">SUM(C7:N7)</f>
        <v>42905</v>
      </c>
      <c r="P7" s="119"/>
    </row>
    <row r="8" spans="1:16" x14ac:dyDescent="0.35">
      <c r="B8" s="282">
        <f>'4070'!$B$1</f>
        <v>4070</v>
      </c>
      <c r="C8" s="34">
        <f t="shared" ref="C8:N8" si="3">C31+C42+C53+C64+C75+C86+C97+C108+C119+C130+C141</f>
        <v>3175</v>
      </c>
      <c r="D8" s="34">
        <f t="shared" si="3"/>
        <v>2350</v>
      </c>
      <c r="E8" s="34">
        <f t="shared" si="3"/>
        <v>2200</v>
      </c>
      <c r="F8" s="34">
        <f t="shared" si="3"/>
        <v>2375</v>
      </c>
      <c r="G8" s="34">
        <f t="shared" si="3"/>
        <v>4295</v>
      </c>
      <c r="H8" s="34">
        <f t="shared" si="3"/>
        <v>2350</v>
      </c>
      <c r="I8" s="34">
        <f t="shared" si="3"/>
        <v>4550</v>
      </c>
      <c r="J8" s="34">
        <f t="shared" si="3"/>
        <v>2350</v>
      </c>
      <c r="K8" s="34">
        <f t="shared" si="3"/>
        <v>2200</v>
      </c>
      <c r="L8" s="34">
        <f t="shared" si="3"/>
        <v>2375</v>
      </c>
      <c r="M8" s="34">
        <f t="shared" si="3"/>
        <v>2825</v>
      </c>
      <c r="N8" s="34">
        <f t="shared" si="3"/>
        <v>2000</v>
      </c>
      <c r="O8" s="482">
        <f t="shared" si="2"/>
        <v>33045</v>
      </c>
      <c r="P8" s="119"/>
    </row>
    <row r="9" spans="1:16" x14ac:dyDescent="0.35">
      <c r="B9" s="282">
        <f>'4080'!$B$1</f>
        <v>4080</v>
      </c>
      <c r="C9" s="34">
        <f t="shared" ref="C9:N9" si="4">C32+C43+C54+C65+C76+C87+C98+C109+C120+C131+C142</f>
        <v>6170</v>
      </c>
      <c r="D9" s="34">
        <f t="shared" si="4"/>
        <v>4350</v>
      </c>
      <c r="E9" s="34">
        <f t="shared" si="4"/>
        <v>4625</v>
      </c>
      <c r="F9" s="34">
        <f t="shared" si="4"/>
        <v>5070</v>
      </c>
      <c r="G9" s="34">
        <f t="shared" si="4"/>
        <v>7968</v>
      </c>
      <c r="H9" s="34">
        <f t="shared" si="4"/>
        <v>4675</v>
      </c>
      <c r="I9" s="34">
        <f t="shared" si="4"/>
        <v>8635</v>
      </c>
      <c r="J9" s="34">
        <f t="shared" si="4"/>
        <v>4350</v>
      </c>
      <c r="K9" s="34">
        <f t="shared" si="4"/>
        <v>4625</v>
      </c>
      <c r="L9" s="34">
        <f t="shared" si="4"/>
        <v>5070</v>
      </c>
      <c r="M9" s="34">
        <f t="shared" si="4"/>
        <v>4975</v>
      </c>
      <c r="N9" s="34">
        <f t="shared" si="4"/>
        <v>4350</v>
      </c>
      <c r="O9" s="482">
        <f t="shared" si="2"/>
        <v>64863</v>
      </c>
      <c r="P9" s="119"/>
    </row>
    <row r="10" spans="1:16" x14ac:dyDescent="0.35">
      <c r="B10" s="282" t="str">
        <f>'40A0'!$B$1</f>
        <v>40A0</v>
      </c>
      <c r="C10" s="34">
        <f t="shared" ref="C10:N10" si="5">C33+C44+C55+C66+C77+C88+C99+C110+C121+C132+C143</f>
        <v>1280</v>
      </c>
      <c r="D10" s="34">
        <f t="shared" si="5"/>
        <v>855</v>
      </c>
      <c r="E10" s="34">
        <f t="shared" si="5"/>
        <v>855</v>
      </c>
      <c r="F10" s="34">
        <f t="shared" si="5"/>
        <v>955</v>
      </c>
      <c r="G10" s="34">
        <f t="shared" si="5"/>
        <v>1802</v>
      </c>
      <c r="H10" s="34">
        <f t="shared" si="5"/>
        <v>1055</v>
      </c>
      <c r="I10" s="34">
        <f t="shared" si="5"/>
        <v>1560</v>
      </c>
      <c r="J10" s="34">
        <f t="shared" si="5"/>
        <v>855</v>
      </c>
      <c r="K10" s="34">
        <f t="shared" si="5"/>
        <v>855</v>
      </c>
      <c r="L10" s="34">
        <f t="shared" si="5"/>
        <v>955</v>
      </c>
      <c r="M10" s="34">
        <f t="shared" si="5"/>
        <v>1690</v>
      </c>
      <c r="N10" s="34">
        <f t="shared" si="5"/>
        <v>855</v>
      </c>
      <c r="O10" s="482">
        <f t="shared" si="2"/>
        <v>13572</v>
      </c>
      <c r="P10" s="119"/>
    </row>
    <row r="11" spans="1:16" x14ac:dyDescent="0.35">
      <c r="B11" s="282" t="str">
        <f>'40B0'!$B$1</f>
        <v>40B0</v>
      </c>
      <c r="C11" s="34">
        <f t="shared" ref="C11:N11" si="6">C34+C45+C56+C67+C78+C89+C100+C111+C122+C133+C144</f>
        <v>600</v>
      </c>
      <c r="D11" s="34">
        <f t="shared" si="6"/>
        <v>400</v>
      </c>
      <c r="E11" s="34">
        <f t="shared" si="6"/>
        <v>400</v>
      </c>
      <c r="F11" s="34">
        <f t="shared" si="6"/>
        <v>400</v>
      </c>
      <c r="G11" s="34">
        <f t="shared" si="6"/>
        <v>875</v>
      </c>
      <c r="H11" s="34">
        <f t="shared" si="6"/>
        <v>625</v>
      </c>
      <c r="I11" s="34">
        <f t="shared" si="6"/>
        <v>675</v>
      </c>
      <c r="J11" s="34">
        <f t="shared" si="6"/>
        <v>400</v>
      </c>
      <c r="K11" s="34">
        <f t="shared" si="6"/>
        <v>400</v>
      </c>
      <c r="L11" s="34">
        <f t="shared" si="6"/>
        <v>400</v>
      </c>
      <c r="M11" s="34">
        <f t="shared" si="6"/>
        <v>875</v>
      </c>
      <c r="N11" s="34">
        <f t="shared" si="6"/>
        <v>875</v>
      </c>
      <c r="O11" s="482">
        <f t="shared" si="2"/>
        <v>6925</v>
      </c>
      <c r="P11" s="119"/>
    </row>
    <row r="12" spans="1:16" x14ac:dyDescent="0.35">
      <c r="B12" s="282" t="str">
        <f>'40C0'!$B$1</f>
        <v>40C0</v>
      </c>
      <c r="C12" s="43">
        <f t="shared" ref="C12:N12" si="7">C35+C46+C57+C68+C79+C90+C101+C112+C123+C134+C145</f>
        <v>675</v>
      </c>
      <c r="D12" s="43">
        <f t="shared" si="7"/>
        <v>170</v>
      </c>
      <c r="E12" s="43">
        <f t="shared" si="7"/>
        <v>150</v>
      </c>
      <c r="F12" s="43">
        <f t="shared" si="7"/>
        <v>575</v>
      </c>
      <c r="G12" s="43">
        <f t="shared" si="7"/>
        <v>825</v>
      </c>
      <c r="H12" s="43">
        <f t="shared" si="7"/>
        <v>575</v>
      </c>
      <c r="I12" s="43">
        <f t="shared" si="7"/>
        <v>955</v>
      </c>
      <c r="J12" s="43">
        <f t="shared" si="7"/>
        <v>350</v>
      </c>
      <c r="K12" s="43">
        <f t="shared" si="7"/>
        <v>350</v>
      </c>
      <c r="L12" s="43">
        <f t="shared" si="7"/>
        <v>575</v>
      </c>
      <c r="M12" s="43">
        <f t="shared" si="7"/>
        <v>825</v>
      </c>
      <c r="N12" s="43">
        <f t="shared" si="7"/>
        <v>350</v>
      </c>
      <c r="O12" s="483">
        <f t="shared" si="2"/>
        <v>6375</v>
      </c>
      <c r="P12" s="119"/>
    </row>
    <row r="13" spans="1:16" x14ac:dyDescent="0.35">
      <c r="B13" s="133" t="s">
        <v>357</v>
      </c>
      <c r="C13" s="36">
        <f t="shared" ref="C13:O13" si="8">SUM(C6:C12)</f>
        <v>18455</v>
      </c>
      <c r="D13" s="36">
        <f t="shared" si="8"/>
        <v>11925</v>
      </c>
      <c r="E13" s="36">
        <f t="shared" si="8"/>
        <v>12430</v>
      </c>
      <c r="F13" s="36">
        <f t="shared" si="8"/>
        <v>14425</v>
      </c>
      <c r="G13" s="36">
        <f t="shared" si="8"/>
        <v>24295</v>
      </c>
      <c r="H13" s="36">
        <f t="shared" si="8"/>
        <v>13980</v>
      </c>
      <c r="I13" s="36">
        <f t="shared" si="8"/>
        <v>26380</v>
      </c>
      <c r="J13" s="36">
        <f t="shared" si="8"/>
        <v>12105</v>
      </c>
      <c r="K13" s="36">
        <f t="shared" si="8"/>
        <v>12630</v>
      </c>
      <c r="L13" s="36">
        <f t="shared" si="8"/>
        <v>14425</v>
      </c>
      <c r="M13" s="36">
        <f t="shared" si="8"/>
        <v>15940</v>
      </c>
      <c r="N13" s="36">
        <f t="shared" si="8"/>
        <v>12230</v>
      </c>
      <c r="O13" s="36">
        <f t="shared" si="8"/>
        <v>189220</v>
      </c>
      <c r="P13" s="125"/>
    </row>
    <row r="15" spans="1:16" ht="18" x14ac:dyDescent="0.35">
      <c r="A15" s="35"/>
      <c r="B15" s="37" t="s">
        <v>539</v>
      </c>
      <c r="C15" s="41"/>
      <c r="N15" s="477"/>
    </row>
    <row r="16" spans="1:16" x14ac:dyDescent="0.35">
      <c r="C16" s="123" t="s">
        <v>0</v>
      </c>
      <c r="D16" s="123" t="s">
        <v>1</v>
      </c>
      <c r="E16" s="123" t="s">
        <v>2</v>
      </c>
      <c r="F16" s="123" t="s">
        <v>3</v>
      </c>
      <c r="G16" s="123" t="s">
        <v>4</v>
      </c>
      <c r="H16" s="123" t="s">
        <v>5</v>
      </c>
      <c r="I16" s="123" t="s">
        <v>6</v>
      </c>
      <c r="J16" s="123" t="s">
        <v>7</v>
      </c>
      <c r="K16" s="123" t="s">
        <v>8</v>
      </c>
      <c r="L16" s="123" t="s">
        <v>9</v>
      </c>
      <c r="M16" s="123" t="s">
        <v>10</v>
      </c>
      <c r="N16" s="123" t="s">
        <v>11</v>
      </c>
      <c r="O16" s="481" t="s">
        <v>12</v>
      </c>
      <c r="P16" s="41"/>
    </row>
    <row r="17" spans="1:23" x14ac:dyDescent="0.35">
      <c r="B17" s="282">
        <f>'4050'!$B$1</f>
        <v>4050</v>
      </c>
      <c r="C17" s="77">
        <f>C150+C161+C172+C183+C194+C205+C216</f>
        <v>2737</v>
      </c>
      <c r="D17" s="77">
        <f t="shared" ref="D17:N17" si="9">D150+D161+D172+D183+D194+D205+D216</f>
        <v>1037</v>
      </c>
      <c r="E17" s="77">
        <f t="shared" si="9"/>
        <v>6671</v>
      </c>
      <c r="F17" s="77">
        <f t="shared" si="9"/>
        <v>4383</v>
      </c>
      <c r="G17" s="77">
        <f t="shared" si="9"/>
        <v>1037</v>
      </c>
      <c r="H17" s="77">
        <f t="shared" si="9"/>
        <v>6653</v>
      </c>
      <c r="I17" s="77">
        <f t="shared" si="9"/>
        <v>2737</v>
      </c>
      <c r="J17" s="77">
        <f t="shared" si="9"/>
        <v>1037</v>
      </c>
      <c r="K17" s="77">
        <f t="shared" si="9"/>
        <v>6653</v>
      </c>
      <c r="L17" s="77">
        <f t="shared" si="9"/>
        <v>4383</v>
      </c>
      <c r="M17" s="77">
        <f t="shared" si="9"/>
        <v>1037</v>
      </c>
      <c r="N17" s="77">
        <f t="shared" si="9"/>
        <v>6653</v>
      </c>
      <c r="O17" s="482">
        <f>SUM(C17:N17)</f>
        <v>45018</v>
      </c>
      <c r="P17" s="119"/>
    </row>
    <row r="18" spans="1:23" x14ac:dyDescent="0.35">
      <c r="B18" s="282">
        <f>'4060'!$B$1</f>
        <v>4060</v>
      </c>
      <c r="C18" s="34">
        <f t="shared" ref="C18:N18" si="10">C151+C162+C173+C184+C195+C206+C217</f>
        <v>1139</v>
      </c>
      <c r="D18" s="34">
        <f t="shared" si="10"/>
        <v>4189</v>
      </c>
      <c r="E18" s="34">
        <f t="shared" si="10"/>
        <v>7015</v>
      </c>
      <c r="F18" s="34">
        <f t="shared" si="10"/>
        <v>8951</v>
      </c>
      <c r="G18" s="34">
        <f t="shared" si="10"/>
        <v>4189</v>
      </c>
      <c r="H18" s="34">
        <f t="shared" si="10"/>
        <v>7015</v>
      </c>
      <c r="I18" s="34">
        <f t="shared" si="10"/>
        <v>1139</v>
      </c>
      <c r="J18" s="34">
        <f t="shared" si="10"/>
        <v>4189</v>
      </c>
      <c r="K18" s="34">
        <f t="shared" si="10"/>
        <v>7015</v>
      </c>
      <c r="L18" s="34">
        <f t="shared" si="10"/>
        <v>8951</v>
      </c>
      <c r="M18" s="34">
        <f t="shared" si="10"/>
        <v>4189</v>
      </c>
      <c r="N18" s="34">
        <f t="shared" si="10"/>
        <v>310</v>
      </c>
      <c r="O18" s="482">
        <f t="shared" ref="O18:O23" si="11">SUM(C18:N18)</f>
        <v>58291</v>
      </c>
      <c r="P18" s="119"/>
      <c r="W18" s="36"/>
    </row>
    <row r="19" spans="1:23" x14ac:dyDescent="0.35">
      <c r="B19" s="282">
        <f>'4070'!$B$1</f>
        <v>4070</v>
      </c>
      <c r="C19" s="34">
        <f t="shared" ref="C19:N19" si="12">C152+C163+C174+C185+C196+C207+C218</f>
        <v>2612</v>
      </c>
      <c r="D19" s="34">
        <f t="shared" si="12"/>
        <v>1092</v>
      </c>
      <c r="E19" s="34">
        <f t="shared" si="12"/>
        <v>5980</v>
      </c>
      <c r="F19" s="34">
        <f t="shared" si="12"/>
        <v>6099</v>
      </c>
      <c r="G19" s="34">
        <f t="shared" si="12"/>
        <v>1092</v>
      </c>
      <c r="H19" s="34">
        <f t="shared" si="12"/>
        <v>5980</v>
      </c>
      <c r="I19" s="34">
        <f t="shared" si="12"/>
        <v>2612</v>
      </c>
      <c r="J19" s="34">
        <f t="shared" si="12"/>
        <v>1092</v>
      </c>
      <c r="K19" s="34">
        <f t="shared" si="12"/>
        <v>5980</v>
      </c>
      <c r="L19" s="34">
        <f t="shared" si="12"/>
        <v>6099</v>
      </c>
      <c r="M19" s="34">
        <f t="shared" si="12"/>
        <v>1092</v>
      </c>
      <c r="N19" s="34">
        <f t="shared" si="12"/>
        <v>5980</v>
      </c>
      <c r="O19" s="482">
        <f t="shared" si="11"/>
        <v>45710</v>
      </c>
      <c r="P19" s="119"/>
    </row>
    <row r="20" spans="1:23" x14ac:dyDescent="0.35">
      <c r="B20" s="282">
        <f>'4080'!$B$1</f>
        <v>4080</v>
      </c>
      <c r="C20" s="34">
        <f t="shared" ref="C20:N20" si="13">C153+C164+C175+C186+C197+C208+C219</f>
        <v>4234</v>
      </c>
      <c r="D20" s="34">
        <f t="shared" si="13"/>
        <v>1842</v>
      </c>
      <c r="E20" s="34">
        <f t="shared" si="13"/>
        <v>11707</v>
      </c>
      <c r="F20" s="34">
        <f t="shared" si="13"/>
        <v>8976</v>
      </c>
      <c r="G20" s="34">
        <f t="shared" si="13"/>
        <v>1842</v>
      </c>
      <c r="H20" s="34">
        <f t="shared" si="13"/>
        <v>11707</v>
      </c>
      <c r="I20" s="34">
        <f t="shared" si="13"/>
        <v>4234</v>
      </c>
      <c r="J20" s="34">
        <f t="shared" si="13"/>
        <v>1842</v>
      </c>
      <c r="K20" s="34">
        <f t="shared" si="13"/>
        <v>11707</v>
      </c>
      <c r="L20" s="34">
        <f t="shared" si="13"/>
        <v>8976</v>
      </c>
      <c r="M20" s="34">
        <f t="shared" si="13"/>
        <v>1842</v>
      </c>
      <c r="N20" s="34">
        <f t="shared" si="13"/>
        <v>11707</v>
      </c>
      <c r="O20" s="482">
        <f t="shared" si="11"/>
        <v>80616</v>
      </c>
      <c r="P20" s="119"/>
    </row>
    <row r="21" spans="1:23" x14ac:dyDescent="0.35">
      <c r="B21" s="282" t="str">
        <f>'40A0'!$B$1</f>
        <v>40A0</v>
      </c>
      <c r="C21" s="34">
        <f t="shared" ref="C21:N21" si="14">C154+C165+C176+C187+C198+C209+C220</f>
        <v>105</v>
      </c>
      <c r="D21" s="34">
        <f t="shared" si="14"/>
        <v>930</v>
      </c>
      <c r="E21" s="34">
        <f t="shared" si="14"/>
        <v>105</v>
      </c>
      <c r="F21" s="34">
        <f t="shared" si="14"/>
        <v>264</v>
      </c>
      <c r="G21" s="34">
        <f t="shared" si="14"/>
        <v>930</v>
      </c>
      <c r="H21" s="34">
        <f t="shared" si="14"/>
        <v>105</v>
      </c>
      <c r="I21" s="34">
        <f t="shared" si="14"/>
        <v>105</v>
      </c>
      <c r="J21" s="34">
        <f t="shared" si="14"/>
        <v>930</v>
      </c>
      <c r="K21" s="34">
        <f t="shared" si="14"/>
        <v>105</v>
      </c>
      <c r="L21" s="34">
        <f t="shared" si="14"/>
        <v>264</v>
      </c>
      <c r="M21" s="34">
        <f t="shared" si="14"/>
        <v>930</v>
      </c>
      <c r="N21" s="34">
        <f t="shared" si="14"/>
        <v>105</v>
      </c>
      <c r="O21" s="482">
        <f t="shared" si="11"/>
        <v>4878</v>
      </c>
      <c r="P21" s="119"/>
    </row>
    <row r="22" spans="1:23" x14ac:dyDescent="0.35">
      <c r="B22" s="282" t="str">
        <f>'40B0'!$B$1</f>
        <v>40B0</v>
      </c>
      <c r="C22" s="34">
        <f t="shared" ref="C22:N22" si="15">C155+C166+C177+C188+C199+C210+C221</f>
        <v>0</v>
      </c>
      <c r="D22" s="34">
        <f t="shared" si="15"/>
        <v>450</v>
      </c>
      <c r="E22" s="34">
        <f t="shared" si="15"/>
        <v>0</v>
      </c>
      <c r="F22" s="34">
        <f t="shared" si="15"/>
        <v>175</v>
      </c>
      <c r="G22" s="34">
        <f t="shared" si="15"/>
        <v>450</v>
      </c>
      <c r="H22" s="34">
        <f t="shared" si="15"/>
        <v>0</v>
      </c>
      <c r="I22" s="34">
        <f t="shared" si="15"/>
        <v>0</v>
      </c>
      <c r="J22" s="34">
        <f t="shared" si="15"/>
        <v>450</v>
      </c>
      <c r="K22" s="34">
        <f t="shared" si="15"/>
        <v>0</v>
      </c>
      <c r="L22" s="34">
        <f t="shared" si="15"/>
        <v>175</v>
      </c>
      <c r="M22" s="34">
        <f t="shared" si="15"/>
        <v>450</v>
      </c>
      <c r="N22" s="34">
        <f t="shared" si="15"/>
        <v>0</v>
      </c>
      <c r="O22" s="482">
        <f t="shared" si="11"/>
        <v>2150</v>
      </c>
      <c r="P22" s="119"/>
    </row>
    <row r="23" spans="1:23" x14ac:dyDescent="0.35">
      <c r="B23" s="282" t="str">
        <f>'40C0'!$B$1</f>
        <v>40C0</v>
      </c>
      <c r="C23" s="43">
        <f t="shared" ref="C23:N23" si="16">C156+C167+C178+C189+C200+C211+C222</f>
        <v>0</v>
      </c>
      <c r="D23" s="43">
        <f t="shared" si="16"/>
        <v>0</v>
      </c>
      <c r="E23" s="43">
        <f t="shared" si="16"/>
        <v>0</v>
      </c>
      <c r="F23" s="43">
        <f t="shared" si="16"/>
        <v>30</v>
      </c>
      <c r="G23" s="43">
        <f t="shared" si="16"/>
        <v>0</v>
      </c>
      <c r="H23" s="43">
        <f t="shared" si="16"/>
        <v>0</v>
      </c>
      <c r="I23" s="43">
        <f t="shared" si="16"/>
        <v>0</v>
      </c>
      <c r="J23" s="43">
        <f t="shared" si="16"/>
        <v>0</v>
      </c>
      <c r="K23" s="43">
        <f t="shared" si="16"/>
        <v>0</v>
      </c>
      <c r="L23" s="43">
        <f t="shared" si="16"/>
        <v>30</v>
      </c>
      <c r="M23" s="43">
        <f t="shared" si="16"/>
        <v>0</v>
      </c>
      <c r="N23" s="43">
        <f t="shared" si="16"/>
        <v>0</v>
      </c>
      <c r="O23" s="483">
        <f t="shared" si="11"/>
        <v>60</v>
      </c>
      <c r="P23" s="478"/>
    </row>
    <row r="24" spans="1:23" x14ac:dyDescent="0.35">
      <c r="B24" s="133" t="s">
        <v>357</v>
      </c>
      <c r="C24" s="36">
        <f t="shared" ref="C24:O24" si="17">SUM(C17:C23)</f>
        <v>10827</v>
      </c>
      <c r="D24" s="36">
        <f t="shared" si="17"/>
        <v>9540</v>
      </c>
      <c r="E24" s="36">
        <f t="shared" si="17"/>
        <v>31478</v>
      </c>
      <c r="F24" s="36">
        <f t="shared" si="17"/>
        <v>28878</v>
      </c>
      <c r="G24" s="36">
        <f t="shared" si="17"/>
        <v>9540</v>
      </c>
      <c r="H24" s="36">
        <f t="shared" si="17"/>
        <v>31460</v>
      </c>
      <c r="I24" s="36">
        <f t="shared" si="17"/>
        <v>10827</v>
      </c>
      <c r="J24" s="36">
        <f t="shared" si="17"/>
        <v>9540</v>
      </c>
      <c r="K24" s="36">
        <f t="shared" si="17"/>
        <v>31460</v>
      </c>
      <c r="L24" s="36">
        <f t="shared" si="17"/>
        <v>28878</v>
      </c>
      <c r="M24" s="36">
        <f t="shared" si="17"/>
        <v>9540</v>
      </c>
      <c r="N24" s="36">
        <f t="shared" si="17"/>
        <v>24755</v>
      </c>
      <c r="O24" s="135">
        <f t="shared" si="17"/>
        <v>236723</v>
      </c>
      <c r="P24" s="125"/>
    </row>
    <row r="25" spans="1:23" ht="16.5" thickBot="1" x14ac:dyDescent="0.4">
      <c r="A25" s="479"/>
      <c r="B25" s="479"/>
      <c r="C25" s="479"/>
      <c r="D25" s="479"/>
      <c r="E25" s="479"/>
      <c r="F25" s="479"/>
      <c r="G25" s="480"/>
      <c r="H25" s="479"/>
      <c r="I25" s="479"/>
      <c r="J25" s="479"/>
      <c r="K25" s="479"/>
      <c r="L25" s="479"/>
      <c r="M25" s="479"/>
      <c r="N25" s="479"/>
      <c r="O25" s="484"/>
    </row>
    <row r="26" spans="1:23" x14ac:dyDescent="0.35">
      <c r="G26" s="488"/>
    </row>
    <row r="27" spans="1:23" ht="17.5" x14ac:dyDescent="0.35">
      <c r="A27" s="37" t="s">
        <v>540</v>
      </c>
      <c r="B27" s="37" t="s">
        <v>541</v>
      </c>
      <c r="M27" s="126"/>
      <c r="N27" s="126"/>
    </row>
    <row r="28" spans="1:23" x14ac:dyDescent="0.35">
      <c r="C28" s="123" t="s">
        <v>0</v>
      </c>
      <c r="D28" s="123" t="s">
        <v>1</v>
      </c>
      <c r="E28" s="123" t="s">
        <v>2</v>
      </c>
      <c r="F28" s="123" t="s">
        <v>3</v>
      </c>
      <c r="G28" s="123" t="s">
        <v>4</v>
      </c>
      <c r="H28" s="123" t="s">
        <v>5</v>
      </c>
      <c r="I28" s="123" t="s">
        <v>6</v>
      </c>
      <c r="J28" s="123" t="s">
        <v>7</v>
      </c>
      <c r="K28" s="123" t="s">
        <v>8</v>
      </c>
      <c r="L28" s="123" t="s">
        <v>9</v>
      </c>
      <c r="M28" s="123" t="s">
        <v>10</v>
      </c>
      <c r="N28" s="123" t="s">
        <v>11</v>
      </c>
      <c r="O28" s="481" t="s">
        <v>12</v>
      </c>
      <c r="P28" s="41"/>
    </row>
    <row r="29" spans="1:23" x14ac:dyDescent="0.35">
      <c r="B29" s="282">
        <f>'4050'!$B$1</f>
        <v>4050</v>
      </c>
      <c r="C29" s="40">
        <v>375</v>
      </c>
      <c r="D29" s="40">
        <v>0</v>
      </c>
      <c r="E29" s="40">
        <v>0</v>
      </c>
      <c r="F29" s="40">
        <v>375</v>
      </c>
      <c r="G29" s="40">
        <v>0</v>
      </c>
      <c r="H29" s="40">
        <v>0</v>
      </c>
      <c r="I29" s="40">
        <v>625</v>
      </c>
      <c r="J29" s="40">
        <v>0</v>
      </c>
      <c r="K29" s="40">
        <v>0</v>
      </c>
      <c r="L29" s="40">
        <v>375</v>
      </c>
      <c r="M29" s="40">
        <v>0</v>
      </c>
      <c r="N29" s="40">
        <v>0</v>
      </c>
      <c r="O29" s="482">
        <f>SUM(C29:N29)</f>
        <v>1750</v>
      </c>
      <c r="P29" s="119"/>
    </row>
    <row r="30" spans="1:23" x14ac:dyDescent="0.35">
      <c r="B30" s="282">
        <f>'4060'!$B$1</f>
        <v>4060</v>
      </c>
      <c r="C30" s="40">
        <v>375</v>
      </c>
      <c r="D30" s="40">
        <v>0</v>
      </c>
      <c r="E30" s="40">
        <v>0</v>
      </c>
      <c r="F30" s="40">
        <v>375</v>
      </c>
      <c r="G30" s="40">
        <v>0</v>
      </c>
      <c r="H30" s="40">
        <v>0</v>
      </c>
      <c r="I30" s="40">
        <v>625</v>
      </c>
      <c r="J30" s="40">
        <v>0</v>
      </c>
      <c r="K30" s="40">
        <v>0</v>
      </c>
      <c r="L30" s="40">
        <v>375</v>
      </c>
      <c r="M30" s="40">
        <v>0</v>
      </c>
      <c r="N30" s="40">
        <v>0</v>
      </c>
      <c r="O30" s="482">
        <f t="shared" ref="O30:O35" si="18">SUM(C30:N30)</f>
        <v>1750</v>
      </c>
      <c r="P30" s="119"/>
    </row>
    <row r="31" spans="1:23" x14ac:dyDescent="0.35">
      <c r="B31" s="282">
        <f>'4070'!$B$1</f>
        <v>4070</v>
      </c>
      <c r="C31" s="40">
        <v>375</v>
      </c>
      <c r="D31" s="40">
        <v>0</v>
      </c>
      <c r="E31" s="40">
        <v>0</v>
      </c>
      <c r="F31" s="40">
        <v>375</v>
      </c>
      <c r="G31" s="40">
        <v>0</v>
      </c>
      <c r="H31" s="40">
        <v>0</v>
      </c>
      <c r="I31" s="40">
        <v>625</v>
      </c>
      <c r="J31" s="40">
        <v>0</v>
      </c>
      <c r="K31" s="40">
        <v>0</v>
      </c>
      <c r="L31" s="40">
        <v>375</v>
      </c>
      <c r="M31" s="40">
        <v>0</v>
      </c>
      <c r="N31" s="40">
        <v>0</v>
      </c>
      <c r="O31" s="482">
        <f t="shared" si="18"/>
        <v>1750</v>
      </c>
      <c r="P31" s="119"/>
    </row>
    <row r="32" spans="1:23" x14ac:dyDescent="0.35">
      <c r="B32" s="282">
        <f>'4080'!$B$1</f>
        <v>4080</v>
      </c>
      <c r="C32" s="40">
        <v>470</v>
      </c>
      <c r="D32" s="40">
        <v>0</v>
      </c>
      <c r="E32" s="40">
        <v>0</v>
      </c>
      <c r="F32" s="40">
        <v>470</v>
      </c>
      <c r="G32" s="40">
        <v>0</v>
      </c>
      <c r="H32" s="40">
        <v>0</v>
      </c>
      <c r="I32" s="40">
        <v>625</v>
      </c>
      <c r="J32" s="40">
        <v>0</v>
      </c>
      <c r="K32" s="40">
        <v>0</v>
      </c>
      <c r="L32" s="40">
        <v>470</v>
      </c>
      <c r="M32" s="40">
        <v>0</v>
      </c>
      <c r="N32" s="40">
        <v>0</v>
      </c>
      <c r="O32" s="482">
        <f t="shared" si="18"/>
        <v>2035</v>
      </c>
      <c r="P32" s="119"/>
    </row>
    <row r="33" spans="1:16" x14ac:dyDescent="0.35">
      <c r="B33" s="282" t="str">
        <f>'40A0'!$B$1</f>
        <v>40A0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82">
        <f t="shared" si="18"/>
        <v>0</v>
      </c>
      <c r="P33" s="119"/>
    </row>
    <row r="34" spans="1:16" x14ac:dyDescent="0.35">
      <c r="B34" s="282" t="str">
        <f>'40B0'!$B$1</f>
        <v>40B0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82">
        <f t="shared" si="18"/>
        <v>0</v>
      </c>
      <c r="P34" s="119"/>
    </row>
    <row r="35" spans="1:16" x14ac:dyDescent="0.35">
      <c r="B35" s="282" t="str">
        <f>'40C0'!$B$1</f>
        <v>40C0</v>
      </c>
      <c r="C35" s="42">
        <v>225</v>
      </c>
      <c r="D35" s="42">
        <v>0</v>
      </c>
      <c r="E35" s="42">
        <v>0</v>
      </c>
      <c r="F35" s="42">
        <v>225</v>
      </c>
      <c r="G35" s="42">
        <v>0</v>
      </c>
      <c r="H35" s="42">
        <v>0</v>
      </c>
      <c r="I35" s="42">
        <v>275</v>
      </c>
      <c r="J35" s="42">
        <v>0</v>
      </c>
      <c r="K35" s="42">
        <v>0</v>
      </c>
      <c r="L35" s="42">
        <v>225</v>
      </c>
      <c r="M35" s="42">
        <v>0</v>
      </c>
      <c r="N35" s="42">
        <v>0</v>
      </c>
      <c r="O35" s="483">
        <f t="shared" si="18"/>
        <v>950</v>
      </c>
      <c r="P35" s="119"/>
    </row>
    <row r="36" spans="1:16" x14ac:dyDescent="0.35">
      <c r="B36" s="133" t="s">
        <v>357</v>
      </c>
      <c r="C36" s="36">
        <f t="shared" ref="C36:O36" si="19">SUM(C29:C35)</f>
        <v>1820</v>
      </c>
      <c r="D36" s="36">
        <f t="shared" si="19"/>
        <v>0</v>
      </c>
      <c r="E36" s="36">
        <f t="shared" si="19"/>
        <v>0</v>
      </c>
      <c r="F36" s="36">
        <f t="shared" si="19"/>
        <v>1820</v>
      </c>
      <c r="G36" s="36">
        <f t="shared" si="19"/>
        <v>0</v>
      </c>
      <c r="H36" s="36">
        <f t="shared" si="19"/>
        <v>0</v>
      </c>
      <c r="I36" s="36">
        <f t="shared" si="19"/>
        <v>2775</v>
      </c>
      <c r="J36" s="36">
        <f t="shared" si="19"/>
        <v>0</v>
      </c>
      <c r="K36" s="36">
        <f t="shared" si="19"/>
        <v>0</v>
      </c>
      <c r="L36" s="36">
        <f t="shared" si="19"/>
        <v>1820</v>
      </c>
      <c r="M36" s="36">
        <f t="shared" si="19"/>
        <v>0</v>
      </c>
      <c r="N36" s="36">
        <f t="shared" si="19"/>
        <v>0</v>
      </c>
      <c r="O36" s="36">
        <f t="shared" si="19"/>
        <v>8235</v>
      </c>
      <c r="P36" s="125"/>
    </row>
    <row r="38" spans="1:16" ht="17.5" x14ac:dyDescent="0.35">
      <c r="A38" s="37" t="s">
        <v>540</v>
      </c>
      <c r="B38" s="37" t="s">
        <v>542</v>
      </c>
      <c r="C38" s="41"/>
      <c r="N38" s="126"/>
    </row>
    <row r="39" spans="1:16" x14ac:dyDescent="0.35">
      <c r="C39" s="123" t="s">
        <v>0</v>
      </c>
      <c r="D39" s="123" t="s">
        <v>1</v>
      </c>
      <c r="E39" s="123" t="s">
        <v>2</v>
      </c>
      <c r="F39" s="123" t="s">
        <v>3</v>
      </c>
      <c r="G39" s="123" t="s">
        <v>4</v>
      </c>
      <c r="H39" s="123" t="s">
        <v>5</v>
      </c>
      <c r="I39" s="123" t="s">
        <v>6</v>
      </c>
      <c r="J39" s="123" t="s">
        <v>7</v>
      </c>
      <c r="K39" s="123" t="s">
        <v>8</v>
      </c>
      <c r="L39" s="123" t="s">
        <v>9</v>
      </c>
      <c r="M39" s="123" t="s">
        <v>10</v>
      </c>
      <c r="N39" s="123" t="s">
        <v>11</v>
      </c>
      <c r="O39" s="481" t="s">
        <v>12</v>
      </c>
      <c r="P39" s="41"/>
    </row>
    <row r="40" spans="1:16" x14ac:dyDescent="0.35">
      <c r="B40" s="282">
        <f>'4050'!$B$1</f>
        <v>4050</v>
      </c>
      <c r="C40" s="40">
        <v>0</v>
      </c>
      <c r="D40" s="40">
        <v>0</v>
      </c>
      <c r="E40" s="40">
        <v>0</v>
      </c>
      <c r="F40" s="40">
        <v>0</v>
      </c>
      <c r="G40" s="40">
        <v>1365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82">
        <f>SUM(C40:N40)</f>
        <v>1365</v>
      </c>
      <c r="P40" s="119"/>
    </row>
    <row r="41" spans="1:16" x14ac:dyDescent="0.35">
      <c r="B41" s="282">
        <f>'4060'!$B$1</f>
        <v>4060</v>
      </c>
      <c r="C41" s="40">
        <v>0</v>
      </c>
      <c r="D41" s="40">
        <v>0</v>
      </c>
      <c r="E41" s="40">
        <v>0</v>
      </c>
      <c r="F41" s="40">
        <v>0</v>
      </c>
      <c r="G41" s="40">
        <v>2415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82">
        <f t="shared" ref="O41:O46" si="20">SUM(C41:N41)</f>
        <v>2415</v>
      </c>
      <c r="P41" s="119"/>
    </row>
    <row r="42" spans="1:16" x14ac:dyDescent="0.35">
      <c r="B42" s="282">
        <f>'4070'!$B$1</f>
        <v>4070</v>
      </c>
      <c r="C42" s="40">
        <v>0</v>
      </c>
      <c r="D42" s="40">
        <v>0</v>
      </c>
      <c r="E42" s="40">
        <v>0</v>
      </c>
      <c r="F42" s="40">
        <v>0</v>
      </c>
      <c r="G42" s="40">
        <v>1470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82">
        <f t="shared" si="20"/>
        <v>1470</v>
      </c>
      <c r="P42" s="119"/>
    </row>
    <row r="43" spans="1:16" x14ac:dyDescent="0.35">
      <c r="B43" s="282">
        <f>'4080'!$B$1</f>
        <v>4080</v>
      </c>
      <c r="C43" s="40">
        <v>0</v>
      </c>
      <c r="D43" s="40">
        <v>0</v>
      </c>
      <c r="E43" s="40">
        <v>0</v>
      </c>
      <c r="F43" s="40">
        <v>0</v>
      </c>
      <c r="G43" s="40">
        <v>2993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82">
        <f t="shared" si="20"/>
        <v>2993</v>
      </c>
      <c r="P43" s="119"/>
    </row>
    <row r="44" spans="1:16" x14ac:dyDescent="0.35">
      <c r="B44" s="282" t="str">
        <f>'40A0'!$B$1</f>
        <v>40A0</v>
      </c>
      <c r="C44" s="40">
        <v>0</v>
      </c>
      <c r="D44" s="40">
        <v>0</v>
      </c>
      <c r="E44" s="40">
        <v>0</v>
      </c>
      <c r="F44" s="40">
        <v>0</v>
      </c>
      <c r="G44" s="40">
        <v>472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360</v>
      </c>
      <c r="N44" s="40">
        <v>0</v>
      </c>
      <c r="O44" s="482">
        <f t="shared" si="20"/>
        <v>832</v>
      </c>
      <c r="P44" s="119"/>
    </row>
    <row r="45" spans="1:16" x14ac:dyDescent="0.35">
      <c r="B45" s="282" t="str">
        <f>'40B0'!$B$1</f>
        <v>40B0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82">
        <f t="shared" si="20"/>
        <v>0</v>
      </c>
      <c r="P45" s="119"/>
    </row>
    <row r="46" spans="1:16" x14ac:dyDescent="0.35">
      <c r="B46" s="282" t="str">
        <f>'40C0'!$B$1</f>
        <v>40C0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83">
        <f t="shared" si="20"/>
        <v>0</v>
      </c>
      <c r="P46" s="478"/>
    </row>
    <row r="47" spans="1:16" x14ac:dyDescent="0.35">
      <c r="B47" s="133" t="s">
        <v>357</v>
      </c>
      <c r="C47" s="36">
        <f t="shared" ref="C47:O47" si="21">SUM(C40:C46)</f>
        <v>0</v>
      </c>
      <c r="D47" s="135">
        <f t="shared" si="21"/>
        <v>0</v>
      </c>
      <c r="E47" s="135">
        <f t="shared" si="21"/>
        <v>0</v>
      </c>
      <c r="F47" s="135">
        <f t="shared" si="21"/>
        <v>0</v>
      </c>
      <c r="G47" s="135">
        <f t="shared" si="21"/>
        <v>8715</v>
      </c>
      <c r="H47" s="135">
        <f t="shared" si="21"/>
        <v>0</v>
      </c>
      <c r="I47" s="135">
        <f t="shared" si="21"/>
        <v>0</v>
      </c>
      <c r="J47" s="135">
        <f t="shared" si="21"/>
        <v>0</v>
      </c>
      <c r="K47" s="135">
        <f t="shared" si="21"/>
        <v>0</v>
      </c>
      <c r="L47" s="135">
        <f t="shared" si="21"/>
        <v>0</v>
      </c>
      <c r="M47" s="135">
        <f t="shared" si="21"/>
        <v>360</v>
      </c>
      <c r="N47" s="135">
        <f t="shared" si="21"/>
        <v>0</v>
      </c>
      <c r="O47" s="135">
        <f t="shared" si="21"/>
        <v>9075</v>
      </c>
      <c r="P47" s="125"/>
    </row>
    <row r="49" spans="1:23" ht="17.5" x14ac:dyDescent="0.35">
      <c r="A49" s="37" t="s">
        <v>540</v>
      </c>
      <c r="B49" s="37" t="s">
        <v>543</v>
      </c>
      <c r="C49" s="318"/>
      <c r="M49" s="126"/>
      <c r="N49" s="126"/>
    </row>
    <row r="50" spans="1:23" x14ac:dyDescent="0.35">
      <c r="C50" s="123" t="s">
        <v>0</v>
      </c>
      <c r="D50" s="123" t="s">
        <v>1</v>
      </c>
      <c r="E50" s="123" t="s">
        <v>2</v>
      </c>
      <c r="F50" s="123" t="s">
        <v>3</v>
      </c>
      <c r="G50" s="123" t="s">
        <v>4</v>
      </c>
      <c r="H50" s="123" t="s">
        <v>5</v>
      </c>
      <c r="I50" s="123" t="s">
        <v>6</v>
      </c>
      <c r="J50" s="123" t="s">
        <v>7</v>
      </c>
      <c r="K50" s="123" t="s">
        <v>8</v>
      </c>
      <c r="L50" s="123" t="s">
        <v>9</v>
      </c>
      <c r="M50" s="123" t="s">
        <v>10</v>
      </c>
      <c r="N50" s="123" t="s">
        <v>11</v>
      </c>
      <c r="O50" s="481" t="s">
        <v>12</v>
      </c>
      <c r="P50" s="41"/>
    </row>
    <row r="51" spans="1:23" x14ac:dyDescent="0.35">
      <c r="B51" s="282">
        <f>'4050'!$B$1</f>
        <v>4050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375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82">
        <f>SUM(C51:N51)</f>
        <v>375</v>
      </c>
      <c r="P51" s="478"/>
    </row>
    <row r="52" spans="1:23" x14ac:dyDescent="0.35">
      <c r="B52" s="282">
        <f>'4060'!$B$1</f>
        <v>4060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525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82">
        <f t="shared" ref="O52:O57" si="22">SUM(C52:N52)</f>
        <v>525</v>
      </c>
      <c r="P52" s="478"/>
    </row>
    <row r="53" spans="1:23" x14ac:dyDescent="0.35">
      <c r="B53" s="282">
        <f>'4070'!$B$1</f>
        <v>4070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350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82">
        <f t="shared" si="22"/>
        <v>350</v>
      </c>
      <c r="P53" s="478"/>
    </row>
    <row r="54" spans="1:23" x14ac:dyDescent="0.35">
      <c r="B54" s="282">
        <f>'4080'!$B$1</f>
        <v>4080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325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82">
        <f t="shared" si="22"/>
        <v>325</v>
      </c>
      <c r="P54" s="478"/>
    </row>
    <row r="55" spans="1:23" x14ac:dyDescent="0.35">
      <c r="B55" s="282" t="str">
        <f>'40A0'!$B$1</f>
        <v>40A0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200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82">
        <f t="shared" si="22"/>
        <v>200</v>
      </c>
      <c r="P55" s="478"/>
    </row>
    <row r="56" spans="1:23" x14ac:dyDescent="0.35">
      <c r="B56" s="282" t="str">
        <f>'40B0'!$B$1</f>
        <v>40B0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225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82">
        <f t="shared" si="22"/>
        <v>225</v>
      </c>
      <c r="P56" s="478"/>
    </row>
    <row r="57" spans="1:23" x14ac:dyDescent="0.35">
      <c r="B57" s="282" t="str">
        <f>'40C0'!$B$1</f>
        <v>40C0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225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83">
        <f t="shared" si="22"/>
        <v>225</v>
      </c>
      <c r="P57" s="478"/>
    </row>
    <row r="58" spans="1:23" x14ac:dyDescent="0.35">
      <c r="B58" s="133" t="s">
        <v>357</v>
      </c>
      <c r="C58" s="36">
        <f t="shared" ref="C58:N58" si="23">SUM(C51:C57)</f>
        <v>0</v>
      </c>
      <c r="D58" s="36">
        <f t="shared" si="23"/>
        <v>0</v>
      </c>
      <c r="E58" s="36">
        <f t="shared" si="23"/>
        <v>0</v>
      </c>
      <c r="F58" s="36">
        <f t="shared" si="23"/>
        <v>0</v>
      </c>
      <c r="G58" s="36">
        <f t="shared" si="23"/>
        <v>0</v>
      </c>
      <c r="H58" s="36">
        <f t="shared" si="23"/>
        <v>2225</v>
      </c>
      <c r="I58" s="36">
        <f t="shared" si="23"/>
        <v>0</v>
      </c>
      <c r="J58" s="36">
        <f t="shared" si="23"/>
        <v>0</v>
      </c>
      <c r="K58" s="36">
        <f t="shared" si="23"/>
        <v>0</v>
      </c>
      <c r="L58" s="36">
        <f t="shared" si="23"/>
        <v>0</v>
      </c>
      <c r="M58" s="36">
        <f t="shared" si="23"/>
        <v>0</v>
      </c>
      <c r="N58" s="36">
        <f t="shared" si="23"/>
        <v>0</v>
      </c>
      <c r="O58" s="135">
        <f t="shared" ref="O58" si="24">SUM(O51:O57)</f>
        <v>2225</v>
      </c>
      <c r="P58" s="125"/>
    </row>
    <row r="60" spans="1:23" ht="17.5" x14ac:dyDescent="0.35">
      <c r="A60" s="37" t="s">
        <v>540</v>
      </c>
      <c r="B60" s="37" t="s">
        <v>544</v>
      </c>
      <c r="M60" s="126"/>
      <c r="N60" s="126"/>
    </row>
    <row r="61" spans="1:23" x14ac:dyDescent="0.35">
      <c r="C61" s="123" t="s">
        <v>0</v>
      </c>
      <c r="D61" s="123" t="s">
        <v>1</v>
      </c>
      <c r="E61" s="123" t="s">
        <v>2</v>
      </c>
      <c r="F61" s="123" t="s">
        <v>3</v>
      </c>
      <c r="G61" s="123" t="s">
        <v>4</v>
      </c>
      <c r="H61" s="123" t="s">
        <v>5</v>
      </c>
      <c r="I61" s="123" t="s">
        <v>6</v>
      </c>
      <c r="J61" s="123" t="s">
        <v>7</v>
      </c>
      <c r="K61" s="123" t="s">
        <v>8</v>
      </c>
      <c r="L61" s="123" t="s">
        <v>9</v>
      </c>
      <c r="M61" s="123" t="s">
        <v>10</v>
      </c>
      <c r="N61" s="123" t="s">
        <v>11</v>
      </c>
      <c r="O61" s="481" t="s">
        <v>12</v>
      </c>
      <c r="P61" s="41"/>
    </row>
    <row r="62" spans="1:23" x14ac:dyDescent="0.35">
      <c r="B62" s="282">
        <f>'4050'!$B$1</f>
        <v>4050</v>
      </c>
      <c r="C62" s="40">
        <v>625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82">
        <f>SUM(C62:N62)</f>
        <v>625</v>
      </c>
      <c r="P62" s="478"/>
    </row>
    <row r="63" spans="1:23" x14ac:dyDescent="0.35">
      <c r="B63" s="282">
        <f>'4060'!$B$1</f>
        <v>4060</v>
      </c>
      <c r="C63" s="40">
        <v>880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82">
        <f t="shared" ref="O63:O68" si="25">SUM(C63:N63)</f>
        <v>880</v>
      </c>
      <c r="P63" s="478"/>
    </row>
    <row r="64" spans="1:23" x14ac:dyDescent="0.35">
      <c r="B64" s="282">
        <f>'4070'!$B$1</f>
        <v>4070</v>
      </c>
      <c r="C64" s="40">
        <v>800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82">
        <f t="shared" si="25"/>
        <v>800</v>
      </c>
      <c r="P64" s="478"/>
      <c r="W64" s="36"/>
    </row>
    <row r="65" spans="1:16" x14ac:dyDescent="0.35">
      <c r="B65" s="282">
        <f>'4080'!$B$1</f>
        <v>4080</v>
      </c>
      <c r="C65" s="40">
        <v>1100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82">
        <f t="shared" si="25"/>
        <v>1100</v>
      </c>
      <c r="P65" s="478"/>
    </row>
    <row r="66" spans="1:16" x14ac:dyDescent="0.35">
      <c r="B66" s="282" t="str">
        <f>'40A0'!$B$1</f>
        <v>40A0</v>
      </c>
      <c r="C66" s="40">
        <v>325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82">
        <f t="shared" si="25"/>
        <v>325</v>
      </c>
      <c r="P66" s="478"/>
    </row>
    <row r="67" spans="1:16" x14ac:dyDescent="0.35">
      <c r="B67" s="282" t="str">
        <f>'40B0'!$B$1</f>
        <v>40B0</v>
      </c>
      <c r="C67" s="40">
        <v>200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82">
        <f t="shared" si="25"/>
        <v>200</v>
      </c>
      <c r="P67" s="478"/>
    </row>
    <row r="68" spans="1:16" x14ac:dyDescent="0.35">
      <c r="B68" s="282" t="str">
        <f>'40C0'!$B$1</f>
        <v>40C0</v>
      </c>
      <c r="C68" s="42">
        <v>100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83">
        <f t="shared" si="25"/>
        <v>100</v>
      </c>
      <c r="P68" s="478"/>
    </row>
    <row r="69" spans="1:16" x14ac:dyDescent="0.35">
      <c r="B69" s="133" t="s">
        <v>357</v>
      </c>
      <c r="C69" s="36">
        <f t="shared" ref="C69:O69" si="26">SUM(C62:C68)</f>
        <v>4030</v>
      </c>
      <c r="D69" s="135">
        <f t="shared" si="26"/>
        <v>0</v>
      </c>
      <c r="E69" s="135">
        <f t="shared" si="26"/>
        <v>0</v>
      </c>
      <c r="F69" s="135">
        <f t="shared" si="26"/>
        <v>0</v>
      </c>
      <c r="G69" s="135">
        <f t="shared" si="26"/>
        <v>0</v>
      </c>
      <c r="H69" s="135">
        <f t="shared" si="26"/>
        <v>0</v>
      </c>
      <c r="I69" s="135">
        <f t="shared" si="26"/>
        <v>0</v>
      </c>
      <c r="J69" s="135">
        <f t="shared" si="26"/>
        <v>0</v>
      </c>
      <c r="K69" s="135">
        <f t="shared" si="26"/>
        <v>0</v>
      </c>
      <c r="L69" s="135">
        <f t="shared" si="26"/>
        <v>0</v>
      </c>
      <c r="M69" s="135">
        <f t="shared" si="26"/>
        <v>0</v>
      </c>
      <c r="N69" s="135">
        <f t="shared" si="26"/>
        <v>0</v>
      </c>
      <c r="O69" s="135">
        <f t="shared" si="26"/>
        <v>4030</v>
      </c>
      <c r="P69" s="125"/>
    </row>
    <row r="71" spans="1:16" ht="17.5" x14ac:dyDescent="0.35">
      <c r="A71" s="37" t="s">
        <v>540</v>
      </c>
      <c r="B71" s="37" t="s">
        <v>545</v>
      </c>
      <c r="M71" s="126"/>
      <c r="N71" s="126"/>
    </row>
    <row r="72" spans="1:16" x14ac:dyDescent="0.35">
      <c r="C72" s="123" t="s">
        <v>0</v>
      </c>
      <c r="D72" s="123" t="s">
        <v>1</v>
      </c>
      <c r="E72" s="123" t="s">
        <v>2</v>
      </c>
      <c r="F72" s="123" t="s">
        <v>3</v>
      </c>
      <c r="G72" s="123" t="s">
        <v>4</v>
      </c>
      <c r="H72" s="123" t="s">
        <v>5</v>
      </c>
      <c r="I72" s="123" t="s">
        <v>6</v>
      </c>
      <c r="J72" s="123" t="s">
        <v>7</v>
      </c>
      <c r="K72" s="123" t="s">
        <v>8</v>
      </c>
      <c r="L72" s="123" t="s">
        <v>9</v>
      </c>
      <c r="M72" s="123" t="s">
        <v>10</v>
      </c>
      <c r="N72" s="123" t="s">
        <v>11</v>
      </c>
      <c r="O72" s="481" t="s">
        <v>12</v>
      </c>
      <c r="P72" s="41"/>
    </row>
    <row r="73" spans="1:16" x14ac:dyDescent="0.35">
      <c r="B73" s="282">
        <f>'4050'!$B$1</f>
        <v>4050</v>
      </c>
      <c r="C73" s="40">
        <v>0</v>
      </c>
      <c r="D73" s="40">
        <v>0</v>
      </c>
      <c r="E73" s="40">
        <v>200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200</v>
      </c>
      <c r="L73" s="40">
        <v>0</v>
      </c>
      <c r="M73" s="40">
        <v>0</v>
      </c>
      <c r="N73" s="40">
        <v>0</v>
      </c>
      <c r="O73" s="482">
        <f>SUM(C73:N73)</f>
        <v>400</v>
      </c>
      <c r="P73" s="478"/>
    </row>
    <row r="74" spans="1:16" x14ac:dyDescent="0.35">
      <c r="B74" s="282">
        <f>'4060'!$B$1</f>
        <v>4060</v>
      </c>
      <c r="C74" s="40">
        <v>0</v>
      </c>
      <c r="D74" s="40">
        <v>0</v>
      </c>
      <c r="E74" s="40">
        <v>200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200</v>
      </c>
      <c r="L74" s="40">
        <v>0</v>
      </c>
      <c r="M74" s="40">
        <v>0</v>
      </c>
      <c r="N74" s="40">
        <v>0</v>
      </c>
      <c r="O74" s="482">
        <f t="shared" ref="O74:O79" si="27">SUM(C74:N74)</f>
        <v>400</v>
      </c>
      <c r="P74" s="478"/>
    </row>
    <row r="75" spans="1:16" x14ac:dyDescent="0.35">
      <c r="B75" s="282">
        <f>'4070'!$B$1</f>
        <v>4070</v>
      </c>
      <c r="C75" s="40">
        <v>0</v>
      </c>
      <c r="D75" s="40">
        <v>0</v>
      </c>
      <c r="E75" s="40">
        <v>200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200</v>
      </c>
      <c r="L75" s="40">
        <v>0</v>
      </c>
      <c r="M75" s="40">
        <v>0</v>
      </c>
      <c r="N75" s="40">
        <v>0</v>
      </c>
      <c r="O75" s="482">
        <f t="shared" si="27"/>
        <v>400</v>
      </c>
      <c r="P75" s="478"/>
    </row>
    <row r="76" spans="1:16" x14ac:dyDescent="0.35">
      <c r="B76" s="282">
        <f>'4080'!$B$1</f>
        <v>4080</v>
      </c>
      <c r="C76" s="40">
        <v>0</v>
      </c>
      <c r="D76" s="40">
        <v>0</v>
      </c>
      <c r="E76" s="40">
        <v>275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275</v>
      </c>
      <c r="L76" s="40">
        <v>0</v>
      </c>
      <c r="M76" s="40">
        <v>0</v>
      </c>
      <c r="N76" s="40">
        <v>0</v>
      </c>
      <c r="O76" s="482">
        <f t="shared" si="27"/>
        <v>550</v>
      </c>
      <c r="P76" s="478"/>
    </row>
    <row r="77" spans="1:16" x14ac:dyDescent="0.35">
      <c r="B77" s="282" t="str">
        <f>'40A0'!$B$1</f>
        <v>40A0</v>
      </c>
      <c r="C77" s="40">
        <v>0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82">
        <f t="shared" si="27"/>
        <v>0</v>
      </c>
      <c r="P77" s="478"/>
    </row>
    <row r="78" spans="1:16" x14ac:dyDescent="0.35">
      <c r="B78" s="282" t="str">
        <f>'40B0'!$B$1</f>
        <v>40B0</v>
      </c>
      <c r="C78" s="40">
        <v>0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82">
        <f t="shared" si="27"/>
        <v>0</v>
      </c>
      <c r="P78" s="478"/>
    </row>
    <row r="79" spans="1:16" x14ac:dyDescent="0.35">
      <c r="B79" s="282" t="str">
        <f>'40C0'!$B$1</f>
        <v>40C0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42">
        <v>0</v>
      </c>
      <c r="O79" s="483">
        <f t="shared" si="27"/>
        <v>0</v>
      </c>
      <c r="P79" s="478"/>
    </row>
    <row r="80" spans="1:16" x14ac:dyDescent="0.35">
      <c r="B80" s="133" t="s">
        <v>357</v>
      </c>
      <c r="C80" s="36">
        <f t="shared" ref="C80:O80" si="28">SUM(C73:C79)</f>
        <v>0</v>
      </c>
      <c r="D80" s="135">
        <f t="shared" si="28"/>
        <v>0</v>
      </c>
      <c r="E80" s="135">
        <f t="shared" si="28"/>
        <v>875</v>
      </c>
      <c r="F80" s="135">
        <f t="shared" si="28"/>
        <v>0</v>
      </c>
      <c r="G80" s="135">
        <f t="shared" si="28"/>
        <v>0</v>
      </c>
      <c r="H80" s="135">
        <f t="shared" si="28"/>
        <v>0</v>
      </c>
      <c r="I80" s="135">
        <f t="shared" si="28"/>
        <v>0</v>
      </c>
      <c r="J80" s="135">
        <f t="shared" si="28"/>
        <v>0</v>
      </c>
      <c r="K80" s="135">
        <f t="shared" si="28"/>
        <v>875</v>
      </c>
      <c r="L80" s="135">
        <f t="shared" si="28"/>
        <v>0</v>
      </c>
      <c r="M80" s="135">
        <f t="shared" si="28"/>
        <v>0</v>
      </c>
      <c r="N80" s="135">
        <f t="shared" si="28"/>
        <v>0</v>
      </c>
      <c r="O80" s="135">
        <f t="shared" si="28"/>
        <v>1750</v>
      </c>
      <c r="P80" s="125"/>
    </row>
    <row r="82" spans="1:16" ht="17.5" x14ac:dyDescent="0.35">
      <c r="A82" s="37" t="s">
        <v>540</v>
      </c>
      <c r="B82" s="37" t="s">
        <v>546</v>
      </c>
      <c r="M82" s="126"/>
      <c r="N82" s="126"/>
    </row>
    <row r="83" spans="1:16" x14ac:dyDescent="0.35">
      <c r="C83" s="123" t="s">
        <v>0</v>
      </c>
      <c r="D83" s="123" t="s">
        <v>1</v>
      </c>
      <c r="E83" s="123" t="s">
        <v>2</v>
      </c>
      <c r="F83" s="123" t="s">
        <v>3</v>
      </c>
      <c r="G83" s="123" t="s">
        <v>4</v>
      </c>
      <c r="H83" s="123" t="s">
        <v>5</v>
      </c>
      <c r="I83" s="123" t="s">
        <v>6</v>
      </c>
      <c r="J83" s="123" t="s">
        <v>7</v>
      </c>
      <c r="K83" s="123" t="s">
        <v>8</v>
      </c>
      <c r="L83" s="123" t="s">
        <v>9</v>
      </c>
      <c r="M83" s="123" t="s">
        <v>10</v>
      </c>
      <c r="N83" s="123" t="s">
        <v>11</v>
      </c>
      <c r="O83" s="481" t="s">
        <v>12</v>
      </c>
      <c r="P83" s="41"/>
    </row>
    <row r="84" spans="1:16" x14ac:dyDescent="0.35">
      <c r="B84" s="282">
        <f>'4050'!$B$1</f>
        <v>4050</v>
      </c>
      <c r="C84" s="40">
        <v>125</v>
      </c>
      <c r="D84" s="40">
        <v>125</v>
      </c>
      <c r="E84" s="40">
        <v>125</v>
      </c>
      <c r="F84" s="40">
        <v>125</v>
      </c>
      <c r="G84" s="40">
        <v>125</v>
      </c>
      <c r="H84" s="40">
        <v>125</v>
      </c>
      <c r="I84" s="40">
        <v>125</v>
      </c>
      <c r="J84" s="40">
        <v>125</v>
      </c>
      <c r="K84" s="40">
        <v>125</v>
      </c>
      <c r="L84" s="40">
        <v>125</v>
      </c>
      <c r="M84" s="40">
        <v>125</v>
      </c>
      <c r="N84" s="40">
        <v>125</v>
      </c>
      <c r="O84" s="482">
        <f>SUM(C84:N84)</f>
        <v>1500</v>
      </c>
      <c r="P84" s="478"/>
    </row>
    <row r="85" spans="1:16" x14ac:dyDescent="0.35">
      <c r="B85" s="282">
        <f>'4060'!$B$1</f>
        <v>4060</v>
      </c>
      <c r="C85" s="40">
        <v>250</v>
      </c>
      <c r="D85" s="40">
        <v>250</v>
      </c>
      <c r="E85" s="40">
        <v>250</v>
      </c>
      <c r="F85" s="40">
        <v>250</v>
      </c>
      <c r="G85" s="40">
        <v>250</v>
      </c>
      <c r="H85" s="40">
        <v>250</v>
      </c>
      <c r="I85" s="40">
        <v>250</v>
      </c>
      <c r="J85" s="40">
        <v>250</v>
      </c>
      <c r="K85" s="40">
        <v>250</v>
      </c>
      <c r="L85" s="40">
        <v>250</v>
      </c>
      <c r="M85" s="40">
        <v>250</v>
      </c>
      <c r="N85" s="40">
        <v>250</v>
      </c>
      <c r="O85" s="482">
        <f t="shared" ref="O85:O90" si="29">SUM(C85:N85)</f>
        <v>3000</v>
      </c>
      <c r="P85" s="478"/>
    </row>
    <row r="86" spans="1:16" x14ac:dyDescent="0.35">
      <c r="B86" s="282">
        <f>'4070'!$B$1</f>
        <v>4070</v>
      </c>
      <c r="C86" s="40">
        <v>150</v>
      </c>
      <c r="D86" s="40">
        <v>150</v>
      </c>
      <c r="E86" s="40">
        <v>150</v>
      </c>
      <c r="F86" s="40">
        <v>150</v>
      </c>
      <c r="G86" s="40">
        <v>150</v>
      </c>
      <c r="H86" s="40">
        <v>150</v>
      </c>
      <c r="I86" s="40">
        <v>150</v>
      </c>
      <c r="J86" s="40">
        <v>150</v>
      </c>
      <c r="K86" s="40">
        <v>150</v>
      </c>
      <c r="L86" s="40">
        <v>150</v>
      </c>
      <c r="M86" s="40">
        <v>150</v>
      </c>
      <c r="N86" s="40">
        <v>150</v>
      </c>
      <c r="O86" s="482">
        <f t="shared" si="29"/>
        <v>1800</v>
      </c>
      <c r="P86" s="478"/>
    </row>
    <row r="87" spans="1:16" x14ac:dyDescent="0.35">
      <c r="B87" s="282">
        <f>'4080'!$B$1</f>
        <v>4080</v>
      </c>
      <c r="C87" s="40">
        <v>200</v>
      </c>
      <c r="D87" s="40">
        <v>200</v>
      </c>
      <c r="E87" s="40">
        <v>200</v>
      </c>
      <c r="F87" s="40">
        <v>200</v>
      </c>
      <c r="G87" s="40">
        <v>200</v>
      </c>
      <c r="H87" s="40">
        <v>200</v>
      </c>
      <c r="I87" s="40">
        <v>200</v>
      </c>
      <c r="J87" s="40">
        <v>200</v>
      </c>
      <c r="K87" s="40">
        <v>200</v>
      </c>
      <c r="L87" s="40">
        <v>200</v>
      </c>
      <c r="M87" s="40">
        <v>200</v>
      </c>
      <c r="N87" s="40">
        <v>200</v>
      </c>
      <c r="O87" s="482">
        <f t="shared" si="29"/>
        <v>2400</v>
      </c>
      <c r="P87" s="478"/>
    </row>
    <row r="88" spans="1:16" x14ac:dyDescent="0.35">
      <c r="B88" s="282" t="str">
        <f>'40A0'!$B$1</f>
        <v>40A0</v>
      </c>
      <c r="C88" s="40">
        <v>215</v>
      </c>
      <c r="D88" s="40">
        <v>215</v>
      </c>
      <c r="E88" s="40">
        <v>215</v>
      </c>
      <c r="F88" s="40">
        <v>215</v>
      </c>
      <c r="G88" s="40">
        <v>215</v>
      </c>
      <c r="H88" s="40">
        <v>215</v>
      </c>
      <c r="I88" s="40">
        <v>215</v>
      </c>
      <c r="J88" s="40">
        <v>215</v>
      </c>
      <c r="K88" s="40">
        <v>215</v>
      </c>
      <c r="L88" s="40">
        <v>215</v>
      </c>
      <c r="M88" s="40">
        <v>215</v>
      </c>
      <c r="N88" s="40">
        <v>215</v>
      </c>
      <c r="O88" s="482">
        <f t="shared" si="29"/>
        <v>2580</v>
      </c>
      <c r="P88" s="478"/>
    </row>
    <row r="89" spans="1:16" x14ac:dyDescent="0.35">
      <c r="B89" s="282" t="str">
        <f>'40B0'!$B$1</f>
        <v>40B0</v>
      </c>
      <c r="C89" s="40">
        <v>25</v>
      </c>
      <c r="D89" s="40">
        <v>25</v>
      </c>
      <c r="E89" s="40">
        <v>25</v>
      </c>
      <c r="F89" s="40">
        <v>25</v>
      </c>
      <c r="G89" s="40">
        <v>25</v>
      </c>
      <c r="H89" s="40">
        <v>25</v>
      </c>
      <c r="I89" s="40">
        <v>25</v>
      </c>
      <c r="J89" s="40">
        <v>25</v>
      </c>
      <c r="K89" s="40">
        <v>25</v>
      </c>
      <c r="L89" s="40">
        <v>25</v>
      </c>
      <c r="M89" s="40">
        <v>25</v>
      </c>
      <c r="N89" s="40">
        <v>25</v>
      </c>
      <c r="O89" s="482">
        <f t="shared" si="29"/>
        <v>300</v>
      </c>
      <c r="P89" s="478"/>
    </row>
    <row r="90" spans="1:16" x14ac:dyDescent="0.35">
      <c r="B90" s="282" t="str">
        <f>'40C0'!$B$1</f>
        <v>40C0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83">
        <f t="shared" si="29"/>
        <v>0</v>
      </c>
      <c r="P90" s="478"/>
    </row>
    <row r="91" spans="1:16" x14ac:dyDescent="0.35">
      <c r="B91" s="133" t="s">
        <v>357</v>
      </c>
      <c r="C91" s="36">
        <f t="shared" ref="C91:O91" si="30">SUM(C84:C90)</f>
        <v>965</v>
      </c>
      <c r="D91" s="135">
        <f t="shared" si="30"/>
        <v>965</v>
      </c>
      <c r="E91" s="135">
        <f t="shared" si="30"/>
        <v>965</v>
      </c>
      <c r="F91" s="135">
        <f t="shared" si="30"/>
        <v>965</v>
      </c>
      <c r="G91" s="135">
        <f t="shared" si="30"/>
        <v>965</v>
      </c>
      <c r="H91" s="135">
        <f t="shared" si="30"/>
        <v>965</v>
      </c>
      <c r="I91" s="135">
        <f t="shared" si="30"/>
        <v>965</v>
      </c>
      <c r="J91" s="135">
        <f t="shared" si="30"/>
        <v>965</v>
      </c>
      <c r="K91" s="135">
        <f t="shared" si="30"/>
        <v>965</v>
      </c>
      <c r="L91" s="135">
        <f t="shared" si="30"/>
        <v>965</v>
      </c>
      <c r="M91" s="135">
        <f t="shared" si="30"/>
        <v>965</v>
      </c>
      <c r="N91" s="135">
        <f t="shared" si="30"/>
        <v>965</v>
      </c>
      <c r="O91" s="135">
        <f t="shared" si="30"/>
        <v>11580</v>
      </c>
      <c r="P91" s="125"/>
    </row>
    <row r="93" spans="1:16" ht="17.5" x14ac:dyDescent="0.35">
      <c r="A93" s="37" t="s">
        <v>540</v>
      </c>
      <c r="B93" s="37" t="s">
        <v>547</v>
      </c>
      <c r="M93" s="126"/>
      <c r="N93" s="126"/>
    </row>
    <row r="94" spans="1:16" x14ac:dyDescent="0.35">
      <c r="C94" s="123" t="s">
        <v>0</v>
      </c>
      <c r="D94" s="123" t="s">
        <v>1</v>
      </c>
      <c r="E94" s="123" t="s">
        <v>2</v>
      </c>
      <c r="F94" s="123" t="s">
        <v>3</v>
      </c>
      <c r="G94" s="123" t="s">
        <v>4</v>
      </c>
      <c r="H94" s="123" t="s">
        <v>5</v>
      </c>
      <c r="I94" s="123" t="s">
        <v>6</v>
      </c>
      <c r="J94" s="123" t="s">
        <v>7</v>
      </c>
      <c r="K94" s="123" t="s">
        <v>8</v>
      </c>
      <c r="L94" s="123" t="s">
        <v>9</v>
      </c>
      <c r="M94" s="123" t="s">
        <v>10</v>
      </c>
      <c r="N94" s="123" t="s">
        <v>11</v>
      </c>
      <c r="O94" s="481" t="s">
        <v>12</v>
      </c>
      <c r="P94" s="41"/>
    </row>
    <row r="95" spans="1:16" x14ac:dyDescent="0.35">
      <c r="B95" s="282">
        <f>'4050'!$B$1</f>
        <v>4050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1870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82">
        <f>SUM(C95:N95)</f>
        <v>1870</v>
      </c>
      <c r="P95" s="478"/>
    </row>
    <row r="96" spans="1:16" x14ac:dyDescent="0.35">
      <c r="B96" s="282">
        <f>'4060'!$B$1</f>
        <v>4060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2585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82">
        <f t="shared" ref="O96:O101" si="31">SUM(C96:N96)</f>
        <v>2585</v>
      </c>
      <c r="P96" s="478"/>
    </row>
    <row r="97" spans="1:16" x14ac:dyDescent="0.35">
      <c r="B97" s="282">
        <f>'4070'!$B$1</f>
        <v>4070</v>
      </c>
      <c r="C97" s="40">
        <v>0</v>
      </c>
      <c r="D97" s="40">
        <v>0</v>
      </c>
      <c r="E97" s="40">
        <v>0</v>
      </c>
      <c r="F97" s="40">
        <v>0</v>
      </c>
      <c r="G97" s="40">
        <v>0</v>
      </c>
      <c r="H97" s="40">
        <v>0</v>
      </c>
      <c r="I97" s="40">
        <v>1925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82">
        <f t="shared" si="31"/>
        <v>1925</v>
      </c>
      <c r="P97" s="478"/>
    </row>
    <row r="98" spans="1:16" x14ac:dyDescent="0.35">
      <c r="B98" s="282">
        <f>'4080'!$B$1</f>
        <v>4080</v>
      </c>
      <c r="C98" s="40">
        <v>0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3410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82">
        <f t="shared" si="31"/>
        <v>3410</v>
      </c>
      <c r="P98" s="478"/>
    </row>
    <row r="99" spans="1:16" x14ac:dyDescent="0.35">
      <c r="B99" s="282" t="str">
        <f>'40A0'!$B$1</f>
        <v>40A0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605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82">
        <f t="shared" si="31"/>
        <v>605</v>
      </c>
      <c r="P99" s="478"/>
    </row>
    <row r="100" spans="1:16" x14ac:dyDescent="0.35">
      <c r="B100" s="282" t="str">
        <f>'40B0'!$B$1</f>
        <v>40B0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275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82">
        <f t="shared" si="31"/>
        <v>275</v>
      </c>
      <c r="P100" s="478"/>
    </row>
    <row r="101" spans="1:16" x14ac:dyDescent="0.35">
      <c r="B101" s="282" t="str">
        <f>'40C0'!$B$1</f>
        <v>40C0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330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83">
        <f t="shared" si="31"/>
        <v>330</v>
      </c>
      <c r="P101" s="478"/>
    </row>
    <row r="102" spans="1:16" x14ac:dyDescent="0.35">
      <c r="B102" s="133" t="s">
        <v>357</v>
      </c>
      <c r="C102" s="36">
        <f t="shared" ref="C102:O102" si="32">SUM(C95:C101)</f>
        <v>0</v>
      </c>
      <c r="D102" s="135">
        <f t="shared" si="32"/>
        <v>0</v>
      </c>
      <c r="E102" s="135">
        <f t="shared" si="32"/>
        <v>0</v>
      </c>
      <c r="F102" s="135">
        <f t="shared" si="32"/>
        <v>0</v>
      </c>
      <c r="G102" s="135">
        <f t="shared" si="32"/>
        <v>0</v>
      </c>
      <c r="H102" s="135">
        <f t="shared" si="32"/>
        <v>0</v>
      </c>
      <c r="I102" s="135">
        <f t="shared" si="32"/>
        <v>11000</v>
      </c>
      <c r="J102" s="135">
        <f t="shared" si="32"/>
        <v>0</v>
      </c>
      <c r="K102" s="135">
        <f t="shared" si="32"/>
        <v>0</v>
      </c>
      <c r="L102" s="135">
        <f t="shared" si="32"/>
        <v>0</v>
      </c>
      <c r="M102" s="135">
        <f t="shared" si="32"/>
        <v>0</v>
      </c>
      <c r="N102" s="135">
        <f t="shared" si="32"/>
        <v>0</v>
      </c>
      <c r="O102" s="135">
        <f t="shared" si="32"/>
        <v>11000</v>
      </c>
      <c r="P102" s="125"/>
    </row>
    <row r="104" spans="1:16" ht="17.5" x14ac:dyDescent="0.35">
      <c r="A104" s="37" t="s">
        <v>540</v>
      </c>
      <c r="B104" s="37" t="s">
        <v>548</v>
      </c>
      <c r="M104" s="126"/>
      <c r="N104" s="126"/>
    </row>
    <row r="105" spans="1:16" x14ac:dyDescent="0.35">
      <c r="C105" s="123" t="s">
        <v>0</v>
      </c>
      <c r="D105" s="123" t="s">
        <v>1</v>
      </c>
      <c r="E105" s="123" t="s">
        <v>2</v>
      </c>
      <c r="F105" s="123" t="s">
        <v>3</v>
      </c>
      <c r="G105" s="123" t="s">
        <v>4</v>
      </c>
      <c r="H105" s="123" t="s">
        <v>5</v>
      </c>
      <c r="I105" s="123" t="s">
        <v>6</v>
      </c>
      <c r="J105" s="123" t="s">
        <v>7</v>
      </c>
      <c r="K105" s="123" t="s">
        <v>8</v>
      </c>
      <c r="L105" s="123" t="s">
        <v>9</v>
      </c>
      <c r="M105" s="123" t="s">
        <v>10</v>
      </c>
      <c r="N105" s="123" t="s">
        <v>11</v>
      </c>
      <c r="O105" s="481" t="s">
        <v>12</v>
      </c>
      <c r="P105" s="41"/>
    </row>
    <row r="106" spans="1:16" x14ac:dyDescent="0.35">
      <c r="B106" s="282">
        <f>'4050'!$B$1</f>
        <v>4050</v>
      </c>
      <c r="C106" s="40">
        <v>0</v>
      </c>
      <c r="D106" s="40">
        <v>0</v>
      </c>
      <c r="E106" s="40">
        <v>0</v>
      </c>
      <c r="F106" s="40">
        <v>0</v>
      </c>
      <c r="G106" s="40">
        <v>475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475</v>
      </c>
      <c r="N106" s="40">
        <v>0</v>
      </c>
      <c r="O106" s="482">
        <f>SUM(C106:N106)</f>
        <v>950</v>
      </c>
      <c r="P106" s="119"/>
    </row>
    <row r="107" spans="1:16" x14ac:dyDescent="0.35">
      <c r="B107" s="282">
        <f>'4060'!$B$1</f>
        <v>4060</v>
      </c>
      <c r="C107" s="40">
        <v>0</v>
      </c>
      <c r="D107" s="40">
        <v>0</v>
      </c>
      <c r="E107" s="40">
        <v>0</v>
      </c>
      <c r="F107" s="40">
        <v>0</v>
      </c>
      <c r="G107" s="40">
        <v>475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475</v>
      </c>
      <c r="N107" s="40">
        <v>0</v>
      </c>
      <c r="O107" s="482">
        <f t="shared" ref="O107:O112" si="33">SUM(C107:N107)</f>
        <v>950</v>
      </c>
      <c r="P107" s="119"/>
    </row>
    <row r="108" spans="1:16" x14ac:dyDescent="0.35">
      <c r="B108" s="282">
        <f>'4070'!$B$1</f>
        <v>4070</v>
      </c>
      <c r="C108" s="40">
        <v>0</v>
      </c>
      <c r="D108" s="40">
        <v>0</v>
      </c>
      <c r="E108" s="40">
        <v>0</v>
      </c>
      <c r="F108" s="40">
        <v>0</v>
      </c>
      <c r="G108" s="40">
        <v>475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475</v>
      </c>
      <c r="N108" s="40">
        <v>0</v>
      </c>
      <c r="O108" s="482">
        <f t="shared" si="33"/>
        <v>950</v>
      </c>
      <c r="P108" s="119"/>
    </row>
    <row r="109" spans="1:16" x14ac:dyDescent="0.35">
      <c r="B109" s="282">
        <f>'4080'!$B$1</f>
        <v>4080</v>
      </c>
      <c r="C109" s="40">
        <v>0</v>
      </c>
      <c r="D109" s="40">
        <v>0</v>
      </c>
      <c r="E109" s="40">
        <v>0</v>
      </c>
      <c r="F109" s="40">
        <v>0</v>
      </c>
      <c r="G109" s="40">
        <v>625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625</v>
      </c>
      <c r="N109" s="40">
        <v>0</v>
      </c>
      <c r="O109" s="482">
        <f t="shared" si="33"/>
        <v>1250</v>
      </c>
      <c r="P109" s="119"/>
    </row>
    <row r="110" spans="1:16" x14ac:dyDescent="0.35">
      <c r="B110" s="282" t="str">
        <f>'40A0'!$B$1</f>
        <v>40A0</v>
      </c>
      <c r="C110" s="40">
        <v>0</v>
      </c>
      <c r="D110" s="40">
        <v>0</v>
      </c>
      <c r="E110" s="40">
        <v>0</v>
      </c>
      <c r="F110" s="40">
        <v>0</v>
      </c>
      <c r="G110" s="40">
        <v>475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475</v>
      </c>
      <c r="N110" s="40">
        <v>0</v>
      </c>
      <c r="O110" s="482">
        <f t="shared" si="33"/>
        <v>950</v>
      </c>
      <c r="P110" s="119"/>
    </row>
    <row r="111" spans="1:16" x14ac:dyDescent="0.35">
      <c r="B111" s="282" t="str">
        <f>'40B0'!$B$1</f>
        <v>40B0</v>
      </c>
      <c r="C111" s="40">
        <v>0</v>
      </c>
      <c r="D111" s="40">
        <v>0</v>
      </c>
      <c r="E111" s="40">
        <v>0</v>
      </c>
      <c r="F111" s="40">
        <v>0</v>
      </c>
      <c r="G111" s="40">
        <v>475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475</v>
      </c>
      <c r="N111" s="40">
        <v>475</v>
      </c>
      <c r="O111" s="482">
        <f t="shared" si="33"/>
        <v>1425</v>
      </c>
      <c r="P111" s="119"/>
    </row>
    <row r="112" spans="1:16" x14ac:dyDescent="0.35">
      <c r="B112" s="282" t="str">
        <f>'40C0'!$B$1</f>
        <v>40C0</v>
      </c>
      <c r="C112" s="42">
        <v>0</v>
      </c>
      <c r="D112" s="42">
        <v>0</v>
      </c>
      <c r="E112" s="42">
        <v>0</v>
      </c>
      <c r="F112" s="42">
        <v>0</v>
      </c>
      <c r="G112" s="42">
        <v>475</v>
      </c>
      <c r="H112" s="42">
        <v>0</v>
      </c>
      <c r="I112" s="42">
        <v>0</v>
      </c>
      <c r="J112" s="42">
        <v>0</v>
      </c>
      <c r="K112" s="42">
        <v>0</v>
      </c>
      <c r="L112" s="42">
        <v>0</v>
      </c>
      <c r="M112" s="42">
        <v>475</v>
      </c>
      <c r="N112" s="42">
        <v>0</v>
      </c>
      <c r="O112" s="483">
        <f t="shared" si="33"/>
        <v>950</v>
      </c>
      <c r="P112" s="119"/>
    </row>
    <row r="113" spans="1:16" x14ac:dyDescent="0.35">
      <c r="B113" s="133" t="s">
        <v>357</v>
      </c>
      <c r="C113" s="36">
        <f t="shared" ref="C113:O113" si="34">SUM(C106:C112)</f>
        <v>0</v>
      </c>
      <c r="D113" s="135">
        <f t="shared" si="34"/>
        <v>0</v>
      </c>
      <c r="E113" s="135">
        <f t="shared" si="34"/>
        <v>0</v>
      </c>
      <c r="F113" s="135">
        <f t="shared" si="34"/>
        <v>0</v>
      </c>
      <c r="G113" s="135">
        <f t="shared" si="34"/>
        <v>3475</v>
      </c>
      <c r="H113" s="135">
        <f t="shared" si="34"/>
        <v>0</v>
      </c>
      <c r="I113" s="135">
        <f t="shared" si="34"/>
        <v>0</v>
      </c>
      <c r="J113" s="135">
        <f t="shared" si="34"/>
        <v>0</v>
      </c>
      <c r="K113" s="135">
        <f t="shared" si="34"/>
        <v>0</v>
      </c>
      <c r="L113" s="135">
        <f t="shared" si="34"/>
        <v>0</v>
      </c>
      <c r="M113" s="135">
        <f t="shared" si="34"/>
        <v>3475</v>
      </c>
      <c r="N113" s="135">
        <f t="shared" si="34"/>
        <v>475</v>
      </c>
      <c r="O113" s="135">
        <f t="shared" si="34"/>
        <v>7425</v>
      </c>
      <c r="P113" s="125"/>
    </row>
    <row r="115" spans="1:16" ht="17.5" x14ac:dyDescent="0.35">
      <c r="A115" s="37" t="s">
        <v>540</v>
      </c>
      <c r="B115" s="37" t="s">
        <v>549</v>
      </c>
      <c r="M115" s="126"/>
      <c r="N115" s="126"/>
    </row>
    <row r="116" spans="1:16" x14ac:dyDescent="0.35">
      <c r="C116" s="123" t="s">
        <v>0</v>
      </c>
      <c r="D116" s="123" t="s">
        <v>1</v>
      </c>
      <c r="E116" s="123" t="s">
        <v>2</v>
      </c>
      <c r="F116" s="123" t="s">
        <v>3</v>
      </c>
      <c r="G116" s="123" t="s">
        <v>4</v>
      </c>
      <c r="H116" s="123" t="s">
        <v>5</v>
      </c>
      <c r="I116" s="123" t="s">
        <v>6</v>
      </c>
      <c r="J116" s="123" t="s">
        <v>7</v>
      </c>
      <c r="K116" s="123" t="s">
        <v>8</v>
      </c>
      <c r="L116" s="123" t="s">
        <v>9</v>
      </c>
      <c r="M116" s="123" t="s">
        <v>10</v>
      </c>
      <c r="N116" s="123" t="s">
        <v>11</v>
      </c>
      <c r="O116" s="481" t="s">
        <v>12</v>
      </c>
      <c r="P116" s="41"/>
    </row>
    <row r="117" spans="1:16" x14ac:dyDescent="0.35">
      <c r="B117" s="282">
        <f>'4050'!$B$1</f>
        <v>4050</v>
      </c>
      <c r="C117" s="40">
        <v>250</v>
      </c>
      <c r="D117" s="40">
        <v>0</v>
      </c>
      <c r="E117" s="40">
        <v>0</v>
      </c>
      <c r="F117" s="40">
        <v>250</v>
      </c>
      <c r="G117" s="40">
        <v>0</v>
      </c>
      <c r="H117" s="40">
        <v>0</v>
      </c>
      <c r="I117" s="40">
        <v>250</v>
      </c>
      <c r="J117" s="40">
        <v>0</v>
      </c>
      <c r="K117" s="40">
        <v>0</v>
      </c>
      <c r="L117" s="40">
        <v>250</v>
      </c>
      <c r="M117" s="40">
        <v>0</v>
      </c>
      <c r="N117" s="40">
        <v>0</v>
      </c>
      <c r="O117" s="482">
        <f>SUM(C117:N117)</f>
        <v>1000</v>
      </c>
      <c r="P117" s="119"/>
    </row>
    <row r="118" spans="1:16" x14ac:dyDescent="0.35">
      <c r="B118" s="282">
        <f>'4060'!$B$1</f>
        <v>4060</v>
      </c>
      <c r="C118" s="40">
        <v>250</v>
      </c>
      <c r="D118" s="40">
        <v>0</v>
      </c>
      <c r="E118" s="40">
        <v>0</v>
      </c>
      <c r="F118" s="40">
        <v>250</v>
      </c>
      <c r="G118" s="40">
        <v>0</v>
      </c>
      <c r="H118" s="40">
        <v>0</v>
      </c>
      <c r="I118" s="40">
        <v>250</v>
      </c>
      <c r="J118" s="40">
        <v>0</v>
      </c>
      <c r="K118" s="40">
        <v>0</v>
      </c>
      <c r="L118" s="40">
        <v>250</v>
      </c>
      <c r="M118" s="40">
        <v>0</v>
      </c>
      <c r="N118" s="40">
        <v>0</v>
      </c>
      <c r="O118" s="482">
        <f t="shared" ref="O118:O123" si="35">SUM(C118:N118)</f>
        <v>1000</v>
      </c>
      <c r="P118" s="119"/>
    </row>
    <row r="119" spans="1:16" x14ac:dyDescent="0.35">
      <c r="B119" s="282">
        <f>'4070'!$B$1</f>
        <v>4070</v>
      </c>
      <c r="C119" s="40">
        <v>0</v>
      </c>
      <c r="D119" s="40">
        <v>350</v>
      </c>
      <c r="E119" s="40">
        <v>0</v>
      </c>
      <c r="F119" s="40">
        <v>0</v>
      </c>
      <c r="G119" s="40">
        <v>350</v>
      </c>
      <c r="H119" s="40">
        <v>0</v>
      </c>
      <c r="I119" s="40">
        <v>0</v>
      </c>
      <c r="J119" s="40">
        <v>350</v>
      </c>
      <c r="K119" s="40">
        <v>0</v>
      </c>
      <c r="L119" s="40">
        <v>0</v>
      </c>
      <c r="M119" s="40">
        <v>350</v>
      </c>
      <c r="N119" s="40">
        <v>0</v>
      </c>
      <c r="O119" s="482">
        <f t="shared" si="35"/>
        <v>1400</v>
      </c>
      <c r="P119" s="119"/>
    </row>
    <row r="120" spans="1:16" x14ac:dyDescent="0.35">
      <c r="B120" s="282">
        <f>'4080'!$B$1</f>
        <v>4080</v>
      </c>
      <c r="C120" s="40">
        <v>250</v>
      </c>
      <c r="D120" s="40">
        <v>0</v>
      </c>
      <c r="E120" s="40">
        <v>0</v>
      </c>
      <c r="F120" s="40">
        <v>250</v>
      </c>
      <c r="G120" s="40">
        <v>0</v>
      </c>
      <c r="H120" s="40">
        <v>0</v>
      </c>
      <c r="I120" s="40">
        <v>250</v>
      </c>
      <c r="J120" s="40">
        <v>0</v>
      </c>
      <c r="K120" s="40">
        <v>0</v>
      </c>
      <c r="L120" s="40">
        <v>250</v>
      </c>
      <c r="M120" s="40">
        <v>0</v>
      </c>
      <c r="N120" s="40">
        <v>0</v>
      </c>
      <c r="O120" s="482">
        <f t="shared" si="35"/>
        <v>1000</v>
      </c>
      <c r="P120" s="119"/>
    </row>
    <row r="121" spans="1:16" x14ac:dyDescent="0.35">
      <c r="B121" s="282" t="str">
        <f>'40A0'!$B$1</f>
        <v>40A0</v>
      </c>
      <c r="C121" s="40">
        <v>100</v>
      </c>
      <c r="D121" s="40">
        <v>0</v>
      </c>
      <c r="E121" s="40">
        <v>0</v>
      </c>
      <c r="F121" s="40">
        <v>100</v>
      </c>
      <c r="G121" s="40">
        <v>0</v>
      </c>
      <c r="H121" s="40">
        <v>0</v>
      </c>
      <c r="I121" s="40">
        <v>100</v>
      </c>
      <c r="J121" s="40">
        <v>0</v>
      </c>
      <c r="K121" s="40">
        <v>0</v>
      </c>
      <c r="L121" s="40">
        <v>100</v>
      </c>
      <c r="M121" s="40">
        <v>0</v>
      </c>
      <c r="N121" s="40">
        <v>0</v>
      </c>
      <c r="O121" s="482">
        <f t="shared" si="35"/>
        <v>400</v>
      </c>
      <c r="P121" s="119"/>
    </row>
    <row r="122" spans="1:16" x14ac:dyDescent="0.35">
      <c r="B122" s="282" t="str">
        <f>'40B0'!$B$1</f>
        <v>40B0</v>
      </c>
      <c r="C122" s="40">
        <v>0</v>
      </c>
      <c r="D122" s="40">
        <v>0</v>
      </c>
      <c r="E122" s="40">
        <v>0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82">
        <f t="shared" si="35"/>
        <v>0</v>
      </c>
      <c r="P122" s="119"/>
    </row>
    <row r="123" spans="1:16" x14ac:dyDescent="0.35">
      <c r="B123" s="282" t="str">
        <f>'40C0'!$B$1</f>
        <v>40C0</v>
      </c>
      <c r="C123" s="42">
        <v>0</v>
      </c>
      <c r="D123" s="42">
        <v>0</v>
      </c>
      <c r="E123" s="42">
        <v>0</v>
      </c>
      <c r="F123" s="42">
        <v>0</v>
      </c>
      <c r="G123" s="42">
        <v>0</v>
      </c>
      <c r="H123" s="42">
        <v>0</v>
      </c>
      <c r="I123" s="42">
        <v>0</v>
      </c>
      <c r="J123" s="42">
        <v>0</v>
      </c>
      <c r="K123" s="42">
        <v>0</v>
      </c>
      <c r="L123" s="42">
        <v>0</v>
      </c>
      <c r="M123" s="42">
        <v>0</v>
      </c>
      <c r="N123" s="42">
        <v>0</v>
      </c>
      <c r="O123" s="483">
        <f t="shared" si="35"/>
        <v>0</v>
      </c>
      <c r="P123" s="119"/>
    </row>
    <row r="124" spans="1:16" x14ac:dyDescent="0.35">
      <c r="B124" s="133" t="s">
        <v>357</v>
      </c>
      <c r="C124" s="36">
        <f t="shared" ref="C124:O124" si="36">SUM(C117:C123)</f>
        <v>850</v>
      </c>
      <c r="D124" s="135">
        <f t="shared" si="36"/>
        <v>350</v>
      </c>
      <c r="E124" s="135">
        <f t="shared" si="36"/>
        <v>0</v>
      </c>
      <c r="F124" s="135">
        <f t="shared" si="36"/>
        <v>850</v>
      </c>
      <c r="G124" s="135">
        <f t="shared" si="36"/>
        <v>350</v>
      </c>
      <c r="H124" s="135">
        <f t="shared" si="36"/>
        <v>0</v>
      </c>
      <c r="I124" s="135">
        <f t="shared" si="36"/>
        <v>850</v>
      </c>
      <c r="J124" s="135">
        <f t="shared" si="36"/>
        <v>350</v>
      </c>
      <c r="K124" s="135">
        <f t="shared" si="36"/>
        <v>0</v>
      </c>
      <c r="L124" s="135">
        <f t="shared" si="36"/>
        <v>850</v>
      </c>
      <c r="M124" s="135">
        <f t="shared" si="36"/>
        <v>350</v>
      </c>
      <c r="N124" s="135">
        <f t="shared" si="36"/>
        <v>0</v>
      </c>
      <c r="O124" s="135">
        <f t="shared" si="36"/>
        <v>4800</v>
      </c>
      <c r="P124" s="125"/>
    </row>
    <row r="126" spans="1:16" ht="17.5" x14ac:dyDescent="0.35">
      <c r="A126" s="37" t="s">
        <v>540</v>
      </c>
      <c r="B126" s="37" t="s">
        <v>550</v>
      </c>
      <c r="C126" s="41"/>
      <c r="M126" s="126"/>
      <c r="N126" s="126"/>
    </row>
    <row r="127" spans="1:16" x14ac:dyDescent="0.35">
      <c r="C127" s="123" t="s">
        <v>0</v>
      </c>
      <c r="D127" s="123" t="s">
        <v>1</v>
      </c>
      <c r="E127" s="123" t="s">
        <v>2</v>
      </c>
      <c r="F127" s="123" t="s">
        <v>3</v>
      </c>
      <c r="G127" s="123" t="s">
        <v>4</v>
      </c>
      <c r="H127" s="123" t="s">
        <v>5</v>
      </c>
      <c r="I127" s="123" t="s">
        <v>6</v>
      </c>
      <c r="J127" s="123" t="s">
        <v>7</v>
      </c>
      <c r="K127" s="123" t="s">
        <v>8</v>
      </c>
      <c r="L127" s="123" t="s">
        <v>9</v>
      </c>
      <c r="M127" s="123" t="s">
        <v>10</v>
      </c>
      <c r="N127" s="123" t="s">
        <v>11</v>
      </c>
      <c r="O127" s="481" t="s">
        <v>12</v>
      </c>
      <c r="P127" s="41"/>
    </row>
    <row r="128" spans="1:16" x14ac:dyDescent="0.35">
      <c r="B128" s="282">
        <f>'4050'!$B$1</f>
        <v>4050</v>
      </c>
      <c r="C128" s="40">
        <v>475</v>
      </c>
      <c r="D128" s="40">
        <v>475</v>
      </c>
      <c r="E128" s="40">
        <v>475</v>
      </c>
      <c r="F128" s="40">
        <v>475</v>
      </c>
      <c r="G128" s="40">
        <v>475</v>
      </c>
      <c r="H128" s="40">
        <v>475</v>
      </c>
      <c r="I128" s="40">
        <v>475</v>
      </c>
      <c r="J128" s="40">
        <v>475</v>
      </c>
      <c r="K128" s="40">
        <v>475</v>
      </c>
      <c r="L128" s="40">
        <v>475</v>
      </c>
      <c r="M128" s="40">
        <v>475</v>
      </c>
      <c r="N128" s="40">
        <v>475</v>
      </c>
      <c r="O128" s="482">
        <f>SUM(C128:N128)</f>
        <v>5700</v>
      </c>
      <c r="P128" s="119"/>
    </row>
    <row r="129" spans="1:16" x14ac:dyDescent="0.35">
      <c r="B129" s="282">
        <f>'4060'!$B$1</f>
        <v>4060</v>
      </c>
      <c r="C129" s="40">
        <v>450</v>
      </c>
      <c r="D129" s="40">
        <v>450</v>
      </c>
      <c r="E129" s="40">
        <v>450</v>
      </c>
      <c r="F129" s="40">
        <v>450</v>
      </c>
      <c r="G129" s="40">
        <v>450</v>
      </c>
      <c r="H129" s="40">
        <v>450</v>
      </c>
      <c r="I129" s="40">
        <v>450</v>
      </c>
      <c r="J129" s="40">
        <v>450</v>
      </c>
      <c r="K129" s="40">
        <v>450</v>
      </c>
      <c r="L129" s="40">
        <v>450</v>
      </c>
      <c r="M129" s="40">
        <v>450</v>
      </c>
      <c r="N129" s="40">
        <v>450</v>
      </c>
      <c r="O129" s="482">
        <f t="shared" ref="O129:O134" si="37">SUM(C129:N129)</f>
        <v>5400</v>
      </c>
      <c r="P129" s="119"/>
    </row>
    <row r="130" spans="1:16" x14ac:dyDescent="0.35">
      <c r="B130" s="282">
        <f>'4070'!$B$1</f>
        <v>4070</v>
      </c>
      <c r="C130" s="40">
        <v>550</v>
      </c>
      <c r="D130" s="40">
        <v>550</v>
      </c>
      <c r="E130" s="40">
        <v>550</v>
      </c>
      <c r="F130" s="40">
        <v>550</v>
      </c>
      <c r="G130" s="40">
        <v>550</v>
      </c>
      <c r="H130" s="40">
        <v>550</v>
      </c>
      <c r="I130" s="40">
        <v>550</v>
      </c>
      <c r="J130" s="40">
        <v>550</v>
      </c>
      <c r="K130" s="40">
        <v>550</v>
      </c>
      <c r="L130" s="40">
        <v>550</v>
      </c>
      <c r="M130" s="40">
        <v>550</v>
      </c>
      <c r="N130" s="40">
        <v>550</v>
      </c>
      <c r="O130" s="482">
        <f t="shared" si="37"/>
        <v>6600</v>
      </c>
      <c r="P130" s="119"/>
    </row>
    <row r="131" spans="1:16" x14ac:dyDescent="0.35">
      <c r="B131" s="282">
        <f>'4080'!$B$1</f>
        <v>4080</v>
      </c>
      <c r="C131" s="40">
        <v>1150</v>
      </c>
      <c r="D131" s="40">
        <v>1150</v>
      </c>
      <c r="E131" s="40">
        <v>1150</v>
      </c>
      <c r="F131" s="40">
        <v>1150</v>
      </c>
      <c r="G131" s="40">
        <v>1150</v>
      </c>
      <c r="H131" s="40">
        <v>1150</v>
      </c>
      <c r="I131" s="40">
        <v>1150</v>
      </c>
      <c r="J131" s="40">
        <v>1150</v>
      </c>
      <c r="K131" s="40">
        <v>1150</v>
      </c>
      <c r="L131" s="40">
        <v>1150</v>
      </c>
      <c r="M131" s="40">
        <v>1150</v>
      </c>
      <c r="N131" s="40">
        <v>1150</v>
      </c>
      <c r="O131" s="482">
        <f t="shared" si="37"/>
        <v>13800</v>
      </c>
      <c r="P131" s="119"/>
    </row>
    <row r="132" spans="1:16" x14ac:dyDescent="0.35">
      <c r="B132" s="282" t="str">
        <f>'40A0'!$B$1</f>
        <v>40A0</v>
      </c>
      <c r="C132" s="40">
        <v>140</v>
      </c>
      <c r="D132" s="40">
        <v>140</v>
      </c>
      <c r="E132" s="40">
        <v>140</v>
      </c>
      <c r="F132" s="40">
        <v>140</v>
      </c>
      <c r="G132" s="40">
        <v>140</v>
      </c>
      <c r="H132" s="40">
        <v>140</v>
      </c>
      <c r="I132" s="40">
        <v>140</v>
      </c>
      <c r="J132" s="40">
        <v>140</v>
      </c>
      <c r="K132" s="40">
        <v>140</v>
      </c>
      <c r="L132" s="40">
        <v>140</v>
      </c>
      <c r="M132" s="40">
        <v>140</v>
      </c>
      <c r="N132" s="40">
        <v>140</v>
      </c>
      <c r="O132" s="482">
        <f t="shared" si="37"/>
        <v>1680</v>
      </c>
      <c r="P132" s="119"/>
    </row>
    <row r="133" spans="1:16" x14ac:dyDescent="0.35">
      <c r="B133" s="282" t="str">
        <f>'40B0'!$B$1</f>
        <v>40B0</v>
      </c>
      <c r="C133" s="40">
        <v>125</v>
      </c>
      <c r="D133" s="40">
        <v>125</v>
      </c>
      <c r="E133" s="40">
        <v>125</v>
      </c>
      <c r="F133" s="40">
        <v>125</v>
      </c>
      <c r="G133" s="40">
        <v>125</v>
      </c>
      <c r="H133" s="40">
        <v>125</v>
      </c>
      <c r="I133" s="40">
        <v>125</v>
      </c>
      <c r="J133" s="40">
        <v>125</v>
      </c>
      <c r="K133" s="40">
        <v>125</v>
      </c>
      <c r="L133" s="40">
        <v>125</v>
      </c>
      <c r="M133" s="40">
        <v>125</v>
      </c>
      <c r="N133" s="40">
        <v>125</v>
      </c>
      <c r="O133" s="482">
        <f t="shared" si="37"/>
        <v>1500</v>
      </c>
      <c r="P133" s="119"/>
    </row>
    <row r="134" spans="1:16" x14ac:dyDescent="0.35">
      <c r="B134" s="282" t="str">
        <f>'40C0'!$B$1</f>
        <v>40C0</v>
      </c>
      <c r="C134" s="42">
        <v>150</v>
      </c>
      <c r="D134" s="42">
        <v>150</v>
      </c>
      <c r="E134" s="42">
        <v>150</v>
      </c>
      <c r="F134" s="42">
        <v>150</v>
      </c>
      <c r="G134" s="42">
        <v>150</v>
      </c>
      <c r="H134" s="42">
        <v>150</v>
      </c>
      <c r="I134" s="42">
        <v>150</v>
      </c>
      <c r="J134" s="42">
        <v>150</v>
      </c>
      <c r="K134" s="42">
        <v>150</v>
      </c>
      <c r="L134" s="42">
        <v>150</v>
      </c>
      <c r="M134" s="42">
        <v>150</v>
      </c>
      <c r="N134" s="42">
        <v>150</v>
      </c>
      <c r="O134" s="483">
        <f t="shared" si="37"/>
        <v>1800</v>
      </c>
      <c r="P134" s="119"/>
    </row>
    <row r="135" spans="1:16" x14ac:dyDescent="0.35">
      <c r="B135" s="133" t="s">
        <v>357</v>
      </c>
      <c r="C135" s="36">
        <f t="shared" ref="C135:O135" si="38">SUM(C128:C134)</f>
        <v>3040</v>
      </c>
      <c r="D135" s="36">
        <f t="shared" si="38"/>
        <v>3040</v>
      </c>
      <c r="E135" s="36">
        <f t="shared" si="38"/>
        <v>3040</v>
      </c>
      <c r="F135" s="36">
        <f t="shared" si="38"/>
        <v>3040</v>
      </c>
      <c r="G135" s="36">
        <f t="shared" si="38"/>
        <v>3040</v>
      </c>
      <c r="H135" s="36">
        <f t="shared" si="38"/>
        <v>3040</v>
      </c>
      <c r="I135" s="36">
        <f t="shared" si="38"/>
        <v>3040</v>
      </c>
      <c r="J135" s="36">
        <f t="shared" si="38"/>
        <v>3040</v>
      </c>
      <c r="K135" s="36">
        <f t="shared" si="38"/>
        <v>3040</v>
      </c>
      <c r="L135" s="36">
        <f t="shared" si="38"/>
        <v>3040</v>
      </c>
      <c r="M135" s="36">
        <f t="shared" si="38"/>
        <v>3040</v>
      </c>
      <c r="N135" s="36">
        <f t="shared" si="38"/>
        <v>3040</v>
      </c>
      <c r="O135" s="135">
        <f t="shared" si="38"/>
        <v>36480</v>
      </c>
      <c r="P135" s="125"/>
    </row>
    <row r="137" spans="1:16" ht="17.5" x14ac:dyDescent="0.35">
      <c r="A137" s="37" t="s">
        <v>540</v>
      </c>
      <c r="B137" s="37" t="s">
        <v>551</v>
      </c>
      <c r="M137" s="126"/>
      <c r="N137" s="126"/>
    </row>
    <row r="138" spans="1:16" x14ac:dyDescent="0.35">
      <c r="C138" s="123" t="s">
        <v>0</v>
      </c>
      <c r="D138" s="123" t="s">
        <v>1</v>
      </c>
      <c r="E138" s="123" t="s">
        <v>2</v>
      </c>
      <c r="F138" s="123" t="s">
        <v>3</v>
      </c>
      <c r="G138" s="123" t="s">
        <v>4</v>
      </c>
      <c r="H138" s="123" t="s">
        <v>5</v>
      </c>
      <c r="I138" s="123" t="s">
        <v>6</v>
      </c>
      <c r="J138" s="123" t="s">
        <v>7</v>
      </c>
      <c r="K138" s="123" t="s">
        <v>8</v>
      </c>
      <c r="L138" s="123" t="s">
        <v>9</v>
      </c>
      <c r="M138" s="123" t="s">
        <v>10</v>
      </c>
      <c r="N138" s="123" t="s">
        <v>11</v>
      </c>
      <c r="O138" s="481" t="s">
        <v>12</v>
      </c>
      <c r="P138" s="41"/>
    </row>
    <row r="139" spans="1:16" x14ac:dyDescent="0.35">
      <c r="B139" s="282">
        <f>'4050'!$B$1</f>
        <v>4050</v>
      </c>
      <c r="C139" s="40">
        <v>500</v>
      </c>
      <c r="D139" s="40">
        <v>500</v>
      </c>
      <c r="E139" s="40">
        <v>500</v>
      </c>
      <c r="F139" s="40">
        <v>500</v>
      </c>
      <c r="G139" s="40">
        <v>500</v>
      </c>
      <c r="H139" s="40">
        <v>500</v>
      </c>
      <c r="I139" s="40">
        <v>500</v>
      </c>
      <c r="J139" s="40">
        <v>500</v>
      </c>
      <c r="K139" s="40">
        <v>500</v>
      </c>
      <c r="L139" s="40">
        <v>500</v>
      </c>
      <c r="M139" s="40">
        <v>500</v>
      </c>
      <c r="N139" s="40">
        <v>500</v>
      </c>
      <c r="O139" s="482">
        <f>SUM(C139:N139)</f>
        <v>6000</v>
      </c>
      <c r="P139" s="119"/>
    </row>
    <row r="140" spans="1:16" x14ac:dyDescent="0.35">
      <c r="B140" s="282">
        <f>'4060'!$B$1</f>
        <v>4060</v>
      </c>
      <c r="C140" s="40">
        <v>2000</v>
      </c>
      <c r="D140" s="40">
        <v>2000</v>
      </c>
      <c r="E140" s="40">
        <v>2000</v>
      </c>
      <c r="F140" s="40">
        <v>2000</v>
      </c>
      <c r="G140" s="40">
        <v>2000</v>
      </c>
      <c r="H140" s="40">
        <v>2000</v>
      </c>
      <c r="I140" s="40">
        <v>2000</v>
      </c>
      <c r="J140" s="40">
        <v>2000</v>
      </c>
      <c r="K140" s="40">
        <v>2000</v>
      </c>
      <c r="L140" s="40">
        <v>2000</v>
      </c>
      <c r="M140" s="40">
        <v>2000</v>
      </c>
      <c r="N140" s="40">
        <v>2000</v>
      </c>
      <c r="O140" s="482">
        <f t="shared" ref="O140:O145" si="39">SUM(C140:N140)</f>
        <v>24000</v>
      </c>
      <c r="P140" s="119"/>
    </row>
    <row r="141" spans="1:16" x14ac:dyDescent="0.35">
      <c r="B141" s="282">
        <f>'4070'!$B$1</f>
        <v>4070</v>
      </c>
      <c r="C141" s="40">
        <v>1300</v>
      </c>
      <c r="D141" s="40">
        <v>1300</v>
      </c>
      <c r="E141" s="40">
        <v>1300</v>
      </c>
      <c r="F141" s="40">
        <v>1300</v>
      </c>
      <c r="G141" s="40">
        <v>1300</v>
      </c>
      <c r="H141" s="40">
        <v>1300</v>
      </c>
      <c r="I141" s="40">
        <v>1300</v>
      </c>
      <c r="J141" s="40">
        <v>1300</v>
      </c>
      <c r="K141" s="40">
        <v>1300</v>
      </c>
      <c r="L141" s="40">
        <v>1300</v>
      </c>
      <c r="M141" s="40">
        <v>1300</v>
      </c>
      <c r="N141" s="40">
        <v>1300</v>
      </c>
      <c r="O141" s="482">
        <f t="shared" si="39"/>
        <v>15600</v>
      </c>
      <c r="P141" s="119"/>
    </row>
    <row r="142" spans="1:16" x14ac:dyDescent="0.35">
      <c r="B142" s="282">
        <f>'4080'!$B$1</f>
        <v>4080</v>
      </c>
      <c r="C142" s="40">
        <v>3000</v>
      </c>
      <c r="D142" s="40">
        <v>3000</v>
      </c>
      <c r="E142" s="40">
        <v>3000</v>
      </c>
      <c r="F142" s="40">
        <v>3000</v>
      </c>
      <c r="G142" s="40">
        <v>3000</v>
      </c>
      <c r="H142" s="40">
        <v>3000</v>
      </c>
      <c r="I142" s="40">
        <v>3000</v>
      </c>
      <c r="J142" s="40">
        <v>3000</v>
      </c>
      <c r="K142" s="40">
        <v>3000</v>
      </c>
      <c r="L142" s="40">
        <v>3000</v>
      </c>
      <c r="M142" s="40">
        <v>3000</v>
      </c>
      <c r="N142" s="40">
        <v>3000</v>
      </c>
      <c r="O142" s="482">
        <f t="shared" si="39"/>
        <v>36000</v>
      </c>
      <c r="P142" s="119"/>
    </row>
    <row r="143" spans="1:16" x14ac:dyDescent="0.35">
      <c r="B143" s="282" t="str">
        <f>'40A0'!$B$1</f>
        <v>40A0</v>
      </c>
      <c r="C143" s="40">
        <v>500</v>
      </c>
      <c r="D143" s="40">
        <v>500</v>
      </c>
      <c r="E143" s="40">
        <v>500</v>
      </c>
      <c r="F143" s="40">
        <v>500</v>
      </c>
      <c r="G143" s="40">
        <v>500</v>
      </c>
      <c r="H143" s="40">
        <v>500</v>
      </c>
      <c r="I143" s="40">
        <v>500</v>
      </c>
      <c r="J143" s="40">
        <v>500</v>
      </c>
      <c r="K143" s="40">
        <v>500</v>
      </c>
      <c r="L143" s="40">
        <v>500</v>
      </c>
      <c r="M143" s="40">
        <v>500</v>
      </c>
      <c r="N143" s="40">
        <v>500</v>
      </c>
      <c r="O143" s="482">
        <f t="shared" si="39"/>
        <v>6000</v>
      </c>
      <c r="P143" s="119"/>
    </row>
    <row r="144" spans="1:16" x14ac:dyDescent="0.35">
      <c r="B144" s="282" t="str">
        <f>'40B0'!$B$1</f>
        <v>40B0</v>
      </c>
      <c r="C144" s="40">
        <v>250</v>
      </c>
      <c r="D144" s="40">
        <v>250</v>
      </c>
      <c r="E144" s="40">
        <v>250</v>
      </c>
      <c r="F144" s="40">
        <v>250</v>
      </c>
      <c r="G144" s="40">
        <v>250</v>
      </c>
      <c r="H144" s="40">
        <v>250</v>
      </c>
      <c r="I144" s="40">
        <v>250</v>
      </c>
      <c r="J144" s="40">
        <v>250</v>
      </c>
      <c r="K144" s="40">
        <v>250</v>
      </c>
      <c r="L144" s="40">
        <v>250</v>
      </c>
      <c r="M144" s="40">
        <v>250</v>
      </c>
      <c r="N144" s="40">
        <v>250</v>
      </c>
      <c r="O144" s="482">
        <f t="shared" si="39"/>
        <v>3000</v>
      </c>
      <c r="P144" s="119"/>
    </row>
    <row r="145" spans="1:16" x14ac:dyDescent="0.35">
      <c r="B145" s="282" t="str">
        <f>'40C0'!$B$1</f>
        <v>40C0</v>
      </c>
      <c r="C145" s="42">
        <v>200</v>
      </c>
      <c r="D145" s="42">
        <v>20</v>
      </c>
      <c r="E145" s="42">
        <v>0</v>
      </c>
      <c r="F145" s="42">
        <v>200</v>
      </c>
      <c r="G145" s="42">
        <v>200</v>
      </c>
      <c r="H145" s="42">
        <v>200</v>
      </c>
      <c r="I145" s="42">
        <v>200</v>
      </c>
      <c r="J145" s="42">
        <v>200</v>
      </c>
      <c r="K145" s="42">
        <v>200</v>
      </c>
      <c r="L145" s="42">
        <v>200</v>
      </c>
      <c r="M145" s="42">
        <v>200</v>
      </c>
      <c r="N145" s="42">
        <v>200</v>
      </c>
      <c r="O145" s="483">
        <f t="shared" si="39"/>
        <v>2020</v>
      </c>
      <c r="P145" s="119"/>
    </row>
    <row r="146" spans="1:16" x14ac:dyDescent="0.35">
      <c r="B146" s="133" t="s">
        <v>357</v>
      </c>
      <c r="C146" s="36">
        <f t="shared" ref="C146:O146" si="40">SUM(C139:C145)</f>
        <v>7750</v>
      </c>
      <c r="D146" s="135">
        <f t="shared" si="40"/>
        <v>7570</v>
      </c>
      <c r="E146" s="135">
        <f t="shared" si="40"/>
        <v>7550</v>
      </c>
      <c r="F146" s="135">
        <f t="shared" si="40"/>
        <v>7750</v>
      </c>
      <c r="G146" s="135">
        <f t="shared" si="40"/>
        <v>7750</v>
      </c>
      <c r="H146" s="135">
        <f t="shared" si="40"/>
        <v>7750</v>
      </c>
      <c r="I146" s="135">
        <f t="shared" si="40"/>
        <v>7750</v>
      </c>
      <c r="J146" s="135">
        <f t="shared" si="40"/>
        <v>7750</v>
      </c>
      <c r="K146" s="135">
        <f t="shared" si="40"/>
        <v>7750</v>
      </c>
      <c r="L146" s="135">
        <f t="shared" si="40"/>
        <v>7750</v>
      </c>
      <c r="M146" s="135">
        <f t="shared" si="40"/>
        <v>7750</v>
      </c>
      <c r="N146" s="135">
        <f t="shared" si="40"/>
        <v>7750</v>
      </c>
      <c r="O146" s="135">
        <f t="shared" si="40"/>
        <v>92620</v>
      </c>
      <c r="P146" s="125"/>
    </row>
    <row r="148" spans="1:16" ht="17.5" x14ac:dyDescent="0.35">
      <c r="A148" s="37" t="s">
        <v>552</v>
      </c>
      <c r="B148" s="37" t="s">
        <v>553</v>
      </c>
      <c r="M148" s="126"/>
      <c r="N148" s="126"/>
    </row>
    <row r="149" spans="1:16" x14ac:dyDescent="0.35">
      <c r="C149" s="123" t="s">
        <v>0</v>
      </c>
      <c r="D149" s="123" t="s">
        <v>1</v>
      </c>
      <c r="E149" s="123" t="s">
        <v>2</v>
      </c>
      <c r="F149" s="123" t="s">
        <v>3</v>
      </c>
      <c r="G149" s="123" t="s">
        <v>4</v>
      </c>
      <c r="H149" s="123" t="s">
        <v>5</v>
      </c>
      <c r="I149" s="123" t="s">
        <v>6</v>
      </c>
      <c r="J149" s="123" t="s">
        <v>7</v>
      </c>
      <c r="K149" s="123" t="s">
        <v>8</v>
      </c>
      <c r="L149" s="123" t="s">
        <v>9</v>
      </c>
      <c r="M149" s="123" t="s">
        <v>10</v>
      </c>
      <c r="N149" s="123" t="s">
        <v>11</v>
      </c>
      <c r="O149" s="481" t="s">
        <v>12</v>
      </c>
      <c r="P149" s="41"/>
    </row>
    <row r="150" spans="1:16" x14ac:dyDescent="0.35">
      <c r="B150" s="282">
        <f>'4050'!$B$1</f>
        <v>4050</v>
      </c>
      <c r="C150" s="40">
        <v>210</v>
      </c>
      <c r="D150" s="40">
        <v>210</v>
      </c>
      <c r="E150" s="40">
        <v>210</v>
      </c>
      <c r="F150" s="40">
        <v>210</v>
      </c>
      <c r="G150" s="40">
        <v>210</v>
      </c>
      <c r="H150" s="40">
        <v>210</v>
      </c>
      <c r="I150" s="40">
        <v>210</v>
      </c>
      <c r="J150" s="40">
        <v>210</v>
      </c>
      <c r="K150" s="40">
        <v>210</v>
      </c>
      <c r="L150" s="40">
        <v>210</v>
      </c>
      <c r="M150" s="40">
        <v>210</v>
      </c>
      <c r="N150" s="40">
        <v>210</v>
      </c>
      <c r="O150" s="482">
        <f>SUM(C150:N150)</f>
        <v>2520</v>
      </c>
      <c r="P150" s="119"/>
    </row>
    <row r="151" spans="1:16" x14ac:dyDescent="0.35">
      <c r="B151" s="282">
        <f>'4060'!$B$1</f>
        <v>4060</v>
      </c>
      <c r="C151" s="40">
        <v>90</v>
      </c>
      <c r="D151" s="40">
        <v>90</v>
      </c>
      <c r="E151" s="40">
        <v>90</v>
      </c>
      <c r="F151" s="40">
        <v>90</v>
      </c>
      <c r="G151" s="40">
        <v>90</v>
      </c>
      <c r="H151" s="40">
        <v>90</v>
      </c>
      <c r="I151" s="40">
        <v>90</v>
      </c>
      <c r="J151" s="40">
        <v>90</v>
      </c>
      <c r="K151" s="40">
        <v>90</v>
      </c>
      <c r="L151" s="40">
        <v>90</v>
      </c>
      <c r="M151" s="40">
        <v>90</v>
      </c>
      <c r="N151" s="40">
        <v>90</v>
      </c>
      <c r="O151" s="482">
        <f t="shared" ref="O151:O156" si="41">SUM(C151:N151)</f>
        <v>1080</v>
      </c>
      <c r="P151" s="119"/>
    </row>
    <row r="152" spans="1:16" x14ac:dyDescent="0.35">
      <c r="B152" s="282">
        <f>'4070'!$B$1</f>
        <v>4070</v>
      </c>
      <c r="C152" s="40">
        <v>205</v>
      </c>
      <c r="D152" s="40">
        <v>205</v>
      </c>
      <c r="E152" s="40">
        <v>205</v>
      </c>
      <c r="F152" s="40">
        <v>205</v>
      </c>
      <c r="G152" s="40">
        <v>205</v>
      </c>
      <c r="H152" s="40">
        <v>205</v>
      </c>
      <c r="I152" s="40">
        <v>205</v>
      </c>
      <c r="J152" s="40">
        <v>205</v>
      </c>
      <c r="K152" s="40">
        <v>205</v>
      </c>
      <c r="L152" s="40">
        <v>205</v>
      </c>
      <c r="M152" s="40">
        <v>205</v>
      </c>
      <c r="N152" s="40">
        <v>205</v>
      </c>
      <c r="O152" s="482">
        <f t="shared" si="41"/>
        <v>2460</v>
      </c>
      <c r="P152" s="119"/>
    </row>
    <row r="153" spans="1:16" x14ac:dyDescent="0.35">
      <c r="B153" s="282">
        <f>'4080'!$B$1</f>
        <v>4080</v>
      </c>
      <c r="C153" s="40">
        <v>180</v>
      </c>
      <c r="D153" s="40">
        <v>180</v>
      </c>
      <c r="E153" s="40">
        <v>180</v>
      </c>
      <c r="F153" s="40">
        <v>180</v>
      </c>
      <c r="G153" s="40">
        <v>180</v>
      </c>
      <c r="H153" s="40">
        <v>180</v>
      </c>
      <c r="I153" s="40">
        <v>180</v>
      </c>
      <c r="J153" s="40">
        <v>180</v>
      </c>
      <c r="K153" s="40">
        <v>180</v>
      </c>
      <c r="L153" s="40">
        <v>180</v>
      </c>
      <c r="M153" s="40">
        <v>180</v>
      </c>
      <c r="N153" s="40">
        <v>180</v>
      </c>
      <c r="O153" s="482">
        <f t="shared" si="41"/>
        <v>2160</v>
      </c>
      <c r="P153" s="119"/>
    </row>
    <row r="154" spans="1:16" x14ac:dyDescent="0.35">
      <c r="B154" s="282" t="str">
        <f>'40A0'!$B$1</f>
        <v>40A0</v>
      </c>
      <c r="C154" s="40">
        <v>105</v>
      </c>
      <c r="D154" s="40">
        <v>105</v>
      </c>
      <c r="E154" s="40">
        <v>105</v>
      </c>
      <c r="F154" s="40">
        <v>105</v>
      </c>
      <c r="G154" s="40">
        <v>105</v>
      </c>
      <c r="H154" s="40">
        <v>105</v>
      </c>
      <c r="I154" s="40">
        <v>105</v>
      </c>
      <c r="J154" s="40">
        <v>105</v>
      </c>
      <c r="K154" s="40">
        <v>105</v>
      </c>
      <c r="L154" s="40">
        <v>105</v>
      </c>
      <c r="M154" s="40">
        <v>105</v>
      </c>
      <c r="N154" s="40">
        <v>105</v>
      </c>
      <c r="O154" s="482">
        <f t="shared" si="41"/>
        <v>1260</v>
      </c>
      <c r="P154" s="119"/>
    </row>
    <row r="155" spans="1:16" x14ac:dyDescent="0.35">
      <c r="B155" s="282" t="str">
        <f>'40B0'!$B$1</f>
        <v>40B0</v>
      </c>
      <c r="C155" s="40">
        <v>0</v>
      </c>
      <c r="D155" s="40">
        <v>0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82">
        <f t="shared" si="41"/>
        <v>0</v>
      </c>
      <c r="P155" s="119"/>
    </row>
    <row r="156" spans="1:16" x14ac:dyDescent="0.35">
      <c r="B156" s="282" t="str">
        <f>'40C0'!$B$1</f>
        <v>40C0</v>
      </c>
      <c r="C156" s="42">
        <v>0</v>
      </c>
      <c r="D156" s="42">
        <v>0</v>
      </c>
      <c r="E156" s="42">
        <v>0</v>
      </c>
      <c r="F156" s="42">
        <v>0</v>
      </c>
      <c r="G156" s="42">
        <v>0</v>
      </c>
      <c r="H156" s="42">
        <v>0</v>
      </c>
      <c r="I156" s="42">
        <v>0</v>
      </c>
      <c r="J156" s="42">
        <v>0</v>
      </c>
      <c r="K156" s="42">
        <v>0</v>
      </c>
      <c r="L156" s="42">
        <v>0</v>
      </c>
      <c r="M156" s="42">
        <v>0</v>
      </c>
      <c r="N156" s="42">
        <v>0</v>
      </c>
      <c r="O156" s="483">
        <f t="shared" si="41"/>
        <v>0</v>
      </c>
      <c r="P156" s="119"/>
    </row>
    <row r="157" spans="1:16" x14ac:dyDescent="0.35">
      <c r="B157" s="133" t="s">
        <v>357</v>
      </c>
      <c r="C157" s="36">
        <f t="shared" ref="C157:O157" si="42">SUM(C150:C156)</f>
        <v>790</v>
      </c>
      <c r="D157" s="36">
        <f t="shared" si="42"/>
        <v>790</v>
      </c>
      <c r="E157" s="36">
        <f t="shared" si="42"/>
        <v>790</v>
      </c>
      <c r="F157" s="36">
        <f t="shared" si="42"/>
        <v>790</v>
      </c>
      <c r="G157" s="36">
        <f t="shared" si="42"/>
        <v>790</v>
      </c>
      <c r="H157" s="36">
        <f t="shared" si="42"/>
        <v>790</v>
      </c>
      <c r="I157" s="36">
        <f t="shared" si="42"/>
        <v>790</v>
      </c>
      <c r="J157" s="36">
        <f t="shared" si="42"/>
        <v>790</v>
      </c>
      <c r="K157" s="36">
        <f t="shared" si="42"/>
        <v>790</v>
      </c>
      <c r="L157" s="36">
        <f t="shared" si="42"/>
        <v>790</v>
      </c>
      <c r="M157" s="36">
        <f t="shared" si="42"/>
        <v>790</v>
      </c>
      <c r="N157" s="36">
        <f t="shared" si="42"/>
        <v>790</v>
      </c>
      <c r="O157" s="36">
        <f t="shared" si="42"/>
        <v>9480</v>
      </c>
      <c r="P157" s="125"/>
    </row>
    <row r="159" spans="1:16" ht="17.5" x14ac:dyDescent="0.35">
      <c r="A159" s="37" t="s">
        <v>552</v>
      </c>
      <c r="B159" s="37" t="s">
        <v>554</v>
      </c>
      <c r="C159" s="41"/>
      <c r="N159" s="126"/>
    </row>
    <row r="160" spans="1:16" x14ac:dyDescent="0.35">
      <c r="C160" s="123" t="s">
        <v>0</v>
      </c>
      <c r="D160" s="123" t="s">
        <v>1</v>
      </c>
      <c r="E160" s="123" t="s">
        <v>2</v>
      </c>
      <c r="F160" s="123" t="s">
        <v>3</v>
      </c>
      <c r="G160" s="123" t="s">
        <v>4</v>
      </c>
      <c r="H160" s="123" t="s">
        <v>5</v>
      </c>
      <c r="I160" s="123" t="s">
        <v>6</v>
      </c>
      <c r="J160" s="123" t="s">
        <v>7</v>
      </c>
      <c r="K160" s="123" t="s">
        <v>8</v>
      </c>
      <c r="L160" s="123" t="s">
        <v>9</v>
      </c>
      <c r="M160" s="123" t="s">
        <v>10</v>
      </c>
      <c r="N160" s="123" t="s">
        <v>11</v>
      </c>
      <c r="O160" s="481" t="s">
        <v>12</v>
      </c>
      <c r="P160" s="41"/>
    </row>
    <row r="161" spans="1:16" x14ac:dyDescent="0.35">
      <c r="B161" s="282">
        <f>'4050'!$B$1</f>
        <v>4050</v>
      </c>
      <c r="C161" s="40">
        <v>110</v>
      </c>
      <c r="D161" s="40">
        <v>110</v>
      </c>
      <c r="E161" s="40">
        <v>110</v>
      </c>
      <c r="F161" s="40">
        <v>110</v>
      </c>
      <c r="G161" s="40">
        <v>110</v>
      </c>
      <c r="H161" s="40">
        <v>110</v>
      </c>
      <c r="I161" s="40">
        <v>110</v>
      </c>
      <c r="J161" s="40">
        <v>110</v>
      </c>
      <c r="K161" s="40">
        <v>110</v>
      </c>
      <c r="L161" s="40">
        <v>110</v>
      </c>
      <c r="M161" s="40">
        <v>110</v>
      </c>
      <c r="N161" s="40">
        <v>110</v>
      </c>
      <c r="O161" s="482">
        <f>SUM(C161:N161)</f>
        <v>1320</v>
      </c>
      <c r="P161" s="119"/>
    </row>
    <row r="162" spans="1:16" x14ac:dyDescent="0.35">
      <c r="B162" s="282">
        <f>'4060'!$B$1</f>
        <v>4060</v>
      </c>
      <c r="C162" s="40">
        <v>220</v>
      </c>
      <c r="D162" s="40">
        <v>220</v>
      </c>
      <c r="E162" s="40">
        <v>220</v>
      </c>
      <c r="F162" s="40">
        <v>220</v>
      </c>
      <c r="G162" s="40">
        <v>220</v>
      </c>
      <c r="H162" s="40">
        <v>220</v>
      </c>
      <c r="I162" s="40">
        <v>220</v>
      </c>
      <c r="J162" s="40">
        <v>220</v>
      </c>
      <c r="K162" s="40">
        <v>220</v>
      </c>
      <c r="L162" s="40">
        <v>220</v>
      </c>
      <c r="M162" s="40">
        <v>220</v>
      </c>
      <c r="N162" s="40">
        <v>220</v>
      </c>
      <c r="O162" s="482">
        <f t="shared" ref="O162:O167" si="43">SUM(C162:N162)</f>
        <v>2640</v>
      </c>
      <c r="P162" s="119"/>
    </row>
    <row r="163" spans="1:16" x14ac:dyDescent="0.35">
      <c r="B163" s="282">
        <f>'4070'!$B$1</f>
        <v>4070</v>
      </c>
      <c r="C163" s="40">
        <v>55</v>
      </c>
      <c r="D163" s="40">
        <v>55</v>
      </c>
      <c r="E163" s="40">
        <v>55</v>
      </c>
      <c r="F163" s="40">
        <v>55</v>
      </c>
      <c r="G163" s="40">
        <v>55</v>
      </c>
      <c r="H163" s="40">
        <v>55</v>
      </c>
      <c r="I163" s="40">
        <v>55</v>
      </c>
      <c r="J163" s="40">
        <v>55</v>
      </c>
      <c r="K163" s="40">
        <v>55</v>
      </c>
      <c r="L163" s="40">
        <v>55</v>
      </c>
      <c r="M163" s="40">
        <v>55</v>
      </c>
      <c r="N163" s="40">
        <v>55</v>
      </c>
      <c r="O163" s="482">
        <f t="shared" si="43"/>
        <v>660</v>
      </c>
      <c r="P163" s="119"/>
    </row>
    <row r="164" spans="1:16" x14ac:dyDescent="0.35">
      <c r="B164" s="282">
        <f>'4080'!$B$1</f>
        <v>4080</v>
      </c>
      <c r="C164" s="40">
        <v>300</v>
      </c>
      <c r="D164" s="40">
        <v>300</v>
      </c>
      <c r="E164" s="40">
        <v>300</v>
      </c>
      <c r="F164" s="40">
        <v>300</v>
      </c>
      <c r="G164" s="40">
        <v>300</v>
      </c>
      <c r="H164" s="40">
        <v>300</v>
      </c>
      <c r="I164" s="40">
        <v>300</v>
      </c>
      <c r="J164" s="40">
        <v>300</v>
      </c>
      <c r="K164" s="40">
        <v>300</v>
      </c>
      <c r="L164" s="40">
        <v>300</v>
      </c>
      <c r="M164" s="40">
        <v>300</v>
      </c>
      <c r="N164" s="40">
        <v>300</v>
      </c>
      <c r="O164" s="482">
        <f t="shared" si="43"/>
        <v>3600</v>
      </c>
      <c r="P164" s="119"/>
    </row>
    <row r="165" spans="1:16" x14ac:dyDescent="0.35">
      <c r="B165" s="282" t="str">
        <f>'40A0'!$B$1</f>
        <v>40A0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82">
        <f t="shared" si="43"/>
        <v>0</v>
      </c>
      <c r="P165" s="119"/>
    </row>
    <row r="166" spans="1:16" x14ac:dyDescent="0.35">
      <c r="B166" s="282" t="str">
        <f>'40B0'!$B$1</f>
        <v>40B0</v>
      </c>
      <c r="C166" s="40">
        <v>0</v>
      </c>
      <c r="D166" s="40">
        <v>0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82">
        <f t="shared" si="43"/>
        <v>0</v>
      </c>
      <c r="P166" s="119"/>
    </row>
    <row r="167" spans="1:16" x14ac:dyDescent="0.35">
      <c r="B167" s="282" t="str">
        <f>'40C0'!$B$1</f>
        <v>40C0</v>
      </c>
      <c r="C167" s="42">
        <v>0</v>
      </c>
      <c r="D167" s="42">
        <v>0</v>
      </c>
      <c r="E167" s="42">
        <v>0</v>
      </c>
      <c r="F167" s="42">
        <v>0</v>
      </c>
      <c r="G167" s="42">
        <v>0</v>
      </c>
      <c r="H167" s="42">
        <v>0</v>
      </c>
      <c r="I167" s="42">
        <v>0</v>
      </c>
      <c r="J167" s="42">
        <v>0</v>
      </c>
      <c r="K167" s="42">
        <v>0</v>
      </c>
      <c r="L167" s="42">
        <v>0</v>
      </c>
      <c r="M167" s="42">
        <v>0</v>
      </c>
      <c r="N167" s="42">
        <v>0</v>
      </c>
      <c r="O167" s="483">
        <f t="shared" si="43"/>
        <v>0</v>
      </c>
      <c r="P167" s="478"/>
    </row>
    <row r="168" spans="1:16" x14ac:dyDescent="0.35">
      <c r="B168" s="133" t="s">
        <v>357</v>
      </c>
      <c r="C168" s="36">
        <f t="shared" ref="C168:O168" si="44">SUM(C161:C167)</f>
        <v>685</v>
      </c>
      <c r="D168" s="135">
        <f t="shared" si="44"/>
        <v>685</v>
      </c>
      <c r="E168" s="135">
        <f t="shared" si="44"/>
        <v>685</v>
      </c>
      <c r="F168" s="135">
        <f t="shared" si="44"/>
        <v>685</v>
      </c>
      <c r="G168" s="135">
        <f t="shared" si="44"/>
        <v>685</v>
      </c>
      <c r="H168" s="135">
        <f t="shared" si="44"/>
        <v>685</v>
      </c>
      <c r="I168" s="135">
        <f t="shared" si="44"/>
        <v>685</v>
      </c>
      <c r="J168" s="135">
        <f t="shared" si="44"/>
        <v>685</v>
      </c>
      <c r="K168" s="135">
        <f t="shared" si="44"/>
        <v>685</v>
      </c>
      <c r="L168" s="135">
        <f t="shared" si="44"/>
        <v>685</v>
      </c>
      <c r="M168" s="135">
        <f t="shared" si="44"/>
        <v>685</v>
      </c>
      <c r="N168" s="135">
        <f t="shared" si="44"/>
        <v>685</v>
      </c>
      <c r="O168" s="135">
        <f t="shared" si="44"/>
        <v>8220</v>
      </c>
      <c r="P168" s="125"/>
    </row>
    <row r="170" spans="1:16" ht="17.5" x14ac:dyDescent="0.35">
      <c r="A170" s="37" t="s">
        <v>552</v>
      </c>
      <c r="B170" s="37" t="s">
        <v>555</v>
      </c>
      <c r="C170" s="318"/>
      <c r="M170" s="126"/>
      <c r="N170" s="126"/>
    </row>
    <row r="171" spans="1:16" x14ac:dyDescent="0.35">
      <c r="C171" s="123" t="s">
        <v>0</v>
      </c>
      <c r="D171" s="123" t="s">
        <v>1</v>
      </c>
      <c r="E171" s="123" t="s">
        <v>2</v>
      </c>
      <c r="F171" s="123" t="s">
        <v>3</v>
      </c>
      <c r="G171" s="123" t="s">
        <v>4</v>
      </c>
      <c r="H171" s="123" t="s">
        <v>5</v>
      </c>
      <c r="I171" s="123" t="s">
        <v>6</v>
      </c>
      <c r="J171" s="123" t="s">
        <v>7</v>
      </c>
      <c r="K171" s="123" t="s">
        <v>8</v>
      </c>
      <c r="L171" s="123" t="s">
        <v>9</v>
      </c>
      <c r="M171" s="123" t="s">
        <v>10</v>
      </c>
      <c r="N171" s="123" t="s">
        <v>11</v>
      </c>
      <c r="O171" s="481" t="s">
        <v>12</v>
      </c>
      <c r="P171" s="41"/>
    </row>
    <row r="172" spans="1:16" x14ac:dyDescent="0.35">
      <c r="B172" s="282">
        <f>'4050'!$B$1</f>
        <v>4050</v>
      </c>
      <c r="C172" s="40">
        <v>0</v>
      </c>
      <c r="D172" s="40">
        <v>0</v>
      </c>
      <c r="E172" s="40">
        <v>0</v>
      </c>
      <c r="F172" s="40">
        <v>1646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1646</v>
      </c>
      <c r="M172" s="40">
        <v>0</v>
      </c>
      <c r="N172" s="40">
        <v>0</v>
      </c>
      <c r="O172" s="482">
        <f>SUM(C172:N172)</f>
        <v>3292</v>
      </c>
      <c r="P172" s="478"/>
    </row>
    <row r="173" spans="1:16" x14ac:dyDescent="0.35">
      <c r="B173" s="282">
        <f>'4060'!$B$1</f>
        <v>4060</v>
      </c>
      <c r="C173" s="40">
        <v>0</v>
      </c>
      <c r="D173" s="40">
        <v>0</v>
      </c>
      <c r="E173" s="40">
        <v>0</v>
      </c>
      <c r="F173" s="40">
        <v>7812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7812</v>
      </c>
      <c r="M173" s="40">
        <v>0</v>
      </c>
      <c r="N173" s="40">
        <v>0</v>
      </c>
      <c r="O173" s="482">
        <f t="shared" ref="O173:O178" si="45">SUM(C173:N173)</f>
        <v>15624</v>
      </c>
      <c r="P173" s="478"/>
    </row>
    <row r="174" spans="1:16" x14ac:dyDescent="0.35">
      <c r="B174" s="282">
        <f>'4070'!$B$1</f>
        <v>4070</v>
      </c>
      <c r="C174" s="40">
        <v>0</v>
      </c>
      <c r="D174" s="40">
        <v>0</v>
      </c>
      <c r="E174" s="40">
        <v>0</v>
      </c>
      <c r="F174" s="40">
        <v>3487</v>
      </c>
      <c r="G174" s="40">
        <v>0</v>
      </c>
      <c r="H174" s="40">
        <v>0</v>
      </c>
      <c r="I174" s="40">
        <v>0</v>
      </c>
      <c r="J174" s="40">
        <v>0</v>
      </c>
      <c r="K174" s="40">
        <v>0</v>
      </c>
      <c r="L174" s="40">
        <v>3487</v>
      </c>
      <c r="M174" s="40">
        <v>0</v>
      </c>
      <c r="N174" s="40">
        <v>0</v>
      </c>
      <c r="O174" s="482">
        <f t="shared" si="45"/>
        <v>6974</v>
      </c>
      <c r="P174" s="478"/>
    </row>
    <row r="175" spans="1:16" x14ac:dyDescent="0.35">
      <c r="B175" s="282">
        <f>'4080'!$B$1</f>
        <v>4080</v>
      </c>
      <c r="C175" s="40">
        <v>0</v>
      </c>
      <c r="D175" s="40">
        <v>0</v>
      </c>
      <c r="E175" s="40">
        <v>0</v>
      </c>
      <c r="F175" s="40">
        <v>4742</v>
      </c>
      <c r="G175" s="40">
        <v>0</v>
      </c>
      <c r="H175" s="40">
        <v>0</v>
      </c>
      <c r="I175" s="40">
        <v>0</v>
      </c>
      <c r="J175" s="40">
        <v>0</v>
      </c>
      <c r="K175" s="40">
        <v>0</v>
      </c>
      <c r="L175" s="40">
        <v>4742</v>
      </c>
      <c r="M175" s="40">
        <v>0</v>
      </c>
      <c r="N175" s="40">
        <v>0</v>
      </c>
      <c r="O175" s="482">
        <f t="shared" si="45"/>
        <v>9484</v>
      </c>
      <c r="P175" s="478"/>
    </row>
    <row r="176" spans="1:16" x14ac:dyDescent="0.35">
      <c r="B176" s="282" t="str">
        <f>'40A0'!$B$1</f>
        <v>40A0</v>
      </c>
      <c r="C176" s="40">
        <v>0</v>
      </c>
      <c r="D176" s="40">
        <v>0</v>
      </c>
      <c r="E176" s="40">
        <v>0</v>
      </c>
      <c r="F176" s="40">
        <v>159</v>
      </c>
      <c r="G176" s="40">
        <v>0</v>
      </c>
      <c r="H176" s="40">
        <v>0</v>
      </c>
      <c r="I176" s="40">
        <v>0</v>
      </c>
      <c r="J176" s="40">
        <v>0</v>
      </c>
      <c r="K176" s="40">
        <v>0</v>
      </c>
      <c r="L176" s="40">
        <v>159</v>
      </c>
      <c r="M176" s="40">
        <v>0</v>
      </c>
      <c r="N176" s="40">
        <v>0</v>
      </c>
      <c r="O176" s="482">
        <f t="shared" si="45"/>
        <v>318</v>
      </c>
      <c r="P176" s="478"/>
    </row>
    <row r="177" spans="1:16" x14ac:dyDescent="0.35">
      <c r="B177" s="282" t="str">
        <f>'40B0'!$B$1</f>
        <v>40B0</v>
      </c>
      <c r="C177" s="40">
        <v>0</v>
      </c>
      <c r="D177" s="40">
        <v>0</v>
      </c>
      <c r="E177" s="40">
        <v>0</v>
      </c>
      <c r="F177" s="40">
        <v>175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0">
        <v>175</v>
      </c>
      <c r="M177" s="40">
        <v>0</v>
      </c>
      <c r="N177" s="40">
        <v>0</v>
      </c>
      <c r="O177" s="482">
        <f t="shared" si="45"/>
        <v>350</v>
      </c>
      <c r="P177" s="478"/>
    </row>
    <row r="178" spans="1:16" x14ac:dyDescent="0.35">
      <c r="B178" s="282" t="str">
        <f>'40C0'!$B$1</f>
        <v>40C0</v>
      </c>
      <c r="C178" s="42">
        <v>0</v>
      </c>
      <c r="D178" s="42">
        <v>0</v>
      </c>
      <c r="E178" s="42">
        <v>0</v>
      </c>
      <c r="F178" s="42">
        <v>30</v>
      </c>
      <c r="G178" s="42">
        <v>0</v>
      </c>
      <c r="H178" s="42">
        <v>0</v>
      </c>
      <c r="I178" s="42">
        <v>0</v>
      </c>
      <c r="J178" s="42">
        <v>0</v>
      </c>
      <c r="K178" s="42">
        <v>0</v>
      </c>
      <c r="L178" s="42">
        <v>30</v>
      </c>
      <c r="M178" s="42">
        <v>0</v>
      </c>
      <c r="N178" s="42">
        <v>0</v>
      </c>
      <c r="O178" s="483">
        <f t="shared" si="45"/>
        <v>60</v>
      </c>
      <c r="P178" s="478"/>
    </row>
    <row r="179" spans="1:16" x14ac:dyDescent="0.35">
      <c r="B179" s="133" t="s">
        <v>357</v>
      </c>
      <c r="C179" s="36">
        <f t="shared" ref="C179:N179" si="46">SUM(C172:C178)</f>
        <v>0</v>
      </c>
      <c r="D179" s="36">
        <f t="shared" si="46"/>
        <v>0</v>
      </c>
      <c r="E179" s="36">
        <f t="shared" si="46"/>
        <v>0</v>
      </c>
      <c r="F179" s="36">
        <f t="shared" si="46"/>
        <v>18051</v>
      </c>
      <c r="G179" s="36">
        <f t="shared" si="46"/>
        <v>0</v>
      </c>
      <c r="H179" s="36">
        <f t="shared" si="46"/>
        <v>0</v>
      </c>
      <c r="I179" s="36">
        <f t="shared" si="46"/>
        <v>0</v>
      </c>
      <c r="J179" s="36">
        <f t="shared" si="46"/>
        <v>0</v>
      </c>
      <c r="K179" s="36">
        <f t="shared" si="46"/>
        <v>0</v>
      </c>
      <c r="L179" s="36">
        <f t="shared" si="46"/>
        <v>18051</v>
      </c>
      <c r="M179" s="36">
        <f t="shared" si="46"/>
        <v>0</v>
      </c>
      <c r="N179" s="36">
        <f t="shared" si="46"/>
        <v>0</v>
      </c>
      <c r="O179" s="135">
        <f t="shared" ref="O179" si="47">SUM(O172:O178)</f>
        <v>36102</v>
      </c>
      <c r="P179" s="125"/>
    </row>
    <row r="181" spans="1:16" ht="17.5" x14ac:dyDescent="0.35">
      <c r="A181" s="37" t="s">
        <v>552</v>
      </c>
      <c r="B181" s="37" t="s">
        <v>556</v>
      </c>
      <c r="M181" s="126"/>
      <c r="N181" s="126"/>
    </row>
    <row r="182" spans="1:16" x14ac:dyDescent="0.35">
      <c r="C182" s="123" t="s">
        <v>0</v>
      </c>
      <c r="D182" s="123" t="s">
        <v>1</v>
      </c>
      <c r="E182" s="123" t="s">
        <v>2</v>
      </c>
      <c r="F182" s="123" t="s">
        <v>3</v>
      </c>
      <c r="G182" s="123" t="s">
        <v>4</v>
      </c>
      <c r="H182" s="123" t="s">
        <v>5</v>
      </c>
      <c r="I182" s="123" t="s">
        <v>6</v>
      </c>
      <c r="J182" s="123" t="s">
        <v>7</v>
      </c>
      <c r="K182" s="123" t="s">
        <v>8</v>
      </c>
      <c r="L182" s="123" t="s">
        <v>9</v>
      </c>
      <c r="M182" s="123" t="s">
        <v>10</v>
      </c>
      <c r="N182" s="123" t="s">
        <v>11</v>
      </c>
      <c r="O182" s="481" t="s">
        <v>12</v>
      </c>
      <c r="P182" s="41"/>
    </row>
    <row r="183" spans="1:16" x14ac:dyDescent="0.35">
      <c r="B183" s="282">
        <f>'4050'!$B$1</f>
        <v>4050</v>
      </c>
      <c r="C183" s="40">
        <v>60</v>
      </c>
      <c r="D183" s="40">
        <v>60</v>
      </c>
      <c r="E183" s="40">
        <v>60</v>
      </c>
      <c r="F183" s="40">
        <v>60</v>
      </c>
      <c r="G183" s="40">
        <v>60</v>
      </c>
      <c r="H183" s="40">
        <v>60</v>
      </c>
      <c r="I183" s="40">
        <v>60</v>
      </c>
      <c r="J183" s="40">
        <v>60</v>
      </c>
      <c r="K183" s="40">
        <v>60</v>
      </c>
      <c r="L183" s="40">
        <v>60</v>
      </c>
      <c r="M183" s="40">
        <v>60</v>
      </c>
      <c r="N183" s="40">
        <v>60</v>
      </c>
      <c r="O183" s="482">
        <f>SUM(C183:N183)</f>
        <v>720</v>
      </c>
      <c r="P183" s="478"/>
    </row>
    <row r="184" spans="1:16" x14ac:dyDescent="0.35">
      <c r="B184" s="282">
        <f>'4060'!$B$1</f>
        <v>4060</v>
      </c>
      <c r="C184" s="40">
        <v>57</v>
      </c>
      <c r="D184" s="40">
        <v>57</v>
      </c>
      <c r="E184" s="40">
        <v>57</v>
      </c>
      <c r="F184" s="40">
        <v>57</v>
      </c>
      <c r="G184" s="40">
        <v>57</v>
      </c>
      <c r="H184" s="40">
        <v>57</v>
      </c>
      <c r="I184" s="40">
        <v>57</v>
      </c>
      <c r="J184" s="40">
        <v>57</v>
      </c>
      <c r="K184" s="40">
        <v>57</v>
      </c>
      <c r="L184" s="40">
        <v>57</v>
      </c>
      <c r="M184" s="40">
        <v>57</v>
      </c>
      <c r="N184" s="40"/>
      <c r="O184" s="482">
        <f t="shared" ref="O184:O189" si="48">SUM(C184:N184)</f>
        <v>627</v>
      </c>
      <c r="P184" s="478"/>
    </row>
    <row r="185" spans="1:16" x14ac:dyDescent="0.35">
      <c r="B185" s="282">
        <f>'4070'!$B$1</f>
        <v>4070</v>
      </c>
      <c r="C185" s="40">
        <v>86</v>
      </c>
      <c r="D185" s="40">
        <v>86</v>
      </c>
      <c r="E185" s="40">
        <v>86</v>
      </c>
      <c r="F185" s="40">
        <v>86</v>
      </c>
      <c r="G185" s="40">
        <v>86</v>
      </c>
      <c r="H185" s="40">
        <v>86</v>
      </c>
      <c r="I185" s="40">
        <v>86</v>
      </c>
      <c r="J185" s="40">
        <v>86</v>
      </c>
      <c r="K185" s="40">
        <v>86</v>
      </c>
      <c r="L185" s="40">
        <v>86</v>
      </c>
      <c r="M185" s="40">
        <v>86</v>
      </c>
      <c r="N185" s="40">
        <v>86</v>
      </c>
      <c r="O185" s="482">
        <f t="shared" si="48"/>
        <v>1032</v>
      </c>
      <c r="P185" s="478"/>
    </row>
    <row r="186" spans="1:16" x14ac:dyDescent="0.35">
      <c r="B186" s="282">
        <f>'4080'!$B$1</f>
        <v>4080</v>
      </c>
      <c r="C186" s="40">
        <v>333</v>
      </c>
      <c r="D186" s="40">
        <v>333</v>
      </c>
      <c r="E186" s="40">
        <v>333</v>
      </c>
      <c r="F186" s="40">
        <v>333</v>
      </c>
      <c r="G186" s="40">
        <v>333</v>
      </c>
      <c r="H186" s="40">
        <v>333</v>
      </c>
      <c r="I186" s="40">
        <v>333</v>
      </c>
      <c r="J186" s="40">
        <v>333</v>
      </c>
      <c r="K186" s="40">
        <v>333</v>
      </c>
      <c r="L186" s="40">
        <v>333</v>
      </c>
      <c r="M186" s="40">
        <v>333</v>
      </c>
      <c r="N186" s="40">
        <v>333</v>
      </c>
      <c r="O186" s="482">
        <f t="shared" si="48"/>
        <v>3996</v>
      </c>
      <c r="P186" s="478"/>
    </row>
    <row r="187" spans="1:16" x14ac:dyDescent="0.35">
      <c r="B187" s="282" t="str">
        <f>'40A0'!$B$1</f>
        <v>40A0</v>
      </c>
      <c r="C187" s="40">
        <v>0</v>
      </c>
      <c r="D187" s="40">
        <v>0</v>
      </c>
      <c r="E187" s="40">
        <v>0</v>
      </c>
      <c r="F187" s="40">
        <v>0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82">
        <f t="shared" si="48"/>
        <v>0</v>
      </c>
      <c r="P187" s="478"/>
    </row>
    <row r="188" spans="1:16" x14ac:dyDescent="0.35">
      <c r="B188" s="282" t="str">
        <f>'40B0'!$B$1</f>
        <v>40B0</v>
      </c>
      <c r="C188" s="40">
        <v>0</v>
      </c>
      <c r="D188" s="40">
        <v>0</v>
      </c>
      <c r="E188" s="40">
        <v>0</v>
      </c>
      <c r="F188" s="40">
        <v>0</v>
      </c>
      <c r="G188" s="40">
        <v>0</v>
      </c>
      <c r="H188" s="40">
        <v>0</v>
      </c>
      <c r="I188" s="40">
        <v>0</v>
      </c>
      <c r="J188" s="40">
        <v>0</v>
      </c>
      <c r="K188" s="40">
        <v>0</v>
      </c>
      <c r="L188" s="40">
        <v>0</v>
      </c>
      <c r="M188" s="40">
        <v>0</v>
      </c>
      <c r="N188" s="40">
        <v>0</v>
      </c>
      <c r="O188" s="482">
        <f t="shared" si="48"/>
        <v>0</v>
      </c>
      <c r="P188" s="478"/>
    </row>
    <row r="189" spans="1:16" x14ac:dyDescent="0.35">
      <c r="B189" s="282" t="str">
        <f>'40C0'!$B$1</f>
        <v>40C0</v>
      </c>
      <c r="C189" s="42">
        <v>0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83">
        <f t="shared" si="48"/>
        <v>0</v>
      </c>
      <c r="P189" s="478"/>
    </row>
    <row r="190" spans="1:16" x14ac:dyDescent="0.35">
      <c r="B190" s="133" t="s">
        <v>357</v>
      </c>
      <c r="C190" s="36">
        <f t="shared" ref="C190:O190" si="49">SUM(C183:C189)</f>
        <v>536</v>
      </c>
      <c r="D190" s="135">
        <f t="shared" si="49"/>
        <v>536</v>
      </c>
      <c r="E190" s="135">
        <f t="shared" si="49"/>
        <v>536</v>
      </c>
      <c r="F190" s="135">
        <f t="shared" si="49"/>
        <v>536</v>
      </c>
      <c r="G190" s="135">
        <f t="shared" si="49"/>
        <v>536</v>
      </c>
      <c r="H190" s="135">
        <f t="shared" si="49"/>
        <v>536</v>
      </c>
      <c r="I190" s="135">
        <f t="shared" si="49"/>
        <v>536</v>
      </c>
      <c r="J190" s="135">
        <f t="shared" si="49"/>
        <v>536</v>
      </c>
      <c r="K190" s="135">
        <f t="shared" si="49"/>
        <v>536</v>
      </c>
      <c r="L190" s="135">
        <f t="shared" si="49"/>
        <v>536</v>
      </c>
      <c r="M190" s="135">
        <f t="shared" si="49"/>
        <v>536</v>
      </c>
      <c r="N190" s="135">
        <f t="shared" si="49"/>
        <v>479</v>
      </c>
      <c r="O190" s="135">
        <f t="shared" si="49"/>
        <v>6375</v>
      </c>
      <c r="P190" s="125"/>
    </row>
    <row r="192" spans="1:16" ht="17.5" x14ac:dyDescent="0.35">
      <c r="A192" s="37" t="s">
        <v>552</v>
      </c>
      <c r="B192" s="37" t="s">
        <v>557</v>
      </c>
      <c r="M192" s="126"/>
      <c r="N192" s="126"/>
    </row>
    <row r="193" spans="1:16" x14ac:dyDescent="0.35">
      <c r="C193" s="123" t="s">
        <v>0</v>
      </c>
      <c r="D193" s="123" t="s">
        <v>1</v>
      </c>
      <c r="E193" s="123" t="s">
        <v>2</v>
      </c>
      <c r="F193" s="123" t="s">
        <v>3</v>
      </c>
      <c r="G193" s="123" t="s">
        <v>4</v>
      </c>
      <c r="H193" s="123" t="s">
        <v>5</v>
      </c>
      <c r="I193" s="123" t="s">
        <v>6</v>
      </c>
      <c r="J193" s="123" t="s">
        <v>7</v>
      </c>
      <c r="K193" s="123" t="s">
        <v>8</v>
      </c>
      <c r="L193" s="123" t="s">
        <v>9</v>
      </c>
      <c r="M193" s="123" t="s">
        <v>10</v>
      </c>
      <c r="N193" s="123" t="s">
        <v>11</v>
      </c>
      <c r="O193" s="481" t="s">
        <v>12</v>
      </c>
      <c r="P193" s="41"/>
    </row>
    <row r="194" spans="1:16" x14ac:dyDescent="0.35">
      <c r="B194" s="282">
        <f>'4050'!$B$1</f>
        <v>4050</v>
      </c>
      <c r="C194" s="40">
        <v>657</v>
      </c>
      <c r="D194" s="40">
        <v>657</v>
      </c>
      <c r="E194" s="40">
        <v>675</v>
      </c>
      <c r="F194" s="40">
        <v>657</v>
      </c>
      <c r="G194" s="40">
        <v>657</v>
      </c>
      <c r="H194" s="40">
        <v>657</v>
      </c>
      <c r="I194" s="40">
        <v>657</v>
      </c>
      <c r="J194" s="40">
        <v>657</v>
      </c>
      <c r="K194" s="40">
        <v>657</v>
      </c>
      <c r="L194" s="40">
        <v>657</v>
      </c>
      <c r="M194" s="40">
        <v>657</v>
      </c>
      <c r="N194" s="40">
        <v>657</v>
      </c>
      <c r="O194" s="482">
        <f>SUM(C194:N194)</f>
        <v>7902</v>
      </c>
      <c r="P194" s="478"/>
    </row>
    <row r="195" spans="1:16" x14ac:dyDescent="0.35">
      <c r="B195" s="282">
        <f>'4060'!$B$1</f>
        <v>4060</v>
      </c>
      <c r="C195" s="40">
        <v>772</v>
      </c>
      <c r="D195" s="40">
        <v>772</v>
      </c>
      <c r="E195" s="40">
        <v>772</v>
      </c>
      <c r="F195" s="40">
        <v>772</v>
      </c>
      <c r="G195" s="40">
        <v>772</v>
      </c>
      <c r="H195" s="40">
        <v>772</v>
      </c>
      <c r="I195" s="40">
        <v>772</v>
      </c>
      <c r="J195" s="40">
        <v>772</v>
      </c>
      <c r="K195" s="40">
        <v>772</v>
      </c>
      <c r="L195" s="40">
        <v>772</v>
      </c>
      <c r="M195" s="40">
        <v>772</v>
      </c>
      <c r="N195" s="40"/>
      <c r="O195" s="482">
        <f t="shared" ref="O195:O200" si="50">SUM(C195:N195)</f>
        <v>8492</v>
      </c>
      <c r="P195" s="478"/>
    </row>
    <row r="196" spans="1:16" x14ac:dyDescent="0.35">
      <c r="B196" s="282">
        <f>'4070'!$B$1</f>
        <v>4070</v>
      </c>
      <c r="C196" s="40">
        <v>746</v>
      </c>
      <c r="D196" s="40">
        <v>746</v>
      </c>
      <c r="E196" s="40">
        <v>746</v>
      </c>
      <c r="F196" s="40">
        <v>746</v>
      </c>
      <c r="G196" s="40">
        <v>746</v>
      </c>
      <c r="H196" s="40">
        <v>746</v>
      </c>
      <c r="I196" s="40">
        <v>746</v>
      </c>
      <c r="J196" s="40">
        <v>746</v>
      </c>
      <c r="K196" s="40">
        <v>746</v>
      </c>
      <c r="L196" s="40">
        <v>746</v>
      </c>
      <c r="M196" s="40">
        <v>746</v>
      </c>
      <c r="N196" s="40">
        <v>746</v>
      </c>
      <c r="O196" s="482">
        <f t="shared" si="50"/>
        <v>8952</v>
      </c>
      <c r="P196" s="478"/>
    </row>
    <row r="197" spans="1:16" x14ac:dyDescent="0.35">
      <c r="B197" s="282">
        <f>'4080'!$B$1</f>
        <v>4080</v>
      </c>
      <c r="C197" s="40">
        <v>1029</v>
      </c>
      <c r="D197" s="40">
        <v>1029</v>
      </c>
      <c r="E197" s="40">
        <v>1029</v>
      </c>
      <c r="F197" s="40">
        <v>1029</v>
      </c>
      <c r="G197" s="40">
        <v>1029</v>
      </c>
      <c r="H197" s="40">
        <v>1029</v>
      </c>
      <c r="I197" s="40">
        <v>1029</v>
      </c>
      <c r="J197" s="40">
        <v>1029</v>
      </c>
      <c r="K197" s="40">
        <v>1029</v>
      </c>
      <c r="L197" s="40">
        <v>1029</v>
      </c>
      <c r="M197" s="40">
        <v>1029</v>
      </c>
      <c r="N197" s="40">
        <v>1029</v>
      </c>
      <c r="O197" s="482">
        <f t="shared" si="50"/>
        <v>12348</v>
      </c>
      <c r="P197" s="478"/>
    </row>
    <row r="198" spans="1:16" x14ac:dyDescent="0.35">
      <c r="B198" s="282" t="str">
        <f>'40A0'!$B$1</f>
        <v>40A0</v>
      </c>
      <c r="C198" s="40">
        <v>0</v>
      </c>
      <c r="D198" s="40">
        <v>0</v>
      </c>
      <c r="E198" s="40">
        <v>0</v>
      </c>
      <c r="F198" s="40">
        <v>0</v>
      </c>
      <c r="G198" s="40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>
        <v>0</v>
      </c>
      <c r="N198" s="40">
        <v>0</v>
      </c>
      <c r="O198" s="482">
        <f t="shared" si="50"/>
        <v>0</v>
      </c>
      <c r="P198" s="478"/>
    </row>
    <row r="199" spans="1:16" x14ac:dyDescent="0.35">
      <c r="B199" s="282" t="str">
        <f>'40B0'!$B$1</f>
        <v>40B0</v>
      </c>
      <c r="C199" s="40">
        <v>0</v>
      </c>
      <c r="D199" s="40">
        <v>0</v>
      </c>
      <c r="E199" s="40">
        <v>0</v>
      </c>
      <c r="F199" s="40">
        <v>0</v>
      </c>
      <c r="G199" s="40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82">
        <f t="shared" si="50"/>
        <v>0</v>
      </c>
      <c r="P199" s="478"/>
    </row>
    <row r="200" spans="1:16" x14ac:dyDescent="0.35">
      <c r="B200" s="282" t="str">
        <f>'40C0'!$B$1</f>
        <v>40C0</v>
      </c>
      <c r="C200" s="42">
        <v>0</v>
      </c>
      <c r="D200" s="42">
        <v>0</v>
      </c>
      <c r="E200" s="42">
        <v>0</v>
      </c>
      <c r="F200" s="42">
        <v>0</v>
      </c>
      <c r="G200" s="42">
        <v>0</v>
      </c>
      <c r="H200" s="42">
        <v>0</v>
      </c>
      <c r="I200" s="42">
        <v>0</v>
      </c>
      <c r="J200" s="42">
        <v>0</v>
      </c>
      <c r="K200" s="42">
        <v>0</v>
      </c>
      <c r="L200" s="42">
        <v>0</v>
      </c>
      <c r="M200" s="42">
        <v>0</v>
      </c>
      <c r="N200" s="42">
        <v>0</v>
      </c>
      <c r="O200" s="483">
        <f t="shared" si="50"/>
        <v>0</v>
      </c>
      <c r="P200" s="478"/>
    </row>
    <row r="201" spans="1:16" x14ac:dyDescent="0.35">
      <c r="B201" s="133" t="s">
        <v>357</v>
      </c>
      <c r="C201" s="36">
        <f t="shared" ref="C201:O201" si="51">SUM(C194:C200)</f>
        <v>3204</v>
      </c>
      <c r="D201" s="135">
        <f t="shared" si="51"/>
        <v>3204</v>
      </c>
      <c r="E201" s="135">
        <f t="shared" si="51"/>
        <v>3222</v>
      </c>
      <c r="F201" s="135">
        <f t="shared" si="51"/>
        <v>3204</v>
      </c>
      <c r="G201" s="135">
        <f t="shared" si="51"/>
        <v>3204</v>
      </c>
      <c r="H201" s="135">
        <f t="shared" si="51"/>
        <v>3204</v>
      </c>
      <c r="I201" s="135">
        <f t="shared" si="51"/>
        <v>3204</v>
      </c>
      <c r="J201" s="135">
        <f t="shared" si="51"/>
        <v>3204</v>
      </c>
      <c r="K201" s="135">
        <f t="shared" si="51"/>
        <v>3204</v>
      </c>
      <c r="L201" s="135">
        <f t="shared" si="51"/>
        <v>3204</v>
      </c>
      <c r="M201" s="135">
        <f t="shared" si="51"/>
        <v>3204</v>
      </c>
      <c r="N201" s="135">
        <f t="shared" si="51"/>
        <v>2432</v>
      </c>
      <c r="O201" s="135">
        <f t="shared" si="51"/>
        <v>37694</v>
      </c>
      <c r="P201" s="125"/>
    </row>
    <row r="203" spans="1:16" ht="17.5" x14ac:dyDescent="0.35">
      <c r="A203" s="37" t="s">
        <v>552</v>
      </c>
      <c r="B203" s="37" t="s">
        <v>558</v>
      </c>
      <c r="M203" s="126"/>
      <c r="N203" s="126"/>
    </row>
    <row r="204" spans="1:16" x14ac:dyDescent="0.35">
      <c r="C204" s="123" t="s">
        <v>0</v>
      </c>
      <c r="D204" s="123" t="s">
        <v>1</v>
      </c>
      <c r="E204" s="123" t="s">
        <v>2</v>
      </c>
      <c r="F204" s="123" t="s">
        <v>3</v>
      </c>
      <c r="G204" s="123" t="s">
        <v>4</v>
      </c>
      <c r="H204" s="123" t="s">
        <v>5</v>
      </c>
      <c r="I204" s="123" t="s">
        <v>6</v>
      </c>
      <c r="J204" s="123" t="s">
        <v>7</v>
      </c>
      <c r="K204" s="123" t="s">
        <v>8</v>
      </c>
      <c r="L204" s="123" t="s">
        <v>9</v>
      </c>
      <c r="M204" s="123" t="s">
        <v>10</v>
      </c>
      <c r="N204" s="123" t="s">
        <v>11</v>
      </c>
      <c r="O204" s="481" t="s">
        <v>12</v>
      </c>
      <c r="P204" s="41"/>
    </row>
    <row r="205" spans="1:16" x14ac:dyDescent="0.35">
      <c r="B205" s="282">
        <f>'4050'!$B$1</f>
        <v>4050</v>
      </c>
      <c r="C205" s="40">
        <v>1700</v>
      </c>
      <c r="D205" s="40">
        <v>0</v>
      </c>
      <c r="E205" s="40">
        <v>0</v>
      </c>
      <c r="F205" s="40">
        <v>1700</v>
      </c>
      <c r="G205" s="40">
        <v>0</v>
      </c>
      <c r="H205" s="40">
        <v>0</v>
      </c>
      <c r="I205" s="40">
        <v>1700</v>
      </c>
      <c r="J205" s="40">
        <v>0</v>
      </c>
      <c r="K205" s="40">
        <v>0</v>
      </c>
      <c r="L205" s="40">
        <v>1700</v>
      </c>
      <c r="M205" s="40">
        <v>0</v>
      </c>
      <c r="N205" s="40">
        <v>0</v>
      </c>
      <c r="O205" s="482">
        <f>SUM(C205:N205)</f>
        <v>6800</v>
      </c>
      <c r="P205" s="478"/>
    </row>
    <row r="206" spans="1:16" x14ac:dyDescent="0.35">
      <c r="B206" s="282">
        <f>'4060'!$B$1</f>
        <v>4060</v>
      </c>
      <c r="C206" s="40">
        <v>0</v>
      </c>
      <c r="D206" s="40">
        <v>3050</v>
      </c>
      <c r="E206" s="40">
        <v>0</v>
      </c>
      <c r="F206" s="40">
        <v>0</v>
      </c>
      <c r="G206" s="40">
        <v>3050</v>
      </c>
      <c r="H206" s="40">
        <v>0</v>
      </c>
      <c r="I206" s="40">
        <v>0</v>
      </c>
      <c r="J206" s="40">
        <v>3050</v>
      </c>
      <c r="K206" s="40">
        <v>0</v>
      </c>
      <c r="L206" s="40">
        <v>0</v>
      </c>
      <c r="M206" s="40">
        <v>3050</v>
      </c>
      <c r="N206" s="40">
        <v>0</v>
      </c>
      <c r="O206" s="482">
        <f t="shared" ref="O206:O211" si="52">SUM(C206:N206)</f>
        <v>12200</v>
      </c>
      <c r="P206" s="478"/>
    </row>
    <row r="207" spans="1:16" x14ac:dyDescent="0.35">
      <c r="B207" s="282">
        <f>'4070'!$B$1</f>
        <v>4070</v>
      </c>
      <c r="C207" s="40">
        <v>1520</v>
      </c>
      <c r="D207" s="40">
        <v>0</v>
      </c>
      <c r="E207" s="40">
        <v>0</v>
      </c>
      <c r="F207" s="40">
        <v>1520</v>
      </c>
      <c r="G207" s="40">
        <v>0</v>
      </c>
      <c r="H207" s="40">
        <v>0</v>
      </c>
      <c r="I207" s="40">
        <v>1520</v>
      </c>
      <c r="J207" s="40">
        <v>0</v>
      </c>
      <c r="K207" s="40">
        <v>0</v>
      </c>
      <c r="L207" s="40">
        <v>1520</v>
      </c>
      <c r="M207" s="40">
        <v>0</v>
      </c>
      <c r="N207" s="40">
        <v>0</v>
      </c>
      <c r="O207" s="482">
        <f t="shared" si="52"/>
        <v>6080</v>
      </c>
      <c r="P207" s="478"/>
    </row>
    <row r="208" spans="1:16" x14ac:dyDescent="0.35">
      <c r="B208" s="282">
        <f>'4080'!$B$1</f>
        <v>4080</v>
      </c>
      <c r="C208" s="40">
        <v>2392</v>
      </c>
      <c r="D208" s="40">
        <v>0</v>
      </c>
      <c r="E208" s="40">
        <v>0</v>
      </c>
      <c r="F208" s="40">
        <v>2392</v>
      </c>
      <c r="G208" s="40">
        <v>0</v>
      </c>
      <c r="H208" s="40">
        <v>0</v>
      </c>
      <c r="I208" s="40">
        <v>2392</v>
      </c>
      <c r="J208" s="40">
        <v>0</v>
      </c>
      <c r="K208" s="40">
        <v>0</v>
      </c>
      <c r="L208" s="40">
        <v>2392</v>
      </c>
      <c r="M208" s="40">
        <v>0</v>
      </c>
      <c r="N208" s="40">
        <v>0</v>
      </c>
      <c r="O208" s="482">
        <f t="shared" si="52"/>
        <v>9568</v>
      </c>
      <c r="P208" s="478"/>
    </row>
    <row r="209" spans="1:16" x14ac:dyDescent="0.35">
      <c r="B209" s="282" t="str">
        <f>'40A0'!$B$1</f>
        <v>40A0</v>
      </c>
      <c r="C209" s="40">
        <v>0</v>
      </c>
      <c r="D209" s="40">
        <v>0</v>
      </c>
      <c r="E209" s="40">
        <v>0</v>
      </c>
      <c r="F209" s="40">
        <v>0</v>
      </c>
      <c r="G209" s="40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82">
        <f t="shared" si="52"/>
        <v>0</v>
      </c>
      <c r="P209" s="478"/>
    </row>
    <row r="210" spans="1:16" x14ac:dyDescent="0.35">
      <c r="B210" s="282" t="str">
        <f>'40B0'!$B$1</f>
        <v>40B0</v>
      </c>
      <c r="C210" s="40">
        <v>0</v>
      </c>
      <c r="D210" s="40">
        <v>0</v>
      </c>
      <c r="E210" s="40">
        <v>0</v>
      </c>
      <c r="F210" s="40">
        <v>0</v>
      </c>
      <c r="G210" s="40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82">
        <f t="shared" si="52"/>
        <v>0</v>
      </c>
      <c r="P210" s="478"/>
    </row>
    <row r="211" spans="1:16" x14ac:dyDescent="0.35">
      <c r="B211" s="282" t="str">
        <f>'40C0'!$B$1</f>
        <v>40C0</v>
      </c>
      <c r="C211" s="42">
        <v>0</v>
      </c>
      <c r="D211" s="42">
        <v>0</v>
      </c>
      <c r="E211" s="42">
        <v>0</v>
      </c>
      <c r="F211" s="42">
        <v>0</v>
      </c>
      <c r="G211" s="42">
        <v>0</v>
      </c>
      <c r="H211" s="42">
        <v>0</v>
      </c>
      <c r="I211" s="42">
        <v>0</v>
      </c>
      <c r="J211" s="42">
        <v>0</v>
      </c>
      <c r="K211" s="42">
        <v>0</v>
      </c>
      <c r="L211" s="42">
        <v>0</v>
      </c>
      <c r="M211" s="42">
        <v>0</v>
      </c>
      <c r="N211" s="42">
        <v>0</v>
      </c>
      <c r="O211" s="483">
        <f t="shared" si="52"/>
        <v>0</v>
      </c>
      <c r="P211" s="478"/>
    </row>
    <row r="212" spans="1:16" x14ac:dyDescent="0.35">
      <c r="B212" s="133" t="s">
        <v>357</v>
      </c>
      <c r="C212" s="36">
        <f t="shared" ref="C212:O212" si="53">SUM(C205:C211)</f>
        <v>5612</v>
      </c>
      <c r="D212" s="135">
        <f t="shared" si="53"/>
        <v>3050</v>
      </c>
      <c r="E212" s="135">
        <f t="shared" si="53"/>
        <v>0</v>
      </c>
      <c r="F212" s="135">
        <f t="shared" si="53"/>
        <v>5612</v>
      </c>
      <c r="G212" s="135">
        <f t="shared" si="53"/>
        <v>3050</v>
      </c>
      <c r="H212" s="135">
        <f t="shared" si="53"/>
        <v>0</v>
      </c>
      <c r="I212" s="135">
        <f t="shared" si="53"/>
        <v>5612</v>
      </c>
      <c r="J212" s="135">
        <f t="shared" si="53"/>
        <v>3050</v>
      </c>
      <c r="K212" s="135">
        <f t="shared" si="53"/>
        <v>0</v>
      </c>
      <c r="L212" s="135">
        <f t="shared" si="53"/>
        <v>5612</v>
      </c>
      <c r="M212" s="135">
        <f t="shared" si="53"/>
        <v>3050</v>
      </c>
      <c r="N212" s="135">
        <f t="shared" si="53"/>
        <v>0</v>
      </c>
      <c r="O212" s="135">
        <f t="shared" si="53"/>
        <v>34648</v>
      </c>
      <c r="P212" s="125"/>
    </row>
    <row r="214" spans="1:16" ht="17.5" x14ac:dyDescent="0.35">
      <c r="A214" s="37" t="s">
        <v>552</v>
      </c>
      <c r="B214" s="37" t="s">
        <v>559</v>
      </c>
      <c r="M214" s="126"/>
      <c r="N214" s="126"/>
    </row>
    <row r="215" spans="1:16" x14ac:dyDescent="0.35">
      <c r="C215" s="123" t="s">
        <v>0</v>
      </c>
      <c r="D215" s="123" t="s">
        <v>1</v>
      </c>
      <c r="E215" s="123" t="s">
        <v>2</v>
      </c>
      <c r="F215" s="123" t="s">
        <v>3</v>
      </c>
      <c r="G215" s="123" t="s">
        <v>4</v>
      </c>
      <c r="H215" s="123" t="s">
        <v>5</v>
      </c>
      <c r="I215" s="123" t="s">
        <v>6</v>
      </c>
      <c r="J215" s="123" t="s">
        <v>7</v>
      </c>
      <c r="K215" s="123" t="s">
        <v>8</v>
      </c>
      <c r="L215" s="123" t="s">
        <v>9</v>
      </c>
      <c r="M215" s="123" t="s">
        <v>10</v>
      </c>
      <c r="N215" s="123" t="s">
        <v>11</v>
      </c>
      <c r="O215" s="481" t="s">
        <v>12</v>
      </c>
      <c r="P215" s="41"/>
    </row>
    <row r="216" spans="1:16" x14ac:dyDescent="0.35">
      <c r="B216" s="282">
        <f>'4050'!$B$1</f>
        <v>4050</v>
      </c>
      <c r="C216" s="40">
        <v>0</v>
      </c>
      <c r="D216" s="40">
        <v>0</v>
      </c>
      <c r="E216" s="40">
        <v>5616</v>
      </c>
      <c r="F216" s="40">
        <v>0</v>
      </c>
      <c r="G216" s="40">
        <v>0</v>
      </c>
      <c r="H216" s="40">
        <v>5616</v>
      </c>
      <c r="I216" s="40">
        <v>0</v>
      </c>
      <c r="J216" s="40">
        <v>0</v>
      </c>
      <c r="K216" s="40">
        <v>5616</v>
      </c>
      <c r="L216" s="40">
        <v>0</v>
      </c>
      <c r="M216" s="40">
        <v>0</v>
      </c>
      <c r="N216" s="40">
        <v>5616</v>
      </c>
      <c r="O216" s="482">
        <f>SUM(C216:N216)</f>
        <v>22464</v>
      </c>
      <c r="P216" s="478"/>
    </row>
    <row r="217" spans="1:16" x14ac:dyDescent="0.35">
      <c r="B217" s="282">
        <f>'4060'!$B$1</f>
        <v>4060</v>
      </c>
      <c r="C217" s="40">
        <v>0</v>
      </c>
      <c r="D217" s="40">
        <v>0</v>
      </c>
      <c r="E217" s="40">
        <v>5876</v>
      </c>
      <c r="F217" s="40">
        <v>0</v>
      </c>
      <c r="G217" s="40">
        <v>0</v>
      </c>
      <c r="H217" s="40">
        <v>5876</v>
      </c>
      <c r="I217" s="40">
        <v>0</v>
      </c>
      <c r="J217" s="40">
        <v>0</v>
      </c>
      <c r="K217" s="40">
        <v>5876</v>
      </c>
      <c r="L217" s="40">
        <v>0</v>
      </c>
      <c r="M217" s="40">
        <v>0</v>
      </c>
      <c r="N217" s="40">
        <v>0</v>
      </c>
      <c r="O217" s="482">
        <f t="shared" ref="O217:O222" si="54">SUM(C217:N217)</f>
        <v>17628</v>
      </c>
      <c r="P217" s="478"/>
    </row>
    <row r="218" spans="1:16" x14ac:dyDescent="0.35">
      <c r="B218" s="282">
        <f>'4070'!$B$1</f>
        <v>4070</v>
      </c>
      <c r="C218" s="40">
        <v>0</v>
      </c>
      <c r="D218" s="40">
        <v>0</v>
      </c>
      <c r="E218" s="40">
        <v>4888</v>
      </c>
      <c r="F218" s="40">
        <v>0</v>
      </c>
      <c r="G218" s="40">
        <v>0</v>
      </c>
      <c r="H218" s="40">
        <v>4888</v>
      </c>
      <c r="I218" s="40">
        <v>0</v>
      </c>
      <c r="J218" s="40">
        <v>0</v>
      </c>
      <c r="K218" s="40">
        <v>4888</v>
      </c>
      <c r="L218" s="40">
        <v>0</v>
      </c>
      <c r="M218" s="40">
        <v>0</v>
      </c>
      <c r="N218" s="40">
        <v>4888</v>
      </c>
      <c r="O218" s="482">
        <f t="shared" si="54"/>
        <v>19552</v>
      </c>
      <c r="P218" s="478"/>
    </row>
    <row r="219" spans="1:16" x14ac:dyDescent="0.35">
      <c r="B219" s="282">
        <f>'4080'!$B$1</f>
        <v>4080</v>
      </c>
      <c r="C219" s="40">
        <v>0</v>
      </c>
      <c r="D219" s="40">
        <v>0</v>
      </c>
      <c r="E219" s="40">
        <v>9865</v>
      </c>
      <c r="F219" s="40">
        <v>0</v>
      </c>
      <c r="G219" s="40">
        <v>0</v>
      </c>
      <c r="H219" s="40">
        <v>9865</v>
      </c>
      <c r="I219" s="40">
        <v>0</v>
      </c>
      <c r="J219" s="40">
        <v>0</v>
      </c>
      <c r="K219" s="40">
        <v>9865</v>
      </c>
      <c r="L219" s="40">
        <v>0</v>
      </c>
      <c r="M219" s="40">
        <v>0</v>
      </c>
      <c r="N219" s="40">
        <v>9865</v>
      </c>
      <c r="O219" s="482">
        <f t="shared" si="54"/>
        <v>39460</v>
      </c>
      <c r="P219" s="478"/>
    </row>
    <row r="220" spans="1:16" x14ac:dyDescent="0.35">
      <c r="B220" s="282" t="str">
        <f>'40A0'!$B$1</f>
        <v>40A0</v>
      </c>
      <c r="C220" s="40">
        <v>0</v>
      </c>
      <c r="D220" s="40">
        <v>825</v>
      </c>
      <c r="E220" s="40">
        <v>0</v>
      </c>
      <c r="F220" s="40">
        <v>0</v>
      </c>
      <c r="G220" s="40">
        <v>825</v>
      </c>
      <c r="H220" s="40">
        <v>0</v>
      </c>
      <c r="I220" s="40">
        <v>0</v>
      </c>
      <c r="J220" s="40">
        <v>825</v>
      </c>
      <c r="K220" s="40">
        <v>0</v>
      </c>
      <c r="L220" s="40">
        <v>0</v>
      </c>
      <c r="M220" s="40">
        <v>825</v>
      </c>
      <c r="N220" s="40">
        <v>0</v>
      </c>
      <c r="O220" s="482">
        <f t="shared" si="54"/>
        <v>3300</v>
      </c>
      <c r="P220" s="478"/>
    </row>
    <row r="221" spans="1:16" x14ac:dyDescent="0.35">
      <c r="B221" s="282" t="str">
        <f>'40B0'!$B$1</f>
        <v>40B0</v>
      </c>
      <c r="C221" s="40">
        <v>0</v>
      </c>
      <c r="D221" s="40">
        <v>450</v>
      </c>
      <c r="E221" s="40">
        <v>0</v>
      </c>
      <c r="F221" s="40">
        <v>0</v>
      </c>
      <c r="G221" s="40">
        <v>450</v>
      </c>
      <c r="H221" s="40">
        <v>0</v>
      </c>
      <c r="I221" s="40">
        <v>0</v>
      </c>
      <c r="J221" s="40">
        <v>450</v>
      </c>
      <c r="K221" s="40">
        <v>0</v>
      </c>
      <c r="L221" s="40">
        <v>0</v>
      </c>
      <c r="M221" s="40">
        <v>450</v>
      </c>
      <c r="N221" s="40">
        <v>0</v>
      </c>
      <c r="O221" s="482">
        <f t="shared" si="54"/>
        <v>1800</v>
      </c>
      <c r="P221" s="478"/>
    </row>
    <row r="222" spans="1:16" x14ac:dyDescent="0.35">
      <c r="B222" s="282" t="str">
        <f>'40C0'!$B$1</f>
        <v>40C0</v>
      </c>
      <c r="C222" s="42">
        <v>0</v>
      </c>
      <c r="D222" s="42">
        <v>0</v>
      </c>
      <c r="E222" s="42">
        <v>0</v>
      </c>
      <c r="F222" s="42">
        <v>0</v>
      </c>
      <c r="G222" s="42">
        <v>0</v>
      </c>
      <c r="H222" s="42">
        <v>0</v>
      </c>
      <c r="I222" s="42">
        <v>0</v>
      </c>
      <c r="J222" s="42">
        <v>0</v>
      </c>
      <c r="K222" s="42">
        <v>0</v>
      </c>
      <c r="L222" s="42">
        <v>0</v>
      </c>
      <c r="M222" s="42">
        <v>0</v>
      </c>
      <c r="N222" s="42">
        <v>0</v>
      </c>
      <c r="O222" s="483">
        <f t="shared" si="54"/>
        <v>0</v>
      </c>
      <c r="P222" s="478"/>
    </row>
    <row r="223" spans="1:16" x14ac:dyDescent="0.35">
      <c r="B223" s="133" t="s">
        <v>357</v>
      </c>
      <c r="C223" s="36">
        <f t="shared" ref="C223:O223" si="55">SUM(C216:C222)</f>
        <v>0</v>
      </c>
      <c r="D223" s="135">
        <f t="shared" si="55"/>
        <v>1275</v>
      </c>
      <c r="E223" s="135">
        <f t="shared" si="55"/>
        <v>26245</v>
      </c>
      <c r="F223" s="135">
        <f t="shared" si="55"/>
        <v>0</v>
      </c>
      <c r="G223" s="135">
        <f t="shared" si="55"/>
        <v>1275</v>
      </c>
      <c r="H223" s="135">
        <f t="shared" si="55"/>
        <v>26245</v>
      </c>
      <c r="I223" s="135">
        <f t="shared" si="55"/>
        <v>0</v>
      </c>
      <c r="J223" s="135">
        <f t="shared" si="55"/>
        <v>1275</v>
      </c>
      <c r="K223" s="135">
        <f t="shared" si="55"/>
        <v>26245</v>
      </c>
      <c r="L223" s="135">
        <f t="shared" si="55"/>
        <v>0</v>
      </c>
      <c r="M223" s="135">
        <f t="shared" si="55"/>
        <v>1275</v>
      </c>
      <c r="N223" s="135">
        <f t="shared" si="55"/>
        <v>20369</v>
      </c>
      <c r="O223" s="135">
        <f t="shared" si="55"/>
        <v>104204</v>
      </c>
      <c r="P223" s="125"/>
    </row>
    <row r="225" spans="1:16" ht="17.5" x14ac:dyDescent="0.35">
      <c r="A225" s="37" t="s">
        <v>560</v>
      </c>
      <c r="B225" s="37" t="s">
        <v>561</v>
      </c>
      <c r="M225" s="126"/>
      <c r="N225" s="126"/>
    </row>
    <row r="226" spans="1:16" x14ac:dyDescent="0.35">
      <c r="A226" s="34" t="s">
        <v>120</v>
      </c>
      <c r="C226" s="123" t="s">
        <v>0</v>
      </c>
      <c r="D226" s="123" t="s">
        <v>1</v>
      </c>
      <c r="E226" s="123" t="s">
        <v>2</v>
      </c>
      <c r="F226" s="123" t="s">
        <v>3</v>
      </c>
      <c r="G226" s="123" t="s">
        <v>4</v>
      </c>
      <c r="H226" s="123" t="s">
        <v>5</v>
      </c>
      <c r="I226" s="123" t="s">
        <v>6</v>
      </c>
      <c r="J226" s="123" t="s">
        <v>7</v>
      </c>
      <c r="K226" s="123" t="s">
        <v>8</v>
      </c>
      <c r="L226" s="123" t="s">
        <v>9</v>
      </c>
      <c r="M226" s="123" t="s">
        <v>10</v>
      </c>
      <c r="N226" s="123" t="s">
        <v>11</v>
      </c>
      <c r="O226" s="481" t="s">
        <v>12</v>
      </c>
      <c r="P226" s="41"/>
    </row>
    <row r="227" spans="1:16" x14ac:dyDescent="0.35">
      <c r="B227" s="282">
        <f>'4050'!$B$1</f>
        <v>4050</v>
      </c>
      <c r="C227" s="40">
        <v>100</v>
      </c>
      <c r="D227" s="40">
        <v>100</v>
      </c>
      <c r="E227" s="40">
        <v>100</v>
      </c>
      <c r="F227" s="40">
        <v>100</v>
      </c>
      <c r="G227" s="40">
        <v>100</v>
      </c>
      <c r="H227" s="40">
        <v>100</v>
      </c>
      <c r="I227" s="40">
        <v>100</v>
      </c>
      <c r="J227" s="40">
        <v>100</v>
      </c>
      <c r="K227" s="40">
        <v>100</v>
      </c>
      <c r="L227" s="40">
        <v>100</v>
      </c>
      <c r="M227" s="40">
        <v>100</v>
      </c>
      <c r="N227" s="40">
        <v>100</v>
      </c>
      <c r="O227" s="482">
        <f>SUM(C227:N227)</f>
        <v>1200</v>
      </c>
      <c r="P227" s="119"/>
    </row>
    <row r="228" spans="1:16" x14ac:dyDescent="0.35">
      <c r="B228" s="282">
        <f>'4060'!$B$1</f>
        <v>4060</v>
      </c>
      <c r="C228" s="40">
        <v>100</v>
      </c>
      <c r="D228" s="40">
        <v>100</v>
      </c>
      <c r="E228" s="40">
        <v>100</v>
      </c>
      <c r="F228" s="40">
        <v>100</v>
      </c>
      <c r="G228" s="40">
        <v>100</v>
      </c>
      <c r="H228" s="40">
        <v>100</v>
      </c>
      <c r="I228" s="40">
        <v>100</v>
      </c>
      <c r="J228" s="40">
        <v>100</v>
      </c>
      <c r="K228" s="40">
        <v>100</v>
      </c>
      <c r="L228" s="40">
        <v>100</v>
      </c>
      <c r="M228" s="40">
        <v>100</v>
      </c>
      <c r="N228" s="40">
        <v>100</v>
      </c>
      <c r="O228" s="482">
        <f t="shared" ref="O228:O233" si="56">SUM(C228:N228)</f>
        <v>1200</v>
      </c>
      <c r="P228" s="119"/>
    </row>
    <row r="229" spans="1:16" x14ac:dyDescent="0.35">
      <c r="B229" s="282">
        <f>'4070'!$B$1</f>
        <v>4070</v>
      </c>
      <c r="C229" s="40">
        <v>100</v>
      </c>
      <c r="D229" s="40">
        <v>100</v>
      </c>
      <c r="E229" s="40">
        <v>100</v>
      </c>
      <c r="F229" s="40">
        <v>100</v>
      </c>
      <c r="G229" s="40">
        <v>100</v>
      </c>
      <c r="H229" s="40">
        <v>100</v>
      </c>
      <c r="I229" s="40">
        <v>100</v>
      </c>
      <c r="J229" s="40">
        <v>100</v>
      </c>
      <c r="K229" s="40">
        <v>100</v>
      </c>
      <c r="L229" s="40">
        <v>100</v>
      </c>
      <c r="M229" s="40">
        <v>100</v>
      </c>
      <c r="N229" s="40">
        <v>100</v>
      </c>
      <c r="O229" s="482">
        <f t="shared" si="56"/>
        <v>1200</v>
      </c>
      <c r="P229" s="119"/>
    </row>
    <row r="230" spans="1:16" x14ac:dyDescent="0.35">
      <c r="B230" s="282">
        <f>'4080'!$B$1</f>
        <v>4080</v>
      </c>
      <c r="C230" s="40">
        <v>100</v>
      </c>
      <c r="D230" s="40">
        <v>100</v>
      </c>
      <c r="E230" s="40">
        <v>100</v>
      </c>
      <c r="F230" s="40">
        <v>100</v>
      </c>
      <c r="G230" s="40">
        <v>100</v>
      </c>
      <c r="H230" s="40">
        <v>100</v>
      </c>
      <c r="I230" s="40">
        <v>100</v>
      </c>
      <c r="J230" s="40">
        <v>100</v>
      </c>
      <c r="K230" s="40">
        <v>100</v>
      </c>
      <c r="L230" s="40">
        <v>100</v>
      </c>
      <c r="M230" s="40">
        <v>100</v>
      </c>
      <c r="N230" s="40">
        <v>100</v>
      </c>
      <c r="O230" s="482">
        <f t="shared" si="56"/>
        <v>1200</v>
      </c>
      <c r="P230" s="119"/>
    </row>
    <row r="231" spans="1:16" x14ac:dyDescent="0.35">
      <c r="B231" s="282" t="str">
        <f>'40A0'!$B$1</f>
        <v>40A0</v>
      </c>
      <c r="C231" s="40">
        <v>0</v>
      </c>
      <c r="D231" s="40">
        <v>0</v>
      </c>
      <c r="E231" s="40">
        <v>0</v>
      </c>
      <c r="F231" s="40">
        <v>0</v>
      </c>
      <c r="G231" s="40">
        <v>0</v>
      </c>
      <c r="H231" s="40">
        <v>150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82">
        <f t="shared" si="56"/>
        <v>150</v>
      </c>
      <c r="P231" s="119"/>
    </row>
    <row r="232" spans="1:16" x14ac:dyDescent="0.35">
      <c r="B232" s="282" t="str">
        <f>'40B0'!$B$1</f>
        <v>40B0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82">
        <f t="shared" si="56"/>
        <v>0</v>
      </c>
      <c r="P232" s="119"/>
    </row>
    <row r="233" spans="1:16" x14ac:dyDescent="0.35">
      <c r="B233" s="282" t="str">
        <f>'40C0'!$B$1</f>
        <v>40C0</v>
      </c>
      <c r="C233" s="42">
        <v>0</v>
      </c>
      <c r="D233" s="42">
        <v>0</v>
      </c>
      <c r="E233" s="42">
        <v>0</v>
      </c>
      <c r="F233" s="42">
        <v>0</v>
      </c>
      <c r="G233" s="42">
        <v>0</v>
      </c>
      <c r="H233" s="42">
        <v>0</v>
      </c>
      <c r="I233" s="42">
        <v>0</v>
      </c>
      <c r="J233" s="42">
        <v>0</v>
      </c>
      <c r="K233" s="42">
        <v>0</v>
      </c>
      <c r="L233" s="42">
        <v>0</v>
      </c>
      <c r="M233" s="42">
        <v>0</v>
      </c>
      <c r="N233" s="42">
        <v>0</v>
      </c>
      <c r="O233" s="483">
        <f t="shared" si="56"/>
        <v>0</v>
      </c>
      <c r="P233" s="119"/>
    </row>
    <row r="234" spans="1:16" x14ac:dyDescent="0.35">
      <c r="B234" s="133" t="s">
        <v>357</v>
      </c>
      <c r="C234" s="36">
        <f t="shared" ref="C234:O234" si="57">SUM(C227:C233)</f>
        <v>400</v>
      </c>
      <c r="D234" s="135">
        <f t="shared" si="57"/>
        <v>400</v>
      </c>
      <c r="E234" s="135">
        <f t="shared" si="57"/>
        <v>400</v>
      </c>
      <c r="F234" s="135">
        <f t="shared" si="57"/>
        <v>400</v>
      </c>
      <c r="G234" s="135">
        <f t="shared" si="57"/>
        <v>400</v>
      </c>
      <c r="H234" s="135">
        <f t="shared" si="57"/>
        <v>550</v>
      </c>
      <c r="I234" s="135">
        <f t="shared" si="57"/>
        <v>400</v>
      </c>
      <c r="J234" s="135">
        <f t="shared" si="57"/>
        <v>400</v>
      </c>
      <c r="K234" s="135">
        <f t="shared" si="57"/>
        <v>400</v>
      </c>
      <c r="L234" s="135">
        <f t="shared" si="57"/>
        <v>400</v>
      </c>
      <c r="M234" s="135">
        <f t="shared" si="57"/>
        <v>400</v>
      </c>
      <c r="N234" s="135">
        <f t="shared" si="57"/>
        <v>400</v>
      </c>
      <c r="O234" s="135">
        <f t="shared" si="57"/>
        <v>4950</v>
      </c>
      <c r="P234" s="125"/>
    </row>
    <row r="236" spans="1:16" ht="17.5" x14ac:dyDescent="0.35">
      <c r="A236" s="37" t="s">
        <v>560</v>
      </c>
      <c r="B236" s="37" t="s">
        <v>562</v>
      </c>
      <c r="M236" s="126"/>
      <c r="N236" s="126"/>
    </row>
    <row r="237" spans="1:16" x14ac:dyDescent="0.35">
      <c r="A237" s="34" t="s">
        <v>120</v>
      </c>
      <c r="C237" s="123" t="s">
        <v>0</v>
      </c>
      <c r="D237" s="123" t="s">
        <v>1</v>
      </c>
      <c r="E237" s="123" t="s">
        <v>2</v>
      </c>
      <c r="F237" s="123" t="s">
        <v>3</v>
      </c>
      <c r="G237" s="123" t="s">
        <v>4</v>
      </c>
      <c r="H237" s="123" t="s">
        <v>5</v>
      </c>
      <c r="I237" s="123" t="s">
        <v>6</v>
      </c>
      <c r="J237" s="123" t="s">
        <v>7</v>
      </c>
      <c r="K237" s="123" t="s">
        <v>8</v>
      </c>
      <c r="L237" s="123" t="s">
        <v>9</v>
      </c>
      <c r="M237" s="123" t="s">
        <v>10</v>
      </c>
      <c r="N237" s="123" t="s">
        <v>11</v>
      </c>
      <c r="O237" s="481" t="s">
        <v>12</v>
      </c>
      <c r="P237" s="41"/>
    </row>
    <row r="238" spans="1:16" x14ac:dyDescent="0.35">
      <c r="B238" s="282">
        <f>'4050'!$B$1</f>
        <v>4050</v>
      </c>
      <c r="C238" s="40">
        <v>165</v>
      </c>
      <c r="D238" s="40">
        <v>165</v>
      </c>
      <c r="E238" s="40">
        <v>165</v>
      </c>
      <c r="F238" s="40">
        <v>165</v>
      </c>
      <c r="G238" s="40">
        <v>165</v>
      </c>
      <c r="H238" s="40">
        <v>165</v>
      </c>
      <c r="I238" s="40">
        <v>165</v>
      </c>
      <c r="J238" s="40">
        <v>165</v>
      </c>
      <c r="K238" s="40">
        <v>165</v>
      </c>
      <c r="L238" s="40">
        <v>165</v>
      </c>
      <c r="M238" s="40">
        <v>165</v>
      </c>
      <c r="N238" s="40">
        <v>165</v>
      </c>
      <c r="O238" s="482">
        <f>SUM(C238:N238)</f>
        <v>1980</v>
      </c>
      <c r="P238" s="119"/>
    </row>
    <row r="239" spans="1:16" x14ac:dyDescent="0.35">
      <c r="B239" s="282">
        <f>'4060'!$B$1</f>
        <v>4060</v>
      </c>
      <c r="C239" s="40">
        <v>275</v>
      </c>
      <c r="D239" s="40">
        <v>275</v>
      </c>
      <c r="E239" s="40">
        <v>275</v>
      </c>
      <c r="F239" s="40">
        <v>275</v>
      </c>
      <c r="G239" s="40">
        <v>275</v>
      </c>
      <c r="H239" s="40">
        <v>275</v>
      </c>
      <c r="I239" s="40">
        <v>275</v>
      </c>
      <c r="J239" s="40">
        <v>275</v>
      </c>
      <c r="K239" s="40">
        <v>275</v>
      </c>
      <c r="L239" s="40">
        <v>275</v>
      </c>
      <c r="M239" s="40">
        <v>275</v>
      </c>
      <c r="N239" s="40"/>
      <c r="O239" s="482">
        <f t="shared" ref="O239:O244" si="58">SUM(C239:N239)</f>
        <v>3025</v>
      </c>
      <c r="P239" s="119"/>
    </row>
    <row r="240" spans="1:16" x14ac:dyDescent="0.35">
      <c r="B240" s="282">
        <f>'4070'!$B$1</f>
        <v>4070</v>
      </c>
      <c r="C240" s="40">
        <v>150</v>
      </c>
      <c r="D240" s="40">
        <v>150</v>
      </c>
      <c r="E240" s="40">
        <v>150</v>
      </c>
      <c r="F240" s="40">
        <v>150</v>
      </c>
      <c r="G240" s="40">
        <v>150</v>
      </c>
      <c r="H240" s="40">
        <v>150</v>
      </c>
      <c r="I240" s="40">
        <v>150</v>
      </c>
      <c r="J240" s="40">
        <v>150</v>
      </c>
      <c r="K240" s="40">
        <v>150</v>
      </c>
      <c r="L240" s="40">
        <v>150</v>
      </c>
      <c r="M240" s="40">
        <v>150</v>
      </c>
      <c r="N240" s="40">
        <v>150</v>
      </c>
      <c r="O240" s="482">
        <f t="shared" si="58"/>
        <v>1800</v>
      </c>
      <c r="P240" s="119"/>
    </row>
    <row r="241" spans="1:16" x14ac:dyDescent="0.35">
      <c r="B241" s="282">
        <f>'4080'!$B$1</f>
        <v>4080</v>
      </c>
      <c r="C241" s="40">
        <v>290</v>
      </c>
      <c r="D241" s="40">
        <v>290</v>
      </c>
      <c r="E241" s="40">
        <v>290</v>
      </c>
      <c r="F241" s="40">
        <v>290</v>
      </c>
      <c r="G241" s="40">
        <v>290</v>
      </c>
      <c r="H241" s="40">
        <v>290</v>
      </c>
      <c r="I241" s="40">
        <v>290</v>
      </c>
      <c r="J241" s="40">
        <v>290</v>
      </c>
      <c r="K241" s="40">
        <v>290</v>
      </c>
      <c r="L241" s="40">
        <v>290</v>
      </c>
      <c r="M241" s="40">
        <v>290</v>
      </c>
      <c r="N241" s="40">
        <v>290</v>
      </c>
      <c r="O241" s="482">
        <f t="shared" si="58"/>
        <v>3480</v>
      </c>
      <c r="P241" s="119"/>
    </row>
    <row r="242" spans="1:16" x14ac:dyDescent="0.35">
      <c r="B242" s="282" t="str">
        <f>'40A0'!$B$1</f>
        <v>40A0</v>
      </c>
      <c r="C242" s="40">
        <v>140</v>
      </c>
      <c r="D242" s="40">
        <v>140</v>
      </c>
      <c r="E242" s="40">
        <v>140</v>
      </c>
      <c r="F242" s="40">
        <v>140</v>
      </c>
      <c r="G242" s="40">
        <v>140</v>
      </c>
      <c r="H242" s="40">
        <v>140</v>
      </c>
      <c r="I242" s="40">
        <v>140</v>
      </c>
      <c r="J242" s="40">
        <v>140</v>
      </c>
      <c r="K242" s="40">
        <v>140</v>
      </c>
      <c r="L242" s="40">
        <v>140</v>
      </c>
      <c r="M242" s="40">
        <v>140</v>
      </c>
      <c r="N242" s="40">
        <v>140</v>
      </c>
      <c r="O242" s="482">
        <f t="shared" si="58"/>
        <v>1680</v>
      </c>
      <c r="P242" s="119"/>
    </row>
    <row r="243" spans="1:16" x14ac:dyDescent="0.35">
      <c r="B243" s="282" t="str">
        <f>'40B0'!$B$1</f>
        <v>40B0</v>
      </c>
      <c r="C243" s="40">
        <v>0</v>
      </c>
      <c r="D243" s="40">
        <v>0</v>
      </c>
      <c r="E243" s="40">
        <v>0</v>
      </c>
      <c r="F243" s="40">
        <v>0</v>
      </c>
      <c r="G243" s="40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82">
        <f t="shared" si="58"/>
        <v>0</v>
      </c>
      <c r="P243" s="119"/>
    </row>
    <row r="244" spans="1:16" x14ac:dyDescent="0.35">
      <c r="B244" s="282" t="str">
        <f>'40C0'!$B$1</f>
        <v>40C0</v>
      </c>
      <c r="C244" s="42">
        <v>0</v>
      </c>
      <c r="D244" s="42">
        <v>0</v>
      </c>
      <c r="E244" s="42">
        <v>0</v>
      </c>
      <c r="F244" s="42">
        <v>0</v>
      </c>
      <c r="G244" s="42">
        <v>0</v>
      </c>
      <c r="H244" s="42">
        <v>0</v>
      </c>
      <c r="I244" s="42">
        <v>0</v>
      </c>
      <c r="J244" s="42">
        <v>0</v>
      </c>
      <c r="K244" s="42">
        <v>0</v>
      </c>
      <c r="L244" s="42">
        <v>0</v>
      </c>
      <c r="M244" s="42">
        <v>0</v>
      </c>
      <c r="N244" s="42">
        <v>0</v>
      </c>
      <c r="O244" s="483">
        <f t="shared" si="58"/>
        <v>0</v>
      </c>
      <c r="P244" s="119"/>
    </row>
    <row r="245" spans="1:16" x14ac:dyDescent="0.35">
      <c r="B245" s="133" t="s">
        <v>357</v>
      </c>
      <c r="C245" s="36">
        <f t="shared" ref="C245:O245" si="59">SUM(C238:C244)</f>
        <v>1020</v>
      </c>
      <c r="D245" s="135">
        <f t="shared" si="59"/>
        <v>1020</v>
      </c>
      <c r="E245" s="135">
        <f t="shared" si="59"/>
        <v>1020</v>
      </c>
      <c r="F245" s="135">
        <f t="shared" si="59"/>
        <v>1020</v>
      </c>
      <c r="G245" s="135">
        <f t="shared" si="59"/>
        <v>1020</v>
      </c>
      <c r="H245" s="135">
        <f t="shared" si="59"/>
        <v>1020</v>
      </c>
      <c r="I245" s="135">
        <f t="shared" si="59"/>
        <v>1020</v>
      </c>
      <c r="J245" s="135">
        <f t="shared" si="59"/>
        <v>1020</v>
      </c>
      <c r="K245" s="135">
        <f t="shared" si="59"/>
        <v>1020</v>
      </c>
      <c r="L245" s="135">
        <f t="shared" si="59"/>
        <v>1020</v>
      </c>
      <c r="M245" s="135">
        <f t="shared" si="59"/>
        <v>1020</v>
      </c>
      <c r="N245" s="135">
        <f t="shared" si="59"/>
        <v>745</v>
      </c>
      <c r="O245" s="135">
        <f t="shared" si="59"/>
        <v>11965</v>
      </c>
      <c r="P245" s="125"/>
    </row>
    <row r="247" spans="1:16" ht="17.5" x14ac:dyDescent="0.35">
      <c r="A247" s="37" t="s">
        <v>560</v>
      </c>
      <c r="B247" s="37" t="s">
        <v>563</v>
      </c>
      <c r="C247" s="41"/>
      <c r="M247" s="126"/>
      <c r="N247" s="126"/>
    </row>
    <row r="248" spans="1:16" x14ac:dyDescent="0.35">
      <c r="A248" s="34" t="s">
        <v>120</v>
      </c>
      <c r="C248" s="123" t="s">
        <v>0</v>
      </c>
      <c r="D248" s="123" t="s">
        <v>1</v>
      </c>
      <c r="E248" s="123" t="s">
        <v>2</v>
      </c>
      <c r="F248" s="123" t="s">
        <v>3</v>
      </c>
      <c r="G248" s="123" t="s">
        <v>4</v>
      </c>
      <c r="H248" s="123" t="s">
        <v>5</v>
      </c>
      <c r="I248" s="123" t="s">
        <v>6</v>
      </c>
      <c r="J248" s="123" t="s">
        <v>7</v>
      </c>
      <c r="K248" s="123" t="s">
        <v>8</v>
      </c>
      <c r="L248" s="123" t="s">
        <v>9</v>
      </c>
      <c r="M248" s="123" t="s">
        <v>10</v>
      </c>
      <c r="N248" s="123" t="s">
        <v>11</v>
      </c>
      <c r="O248" s="481" t="s">
        <v>12</v>
      </c>
      <c r="P248" s="41"/>
    </row>
    <row r="249" spans="1:16" x14ac:dyDescent="0.35">
      <c r="B249" s="282">
        <f>'4050'!$B$1</f>
        <v>4050</v>
      </c>
      <c r="C249" s="40">
        <v>325</v>
      </c>
      <c r="D249" s="40">
        <v>325</v>
      </c>
      <c r="E249" s="40">
        <v>325</v>
      </c>
      <c r="F249" s="40">
        <v>325</v>
      </c>
      <c r="G249" s="40">
        <v>325</v>
      </c>
      <c r="H249" s="40">
        <v>325</v>
      </c>
      <c r="I249" s="40">
        <v>325</v>
      </c>
      <c r="J249" s="40">
        <v>325</v>
      </c>
      <c r="K249" s="40">
        <v>325</v>
      </c>
      <c r="L249" s="40">
        <v>325</v>
      </c>
      <c r="M249" s="40">
        <v>325</v>
      </c>
      <c r="N249" s="40">
        <v>325</v>
      </c>
      <c r="O249" s="482">
        <f>SUM(C249:N249)</f>
        <v>3900</v>
      </c>
      <c r="P249" s="119"/>
    </row>
    <row r="250" spans="1:16" x14ac:dyDescent="0.35">
      <c r="B250" s="282">
        <f>'4060'!$B$1</f>
        <v>4060</v>
      </c>
      <c r="C250" s="40">
        <v>700</v>
      </c>
      <c r="D250" s="40">
        <v>700</v>
      </c>
      <c r="E250" s="40">
        <v>700</v>
      </c>
      <c r="F250" s="40">
        <v>700</v>
      </c>
      <c r="G250" s="40">
        <v>700</v>
      </c>
      <c r="H250" s="40">
        <v>700</v>
      </c>
      <c r="I250" s="40">
        <v>700</v>
      </c>
      <c r="J250" s="40">
        <v>700</v>
      </c>
      <c r="K250" s="40">
        <v>700</v>
      </c>
      <c r="L250" s="40">
        <v>700</v>
      </c>
      <c r="M250" s="40">
        <v>700</v>
      </c>
      <c r="N250" s="40">
        <v>700</v>
      </c>
      <c r="O250" s="482">
        <f t="shared" ref="O250:O255" si="60">SUM(C250:N250)</f>
        <v>8400</v>
      </c>
      <c r="P250" s="119"/>
    </row>
    <row r="251" spans="1:16" x14ac:dyDescent="0.35">
      <c r="B251" s="282">
        <f>'4070'!$B$1</f>
        <v>4070</v>
      </c>
      <c r="C251" s="40">
        <v>250</v>
      </c>
      <c r="D251" s="40">
        <v>250</v>
      </c>
      <c r="E251" s="40">
        <v>250</v>
      </c>
      <c r="F251" s="40">
        <v>250</v>
      </c>
      <c r="G251" s="40">
        <v>250</v>
      </c>
      <c r="H251" s="40">
        <v>250</v>
      </c>
      <c r="I251" s="40">
        <v>250</v>
      </c>
      <c r="J251" s="40">
        <v>250</v>
      </c>
      <c r="K251" s="40">
        <v>250</v>
      </c>
      <c r="L251" s="40">
        <v>250</v>
      </c>
      <c r="M251" s="40">
        <v>250</v>
      </c>
      <c r="N251" s="40">
        <v>250</v>
      </c>
      <c r="O251" s="482">
        <f t="shared" si="60"/>
        <v>3000</v>
      </c>
      <c r="P251" s="119"/>
    </row>
    <row r="252" spans="1:16" x14ac:dyDescent="0.35">
      <c r="B252" s="282">
        <f>'4080'!$B$1</f>
        <v>4080</v>
      </c>
      <c r="C252" s="40">
        <v>950</v>
      </c>
      <c r="D252" s="40">
        <v>950</v>
      </c>
      <c r="E252" s="40">
        <v>950</v>
      </c>
      <c r="F252" s="40">
        <v>950</v>
      </c>
      <c r="G252" s="40">
        <v>950</v>
      </c>
      <c r="H252" s="40">
        <v>950</v>
      </c>
      <c r="I252" s="40">
        <v>950</v>
      </c>
      <c r="J252" s="40">
        <v>950</v>
      </c>
      <c r="K252" s="40">
        <v>950</v>
      </c>
      <c r="L252" s="40">
        <v>950</v>
      </c>
      <c r="M252" s="40">
        <v>950</v>
      </c>
      <c r="N252" s="40">
        <v>950</v>
      </c>
      <c r="O252" s="482">
        <f t="shared" si="60"/>
        <v>11400</v>
      </c>
      <c r="P252" s="119"/>
    </row>
    <row r="253" spans="1:16" x14ac:dyDescent="0.35">
      <c r="B253" s="282" t="str">
        <f>'40A0'!$B$1</f>
        <v>40A0</v>
      </c>
      <c r="C253" s="40">
        <v>300</v>
      </c>
      <c r="D253" s="40">
        <v>300</v>
      </c>
      <c r="E253" s="40">
        <v>300</v>
      </c>
      <c r="F253" s="40">
        <v>300</v>
      </c>
      <c r="G253" s="40">
        <v>300</v>
      </c>
      <c r="H253" s="40">
        <v>300</v>
      </c>
      <c r="I253" s="40">
        <v>300</v>
      </c>
      <c r="J253" s="40">
        <v>300</v>
      </c>
      <c r="K253" s="40">
        <v>300</v>
      </c>
      <c r="L253" s="40">
        <v>300</v>
      </c>
      <c r="M253" s="40">
        <v>300</v>
      </c>
      <c r="N253" s="40">
        <v>300</v>
      </c>
      <c r="O253" s="482">
        <f t="shared" si="60"/>
        <v>3600</v>
      </c>
      <c r="P253" s="119"/>
    </row>
    <row r="254" spans="1:16" x14ac:dyDescent="0.35">
      <c r="B254" s="282" t="str">
        <f>'40B0'!$B$1</f>
        <v>40B0</v>
      </c>
      <c r="C254" s="40">
        <v>200</v>
      </c>
      <c r="D254" s="40">
        <v>200</v>
      </c>
      <c r="E254" s="40">
        <v>200</v>
      </c>
      <c r="F254" s="40">
        <v>200</v>
      </c>
      <c r="G254" s="40">
        <v>200</v>
      </c>
      <c r="H254" s="40">
        <v>200</v>
      </c>
      <c r="I254" s="40">
        <v>200</v>
      </c>
      <c r="J254" s="40">
        <v>200</v>
      </c>
      <c r="K254" s="40">
        <v>200</v>
      </c>
      <c r="L254" s="40">
        <v>200</v>
      </c>
      <c r="M254" s="40">
        <v>200</v>
      </c>
      <c r="N254" s="40">
        <v>200</v>
      </c>
      <c r="O254" s="482">
        <f t="shared" si="60"/>
        <v>2400</v>
      </c>
      <c r="P254" s="119"/>
    </row>
    <row r="255" spans="1:16" x14ac:dyDescent="0.35">
      <c r="B255" s="282" t="str">
        <f>'40C0'!$B$1</f>
        <v>40C0</v>
      </c>
      <c r="C255" s="42">
        <v>0</v>
      </c>
      <c r="D255" s="42">
        <v>0</v>
      </c>
      <c r="E255" s="42">
        <v>0</v>
      </c>
      <c r="F255" s="42">
        <v>0</v>
      </c>
      <c r="G255" s="42">
        <v>0</v>
      </c>
      <c r="H255" s="42">
        <v>0</v>
      </c>
      <c r="I255" s="42">
        <v>0</v>
      </c>
      <c r="J255" s="42">
        <v>0</v>
      </c>
      <c r="K255" s="42">
        <v>0</v>
      </c>
      <c r="L255" s="42">
        <v>0</v>
      </c>
      <c r="M255" s="42">
        <v>0</v>
      </c>
      <c r="N255" s="42">
        <v>0</v>
      </c>
      <c r="O255" s="483">
        <f t="shared" si="60"/>
        <v>0</v>
      </c>
      <c r="P255" s="119"/>
    </row>
    <row r="256" spans="1:16" x14ac:dyDescent="0.35">
      <c r="B256" s="133" t="s">
        <v>357</v>
      </c>
      <c r="C256" s="36">
        <f t="shared" ref="C256:O256" si="61">SUM(C249:C255)</f>
        <v>2725</v>
      </c>
      <c r="D256" s="36">
        <f t="shared" si="61"/>
        <v>2725</v>
      </c>
      <c r="E256" s="36">
        <f t="shared" si="61"/>
        <v>2725</v>
      </c>
      <c r="F256" s="36">
        <f t="shared" si="61"/>
        <v>2725</v>
      </c>
      <c r="G256" s="36">
        <f t="shared" si="61"/>
        <v>2725</v>
      </c>
      <c r="H256" s="36">
        <f t="shared" si="61"/>
        <v>2725</v>
      </c>
      <c r="I256" s="36">
        <f t="shared" si="61"/>
        <v>2725</v>
      </c>
      <c r="J256" s="36">
        <f t="shared" si="61"/>
        <v>2725</v>
      </c>
      <c r="K256" s="36">
        <f t="shared" si="61"/>
        <v>2725</v>
      </c>
      <c r="L256" s="36">
        <f t="shared" si="61"/>
        <v>2725</v>
      </c>
      <c r="M256" s="36">
        <f t="shared" si="61"/>
        <v>2725</v>
      </c>
      <c r="N256" s="36">
        <f t="shared" si="61"/>
        <v>2725</v>
      </c>
      <c r="O256" s="135">
        <f t="shared" si="61"/>
        <v>32700</v>
      </c>
      <c r="P256" s="125"/>
    </row>
  </sheetData>
  <sheetProtection sheet="1" selectLockedCells="1"/>
  <printOptions horizontalCentered="1" verticalCentered="1"/>
  <pageMargins left="0.25" right="0.25" top="0.75" bottom="0.75" header="0.3" footer="0.3"/>
  <pageSetup scale="73" fitToHeight="0" orientation="landscape" verticalDpi="300" r:id="rId1"/>
  <headerFooter>
    <oddHeader>&amp;R&amp;D</oddHeader>
    <oddFooter>Page &amp;P of &amp;N</oddFooter>
  </headerFooter>
  <rowBreaks count="5" manualBreakCount="5">
    <brk id="37" max="14" man="1"/>
    <brk id="80" max="14" man="1"/>
    <brk id="114" max="14" man="1"/>
    <brk id="157" max="14" man="1"/>
    <brk id="191" max="1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C9C2-EC13-4E48-A795-D8C3F366F690}">
  <sheetPr>
    <tabColor rgb="FFFFC000"/>
  </sheetPr>
  <dimension ref="A1:Q36"/>
  <sheetViews>
    <sheetView tabSelected="1" view="pageBreakPreview" zoomScale="60" zoomScaleNormal="100" workbookViewId="0">
      <selection activeCell="A11" sqref="A11"/>
    </sheetView>
  </sheetViews>
  <sheetFormatPr defaultColWidth="8.54296875" defaultRowHeight="16" x14ac:dyDescent="0.35"/>
  <cols>
    <col min="1" max="1" width="17" style="34" customWidth="1"/>
    <col min="2" max="2" width="14.453125" style="34" customWidth="1"/>
    <col min="3" max="8" width="11.54296875" style="34" customWidth="1"/>
    <col min="9" max="9" width="10" style="34" bestFit="1" customWidth="1"/>
    <col min="10" max="14" width="9.54296875" style="34" bestFit="1" customWidth="1"/>
    <col min="15" max="15" width="12.453125" style="36" bestFit="1" customWidth="1"/>
    <col min="16" max="16" width="9.54296875" style="34" bestFit="1" customWidth="1"/>
    <col min="17" max="16384" width="8.54296875" style="34"/>
  </cols>
  <sheetData>
    <row r="1" spans="1:16" ht="29" x14ac:dyDescent="0.5">
      <c r="A1" s="35" t="s">
        <v>140</v>
      </c>
      <c r="C1" s="45" t="s">
        <v>39</v>
      </c>
      <c r="D1" s="476"/>
      <c r="E1" s="46"/>
      <c r="F1" s="46"/>
      <c r="G1" s="46"/>
      <c r="H1" s="46"/>
      <c r="I1" s="46"/>
      <c r="J1" s="46"/>
      <c r="K1" s="46"/>
      <c r="L1" s="46"/>
      <c r="M1" s="46"/>
      <c r="N1" s="46"/>
      <c r="O1" s="53">
        <f>'NI LLC-Consolidated'!Q1</f>
        <v>46023</v>
      </c>
      <c r="P1" s="46"/>
    </row>
    <row r="2" spans="1:16" ht="18" x14ac:dyDescent="0.35">
      <c r="C2" s="121" t="str">
        <f>'NI LLC-Consolidated'!J2</f>
        <v>Neshaminy Interplex LLC</v>
      </c>
      <c r="D2" s="476"/>
      <c r="E2" s="46"/>
      <c r="F2" s="46"/>
      <c r="G2" s="46"/>
      <c r="H2" s="46"/>
      <c r="I2" s="46"/>
      <c r="J2" s="46"/>
      <c r="K2" s="46"/>
      <c r="L2" s="46"/>
      <c r="M2" s="46"/>
      <c r="N2" s="46"/>
      <c r="O2" s="34"/>
      <c r="P2" s="46"/>
    </row>
    <row r="3" spans="1:16" x14ac:dyDescent="0.35">
      <c r="G3" s="97"/>
    </row>
    <row r="4" spans="1:16" ht="18" x14ac:dyDescent="0.35">
      <c r="A4" s="35"/>
      <c r="B4" s="37" t="s">
        <v>538</v>
      </c>
      <c r="M4" s="126"/>
      <c r="N4" s="126"/>
    </row>
    <row r="5" spans="1:16" x14ac:dyDescent="0.35">
      <c r="C5" s="123" t="s">
        <v>0</v>
      </c>
      <c r="D5" s="123" t="s">
        <v>1</v>
      </c>
      <c r="E5" s="123" t="s">
        <v>2</v>
      </c>
      <c r="F5" s="123" t="s">
        <v>3</v>
      </c>
      <c r="G5" s="123" t="s">
        <v>4</v>
      </c>
      <c r="H5" s="123" t="s">
        <v>5</v>
      </c>
      <c r="I5" s="123" t="s">
        <v>6</v>
      </c>
      <c r="J5" s="123" t="s">
        <v>7</v>
      </c>
      <c r="K5" s="123" t="s">
        <v>8</v>
      </c>
      <c r="L5" s="123" t="s">
        <v>9</v>
      </c>
      <c r="M5" s="123" t="s">
        <v>10</v>
      </c>
      <c r="N5" s="123" t="s">
        <v>11</v>
      </c>
      <c r="O5" s="481" t="s">
        <v>12</v>
      </c>
      <c r="P5" s="41"/>
    </row>
    <row r="6" spans="1:16" x14ac:dyDescent="0.35">
      <c r="B6" s="282">
        <f>'4050'!$B$1</f>
        <v>4050</v>
      </c>
      <c r="C6" s="77">
        <f>C18+C29</f>
        <v>803.4</v>
      </c>
      <c r="D6" s="77">
        <f t="shared" ref="D6:N6" si="0">D18+D29</f>
        <v>803.4</v>
      </c>
      <c r="E6" s="77">
        <f t="shared" si="0"/>
        <v>1323.5500000000002</v>
      </c>
      <c r="F6" s="77">
        <f t="shared" si="0"/>
        <v>803.4</v>
      </c>
      <c r="G6" s="77">
        <f t="shared" si="0"/>
        <v>803.4</v>
      </c>
      <c r="H6" s="77">
        <f t="shared" si="0"/>
        <v>1323.5500000000002</v>
      </c>
      <c r="I6" s="77">
        <f t="shared" si="0"/>
        <v>803.4</v>
      </c>
      <c r="J6" s="77">
        <f t="shared" si="0"/>
        <v>803.4</v>
      </c>
      <c r="K6" s="77">
        <f t="shared" si="0"/>
        <v>1323.5500000000002</v>
      </c>
      <c r="L6" s="77">
        <f t="shared" si="0"/>
        <v>803.4</v>
      </c>
      <c r="M6" s="77">
        <f t="shared" si="0"/>
        <v>803.4</v>
      </c>
      <c r="N6" s="77">
        <f t="shared" si="0"/>
        <v>1323.5500000000002</v>
      </c>
      <c r="O6" s="482">
        <f>SUM(C6:N6)</f>
        <v>11721.399999999998</v>
      </c>
      <c r="P6" s="119"/>
    </row>
    <row r="7" spans="1:16" x14ac:dyDescent="0.35">
      <c r="B7" s="282">
        <f>'4060'!$B$1</f>
        <v>4060</v>
      </c>
      <c r="C7" s="34">
        <f t="shared" ref="C7:N7" si="1">C19+C30</f>
        <v>1225.7</v>
      </c>
      <c r="D7" s="34">
        <f t="shared" si="1"/>
        <v>1225.7</v>
      </c>
      <c r="E7" s="34">
        <f t="shared" si="1"/>
        <v>2152.6999999999998</v>
      </c>
      <c r="F7" s="34">
        <f t="shared" si="1"/>
        <v>1225.7</v>
      </c>
      <c r="G7" s="34">
        <f t="shared" si="1"/>
        <v>1225.7</v>
      </c>
      <c r="H7" s="34">
        <f t="shared" si="1"/>
        <v>2152.6999999999998</v>
      </c>
      <c r="I7" s="34">
        <f t="shared" si="1"/>
        <v>1225.7</v>
      </c>
      <c r="J7" s="34">
        <f t="shared" si="1"/>
        <v>1225.7</v>
      </c>
      <c r="K7" s="34">
        <f t="shared" si="1"/>
        <v>2152.6999999999998</v>
      </c>
      <c r="L7" s="34">
        <f t="shared" si="1"/>
        <v>1225.7</v>
      </c>
      <c r="M7" s="34">
        <f t="shared" si="1"/>
        <v>1225.7</v>
      </c>
      <c r="N7" s="34">
        <f t="shared" si="1"/>
        <v>2152.6999999999998</v>
      </c>
      <c r="O7" s="482">
        <f t="shared" ref="O7:O12" si="2">SUM(C7:N7)</f>
        <v>18416.400000000005</v>
      </c>
      <c r="P7" s="119"/>
    </row>
    <row r="8" spans="1:16" x14ac:dyDescent="0.35">
      <c r="B8" s="282">
        <f>'4070'!$B$1</f>
        <v>4070</v>
      </c>
      <c r="C8" s="34">
        <f t="shared" ref="C8:N8" si="3">C20+C31</f>
        <v>1436.85</v>
      </c>
      <c r="D8" s="34">
        <f t="shared" si="3"/>
        <v>1436.85</v>
      </c>
      <c r="E8" s="34">
        <f t="shared" si="3"/>
        <v>2363.8500000000004</v>
      </c>
      <c r="F8" s="34">
        <f t="shared" si="3"/>
        <v>1436.85</v>
      </c>
      <c r="G8" s="34">
        <f t="shared" si="3"/>
        <v>1436.85</v>
      </c>
      <c r="H8" s="34">
        <f t="shared" si="3"/>
        <v>2363.8500000000004</v>
      </c>
      <c r="I8" s="34">
        <f t="shared" si="3"/>
        <v>1436.85</v>
      </c>
      <c r="J8" s="34">
        <f t="shared" si="3"/>
        <v>1436.85</v>
      </c>
      <c r="K8" s="34">
        <f t="shared" si="3"/>
        <v>2363.8500000000004</v>
      </c>
      <c r="L8" s="34">
        <f t="shared" si="3"/>
        <v>1436.85</v>
      </c>
      <c r="M8" s="34">
        <f t="shared" si="3"/>
        <v>1436.85</v>
      </c>
      <c r="N8" s="34">
        <f t="shared" si="3"/>
        <v>2363.8500000000004</v>
      </c>
      <c r="O8" s="482">
        <f t="shared" si="2"/>
        <v>20950.199999999997</v>
      </c>
      <c r="P8" s="119"/>
    </row>
    <row r="9" spans="1:16" x14ac:dyDescent="0.35">
      <c r="B9" s="282">
        <f>'4080'!$B$1</f>
        <v>4080</v>
      </c>
      <c r="C9" s="34">
        <f t="shared" ref="C9:N9" si="4">C21+C32</f>
        <v>978.5</v>
      </c>
      <c r="D9" s="34">
        <f t="shared" si="4"/>
        <v>978.5</v>
      </c>
      <c r="E9" s="34">
        <f t="shared" si="4"/>
        <v>2111.5</v>
      </c>
      <c r="F9" s="34">
        <f t="shared" si="4"/>
        <v>978.5</v>
      </c>
      <c r="G9" s="34">
        <f t="shared" si="4"/>
        <v>978.5</v>
      </c>
      <c r="H9" s="34">
        <f t="shared" si="4"/>
        <v>2111.5</v>
      </c>
      <c r="I9" s="34">
        <f t="shared" si="4"/>
        <v>978.5</v>
      </c>
      <c r="J9" s="34">
        <f t="shared" si="4"/>
        <v>978.5</v>
      </c>
      <c r="K9" s="34">
        <f t="shared" si="4"/>
        <v>2111.5</v>
      </c>
      <c r="L9" s="34">
        <f t="shared" si="4"/>
        <v>978.5</v>
      </c>
      <c r="M9" s="34">
        <f t="shared" si="4"/>
        <v>978.5</v>
      </c>
      <c r="N9" s="34">
        <f t="shared" si="4"/>
        <v>2111.5</v>
      </c>
      <c r="O9" s="482">
        <f t="shared" si="2"/>
        <v>16274</v>
      </c>
      <c r="P9" s="119"/>
    </row>
    <row r="10" spans="1:16" x14ac:dyDescent="0.35">
      <c r="B10" s="282" t="str">
        <f>'40A0'!$B$1</f>
        <v>40A0</v>
      </c>
      <c r="C10" s="34">
        <f t="shared" ref="C10:N10" si="5">C22+C33</f>
        <v>473.8</v>
      </c>
      <c r="D10" s="34">
        <f t="shared" si="5"/>
        <v>473.8</v>
      </c>
      <c r="E10" s="34">
        <f t="shared" si="5"/>
        <v>654.04999999999995</v>
      </c>
      <c r="F10" s="34">
        <f t="shared" si="5"/>
        <v>473.8</v>
      </c>
      <c r="G10" s="34">
        <f t="shared" si="5"/>
        <v>473.8</v>
      </c>
      <c r="H10" s="34">
        <f t="shared" si="5"/>
        <v>654.04999999999995</v>
      </c>
      <c r="I10" s="34">
        <f t="shared" si="5"/>
        <v>473.8</v>
      </c>
      <c r="J10" s="34">
        <f t="shared" si="5"/>
        <v>473.8</v>
      </c>
      <c r="K10" s="34">
        <f t="shared" si="5"/>
        <v>654.04999999999995</v>
      </c>
      <c r="L10" s="34">
        <f t="shared" si="5"/>
        <v>473.8</v>
      </c>
      <c r="M10" s="34">
        <f t="shared" si="5"/>
        <v>473.8</v>
      </c>
      <c r="N10" s="34">
        <f t="shared" si="5"/>
        <v>654.04999999999995</v>
      </c>
      <c r="O10" s="482">
        <f t="shared" si="2"/>
        <v>6406.6000000000013</v>
      </c>
      <c r="P10" s="119"/>
    </row>
    <row r="11" spans="1:16" x14ac:dyDescent="0.35">
      <c r="B11" s="282" t="str">
        <f>'40B0'!$B$1</f>
        <v>40B0</v>
      </c>
      <c r="C11" s="34">
        <f t="shared" ref="C11:N11" si="6">C23+C34</f>
        <v>309</v>
      </c>
      <c r="D11" s="34">
        <f t="shared" si="6"/>
        <v>309</v>
      </c>
      <c r="E11" s="34">
        <f t="shared" si="6"/>
        <v>458.35</v>
      </c>
      <c r="F11" s="34">
        <f t="shared" si="6"/>
        <v>309</v>
      </c>
      <c r="G11" s="34">
        <f t="shared" si="6"/>
        <v>309</v>
      </c>
      <c r="H11" s="34">
        <f t="shared" si="6"/>
        <v>458.35</v>
      </c>
      <c r="I11" s="34">
        <f t="shared" si="6"/>
        <v>309</v>
      </c>
      <c r="J11" s="34">
        <f t="shared" si="6"/>
        <v>309</v>
      </c>
      <c r="K11" s="34">
        <f t="shared" si="6"/>
        <v>458.35</v>
      </c>
      <c r="L11" s="34">
        <f t="shared" si="6"/>
        <v>309</v>
      </c>
      <c r="M11" s="34">
        <f t="shared" si="6"/>
        <v>309</v>
      </c>
      <c r="N11" s="34">
        <f t="shared" si="6"/>
        <v>458.35</v>
      </c>
      <c r="O11" s="482">
        <f t="shared" si="2"/>
        <v>4305.3999999999996</v>
      </c>
      <c r="P11" s="119"/>
    </row>
    <row r="12" spans="1:16" x14ac:dyDescent="0.35">
      <c r="B12" s="282" t="str">
        <f>'40C0'!$B$1</f>
        <v>40C0</v>
      </c>
      <c r="C12" s="43">
        <f t="shared" ref="C12:N12" si="7">C24+C35</f>
        <v>113.3</v>
      </c>
      <c r="D12" s="43">
        <f t="shared" si="7"/>
        <v>319.3</v>
      </c>
      <c r="E12" s="43">
        <f t="shared" si="7"/>
        <v>113.3</v>
      </c>
      <c r="F12" s="43">
        <f t="shared" si="7"/>
        <v>113.3</v>
      </c>
      <c r="G12" s="43">
        <f t="shared" si="7"/>
        <v>319.3</v>
      </c>
      <c r="H12" s="43">
        <f t="shared" si="7"/>
        <v>113.3</v>
      </c>
      <c r="I12" s="43">
        <f t="shared" si="7"/>
        <v>113.3</v>
      </c>
      <c r="J12" s="43">
        <f t="shared" si="7"/>
        <v>319.3</v>
      </c>
      <c r="K12" s="43">
        <f t="shared" si="7"/>
        <v>113.3</v>
      </c>
      <c r="L12" s="43">
        <f t="shared" si="7"/>
        <v>113.3</v>
      </c>
      <c r="M12" s="43">
        <f t="shared" si="7"/>
        <v>319.3</v>
      </c>
      <c r="N12" s="43">
        <f t="shared" si="7"/>
        <v>113.3</v>
      </c>
      <c r="O12" s="483">
        <f t="shared" si="2"/>
        <v>2183.6</v>
      </c>
      <c r="P12" s="119"/>
    </row>
    <row r="13" spans="1:16" x14ac:dyDescent="0.35">
      <c r="B13" s="133" t="s">
        <v>357</v>
      </c>
      <c r="C13" s="36">
        <f t="shared" ref="C13:O13" si="8">SUM(C6:C12)</f>
        <v>5340.55</v>
      </c>
      <c r="D13" s="36">
        <f t="shared" si="8"/>
        <v>5546.55</v>
      </c>
      <c r="E13" s="36">
        <f t="shared" si="8"/>
        <v>9177.2999999999993</v>
      </c>
      <c r="F13" s="36">
        <f t="shared" si="8"/>
        <v>5340.55</v>
      </c>
      <c r="G13" s="36">
        <f t="shared" si="8"/>
        <v>5546.55</v>
      </c>
      <c r="H13" s="36">
        <f t="shared" si="8"/>
        <v>9177.2999999999993</v>
      </c>
      <c r="I13" s="36">
        <f t="shared" si="8"/>
        <v>5340.55</v>
      </c>
      <c r="J13" s="36">
        <f t="shared" si="8"/>
        <v>5546.55</v>
      </c>
      <c r="K13" s="36">
        <f t="shared" si="8"/>
        <v>9177.2999999999993</v>
      </c>
      <c r="L13" s="36">
        <f t="shared" si="8"/>
        <v>5340.55</v>
      </c>
      <c r="M13" s="36">
        <f t="shared" si="8"/>
        <v>5546.55</v>
      </c>
      <c r="N13" s="36">
        <f t="shared" si="8"/>
        <v>9177.2999999999993</v>
      </c>
      <c r="O13" s="36">
        <f t="shared" si="8"/>
        <v>80257.600000000006</v>
      </c>
      <c r="P13" s="125"/>
    </row>
    <row r="14" spans="1:16" ht="16.5" thickBot="1" x14ac:dyDescent="0.4">
      <c r="A14" s="479"/>
      <c r="B14" s="479"/>
      <c r="C14" s="479"/>
      <c r="D14" s="479"/>
      <c r="E14" s="479"/>
      <c r="F14" s="479"/>
      <c r="G14" s="480"/>
      <c r="H14" s="479"/>
      <c r="I14" s="479"/>
      <c r="J14" s="479"/>
      <c r="K14" s="479"/>
      <c r="L14" s="479"/>
      <c r="M14" s="479"/>
      <c r="N14" s="479"/>
      <c r="O14" s="484"/>
    </row>
    <row r="15" spans="1:16" x14ac:dyDescent="0.35">
      <c r="G15" s="488"/>
    </row>
    <row r="16" spans="1:16" ht="17.5" x14ac:dyDescent="0.35">
      <c r="A16" s="37" t="s">
        <v>540</v>
      </c>
      <c r="B16" s="37" t="s">
        <v>566</v>
      </c>
      <c r="M16" s="126"/>
      <c r="N16" s="126"/>
    </row>
    <row r="17" spans="1:17" x14ac:dyDescent="0.35">
      <c r="C17" s="123" t="s">
        <v>0</v>
      </c>
      <c r="D17" s="123" t="s">
        <v>1</v>
      </c>
      <c r="E17" s="123" t="s">
        <v>2</v>
      </c>
      <c r="F17" s="123" t="s">
        <v>3</v>
      </c>
      <c r="G17" s="123" t="s">
        <v>4</v>
      </c>
      <c r="H17" s="123" t="s">
        <v>5</v>
      </c>
      <c r="I17" s="123" t="s">
        <v>6</v>
      </c>
      <c r="J17" s="123" t="s">
        <v>7</v>
      </c>
      <c r="K17" s="123" t="s">
        <v>8</v>
      </c>
      <c r="L17" s="123" t="s">
        <v>9</v>
      </c>
      <c r="M17" s="123" t="s">
        <v>10</v>
      </c>
      <c r="N17" s="123" t="s">
        <v>11</v>
      </c>
      <c r="O17" s="481" t="s">
        <v>12</v>
      </c>
      <c r="P17" s="41"/>
      <c r="Q17" s="38" t="s">
        <v>568</v>
      </c>
    </row>
    <row r="18" spans="1:17" x14ac:dyDescent="0.35">
      <c r="B18" s="282">
        <f>'4050'!$B$1</f>
        <v>4050</v>
      </c>
      <c r="C18" s="40">
        <f>1.03*600</f>
        <v>618</v>
      </c>
      <c r="D18" s="40">
        <f t="shared" ref="D18:N18" si="9">1.03*600</f>
        <v>618</v>
      </c>
      <c r="E18" s="40">
        <f t="shared" si="9"/>
        <v>618</v>
      </c>
      <c r="F18" s="40">
        <f t="shared" si="9"/>
        <v>618</v>
      </c>
      <c r="G18" s="40">
        <f t="shared" si="9"/>
        <v>618</v>
      </c>
      <c r="H18" s="40">
        <f t="shared" si="9"/>
        <v>618</v>
      </c>
      <c r="I18" s="40">
        <f t="shared" si="9"/>
        <v>618</v>
      </c>
      <c r="J18" s="40">
        <f t="shared" si="9"/>
        <v>618</v>
      </c>
      <c r="K18" s="40">
        <f t="shared" si="9"/>
        <v>618</v>
      </c>
      <c r="L18" s="40">
        <f t="shared" si="9"/>
        <v>618</v>
      </c>
      <c r="M18" s="40">
        <f t="shared" si="9"/>
        <v>618</v>
      </c>
      <c r="N18" s="40">
        <f t="shared" si="9"/>
        <v>618</v>
      </c>
      <c r="O18" s="482">
        <f>SUM(C18:N18)</f>
        <v>7416</v>
      </c>
      <c r="P18" s="119"/>
    </row>
    <row r="19" spans="1:17" x14ac:dyDescent="0.35">
      <c r="B19" s="282">
        <f>'4060'!$B$1</f>
        <v>4060</v>
      </c>
      <c r="C19" s="40">
        <f>1.03*850</f>
        <v>875.5</v>
      </c>
      <c r="D19" s="40">
        <f t="shared" ref="D19:N19" si="10">1.03*850</f>
        <v>875.5</v>
      </c>
      <c r="E19" s="40">
        <f t="shared" si="10"/>
        <v>875.5</v>
      </c>
      <c r="F19" s="40">
        <f t="shared" si="10"/>
        <v>875.5</v>
      </c>
      <c r="G19" s="40">
        <f t="shared" si="10"/>
        <v>875.5</v>
      </c>
      <c r="H19" s="40">
        <f t="shared" si="10"/>
        <v>875.5</v>
      </c>
      <c r="I19" s="40">
        <f t="shared" si="10"/>
        <v>875.5</v>
      </c>
      <c r="J19" s="40">
        <f t="shared" si="10"/>
        <v>875.5</v>
      </c>
      <c r="K19" s="40">
        <f t="shared" si="10"/>
        <v>875.5</v>
      </c>
      <c r="L19" s="40">
        <f t="shared" si="10"/>
        <v>875.5</v>
      </c>
      <c r="M19" s="40">
        <f t="shared" si="10"/>
        <v>875.5</v>
      </c>
      <c r="N19" s="40">
        <f t="shared" si="10"/>
        <v>875.5</v>
      </c>
      <c r="O19" s="482">
        <f t="shared" ref="O19:O24" si="11">SUM(C19:N19)</f>
        <v>10506</v>
      </c>
      <c r="P19" s="119"/>
    </row>
    <row r="20" spans="1:17" x14ac:dyDescent="0.35">
      <c r="B20" s="282">
        <f>'4070'!$B$1</f>
        <v>4070</v>
      </c>
      <c r="C20" s="40">
        <f>1.03*1200</f>
        <v>1236</v>
      </c>
      <c r="D20" s="40">
        <f t="shared" ref="D20:N20" si="12">1.03*1200</f>
        <v>1236</v>
      </c>
      <c r="E20" s="40">
        <f t="shared" si="12"/>
        <v>1236</v>
      </c>
      <c r="F20" s="40">
        <f t="shared" si="12"/>
        <v>1236</v>
      </c>
      <c r="G20" s="40">
        <f t="shared" si="12"/>
        <v>1236</v>
      </c>
      <c r="H20" s="40">
        <f t="shared" si="12"/>
        <v>1236</v>
      </c>
      <c r="I20" s="40">
        <f t="shared" si="12"/>
        <v>1236</v>
      </c>
      <c r="J20" s="40">
        <f t="shared" si="12"/>
        <v>1236</v>
      </c>
      <c r="K20" s="40">
        <f t="shared" si="12"/>
        <v>1236</v>
      </c>
      <c r="L20" s="40">
        <f t="shared" si="12"/>
        <v>1236</v>
      </c>
      <c r="M20" s="40">
        <f t="shared" si="12"/>
        <v>1236</v>
      </c>
      <c r="N20" s="40">
        <f t="shared" si="12"/>
        <v>1236</v>
      </c>
      <c r="O20" s="482">
        <f t="shared" si="11"/>
        <v>14832</v>
      </c>
      <c r="P20" s="119"/>
    </row>
    <row r="21" spans="1:17" x14ac:dyDescent="0.35">
      <c r="B21" s="282">
        <f>'4080'!$B$1</f>
        <v>4080</v>
      </c>
      <c r="C21" s="40">
        <f>1.03*550</f>
        <v>566.5</v>
      </c>
      <c r="D21" s="40">
        <f t="shared" ref="D21:N21" si="13">1.03*550</f>
        <v>566.5</v>
      </c>
      <c r="E21" s="40">
        <f t="shared" si="13"/>
        <v>566.5</v>
      </c>
      <c r="F21" s="40">
        <f t="shared" si="13"/>
        <v>566.5</v>
      </c>
      <c r="G21" s="40">
        <f t="shared" si="13"/>
        <v>566.5</v>
      </c>
      <c r="H21" s="40">
        <f t="shared" si="13"/>
        <v>566.5</v>
      </c>
      <c r="I21" s="40">
        <f t="shared" si="13"/>
        <v>566.5</v>
      </c>
      <c r="J21" s="40">
        <f t="shared" si="13"/>
        <v>566.5</v>
      </c>
      <c r="K21" s="40">
        <f t="shared" si="13"/>
        <v>566.5</v>
      </c>
      <c r="L21" s="40">
        <f t="shared" si="13"/>
        <v>566.5</v>
      </c>
      <c r="M21" s="40">
        <f t="shared" si="13"/>
        <v>566.5</v>
      </c>
      <c r="N21" s="40">
        <f t="shared" si="13"/>
        <v>566.5</v>
      </c>
      <c r="O21" s="482">
        <f t="shared" si="11"/>
        <v>6798</v>
      </c>
      <c r="P21" s="119"/>
    </row>
    <row r="22" spans="1:17" x14ac:dyDescent="0.35">
      <c r="B22" s="282" t="str">
        <f>'40A0'!$B$1</f>
        <v>40A0</v>
      </c>
      <c r="C22" s="40">
        <f>1.03*400</f>
        <v>412</v>
      </c>
      <c r="D22" s="40">
        <f t="shared" ref="D22:N22" si="14">1.03*400</f>
        <v>412</v>
      </c>
      <c r="E22" s="40">
        <f t="shared" si="14"/>
        <v>412</v>
      </c>
      <c r="F22" s="40">
        <f t="shared" si="14"/>
        <v>412</v>
      </c>
      <c r="G22" s="40">
        <f t="shared" si="14"/>
        <v>412</v>
      </c>
      <c r="H22" s="40">
        <f t="shared" si="14"/>
        <v>412</v>
      </c>
      <c r="I22" s="40">
        <f t="shared" si="14"/>
        <v>412</v>
      </c>
      <c r="J22" s="40">
        <f t="shared" si="14"/>
        <v>412</v>
      </c>
      <c r="K22" s="40">
        <f t="shared" si="14"/>
        <v>412</v>
      </c>
      <c r="L22" s="40">
        <f t="shared" si="14"/>
        <v>412</v>
      </c>
      <c r="M22" s="40">
        <f t="shared" si="14"/>
        <v>412</v>
      </c>
      <c r="N22" s="40">
        <f t="shared" si="14"/>
        <v>412</v>
      </c>
      <c r="O22" s="482">
        <f t="shared" si="11"/>
        <v>4944</v>
      </c>
      <c r="P22" s="119"/>
    </row>
    <row r="23" spans="1:17" x14ac:dyDescent="0.35">
      <c r="B23" s="282" t="str">
        <f>'40B0'!$B$1</f>
        <v>40B0</v>
      </c>
      <c r="C23" s="40">
        <f>1.03*250</f>
        <v>257.5</v>
      </c>
      <c r="D23" s="40">
        <f t="shared" ref="D23:N23" si="15">1.03*250</f>
        <v>257.5</v>
      </c>
      <c r="E23" s="40">
        <f t="shared" si="15"/>
        <v>257.5</v>
      </c>
      <c r="F23" s="40">
        <f t="shared" si="15"/>
        <v>257.5</v>
      </c>
      <c r="G23" s="40">
        <f t="shared" si="15"/>
        <v>257.5</v>
      </c>
      <c r="H23" s="40">
        <f t="shared" si="15"/>
        <v>257.5</v>
      </c>
      <c r="I23" s="40">
        <f t="shared" si="15"/>
        <v>257.5</v>
      </c>
      <c r="J23" s="40">
        <f t="shared" si="15"/>
        <v>257.5</v>
      </c>
      <c r="K23" s="40">
        <f t="shared" si="15"/>
        <v>257.5</v>
      </c>
      <c r="L23" s="40">
        <f t="shared" si="15"/>
        <v>257.5</v>
      </c>
      <c r="M23" s="40">
        <f t="shared" si="15"/>
        <v>257.5</v>
      </c>
      <c r="N23" s="40">
        <f t="shared" si="15"/>
        <v>257.5</v>
      </c>
      <c r="O23" s="482">
        <f t="shared" si="11"/>
        <v>3090</v>
      </c>
      <c r="P23" s="119"/>
    </row>
    <row r="24" spans="1:17" x14ac:dyDescent="0.35">
      <c r="B24" s="282" t="str">
        <f>'40C0'!$B$1</f>
        <v>40C0</v>
      </c>
      <c r="C24" s="42">
        <v>0</v>
      </c>
      <c r="D24" s="42">
        <f>1.03*200</f>
        <v>206</v>
      </c>
      <c r="E24" s="42">
        <v>0</v>
      </c>
      <c r="F24" s="42">
        <v>0</v>
      </c>
      <c r="G24" s="42">
        <f>1.03*200</f>
        <v>206</v>
      </c>
      <c r="H24" s="42">
        <v>0</v>
      </c>
      <c r="I24" s="42">
        <v>0</v>
      </c>
      <c r="J24" s="42">
        <f>1.03*200</f>
        <v>206</v>
      </c>
      <c r="K24" s="42">
        <v>0</v>
      </c>
      <c r="L24" s="42">
        <v>0</v>
      </c>
      <c r="M24" s="42">
        <f>1.03*200</f>
        <v>206</v>
      </c>
      <c r="N24" s="42">
        <v>0</v>
      </c>
      <c r="O24" s="483">
        <f t="shared" si="11"/>
        <v>824</v>
      </c>
      <c r="P24" s="119"/>
    </row>
    <row r="25" spans="1:17" x14ac:dyDescent="0.35">
      <c r="B25" s="133" t="s">
        <v>357</v>
      </c>
      <c r="C25" s="36">
        <f t="shared" ref="C25:O25" si="16">SUM(C18:C24)</f>
        <v>3965.5</v>
      </c>
      <c r="D25" s="36">
        <f t="shared" si="16"/>
        <v>4171.5</v>
      </c>
      <c r="E25" s="36">
        <f t="shared" si="16"/>
        <v>3965.5</v>
      </c>
      <c r="F25" s="36">
        <f t="shared" si="16"/>
        <v>3965.5</v>
      </c>
      <c r="G25" s="36">
        <f t="shared" si="16"/>
        <v>4171.5</v>
      </c>
      <c r="H25" s="36">
        <f t="shared" si="16"/>
        <v>3965.5</v>
      </c>
      <c r="I25" s="36">
        <f t="shared" si="16"/>
        <v>3965.5</v>
      </c>
      <c r="J25" s="36">
        <f t="shared" si="16"/>
        <v>4171.5</v>
      </c>
      <c r="K25" s="36">
        <f t="shared" si="16"/>
        <v>3965.5</v>
      </c>
      <c r="L25" s="36">
        <f t="shared" si="16"/>
        <v>3965.5</v>
      </c>
      <c r="M25" s="36">
        <f t="shared" si="16"/>
        <v>4171.5</v>
      </c>
      <c r="N25" s="36">
        <f t="shared" si="16"/>
        <v>3965.5</v>
      </c>
      <c r="O25" s="36">
        <f t="shared" si="16"/>
        <v>48410</v>
      </c>
      <c r="P25" s="125"/>
    </row>
    <row r="27" spans="1:17" ht="17.5" x14ac:dyDescent="0.35">
      <c r="A27" s="37" t="s">
        <v>540</v>
      </c>
      <c r="B27" s="37" t="s">
        <v>567</v>
      </c>
      <c r="C27" s="41"/>
      <c r="N27" s="126"/>
    </row>
    <row r="28" spans="1:17" x14ac:dyDescent="0.35">
      <c r="C28" s="123" t="s">
        <v>0</v>
      </c>
      <c r="D28" s="123" t="s">
        <v>1</v>
      </c>
      <c r="E28" s="123" t="s">
        <v>2</v>
      </c>
      <c r="F28" s="123" t="s">
        <v>3</v>
      </c>
      <c r="G28" s="123" t="s">
        <v>4</v>
      </c>
      <c r="H28" s="123" t="s">
        <v>5</v>
      </c>
      <c r="I28" s="123" t="s">
        <v>6</v>
      </c>
      <c r="J28" s="123" t="s">
        <v>7</v>
      </c>
      <c r="K28" s="123" t="s">
        <v>8</v>
      </c>
      <c r="L28" s="123" t="s">
        <v>9</v>
      </c>
      <c r="M28" s="123" t="s">
        <v>10</v>
      </c>
      <c r="N28" s="123" t="s">
        <v>11</v>
      </c>
      <c r="O28" s="481" t="s">
        <v>12</v>
      </c>
      <c r="P28" s="41"/>
    </row>
    <row r="29" spans="1:17" x14ac:dyDescent="0.35">
      <c r="B29" s="282">
        <f>'4050'!$B$1</f>
        <v>4050</v>
      </c>
      <c r="C29" s="40">
        <f>1.03*180</f>
        <v>185.4</v>
      </c>
      <c r="D29" s="40">
        <f>1.03*180</f>
        <v>185.4</v>
      </c>
      <c r="E29" s="40">
        <f>1.03*685</f>
        <v>705.55000000000007</v>
      </c>
      <c r="F29" s="40">
        <f>1.03*180</f>
        <v>185.4</v>
      </c>
      <c r="G29" s="40">
        <f>1.03*180</f>
        <v>185.4</v>
      </c>
      <c r="H29" s="40">
        <f>1.03*685</f>
        <v>705.55000000000007</v>
      </c>
      <c r="I29" s="40">
        <f>1.03*180</f>
        <v>185.4</v>
      </c>
      <c r="J29" s="40">
        <f>1.03*180</f>
        <v>185.4</v>
      </c>
      <c r="K29" s="40">
        <f>1.03*685</f>
        <v>705.55000000000007</v>
      </c>
      <c r="L29" s="40">
        <f>1.03*180</f>
        <v>185.4</v>
      </c>
      <c r="M29" s="40">
        <f>1.03*180</f>
        <v>185.4</v>
      </c>
      <c r="N29" s="40">
        <f>1.03*685</f>
        <v>705.55000000000007</v>
      </c>
      <c r="O29" s="482">
        <f>SUM(C29:N29)</f>
        <v>4305.4000000000005</v>
      </c>
      <c r="P29" s="119"/>
      <c r="Q29" s="38" t="s">
        <v>568</v>
      </c>
    </row>
    <row r="30" spans="1:17" x14ac:dyDescent="0.35">
      <c r="B30" s="282">
        <f>'4060'!$B$1</f>
        <v>4060</v>
      </c>
      <c r="C30" s="40">
        <f>1.03*340</f>
        <v>350.2</v>
      </c>
      <c r="D30" s="40">
        <f>1.03*340</f>
        <v>350.2</v>
      </c>
      <c r="E30" s="40">
        <f>1.03*1240</f>
        <v>1277.2</v>
      </c>
      <c r="F30" s="40">
        <f>1.03*340</f>
        <v>350.2</v>
      </c>
      <c r="G30" s="40">
        <f>1.03*340</f>
        <v>350.2</v>
      </c>
      <c r="H30" s="40">
        <f>1.03*1240</f>
        <v>1277.2</v>
      </c>
      <c r="I30" s="40">
        <f>1.03*340</f>
        <v>350.2</v>
      </c>
      <c r="J30" s="40">
        <f>1.03*340</f>
        <v>350.2</v>
      </c>
      <c r="K30" s="40">
        <f>1.03*1240</f>
        <v>1277.2</v>
      </c>
      <c r="L30" s="40">
        <f>1.03*340</f>
        <v>350.2</v>
      </c>
      <c r="M30" s="40">
        <f>1.03*340</f>
        <v>350.2</v>
      </c>
      <c r="N30" s="40">
        <f>1.03*1240</f>
        <v>1277.2</v>
      </c>
      <c r="O30" s="482">
        <f t="shared" ref="O30:O35" si="17">SUM(C30:N30)</f>
        <v>7910.3999999999987</v>
      </c>
      <c r="P30" s="119"/>
    </row>
    <row r="31" spans="1:17" x14ac:dyDescent="0.35">
      <c r="B31" s="282">
        <f>'4070'!$B$1</f>
        <v>4070</v>
      </c>
      <c r="C31" s="40">
        <f>1.03*195</f>
        <v>200.85</v>
      </c>
      <c r="D31" s="40">
        <f>1.03*195</f>
        <v>200.85</v>
      </c>
      <c r="E31" s="40">
        <f>1.03*1095</f>
        <v>1127.8500000000001</v>
      </c>
      <c r="F31" s="40">
        <f>1.03*195</f>
        <v>200.85</v>
      </c>
      <c r="G31" s="40">
        <f>1.03*195</f>
        <v>200.85</v>
      </c>
      <c r="H31" s="40">
        <f>1.03*1095</f>
        <v>1127.8500000000001</v>
      </c>
      <c r="I31" s="40">
        <f>1.03*195</f>
        <v>200.85</v>
      </c>
      <c r="J31" s="40">
        <f>1.03*195</f>
        <v>200.85</v>
      </c>
      <c r="K31" s="40">
        <f>1.03*1095</f>
        <v>1127.8500000000001</v>
      </c>
      <c r="L31" s="40">
        <f>1.03*195</f>
        <v>200.85</v>
      </c>
      <c r="M31" s="40">
        <f>1.03*195</f>
        <v>200.85</v>
      </c>
      <c r="N31" s="40">
        <f>1.03*1095</f>
        <v>1127.8500000000001</v>
      </c>
      <c r="O31" s="482">
        <f t="shared" si="17"/>
        <v>6118.2000000000016</v>
      </c>
      <c r="P31" s="119"/>
    </row>
    <row r="32" spans="1:17" x14ac:dyDescent="0.35">
      <c r="B32" s="282">
        <f>'4080'!$B$1</f>
        <v>4080</v>
      </c>
      <c r="C32" s="40">
        <f>1.03*400</f>
        <v>412</v>
      </c>
      <c r="D32" s="40">
        <f>1.03*400</f>
        <v>412</v>
      </c>
      <c r="E32" s="40">
        <f>1.03*1500</f>
        <v>1545</v>
      </c>
      <c r="F32" s="40">
        <f>1.03*400</f>
        <v>412</v>
      </c>
      <c r="G32" s="40">
        <f>1.03*400</f>
        <v>412</v>
      </c>
      <c r="H32" s="40">
        <f>1.03*1500</f>
        <v>1545</v>
      </c>
      <c r="I32" s="40">
        <f>1.03*400</f>
        <v>412</v>
      </c>
      <c r="J32" s="40">
        <f>1.03*400</f>
        <v>412</v>
      </c>
      <c r="K32" s="40">
        <f>1.03*1500</f>
        <v>1545</v>
      </c>
      <c r="L32" s="40">
        <f>1.03*400</f>
        <v>412</v>
      </c>
      <c r="M32" s="40">
        <f>1.03*400</f>
        <v>412</v>
      </c>
      <c r="N32" s="40">
        <f>1.03*1500</f>
        <v>1545</v>
      </c>
      <c r="O32" s="482">
        <f t="shared" si="17"/>
        <v>9476</v>
      </c>
      <c r="P32" s="119"/>
    </row>
    <row r="33" spans="2:16" x14ac:dyDescent="0.35">
      <c r="B33" s="282" t="str">
        <f>'40A0'!$B$1</f>
        <v>40A0</v>
      </c>
      <c r="C33" s="40">
        <f>1.03*60</f>
        <v>61.800000000000004</v>
      </c>
      <c r="D33" s="40">
        <f>1.03*60</f>
        <v>61.800000000000004</v>
      </c>
      <c r="E33" s="40">
        <f>1.03*235</f>
        <v>242.05</v>
      </c>
      <c r="F33" s="40">
        <f>1.03*60</f>
        <v>61.800000000000004</v>
      </c>
      <c r="G33" s="40">
        <f>1.03*60</f>
        <v>61.800000000000004</v>
      </c>
      <c r="H33" s="40">
        <f>1.03*235</f>
        <v>242.05</v>
      </c>
      <c r="I33" s="40">
        <f>1.03*60</f>
        <v>61.800000000000004</v>
      </c>
      <c r="J33" s="40">
        <f>1.03*60</f>
        <v>61.800000000000004</v>
      </c>
      <c r="K33" s="40">
        <f>1.03*235</f>
        <v>242.05</v>
      </c>
      <c r="L33" s="40">
        <f>1.03*60</f>
        <v>61.800000000000004</v>
      </c>
      <c r="M33" s="40">
        <f>1.03*60</f>
        <v>61.800000000000004</v>
      </c>
      <c r="N33" s="40">
        <f>1.03*235</f>
        <v>242.05</v>
      </c>
      <c r="O33" s="482">
        <f t="shared" si="17"/>
        <v>1462.6</v>
      </c>
      <c r="P33" s="119"/>
    </row>
    <row r="34" spans="2:16" x14ac:dyDescent="0.35">
      <c r="B34" s="282" t="str">
        <f>'40B0'!$B$1</f>
        <v>40B0</v>
      </c>
      <c r="C34" s="40">
        <f>1.03*50</f>
        <v>51.5</v>
      </c>
      <c r="D34" s="40">
        <f>1.03*50</f>
        <v>51.5</v>
      </c>
      <c r="E34" s="40">
        <f>1.03*195</f>
        <v>200.85</v>
      </c>
      <c r="F34" s="40">
        <f>1.03*50</f>
        <v>51.5</v>
      </c>
      <c r="G34" s="40">
        <f>1.03*50</f>
        <v>51.5</v>
      </c>
      <c r="H34" s="40">
        <f>1.03*195</f>
        <v>200.85</v>
      </c>
      <c r="I34" s="40">
        <f>1.03*50</f>
        <v>51.5</v>
      </c>
      <c r="J34" s="40">
        <f>1.03*50</f>
        <v>51.5</v>
      </c>
      <c r="K34" s="40">
        <f>1.03*195</f>
        <v>200.85</v>
      </c>
      <c r="L34" s="40">
        <f>1.03*50</f>
        <v>51.5</v>
      </c>
      <c r="M34" s="40">
        <f>1.03*50</f>
        <v>51.5</v>
      </c>
      <c r="N34" s="40">
        <f>1.03*195</f>
        <v>200.85</v>
      </c>
      <c r="O34" s="482">
        <f t="shared" si="17"/>
        <v>1215.4000000000001</v>
      </c>
      <c r="P34" s="119"/>
    </row>
    <row r="35" spans="2:16" x14ac:dyDescent="0.35">
      <c r="B35" s="282" t="str">
        <f>'40C0'!$B$1</f>
        <v>40C0</v>
      </c>
      <c r="C35" s="42">
        <f>1.03*110</f>
        <v>113.3</v>
      </c>
      <c r="D35" s="42">
        <f t="shared" ref="D35:N35" si="18">1.03*110</f>
        <v>113.3</v>
      </c>
      <c r="E35" s="42">
        <f t="shared" si="18"/>
        <v>113.3</v>
      </c>
      <c r="F35" s="42">
        <f t="shared" si="18"/>
        <v>113.3</v>
      </c>
      <c r="G35" s="42">
        <f t="shared" si="18"/>
        <v>113.3</v>
      </c>
      <c r="H35" s="42">
        <f t="shared" si="18"/>
        <v>113.3</v>
      </c>
      <c r="I35" s="42">
        <f t="shared" si="18"/>
        <v>113.3</v>
      </c>
      <c r="J35" s="42">
        <f t="shared" si="18"/>
        <v>113.3</v>
      </c>
      <c r="K35" s="42">
        <f t="shared" si="18"/>
        <v>113.3</v>
      </c>
      <c r="L35" s="42">
        <f t="shared" si="18"/>
        <v>113.3</v>
      </c>
      <c r="M35" s="42">
        <f t="shared" si="18"/>
        <v>113.3</v>
      </c>
      <c r="N35" s="42">
        <f t="shared" si="18"/>
        <v>113.3</v>
      </c>
      <c r="O35" s="483">
        <f t="shared" si="17"/>
        <v>1359.5999999999997</v>
      </c>
      <c r="P35" s="478"/>
    </row>
    <row r="36" spans="2:16" x14ac:dyDescent="0.35">
      <c r="B36" s="133" t="s">
        <v>357</v>
      </c>
      <c r="C36" s="36">
        <f t="shared" ref="C36:O36" si="19">SUM(C29:C35)</f>
        <v>1375.05</v>
      </c>
      <c r="D36" s="135">
        <f t="shared" si="19"/>
        <v>1375.05</v>
      </c>
      <c r="E36" s="135">
        <f t="shared" si="19"/>
        <v>5211.8000000000011</v>
      </c>
      <c r="F36" s="135">
        <f t="shared" si="19"/>
        <v>1375.05</v>
      </c>
      <c r="G36" s="135">
        <f t="shared" si="19"/>
        <v>1375.05</v>
      </c>
      <c r="H36" s="135">
        <f t="shared" si="19"/>
        <v>5211.8000000000011</v>
      </c>
      <c r="I36" s="135">
        <f t="shared" si="19"/>
        <v>1375.05</v>
      </c>
      <c r="J36" s="135">
        <f t="shared" si="19"/>
        <v>1375.05</v>
      </c>
      <c r="K36" s="135">
        <f t="shared" si="19"/>
        <v>5211.8000000000011</v>
      </c>
      <c r="L36" s="135">
        <f t="shared" si="19"/>
        <v>1375.05</v>
      </c>
      <c r="M36" s="135">
        <f t="shared" si="19"/>
        <v>1375.05</v>
      </c>
      <c r="N36" s="135">
        <f t="shared" si="19"/>
        <v>5211.8000000000011</v>
      </c>
      <c r="O36" s="135">
        <f t="shared" si="19"/>
        <v>31847.599999999999</v>
      </c>
      <c r="P36" s="125"/>
    </row>
  </sheetData>
  <sheetProtection sheet="1" selectLockedCells="1"/>
  <printOptions horizontalCentered="1" verticalCentered="1"/>
  <pageMargins left="0.25" right="0.25" top="0.75" bottom="0.75" header="0.3" footer="0.3"/>
  <pageSetup scale="80" fitToHeight="0" orientation="landscape" verticalDpi="300" r:id="rId1"/>
  <headerFooter>
    <oddHeader>&amp;R&amp;D</oddHeader>
    <oddFooter>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EBEA-7F7A-45F7-BA9C-344FBF48281F}">
  <sheetPr>
    <tabColor rgb="FFFFC000"/>
  </sheetPr>
  <dimension ref="A1:Q49"/>
  <sheetViews>
    <sheetView tabSelected="1" view="pageBreakPreview" zoomScale="60" zoomScaleNormal="100" workbookViewId="0">
      <selection activeCell="A11" sqref="A11"/>
    </sheetView>
  </sheetViews>
  <sheetFormatPr defaultColWidth="8.54296875" defaultRowHeight="16" x14ac:dyDescent="0.35"/>
  <cols>
    <col min="1" max="1" width="17" style="34" customWidth="1"/>
    <col min="2" max="2" width="14.453125" style="34" customWidth="1"/>
    <col min="3" max="8" width="11.54296875" style="34" customWidth="1"/>
    <col min="9" max="9" width="10" style="34" bestFit="1" customWidth="1"/>
    <col min="10" max="14" width="9.54296875" style="34" bestFit="1" customWidth="1"/>
    <col min="15" max="15" width="12.453125" style="36" bestFit="1" customWidth="1"/>
    <col min="16" max="16" width="9.54296875" style="34" bestFit="1" customWidth="1"/>
    <col min="17" max="16384" width="8.54296875" style="34"/>
  </cols>
  <sheetData>
    <row r="1" spans="1:16" ht="29" x14ac:dyDescent="0.5">
      <c r="A1" s="35" t="s">
        <v>111</v>
      </c>
      <c r="C1" s="45" t="s">
        <v>44</v>
      </c>
      <c r="D1" s="476"/>
      <c r="E1" s="46"/>
      <c r="F1" s="46"/>
      <c r="G1" s="46"/>
      <c r="H1" s="46"/>
      <c r="I1" s="46"/>
      <c r="J1" s="46"/>
      <c r="K1" s="46"/>
      <c r="L1" s="46"/>
      <c r="M1" s="46"/>
      <c r="N1" s="46"/>
      <c r="O1" s="53">
        <f>'NI LLC-Consolidated'!Q1</f>
        <v>46023</v>
      </c>
      <c r="P1" s="46"/>
    </row>
    <row r="2" spans="1:16" ht="18" x14ac:dyDescent="0.35">
      <c r="C2" s="121" t="str">
        <f>'NI LLC-Consolidated'!J2</f>
        <v>Neshaminy Interplex LLC</v>
      </c>
      <c r="D2" s="476"/>
      <c r="E2" s="46"/>
      <c r="F2" s="46"/>
      <c r="G2" s="46"/>
      <c r="H2" s="46"/>
      <c r="I2" s="46"/>
      <c r="J2" s="46"/>
      <c r="K2" s="46"/>
      <c r="L2" s="46"/>
      <c r="M2" s="46"/>
      <c r="N2" s="46"/>
      <c r="O2" s="34"/>
      <c r="P2" s="46"/>
    </row>
    <row r="3" spans="1:16" x14ac:dyDescent="0.35">
      <c r="G3" s="97"/>
    </row>
    <row r="4" spans="1:16" ht="18" x14ac:dyDescent="0.35">
      <c r="A4" s="35"/>
      <c r="B4" s="37" t="s">
        <v>12</v>
      </c>
      <c r="M4" s="126"/>
      <c r="N4" s="126"/>
    </row>
    <row r="5" spans="1:16" x14ac:dyDescent="0.35">
      <c r="C5" s="123" t="s">
        <v>0</v>
      </c>
      <c r="D5" s="123" t="s">
        <v>1</v>
      </c>
      <c r="E5" s="123" t="s">
        <v>2</v>
      </c>
      <c r="F5" s="123" t="s">
        <v>3</v>
      </c>
      <c r="G5" s="123" t="s">
        <v>4</v>
      </c>
      <c r="H5" s="123" t="s">
        <v>5</v>
      </c>
      <c r="I5" s="123" t="s">
        <v>6</v>
      </c>
      <c r="J5" s="123" t="s">
        <v>7</v>
      </c>
      <c r="K5" s="123" t="s">
        <v>8</v>
      </c>
      <c r="L5" s="123" t="s">
        <v>9</v>
      </c>
      <c r="M5" s="123" t="s">
        <v>10</v>
      </c>
      <c r="N5" s="123" t="s">
        <v>11</v>
      </c>
      <c r="O5" s="481" t="s">
        <v>12</v>
      </c>
      <c r="P5" s="41"/>
    </row>
    <row r="6" spans="1:16" x14ac:dyDescent="0.35">
      <c r="B6" s="282">
        <f>'4050'!$B$1</f>
        <v>4050</v>
      </c>
      <c r="C6" s="34">
        <f>C18+C29+C40</f>
        <v>0</v>
      </c>
      <c r="D6" s="34">
        <f t="shared" ref="D6:N6" si="0">D18+D29+D40</f>
        <v>0</v>
      </c>
      <c r="E6" s="34">
        <f t="shared" si="0"/>
        <v>463.5</v>
      </c>
      <c r="F6" s="34">
        <f t="shared" si="0"/>
        <v>463.5</v>
      </c>
      <c r="G6" s="34">
        <f t="shared" si="0"/>
        <v>2008.5</v>
      </c>
      <c r="H6" s="34">
        <f t="shared" si="0"/>
        <v>463.5</v>
      </c>
      <c r="I6" s="34">
        <f t="shared" si="0"/>
        <v>463.5</v>
      </c>
      <c r="J6" s="34">
        <f t="shared" si="0"/>
        <v>463.5</v>
      </c>
      <c r="K6" s="34">
        <f t="shared" si="0"/>
        <v>2008.5</v>
      </c>
      <c r="L6" s="34">
        <f t="shared" si="0"/>
        <v>463.5</v>
      </c>
      <c r="M6" s="34">
        <f t="shared" si="0"/>
        <v>206</v>
      </c>
      <c r="N6" s="34">
        <f t="shared" si="0"/>
        <v>0</v>
      </c>
      <c r="O6" s="482">
        <f>SUM(C6:N6)</f>
        <v>7004</v>
      </c>
      <c r="P6" s="119"/>
    </row>
    <row r="7" spans="1:16" x14ac:dyDescent="0.35">
      <c r="B7" s="282">
        <f>'4060'!$B$1</f>
        <v>4060</v>
      </c>
      <c r="C7" s="34">
        <f t="shared" ref="C7:N10" si="1">C19+C30+C41</f>
        <v>0</v>
      </c>
      <c r="D7" s="34">
        <f t="shared" si="1"/>
        <v>0</v>
      </c>
      <c r="E7" s="34">
        <f t="shared" si="1"/>
        <v>824</v>
      </c>
      <c r="F7" s="34">
        <f t="shared" si="1"/>
        <v>824</v>
      </c>
      <c r="G7" s="34">
        <f t="shared" si="1"/>
        <v>2369</v>
      </c>
      <c r="H7" s="34">
        <f t="shared" si="1"/>
        <v>824</v>
      </c>
      <c r="I7" s="34">
        <f t="shared" si="1"/>
        <v>824</v>
      </c>
      <c r="J7" s="34">
        <f t="shared" si="1"/>
        <v>824</v>
      </c>
      <c r="K7" s="34">
        <f t="shared" si="1"/>
        <v>824</v>
      </c>
      <c r="L7" s="34">
        <f t="shared" si="1"/>
        <v>2369</v>
      </c>
      <c r="M7" s="34">
        <f t="shared" si="1"/>
        <v>257.5</v>
      </c>
      <c r="N7" s="34">
        <f t="shared" si="1"/>
        <v>0</v>
      </c>
      <c r="O7" s="482">
        <f t="shared" ref="O7:O12" si="2">SUM(C7:N7)</f>
        <v>9939.5</v>
      </c>
      <c r="P7" s="119"/>
    </row>
    <row r="8" spans="1:16" x14ac:dyDescent="0.35">
      <c r="B8" s="282">
        <f>'4070'!$B$1</f>
        <v>4070</v>
      </c>
      <c r="C8" s="34">
        <f t="shared" si="1"/>
        <v>0</v>
      </c>
      <c r="D8" s="34">
        <f t="shared" si="1"/>
        <v>0</v>
      </c>
      <c r="E8" s="34">
        <f t="shared" si="1"/>
        <v>798.25</v>
      </c>
      <c r="F8" s="34">
        <f t="shared" si="1"/>
        <v>798.25</v>
      </c>
      <c r="G8" s="34">
        <f t="shared" si="1"/>
        <v>2343.25</v>
      </c>
      <c r="H8" s="34">
        <f t="shared" si="1"/>
        <v>798.25</v>
      </c>
      <c r="I8" s="34">
        <f t="shared" si="1"/>
        <v>798.25</v>
      </c>
      <c r="J8" s="34">
        <f t="shared" si="1"/>
        <v>798.25</v>
      </c>
      <c r="K8" s="34">
        <f t="shared" si="1"/>
        <v>2343.25</v>
      </c>
      <c r="L8" s="34">
        <f t="shared" si="1"/>
        <v>798.25</v>
      </c>
      <c r="M8" s="34">
        <f t="shared" si="1"/>
        <v>206</v>
      </c>
      <c r="N8" s="34">
        <f t="shared" si="1"/>
        <v>0</v>
      </c>
      <c r="O8" s="482">
        <f t="shared" si="2"/>
        <v>9682</v>
      </c>
      <c r="P8" s="119"/>
    </row>
    <row r="9" spans="1:16" x14ac:dyDescent="0.35">
      <c r="B9" s="282">
        <f>'4080'!$B$1</f>
        <v>4080</v>
      </c>
      <c r="C9" s="34">
        <f t="shared" si="1"/>
        <v>0</v>
      </c>
      <c r="D9" s="34">
        <f t="shared" si="1"/>
        <v>0</v>
      </c>
      <c r="E9" s="34">
        <f t="shared" si="1"/>
        <v>1030</v>
      </c>
      <c r="F9" s="34">
        <f t="shared" si="1"/>
        <v>1030</v>
      </c>
      <c r="G9" s="34">
        <f t="shared" si="1"/>
        <v>2884</v>
      </c>
      <c r="H9" s="34">
        <f t="shared" si="1"/>
        <v>1030</v>
      </c>
      <c r="I9" s="34">
        <f t="shared" si="1"/>
        <v>1030</v>
      </c>
      <c r="J9" s="34">
        <f t="shared" si="1"/>
        <v>1030</v>
      </c>
      <c r="K9" s="34">
        <f t="shared" si="1"/>
        <v>1030</v>
      </c>
      <c r="L9" s="34">
        <f t="shared" si="1"/>
        <v>2884</v>
      </c>
      <c r="M9" s="34">
        <f t="shared" si="1"/>
        <v>257.5</v>
      </c>
      <c r="N9" s="34">
        <f t="shared" si="1"/>
        <v>0</v>
      </c>
      <c r="O9" s="482">
        <f t="shared" si="2"/>
        <v>12205.5</v>
      </c>
      <c r="P9" s="119"/>
    </row>
    <row r="10" spans="1:16" x14ac:dyDescent="0.35">
      <c r="B10" s="282" t="str">
        <f>'40A0'!$B$1</f>
        <v>40A0</v>
      </c>
      <c r="C10" s="34">
        <f>C22+C33+C44</f>
        <v>0</v>
      </c>
      <c r="D10" s="34">
        <f t="shared" si="1"/>
        <v>0</v>
      </c>
      <c r="E10" s="34">
        <f t="shared" si="1"/>
        <v>154.5</v>
      </c>
      <c r="F10" s="34">
        <f t="shared" si="1"/>
        <v>154.5</v>
      </c>
      <c r="G10" s="34">
        <f t="shared" si="1"/>
        <v>669.5</v>
      </c>
      <c r="H10" s="34">
        <f t="shared" si="1"/>
        <v>154.5</v>
      </c>
      <c r="I10" s="34">
        <f t="shared" si="1"/>
        <v>154.5</v>
      </c>
      <c r="J10" s="34">
        <f t="shared" si="1"/>
        <v>154.5</v>
      </c>
      <c r="K10" s="34">
        <f t="shared" si="1"/>
        <v>669.5</v>
      </c>
      <c r="L10" s="34">
        <f t="shared" si="1"/>
        <v>154.5</v>
      </c>
      <c r="M10" s="34">
        <f t="shared" si="1"/>
        <v>154.5</v>
      </c>
      <c r="N10" s="34">
        <f t="shared" si="1"/>
        <v>0</v>
      </c>
      <c r="O10" s="482">
        <f t="shared" si="2"/>
        <v>2420.5</v>
      </c>
      <c r="P10" s="119"/>
    </row>
    <row r="11" spans="1:16" x14ac:dyDescent="0.35">
      <c r="B11" s="282" t="str">
        <f>'40B0'!$B$1</f>
        <v>40B0</v>
      </c>
      <c r="C11" s="34">
        <f t="shared" ref="C11:N12" si="3">C23+C34+C45</f>
        <v>0</v>
      </c>
      <c r="D11" s="34">
        <f t="shared" si="3"/>
        <v>0</v>
      </c>
      <c r="E11" s="34">
        <f t="shared" si="3"/>
        <v>103</v>
      </c>
      <c r="F11" s="34">
        <f t="shared" si="3"/>
        <v>103</v>
      </c>
      <c r="G11" s="34">
        <f t="shared" si="3"/>
        <v>412</v>
      </c>
      <c r="H11" s="34">
        <f t="shared" si="3"/>
        <v>103</v>
      </c>
      <c r="I11" s="34">
        <f t="shared" si="3"/>
        <v>103</v>
      </c>
      <c r="J11" s="34">
        <f t="shared" si="3"/>
        <v>103</v>
      </c>
      <c r="K11" s="34">
        <f t="shared" si="3"/>
        <v>103</v>
      </c>
      <c r="L11" s="34">
        <f t="shared" si="3"/>
        <v>412</v>
      </c>
      <c r="M11" s="34">
        <f t="shared" si="3"/>
        <v>103</v>
      </c>
      <c r="N11" s="34">
        <f t="shared" si="3"/>
        <v>0</v>
      </c>
      <c r="O11" s="482">
        <f t="shared" si="2"/>
        <v>1545</v>
      </c>
      <c r="P11" s="119"/>
    </row>
    <row r="12" spans="1:16" x14ac:dyDescent="0.35">
      <c r="B12" s="282" t="str">
        <f>'40C0'!$B$1</f>
        <v>40C0</v>
      </c>
      <c r="C12" s="43">
        <f t="shared" si="3"/>
        <v>0</v>
      </c>
      <c r="D12" s="43">
        <f t="shared" si="3"/>
        <v>0</v>
      </c>
      <c r="E12" s="43">
        <f t="shared" si="3"/>
        <v>103</v>
      </c>
      <c r="F12" s="43">
        <f t="shared" si="3"/>
        <v>412</v>
      </c>
      <c r="G12" s="43">
        <f t="shared" si="3"/>
        <v>103</v>
      </c>
      <c r="H12" s="43">
        <f t="shared" si="3"/>
        <v>103</v>
      </c>
      <c r="I12" s="43">
        <f t="shared" si="3"/>
        <v>103</v>
      </c>
      <c r="J12" s="43">
        <f t="shared" si="3"/>
        <v>103</v>
      </c>
      <c r="K12" s="43">
        <f t="shared" si="3"/>
        <v>103</v>
      </c>
      <c r="L12" s="43">
        <f t="shared" si="3"/>
        <v>412</v>
      </c>
      <c r="M12" s="43">
        <f t="shared" si="3"/>
        <v>103</v>
      </c>
      <c r="N12" s="43">
        <f t="shared" si="3"/>
        <v>0</v>
      </c>
      <c r="O12" s="483">
        <f t="shared" si="2"/>
        <v>1545</v>
      </c>
      <c r="P12" s="119"/>
    </row>
    <row r="13" spans="1:16" x14ac:dyDescent="0.35">
      <c r="B13" s="133" t="s">
        <v>357</v>
      </c>
      <c r="C13" s="36">
        <f t="shared" ref="C13:O13" si="4">SUM(C6:C12)</f>
        <v>0</v>
      </c>
      <c r="D13" s="36">
        <f t="shared" si="4"/>
        <v>0</v>
      </c>
      <c r="E13" s="36">
        <f t="shared" si="4"/>
        <v>3476.25</v>
      </c>
      <c r="F13" s="36">
        <f t="shared" si="4"/>
        <v>3785.25</v>
      </c>
      <c r="G13" s="36">
        <f t="shared" si="4"/>
        <v>10789.25</v>
      </c>
      <c r="H13" s="36">
        <f t="shared" si="4"/>
        <v>3476.25</v>
      </c>
      <c r="I13" s="36">
        <f t="shared" si="4"/>
        <v>3476.25</v>
      </c>
      <c r="J13" s="36">
        <f t="shared" si="4"/>
        <v>3476.25</v>
      </c>
      <c r="K13" s="36">
        <f t="shared" si="4"/>
        <v>7081.25</v>
      </c>
      <c r="L13" s="36">
        <f t="shared" si="4"/>
        <v>7493.25</v>
      </c>
      <c r="M13" s="36">
        <f t="shared" si="4"/>
        <v>1287.5</v>
      </c>
      <c r="N13" s="36">
        <f t="shared" si="4"/>
        <v>0</v>
      </c>
      <c r="O13" s="36">
        <f t="shared" si="4"/>
        <v>44341.5</v>
      </c>
      <c r="P13" s="125"/>
    </row>
    <row r="14" spans="1:16" ht="16.5" thickBot="1" x14ac:dyDescent="0.4">
      <c r="A14" s="479"/>
      <c r="B14" s="479"/>
      <c r="C14" s="479"/>
      <c r="D14" s="479"/>
      <c r="E14" s="479"/>
      <c r="F14" s="479"/>
      <c r="G14" s="480"/>
      <c r="H14" s="479"/>
      <c r="I14" s="479"/>
      <c r="J14" s="479"/>
      <c r="K14" s="479"/>
      <c r="L14" s="479"/>
      <c r="M14" s="479"/>
      <c r="N14" s="479"/>
      <c r="O14" s="484"/>
    </row>
    <row r="15" spans="1:16" x14ac:dyDescent="0.35">
      <c r="G15" s="488"/>
    </row>
    <row r="16" spans="1:16" ht="17.5" x14ac:dyDescent="0.35">
      <c r="A16" s="37" t="s">
        <v>540</v>
      </c>
      <c r="B16" s="37" t="s">
        <v>573</v>
      </c>
      <c r="M16" s="126"/>
      <c r="N16" s="126"/>
    </row>
    <row r="17" spans="1:17" x14ac:dyDescent="0.35">
      <c r="C17" s="123" t="s">
        <v>0</v>
      </c>
      <c r="D17" s="123" t="s">
        <v>1</v>
      </c>
      <c r="E17" s="123" t="s">
        <v>2</v>
      </c>
      <c r="F17" s="123" t="s">
        <v>3</v>
      </c>
      <c r="G17" s="123" t="s">
        <v>4</v>
      </c>
      <c r="H17" s="123" t="s">
        <v>5</v>
      </c>
      <c r="I17" s="123" t="s">
        <v>6</v>
      </c>
      <c r="J17" s="123" t="s">
        <v>7</v>
      </c>
      <c r="K17" s="123" t="s">
        <v>8</v>
      </c>
      <c r="L17" s="123" t="s">
        <v>9</v>
      </c>
      <c r="M17" s="123" t="s">
        <v>10</v>
      </c>
      <c r="N17" s="123" t="s">
        <v>11</v>
      </c>
      <c r="O17" s="481" t="s">
        <v>12</v>
      </c>
      <c r="P17" s="41"/>
      <c r="Q17" s="38" t="s">
        <v>568</v>
      </c>
    </row>
    <row r="18" spans="1:17" x14ac:dyDescent="0.35">
      <c r="B18" s="282">
        <f>'4050'!$B$1</f>
        <v>4050</v>
      </c>
      <c r="C18" s="40">
        <v>0</v>
      </c>
      <c r="D18" s="40">
        <v>0</v>
      </c>
      <c r="E18" s="40">
        <f>1.03*350</f>
        <v>360.5</v>
      </c>
      <c r="F18" s="40">
        <f t="shared" ref="F18:L18" si="5">1.03*350</f>
        <v>360.5</v>
      </c>
      <c r="G18" s="40">
        <f t="shared" si="5"/>
        <v>360.5</v>
      </c>
      <c r="H18" s="40">
        <f t="shared" si="5"/>
        <v>360.5</v>
      </c>
      <c r="I18" s="40">
        <f t="shared" si="5"/>
        <v>360.5</v>
      </c>
      <c r="J18" s="40">
        <f t="shared" si="5"/>
        <v>360.5</v>
      </c>
      <c r="K18" s="40">
        <f t="shared" si="5"/>
        <v>360.5</v>
      </c>
      <c r="L18" s="40">
        <f t="shared" si="5"/>
        <v>360.5</v>
      </c>
      <c r="M18" s="40">
        <v>0</v>
      </c>
      <c r="N18" s="40">
        <v>0</v>
      </c>
      <c r="O18" s="482">
        <f>SUM(C18:N18)</f>
        <v>2884</v>
      </c>
      <c r="P18" s="119"/>
    </row>
    <row r="19" spans="1:17" x14ac:dyDescent="0.35">
      <c r="B19" s="282">
        <f>'4060'!$B$1</f>
        <v>4060</v>
      </c>
      <c r="C19" s="40">
        <v>0</v>
      </c>
      <c r="D19" s="40">
        <v>0</v>
      </c>
      <c r="E19" s="40">
        <f>1.03*550</f>
        <v>566.5</v>
      </c>
      <c r="F19" s="40">
        <f t="shared" ref="F19:L19" si="6">1.03*550</f>
        <v>566.5</v>
      </c>
      <c r="G19" s="40">
        <f t="shared" si="6"/>
        <v>566.5</v>
      </c>
      <c r="H19" s="40">
        <f t="shared" si="6"/>
        <v>566.5</v>
      </c>
      <c r="I19" s="40">
        <f t="shared" si="6"/>
        <v>566.5</v>
      </c>
      <c r="J19" s="40">
        <f t="shared" si="6"/>
        <v>566.5</v>
      </c>
      <c r="K19" s="40">
        <f t="shared" si="6"/>
        <v>566.5</v>
      </c>
      <c r="L19" s="40">
        <f t="shared" si="6"/>
        <v>566.5</v>
      </c>
      <c r="M19" s="40">
        <v>0</v>
      </c>
      <c r="N19" s="40">
        <v>0</v>
      </c>
      <c r="O19" s="482">
        <f t="shared" ref="O19:O24" si="7">SUM(C19:N19)</f>
        <v>4532</v>
      </c>
      <c r="P19" s="119"/>
    </row>
    <row r="20" spans="1:17" x14ac:dyDescent="0.35">
      <c r="B20" s="282">
        <f>'4070'!$B$1</f>
        <v>4070</v>
      </c>
      <c r="C20" s="40">
        <v>0</v>
      </c>
      <c r="D20" s="40">
        <v>0</v>
      </c>
      <c r="E20" s="40">
        <f>1.03*575</f>
        <v>592.25</v>
      </c>
      <c r="F20" s="40">
        <f t="shared" ref="F20:L20" si="8">1.03*575</f>
        <v>592.25</v>
      </c>
      <c r="G20" s="40">
        <f t="shared" si="8"/>
        <v>592.25</v>
      </c>
      <c r="H20" s="40">
        <f t="shared" si="8"/>
        <v>592.25</v>
      </c>
      <c r="I20" s="40">
        <f t="shared" si="8"/>
        <v>592.25</v>
      </c>
      <c r="J20" s="40">
        <f t="shared" si="8"/>
        <v>592.25</v>
      </c>
      <c r="K20" s="40">
        <f t="shared" si="8"/>
        <v>592.25</v>
      </c>
      <c r="L20" s="40">
        <f t="shared" si="8"/>
        <v>592.25</v>
      </c>
      <c r="M20" s="40">
        <v>0</v>
      </c>
      <c r="N20" s="40">
        <v>0</v>
      </c>
      <c r="O20" s="482">
        <f t="shared" si="7"/>
        <v>4738</v>
      </c>
      <c r="P20" s="119"/>
    </row>
    <row r="21" spans="1:17" x14ac:dyDescent="0.35">
      <c r="B21" s="282">
        <f>'4080'!$B$1</f>
        <v>4080</v>
      </c>
      <c r="C21" s="40">
        <v>0</v>
      </c>
      <c r="D21" s="40">
        <v>0</v>
      </c>
      <c r="E21" s="40">
        <f>1.03*750</f>
        <v>772.5</v>
      </c>
      <c r="F21" s="40">
        <f t="shared" ref="F21:L21" si="9">1.03*750</f>
        <v>772.5</v>
      </c>
      <c r="G21" s="40">
        <f t="shared" si="9"/>
        <v>772.5</v>
      </c>
      <c r="H21" s="40">
        <f t="shared" si="9"/>
        <v>772.5</v>
      </c>
      <c r="I21" s="40">
        <f t="shared" si="9"/>
        <v>772.5</v>
      </c>
      <c r="J21" s="40">
        <f t="shared" si="9"/>
        <v>772.5</v>
      </c>
      <c r="K21" s="40">
        <f t="shared" si="9"/>
        <v>772.5</v>
      </c>
      <c r="L21" s="40">
        <f t="shared" si="9"/>
        <v>772.5</v>
      </c>
      <c r="M21" s="40">
        <v>0</v>
      </c>
      <c r="N21" s="40">
        <v>0</v>
      </c>
      <c r="O21" s="482">
        <f t="shared" si="7"/>
        <v>6180</v>
      </c>
      <c r="P21" s="119"/>
    </row>
    <row r="22" spans="1:17" x14ac:dyDescent="0.35">
      <c r="B22" s="282" t="str">
        <f>'40A0'!$B$1</f>
        <v>40A0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82">
        <f t="shared" si="7"/>
        <v>0</v>
      </c>
      <c r="P22" s="119"/>
    </row>
    <row r="23" spans="1:17" x14ac:dyDescent="0.35">
      <c r="B23" s="282" t="str">
        <f>'40B0'!$B$1</f>
        <v>40B0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82">
        <f t="shared" si="7"/>
        <v>0</v>
      </c>
      <c r="P23" s="119"/>
    </row>
    <row r="24" spans="1:17" x14ac:dyDescent="0.35">
      <c r="B24" s="282" t="str">
        <f>'40C0'!$B$1</f>
        <v>40C0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83">
        <f t="shared" si="7"/>
        <v>0</v>
      </c>
      <c r="P24" s="119"/>
    </row>
    <row r="25" spans="1:17" x14ac:dyDescent="0.35">
      <c r="B25" s="133" t="s">
        <v>357</v>
      </c>
      <c r="C25" s="36">
        <f t="shared" ref="C25:O25" si="10">SUM(C18:C24)</f>
        <v>0</v>
      </c>
      <c r="D25" s="36">
        <f t="shared" si="10"/>
        <v>0</v>
      </c>
      <c r="E25" s="36">
        <f t="shared" si="10"/>
        <v>2291.75</v>
      </c>
      <c r="F25" s="36">
        <f t="shared" si="10"/>
        <v>2291.75</v>
      </c>
      <c r="G25" s="36">
        <f t="shared" si="10"/>
        <v>2291.75</v>
      </c>
      <c r="H25" s="36">
        <f t="shared" si="10"/>
        <v>2291.75</v>
      </c>
      <c r="I25" s="36">
        <f t="shared" si="10"/>
        <v>2291.75</v>
      </c>
      <c r="J25" s="36">
        <f t="shared" si="10"/>
        <v>2291.75</v>
      </c>
      <c r="K25" s="36">
        <f t="shared" si="10"/>
        <v>2291.75</v>
      </c>
      <c r="L25" s="36">
        <f t="shared" si="10"/>
        <v>2291.75</v>
      </c>
      <c r="M25" s="36">
        <f t="shared" si="10"/>
        <v>0</v>
      </c>
      <c r="N25" s="36">
        <f t="shared" si="10"/>
        <v>0</v>
      </c>
      <c r="O25" s="36">
        <f t="shared" si="10"/>
        <v>18334</v>
      </c>
      <c r="P25" s="125"/>
    </row>
    <row r="27" spans="1:17" ht="17.5" x14ac:dyDescent="0.35">
      <c r="A27" s="37" t="s">
        <v>540</v>
      </c>
      <c r="B27" s="37" t="s">
        <v>574</v>
      </c>
      <c r="C27" s="41"/>
      <c r="N27" s="126"/>
    </row>
    <row r="28" spans="1:17" x14ac:dyDescent="0.35">
      <c r="C28" s="123" t="s">
        <v>0</v>
      </c>
      <c r="D28" s="123" t="s">
        <v>1</v>
      </c>
      <c r="E28" s="123" t="s">
        <v>2</v>
      </c>
      <c r="F28" s="123" t="s">
        <v>3</v>
      </c>
      <c r="G28" s="123" t="s">
        <v>4</v>
      </c>
      <c r="H28" s="123" t="s">
        <v>5</v>
      </c>
      <c r="I28" s="123" t="s">
        <v>6</v>
      </c>
      <c r="J28" s="123" t="s">
        <v>7</v>
      </c>
      <c r="K28" s="123" t="s">
        <v>8</v>
      </c>
      <c r="L28" s="123" t="s">
        <v>9</v>
      </c>
      <c r="M28" s="123" t="s">
        <v>10</v>
      </c>
      <c r="N28" s="123" t="s">
        <v>11</v>
      </c>
      <c r="O28" s="481" t="s">
        <v>12</v>
      </c>
      <c r="P28" s="41"/>
    </row>
    <row r="29" spans="1:17" x14ac:dyDescent="0.35">
      <c r="B29" s="282">
        <f>'4050'!$B$1</f>
        <v>4050</v>
      </c>
      <c r="C29" s="40">
        <v>0</v>
      </c>
      <c r="D29" s="40">
        <v>0</v>
      </c>
      <c r="E29" s="40">
        <v>0</v>
      </c>
      <c r="F29" s="40">
        <v>0</v>
      </c>
      <c r="G29" s="40">
        <f>1.03*1500</f>
        <v>1545</v>
      </c>
      <c r="H29" s="40">
        <v>0</v>
      </c>
      <c r="I29" s="40">
        <v>0</v>
      </c>
      <c r="J29" s="40">
        <v>0</v>
      </c>
      <c r="K29" s="40">
        <f>1.03*1500</f>
        <v>1545</v>
      </c>
      <c r="L29" s="40">
        <v>0</v>
      </c>
      <c r="M29" s="40">
        <v>0</v>
      </c>
      <c r="N29" s="40">
        <v>0</v>
      </c>
      <c r="O29" s="482">
        <f>SUM(C29:N29)</f>
        <v>3090</v>
      </c>
      <c r="P29" s="119"/>
      <c r="Q29" s="38" t="s">
        <v>568</v>
      </c>
    </row>
    <row r="30" spans="1:17" x14ac:dyDescent="0.35">
      <c r="B30" s="282">
        <f>'4060'!$B$1</f>
        <v>4060</v>
      </c>
      <c r="C30" s="40">
        <v>0</v>
      </c>
      <c r="D30" s="40">
        <v>0</v>
      </c>
      <c r="E30" s="40">
        <v>0</v>
      </c>
      <c r="F30" s="40">
        <v>0</v>
      </c>
      <c r="G30" s="40">
        <f>1.03*1500</f>
        <v>1545</v>
      </c>
      <c r="H30" s="40">
        <v>0</v>
      </c>
      <c r="I30" s="40">
        <v>0</v>
      </c>
      <c r="J30" s="40">
        <v>0</v>
      </c>
      <c r="K30" s="40">
        <v>0</v>
      </c>
      <c r="L30" s="40">
        <f>1.03*1500</f>
        <v>1545</v>
      </c>
      <c r="M30" s="40">
        <v>0</v>
      </c>
      <c r="N30" s="40">
        <v>0</v>
      </c>
      <c r="O30" s="482">
        <f t="shared" ref="O30:O35" si="11">SUM(C30:N30)</f>
        <v>3090</v>
      </c>
      <c r="P30" s="119"/>
    </row>
    <row r="31" spans="1:17" x14ac:dyDescent="0.35">
      <c r="B31" s="282">
        <f>'4070'!$B$1</f>
        <v>4070</v>
      </c>
      <c r="C31" s="40">
        <v>0</v>
      </c>
      <c r="D31" s="40">
        <v>0</v>
      </c>
      <c r="E31" s="40">
        <v>0</v>
      </c>
      <c r="F31" s="40">
        <v>0</v>
      </c>
      <c r="G31" s="40">
        <f>1.03*1500</f>
        <v>1545</v>
      </c>
      <c r="H31" s="40">
        <v>0</v>
      </c>
      <c r="I31" s="40">
        <v>0</v>
      </c>
      <c r="J31" s="40">
        <v>0</v>
      </c>
      <c r="K31" s="40">
        <f>1.03*1500</f>
        <v>1545</v>
      </c>
      <c r="L31" s="40">
        <v>0</v>
      </c>
      <c r="M31" s="40">
        <v>0</v>
      </c>
      <c r="N31" s="40">
        <v>0</v>
      </c>
      <c r="O31" s="482">
        <f t="shared" si="11"/>
        <v>3090</v>
      </c>
      <c r="P31" s="119"/>
    </row>
    <row r="32" spans="1:17" x14ac:dyDescent="0.35">
      <c r="B32" s="282">
        <f>'4080'!$B$1</f>
        <v>4080</v>
      </c>
      <c r="C32" s="40">
        <v>0</v>
      </c>
      <c r="D32" s="40">
        <v>0</v>
      </c>
      <c r="E32" s="40">
        <v>0</v>
      </c>
      <c r="F32" s="40">
        <v>0</v>
      </c>
      <c r="G32" s="40">
        <f>1.03*1800</f>
        <v>1854</v>
      </c>
      <c r="H32" s="40">
        <v>0</v>
      </c>
      <c r="I32" s="40">
        <v>0</v>
      </c>
      <c r="J32" s="40">
        <v>0</v>
      </c>
      <c r="K32" s="40">
        <v>0</v>
      </c>
      <c r="L32" s="40">
        <f>1.03*1800</f>
        <v>1854</v>
      </c>
      <c r="M32" s="40">
        <v>0</v>
      </c>
      <c r="N32" s="40">
        <v>0</v>
      </c>
      <c r="O32" s="482">
        <f t="shared" si="11"/>
        <v>3708</v>
      </c>
      <c r="P32" s="119"/>
    </row>
    <row r="33" spans="1:17" x14ac:dyDescent="0.35">
      <c r="B33" s="282" t="str">
        <f>'40A0'!$B$1</f>
        <v>40A0</v>
      </c>
      <c r="C33" s="40">
        <v>0</v>
      </c>
      <c r="D33" s="40">
        <v>0</v>
      </c>
      <c r="E33" s="40">
        <v>0</v>
      </c>
      <c r="F33" s="40">
        <v>0</v>
      </c>
      <c r="G33" s="40">
        <f>1.03*500</f>
        <v>515</v>
      </c>
      <c r="H33" s="40">
        <v>0</v>
      </c>
      <c r="I33" s="40">
        <v>0</v>
      </c>
      <c r="J33" s="40">
        <v>0</v>
      </c>
      <c r="K33" s="40">
        <f>1.03*500</f>
        <v>515</v>
      </c>
      <c r="L33" s="40">
        <v>0</v>
      </c>
      <c r="M33" s="40">
        <v>0</v>
      </c>
      <c r="N33" s="40">
        <v>0</v>
      </c>
      <c r="O33" s="482">
        <f t="shared" si="11"/>
        <v>1030</v>
      </c>
      <c r="P33" s="119"/>
    </row>
    <row r="34" spans="1:17" x14ac:dyDescent="0.35">
      <c r="B34" s="282" t="str">
        <f>'40B0'!$B$1</f>
        <v>40B0</v>
      </c>
      <c r="C34" s="40">
        <v>0</v>
      </c>
      <c r="D34" s="40">
        <v>0</v>
      </c>
      <c r="E34" s="40">
        <v>0</v>
      </c>
      <c r="F34" s="40">
        <v>0</v>
      </c>
      <c r="G34" s="40">
        <f>1.03*300</f>
        <v>309</v>
      </c>
      <c r="H34" s="40">
        <v>0</v>
      </c>
      <c r="I34" s="40">
        <v>0</v>
      </c>
      <c r="J34" s="40">
        <v>0</v>
      </c>
      <c r="K34" s="40">
        <v>0</v>
      </c>
      <c r="L34" s="40">
        <f>1.03*300</f>
        <v>309</v>
      </c>
      <c r="M34" s="40">
        <v>0</v>
      </c>
      <c r="N34" s="40">
        <v>0</v>
      </c>
      <c r="O34" s="482">
        <f t="shared" si="11"/>
        <v>618</v>
      </c>
      <c r="P34" s="119"/>
    </row>
    <row r="35" spans="1:17" x14ac:dyDescent="0.35">
      <c r="B35" s="282" t="str">
        <f>'40C0'!$B$1</f>
        <v>40C0</v>
      </c>
      <c r="C35" s="42">
        <v>0</v>
      </c>
      <c r="D35" s="42">
        <v>0</v>
      </c>
      <c r="E35" s="42">
        <v>0</v>
      </c>
      <c r="F35" s="42">
        <f>1.03*300</f>
        <v>309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f>1.03*300</f>
        <v>309</v>
      </c>
      <c r="M35" s="42">
        <v>0</v>
      </c>
      <c r="N35" s="42">
        <v>0</v>
      </c>
      <c r="O35" s="483">
        <f t="shared" si="11"/>
        <v>618</v>
      </c>
      <c r="P35" s="478"/>
    </row>
    <row r="36" spans="1:17" x14ac:dyDescent="0.35">
      <c r="B36" s="133" t="s">
        <v>357</v>
      </c>
      <c r="C36" s="36">
        <f t="shared" ref="C36:O36" si="12">SUM(C29:C35)</f>
        <v>0</v>
      </c>
      <c r="D36" s="135">
        <f t="shared" si="12"/>
        <v>0</v>
      </c>
      <c r="E36" s="135">
        <f t="shared" si="12"/>
        <v>0</v>
      </c>
      <c r="F36" s="135">
        <f t="shared" si="12"/>
        <v>309</v>
      </c>
      <c r="G36" s="135">
        <f t="shared" si="12"/>
        <v>7313</v>
      </c>
      <c r="H36" s="135">
        <f t="shared" si="12"/>
        <v>0</v>
      </c>
      <c r="I36" s="135">
        <f t="shared" si="12"/>
        <v>0</v>
      </c>
      <c r="J36" s="135">
        <f t="shared" si="12"/>
        <v>0</v>
      </c>
      <c r="K36" s="135">
        <f t="shared" si="12"/>
        <v>3605</v>
      </c>
      <c r="L36" s="135">
        <f t="shared" si="12"/>
        <v>4017</v>
      </c>
      <c r="M36" s="135">
        <f t="shared" si="12"/>
        <v>0</v>
      </c>
      <c r="N36" s="135">
        <f t="shared" si="12"/>
        <v>0</v>
      </c>
      <c r="O36" s="135">
        <f t="shared" si="12"/>
        <v>15244</v>
      </c>
      <c r="P36" s="125"/>
    </row>
    <row r="38" spans="1:17" ht="17.5" x14ac:dyDescent="0.35">
      <c r="A38" s="37" t="s">
        <v>540</v>
      </c>
      <c r="B38" s="37" t="s">
        <v>575</v>
      </c>
      <c r="C38" s="41"/>
      <c r="N38" s="126"/>
    </row>
    <row r="39" spans="1:17" x14ac:dyDescent="0.35">
      <c r="C39" s="123" t="s">
        <v>0</v>
      </c>
      <c r="D39" s="123" t="s">
        <v>1</v>
      </c>
      <c r="E39" s="123" t="s">
        <v>2</v>
      </c>
      <c r="F39" s="123" t="s">
        <v>3</v>
      </c>
      <c r="G39" s="123" t="s">
        <v>4</v>
      </c>
      <c r="H39" s="123" t="s">
        <v>5</v>
      </c>
      <c r="I39" s="123" t="s">
        <v>6</v>
      </c>
      <c r="J39" s="123" t="s">
        <v>7</v>
      </c>
      <c r="K39" s="123" t="s">
        <v>8</v>
      </c>
      <c r="L39" s="123" t="s">
        <v>9</v>
      </c>
      <c r="M39" s="123" t="s">
        <v>10</v>
      </c>
      <c r="N39" s="123" t="s">
        <v>11</v>
      </c>
      <c r="O39" s="481" t="s">
        <v>12</v>
      </c>
      <c r="P39" s="41"/>
    </row>
    <row r="40" spans="1:17" x14ac:dyDescent="0.35">
      <c r="B40" s="282">
        <f>'4050'!$B$1</f>
        <v>4050</v>
      </c>
      <c r="C40" s="40">
        <v>0</v>
      </c>
      <c r="D40" s="40">
        <v>0</v>
      </c>
      <c r="E40" s="40">
        <f>1.03*100</f>
        <v>103</v>
      </c>
      <c r="F40" s="40">
        <f t="shared" ref="F40:L40" si="13">1.03*100</f>
        <v>103</v>
      </c>
      <c r="G40" s="40">
        <f t="shared" si="13"/>
        <v>103</v>
      </c>
      <c r="H40" s="40">
        <f t="shared" si="13"/>
        <v>103</v>
      </c>
      <c r="I40" s="40">
        <f t="shared" si="13"/>
        <v>103</v>
      </c>
      <c r="J40" s="40">
        <f t="shared" si="13"/>
        <v>103</v>
      </c>
      <c r="K40" s="40">
        <f t="shared" si="13"/>
        <v>103</v>
      </c>
      <c r="L40" s="40">
        <f t="shared" si="13"/>
        <v>103</v>
      </c>
      <c r="M40" s="40">
        <f>1.03*200</f>
        <v>206</v>
      </c>
      <c r="N40" s="40">
        <v>0</v>
      </c>
      <c r="O40" s="482">
        <f>SUM(C40:N40)</f>
        <v>1030</v>
      </c>
      <c r="P40" s="119"/>
      <c r="Q40" s="38" t="s">
        <v>568</v>
      </c>
    </row>
    <row r="41" spans="1:17" x14ac:dyDescent="0.35">
      <c r="B41" s="282">
        <f>'4060'!$B$1</f>
        <v>4060</v>
      </c>
      <c r="C41" s="40">
        <v>0</v>
      </c>
      <c r="D41" s="40">
        <v>0</v>
      </c>
      <c r="E41" s="40">
        <f>1.03*250</f>
        <v>257.5</v>
      </c>
      <c r="F41" s="40">
        <f t="shared" ref="F41:M41" si="14">1.03*250</f>
        <v>257.5</v>
      </c>
      <c r="G41" s="40">
        <f t="shared" si="14"/>
        <v>257.5</v>
      </c>
      <c r="H41" s="40">
        <f t="shared" si="14"/>
        <v>257.5</v>
      </c>
      <c r="I41" s="40">
        <f t="shared" si="14"/>
        <v>257.5</v>
      </c>
      <c r="J41" s="40">
        <f t="shared" si="14"/>
        <v>257.5</v>
      </c>
      <c r="K41" s="40">
        <f t="shared" si="14"/>
        <v>257.5</v>
      </c>
      <c r="L41" s="40">
        <f t="shared" si="14"/>
        <v>257.5</v>
      </c>
      <c r="M41" s="40">
        <f t="shared" si="14"/>
        <v>257.5</v>
      </c>
      <c r="N41" s="40">
        <v>0</v>
      </c>
      <c r="O41" s="482">
        <f t="shared" ref="O41:O46" si="15">SUM(C41:N41)</f>
        <v>2317.5</v>
      </c>
      <c r="P41" s="119"/>
    </row>
    <row r="42" spans="1:17" x14ac:dyDescent="0.35">
      <c r="B42" s="282">
        <f>'4070'!$B$1</f>
        <v>4070</v>
      </c>
      <c r="C42" s="40">
        <v>0</v>
      </c>
      <c r="D42" s="40">
        <v>0</v>
      </c>
      <c r="E42" s="40">
        <f>1.03*200</f>
        <v>206</v>
      </c>
      <c r="F42" s="40">
        <f t="shared" ref="F42:M42" si="16">1.03*200</f>
        <v>206</v>
      </c>
      <c r="G42" s="40">
        <f t="shared" si="16"/>
        <v>206</v>
      </c>
      <c r="H42" s="40">
        <f t="shared" si="16"/>
        <v>206</v>
      </c>
      <c r="I42" s="40">
        <f t="shared" si="16"/>
        <v>206</v>
      </c>
      <c r="J42" s="40">
        <f t="shared" si="16"/>
        <v>206</v>
      </c>
      <c r="K42" s="40">
        <f t="shared" si="16"/>
        <v>206</v>
      </c>
      <c r="L42" s="40">
        <f t="shared" si="16"/>
        <v>206</v>
      </c>
      <c r="M42" s="40">
        <f t="shared" si="16"/>
        <v>206</v>
      </c>
      <c r="N42" s="40">
        <v>0</v>
      </c>
      <c r="O42" s="482">
        <f t="shared" si="15"/>
        <v>1854</v>
      </c>
      <c r="P42" s="119"/>
    </row>
    <row r="43" spans="1:17" x14ac:dyDescent="0.35">
      <c r="B43" s="282">
        <f>'4080'!$B$1</f>
        <v>4080</v>
      </c>
      <c r="C43" s="40">
        <v>0</v>
      </c>
      <c r="D43" s="40">
        <v>0</v>
      </c>
      <c r="E43" s="40">
        <f t="shared" ref="E43:M43" si="17">1.03*250</f>
        <v>257.5</v>
      </c>
      <c r="F43" s="40">
        <f t="shared" si="17"/>
        <v>257.5</v>
      </c>
      <c r="G43" s="40">
        <f t="shared" si="17"/>
        <v>257.5</v>
      </c>
      <c r="H43" s="40">
        <f t="shared" si="17"/>
        <v>257.5</v>
      </c>
      <c r="I43" s="40">
        <f t="shared" si="17"/>
        <v>257.5</v>
      </c>
      <c r="J43" s="40">
        <f t="shared" si="17"/>
        <v>257.5</v>
      </c>
      <c r="K43" s="40">
        <f t="shared" si="17"/>
        <v>257.5</v>
      </c>
      <c r="L43" s="40">
        <f t="shared" si="17"/>
        <v>257.5</v>
      </c>
      <c r="M43" s="40">
        <f t="shared" si="17"/>
        <v>257.5</v>
      </c>
      <c r="N43" s="40">
        <v>0</v>
      </c>
      <c r="O43" s="482">
        <f t="shared" si="15"/>
        <v>2317.5</v>
      </c>
      <c r="P43" s="119"/>
    </row>
    <row r="44" spans="1:17" x14ac:dyDescent="0.35">
      <c r="B44" s="282" t="str">
        <f>'40A0'!$B$1</f>
        <v>40A0</v>
      </c>
      <c r="C44" s="40">
        <v>0</v>
      </c>
      <c r="D44" s="40">
        <v>0</v>
      </c>
      <c r="E44" s="40">
        <f>1.03*150</f>
        <v>154.5</v>
      </c>
      <c r="F44" s="40">
        <f t="shared" ref="F44:M44" si="18">1.03*150</f>
        <v>154.5</v>
      </c>
      <c r="G44" s="40">
        <f t="shared" si="18"/>
        <v>154.5</v>
      </c>
      <c r="H44" s="40">
        <f t="shared" si="18"/>
        <v>154.5</v>
      </c>
      <c r="I44" s="40">
        <f t="shared" si="18"/>
        <v>154.5</v>
      </c>
      <c r="J44" s="40">
        <f t="shared" si="18"/>
        <v>154.5</v>
      </c>
      <c r="K44" s="40">
        <f t="shared" si="18"/>
        <v>154.5</v>
      </c>
      <c r="L44" s="40">
        <f t="shared" si="18"/>
        <v>154.5</v>
      </c>
      <c r="M44" s="40">
        <f t="shared" si="18"/>
        <v>154.5</v>
      </c>
      <c r="N44" s="40">
        <v>0</v>
      </c>
      <c r="O44" s="482">
        <f t="shared" si="15"/>
        <v>1390.5</v>
      </c>
      <c r="P44" s="119"/>
    </row>
    <row r="45" spans="1:17" x14ac:dyDescent="0.35">
      <c r="B45" s="282" t="str">
        <f>'40B0'!$B$1</f>
        <v>40B0</v>
      </c>
      <c r="C45" s="40">
        <v>0</v>
      </c>
      <c r="D45" s="40">
        <v>0</v>
      </c>
      <c r="E45" s="40">
        <f t="shared" ref="E45:M46" si="19">1.03*100</f>
        <v>103</v>
      </c>
      <c r="F45" s="40">
        <f t="shared" si="19"/>
        <v>103</v>
      </c>
      <c r="G45" s="40">
        <f t="shared" si="19"/>
        <v>103</v>
      </c>
      <c r="H45" s="40">
        <f t="shared" si="19"/>
        <v>103</v>
      </c>
      <c r="I45" s="40">
        <f t="shared" si="19"/>
        <v>103</v>
      </c>
      <c r="J45" s="40">
        <f t="shared" si="19"/>
        <v>103</v>
      </c>
      <c r="K45" s="40">
        <f t="shared" si="19"/>
        <v>103</v>
      </c>
      <c r="L45" s="40">
        <f t="shared" si="19"/>
        <v>103</v>
      </c>
      <c r="M45" s="40">
        <f t="shared" si="19"/>
        <v>103</v>
      </c>
      <c r="N45" s="40">
        <v>0</v>
      </c>
      <c r="O45" s="482">
        <f t="shared" si="15"/>
        <v>927</v>
      </c>
      <c r="P45" s="119"/>
    </row>
    <row r="46" spans="1:17" x14ac:dyDescent="0.35">
      <c r="B46" s="282" t="str">
        <f>'40C0'!$B$1</f>
        <v>40C0</v>
      </c>
      <c r="C46" s="42">
        <v>0</v>
      </c>
      <c r="D46" s="42">
        <v>0</v>
      </c>
      <c r="E46" s="42">
        <f t="shared" si="19"/>
        <v>103</v>
      </c>
      <c r="F46" s="42">
        <f t="shared" si="19"/>
        <v>103</v>
      </c>
      <c r="G46" s="42">
        <f t="shared" si="19"/>
        <v>103</v>
      </c>
      <c r="H46" s="42">
        <f t="shared" si="19"/>
        <v>103</v>
      </c>
      <c r="I46" s="42">
        <f t="shared" si="19"/>
        <v>103</v>
      </c>
      <c r="J46" s="42">
        <f t="shared" si="19"/>
        <v>103</v>
      </c>
      <c r="K46" s="42">
        <f t="shared" si="19"/>
        <v>103</v>
      </c>
      <c r="L46" s="42">
        <f t="shared" si="19"/>
        <v>103</v>
      </c>
      <c r="M46" s="42">
        <f t="shared" si="19"/>
        <v>103</v>
      </c>
      <c r="N46" s="42">
        <v>0</v>
      </c>
      <c r="O46" s="483">
        <f t="shared" si="15"/>
        <v>927</v>
      </c>
      <c r="P46" s="478"/>
    </row>
    <row r="47" spans="1:17" x14ac:dyDescent="0.35">
      <c r="B47" s="133" t="s">
        <v>357</v>
      </c>
      <c r="C47" s="36">
        <f t="shared" ref="C47:O47" si="20">SUM(C40:C46)</f>
        <v>0</v>
      </c>
      <c r="D47" s="135">
        <f t="shared" si="20"/>
        <v>0</v>
      </c>
      <c r="E47" s="135">
        <f t="shared" si="20"/>
        <v>1184.5</v>
      </c>
      <c r="F47" s="135">
        <f t="shared" si="20"/>
        <v>1184.5</v>
      </c>
      <c r="G47" s="135">
        <f t="shared" si="20"/>
        <v>1184.5</v>
      </c>
      <c r="H47" s="135">
        <f t="shared" si="20"/>
        <v>1184.5</v>
      </c>
      <c r="I47" s="135">
        <f t="shared" si="20"/>
        <v>1184.5</v>
      </c>
      <c r="J47" s="135">
        <f t="shared" si="20"/>
        <v>1184.5</v>
      </c>
      <c r="K47" s="135">
        <f t="shared" si="20"/>
        <v>1184.5</v>
      </c>
      <c r="L47" s="135">
        <f t="shared" si="20"/>
        <v>1184.5</v>
      </c>
      <c r="M47" s="135">
        <f t="shared" si="20"/>
        <v>1287.5</v>
      </c>
      <c r="N47" s="135">
        <f t="shared" si="20"/>
        <v>0</v>
      </c>
      <c r="O47" s="135">
        <f t="shared" si="20"/>
        <v>10763.5</v>
      </c>
      <c r="P47" s="125"/>
    </row>
    <row r="49" spans="1:1" ht="17.5" x14ac:dyDescent="0.35">
      <c r="A49" s="37"/>
    </row>
  </sheetData>
  <sheetProtection sheet="1" selectLockedCells="1"/>
  <printOptions horizontalCentered="1" verticalCentered="1"/>
  <pageMargins left="0.25" right="0.25" top="0.75" bottom="0.75" header="0.3" footer="0.3"/>
  <pageSetup scale="66" orientation="landscape" verticalDpi="300" r:id="rId1"/>
  <headerFooter>
    <oddHeader>&amp;R&amp;D</oddHeader>
    <oddFooter>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D5A0-9951-451B-99A1-1BD4344FED5C}">
  <sheetPr>
    <tabColor rgb="FFFFC000"/>
  </sheetPr>
  <dimension ref="A1:Q47"/>
  <sheetViews>
    <sheetView tabSelected="1" view="pageBreakPreview" zoomScale="60" zoomScaleNormal="100" workbookViewId="0">
      <selection activeCell="A11" sqref="A11"/>
    </sheetView>
  </sheetViews>
  <sheetFormatPr defaultColWidth="8.54296875" defaultRowHeight="16" x14ac:dyDescent="0.35"/>
  <cols>
    <col min="1" max="1" width="17" style="34" customWidth="1"/>
    <col min="2" max="2" width="14.453125" style="34" customWidth="1"/>
    <col min="3" max="8" width="11.54296875" style="34" customWidth="1"/>
    <col min="9" max="9" width="10" style="34" bestFit="1" customWidth="1"/>
    <col min="10" max="14" width="9.54296875" style="34" bestFit="1" customWidth="1"/>
    <col min="15" max="15" width="12.453125" style="36" bestFit="1" customWidth="1"/>
    <col min="16" max="16" width="9.54296875" style="34" bestFit="1" customWidth="1"/>
    <col min="17" max="16384" width="8.54296875" style="34"/>
  </cols>
  <sheetData>
    <row r="1" spans="1:16" ht="29" x14ac:dyDescent="0.5">
      <c r="A1" s="35" t="s">
        <v>114</v>
      </c>
      <c r="C1" s="45" t="s">
        <v>48</v>
      </c>
      <c r="D1" s="476"/>
      <c r="E1" s="46"/>
      <c r="F1" s="46"/>
      <c r="G1" s="46"/>
      <c r="H1" s="46"/>
      <c r="I1" s="46"/>
      <c r="J1" s="46"/>
      <c r="K1" s="46"/>
      <c r="L1" s="46"/>
      <c r="M1" s="46"/>
      <c r="N1" s="46"/>
      <c r="O1" s="53">
        <f>'NI LLC-Consolidated'!Q1</f>
        <v>46023</v>
      </c>
      <c r="P1" s="46"/>
    </row>
    <row r="2" spans="1:16" ht="18" x14ac:dyDescent="0.35">
      <c r="C2" s="121" t="str">
        <f>'NI LLC-Consolidated'!J2</f>
        <v>Neshaminy Interplex LLC</v>
      </c>
      <c r="D2" s="476"/>
      <c r="E2" s="46"/>
      <c r="F2" s="46"/>
      <c r="G2" s="46"/>
      <c r="H2" s="46"/>
      <c r="I2" s="46"/>
      <c r="J2" s="46"/>
      <c r="K2" s="46"/>
      <c r="L2" s="46"/>
      <c r="M2" s="46"/>
      <c r="N2" s="46"/>
      <c r="P2" s="46"/>
    </row>
    <row r="3" spans="1:16" x14ac:dyDescent="0.35">
      <c r="G3" s="97"/>
    </row>
    <row r="4" spans="1:16" ht="18" x14ac:dyDescent="0.35">
      <c r="A4" s="35"/>
      <c r="B4" s="37" t="s">
        <v>12</v>
      </c>
      <c r="M4" s="126"/>
      <c r="N4" s="126"/>
    </row>
    <row r="5" spans="1:16" x14ac:dyDescent="0.35">
      <c r="C5" s="123" t="s">
        <v>0</v>
      </c>
      <c r="D5" s="123" t="s">
        <v>1</v>
      </c>
      <c r="E5" s="123" t="s">
        <v>2</v>
      </c>
      <c r="F5" s="123" t="s">
        <v>3</v>
      </c>
      <c r="G5" s="123" t="s">
        <v>4</v>
      </c>
      <c r="H5" s="123" t="s">
        <v>5</v>
      </c>
      <c r="I5" s="123" t="s">
        <v>6</v>
      </c>
      <c r="J5" s="123" t="s">
        <v>7</v>
      </c>
      <c r="K5" s="123" t="s">
        <v>8</v>
      </c>
      <c r="L5" s="123" t="s">
        <v>9</v>
      </c>
      <c r="M5" s="123" t="s">
        <v>10</v>
      </c>
      <c r="N5" s="123" t="s">
        <v>11</v>
      </c>
      <c r="O5" s="481" t="s">
        <v>12</v>
      </c>
      <c r="P5" s="41"/>
    </row>
    <row r="6" spans="1:16" x14ac:dyDescent="0.35">
      <c r="B6" s="282">
        <f>'4050'!$B$1</f>
        <v>4050</v>
      </c>
      <c r="C6" s="34">
        <f>C18+C29+C40</f>
        <v>1751</v>
      </c>
      <c r="D6" s="34">
        <f t="shared" ref="D6:N6" si="0">D18+D29+D40</f>
        <v>1751</v>
      </c>
      <c r="E6" s="34">
        <f t="shared" si="0"/>
        <v>1751</v>
      </c>
      <c r="F6" s="34">
        <f t="shared" si="0"/>
        <v>1751</v>
      </c>
      <c r="G6" s="34">
        <f t="shared" si="0"/>
        <v>1751</v>
      </c>
      <c r="H6" s="34">
        <f t="shared" si="0"/>
        <v>2251</v>
      </c>
      <c r="I6" s="34">
        <f t="shared" si="0"/>
        <v>1751</v>
      </c>
      <c r="J6" s="34">
        <f t="shared" si="0"/>
        <v>1751</v>
      </c>
      <c r="K6" s="34">
        <f t="shared" si="0"/>
        <v>1751</v>
      </c>
      <c r="L6" s="34">
        <f t="shared" si="0"/>
        <v>1751</v>
      </c>
      <c r="M6" s="34">
        <f t="shared" si="0"/>
        <v>1751</v>
      </c>
      <c r="N6" s="34">
        <f t="shared" si="0"/>
        <v>2251</v>
      </c>
      <c r="O6" s="482">
        <f>SUM(C6:N6)</f>
        <v>22012</v>
      </c>
      <c r="P6" s="119"/>
    </row>
    <row r="7" spans="1:16" x14ac:dyDescent="0.35">
      <c r="B7" s="282">
        <f>'4060'!$B$1</f>
        <v>4060</v>
      </c>
      <c r="C7" s="34">
        <f t="shared" ref="C7:N7" si="1">C19+C30+C41</f>
        <v>1648</v>
      </c>
      <c r="D7" s="34">
        <f t="shared" si="1"/>
        <v>1648</v>
      </c>
      <c r="E7" s="34">
        <f t="shared" si="1"/>
        <v>1648</v>
      </c>
      <c r="F7" s="34">
        <f t="shared" si="1"/>
        <v>1648</v>
      </c>
      <c r="G7" s="34">
        <f t="shared" si="1"/>
        <v>1648</v>
      </c>
      <c r="H7" s="34">
        <f t="shared" si="1"/>
        <v>2248</v>
      </c>
      <c r="I7" s="34">
        <f t="shared" si="1"/>
        <v>1648</v>
      </c>
      <c r="J7" s="34">
        <f t="shared" si="1"/>
        <v>1648</v>
      </c>
      <c r="K7" s="34">
        <f t="shared" si="1"/>
        <v>1648</v>
      </c>
      <c r="L7" s="34">
        <f t="shared" si="1"/>
        <v>2248</v>
      </c>
      <c r="M7" s="34">
        <f t="shared" si="1"/>
        <v>1648</v>
      </c>
      <c r="N7" s="34">
        <f t="shared" si="1"/>
        <v>2248</v>
      </c>
      <c r="O7" s="482">
        <f t="shared" ref="O7:O12" si="2">SUM(C7:N7)</f>
        <v>21576</v>
      </c>
      <c r="P7" s="119"/>
    </row>
    <row r="8" spans="1:16" x14ac:dyDescent="0.35">
      <c r="B8" s="282">
        <f>'4070'!$B$1</f>
        <v>4070</v>
      </c>
      <c r="C8" s="34">
        <f t="shared" ref="C8:N8" si="3">C20+C31+C42</f>
        <v>1828.25</v>
      </c>
      <c r="D8" s="34">
        <f t="shared" si="3"/>
        <v>1828.25</v>
      </c>
      <c r="E8" s="34">
        <f t="shared" si="3"/>
        <v>1828.25</v>
      </c>
      <c r="F8" s="34">
        <f t="shared" si="3"/>
        <v>1828.25</v>
      </c>
      <c r="G8" s="34">
        <f t="shared" si="3"/>
        <v>1828.25</v>
      </c>
      <c r="H8" s="34">
        <f t="shared" si="3"/>
        <v>2578.25</v>
      </c>
      <c r="I8" s="34">
        <f t="shared" si="3"/>
        <v>1828.25</v>
      </c>
      <c r="J8" s="34">
        <f t="shared" si="3"/>
        <v>1828.25</v>
      </c>
      <c r="K8" s="34">
        <f t="shared" si="3"/>
        <v>1828.25</v>
      </c>
      <c r="L8" s="34">
        <f t="shared" si="3"/>
        <v>1828.25</v>
      </c>
      <c r="M8" s="34">
        <f t="shared" si="3"/>
        <v>1828.25</v>
      </c>
      <c r="N8" s="34">
        <f t="shared" si="3"/>
        <v>2578.25</v>
      </c>
      <c r="O8" s="482">
        <f t="shared" si="2"/>
        <v>23439</v>
      </c>
      <c r="P8" s="119"/>
    </row>
    <row r="9" spans="1:16" x14ac:dyDescent="0.35">
      <c r="B9" s="282">
        <f>'4080'!$B$1</f>
        <v>4080</v>
      </c>
      <c r="C9" s="34">
        <f t="shared" ref="C9:N9" si="4">C21+C32+C43</f>
        <v>1725.25</v>
      </c>
      <c r="D9" s="34">
        <f t="shared" si="4"/>
        <v>1725.25</v>
      </c>
      <c r="E9" s="34">
        <f t="shared" si="4"/>
        <v>1725.25</v>
      </c>
      <c r="F9" s="34">
        <f t="shared" si="4"/>
        <v>1725.25</v>
      </c>
      <c r="G9" s="34">
        <f t="shared" si="4"/>
        <v>1725.25</v>
      </c>
      <c r="H9" s="34">
        <f t="shared" si="4"/>
        <v>2475.25</v>
      </c>
      <c r="I9" s="34">
        <f t="shared" si="4"/>
        <v>1725.25</v>
      </c>
      <c r="J9" s="34">
        <f t="shared" si="4"/>
        <v>1725.25</v>
      </c>
      <c r="K9" s="34">
        <f t="shared" si="4"/>
        <v>1725.25</v>
      </c>
      <c r="L9" s="34">
        <f t="shared" si="4"/>
        <v>1725.25</v>
      </c>
      <c r="M9" s="34">
        <f t="shared" si="4"/>
        <v>1725.25</v>
      </c>
      <c r="N9" s="34">
        <f t="shared" si="4"/>
        <v>2475.25</v>
      </c>
      <c r="O9" s="482">
        <f t="shared" si="2"/>
        <v>22203</v>
      </c>
      <c r="P9" s="119"/>
    </row>
    <row r="10" spans="1:16" x14ac:dyDescent="0.35">
      <c r="B10" s="282" t="str">
        <f>'40A0'!$B$1</f>
        <v>40A0</v>
      </c>
      <c r="C10" s="34">
        <f>C22+C33+C44</f>
        <v>1508.95</v>
      </c>
      <c r="D10" s="34">
        <f t="shared" ref="D10:N10" si="5">D22+D33+D44</f>
        <v>1508.95</v>
      </c>
      <c r="E10" s="34">
        <f t="shared" si="5"/>
        <v>1508.95</v>
      </c>
      <c r="F10" s="34">
        <f t="shared" si="5"/>
        <v>1508.95</v>
      </c>
      <c r="G10" s="34">
        <f t="shared" si="5"/>
        <v>1508.95</v>
      </c>
      <c r="H10" s="34">
        <f t="shared" si="5"/>
        <v>2008.95</v>
      </c>
      <c r="I10" s="34">
        <f t="shared" si="5"/>
        <v>1508.95</v>
      </c>
      <c r="J10" s="34">
        <f t="shared" si="5"/>
        <v>1508.95</v>
      </c>
      <c r="K10" s="34">
        <f t="shared" si="5"/>
        <v>1508.95</v>
      </c>
      <c r="L10" s="34">
        <f t="shared" si="5"/>
        <v>1508.95</v>
      </c>
      <c r="M10" s="34">
        <f t="shared" si="5"/>
        <v>1508.95</v>
      </c>
      <c r="N10" s="34">
        <f t="shared" si="5"/>
        <v>2008.95</v>
      </c>
      <c r="O10" s="482">
        <f t="shared" si="2"/>
        <v>19107.400000000005</v>
      </c>
      <c r="P10" s="119"/>
    </row>
    <row r="11" spans="1:16" x14ac:dyDescent="0.35">
      <c r="B11" s="282" t="str">
        <f>'40B0'!$B$1</f>
        <v>40B0</v>
      </c>
      <c r="C11" s="34">
        <f t="shared" ref="C11:N11" si="6">C23+C34+C45</f>
        <v>77.25</v>
      </c>
      <c r="D11" s="34">
        <f t="shared" si="6"/>
        <v>77.25</v>
      </c>
      <c r="E11" s="34">
        <f t="shared" si="6"/>
        <v>77.25</v>
      </c>
      <c r="F11" s="34">
        <f t="shared" si="6"/>
        <v>128.75</v>
      </c>
      <c r="G11" s="34">
        <f t="shared" si="6"/>
        <v>77.25</v>
      </c>
      <c r="H11" s="34">
        <f t="shared" si="6"/>
        <v>77.25</v>
      </c>
      <c r="I11" s="34">
        <f t="shared" si="6"/>
        <v>77.25</v>
      </c>
      <c r="J11" s="34">
        <f t="shared" si="6"/>
        <v>77.25</v>
      </c>
      <c r="K11" s="34">
        <f t="shared" si="6"/>
        <v>77.25</v>
      </c>
      <c r="L11" s="34">
        <f t="shared" si="6"/>
        <v>128.75</v>
      </c>
      <c r="M11" s="34">
        <f t="shared" si="6"/>
        <v>77.25</v>
      </c>
      <c r="N11" s="34">
        <f t="shared" si="6"/>
        <v>77.25</v>
      </c>
      <c r="O11" s="482">
        <f t="shared" si="2"/>
        <v>1030</v>
      </c>
      <c r="P11" s="119"/>
    </row>
    <row r="12" spans="1:16" x14ac:dyDescent="0.35">
      <c r="B12" s="282" t="str">
        <f>'40C0'!$B$1</f>
        <v>40C0</v>
      </c>
      <c r="C12" s="43">
        <f t="shared" ref="C12:N12" si="7">C24+C35+C46</f>
        <v>0</v>
      </c>
      <c r="D12" s="43">
        <f t="shared" si="7"/>
        <v>0</v>
      </c>
      <c r="E12" s="43">
        <f t="shared" si="7"/>
        <v>0</v>
      </c>
      <c r="F12" s="43">
        <f t="shared" si="7"/>
        <v>0</v>
      </c>
      <c r="G12" s="43">
        <f t="shared" si="7"/>
        <v>0</v>
      </c>
      <c r="H12" s="43">
        <f t="shared" si="7"/>
        <v>0</v>
      </c>
      <c r="I12" s="43">
        <f t="shared" si="7"/>
        <v>0</v>
      </c>
      <c r="J12" s="43">
        <f t="shared" si="7"/>
        <v>0</v>
      </c>
      <c r="K12" s="43">
        <f t="shared" si="7"/>
        <v>0</v>
      </c>
      <c r="L12" s="43">
        <f t="shared" si="7"/>
        <v>0</v>
      </c>
      <c r="M12" s="43">
        <f t="shared" si="7"/>
        <v>0</v>
      </c>
      <c r="N12" s="43">
        <f t="shared" si="7"/>
        <v>0</v>
      </c>
      <c r="O12" s="483">
        <f t="shared" si="2"/>
        <v>0</v>
      </c>
      <c r="P12" s="119"/>
    </row>
    <row r="13" spans="1:16" x14ac:dyDescent="0.35">
      <c r="B13" s="133" t="s">
        <v>357</v>
      </c>
      <c r="C13" s="36">
        <f t="shared" ref="C13:O13" si="8">SUM(C6:C12)</f>
        <v>8538.7000000000007</v>
      </c>
      <c r="D13" s="36">
        <f t="shared" si="8"/>
        <v>8538.7000000000007</v>
      </c>
      <c r="E13" s="36">
        <f t="shared" si="8"/>
        <v>8538.7000000000007</v>
      </c>
      <c r="F13" s="36">
        <f t="shared" si="8"/>
        <v>8590.2000000000007</v>
      </c>
      <c r="G13" s="36">
        <f t="shared" si="8"/>
        <v>8538.7000000000007</v>
      </c>
      <c r="H13" s="36">
        <f t="shared" si="8"/>
        <v>11638.7</v>
      </c>
      <c r="I13" s="36">
        <f t="shared" si="8"/>
        <v>8538.7000000000007</v>
      </c>
      <c r="J13" s="36">
        <f t="shared" si="8"/>
        <v>8538.7000000000007</v>
      </c>
      <c r="K13" s="36">
        <f t="shared" si="8"/>
        <v>8538.7000000000007</v>
      </c>
      <c r="L13" s="36">
        <f t="shared" si="8"/>
        <v>9190.2000000000007</v>
      </c>
      <c r="M13" s="36">
        <f t="shared" si="8"/>
        <v>8538.7000000000007</v>
      </c>
      <c r="N13" s="36">
        <f t="shared" si="8"/>
        <v>11638.7</v>
      </c>
      <c r="O13" s="36">
        <f t="shared" si="8"/>
        <v>109367.40000000001</v>
      </c>
      <c r="P13" s="125"/>
    </row>
    <row r="14" spans="1:16" ht="16.5" thickBot="1" x14ac:dyDescent="0.4">
      <c r="A14" s="479"/>
      <c r="B14" s="479"/>
      <c r="C14" s="479"/>
      <c r="D14" s="479"/>
      <c r="E14" s="479"/>
      <c r="F14" s="479"/>
      <c r="G14" s="480"/>
      <c r="H14" s="479"/>
      <c r="I14" s="479"/>
      <c r="J14" s="479"/>
      <c r="K14" s="479"/>
      <c r="L14" s="479"/>
      <c r="M14" s="479"/>
      <c r="N14" s="479"/>
      <c r="O14" s="484"/>
    </row>
    <row r="15" spans="1:16" x14ac:dyDescent="0.35">
      <c r="G15" s="488"/>
    </row>
    <row r="16" spans="1:16" ht="17.5" x14ac:dyDescent="0.35">
      <c r="A16" s="37"/>
      <c r="B16" s="37" t="s">
        <v>569</v>
      </c>
      <c r="M16" s="126"/>
      <c r="N16" s="126"/>
    </row>
    <row r="17" spans="1:17" x14ac:dyDescent="0.35">
      <c r="C17" s="123" t="s">
        <v>0</v>
      </c>
      <c r="D17" s="123" t="s">
        <v>1</v>
      </c>
      <c r="E17" s="123" t="s">
        <v>2</v>
      </c>
      <c r="F17" s="123" t="s">
        <v>3</v>
      </c>
      <c r="G17" s="123" t="s">
        <v>4</v>
      </c>
      <c r="H17" s="123" t="s">
        <v>5</v>
      </c>
      <c r="I17" s="123" t="s">
        <v>6</v>
      </c>
      <c r="J17" s="123" t="s">
        <v>7</v>
      </c>
      <c r="K17" s="123" t="s">
        <v>8</v>
      </c>
      <c r="L17" s="123" t="s">
        <v>9</v>
      </c>
      <c r="M17" s="123" t="s">
        <v>10</v>
      </c>
      <c r="N17" s="123" t="s">
        <v>11</v>
      </c>
      <c r="O17" s="481" t="s">
        <v>12</v>
      </c>
      <c r="P17" s="41"/>
      <c r="Q17" s="38" t="s">
        <v>568</v>
      </c>
    </row>
    <row r="18" spans="1:17" x14ac:dyDescent="0.35">
      <c r="B18" s="282">
        <f>'4050'!$B$1</f>
        <v>4050</v>
      </c>
      <c r="C18" s="40">
        <f>1.03*1650</f>
        <v>1699.5</v>
      </c>
      <c r="D18" s="40">
        <f t="shared" ref="D18:N18" si="9">1.03*1650</f>
        <v>1699.5</v>
      </c>
      <c r="E18" s="40">
        <f t="shared" si="9"/>
        <v>1699.5</v>
      </c>
      <c r="F18" s="40">
        <f t="shared" si="9"/>
        <v>1699.5</v>
      </c>
      <c r="G18" s="40">
        <f t="shared" si="9"/>
        <v>1699.5</v>
      </c>
      <c r="H18" s="40">
        <f t="shared" si="9"/>
        <v>1699.5</v>
      </c>
      <c r="I18" s="40">
        <f t="shared" si="9"/>
        <v>1699.5</v>
      </c>
      <c r="J18" s="40">
        <f t="shared" si="9"/>
        <v>1699.5</v>
      </c>
      <c r="K18" s="40">
        <f t="shared" si="9"/>
        <v>1699.5</v>
      </c>
      <c r="L18" s="40">
        <f t="shared" si="9"/>
        <v>1699.5</v>
      </c>
      <c r="M18" s="40">
        <f t="shared" si="9"/>
        <v>1699.5</v>
      </c>
      <c r="N18" s="40">
        <f t="shared" si="9"/>
        <v>1699.5</v>
      </c>
      <c r="O18" s="482">
        <f>SUM(C18:N18)</f>
        <v>20394</v>
      </c>
      <c r="P18" s="119"/>
    </row>
    <row r="19" spans="1:17" x14ac:dyDescent="0.35">
      <c r="B19" s="282">
        <f>'4060'!$B$1</f>
        <v>4060</v>
      </c>
      <c r="C19" s="40">
        <f>1.03*1500</f>
        <v>1545</v>
      </c>
      <c r="D19" s="40">
        <f t="shared" ref="D19:M19" si="10">1.03*1500</f>
        <v>1545</v>
      </c>
      <c r="E19" s="40">
        <f t="shared" si="10"/>
        <v>1545</v>
      </c>
      <c r="F19" s="40">
        <f t="shared" si="10"/>
        <v>1545</v>
      </c>
      <c r="G19" s="40">
        <f t="shared" si="10"/>
        <v>1545</v>
      </c>
      <c r="H19" s="40">
        <f t="shared" si="10"/>
        <v>1545</v>
      </c>
      <c r="I19" s="40">
        <f t="shared" si="10"/>
        <v>1545</v>
      </c>
      <c r="J19" s="40">
        <f t="shared" si="10"/>
        <v>1545</v>
      </c>
      <c r="K19" s="40">
        <f t="shared" si="10"/>
        <v>1545</v>
      </c>
      <c r="L19" s="40">
        <f t="shared" si="10"/>
        <v>1545</v>
      </c>
      <c r="M19" s="40">
        <f t="shared" si="10"/>
        <v>1545</v>
      </c>
      <c r="N19" s="40">
        <f>1.03*1500</f>
        <v>1545</v>
      </c>
      <c r="O19" s="482">
        <f t="shared" ref="O19:O24" si="11">SUM(C19:N19)</f>
        <v>18540</v>
      </c>
      <c r="P19" s="119"/>
    </row>
    <row r="20" spans="1:17" x14ac:dyDescent="0.35">
      <c r="B20" s="282">
        <f>'4070'!$B$1</f>
        <v>4070</v>
      </c>
      <c r="C20" s="40">
        <f>1.03*1675</f>
        <v>1725.25</v>
      </c>
      <c r="D20" s="40">
        <f t="shared" ref="D20:N20" si="12">1.03*1675</f>
        <v>1725.25</v>
      </c>
      <c r="E20" s="40">
        <f t="shared" si="12"/>
        <v>1725.25</v>
      </c>
      <c r="F20" s="40">
        <f t="shared" si="12"/>
        <v>1725.25</v>
      </c>
      <c r="G20" s="40">
        <f t="shared" si="12"/>
        <v>1725.25</v>
      </c>
      <c r="H20" s="40">
        <f t="shared" si="12"/>
        <v>1725.25</v>
      </c>
      <c r="I20" s="40">
        <f t="shared" si="12"/>
        <v>1725.25</v>
      </c>
      <c r="J20" s="40">
        <f t="shared" si="12"/>
        <v>1725.25</v>
      </c>
      <c r="K20" s="40">
        <f t="shared" si="12"/>
        <v>1725.25</v>
      </c>
      <c r="L20" s="40">
        <f t="shared" si="12"/>
        <v>1725.25</v>
      </c>
      <c r="M20" s="40">
        <f t="shared" si="12"/>
        <v>1725.25</v>
      </c>
      <c r="N20" s="40">
        <f t="shared" si="12"/>
        <v>1725.25</v>
      </c>
      <c r="O20" s="482">
        <f t="shared" si="11"/>
        <v>20703</v>
      </c>
      <c r="P20" s="119"/>
    </row>
    <row r="21" spans="1:17" x14ac:dyDescent="0.35">
      <c r="B21" s="282">
        <f>'4080'!$B$1</f>
        <v>4080</v>
      </c>
      <c r="C21" s="40">
        <f>1.03*1575</f>
        <v>1622.25</v>
      </c>
      <c r="D21" s="40">
        <f t="shared" ref="D21:N21" si="13">1.03*1575</f>
        <v>1622.25</v>
      </c>
      <c r="E21" s="40">
        <f t="shared" si="13"/>
        <v>1622.25</v>
      </c>
      <c r="F21" s="40">
        <f t="shared" si="13"/>
        <v>1622.25</v>
      </c>
      <c r="G21" s="40">
        <f t="shared" si="13"/>
        <v>1622.25</v>
      </c>
      <c r="H21" s="40">
        <f t="shared" si="13"/>
        <v>1622.25</v>
      </c>
      <c r="I21" s="40">
        <f t="shared" si="13"/>
        <v>1622.25</v>
      </c>
      <c r="J21" s="40">
        <f t="shared" si="13"/>
        <v>1622.25</v>
      </c>
      <c r="K21" s="40">
        <f t="shared" si="13"/>
        <v>1622.25</v>
      </c>
      <c r="L21" s="40">
        <f t="shared" si="13"/>
        <v>1622.25</v>
      </c>
      <c r="M21" s="40">
        <f t="shared" si="13"/>
        <v>1622.25</v>
      </c>
      <c r="N21" s="40">
        <f t="shared" si="13"/>
        <v>1622.25</v>
      </c>
      <c r="O21" s="482">
        <f t="shared" si="11"/>
        <v>19467</v>
      </c>
      <c r="P21" s="119"/>
    </row>
    <row r="22" spans="1:17" x14ac:dyDescent="0.35">
      <c r="B22" s="282" t="str">
        <f>'40A0'!$B$1</f>
        <v>40A0</v>
      </c>
      <c r="C22" s="40">
        <f>1.03*1440</f>
        <v>1483.2</v>
      </c>
      <c r="D22" s="40">
        <f t="shared" ref="D22:N22" si="14">1.03*1440</f>
        <v>1483.2</v>
      </c>
      <c r="E22" s="40">
        <f t="shared" si="14"/>
        <v>1483.2</v>
      </c>
      <c r="F22" s="40">
        <f t="shared" si="14"/>
        <v>1483.2</v>
      </c>
      <c r="G22" s="40">
        <f t="shared" si="14"/>
        <v>1483.2</v>
      </c>
      <c r="H22" s="40">
        <f t="shared" si="14"/>
        <v>1483.2</v>
      </c>
      <c r="I22" s="40">
        <f t="shared" si="14"/>
        <v>1483.2</v>
      </c>
      <c r="J22" s="40">
        <f t="shared" si="14"/>
        <v>1483.2</v>
      </c>
      <c r="K22" s="40">
        <f t="shared" si="14"/>
        <v>1483.2</v>
      </c>
      <c r="L22" s="40">
        <f t="shared" si="14"/>
        <v>1483.2</v>
      </c>
      <c r="M22" s="40">
        <f t="shared" si="14"/>
        <v>1483.2</v>
      </c>
      <c r="N22" s="40">
        <f t="shared" si="14"/>
        <v>1483.2</v>
      </c>
      <c r="O22" s="482">
        <f t="shared" si="11"/>
        <v>17798.400000000005</v>
      </c>
      <c r="P22" s="119"/>
    </row>
    <row r="23" spans="1:17" x14ac:dyDescent="0.35">
      <c r="B23" s="282" t="str">
        <f>'40B0'!$B$1</f>
        <v>40B0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82">
        <f t="shared" si="11"/>
        <v>0</v>
      </c>
      <c r="P23" s="119"/>
    </row>
    <row r="24" spans="1:17" x14ac:dyDescent="0.35">
      <c r="B24" s="282" t="str">
        <f>'40C0'!$B$1</f>
        <v>40C0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83">
        <f t="shared" si="11"/>
        <v>0</v>
      </c>
      <c r="P24" s="119"/>
    </row>
    <row r="25" spans="1:17" x14ac:dyDescent="0.35">
      <c r="B25" s="133" t="s">
        <v>357</v>
      </c>
      <c r="C25" s="36">
        <f t="shared" ref="C25:O25" si="15">SUM(C18:C24)</f>
        <v>8075.2</v>
      </c>
      <c r="D25" s="36">
        <f t="shared" si="15"/>
        <v>8075.2</v>
      </c>
      <c r="E25" s="36">
        <f t="shared" si="15"/>
        <v>8075.2</v>
      </c>
      <c r="F25" s="36">
        <f t="shared" si="15"/>
        <v>8075.2</v>
      </c>
      <c r="G25" s="36">
        <f t="shared" si="15"/>
        <v>8075.2</v>
      </c>
      <c r="H25" s="36">
        <f t="shared" si="15"/>
        <v>8075.2</v>
      </c>
      <c r="I25" s="36">
        <f t="shared" si="15"/>
        <v>8075.2</v>
      </c>
      <c r="J25" s="36">
        <f t="shared" si="15"/>
        <v>8075.2</v>
      </c>
      <c r="K25" s="36">
        <f t="shared" si="15"/>
        <v>8075.2</v>
      </c>
      <c r="L25" s="36">
        <f t="shared" si="15"/>
        <v>8075.2</v>
      </c>
      <c r="M25" s="36">
        <f t="shared" si="15"/>
        <v>8075.2</v>
      </c>
      <c r="N25" s="36">
        <f t="shared" si="15"/>
        <v>8075.2</v>
      </c>
      <c r="O25" s="36">
        <f t="shared" si="15"/>
        <v>96902.400000000009</v>
      </c>
      <c r="P25" s="125"/>
    </row>
    <row r="27" spans="1:17" ht="17.5" x14ac:dyDescent="0.35">
      <c r="A27" s="37"/>
      <c r="B27" s="37" t="s">
        <v>570</v>
      </c>
      <c r="C27" s="41"/>
      <c r="N27" s="126"/>
    </row>
    <row r="28" spans="1:17" x14ac:dyDescent="0.35">
      <c r="C28" s="123" t="s">
        <v>0</v>
      </c>
      <c r="D28" s="123" t="s">
        <v>1</v>
      </c>
      <c r="E28" s="123" t="s">
        <v>2</v>
      </c>
      <c r="F28" s="123" t="s">
        <v>3</v>
      </c>
      <c r="G28" s="123" t="s">
        <v>4</v>
      </c>
      <c r="H28" s="123" t="s">
        <v>5</v>
      </c>
      <c r="I28" s="123" t="s">
        <v>6</v>
      </c>
      <c r="J28" s="123" t="s">
        <v>7</v>
      </c>
      <c r="K28" s="123" t="s">
        <v>8</v>
      </c>
      <c r="L28" s="123" t="s">
        <v>9</v>
      </c>
      <c r="M28" s="123" t="s">
        <v>10</v>
      </c>
      <c r="N28" s="123" t="s">
        <v>11</v>
      </c>
      <c r="O28" s="481" t="s">
        <v>12</v>
      </c>
      <c r="P28" s="41"/>
    </row>
    <row r="29" spans="1:17" x14ac:dyDescent="0.35">
      <c r="B29" s="282">
        <f>'4050'!$B$1</f>
        <v>4050</v>
      </c>
      <c r="C29" s="40">
        <f>1.03*50</f>
        <v>51.5</v>
      </c>
      <c r="D29" s="40">
        <f t="shared" ref="D29:N29" si="16">1.03*50</f>
        <v>51.5</v>
      </c>
      <c r="E29" s="40">
        <f t="shared" si="16"/>
        <v>51.5</v>
      </c>
      <c r="F29" s="40">
        <f t="shared" si="16"/>
        <v>51.5</v>
      </c>
      <c r="G29" s="40">
        <f t="shared" si="16"/>
        <v>51.5</v>
      </c>
      <c r="H29" s="40">
        <f t="shared" si="16"/>
        <v>51.5</v>
      </c>
      <c r="I29" s="40">
        <f t="shared" si="16"/>
        <v>51.5</v>
      </c>
      <c r="J29" s="40">
        <f t="shared" si="16"/>
        <v>51.5</v>
      </c>
      <c r="K29" s="40">
        <f t="shared" si="16"/>
        <v>51.5</v>
      </c>
      <c r="L29" s="40">
        <f t="shared" si="16"/>
        <v>51.5</v>
      </c>
      <c r="M29" s="40">
        <f t="shared" si="16"/>
        <v>51.5</v>
      </c>
      <c r="N29" s="40">
        <f t="shared" si="16"/>
        <v>51.5</v>
      </c>
      <c r="O29" s="482">
        <f>SUM(C29:N29)</f>
        <v>618</v>
      </c>
      <c r="P29" s="119"/>
      <c r="Q29" s="38" t="s">
        <v>568</v>
      </c>
    </row>
    <row r="30" spans="1:17" x14ac:dyDescent="0.35">
      <c r="B30" s="282">
        <f>'4060'!$B$1</f>
        <v>4060</v>
      </c>
      <c r="C30" s="40">
        <f>1.03*100</f>
        <v>103</v>
      </c>
      <c r="D30" s="40">
        <f t="shared" ref="D30:N32" si="17">1.03*100</f>
        <v>103</v>
      </c>
      <c r="E30" s="40">
        <f t="shared" si="17"/>
        <v>103</v>
      </c>
      <c r="F30" s="40">
        <f t="shared" si="17"/>
        <v>103</v>
      </c>
      <c r="G30" s="40">
        <f t="shared" si="17"/>
        <v>103</v>
      </c>
      <c r="H30" s="40">
        <f t="shared" si="17"/>
        <v>103</v>
      </c>
      <c r="I30" s="40">
        <f t="shared" si="17"/>
        <v>103</v>
      </c>
      <c r="J30" s="40">
        <f t="shared" si="17"/>
        <v>103</v>
      </c>
      <c r="K30" s="40">
        <f t="shared" si="17"/>
        <v>103</v>
      </c>
      <c r="L30" s="40">
        <f t="shared" si="17"/>
        <v>103</v>
      </c>
      <c r="M30" s="40">
        <f t="shared" si="17"/>
        <v>103</v>
      </c>
      <c r="N30" s="40">
        <f t="shared" si="17"/>
        <v>103</v>
      </c>
      <c r="O30" s="482">
        <f t="shared" ref="O30:O35" si="18">SUM(C30:N30)</f>
        <v>1236</v>
      </c>
      <c r="P30" s="119"/>
    </row>
    <row r="31" spans="1:17" x14ac:dyDescent="0.35">
      <c r="B31" s="282">
        <f>'4070'!$B$1</f>
        <v>4070</v>
      </c>
      <c r="C31" s="40">
        <f t="shared" ref="C31:C32" si="19">1.03*100</f>
        <v>103</v>
      </c>
      <c r="D31" s="40">
        <f t="shared" si="17"/>
        <v>103</v>
      </c>
      <c r="E31" s="40">
        <f t="shared" si="17"/>
        <v>103</v>
      </c>
      <c r="F31" s="40">
        <f t="shared" si="17"/>
        <v>103</v>
      </c>
      <c r="G31" s="40">
        <f t="shared" si="17"/>
        <v>103</v>
      </c>
      <c r="H31" s="40">
        <f t="shared" si="17"/>
        <v>103</v>
      </c>
      <c r="I31" s="40">
        <f t="shared" si="17"/>
        <v>103</v>
      </c>
      <c r="J31" s="40">
        <f t="shared" si="17"/>
        <v>103</v>
      </c>
      <c r="K31" s="40">
        <f t="shared" si="17"/>
        <v>103</v>
      </c>
      <c r="L31" s="40">
        <f t="shared" si="17"/>
        <v>103</v>
      </c>
      <c r="M31" s="40">
        <f t="shared" si="17"/>
        <v>103</v>
      </c>
      <c r="N31" s="40">
        <f t="shared" si="17"/>
        <v>103</v>
      </c>
      <c r="O31" s="482">
        <f t="shared" si="18"/>
        <v>1236</v>
      </c>
      <c r="P31" s="119"/>
    </row>
    <row r="32" spans="1:17" x14ac:dyDescent="0.35">
      <c r="B32" s="282">
        <f>'4080'!$B$1</f>
        <v>4080</v>
      </c>
      <c r="C32" s="40">
        <f t="shared" si="19"/>
        <v>103</v>
      </c>
      <c r="D32" s="40">
        <f t="shared" si="17"/>
        <v>103</v>
      </c>
      <c r="E32" s="40">
        <f t="shared" si="17"/>
        <v>103</v>
      </c>
      <c r="F32" s="40">
        <f t="shared" si="17"/>
        <v>103</v>
      </c>
      <c r="G32" s="40">
        <f t="shared" si="17"/>
        <v>103</v>
      </c>
      <c r="H32" s="40">
        <f t="shared" si="17"/>
        <v>103</v>
      </c>
      <c r="I32" s="40">
        <f t="shared" si="17"/>
        <v>103</v>
      </c>
      <c r="J32" s="40">
        <f t="shared" si="17"/>
        <v>103</v>
      </c>
      <c r="K32" s="40">
        <f t="shared" si="17"/>
        <v>103</v>
      </c>
      <c r="L32" s="40">
        <f t="shared" si="17"/>
        <v>103</v>
      </c>
      <c r="M32" s="40">
        <f t="shared" si="17"/>
        <v>103</v>
      </c>
      <c r="N32" s="40">
        <f t="shared" si="17"/>
        <v>103</v>
      </c>
      <c r="O32" s="482">
        <f t="shared" si="18"/>
        <v>1236</v>
      </c>
      <c r="P32" s="119"/>
    </row>
    <row r="33" spans="1:17" x14ac:dyDescent="0.35">
      <c r="B33" s="282" t="str">
        <f>'40A0'!$B$1</f>
        <v>40A0</v>
      </c>
      <c r="C33" s="40">
        <f>1.03*25</f>
        <v>25.75</v>
      </c>
      <c r="D33" s="40">
        <f t="shared" ref="D33:N33" si="20">1.03*25</f>
        <v>25.75</v>
      </c>
      <c r="E33" s="40">
        <f t="shared" si="20"/>
        <v>25.75</v>
      </c>
      <c r="F33" s="40">
        <f t="shared" si="20"/>
        <v>25.75</v>
      </c>
      <c r="G33" s="40">
        <f t="shared" si="20"/>
        <v>25.75</v>
      </c>
      <c r="H33" s="40">
        <f t="shared" si="20"/>
        <v>25.75</v>
      </c>
      <c r="I33" s="40">
        <f t="shared" si="20"/>
        <v>25.75</v>
      </c>
      <c r="J33" s="40">
        <f t="shared" si="20"/>
        <v>25.75</v>
      </c>
      <c r="K33" s="40">
        <f t="shared" si="20"/>
        <v>25.75</v>
      </c>
      <c r="L33" s="40">
        <f t="shared" si="20"/>
        <v>25.75</v>
      </c>
      <c r="M33" s="40">
        <f t="shared" si="20"/>
        <v>25.75</v>
      </c>
      <c r="N33" s="40">
        <f t="shared" si="20"/>
        <v>25.75</v>
      </c>
      <c r="O33" s="482">
        <f t="shared" si="18"/>
        <v>309</v>
      </c>
      <c r="P33" s="119"/>
    </row>
    <row r="34" spans="1:17" x14ac:dyDescent="0.35">
      <c r="B34" s="282" t="str">
        <f>'40B0'!$B$1</f>
        <v>40B0</v>
      </c>
      <c r="C34" s="40">
        <f>1.03*75</f>
        <v>77.25</v>
      </c>
      <c r="D34" s="40">
        <f t="shared" ref="D34:N34" si="21">1.03*75</f>
        <v>77.25</v>
      </c>
      <c r="E34" s="40">
        <f t="shared" si="21"/>
        <v>77.25</v>
      </c>
      <c r="F34" s="40">
        <f t="shared" si="21"/>
        <v>77.25</v>
      </c>
      <c r="G34" s="40">
        <f t="shared" si="21"/>
        <v>77.25</v>
      </c>
      <c r="H34" s="40">
        <f t="shared" si="21"/>
        <v>77.25</v>
      </c>
      <c r="I34" s="40">
        <f t="shared" si="21"/>
        <v>77.25</v>
      </c>
      <c r="J34" s="40">
        <f t="shared" si="21"/>
        <v>77.25</v>
      </c>
      <c r="K34" s="40">
        <f t="shared" si="21"/>
        <v>77.25</v>
      </c>
      <c r="L34" s="40">
        <f t="shared" si="21"/>
        <v>77.25</v>
      </c>
      <c r="M34" s="40">
        <f t="shared" si="21"/>
        <v>77.25</v>
      </c>
      <c r="N34" s="40">
        <f t="shared" si="21"/>
        <v>77.25</v>
      </c>
      <c r="O34" s="482">
        <f t="shared" si="18"/>
        <v>927</v>
      </c>
      <c r="P34" s="119"/>
    </row>
    <row r="35" spans="1:17" x14ac:dyDescent="0.35">
      <c r="B35" s="282" t="str">
        <f>'40C0'!$B$1</f>
        <v>40C0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83">
        <f t="shared" si="18"/>
        <v>0</v>
      </c>
      <c r="P35" s="478"/>
    </row>
    <row r="36" spans="1:17" x14ac:dyDescent="0.35">
      <c r="B36" s="133" t="s">
        <v>357</v>
      </c>
      <c r="C36" s="36">
        <f t="shared" ref="C36:O36" si="22">SUM(C29:C35)</f>
        <v>463.5</v>
      </c>
      <c r="D36" s="135">
        <f t="shared" si="22"/>
        <v>463.5</v>
      </c>
      <c r="E36" s="135">
        <f t="shared" si="22"/>
        <v>463.5</v>
      </c>
      <c r="F36" s="135">
        <f t="shared" si="22"/>
        <v>463.5</v>
      </c>
      <c r="G36" s="135">
        <f t="shared" si="22"/>
        <v>463.5</v>
      </c>
      <c r="H36" s="135">
        <f t="shared" si="22"/>
        <v>463.5</v>
      </c>
      <c r="I36" s="135">
        <f t="shared" si="22"/>
        <v>463.5</v>
      </c>
      <c r="J36" s="135">
        <f t="shared" si="22"/>
        <v>463.5</v>
      </c>
      <c r="K36" s="135">
        <f t="shared" si="22"/>
        <v>463.5</v>
      </c>
      <c r="L36" s="135">
        <f t="shared" si="22"/>
        <v>463.5</v>
      </c>
      <c r="M36" s="135">
        <f t="shared" si="22"/>
        <v>463.5</v>
      </c>
      <c r="N36" s="135">
        <f t="shared" si="22"/>
        <v>463.5</v>
      </c>
      <c r="O36" s="135">
        <f t="shared" si="22"/>
        <v>5562</v>
      </c>
      <c r="P36" s="125"/>
    </row>
    <row r="38" spans="1:17" ht="17.5" x14ac:dyDescent="0.35">
      <c r="A38" s="37"/>
      <c r="B38" s="37" t="s">
        <v>571</v>
      </c>
      <c r="C38" s="41"/>
      <c r="N38" s="126"/>
    </row>
    <row r="39" spans="1:17" x14ac:dyDescent="0.35">
      <c r="C39" s="123" t="s">
        <v>0</v>
      </c>
      <c r="D39" s="123" t="s">
        <v>1</v>
      </c>
      <c r="E39" s="123" t="s">
        <v>2</v>
      </c>
      <c r="F39" s="123" t="s">
        <v>3</v>
      </c>
      <c r="G39" s="123" t="s">
        <v>4</v>
      </c>
      <c r="H39" s="123" t="s">
        <v>5</v>
      </c>
      <c r="I39" s="123" t="s">
        <v>6</v>
      </c>
      <c r="J39" s="123" t="s">
        <v>7</v>
      </c>
      <c r="K39" s="123" t="s">
        <v>8</v>
      </c>
      <c r="L39" s="123" t="s">
        <v>9</v>
      </c>
      <c r="M39" s="123" t="s">
        <v>10</v>
      </c>
      <c r="N39" s="123" t="s">
        <v>11</v>
      </c>
      <c r="O39" s="481" t="s">
        <v>12</v>
      </c>
      <c r="P39" s="41"/>
    </row>
    <row r="40" spans="1:17" x14ac:dyDescent="0.35">
      <c r="B40" s="282">
        <f>'4050'!$B$1</f>
        <v>4050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500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500</v>
      </c>
      <c r="O40" s="482">
        <f>SUM(C40:N40)</f>
        <v>1000</v>
      </c>
      <c r="P40" s="119"/>
      <c r="Q40" s="38" t="s">
        <v>572</v>
      </c>
    </row>
    <row r="41" spans="1:17" x14ac:dyDescent="0.35">
      <c r="B41" s="282">
        <f>'4060'!$B$1</f>
        <v>4060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600</v>
      </c>
      <c r="I41" s="40">
        <v>0</v>
      </c>
      <c r="J41" s="40">
        <v>0</v>
      </c>
      <c r="K41" s="40">
        <v>0</v>
      </c>
      <c r="L41" s="40">
        <v>600</v>
      </c>
      <c r="M41" s="40">
        <v>0</v>
      </c>
      <c r="N41" s="40">
        <v>600</v>
      </c>
      <c r="O41" s="482">
        <f t="shared" ref="O41:O46" si="23">SUM(C41:N41)</f>
        <v>1800</v>
      </c>
      <c r="P41" s="119"/>
    </row>
    <row r="42" spans="1:17" x14ac:dyDescent="0.35">
      <c r="B42" s="282">
        <f>'4070'!$B$1</f>
        <v>4070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750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750</v>
      </c>
      <c r="O42" s="482">
        <f t="shared" si="23"/>
        <v>1500</v>
      </c>
      <c r="P42" s="119"/>
    </row>
    <row r="43" spans="1:17" x14ac:dyDescent="0.35">
      <c r="B43" s="282">
        <f>'4080'!$B$1</f>
        <v>4080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750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750</v>
      </c>
      <c r="O43" s="482">
        <f t="shared" si="23"/>
        <v>1500</v>
      </c>
      <c r="P43" s="119"/>
    </row>
    <row r="44" spans="1:17" x14ac:dyDescent="0.35">
      <c r="B44" s="282" t="str">
        <f>'40A0'!$B$1</f>
        <v>40A0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40">
        <v>500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500</v>
      </c>
      <c r="O44" s="482">
        <f t="shared" si="23"/>
        <v>1000</v>
      </c>
      <c r="P44" s="119"/>
    </row>
    <row r="45" spans="1:17" x14ac:dyDescent="0.35">
      <c r="B45" s="282" t="str">
        <f>'40B0'!$B$1</f>
        <v>40B0</v>
      </c>
      <c r="C45" s="40">
        <v>0</v>
      </c>
      <c r="D45" s="40">
        <v>0</v>
      </c>
      <c r="E45" s="40">
        <v>0</v>
      </c>
      <c r="F45" s="40">
        <f>1.03*50</f>
        <v>51.5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f>1.03*50</f>
        <v>51.5</v>
      </c>
      <c r="M45" s="40">
        <v>0</v>
      </c>
      <c r="N45" s="40">
        <v>0</v>
      </c>
      <c r="O45" s="482">
        <f t="shared" si="23"/>
        <v>103</v>
      </c>
      <c r="P45" s="119"/>
    </row>
    <row r="46" spans="1:17" x14ac:dyDescent="0.35">
      <c r="B46" s="282" t="str">
        <f>'40C0'!$B$1</f>
        <v>40C0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83">
        <f t="shared" si="23"/>
        <v>0</v>
      </c>
      <c r="P46" s="478"/>
    </row>
    <row r="47" spans="1:17" x14ac:dyDescent="0.35">
      <c r="B47" s="133" t="s">
        <v>357</v>
      </c>
      <c r="C47" s="36">
        <f t="shared" ref="C47:O47" si="24">SUM(C40:C46)</f>
        <v>0</v>
      </c>
      <c r="D47" s="135">
        <f t="shared" si="24"/>
        <v>0</v>
      </c>
      <c r="E47" s="135">
        <f t="shared" si="24"/>
        <v>0</v>
      </c>
      <c r="F47" s="135">
        <f t="shared" si="24"/>
        <v>51.5</v>
      </c>
      <c r="G47" s="135">
        <f t="shared" si="24"/>
        <v>0</v>
      </c>
      <c r="H47" s="135">
        <f t="shared" si="24"/>
        <v>3100</v>
      </c>
      <c r="I47" s="135">
        <f t="shared" si="24"/>
        <v>0</v>
      </c>
      <c r="J47" s="135">
        <f t="shared" si="24"/>
        <v>0</v>
      </c>
      <c r="K47" s="135">
        <f t="shared" si="24"/>
        <v>0</v>
      </c>
      <c r="L47" s="135">
        <f t="shared" si="24"/>
        <v>651.5</v>
      </c>
      <c r="M47" s="135">
        <f t="shared" si="24"/>
        <v>0</v>
      </c>
      <c r="N47" s="135">
        <f t="shared" si="24"/>
        <v>3100</v>
      </c>
      <c r="O47" s="135">
        <f t="shared" si="24"/>
        <v>6903</v>
      </c>
      <c r="P47" s="125"/>
    </row>
  </sheetData>
  <sheetProtection sheet="1" selectLockedCells="1"/>
  <printOptions horizontalCentered="1" verticalCentered="1"/>
  <pageMargins left="0.25" right="0.25" top="0.75" bottom="0.75" header="0.3" footer="0.3"/>
  <pageSetup scale="66" orientation="landscape" verticalDpi="300" r:id="rId1"/>
  <headerFooter>
    <oddHeader>&amp;R&amp;D</oddHeader>
    <oddFooter>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9">
    <tabColor rgb="FFFF0000"/>
  </sheetPr>
  <dimension ref="B2:J55"/>
  <sheetViews>
    <sheetView workbookViewId="0"/>
  </sheetViews>
  <sheetFormatPr defaultRowHeight="12.5" x14ac:dyDescent="0.25"/>
  <cols>
    <col min="2" max="2" width="34.54296875" customWidth="1"/>
    <col min="3" max="3" width="19" bestFit="1" customWidth="1"/>
    <col min="4" max="4" width="19" customWidth="1"/>
    <col min="5" max="5" width="15.1796875" customWidth="1"/>
    <col min="6" max="6" width="16.1796875" customWidth="1"/>
  </cols>
  <sheetData>
    <row r="2" spans="2:10" ht="17.5" thickBot="1" x14ac:dyDescent="0.45">
      <c r="B2" s="559" t="s">
        <v>309</v>
      </c>
      <c r="C2" s="559"/>
      <c r="D2" s="559"/>
      <c r="E2" s="559"/>
      <c r="F2" s="559"/>
      <c r="G2" s="560"/>
      <c r="H2" s="560"/>
      <c r="I2" s="560"/>
      <c r="J2" s="560"/>
    </row>
    <row r="3" spans="2:10" ht="18" thickTop="1" thickBot="1" x14ac:dyDescent="0.45">
      <c r="B3" s="14"/>
      <c r="C3" s="23">
        <v>43556</v>
      </c>
      <c r="D3" s="23">
        <v>45383</v>
      </c>
      <c r="E3" s="23">
        <v>45383</v>
      </c>
      <c r="F3" s="23">
        <v>45383</v>
      </c>
      <c r="G3" s="19"/>
      <c r="H3" s="19"/>
      <c r="I3" s="19"/>
      <c r="J3" s="19"/>
    </row>
    <row r="4" spans="2:10" ht="18" thickTop="1" thickBot="1" x14ac:dyDescent="0.45">
      <c r="B4" s="14" t="s">
        <v>298</v>
      </c>
      <c r="C4" s="17">
        <v>26500000</v>
      </c>
      <c r="D4" s="17">
        <v>23440000</v>
      </c>
      <c r="E4" s="17">
        <v>23440000</v>
      </c>
      <c r="F4" s="18">
        <f>+E4</f>
        <v>23440000</v>
      </c>
      <c r="G4" s="19"/>
      <c r="H4" s="19"/>
      <c r="I4" s="19"/>
      <c r="J4" s="19"/>
    </row>
    <row r="5" spans="2:10" ht="18" thickTop="1" thickBot="1" x14ac:dyDescent="0.45">
      <c r="B5" s="14"/>
      <c r="C5" s="21"/>
      <c r="D5" s="24">
        <v>5.5E-2</v>
      </c>
      <c r="E5" s="24">
        <v>0.06</v>
      </c>
      <c r="F5" s="24">
        <v>6.5000000000000002E-2</v>
      </c>
      <c r="G5" s="19"/>
      <c r="H5" s="19"/>
      <c r="I5" s="19"/>
      <c r="J5" s="19"/>
    </row>
    <row r="6" spans="2:10" ht="15.5" thickTop="1" thickBot="1" x14ac:dyDescent="0.4">
      <c r="B6" s="7" t="s">
        <v>297</v>
      </c>
      <c r="C6" s="20">
        <v>153376</v>
      </c>
      <c r="D6" s="20">
        <v>161241</v>
      </c>
      <c r="E6" s="20">
        <v>167931</v>
      </c>
      <c r="F6" s="20">
        <v>174762</v>
      </c>
    </row>
    <row r="7" spans="2:10" ht="15" thickTop="1" x14ac:dyDescent="0.35">
      <c r="B7" s="7"/>
      <c r="C7" s="22"/>
      <c r="D7" s="22"/>
      <c r="E7" s="22"/>
      <c r="F7" s="22"/>
    </row>
    <row r="8" spans="2:10" ht="13" x14ac:dyDescent="0.3">
      <c r="D8" s="8" t="s">
        <v>296</v>
      </c>
      <c r="E8" s="8" t="s">
        <v>296</v>
      </c>
      <c r="F8" s="8" t="s">
        <v>296</v>
      </c>
    </row>
    <row r="9" spans="2:10" ht="13" x14ac:dyDescent="0.3">
      <c r="C9" s="8" t="s">
        <v>293</v>
      </c>
      <c r="D9" s="8" t="s">
        <v>295</v>
      </c>
      <c r="E9" s="8" t="s">
        <v>295</v>
      </c>
      <c r="F9" s="8" t="s">
        <v>295</v>
      </c>
    </row>
    <row r="10" spans="2:10" ht="14.5" x14ac:dyDescent="0.35">
      <c r="B10" s="12" t="s">
        <v>237</v>
      </c>
      <c r="C10" s="8" t="s">
        <v>294</v>
      </c>
      <c r="D10" s="8" t="s">
        <v>294</v>
      </c>
      <c r="E10" s="8" t="s">
        <v>294</v>
      </c>
      <c r="F10" s="8" t="s">
        <v>294</v>
      </c>
    </row>
    <row r="11" spans="2:10" ht="14.5" x14ac:dyDescent="0.35">
      <c r="B11" s="7" t="s">
        <v>94</v>
      </c>
      <c r="C11" s="16">
        <f>+'NI LLC-Consolidated'!Q111</f>
        <v>1594932.9678008258</v>
      </c>
      <c r="D11" s="3">
        <f>+C11</f>
        <v>1594932.9678008258</v>
      </c>
      <c r="E11" s="3">
        <f>+C11</f>
        <v>1594932.9678008258</v>
      </c>
      <c r="F11" s="3">
        <f>+E11</f>
        <v>1594932.9678008258</v>
      </c>
    </row>
    <row r="12" spans="2:10" ht="14.5" x14ac:dyDescent="0.35">
      <c r="B12" s="7" t="s">
        <v>238</v>
      </c>
      <c r="C12" s="16">
        <f>+C6*12</f>
        <v>1840512</v>
      </c>
      <c r="D12" s="3">
        <f>+D6*12</f>
        <v>1934892</v>
      </c>
      <c r="E12" s="3">
        <f>+E6*12</f>
        <v>2015172</v>
      </c>
      <c r="F12" s="3">
        <f>+F6*12</f>
        <v>2097144</v>
      </c>
    </row>
    <row r="13" spans="2:10" ht="15" thickBot="1" x14ac:dyDescent="0.4">
      <c r="B13" s="7" t="s">
        <v>236</v>
      </c>
      <c r="C13" s="13">
        <f>C11/C12</f>
        <v>0.86657026294901951</v>
      </c>
      <c r="D13" s="13">
        <f>D11/D12</f>
        <v>0.82430077120626155</v>
      </c>
      <c r="E13" s="13">
        <f>E11/E12</f>
        <v>0.79146244975655966</v>
      </c>
      <c r="F13" s="13">
        <f>F11/F12</f>
        <v>0.76052620506785695</v>
      </c>
    </row>
    <row r="14" spans="2:10" ht="13" thickTop="1" x14ac:dyDescent="0.25"/>
    <row r="15" spans="2:10" ht="15" thickBot="1" x14ac:dyDescent="0.4">
      <c r="B15" s="7" t="s">
        <v>311</v>
      </c>
      <c r="E15" s="27">
        <f>-E12+D12</f>
        <v>-80280</v>
      </c>
      <c r="F15" s="27">
        <f>-F12+E12</f>
        <v>-81972</v>
      </c>
    </row>
    <row r="16" spans="2:10" ht="13" thickTop="1" x14ac:dyDescent="0.25"/>
    <row r="17" spans="2:10" ht="15" thickBot="1" x14ac:dyDescent="0.4">
      <c r="B17" s="7" t="s">
        <v>312</v>
      </c>
      <c r="F17" s="15">
        <f>+F15+E15</f>
        <v>-162252</v>
      </c>
    </row>
    <row r="18" spans="2:10" ht="13" thickTop="1" x14ac:dyDescent="0.25"/>
    <row r="20" spans="2:10" ht="17.5" thickBot="1" x14ac:dyDescent="0.45">
      <c r="B20" s="559" t="s">
        <v>310</v>
      </c>
      <c r="C20" s="560"/>
      <c r="D20" s="559"/>
      <c r="E20" s="559"/>
      <c r="F20" s="559"/>
      <c r="G20" s="560"/>
      <c r="H20" s="560"/>
      <c r="I20" s="560"/>
      <c r="J20" s="560"/>
    </row>
    <row r="21" spans="2:10" ht="18" thickTop="1" thickBot="1" x14ac:dyDescent="0.45">
      <c r="B21" s="14"/>
      <c r="C21" s="25"/>
      <c r="D21" s="23">
        <v>45383</v>
      </c>
      <c r="E21" s="23">
        <v>45383</v>
      </c>
      <c r="F21" s="23">
        <v>45383</v>
      </c>
      <c r="G21" s="19"/>
      <c r="H21" s="19"/>
      <c r="I21" s="19"/>
      <c r="J21" s="19"/>
    </row>
    <row r="22" spans="2:10" ht="18" thickTop="1" thickBot="1" x14ac:dyDescent="0.45">
      <c r="B22" s="14" t="s">
        <v>298</v>
      </c>
      <c r="C22" s="21"/>
      <c r="D22" s="17">
        <v>21600000</v>
      </c>
      <c r="E22" s="17">
        <f>+D22</f>
        <v>21600000</v>
      </c>
      <c r="F22" s="18">
        <f>+E22</f>
        <v>21600000</v>
      </c>
      <c r="G22" s="19"/>
      <c r="H22" s="19"/>
      <c r="I22" s="19"/>
      <c r="J22" s="19"/>
    </row>
    <row r="23" spans="2:10" ht="18" thickTop="1" thickBot="1" x14ac:dyDescent="0.45">
      <c r="B23" s="14"/>
      <c r="C23" s="21"/>
      <c r="D23" s="24">
        <v>5.5E-2</v>
      </c>
      <c r="E23" s="24">
        <v>0.06</v>
      </c>
      <c r="F23" s="24">
        <v>6.5000000000000002E-2</v>
      </c>
      <c r="G23" s="19"/>
      <c r="H23" s="19"/>
      <c r="I23" s="19"/>
      <c r="J23" s="19"/>
    </row>
    <row r="24" spans="2:10" ht="15.5" thickTop="1" thickBot="1" x14ac:dyDescent="0.4">
      <c r="B24" s="7" t="s">
        <v>297</v>
      </c>
      <c r="C24" s="22"/>
      <c r="D24" s="20">
        <v>148583.32999999999</v>
      </c>
      <c r="E24" s="20">
        <v>154749.10999999999</v>
      </c>
      <c r="F24" s="20">
        <v>161043.79999999999</v>
      </c>
    </row>
    <row r="25" spans="2:10" ht="15" thickTop="1" x14ac:dyDescent="0.35">
      <c r="B25" s="7"/>
      <c r="C25" s="22"/>
      <c r="D25" s="22"/>
      <c r="E25" s="22"/>
      <c r="F25" s="22"/>
    </row>
    <row r="26" spans="2:10" ht="13" x14ac:dyDescent="0.3">
      <c r="D26" s="8" t="s">
        <v>296</v>
      </c>
      <c r="E26" s="8" t="s">
        <v>296</v>
      </c>
      <c r="F26" s="8" t="s">
        <v>296</v>
      </c>
    </row>
    <row r="27" spans="2:10" ht="13" x14ac:dyDescent="0.3">
      <c r="C27" s="8"/>
      <c r="D27" s="8" t="s">
        <v>295</v>
      </c>
      <c r="E27" s="8" t="s">
        <v>295</v>
      </c>
      <c r="F27" s="8" t="s">
        <v>295</v>
      </c>
    </row>
    <row r="28" spans="2:10" ht="14.5" x14ac:dyDescent="0.35">
      <c r="B28" s="12" t="s">
        <v>237</v>
      </c>
      <c r="C28" s="8"/>
      <c r="D28" s="8" t="s">
        <v>294</v>
      </c>
      <c r="E28" s="8" t="s">
        <v>294</v>
      </c>
      <c r="F28" s="8" t="s">
        <v>294</v>
      </c>
    </row>
    <row r="29" spans="2:10" ht="14.5" x14ac:dyDescent="0.35">
      <c r="B29" s="7" t="s">
        <v>94</v>
      </c>
      <c r="C29" s="16"/>
      <c r="D29" s="3">
        <f>+D11</f>
        <v>1594932.9678008258</v>
      </c>
      <c r="E29" s="3">
        <f>+E11</f>
        <v>1594932.9678008258</v>
      </c>
      <c r="F29" s="3">
        <f>+F11</f>
        <v>1594932.9678008258</v>
      </c>
    </row>
    <row r="30" spans="2:10" ht="14.5" x14ac:dyDescent="0.35">
      <c r="B30" s="7" t="s">
        <v>238</v>
      </c>
      <c r="C30" s="16"/>
      <c r="D30" s="3">
        <f>+D24*12</f>
        <v>1782999.96</v>
      </c>
      <c r="E30" s="3">
        <f>+E24*12</f>
        <v>1856989.3199999998</v>
      </c>
      <c r="F30" s="3">
        <f>+F24*12</f>
        <v>1932525.5999999999</v>
      </c>
    </row>
    <row r="31" spans="2:10" ht="15" thickBot="1" x14ac:dyDescent="0.4">
      <c r="B31" s="7" t="s">
        <v>236</v>
      </c>
      <c r="C31" s="26"/>
      <c r="D31" s="13">
        <f>D29/D30</f>
        <v>0.89452215568239601</v>
      </c>
      <c r="E31" s="13">
        <f>E29/E30</f>
        <v>0.85888106658622354</v>
      </c>
      <c r="F31" s="13">
        <f>F29/F30</f>
        <v>0.82531013705630907</v>
      </c>
    </row>
    <row r="32" spans="2:10" ht="13" thickTop="1" x14ac:dyDescent="0.25"/>
    <row r="33" spans="2:7" ht="15" thickBot="1" x14ac:dyDescent="0.4">
      <c r="B33" s="7" t="s">
        <v>311</v>
      </c>
      <c r="E33" s="27">
        <f>-E30+D30</f>
        <v>-73989.35999999987</v>
      </c>
      <c r="F33" s="27">
        <f>-F30+E30</f>
        <v>-75536.280000000028</v>
      </c>
    </row>
    <row r="34" spans="2:7" ht="13" thickTop="1" x14ac:dyDescent="0.25"/>
    <row r="35" spans="2:7" ht="15" thickBot="1" x14ac:dyDescent="0.4">
      <c r="B35" s="7" t="s">
        <v>312</v>
      </c>
      <c r="F35" s="15">
        <f>+F33+E33</f>
        <v>-149525.6399999999</v>
      </c>
    </row>
    <row r="36" spans="2:7" ht="13" thickTop="1" x14ac:dyDescent="0.25"/>
    <row r="38" spans="2:7" ht="13" x14ac:dyDescent="0.3">
      <c r="B38" s="3" t="s">
        <v>314</v>
      </c>
    </row>
    <row r="39" spans="2:7" ht="13.5" thickBot="1" x14ac:dyDescent="0.35">
      <c r="B39" s="3" t="s">
        <v>313</v>
      </c>
      <c r="D39" s="27">
        <f>+D12-D30</f>
        <v>151892.04000000004</v>
      </c>
      <c r="E39" s="27">
        <f>+E12-E30</f>
        <v>158182.68000000017</v>
      </c>
      <c r="F39" s="27">
        <f>+F12-F30</f>
        <v>164618.40000000014</v>
      </c>
    </row>
    <row r="40" spans="2:7" ht="13" thickTop="1" x14ac:dyDescent="0.25"/>
    <row r="42" spans="2:7" ht="13" x14ac:dyDescent="0.3">
      <c r="C42" s="3" t="s">
        <v>315</v>
      </c>
      <c r="D42" s="28">
        <v>2024</v>
      </c>
      <c r="E42" s="28">
        <v>2025</v>
      </c>
      <c r="F42" s="28">
        <v>2026</v>
      </c>
    </row>
    <row r="43" spans="2:7" ht="13" x14ac:dyDescent="0.3">
      <c r="B43" s="3"/>
    </row>
    <row r="44" spans="2:7" ht="13" x14ac:dyDescent="0.3">
      <c r="B44" s="3" t="s">
        <v>94</v>
      </c>
      <c r="D44" s="29">
        <f>+D29</f>
        <v>1594932.9678008258</v>
      </c>
      <c r="E44">
        <f>+D44</f>
        <v>1594932.9678008258</v>
      </c>
      <c r="F44">
        <f>+E44</f>
        <v>1594932.9678008258</v>
      </c>
    </row>
    <row r="45" spans="2:7" x14ac:dyDescent="0.25">
      <c r="B45" t="s">
        <v>318</v>
      </c>
      <c r="D45" s="29"/>
      <c r="E45">
        <v>-195000</v>
      </c>
      <c r="F45">
        <f>+E45</f>
        <v>-195000</v>
      </c>
      <c r="G45">
        <v>-1</v>
      </c>
    </row>
    <row r="46" spans="2:7" x14ac:dyDescent="0.25">
      <c r="B46" t="s">
        <v>319</v>
      </c>
      <c r="D46" s="2"/>
      <c r="E46" s="2">
        <v>-35000</v>
      </c>
      <c r="F46" s="2">
        <f>-35000*12</f>
        <v>-420000</v>
      </c>
      <c r="G46">
        <v>-2</v>
      </c>
    </row>
    <row r="47" spans="2:7" x14ac:dyDescent="0.25">
      <c r="D47">
        <f>SUM(D44:D46)</f>
        <v>1594932.9678008258</v>
      </c>
      <c r="E47">
        <f>SUM(E44:E46)</f>
        <v>1364932.9678008258</v>
      </c>
      <c r="F47">
        <f>SUM(F44:F46)</f>
        <v>979932.96780082583</v>
      </c>
    </row>
    <row r="49" spans="2:6" x14ac:dyDescent="0.25">
      <c r="C49" s="1" t="s">
        <v>316</v>
      </c>
      <c r="D49" s="30">
        <v>7.4999999999999997E-2</v>
      </c>
      <c r="E49" s="30">
        <v>7.4999999999999997E-2</v>
      </c>
      <c r="F49" s="30">
        <v>7.4999999999999997E-2</v>
      </c>
    </row>
    <row r="50" spans="2:6" ht="13" x14ac:dyDescent="0.3">
      <c r="C50" s="1" t="s">
        <v>317</v>
      </c>
      <c r="D50" s="6">
        <f>+D47/D49</f>
        <v>21265772.904011011</v>
      </c>
      <c r="E50" s="6">
        <f>+E47/E49</f>
        <v>18199106.237344347</v>
      </c>
      <c r="F50" s="6">
        <f>+F47/F49</f>
        <v>13065772.904011011</v>
      </c>
    </row>
    <row r="54" spans="2:6" x14ac:dyDescent="0.25">
      <c r="B54">
        <v>-1</v>
      </c>
      <c r="C54" t="s">
        <v>321</v>
      </c>
    </row>
    <row r="55" spans="2:6" x14ac:dyDescent="0.25">
      <c r="B55">
        <v>-2</v>
      </c>
      <c r="C55" t="s">
        <v>320</v>
      </c>
    </row>
  </sheetData>
  <mergeCells count="2">
    <mergeCell ref="B2:J2"/>
    <mergeCell ref="B20:J20"/>
  </mergeCells>
  <pageMargins left="0.25" right="0.25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">
    <tabColor rgb="FFFF0000"/>
  </sheetPr>
  <dimension ref="A1:C11"/>
  <sheetViews>
    <sheetView workbookViewId="0"/>
  </sheetViews>
  <sheetFormatPr defaultColWidth="8.81640625" defaultRowHeight="12.5" x14ac:dyDescent="0.25"/>
  <cols>
    <col min="1" max="1" width="13.81640625" style="31" bestFit="1" customWidth="1"/>
    <col min="2" max="2" width="19.81640625" style="31" customWidth="1"/>
    <col min="3" max="3" width="14.81640625" style="31" customWidth="1"/>
    <col min="4" max="16384" width="8.81640625" style="31"/>
  </cols>
  <sheetData>
    <row r="1" spans="1:3" ht="29" x14ac:dyDescent="0.5">
      <c r="B1" s="45" t="s">
        <v>358</v>
      </c>
    </row>
    <row r="4" spans="1:3" x14ac:dyDescent="0.25">
      <c r="A4" s="31" t="s">
        <v>351</v>
      </c>
      <c r="B4" s="49">
        <v>108095</v>
      </c>
    </row>
    <row r="5" spans="1:3" x14ac:dyDescent="0.25">
      <c r="A5" s="31" t="s">
        <v>352</v>
      </c>
      <c r="B5" s="49">
        <v>7222</v>
      </c>
    </row>
    <row r="6" spans="1:3" x14ac:dyDescent="0.25">
      <c r="A6" s="31" t="s">
        <v>353</v>
      </c>
      <c r="B6" s="49">
        <v>52542</v>
      </c>
    </row>
    <row r="7" spans="1:3" x14ac:dyDescent="0.25">
      <c r="B7" s="47"/>
    </row>
    <row r="8" spans="1:3" ht="13" thickBot="1" x14ac:dyDescent="0.3">
      <c r="B8" s="48">
        <f>SUM(B4:B7)</f>
        <v>167859</v>
      </c>
    </row>
    <row r="9" spans="1:3" ht="13" thickTop="1" x14ac:dyDescent="0.25">
      <c r="B9" s="47"/>
    </row>
    <row r="10" spans="1:3" x14ac:dyDescent="0.25">
      <c r="C10" s="47"/>
    </row>
    <row r="11" spans="1:3" x14ac:dyDescent="0.25">
      <c r="C11" s="47"/>
    </row>
  </sheetData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/>
  <dimension ref="A3:N63"/>
  <sheetViews>
    <sheetView workbookViewId="0"/>
  </sheetViews>
  <sheetFormatPr defaultRowHeight="12.5" x14ac:dyDescent="0.25"/>
  <cols>
    <col min="1" max="1" width="15" customWidth="1"/>
    <col min="2" max="2" width="18.1796875" bestFit="1" customWidth="1"/>
    <col min="3" max="13" width="11.1796875" bestFit="1" customWidth="1"/>
    <col min="14" max="15" width="12.81640625" bestFit="1" customWidth="1"/>
  </cols>
  <sheetData>
    <row r="3" spans="1:14" x14ac:dyDescent="0.25">
      <c r="B3" s="4" t="s">
        <v>217</v>
      </c>
    </row>
    <row r="4" spans="1:14" x14ac:dyDescent="0.25">
      <c r="A4" s="4" t="s">
        <v>215</v>
      </c>
      <c r="B4" t="s">
        <v>264</v>
      </c>
      <c r="C4" t="s">
        <v>265</v>
      </c>
      <c r="D4" t="s">
        <v>266</v>
      </c>
      <c r="E4" t="s">
        <v>267</v>
      </c>
      <c r="F4" t="s">
        <v>268</v>
      </c>
      <c r="G4" t="s">
        <v>269</v>
      </c>
      <c r="H4" t="s">
        <v>270</v>
      </c>
      <c r="I4" t="s">
        <v>271</v>
      </c>
      <c r="J4" t="s">
        <v>272</v>
      </c>
      <c r="K4" t="s">
        <v>273</v>
      </c>
      <c r="L4" t="s">
        <v>274</v>
      </c>
      <c r="M4" t="s">
        <v>275</v>
      </c>
      <c r="N4" t="s">
        <v>216</v>
      </c>
    </row>
    <row r="5" spans="1:14" x14ac:dyDescent="0.25">
      <c r="A5" s="5" t="s">
        <v>168</v>
      </c>
    </row>
    <row r="6" spans="1:14" x14ac:dyDescent="0.25">
      <c r="A6" s="11" t="s">
        <v>170</v>
      </c>
    </row>
    <row r="7" spans="1:14" x14ac:dyDescent="0.25">
      <c r="A7" s="11" t="s">
        <v>240</v>
      </c>
    </row>
    <row r="8" spans="1:14" x14ac:dyDescent="0.25">
      <c r="A8" s="11" t="s">
        <v>241</v>
      </c>
    </row>
    <row r="9" spans="1:14" x14ac:dyDescent="0.25">
      <c r="A9" s="11" t="s">
        <v>234</v>
      </c>
    </row>
    <row r="10" spans="1:14" x14ac:dyDescent="0.25">
      <c r="A10" s="11" t="s">
        <v>172</v>
      </c>
    </row>
    <row r="11" spans="1:14" x14ac:dyDescent="0.25">
      <c r="A11" s="11" t="s">
        <v>242</v>
      </c>
    </row>
    <row r="12" spans="1:14" x14ac:dyDescent="0.25">
      <c r="A12" s="11" t="s">
        <v>174</v>
      </c>
    </row>
    <row r="13" spans="1:14" x14ac:dyDescent="0.25">
      <c r="A13" s="11" t="s">
        <v>276</v>
      </c>
    </row>
    <row r="14" spans="1:14" x14ac:dyDescent="0.25">
      <c r="A14" s="11" t="s">
        <v>243</v>
      </c>
    </row>
    <row r="15" spans="1:14" x14ac:dyDescent="0.25">
      <c r="A15" s="5" t="s">
        <v>175</v>
      </c>
    </row>
    <row r="16" spans="1:14" x14ac:dyDescent="0.25">
      <c r="A16" s="11" t="s">
        <v>277</v>
      </c>
    </row>
    <row r="17" spans="1:1" x14ac:dyDescent="0.25">
      <c r="A17" s="11" t="s">
        <v>250</v>
      </c>
    </row>
    <row r="18" spans="1:1" x14ac:dyDescent="0.25">
      <c r="A18" s="11" t="s">
        <v>176</v>
      </c>
    </row>
    <row r="19" spans="1:1" x14ac:dyDescent="0.25">
      <c r="A19" s="11" t="s">
        <v>278</v>
      </c>
    </row>
    <row r="20" spans="1:1" x14ac:dyDescent="0.25">
      <c r="A20" s="11" t="s">
        <v>178</v>
      </c>
    </row>
    <row r="21" spans="1:1" x14ac:dyDescent="0.25">
      <c r="A21" s="11" t="s">
        <v>244</v>
      </c>
    </row>
    <row r="22" spans="1:1" x14ac:dyDescent="0.25">
      <c r="A22" s="11" t="s">
        <v>249</v>
      </c>
    </row>
    <row r="23" spans="1:1" x14ac:dyDescent="0.25">
      <c r="A23" s="11" t="s">
        <v>179</v>
      </c>
    </row>
    <row r="24" spans="1:1" x14ac:dyDescent="0.25">
      <c r="A24" s="11" t="s">
        <v>180</v>
      </c>
    </row>
    <row r="25" spans="1:1" x14ac:dyDescent="0.25">
      <c r="A25" s="11" t="s">
        <v>181</v>
      </c>
    </row>
    <row r="26" spans="1:1" x14ac:dyDescent="0.25">
      <c r="A26" s="11" t="s">
        <v>182</v>
      </c>
    </row>
    <row r="27" spans="1:1" x14ac:dyDescent="0.25">
      <c r="A27" s="11" t="s">
        <v>184</v>
      </c>
    </row>
    <row r="28" spans="1:1" x14ac:dyDescent="0.25">
      <c r="A28" s="11" t="s">
        <v>185</v>
      </c>
    </row>
    <row r="29" spans="1:1" x14ac:dyDescent="0.25">
      <c r="A29" s="5" t="s">
        <v>186</v>
      </c>
    </row>
    <row r="30" spans="1:1" x14ac:dyDescent="0.25">
      <c r="A30" s="11" t="s">
        <v>187</v>
      </c>
    </row>
    <row r="31" spans="1:1" x14ac:dyDescent="0.25">
      <c r="A31" s="11" t="s">
        <v>252</v>
      </c>
    </row>
    <row r="32" spans="1:1" x14ac:dyDescent="0.25">
      <c r="A32" s="11" t="s">
        <v>262</v>
      </c>
    </row>
    <row r="33" spans="1:1" x14ac:dyDescent="0.25">
      <c r="A33" s="11" t="s">
        <v>189</v>
      </c>
    </row>
    <row r="34" spans="1:1" x14ac:dyDescent="0.25">
      <c r="A34" s="11" t="s">
        <v>191</v>
      </c>
    </row>
    <row r="35" spans="1:1" x14ac:dyDescent="0.25">
      <c r="A35" s="11" t="s">
        <v>193</v>
      </c>
    </row>
    <row r="36" spans="1:1" x14ac:dyDescent="0.25">
      <c r="A36" s="11" t="s">
        <v>194</v>
      </c>
    </row>
    <row r="37" spans="1:1" x14ac:dyDescent="0.25">
      <c r="A37" s="11" t="s">
        <v>251</v>
      </c>
    </row>
    <row r="38" spans="1:1" x14ac:dyDescent="0.25">
      <c r="A38" s="11" t="s">
        <v>195</v>
      </c>
    </row>
    <row r="39" spans="1:1" x14ac:dyDescent="0.25">
      <c r="A39" s="5" t="s">
        <v>196</v>
      </c>
    </row>
    <row r="40" spans="1:1" x14ac:dyDescent="0.25">
      <c r="A40" s="11" t="s">
        <v>281</v>
      </c>
    </row>
    <row r="41" spans="1:1" x14ac:dyDescent="0.25">
      <c r="A41" s="11" t="s">
        <v>253</v>
      </c>
    </row>
    <row r="42" spans="1:1" x14ac:dyDescent="0.25">
      <c r="A42" s="11" t="s">
        <v>197</v>
      </c>
    </row>
    <row r="43" spans="1:1" x14ac:dyDescent="0.25">
      <c r="A43" s="11" t="s">
        <v>283</v>
      </c>
    </row>
    <row r="44" spans="1:1" x14ac:dyDescent="0.25">
      <c r="A44" s="11" t="s">
        <v>285</v>
      </c>
    </row>
    <row r="45" spans="1:1" x14ac:dyDescent="0.25">
      <c r="A45" s="11" t="s">
        <v>223</v>
      </c>
    </row>
    <row r="46" spans="1:1" x14ac:dyDescent="0.25">
      <c r="A46" s="11" t="s">
        <v>198</v>
      </c>
    </row>
    <row r="47" spans="1:1" x14ac:dyDescent="0.25">
      <c r="A47" s="11" t="s">
        <v>200</v>
      </c>
    </row>
    <row r="48" spans="1:1" x14ac:dyDescent="0.25">
      <c r="A48" s="11" t="s">
        <v>245</v>
      </c>
    </row>
    <row r="49" spans="1:1" x14ac:dyDescent="0.25">
      <c r="A49" s="11" t="s">
        <v>254</v>
      </c>
    </row>
    <row r="50" spans="1:1" x14ac:dyDescent="0.25">
      <c r="A50" s="11" t="s">
        <v>202</v>
      </c>
    </row>
    <row r="51" spans="1:1" x14ac:dyDescent="0.25">
      <c r="A51" s="11" t="s">
        <v>204</v>
      </c>
    </row>
    <row r="52" spans="1:1" x14ac:dyDescent="0.25">
      <c r="A52" s="11" t="s">
        <v>287</v>
      </c>
    </row>
    <row r="53" spans="1:1" x14ac:dyDescent="0.25">
      <c r="A53" s="11" t="s">
        <v>246</v>
      </c>
    </row>
    <row r="54" spans="1:1" x14ac:dyDescent="0.25">
      <c r="A54" s="11" t="s">
        <v>233</v>
      </c>
    </row>
    <row r="55" spans="1:1" x14ac:dyDescent="0.25">
      <c r="A55" s="5" t="s">
        <v>205</v>
      </c>
    </row>
    <row r="56" spans="1:1" x14ac:dyDescent="0.25">
      <c r="A56" s="11" t="s">
        <v>208</v>
      </c>
    </row>
    <row r="57" spans="1:1" x14ac:dyDescent="0.25">
      <c r="A57" s="11" t="s">
        <v>248</v>
      </c>
    </row>
    <row r="58" spans="1:1" x14ac:dyDescent="0.25">
      <c r="A58" s="11" t="s">
        <v>206</v>
      </c>
    </row>
    <row r="59" spans="1:1" x14ac:dyDescent="0.25">
      <c r="A59" s="5" t="s">
        <v>210</v>
      </c>
    </row>
    <row r="60" spans="1:1" x14ac:dyDescent="0.25">
      <c r="A60" s="11" t="s">
        <v>211</v>
      </c>
    </row>
    <row r="61" spans="1:1" x14ac:dyDescent="0.25">
      <c r="A61" s="5" t="s">
        <v>212</v>
      </c>
    </row>
    <row r="62" spans="1:1" x14ac:dyDescent="0.25">
      <c r="A62" s="11" t="s">
        <v>213</v>
      </c>
    </row>
    <row r="63" spans="1:1" x14ac:dyDescent="0.25">
      <c r="A63" s="5" t="s">
        <v>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bb4864-1f15-4dbc-8993-a0057cbdf711">
      <Terms xmlns="http://schemas.microsoft.com/office/infopath/2007/PartnerControls"/>
    </lcf76f155ced4ddcb4097134ff3c332f>
    <TaxCatchAll xmlns="af706855-280e-40fa-beb9-81c9773b0c79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9ED3C01625249A0FD35688815D133" ma:contentTypeVersion="15" ma:contentTypeDescription="Create a new document." ma:contentTypeScope="" ma:versionID="a51aef5a9874e8330807ea08ce1bcdcd">
  <xsd:schema xmlns:xsd="http://www.w3.org/2001/XMLSchema" xmlns:xs="http://www.w3.org/2001/XMLSchema" xmlns:p="http://schemas.microsoft.com/office/2006/metadata/properties" xmlns:ns2="d8bb4864-1f15-4dbc-8993-a0057cbdf711" xmlns:ns3="af706855-280e-40fa-beb9-81c9773b0c79" targetNamespace="http://schemas.microsoft.com/office/2006/metadata/properties" ma:root="true" ma:fieldsID="a66b4b197bc76c681623a7287e85f302" ns2:_="" ns3:_="">
    <xsd:import namespace="d8bb4864-1f15-4dbc-8993-a0057cbdf711"/>
    <xsd:import namespace="af706855-280e-40fa-beb9-81c9773b0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b4864-1f15-4dbc-8993-a0057cbdf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350d72-ffa9-4828-a2b2-a4e9b8ba5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06855-280e-40fa-beb9-81c9773b0c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6b772e-d289-4ed7-8a08-1f1a9938d79c}" ma:internalName="TaxCatchAll" ma:showField="CatchAllData" ma:web="af706855-280e-40fa-beb9-81c9773b0c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66D6D27-9AEE-4958-914D-804B7BE691D2}">
  <ds:schemaRefs>
    <ds:schemaRef ds:uri="http://schemas.microsoft.com/office/2006/documentManagement/types"/>
    <ds:schemaRef ds:uri="af706855-280e-40fa-beb9-81c9773b0c79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d8bb4864-1f15-4dbc-8993-a0057cbdf71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A198D5-8928-4FDE-B515-9D2D122C16BF}">
  <ds:schemaRefs/>
</ds:datastoreItem>
</file>

<file path=customXml/itemProps3.xml><?xml version="1.0" encoding="utf-8"?>
<ds:datastoreItem xmlns:ds="http://schemas.openxmlformats.org/officeDocument/2006/customXml" ds:itemID="{834F3B88-290E-4E63-BAB6-CCFA4078AC71}">
  <ds:schemaRefs/>
</ds:datastoreItem>
</file>

<file path=customXml/itemProps4.xml><?xml version="1.0" encoding="utf-8"?>
<ds:datastoreItem xmlns:ds="http://schemas.openxmlformats.org/officeDocument/2006/customXml" ds:itemID="{3974F6FB-5584-472D-8EAB-049B463C7AF1}">
  <ds:schemaRefs/>
</ds:datastoreItem>
</file>

<file path=customXml/itemProps5.xml><?xml version="1.0" encoding="utf-8"?>
<ds:datastoreItem xmlns:ds="http://schemas.openxmlformats.org/officeDocument/2006/customXml" ds:itemID="{26C2C256-B1AC-4608-A616-53A3A13F71CD}">
  <ds:schemaRefs/>
</ds:datastoreItem>
</file>

<file path=customXml/itemProps6.xml><?xml version="1.0" encoding="utf-8"?>
<ds:datastoreItem xmlns:ds="http://schemas.openxmlformats.org/officeDocument/2006/customXml" ds:itemID="{CE919C1E-1065-467F-AE58-196B0AF48A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b4864-1f15-4dbc-8993-a0057cbdf711"/>
    <ds:schemaRef ds:uri="af706855-280e-40fa-beb9-81c9773b0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17DFE264-E997-4DBF-B8D5-D3C503149DB8}">
  <ds:schemaRefs/>
</ds:datastoreItem>
</file>

<file path=customXml/itemProps8.xml><?xml version="1.0" encoding="utf-8"?>
<ds:datastoreItem xmlns:ds="http://schemas.openxmlformats.org/officeDocument/2006/customXml" ds:itemID="{5F027A5D-9E1B-4567-8B2E-C5680422133D}">
  <ds:schemaRefs/>
</ds:datastoreItem>
</file>

<file path=customXml/itemProps9.xml><?xml version="1.0" encoding="utf-8"?>
<ds:datastoreItem xmlns:ds="http://schemas.openxmlformats.org/officeDocument/2006/customXml" ds:itemID="{AED19FAA-6816-40F8-991B-334B1847ABE8}">
  <ds:schemaRefs/>
</ds:datastoreItem>
</file>

<file path=customXml/itemProps10.xml><?xml version="1.0" encoding="utf-8"?>
<ds:datastoreItem xmlns:ds="http://schemas.openxmlformats.org/officeDocument/2006/customXml" ds:itemID="{1C935BF0-6F5A-4F8C-9EF3-E69E2BE82762}">
  <ds:schemaRefs/>
</ds:datastoreItem>
</file>

<file path=customXml/itemProps11.xml><?xml version="1.0" encoding="utf-8"?>
<ds:datastoreItem xmlns:ds="http://schemas.openxmlformats.org/officeDocument/2006/customXml" ds:itemID="{96A10728-5972-4223-AD46-33C0C04C0614}">
  <ds:schemaRefs/>
</ds:datastoreItem>
</file>

<file path=customXml/itemProps12.xml><?xml version="1.0" encoding="utf-8"?>
<ds:datastoreItem xmlns:ds="http://schemas.openxmlformats.org/officeDocument/2006/customXml" ds:itemID="{85404416-C5AA-4D3C-B295-8A8D5F6F9BEF}">
  <ds:schemaRefs/>
</ds:datastoreItem>
</file>

<file path=customXml/itemProps13.xml><?xml version="1.0" encoding="utf-8"?>
<ds:datastoreItem xmlns:ds="http://schemas.openxmlformats.org/officeDocument/2006/customXml" ds:itemID="{D8EAA061-C13E-4D7E-8275-D16533BFFBB6}">
  <ds:schemaRefs/>
</ds:datastoreItem>
</file>

<file path=customXml/itemProps14.xml><?xml version="1.0" encoding="utf-8"?>
<ds:datastoreItem xmlns:ds="http://schemas.openxmlformats.org/officeDocument/2006/customXml" ds:itemID="{B8B286FA-01F8-4420-8767-7E6450234879}">
  <ds:schemaRefs/>
</ds:datastoreItem>
</file>

<file path=customXml/itemProps15.xml><?xml version="1.0" encoding="utf-8"?>
<ds:datastoreItem xmlns:ds="http://schemas.openxmlformats.org/officeDocument/2006/customXml" ds:itemID="{D8D2C632-26FE-4380-B089-4AC80C9931A6}">
  <ds:schemaRefs/>
</ds:datastoreItem>
</file>

<file path=customXml/itemProps16.xml><?xml version="1.0" encoding="utf-8"?>
<ds:datastoreItem xmlns:ds="http://schemas.openxmlformats.org/officeDocument/2006/customXml" ds:itemID="{3D5B940E-E673-46ED-950D-46394E0246A7}">
  <ds:schemaRefs/>
</ds:datastoreItem>
</file>

<file path=customXml/itemProps17.xml><?xml version="1.0" encoding="utf-8"?>
<ds:datastoreItem xmlns:ds="http://schemas.openxmlformats.org/officeDocument/2006/customXml" ds:itemID="{03F9506E-8183-413F-BFAA-2153A7441EC0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BC4E4729-4ACD-49E6-B1EE-B0B413E7A400}">
  <ds:schemaRefs/>
</ds:datastoreItem>
</file>

<file path=customXml/itemProps19.xml><?xml version="1.0" encoding="utf-8"?>
<ds:datastoreItem xmlns:ds="http://schemas.openxmlformats.org/officeDocument/2006/customXml" ds:itemID="{832D9CE2-63FA-41E3-94F0-32402A1F42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39</vt:i4>
      </vt:variant>
    </vt:vector>
  </HeadingPairs>
  <TitlesOfParts>
    <vt:vector size="64" baseType="lpstr">
      <vt:lpstr>Cover Sheet</vt:lpstr>
      <vt:lpstr>Source and Use of Cash</vt:lpstr>
      <vt:lpstr>Assumptions</vt:lpstr>
      <vt:lpstr>NI LLC-Consolidated</vt:lpstr>
      <vt:lpstr>4000</vt:lpstr>
      <vt:lpstr>4050</vt:lpstr>
      <vt:lpstr>4060</vt:lpstr>
      <vt:lpstr>4070</vt:lpstr>
      <vt:lpstr>4080</vt:lpstr>
      <vt:lpstr>40A0</vt:lpstr>
      <vt:lpstr>40B0</vt:lpstr>
      <vt:lpstr>40C0</vt:lpstr>
      <vt:lpstr>In Place Revenue</vt:lpstr>
      <vt:lpstr>Renew &amp; Vac</vt:lpstr>
      <vt:lpstr>Tenant Recoveries</vt:lpstr>
      <vt:lpstr>Allocated Expenses</vt:lpstr>
      <vt:lpstr>Water Sewer</vt:lpstr>
      <vt:lpstr>INS RET</vt:lpstr>
      <vt:lpstr>Building Maint</vt:lpstr>
      <vt:lpstr>Parking Lot Maint</vt:lpstr>
      <vt:lpstr>Landscaping</vt:lpstr>
      <vt:lpstr>Trash</vt:lpstr>
      <vt:lpstr>DSCR calc</vt:lpstr>
      <vt:lpstr>Trusts</vt:lpstr>
      <vt:lpstr>Sheet2</vt:lpstr>
      <vt:lpstr>'Water Sewer'!PaiementsParAn</vt:lpstr>
      <vt:lpstr>PaiementsParAn</vt:lpstr>
      <vt:lpstr>'INS RET'!pmtType</vt:lpstr>
      <vt:lpstr>'Water Sewer'!pmtType</vt:lpstr>
      <vt:lpstr>'4000'!Print_Area</vt:lpstr>
      <vt:lpstr>'4050'!Print_Area</vt:lpstr>
      <vt:lpstr>'4060'!Print_Area</vt:lpstr>
      <vt:lpstr>'4070'!Print_Area</vt:lpstr>
      <vt:lpstr>'4080'!Print_Area</vt:lpstr>
      <vt:lpstr>'40A0'!Print_Area</vt:lpstr>
      <vt:lpstr>'40B0'!Print_Area</vt:lpstr>
      <vt:lpstr>'40C0'!Print_Area</vt:lpstr>
      <vt:lpstr>'Allocated Expenses'!Print_Area</vt:lpstr>
      <vt:lpstr>Assumptions!Print_Area</vt:lpstr>
      <vt:lpstr>'Building Maint'!Print_Area</vt:lpstr>
      <vt:lpstr>'Cover Sheet'!Print_Area</vt:lpstr>
      <vt:lpstr>'INS RET'!Print_Area</vt:lpstr>
      <vt:lpstr>Landscaping!Print_Area</vt:lpstr>
      <vt:lpstr>'NI LLC-Consolidated'!Print_Area</vt:lpstr>
      <vt:lpstr>'Parking Lot Maint'!Print_Area</vt:lpstr>
      <vt:lpstr>'Renew &amp; Vac'!Print_Area</vt:lpstr>
      <vt:lpstr>Trash!Print_Area</vt:lpstr>
      <vt:lpstr>Trusts!Print_Area</vt:lpstr>
      <vt:lpstr>'Water Sewer'!Print_Area</vt:lpstr>
      <vt:lpstr>'4000'!Print_Titles</vt:lpstr>
      <vt:lpstr>'4050'!Print_Titles</vt:lpstr>
      <vt:lpstr>'4060'!Print_Titles</vt:lpstr>
      <vt:lpstr>'4070'!Print_Titles</vt:lpstr>
      <vt:lpstr>'4080'!Print_Titles</vt:lpstr>
      <vt:lpstr>'40A0'!Print_Titles</vt:lpstr>
      <vt:lpstr>'40B0'!Print_Titles</vt:lpstr>
      <vt:lpstr>'40C0'!Print_Titles</vt:lpstr>
      <vt:lpstr>'NI LLC-Consolidated'!Print_Titles</vt:lpstr>
      <vt:lpstr>'INS RET'!rate</vt:lpstr>
      <vt:lpstr>'Water Sewer'!rate</vt:lpstr>
      <vt:lpstr>'INS RET'!roundOpt</vt:lpstr>
      <vt:lpstr>'Water Sewer'!roundOpt</vt:lpstr>
      <vt:lpstr>'Water Sewer'!TauxIntérêt</vt:lpstr>
      <vt:lpstr>TauxIntérêt</vt:lpstr>
    </vt:vector>
  </TitlesOfParts>
  <Company>Korman Commercial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Tottchen</dc:creator>
  <cp:lastModifiedBy>Drew Winig</cp:lastModifiedBy>
  <cp:lastPrinted>2026-02-03T20:14:35Z</cp:lastPrinted>
  <dcterms:created xsi:type="dcterms:W3CDTF">2006-10-09T15:50:51Z</dcterms:created>
  <dcterms:modified xsi:type="dcterms:W3CDTF">2026-02-03T20:14:35Z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0x010100C879ED3C01625249A0FD35688815D133</vt:lpwstr>
  </property>
  <property fmtid="{D5CDD505-2E9C-101B-9397-08002B2CF9AE}" pid="3" name="MediaServiceImageTags">
    <vt:lpwstr/>
  </property>
</Properties>
</file>