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Shared/Properties/Business Plans - All Entities/2026/Office Works 2026 Budget/"/>
    </mc:Choice>
  </mc:AlternateContent>
  <xr:revisionPtr revIDLastSave="125" documentId="8_{E8078FC5-899F-4FB9-BCDC-8A8A3B1F8624}" xr6:coauthVersionLast="47" xr6:coauthVersionMax="47" xr10:uidLastSave="{6BE4ABF4-3B8E-41A0-8D50-31895F1DB7A1}"/>
  <bookViews>
    <workbookView xWindow="28680" yWindow="-3495" windowWidth="51840" windowHeight="21120" activeTab="1" xr2:uid="{00000000-000D-0000-FFFF-FFFF00000000}"/>
  </bookViews>
  <sheets>
    <sheet name="The Office Works" sheetId="6" r:id="rId1"/>
    <sheet name="Monthly Rent Roll &amp; CIP" sheetId="8" r:id="rId2"/>
  </sheets>
  <externalReferences>
    <externalReference r:id="rId3"/>
    <externalReference r:id="rId4"/>
  </externalReferences>
  <definedNames>
    <definedName name="\r" localSheetId="0">[1]TOTALS!#REF!</definedName>
    <definedName name="\r">[2]TOTALS!#REF!</definedName>
    <definedName name="\t">#N/A</definedName>
    <definedName name="_39_PNB">#N/A</definedName>
    <definedName name="_57_2_PNB">#N/A</definedName>
    <definedName name="_57_3_PNB">#N/A</definedName>
    <definedName name="_57_5_PNB">#N/A</definedName>
    <definedName name="_70_NOTE">#N/A</definedName>
    <definedName name="_Order1" hidden="1">255</definedName>
    <definedName name="_Order2" hidden="1">255</definedName>
    <definedName name="_xlnm.Print_Area" localSheetId="1">'Monthly Rent Roll &amp; CIP'!$B$1:$Q$57</definedName>
    <definedName name="_xlnm.Print_Area" localSheetId="0">'The Office Works'!$B$1:$S$80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8" i="6" l="1"/>
  <c r="H138" i="6"/>
  <c r="I138" i="6"/>
  <c r="J138" i="6"/>
  <c r="K138" i="6"/>
  <c r="L138" i="6"/>
  <c r="M138" i="6"/>
  <c r="N138" i="6"/>
  <c r="O138" i="6"/>
  <c r="P138" i="6"/>
  <c r="Q138" i="6"/>
  <c r="R138" i="6"/>
  <c r="F138" i="6"/>
  <c r="A119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90" i="6"/>
  <c r="Q15" i="6"/>
  <c r="P15" i="6"/>
  <c r="O15" i="6"/>
  <c r="N15" i="6"/>
  <c r="M15" i="6"/>
  <c r="L15" i="6"/>
  <c r="K15" i="6"/>
  <c r="J15" i="6"/>
  <c r="I15" i="6"/>
  <c r="H15" i="6"/>
  <c r="G15" i="6"/>
  <c r="F15" i="6"/>
  <c r="N9" i="6"/>
  <c r="O9" i="6"/>
  <c r="P9" i="6"/>
  <c r="Q9" i="6"/>
  <c r="E36" i="8"/>
  <c r="F9" i="6" s="1"/>
  <c r="F2" i="8"/>
  <c r="G2" i="8"/>
  <c r="H2" i="8"/>
  <c r="I2" i="8"/>
  <c r="J2" i="8"/>
  <c r="K2" i="8"/>
  <c r="L2" i="8"/>
  <c r="M2" i="8"/>
  <c r="N2" i="8"/>
  <c r="O2" i="8"/>
  <c r="P2" i="8"/>
  <c r="E2" i="8"/>
  <c r="F36" i="8"/>
  <c r="G9" i="6" s="1"/>
  <c r="G36" i="8"/>
  <c r="H9" i="6" s="1"/>
  <c r="H36" i="8"/>
  <c r="I9" i="6" s="1"/>
  <c r="I36" i="8"/>
  <c r="J9" i="6" s="1"/>
  <c r="J36" i="8"/>
  <c r="K9" i="6" s="1"/>
  <c r="K36" i="8"/>
  <c r="L9" i="6" s="1"/>
  <c r="L36" i="8"/>
  <c r="M9" i="6" s="1"/>
  <c r="M36" i="8"/>
  <c r="N36" i="8"/>
  <c r="O36" i="8"/>
  <c r="P36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 l="1"/>
  <c r="Q36" i="8"/>
  <c r="J12" i="6" l="1"/>
  <c r="K12" i="6"/>
  <c r="L12" i="6"/>
  <c r="M12" i="6"/>
  <c r="N12" i="6"/>
  <c r="O12" i="6"/>
  <c r="P12" i="6"/>
  <c r="Q12" i="6"/>
  <c r="R45" i="6" l="1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42" i="6"/>
  <c r="R43" i="6"/>
  <c r="R44" i="6"/>
  <c r="R32" i="6"/>
  <c r="R33" i="6"/>
  <c r="R34" i="6"/>
  <c r="R35" i="6"/>
  <c r="R36" i="6"/>
  <c r="R37" i="6"/>
  <c r="R38" i="6"/>
  <c r="R30" i="6"/>
  <c r="R31" i="6"/>
  <c r="R17" i="6"/>
  <c r="R18" i="6"/>
  <c r="R19" i="6"/>
  <c r="R20" i="6"/>
  <c r="R21" i="6"/>
  <c r="R22" i="6"/>
  <c r="R23" i="6"/>
  <c r="R16" i="6"/>
  <c r="R10" i="6"/>
  <c r="R15" i="6"/>
  <c r="R24" i="6"/>
  <c r="R25" i="6"/>
  <c r="R9" i="6"/>
  <c r="G12" i="6" l="1"/>
  <c r="H12" i="6"/>
  <c r="I12" i="6"/>
  <c r="F12" i="6"/>
  <c r="I26" i="6"/>
  <c r="I39" i="6"/>
  <c r="I27" i="6" l="1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 l="1"/>
  <c r="G135" i="6" l="1"/>
  <c r="H135" i="6"/>
  <c r="I135" i="6"/>
  <c r="J135" i="6"/>
  <c r="K135" i="6"/>
  <c r="L135" i="6"/>
  <c r="M135" i="6"/>
  <c r="N135" i="6"/>
  <c r="O135" i="6"/>
  <c r="P135" i="6"/>
  <c r="Q135" i="6"/>
  <c r="G136" i="6"/>
  <c r="H136" i="6"/>
  <c r="I136" i="6"/>
  <c r="J136" i="6"/>
  <c r="K136" i="6"/>
  <c r="L136" i="6"/>
  <c r="M136" i="6"/>
  <c r="N136" i="6"/>
  <c r="O136" i="6"/>
  <c r="P136" i="6"/>
  <c r="Q136" i="6"/>
  <c r="F136" i="6"/>
  <c r="F135" i="6"/>
  <c r="G133" i="6"/>
  <c r="H133" i="6"/>
  <c r="I133" i="6"/>
  <c r="J133" i="6"/>
  <c r="K133" i="6"/>
  <c r="L133" i="6"/>
  <c r="M133" i="6"/>
  <c r="N133" i="6"/>
  <c r="O133" i="6"/>
  <c r="P133" i="6"/>
  <c r="Q133" i="6"/>
  <c r="G134" i="6"/>
  <c r="H134" i="6"/>
  <c r="I134" i="6"/>
  <c r="J134" i="6"/>
  <c r="K134" i="6"/>
  <c r="L134" i="6"/>
  <c r="M134" i="6"/>
  <c r="N134" i="6"/>
  <c r="O134" i="6"/>
  <c r="P134" i="6"/>
  <c r="Q134" i="6"/>
  <c r="F134" i="6"/>
  <c r="F133" i="6"/>
  <c r="G119" i="6"/>
  <c r="H119" i="6"/>
  <c r="I119" i="6"/>
  <c r="J119" i="6"/>
  <c r="K119" i="6"/>
  <c r="L119" i="6"/>
  <c r="M119" i="6"/>
  <c r="N119" i="6"/>
  <c r="O119" i="6"/>
  <c r="P119" i="6"/>
  <c r="Q119" i="6"/>
  <c r="G120" i="6"/>
  <c r="H120" i="6"/>
  <c r="I120" i="6"/>
  <c r="J120" i="6"/>
  <c r="K120" i="6"/>
  <c r="L120" i="6"/>
  <c r="M120" i="6"/>
  <c r="N120" i="6"/>
  <c r="O120" i="6"/>
  <c r="P120" i="6"/>
  <c r="Q120" i="6"/>
  <c r="G121" i="6"/>
  <c r="H121" i="6"/>
  <c r="I121" i="6"/>
  <c r="J121" i="6"/>
  <c r="K121" i="6"/>
  <c r="L121" i="6"/>
  <c r="M121" i="6"/>
  <c r="N121" i="6"/>
  <c r="O121" i="6"/>
  <c r="P121" i="6"/>
  <c r="Q121" i="6"/>
  <c r="G122" i="6"/>
  <c r="H122" i="6"/>
  <c r="I122" i="6"/>
  <c r="J122" i="6"/>
  <c r="K122" i="6"/>
  <c r="L122" i="6"/>
  <c r="M122" i="6"/>
  <c r="N122" i="6"/>
  <c r="O122" i="6"/>
  <c r="P122" i="6"/>
  <c r="Q122" i="6"/>
  <c r="G123" i="6"/>
  <c r="H123" i="6"/>
  <c r="I123" i="6"/>
  <c r="J123" i="6"/>
  <c r="K123" i="6"/>
  <c r="L123" i="6"/>
  <c r="M123" i="6"/>
  <c r="N123" i="6"/>
  <c r="O123" i="6"/>
  <c r="P123" i="6"/>
  <c r="Q123" i="6"/>
  <c r="G124" i="6"/>
  <c r="H124" i="6"/>
  <c r="I124" i="6"/>
  <c r="J124" i="6"/>
  <c r="K124" i="6"/>
  <c r="L124" i="6"/>
  <c r="M124" i="6"/>
  <c r="N124" i="6"/>
  <c r="O124" i="6"/>
  <c r="P124" i="6"/>
  <c r="Q124" i="6"/>
  <c r="G125" i="6"/>
  <c r="H125" i="6"/>
  <c r="I125" i="6"/>
  <c r="J125" i="6"/>
  <c r="K125" i="6"/>
  <c r="L125" i="6"/>
  <c r="M125" i="6"/>
  <c r="N125" i="6"/>
  <c r="O125" i="6"/>
  <c r="P125" i="6"/>
  <c r="Q125" i="6"/>
  <c r="G126" i="6"/>
  <c r="H126" i="6"/>
  <c r="I126" i="6"/>
  <c r="J126" i="6"/>
  <c r="K126" i="6"/>
  <c r="L126" i="6"/>
  <c r="M126" i="6"/>
  <c r="N126" i="6"/>
  <c r="O126" i="6"/>
  <c r="P126" i="6"/>
  <c r="Q126" i="6"/>
  <c r="G127" i="6"/>
  <c r="H127" i="6"/>
  <c r="I127" i="6"/>
  <c r="J127" i="6"/>
  <c r="K127" i="6"/>
  <c r="L127" i="6"/>
  <c r="M127" i="6"/>
  <c r="N127" i="6"/>
  <c r="O127" i="6"/>
  <c r="P127" i="6"/>
  <c r="Q127" i="6"/>
  <c r="G128" i="6"/>
  <c r="H128" i="6"/>
  <c r="I128" i="6"/>
  <c r="J128" i="6"/>
  <c r="K128" i="6"/>
  <c r="L128" i="6"/>
  <c r="M128" i="6"/>
  <c r="N128" i="6"/>
  <c r="O128" i="6"/>
  <c r="P128" i="6"/>
  <c r="Q128" i="6"/>
  <c r="G129" i="6"/>
  <c r="H129" i="6"/>
  <c r="I129" i="6"/>
  <c r="J129" i="6"/>
  <c r="K129" i="6"/>
  <c r="L129" i="6"/>
  <c r="M129" i="6"/>
  <c r="N129" i="6"/>
  <c r="O129" i="6"/>
  <c r="P129" i="6"/>
  <c r="Q129" i="6"/>
  <c r="G130" i="6"/>
  <c r="H130" i="6"/>
  <c r="I130" i="6"/>
  <c r="J130" i="6"/>
  <c r="K130" i="6"/>
  <c r="L130" i="6"/>
  <c r="M130" i="6"/>
  <c r="N130" i="6"/>
  <c r="O130" i="6"/>
  <c r="P130" i="6"/>
  <c r="Q130" i="6"/>
  <c r="G131" i="6"/>
  <c r="H131" i="6"/>
  <c r="I131" i="6"/>
  <c r="J131" i="6"/>
  <c r="K131" i="6"/>
  <c r="L131" i="6"/>
  <c r="M131" i="6"/>
  <c r="N131" i="6"/>
  <c r="O131" i="6"/>
  <c r="P131" i="6"/>
  <c r="Q131" i="6"/>
  <c r="G132" i="6"/>
  <c r="H132" i="6"/>
  <c r="I132" i="6"/>
  <c r="J132" i="6"/>
  <c r="K132" i="6"/>
  <c r="L132" i="6"/>
  <c r="M132" i="6"/>
  <c r="N132" i="6"/>
  <c r="O132" i="6"/>
  <c r="P132" i="6"/>
  <c r="Q132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19" i="6"/>
  <c r="G113" i="6"/>
  <c r="H113" i="6"/>
  <c r="I113" i="6"/>
  <c r="J113" i="6"/>
  <c r="K113" i="6"/>
  <c r="L113" i="6"/>
  <c r="M113" i="6"/>
  <c r="N113" i="6"/>
  <c r="O113" i="6"/>
  <c r="P113" i="6"/>
  <c r="Q113" i="6"/>
  <c r="G114" i="6"/>
  <c r="H114" i="6"/>
  <c r="I114" i="6"/>
  <c r="J114" i="6"/>
  <c r="K114" i="6"/>
  <c r="L114" i="6"/>
  <c r="M114" i="6"/>
  <c r="N114" i="6"/>
  <c r="O114" i="6"/>
  <c r="P114" i="6"/>
  <c r="Q114" i="6"/>
  <c r="G115" i="6"/>
  <c r="H115" i="6"/>
  <c r="I115" i="6"/>
  <c r="J115" i="6"/>
  <c r="K115" i="6"/>
  <c r="L115" i="6"/>
  <c r="M115" i="6"/>
  <c r="N115" i="6"/>
  <c r="O115" i="6"/>
  <c r="P115" i="6"/>
  <c r="Q115" i="6"/>
  <c r="G116" i="6"/>
  <c r="H116" i="6"/>
  <c r="I116" i="6"/>
  <c r="J116" i="6"/>
  <c r="K116" i="6"/>
  <c r="L116" i="6"/>
  <c r="M116" i="6"/>
  <c r="N116" i="6"/>
  <c r="O116" i="6"/>
  <c r="P116" i="6"/>
  <c r="Q116" i="6"/>
  <c r="G117" i="6"/>
  <c r="H117" i="6"/>
  <c r="I117" i="6"/>
  <c r="J117" i="6"/>
  <c r="K117" i="6"/>
  <c r="L117" i="6"/>
  <c r="M117" i="6"/>
  <c r="N117" i="6"/>
  <c r="O117" i="6"/>
  <c r="P117" i="6"/>
  <c r="Q117" i="6"/>
  <c r="F114" i="6"/>
  <c r="F115" i="6"/>
  <c r="F116" i="6"/>
  <c r="F117" i="6"/>
  <c r="F113" i="6"/>
  <c r="G104" i="6"/>
  <c r="H104" i="6"/>
  <c r="I104" i="6"/>
  <c r="J104" i="6"/>
  <c r="K104" i="6"/>
  <c r="L104" i="6"/>
  <c r="M104" i="6"/>
  <c r="N104" i="6"/>
  <c r="O104" i="6"/>
  <c r="P104" i="6"/>
  <c r="Q104" i="6"/>
  <c r="G105" i="6"/>
  <c r="H105" i="6"/>
  <c r="I105" i="6"/>
  <c r="J105" i="6"/>
  <c r="K105" i="6"/>
  <c r="L105" i="6"/>
  <c r="M105" i="6"/>
  <c r="N105" i="6"/>
  <c r="O105" i="6"/>
  <c r="P105" i="6"/>
  <c r="Q105" i="6"/>
  <c r="G106" i="6"/>
  <c r="H106" i="6"/>
  <c r="I106" i="6"/>
  <c r="J106" i="6"/>
  <c r="K106" i="6"/>
  <c r="L106" i="6"/>
  <c r="M106" i="6"/>
  <c r="N106" i="6"/>
  <c r="O106" i="6"/>
  <c r="P106" i="6"/>
  <c r="Q106" i="6"/>
  <c r="G107" i="6"/>
  <c r="H107" i="6"/>
  <c r="I107" i="6"/>
  <c r="J107" i="6"/>
  <c r="K107" i="6"/>
  <c r="L107" i="6"/>
  <c r="M107" i="6"/>
  <c r="N107" i="6"/>
  <c r="O107" i="6"/>
  <c r="P107" i="6"/>
  <c r="Q107" i="6"/>
  <c r="G108" i="6"/>
  <c r="H108" i="6"/>
  <c r="I108" i="6"/>
  <c r="J108" i="6"/>
  <c r="K108" i="6"/>
  <c r="L108" i="6"/>
  <c r="M108" i="6"/>
  <c r="N108" i="6"/>
  <c r="O108" i="6"/>
  <c r="P108" i="6"/>
  <c r="Q108" i="6"/>
  <c r="G109" i="6"/>
  <c r="H109" i="6"/>
  <c r="I109" i="6"/>
  <c r="J109" i="6"/>
  <c r="K109" i="6"/>
  <c r="L109" i="6"/>
  <c r="M109" i="6"/>
  <c r="N109" i="6"/>
  <c r="O109" i="6"/>
  <c r="P109" i="6"/>
  <c r="Q109" i="6"/>
  <c r="G110" i="6"/>
  <c r="H110" i="6"/>
  <c r="I110" i="6"/>
  <c r="J110" i="6"/>
  <c r="K110" i="6"/>
  <c r="L110" i="6"/>
  <c r="M110" i="6"/>
  <c r="N110" i="6"/>
  <c r="O110" i="6"/>
  <c r="P110" i="6"/>
  <c r="Q110" i="6"/>
  <c r="G111" i="6"/>
  <c r="H111" i="6"/>
  <c r="I111" i="6"/>
  <c r="J111" i="6"/>
  <c r="K111" i="6"/>
  <c r="L111" i="6"/>
  <c r="M111" i="6"/>
  <c r="N111" i="6"/>
  <c r="O111" i="6"/>
  <c r="P111" i="6"/>
  <c r="Q111" i="6"/>
  <c r="G112" i="6"/>
  <c r="H112" i="6"/>
  <c r="I112" i="6"/>
  <c r="J112" i="6"/>
  <c r="K112" i="6"/>
  <c r="L112" i="6"/>
  <c r="M112" i="6"/>
  <c r="N112" i="6"/>
  <c r="O112" i="6"/>
  <c r="P112" i="6"/>
  <c r="Q112" i="6"/>
  <c r="F105" i="6"/>
  <c r="F106" i="6"/>
  <c r="F107" i="6"/>
  <c r="F108" i="6"/>
  <c r="F109" i="6"/>
  <c r="F110" i="6"/>
  <c r="F111" i="6"/>
  <c r="F112" i="6"/>
  <c r="F104" i="6"/>
  <c r="G93" i="6"/>
  <c r="H93" i="6"/>
  <c r="I93" i="6"/>
  <c r="J93" i="6"/>
  <c r="K93" i="6"/>
  <c r="L93" i="6"/>
  <c r="M93" i="6"/>
  <c r="N93" i="6"/>
  <c r="O93" i="6"/>
  <c r="P93" i="6"/>
  <c r="Q93" i="6"/>
  <c r="G94" i="6"/>
  <c r="H94" i="6"/>
  <c r="I94" i="6"/>
  <c r="J94" i="6"/>
  <c r="K94" i="6"/>
  <c r="L94" i="6"/>
  <c r="M94" i="6"/>
  <c r="N94" i="6"/>
  <c r="O94" i="6"/>
  <c r="P94" i="6"/>
  <c r="Q94" i="6"/>
  <c r="G95" i="6"/>
  <c r="H95" i="6"/>
  <c r="I95" i="6"/>
  <c r="J95" i="6"/>
  <c r="K95" i="6"/>
  <c r="L95" i="6"/>
  <c r="M95" i="6"/>
  <c r="N95" i="6"/>
  <c r="O95" i="6"/>
  <c r="P95" i="6"/>
  <c r="Q95" i="6"/>
  <c r="G96" i="6"/>
  <c r="H96" i="6"/>
  <c r="I96" i="6"/>
  <c r="J96" i="6"/>
  <c r="K96" i="6"/>
  <c r="L96" i="6"/>
  <c r="M96" i="6"/>
  <c r="N96" i="6"/>
  <c r="O96" i="6"/>
  <c r="P96" i="6"/>
  <c r="Q96" i="6"/>
  <c r="G97" i="6"/>
  <c r="H97" i="6"/>
  <c r="I97" i="6"/>
  <c r="J97" i="6"/>
  <c r="K97" i="6"/>
  <c r="L97" i="6"/>
  <c r="M97" i="6"/>
  <c r="N97" i="6"/>
  <c r="O97" i="6"/>
  <c r="P97" i="6"/>
  <c r="Q97" i="6"/>
  <c r="G98" i="6"/>
  <c r="H98" i="6"/>
  <c r="I98" i="6"/>
  <c r="J98" i="6"/>
  <c r="K98" i="6"/>
  <c r="L98" i="6"/>
  <c r="M98" i="6"/>
  <c r="N98" i="6"/>
  <c r="O98" i="6"/>
  <c r="P98" i="6"/>
  <c r="Q98" i="6"/>
  <c r="G99" i="6"/>
  <c r="H99" i="6"/>
  <c r="I99" i="6"/>
  <c r="J99" i="6"/>
  <c r="K99" i="6"/>
  <c r="L99" i="6"/>
  <c r="M99" i="6"/>
  <c r="N99" i="6"/>
  <c r="O99" i="6"/>
  <c r="P99" i="6"/>
  <c r="Q99" i="6"/>
  <c r="G100" i="6"/>
  <c r="H100" i="6"/>
  <c r="I100" i="6"/>
  <c r="J100" i="6"/>
  <c r="K100" i="6"/>
  <c r="L100" i="6"/>
  <c r="M100" i="6"/>
  <c r="N100" i="6"/>
  <c r="O100" i="6"/>
  <c r="P100" i="6"/>
  <c r="Q100" i="6"/>
  <c r="G101" i="6"/>
  <c r="H101" i="6"/>
  <c r="I101" i="6"/>
  <c r="J101" i="6"/>
  <c r="K101" i="6"/>
  <c r="L101" i="6"/>
  <c r="M101" i="6"/>
  <c r="N101" i="6"/>
  <c r="O101" i="6"/>
  <c r="P101" i="6"/>
  <c r="Q101" i="6"/>
  <c r="G102" i="6"/>
  <c r="H102" i="6"/>
  <c r="I102" i="6"/>
  <c r="J102" i="6"/>
  <c r="K102" i="6"/>
  <c r="L102" i="6"/>
  <c r="M102" i="6"/>
  <c r="N102" i="6"/>
  <c r="O102" i="6"/>
  <c r="P102" i="6"/>
  <c r="Q102" i="6"/>
  <c r="G103" i="6"/>
  <c r="H103" i="6"/>
  <c r="I103" i="6"/>
  <c r="J103" i="6"/>
  <c r="K103" i="6"/>
  <c r="L103" i="6"/>
  <c r="M103" i="6"/>
  <c r="N103" i="6"/>
  <c r="O103" i="6"/>
  <c r="P103" i="6"/>
  <c r="Q103" i="6"/>
  <c r="F94" i="6"/>
  <c r="F95" i="6"/>
  <c r="F96" i="6"/>
  <c r="F97" i="6"/>
  <c r="F98" i="6"/>
  <c r="F99" i="6"/>
  <c r="F100" i="6"/>
  <c r="F101" i="6"/>
  <c r="F102" i="6"/>
  <c r="F103" i="6"/>
  <c r="F93" i="6"/>
  <c r="G90" i="6"/>
  <c r="H90" i="6"/>
  <c r="I90" i="6"/>
  <c r="J90" i="6"/>
  <c r="K90" i="6"/>
  <c r="L90" i="6"/>
  <c r="M90" i="6"/>
  <c r="N90" i="6"/>
  <c r="O90" i="6"/>
  <c r="P90" i="6"/>
  <c r="Q90" i="6"/>
  <c r="G91" i="6"/>
  <c r="H91" i="6"/>
  <c r="I91" i="6"/>
  <c r="J91" i="6"/>
  <c r="K91" i="6"/>
  <c r="L91" i="6"/>
  <c r="M91" i="6"/>
  <c r="N91" i="6"/>
  <c r="O91" i="6"/>
  <c r="P91" i="6"/>
  <c r="Q91" i="6"/>
  <c r="G92" i="6"/>
  <c r="H92" i="6"/>
  <c r="I92" i="6"/>
  <c r="J92" i="6"/>
  <c r="K92" i="6"/>
  <c r="L92" i="6"/>
  <c r="M92" i="6"/>
  <c r="N92" i="6"/>
  <c r="O92" i="6"/>
  <c r="P92" i="6"/>
  <c r="Q92" i="6"/>
  <c r="F91" i="6"/>
  <c r="F92" i="6"/>
  <c r="F90" i="6"/>
  <c r="R76" i="6"/>
  <c r="R75" i="6"/>
  <c r="Q72" i="6"/>
  <c r="P72" i="6"/>
  <c r="O72" i="6"/>
  <c r="M72" i="6"/>
  <c r="L72" i="6"/>
  <c r="K72" i="6"/>
  <c r="J72" i="6"/>
  <c r="I72" i="6"/>
  <c r="H72" i="6"/>
  <c r="R71" i="6"/>
  <c r="R70" i="6"/>
  <c r="Q65" i="6"/>
  <c r="P65" i="6"/>
  <c r="O65" i="6"/>
  <c r="N65" i="6"/>
  <c r="M65" i="6"/>
  <c r="L65" i="6"/>
  <c r="K65" i="6"/>
  <c r="J65" i="6"/>
  <c r="I65" i="6"/>
  <c r="H65" i="6"/>
  <c r="G65" i="6"/>
  <c r="F65" i="6"/>
  <c r="Q39" i="6"/>
  <c r="P39" i="6"/>
  <c r="O39" i="6"/>
  <c r="N39" i="6"/>
  <c r="M39" i="6"/>
  <c r="L39" i="6"/>
  <c r="K39" i="6"/>
  <c r="J39" i="6"/>
  <c r="H39" i="6"/>
  <c r="G39" i="6"/>
  <c r="F39" i="6"/>
  <c r="Q26" i="6"/>
  <c r="P26" i="6"/>
  <c r="O26" i="6"/>
  <c r="N26" i="6"/>
  <c r="M26" i="6"/>
  <c r="L26" i="6"/>
  <c r="K26" i="6"/>
  <c r="J26" i="6"/>
  <c r="H26" i="6"/>
  <c r="G26" i="6"/>
  <c r="F26" i="6"/>
  <c r="R12" i="6" l="1"/>
  <c r="R133" i="6"/>
  <c r="R135" i="6"/>
  <c r="L66" i="6"/>
  <c r="P66" i="6"/>
  <c r="G66" i="6"/>
  <c r="H27" i="6"/>
  <c r="L27" i="6"/>
  <c r="P27" i="6"/>
  <c r="G27" i="6"/>
  <c r="R113" i="6"/>
  <c r="R119" i="6"/>
  <c r="R129" i="6"/>
  <c r="R125" i="6"/>
  <c r="R121" i="6"/>
  <c r="R104" i="6"/>
  <c r="R109" i="6"/>
  <c r="R105" i="6"/>
  <c r="K27" i="6"/>
  <c r="O27" i="6"/>
  <c r="R93" i="6"/>
  <c r="R100" i="6"/>
  <c r="R96" i="6"/>
  <c r="R90" i="6"/>
  <c r="O66" i="6"/>
  <c r="R26" i="6"/>
  <c r="R92" i="6"/>
  <c r="R103" i="6"/>
  <c r="R99" i="6"/>
  <c r="R95" i="6"/>
  <c r="R112" i="6"/>
  <c r="R108" i="6"/>
  <c r="R132" i="6"/>
  <c r="R128" i="6"/>
  <c r="R124" i="6"/>
  <c r="R120" i="6"/>
  <c r="R134" i="6"/>
  <c r="R136" i="6"/>
  <c r="F27" i="6"/>
  <c r="J27" i="6"/>
  <c r="N27" i="6"/>
  <c r="N66" i="6"/>
  <c r="R101" i="6"/>
  <c r="R97" i="6"/>
  <c r="R110" i="6"/>
  <c r="R106" i="6"/>
  <c r="R130" i="6"/>
  <c r="R126" i="6"/>
  <c r="R122" i="6"/>
  <c r="M27" i="6"/>
  <c r="Q27" i="6"/>
  <c r="R39" i="6"/>
  <c r="R72" i="6"/>
  <c r="R91" i="6"/>
  <c r="R102" i="6"/>
  <c r="R98" i="6"/>
  <c r="R94" i="6"/>
  <c r="R111" i="6"/>
  <c r="R107" i="6"/>
  <c r="R131" i="6"/>
  <c r="R127" i="6"/>
  <c r="R123" i="6"/>
  <c r="M66" i="6"/>
  <c r="Q66" i="6"/>
  <c r="N137" i="6"/>
  <c r="K66" i="6"/>
  <c r="J137" i="6"/>
  <c r="J66" i="6"/>
  <c r="I66" i="6"/>
  <c r="H66" i="6"/>
  <c r="R117" i="6"/>
  <c r="F66" i="6"/>
  <c r="K137" i="6"/>
  <c r="R114" i="6"/>
  <c r="F137" i="6"/>
  <c r="O137" i="6"/>
  <c r="R115" i="6"/>
  <c r="P137" i="6"/>
  <c r="L137" i="6"/>
  <c r="H137" i="6"/>
  <c r="G137" i="6"/>
  <c r="R116" i="6"/>
  <c r="Q137" i="6"/>
  <c r="M137" i="6"/>
  <c r="I137" i="6"/>
  <c r="R65" i="6"/>
  <c r="R77" i="6"/>
  <c r="F67" i="6" l="1"/>
  <c r="F79" i="6" s="1"/>
  <c r="I67" i="6"/>
  <c r="I79" i="6" s="1"/>
  <c r="L67" i="6"/>
  <c r="L79" i="6" s="1"/>
  <c r="R27" i="6"/>
  <c r="G67" i="6"/>
  <c r="G79" i="6" s="1"/>
  <c r="P67" i="6"/>
  <c r="P79" i="6" s="1"/>
  <c r="H67" i="6"/>
  <c r="H79" i="6" s="1"/>
  <c r="K67" i="6"/>
  <c r="K79" i="6" s="1"/>
  <c r="J67" i="6"/>
  <c r="J79" i="6" s="1"/>
  <c r="N67" i="6"/>
  <c r="N79" i="6" s="1"/>
  <c r="Q67" i="6"/>
  <c r="Q79" i="6" s="1"/>
  <c r="O67" i="6"/>
  <c r="O79" i="6" s="1"/>
  <c r="M67" i="6"/>
  <c r="M79" i="6" s="1"/>
  <c r="R66" i="6"/>
  <c r="R137" i="6"/>
  <c r="R67" i="6" l="1"/>
  <c r="R79" i="6" s="1"/>
</calcChain>
</file>

<file path=xl/sharedStrings.xml><?xml version="1.0" encoding="utf-8"?>
<sst xmlns="http://schemas.openxmlformats.org/spreadsheetml/2006/main" count="285" uniqueCount="206">
  <si>
    <t xml:space="preserve"> </t>
  </si>
  <si>
    <t>Revenues:</t>
  </si>
  <si>
    <t>Rental Income</t>
  </si>
  <si>
    <t>Equipment Rentals &amp; Other</t>
  </si>
  <si>
    <t>Interest Income</t>
  </si>
  <si>
    <t>TOTAL RENTAL &amp; OTHER</t>
  </si>
  <si>
    <t>Reimbursements:</t>
  </si>
  <si>
    <t>CIP Memberships</t>
  </si>
  <si>
    <t>Postage</t>
  </si>
  <si>
    <t>Fax</t>
  </si>
  <si>
    <t>TOTAL REIMBURSEMENTS</t>
  </si>
  <si>
    <t>TOTAL REVENUES</t>
  </si>
  <si>
    <t>Operation Expenses:</t>
  </si>
  <si>
    <t>Office Supplies</t>
  </si>
  <si>
    <t>Copier-B&amp;W</t>
  </si>
  <si>
    <t>Copier-Color</t>
  </si>
  <si>
    <t xml:space="preserve">Start-up </t>
  </si>
  <si>
    <t>(Lou Werner, Spencer Industries, T&amp;M Painting)</t>
  </si>
  <si>
    <t>TOTAL SECRETARIAL SERVICES</t>
  </si>
  <si>
    <t>Non-Reimbursable Expenses:</t>
  </si>
  <si>
    <t>Bad Debt</t>
  </si>
  <si>
    <t>Insurance</t>
  </si>
  <si>
    <t>191-0000</t>
  </si>
  <si>
    <t>General &amp; Administrative</t>
  </si>
  <si>
    <t>Bank Fees</t>
  </si>
  <si>
    <t>Business Taxes</t>
  </si>
  <si>
    <t>Legal &amp; Accounting</t>
  </si>
  <si>
    <t>Outside Consultants</t>
  </si>
  <si>
    <t>Business Meals &amp; Entertainment</t>
  </si>
  <si>
    <t>Travel</t>
  </si>
  <si>
    <t>Memberships</t>
  </si>
  <si>
    <t>Telephone Expense</t>
  </si>
  <si>
    <t>Contributions</t>
  </si>
  <si>
    <t>Other G &amp; A Expense</t>
  </si>
  <si>
    <t>TOTAL NON-REIMBURSABLE EXPENSES</t>
  </si>
  <si>
    <t>TOTAL OPERATING EXPENSES</t>
  </si>
  <si>
    <t>NET OPERATING INCOME</t>
  </si>
  <si>
    <t xml:space="preserve">Capital Expenditures:  </t>
  </si>
  <si>
    <t>NET OPERATING CASH FLOW</t>
  </si>
  <si>
    <t>Computer/IT Expense</t>
  </si>
  <si>
    <t>Other G &amp; A Expense-LIK allocated</t>
  </si>
  <si>
    <t>Debt Service - interest</t>
  </si>
  <si>
    <t>Interest</t>
  </si>
  <si>
    <t>921-8501</t>
  </si>
  <si>
    <t>Leasing Costs</t>
  </si>
  <si>
    <t>TOTAL DEBT SERVICE</t>
  </si>
  <si>
    <t>TOTAL CAPITAL EXPENDITURES</t>
  </si>
  <si>
    <t>274-8501</t>
  </si>
  <si>
    <t>8210-8501</t>
  </si>
  <si>
    <t>8190-8501</t>
  </si>
  <si>
    <t>8310-8501</t>
  </si>
  <si>
    <t>8320-8501</t>
  </si>
  <si>
    <t>8400-8501</t>
  </si>
  <si>
    <t>8890-8501</t>
  </si>
  <si>
    <t>8910-8501</t>
  </si>
  <si>
    <t>8920-8501</t>
  </si>
  <si>
    <t>8930-8501</t>
  </si>
  <si>
    <t>8940-8501</t>
  </si>
  <si>
    <t>8950-8501</t>
  </si>
  <si>
    <t>8960-8501</t>
  </si>
  <si>
    <t>8990-8501</t>
  </si>
  <si>
    <t>8990-9800</t>
  </si>
  <si>
    <t>Postage (Pitney Bowes machine and Fex Ex)</t>
  </si>
  <si>
    <t xml:space="preserve"> (Lower Bucks Plantscaping)</t>
  </si>
  <si>
    <t>Account</t>
  </si>
  <si>
    <t>4230-8501</t>
  </si>
  <si>
    <t>4990-8501</t>
  </si>
  <si>
    <t>9190-8501</t>
  </si>
  <si>
    <t>4810-8502</t>
  </si>
  <si>
    <t>4820-8502</t>
  </si>
  <si>
    <t>4830-8502</t>
  </si>
  <si>
    <t>4840-8502</t>
  </si>
  <si>
    <t>4850-8502</t>
  </si>
  <si>
    <t>4860-8502</t>
  </si>
  <si>
    <t>4890-8502</t>
  </si>
  <si>
    <t>4870-8502</t>
  </si>
  <si>
    <t>4880-8502</t>
  </si>
  <si>
    <t>4900-8502</t>
  </si>
  <si>
    <t>4950-8502</t>
  </si>
  <si>
    <t>6030-8502</t>
  </si>
  <si>
    <t>6950-8502</t>
  </si>
  <si>
    <t>6960-8502</t>
  </si>
  <si>
    <t>6970-8502</t>
  </si>
  <si>
    <t>6670-8502</t>
  </si>
  <si>
    <t>6650-8502</t>
  </si>
  <si>
    <t>6660-8502</t>
  </si>
  <si>
    <t>6680-8502</t>
  </si>
  <si>
    <t>6220-8502</t>
  </si>
  <si>
    <t>6010-8501</t>
  </si>
  <si>
    <t>6220-8501</t>
  </si>
  <si>
    <t>6510-8501</t>
  </si>
  <si>
    <t>8110-8501</t>
  </si>
  <si>
    <t>1440-0000</t>
  </si>
  <si>
    <t>1940-8501</t>
  </si>
  <si>
    <t>9210-8501</t>
  </si>
  <si>
    <t>2740-8501</t>
  </si>
  <si>
    <t>Total</t>
  </si>
  <si>
    <t>7420-8501</t>
  </si>
  <si>
    <t>7110-8501</t>
  </si>
  <si>
    <t>Marketing</t>
  </si>
  <si>
    <t>Marketing-Advertising</t>
  </si>
  <si>
    <t>Salaries- Supervisor</t>
  </si>
  <si>
    <t>Mortgage Amortization/Depreciation</t>
  </si>
  <si>
    <t>Building Maintenance</t>
  </si>
  <si>
    <t>8330-8501</t>
  </si>
  <si>
    <t>Employee Training/Educ.</t>
  </si>
  <si>
    <t>Office/Coffee Supplies</t>
  </si>
  <si>
    <t>Postage (1PO-2PO) (1PP-2PP)</t>
  </si>
  <si>
    <t>Clerical (Notary-KCP) (1CE-2NO)</t>
  </si>
  <si>
    <t>Copier - B&amp;W (1CI)</t>
  </si>
  <si>
    <t>Copier - Color (1CO)</t>
  </si>
  <si>
    <t>Telephone (1CL-1VM-1CK)</t>
  </si>
  <si>
    <t>Fax (1FX)</t>
  </si>
  <si>
    <t>Start-up (2UP)</t>
  </si>
  <si>
    <t>Supplies (6960-8502)</t>
  </si>
  <si>
    <t>Internet (2IP)</t>
  </si>
  <si>
    <t>Salaries- Secretarial Staff</t>
  </si>
  <si>
    <t>Internet (Verizon/Comcast)</t>
  </si>
  <si>
    <t>(Keys, Signage, Painting)</t>
  </si>
  <si>
    <t>Telephone (TDS)</t>
  </si>
  <si>
    <t>Capital Expenditures - Carpet</t>
  </si>
  <si>
    <t>May</t>
  </si>
  <si>
    <t>Office Rent &amp; electric $17.50 psf (10,048 sf))</t>
  </si>
  <si>
    <t>File cabinet rental for one tenant</t>
  </si>
  <si>
    <t>$25-35/hr or $200 for full day</t>
  </si>
  <si>
    <t>Mailbox "virtual office" rentals. Approx $75/mailbox</t>
  </si>
  <si>
    <t>Paper, name on directory, "service supply"</t>
  </si>
  <si>
    <t>Cost of postage + 20% markup</t>
  </si>
  <si>
    <t>KCP phone</t>
  </si>
  <si>
    <t>$0.13 per page</t>
  </si>
  <si>
    <t>$.49 per page</t>
  </si>
  <si>
    <t>$.04 per page</t>
  </si>
  <si>
    <t>$.22 per page</t>
  </si>
  <si>
    <t>Flat fee for paint in office, locks changed, mailbox key</t>
  </si>
  <si>
    <t>Some tenants have phone baked into base rent</t>
  </si>
  <si>
    <t>Some tenants have internet baked into base rent</t>
  </si>
  <si>
    <t xml:space="preserve"> Postage meter with quarterly refills</t>
  </si>
  <si>
    <t xml:space="preserve">non-reimbursible </t>
  </si>
  <si>
    <t>Actual cost from TDS</t>
  </si>
  <si>
    <t>The Office Works</t>
  </si>
  <si>
    <t>Operating Budget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</si>
  <si>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</si>
  <si>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</si>
  <si>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</si>
  <si>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</si>
  <si>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</si>
  <si>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</si>
  <si>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</si>
  <si>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</si>
  <si>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</si>
  <si>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</si>
  <si>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</si>
  <si>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4900</t>
  </si>
  <si>
    <t>Notes</t>
  </si>
  <si>
    <t xml:space="preserve">BUDGET IMPORT </t>
  </si>
  <si>
    <t>SUB-TOTAL</t>
  </si>
  <si>
    <t>CIP</t>
  </si>
  <si>
    <t>VB Krushner</t>
  </si>
  <si>
    <t>Edward Sutton</t>
  </si>
  <si>
    <t>Brilliant &amp; Neiman</t>
  </si>
  <si>
    <t>Ave Craig Law</t>
  </si>
  <si>
    <t>Clinton Rubin</t>
  </si>
  <si>
    <t>Avmar Crusies</t>
  </si>
  <si>
    <t>Prolific Homecare</t>
  </si>
  <si>
    <t>Health Research</t>
  </si>
  <si>
    <t>IR Imports</t>
  </si>
  <si>
    <t>Advenser</t>
  </si>
  <si>
    <t>Property Adjusters</t>
  </si>
  <si>
    <t>Kronos</t>
  </si>
  <si>
    <t>Human Capital</t>
  </si>
  <si>
    <t>Ellen Fanning</t>
  </si>
  <si>
    <t>Robert Savoy</t>
  </si>
  <si>
    <t>Hygene Connect</t>
  </si>
  <si>
    <t>Sadek Law</t>
  </si>
  <si>
    <t>Atlantic Heating &amp; Air</t>
  </si>
  <si>
    <t>Vacant/Lyneer</t>
  </si>
  <si>
    <t>New Point RE</t>
  </si>
  <si>
    <t>Vlad Tinovsky</t>
  </si>
  <si>
    <t>M-M</t>
  </si>
  <si>
    <t>R&amp;N Exteriors</t>
  </si>
  <si>
    <t>Citiwdie Adjusters</t>
  </si>
  <si>
    <t>Pro Software</t>
  </si>
  <si>
    <t>Well Advised Wealth</t>
  </si>
  <si>
    <t>Benoff</t>
  </si>
  <si>
    <t>Jacobs Engineering</t>
  </si>
  <si>
    <t>Vacant</t>
  </si>
  <si>
    <t>Creative Financial</t>
  </si>
  <si>
    <t>Evercleaning</t>
  </si>
  <si>
    <t>Timothy Geisheimer</t>
  </si>
  <si>
    <t>Gary Goodman</t>
  </si>
  <si>
    <t>Robert Scotese</t>
  </si>
  <si>
    <t>DP Associates</t>
  </si>
  <si>
    <t>John Sisk &amp; Son</t>
  </si>
  <si>
    <t>Simplend Mortgage</t>
  </si>
  <si>
    <t>Donald Williford</t>
  </si>
  <si>
    <t>Zhilo Law</t>
  </si>
  <si>
    <t>Martin &amp; Martin</t>
  </si>
  <si>
    <t>Moore Insurance</t>
  </si>
  <si>
    <t>Leverage</t>
  </si>
  <si>
    <t>PA Ware/Projection</t>
  </si>
  <si>
    <t>Elizabeth Briola</t>
  </si>
  <si>
    <t>Courtesy</t>
  </si>
  <si>
    <t>Expiration</t>
  </si>
  <si>
    <t>OFC.#</t>
  </si>
  <si>
    <t>NAME</t>
  </si>
  <si>
    <t>Conference Room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</si>
</sst>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</numFmts>
  <fonts count="18" x14ac:knownFonts="1">
    <font>
      <sz val="10"/>
      <name val="Arial"/>
      <family val="2"/>
    </font>
    <font>
      <sz val="12"/>
      <color theme="1"/>
      <name val="Century Gothic"/>
      <family val="2"/>
    </font>
    <font>
      <sz val="10"/>
      <name val="Arial"/>
      <family val="2"/>
    </font>
    <font>
      <sz val="12"/>
      <name val="Arial Narrow"/>
      <family val="2"/>
    </font>
    <font>
      <sz val="12"/>
      <color rgb="FFFF0000"/>
      <name val="Century Gothic"/>
      <family val="2"/>
    </font>
    <font>
      <b/>
      <sz val="12"/>
      <name val="Century Gothic"/>
      <family val="2"/>
    </font>
    <font>
      <b/>
      <sz val="24"/>
      <name val="Century Gothic"/>
      <family val="2"/>
    </font>
    <font>
      <sz val="16"/>
      <name val="Century Gothic"/>
      <family val="2"/>
    </font>
    <font>
      <b/>
      <sz val="12"/>
      <color rgb="FFFF0000"/>
      <name val="Century Gothic"/>
      <family val="2"/>
    </font>
    <font>
      <sz val="12"/>
      <name val="Century Gothic"/>
      <family val="2"/>
    </font>
    <font>
      <b/>
      <sz val="16"/>
      <name val="Century Gothic"/>
      <family val="2"/>
    </font>
    <font>
      <sz val="10"/>
      <name val="Century Gothic"/>
      <family val="2"/>
    </font>
    <font>
      <b/>
      <i/>
      <sz val="11"/>
      <name val="Century Gothic"/>
      <family val="2"/>
    </font>
    <font>
      <i/>
      <sz val="11"/>
      <name val="Century Gothic"/>
      <family val="2"/>
    </font>
    <font>
      <i/>
      <u/>
      <sz val="11"/>
      <name val="Century Gothic"/>
      <family val="2"/>
    </font>
    <font>
      <sz val="12"/>
      <color indexed="22"/>
      <name val="Century Gothic"/>
      <family val="2"/>
    </font>
    <font>
      <b/>
      <u/>
      <sz val="12"/>
      <name val="Century Gothic"/>
      <family val="2"/>
    </font>
    <font>
      <sz val="12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41" fontId="0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</cellStyleXfs>
  <cellXfs count="84">
    <xf numFmtId="41" fontId="0" fillId="0" borderId="0" xfId="0"/>
    <xf numFmtId="41" fontId="5" fillId="2" borderId="0" xfId="0" applyFont="1" applyFill="1"/>
    <xf numFmtId="41" fontId="6" fillId="2" borderId="0" xfId="0" applyFont="1" applyFill="1" applyAlignment="1">
      <alignment horizontal="centerContinuous"/>
    </xf>
    <xf numFmtId="41" fontId="5" fillId="2" borderId="0" xfId="0" applyFont="1" applyFill="1" applyAlignment="1">
      <alignment horizontal="centerContinuous"/>
    </xf>
    <xf numFmtId="165" fontId="7" fillId="2" borderId="0" xfId="0" applyNumberFormat="1" applyFont="1" applyFill="1" applyAlignment="1">
      <alignment horizontal="right" vertical="center"/>
    </xf>
    <xf numFmtId="43" fontId="8" fillId="2" borderId="0" xfId="1" applyFont="1" applyFill="1" applyBorder="1"/>
    <xf numFmtId="41" fontId="9" fillId="2" borderId="0" xfId="0" applyFont="1" applyFill="1" applyAlignment="1">
      <alignment horizontal="centerContinuous"/>
    </xf>
    <xf numFmtId="0" fontId="9" fillId="2" borderId="0" xfId="2" applyFont="1" applyFill="1"/>
    <xf numFmtId="0" fontId="5" fillId="2" borderId="0" xfId="2" applyFont="1" applyFill="1"/>
    <xf numFmtId="49" fontId="5" fillId="2" borderId="0" xfId="2" applyNumberFormat="1" applyFont="1" applyFill="1" applyAlignment="1">
      <alignment horizontal="center" vertical="center" wrapText="1"/>
    </xf>
    <xf numFmtId="3" fontId="5" fillId="2" borderId="0" xfId="2" applyNumberFormat="1" applyFont="1" applyFill="1"/>
    <xf numFmtId="3" fontId="9" fillId="2" borderId="0" xfId="2" applyNumberFormat="1" applyFont="1" applyFill="1"/>
    <xf numFmtId="0" fontId="9" fillId="3" borderId="0" xfId="2" applyFont="1" applyFill="1"/>
    <xf numFmtId="164" fontId="5" fillId="2" borderId="0" xfId="1" applyNumberFormat="1" applyFont="1" applyFill="1" applyBorder="1"/>
    <xf numFmtId="2" fontId="5" fillId="2" borderId="0" xfId="0" applyNumberFormat="1" applyFont="1" applyFill="1" applyAlignment="1">
      <alignment horizontal="center"/>
    </xf>
    <xf numFmtId="3" fontId="5" fillId="2" borderId="0" xfId="2" applyNumberFormat="1" applyFont="1" applyFill="1" applyAlignment="1">
      <alignment horizontal="center"/>
    </xf>
    <xf numFmtId="3" fontId="5" fillId="2" borderId="0" xfId="2" applyNumberFormat="1" applyFont="1" applyFill="1" applyAlignment="1">
      <alignment horizontal="right"/>
    </xf>
    <xf numFmtId="0" fontId="11" fillId="2" borderId="0" xfId="0" applyNumberFormat="1" applyFont="1" applyFill="1" applyProtection="1">
      <protection locked="0"/>
    </xf>
    <xf numFmtId="41" fontId="9" fillId="2" borderId="0" xfId="2" applyNumberFormat="1" applyFont="1" applyFill="1"/>
    <xf numFmtId="0" fontId="5" fillId="4" borderId="0" xfId="2" applyFont="1" applyFill="1" applyAlignment="1">
      <alignment horizontal="center" wrapText="1"/>
    </xf>
    <xf numFmtId="3" fontId="5" fillId="4" borderId="0" xfId="2" applyNumberFormat="1" applyFont="1" applyFill="1"/>
    <xf numFmtId="164" fontId="5" fillId="4" borderId="0" xfId="1" applyNumberFormat="1" applyFont="1" applyFill="1" applyBorder="1"/>
    <xf numFmtId="3" fontId="9" fillId="4" borderId="0" xfId="2" applyNumberFormat="1" applyFont="1" applyFill="1"/>
    <xf numFmtId="0" fontId="9" fillId="4" borderId="0" xfId="2" applyFont="1" applyFill="1"/>
    <xf numFmtId="3" fontId="5" fillId="4" borderId="0" xfId="2" applyNumberFormat="1" applyFont="1" applyFill="1" applyAlignment="1">
      <alignment horizontal="right"/>
    </xf>
    <xf numFmtId="41" fontId="12" fillId="2" borderId="0" xfId="0" applyFont="1" applyFill="1" applyAlignment="1">
      <alignment horizontal="centerContinuous"/>
    </xf>
    <xf numFmtId="41" fontId="13" fillId="2" borderId="0" xfId="0" applyFont="1" applyFill="1" applyAlignment="1">
      <alignment horizontal="centerContinuous"/>
    </xf>
    <xf numFmtId="0" fontId="13" fillId="2" borderId="0" xfId="2" applyFont="1" applyFill="1"/>
    <xf numFmtId="0" fontId="13" fillId="2" borderId="0" xfId="2" applyFont="1" applyFill="1" applyAlignment="1">
      <alignment horizontal="right" vertical="center"/>
    </xf>
    <xf numFmtId="0" fontId="13" fillId="3" borderId="0" xfId="2" applyFont="1" applyFill="1"/>
    <xf numFmtId="3" fontId="13" fillId="2" borderId="0" xfId="2" applyNumberFormat="1" applyFont="1" applyFill="1"/>
    <xf numFmtId="0" fontId="13" fillId="2" borderId="0" xfId="2" applyFont="1" applyFill="1" applyAlignment="1">
      <alignment horizontal="left"/>
    </xf>
    <xf numFmtId="3" fontId="14" fillId="2" borderId="0" xfId="2" applyNumberFormat="1" applyFont="1" applyFill="1"/>
    <xf numFmtId="41" fontId="7" fillId="2" borderId="0" xfId="0" quotePrefix="1" applyFont="1" applyFill="1" applyAlignment="1">
      <alignment horizontal="center"/>
    </xf>
    <xf numFmtId="41" fontId="9" fillId="2" borderId="1" xfId="0" applyFont="1" applyFill="1" applyBorder="1" applyAlignment="1">
      <alignment horizontal="right"/>
    </xf>
    <xf numFmtId="41" fontId="9" fillId="4" borderId="1" xfId="0" applyFont="1" applyFill="1" applyBorder="1" applyAlignment="1">
      <alignment horizontal="right"/>
    </xf>
    <xf numFmtId="0" fontId="9" fillId="2" borderId="1" xfId="2" applyFont="1" applyFill="1" applyBorder="1"/>
    <xf numFmtId="0" fontId="9" fillId="2" borderId="0" xfId="3" applyFont="1" applyFill="1" applyAlignment="1">
      <alignment horizontal="left"/>
    </xf>
    <xf numFmtId="0" fontId="9" fillId="2" borderId="0" xfId="3" applyFont="1" applyFill="1" applyAlignment="1">
      <alignment horizontal="center"/>
    </xf>
    <xf numFmtId="0" fontId="9" fillId="2" borderId="0" xfId="3" applyFont="1" applyFill="1"/>
    <xf numFmtId="0" fontId="15" fillId="2" borderId="0" xfId="3" applyFont="1" applyFill="1" applyAlignment="1">
      <alignment horizontal="center"/>
    </xf>
    <xf numFmtId="0" fontId="15" fillId="2" borderId="0" xfId="3" applyFont="1" applyFill="1"/>
    <xf numFmtId="14" fontId="9" fillId="2" borderId="0" xfId="3" applyNumberFormat="1" applyFont="1" applyFill="1" applyAlignment="1">
      <alignment horizontal="left"/>
    </xf>
    <xf numFmtId="0" fontId="4" fillId="2" borderId="0" xfId="3" applyFont="1" applyFill="1" applyAlignment="1">
      <alignment horizontal="left"/>
    </xf>
    <xf numFmtId="14" fontId="9" fillId="2" borderId="0" xfId="3" applyNumberFormat="1" applyFont="1" applyFill="1" applyAlignment="1">
      <alignment horizontal="center"/>
    </xf>
    <xf numFmtId="0" fontId="1" fillId="2" borderId="0" xfId="3" applyFont="1" applyFill="1" applyAlignment="1">
      <alignment horizontal="left"/>
    </xf>
    <xf numFmtId="0" fontId="16" fillId="2" borderId="0" xfId="3" applyFont="1" applyFill="1" applyAlignment="1">
      <alignment horizontal="center"/>
    </xf>
    <xf numFmtId="0" fontId="5" fillId="2" borderId="0" xfId="3" applyFont="1" applyFill="1" applyAlignment="1">
      <alignment horizontal="center"/>
    </xf>
    <xf numFmtId="44" fontId="5" fillId="2" borderId="0" xfId="3" applyNumberFormat="1" applyFont="1" applyFill="1" applyAlignment="1">
      <alignment horizontal="center"/>
    </xf>
    <xf numFmtId="0" fontId="17" fillId="2" borderId="0" xfId="3" applyFont="1" applyFill="1" applyAlignment="1">
      <alignment horizontal="left"/>
    </xf>
    <xf numFmtId="0" fontId="4" fillId="2" borderId="1" xfId="3" applyFont="1" applyFill="1" applyBorder="1" applyAlignment="1">
      <alignment horizontal="left"/>
    </xf>
    <xf numFmtId="0" fontId="9" fillId="2" borderId="1" xfId="3" applyFont="1" applyFill="1" applyBorder="1" applyAlignment="1">
      <alignment horizontal="center"/>
    </xf>
    <xf numFmtId="0" fontId="9" fillId="2" borderId="1" xfId="3" applyFont="1" applyFill="1" applyBorder="1"/>
    <xf numFmtId="164" fontId="9" fillId="2" borderId="0" xfId="1" applyNumberFormat="1" applyFont="1" applyFill="1" applyBorder="1" applyAlignment="1">
      <alignment horizontal="center"/>
    </xf>
    <xf numFmtId="164" fontId="9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4" fontId="9" fillId="2" borderId="1" xfId="1" applyNumberFormat="1" applyFont="1" applyFill="1" applyBorder="1"/>
    <xf numFmtId="164" fontId="5" fillId="2" borderId="0" xfId="1" applyNumberFormat="1" applyFont="1" applyFill="1" applyBorder="1" applyAlignment="1">
      <alignment horizontal="center"/>
    </xf>
    <xf numFmtId="0" fontId="9" fillId="2" borderId="1" xfId="3" applyFont="1" applyFill="1" applyBorder="1" applyAlignment="1">
      <alignment horizontal="left"/>
    </xf>
    <xf numFmtId="41" fontId="9" fillId="2" borderId="1" xfId="3" applyNumberFormat="1" applyFont="1" applyFill="1" applyBorder="1" applyAlignment="1">
      <alignment horizontal="center"/>
    </xf>
    <xf numFmtId="3" fontId="9" fillId="5" borderId="0" xfId="2" applyNumberFormat="1" applyFont="1" applyFill="1" applyProtection="1">
      <protection locked="0"/>
    </xf>
    <xf numFmtId="0" fontId="9" fillId="5" borderId="0" xfId="2" applyFont="1" applyFill="1" applyProtection="1">
      <protection locked="0"/>
    </xf>
    <xf numFmtId="3" fontId="9" fillId="5" borderId="0" xfId="2" applyNumberFormat="1" applyFont="1" applyFill="1"/>
    <xf numFmtId="3" fontId="9" fillId="5" borderId="0" xfId="2" applyNumberFormat="1" applyFont="1" applyFill="1" applyAlignment="1">
      <alignment horizontal="right"/>
    </xf>
    <xf numFmtId="0" fontId="9" fillId="5" borderId="0" xfId="2" applyFont="1" applyFill="1"/>
    <xf numFmtId="0" fontId="13" fillId="6" borderId="5" xfId="2" applyFont="1" applyFill="1" applyBorder="1"/>
    <xf numFmtId="41" fontId="9" fillId="6" borderId="0" xfId="2" applyNumberFormat="1" applyFont="1" applyFill="1"/>
    <xf numFmtId="41" fontId="9" fillId="6" borderId="6" xfId="2" applyNumberFormat="1" applyFont="1" applyFill="1" applyBorder="1"/>
    <xf numFmtId="0" fontId="13" fillId="6" borderId="5" xfId="2" applyFont="1" applyFill="1" applyBorder="1" applyAlignment="1">
      <alignment horizontal="left"/>
    </xf>
    <xf numFmtId="0" fontId="13" fillId="6" borderId="7" xfId="2" applyFont="1" applyFill="1" applyBorder="1"/>
    <xf numFmtId="41" fontId="9" fillId="6" borderId="8" xfId="2" applyNumberFormat="1" applyFont="1" applyFill="1" applyBorder="1"/>
    <xf numFmtId="41" fontId="9" fillId="6" borderId="9" xfId="2" applyNumberFormat="1" applyFont="1" applyFill="1" applyBorder="1"/>
    <xf numFmtId="0" fontId="13" fillId="6" borderId="2" xfId="2" applyFont="1" applyFill="1" applyBorder="1"/>
    <xf numFmtId="41" fontId="9" fillId="6" borderId="3" xfId="2" applyNumberFormat="1" applyFont="1" applyFill="1" applyBorder="1"/>
    <xf numFmtId="41" fontId="9" fillId="6" borderId="4" xfId="2" applyNumberFormat="1" applyFont="1" applyFill="1" applyBorder="1"/>
    <xf numFmtId="0" fontId="13" fillId="2" borderId="0" xfId="0" applyNumberFormat="1" applyFont="1" applyFill="1" applyAlignment="1">
      <alignment horizontal="left"/>
    </xf>
    <xf numFmtId="3" fontId="9" fillId="2" borderId="0" xfId="2" applyNumberFormat="1" applyFont="1" applyFill="1" applyAlignment="1">
      <alignment horizontal="right"/>
    </xf>
    <xf numFmtId="0" fontId="10" fillId="2" borderId="0" xfId="2" applyFont="1" applyFill="1"/>
    <xf numFmtId="0" fontId="9" fillId="2" borderId="0" xfId="2" applyFont="1" applyFill="1"/>
    <xf numFmtId="41" fontId="11" fillId="2" borderId="0" xfId="0" applyFont="1" applyFill="1"/>
    <xf numFmtId="0" fontId="9" fillId="2" borderId="0" xfId="3" applyFont="1" applyFill="1" applyAlignment="1">
      <alignment horizontal="center"/>
    </xf>
    <xf numFmtId="0" fontId="9" fillId="5" borderId="0" xfId="3" applyFont="1" applyFill="1" applyAlignment="1">
      <alignment horizontal="center"/>
    </xf>
    <xf numFmtId="0" fontId="9" fillId="5" borderId="1" xfId="3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51EC0AB2-0C7C-45E8-B19C-B1AECE3166A4}"/>
    <cellStyle name="Normal_490-LarryMonthly-from Nancy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ancy\Desktop\Business%20Plans\2004\ASSUMP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iness%20Plan\2006\Business%20Plans\2004\ASSUM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debt"/>
      <sheetName val="NI-debt"/>
      <sheetName val="Sheet2"/>
      <sheetName val="Sheet5"/>
      <sheetName val="TOTAL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debt"/>
      <sheetName val="NI-debt"/>
      <sheetName val="Sheet2"/>
      <sheetName val="Sheet5"/>
      <sheetName val="TOTA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8"/>
  <sheetViews>
    <sheetView zoomScale="85" zoomScaleNormal="85" workbookViewId="0">
      <pane xSplit="5" ySplit="6" topLeftCell="F7" activePane="bottomRight" state="frozen"/>
      <selection pane="topRight" activeCell="H1" sqref="H1"/>
      <selection pane="bottomLeft" activeCell="A3" sqref="A3"/>
      <selection pane="bottomRight" activeCell="N33" sqref="N33"/>
    </sheetView>
  </sheetViews>
  <sheetFormatPr defaultColWidth="9.54296875" defaultRowHeight="16" x14ac:dyDescent="0.35"/>
  <cols>
    <col min="1" max="1" width="12.26953125" style="27" bestFit="1" customWidth="1"/>
    <col min="2" max="2" width="3.7265625" style="7" customWidth="1"/>
    <col min="3" max="4" width="9.54296875" style="7"/>
    <col min="5" max="5" width="39" style="7" bestFit="1" customWidth="1"/>
    <col min="6" max="6" width="9.90625" style="7" bestFit="1" customWidth="1"/>
    <col min="7" max="10" width="13.1796875" style="7" bestFit="1" customWidth="1"/>
    <col min="11" max="11" width="11.453125" style="7" customWidth="1"/>
    <col min="12" max="13" width="13.1796875" style="7" bestFit="1" customWidth="1"/>
    <col min="14" max="14" width="13.81640625" style="7" bestFit="1" customWidth="1"/>
    <col min="15" max="15" width="11.54296875" style="7" customWidth="1"/>
    <col min="16" max="17" width="13.453125" style="7" bestFit="1" customWidth="1"/>
    <col min="18" max="18" width="13.453125" style="7" customWidth="1"/>
    <col min="19" max="19" width="4.81640625" style="7" customWidth="1"/>
    <col min="20" max="20" width="61.08984375" style="7" bestFit="1" customWidth="1"/>
    <col min="21" max="16384" width="9.54296875" style="7"/>
  </cols>
  <sheetData>
    <row r="1" spans="1:20" s="1" customFormat="1" ht="29" x14ac:dyDescent="0.5">
      <c r="A1" s="25"/>
      <c r="E1" s="3"/>
      <c r="F1" s="33" t="s">
        <v>152</v>
      </c>
      <c r="G1" s="3"/>
      <c r="H1" s="3"/>
      <c r="I1" s="3"/>
      <c r="J1" s="2" t="s">
        <v>140</v>
      </c>
      <c r="K1" s="3"/>
      <c r="L1" s="3"/>
      <c r="O1" s="5"/>
      <c r="R1" s="4">
        <v>46023</v>
      </c>
    </row>
    <row r="2" spans="1:20" s="1" customFormat="1" x14ac:dyDescent="0.35">
      <c r="A2" s="26"/>
      <c r="E2" s="6"/>
      <c r="F2" s="6"/>
      <c r="G2" s="6"/>
      <c r="H2" s="6"/>
      <c r="I2" s="6"/>
      <c r="J2" s="6" t="s">
        <v>139</v>
      </c>
      <c r="K2" s="6"/>
      <c r="L2" s="6"/>
      <c r="O2" s="5"/>
    </row>
    <row r="6" spans="1:20" ht="19.5" x14ac:dyDescent="0.35">
      <c r="B6" s="78"/>
      <c r="C6" s="78"/>
      <c r="D6" s="78"/>
      <c r="E6" s="78"/>
      <c r="F6" s="34" t="s">
        <v>141</v>
      </c>
      <c r="G6" s="34" t="s">
        <v>142</v>
      </c>
      <c r="H6" s="34" t="s">
        <v>143</v>
      </c>
      <c r="I6" s="34" t="s">
        <v>144</v>
      </c>
      <c r="J6" s="34" t="s">
        <v>121</v>
      </c>
      <c r="K6" s="34" t="s">
        <v>145</v>
      </c>
      <c r="L6" s="34" t="s">
        <v>146</v>
      </c>
      <c r="M6" s="34" t="s">
        <v>147</v>
      </c>
      <c r="N6" s="34" t="s">
        <v>148</v>
      </c>
      <c r="O6" s="34" t="s">
        <v>149</v>
      </c>
      <c r="P6" s="34" t="s">
        <v>150</v>
      </c>
      <c r="Q6" s="34" t="s">
        <v>151</v>
      </c>
      <c r="R6" s="35" t="s">
        <v>96</v>
      </c>
      <c r="S6" s="36" t="s">
        <v>0</v>
      </c>
      <c r="T6" s="36" t="s">
        <v>153</v>
      </c>
    </row>
    <row r="7" spans="1:20" ht="16.5" customHeight="1" x14ac:dyDescent="0.35">
      <c r="A7" s="28"/>
      <c r="B7" s="8"/>
      <c r="C7" s="8"/>
      <c r="D7" s="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9"/>
    </row>
    <row r="8" spans="1:20" x14ac:dyDescent="0.35">
      <c r="B8" s="8" t="s">
        <v>1</v>
      </c>
      <c r="R8" s="20"/>
    </row>
    <row r="9" spans="1:20" x14ac:dyDescent="0.35">
      <c r="A9" s="27" t="s">
        <v>65</v>
      </c>
      <c r="C9" s="7" t="s">
        <v>2</v>
      </c>
      <c r="F9" s="11">
        <f>'Monthly Rent Roll &amp; CIP'!E36</f>
        <v>22330</v>
      </c>
      <c r="G9" s="11">
        <f>'Monthly Rent Roll &amp; CIP'!F36</f>
        <v>21435</v>
      </c>
      <c r="H9" s="11">
        <f>'Monthly Rent Roll &amp; CIP'!G36</f>
        <v>21495</v>
      </c>
      <c r="I9" s="11">
        <f>'Monthly Rent Roll &amp; CIP'!H36</f>
        <v>22345</v>
      </c>
      <c r="J9" s="11">
        <f>'Monthly Rent Roll &amp; CIP'!I36</f>
        <v>22345</v>
      </c>
      <c r="K9" s="11">
        <f>'Monthly Rent Roll &amp; CIP'!J36</f>
        <v>22365</v>
      </c>
      <c r="L9" s="11">
        <f>'Monthly Rent Roll &amp; CIP'!K36</f>
        <v>23285</v>
      </c>
      <c r="M9" s="11">
        <f>'Monthly Rent Roll &amp; CIP'!L36</f>
        <v>23285</v>
      </c>
      <c r="N9" s="11">
        <f>'Monthly Rent Roll &amp; CIP'!M36</f>
        <v>23285</v>
      </c>
      <c r="O9" s="11">
        <f>'Monthly Rent Roll &amp; CIP'!N36</f>
        <v>23305</v>
      </c>
      <c r="P9" s="11">
        <f>'Monthly Rent Roll &amp; CIP'!O36</f>
        <v>23305</v>
      </c>
      <c r="Q9" s="11">
        <f>'Monthly Rent Roll &amp; CIP'!P36</f>
        <v>23305</v>
      </c>
      <c r="R9" s="20">
        <f>SUM(F9:Q9)</f>
        <v>272085</v>
      </c>
    </row>
    <row r="10" spans="1:20" x14ac:dyDescent="0.35">
      <c r="A10" s="27" t="s">
        <v>66</v>
      </c>
      <c r="C10" s="7" t="s">
        <v>3</v>
      </c>
      <c r="F10" s="61">
        <v>5</v>
      </c>
      <c r="G10" s="61">
        <v>5</v>
      </c>
      <c r="H10" s="61">
        <v>5</v>
      </c>
      <c r="I10" s="61">
        <v>5</v>
      </c>
      <c r="J10" s="61">
        <v>5</v>
      </c>
      <c r="K10" s="61">
        <v>5</v>
      </c>
      <c r="L10" s="61">
        <v>5</v>
      </c>
      <c r="M10" s="61">
        <v>5</v>
      </c>
      <c r="N10" s="61">
        <v>5</v>
      </c>
      <c r="O10" s="61">
        <v>5</v>
      </c>
      <c r="P10" s="61">
        <v>5</v>
      </c>
      <c r="Q10" s="61">
        <v>5</v>
      </c>
      <c r="R10" s="20">
        <f>SUM(F10:Q10)</f>
        <v>60</v>
      </c>
      <c r="T10" s="7" t="s">
        <v>123</v>
      </c>
    </row>
    <row r="11" spans="1:20" x14ac:dyDescent="0.35">
      <c r="A11" s="29" t="s">
        <v>67</v>
      </c>
      <c r="C11" s="12" t="s">
        <v>4</v>
      </c>
      <c r="D11" s="12"/>
      <c r="E11" s="12"/>
      <c r="F11" s="62">
        <v>2</v>
      </c>
      <c r="G11" s="62">
        <v>2</v>
      </c>
      <c r="H11" s="62">
        <v>2</v>
      </c>
      <c r="I11" s="62">
        <v>2</v>
      </c>
      <c r="J11" s="62">
        <v>2</v>
      </c>
      <c r="K11" s="62">
        <v>2</v>
      </c>
      <c r="L11" s="62">
        <v>2</v>
      </c>
      <c r="M11" s="62">
        <v>2</v>
      </c>
      <c r="N11" s="62">
        <v>2</v>
      </c>
      <c r="O11" s="62">
        <v>2</v>
      </c>
      <c r="P11" s="62">
        <v>2</v>
      </c>
      <c r="Q11" s="62">
        <v>2</v>
      </c>
      <c r="R11" s="20"/>
    </row>
    <row r="12" spans="1:20" x14ac:dyDescent="0.35">
      <c r="C12" s="8" t="s">
        <v>5</v>
      </c>
      <c r="F12" s="13">
        <f t="shared" ref="F12:R12" si="0">SUM(F9:F11)</f>
        <v>22337</v>
      </c>
      <c r="G12" s="13">
        <f t="shared" si="0"/>
        <v>21442</v>
      </c>
      <c r="H12" s="13">
        <f t="shared" si="0"/>
        <v>21502</v>
      </c>
      <c r="I12" s="13">
        <f t="shared" si="0"/>
        <v>22352</v>
      </c>
      <c r="J12" s="13">
        <f t="shared" si="0"/>
        <v>22352</v>
      </c>
      <c r="K12" s="13">
        <f t="shared" si="0"/>
        <v>22372</v>
      </c>
      <c r="L12" s="13">
        <f t="shared" si="0"/>
        <v>23292</v>
      </c>
      <c r="M12" s="13">
        <f t="shared" si="0"/>
        <v>23292</v>
      </c>
      <c r="N12" s="13">
        <f t="shared" si="0"/>
        <v>23292</v>
      </c>
      <c r="O12" s="13">
        <f t="shared" si="0"/>
        <v>23312</v>
      </c>
      <c r="P12" s="13">
        <f t="shared" si="0"/>
        <v>23312</v>
      </c>
      <c r="Q12" s="13">
        <f t="shared" si="0"/>
        <v>23312</v>
      </c>
      <c r="R12" s="21">
        <f t="shared" si="0"/>
        <v>272145</v>
      </c>
    </row>
    <row r="13" spans="1:20" x14ac:dyDescent="0.35">
      <c r="R13" s="20"/>
    </row>
    <row r="14" spans="1:20" x14ac:dyDescent="0.35">
      <c r="B14" s="8" t="s">
        <v>6</v>
      </c>
      <c r="R14" s="20"/>
    </row>
    <row r="15" spans="1:20" x14ac:dyDescent="0.35">
      <c r="A15" s="27" t="s">
        <v>68</v>
      </c>
      <c r="B15" s="14"/>
      <c r="C15" s="7" t="s">
        <v>7</v>
      </c>
      <c r="F15" s="11">
        <f>'Monthly Rent Roll &amp; CIP'!E57</f>
        <v>2130</v>
      </c>
      <c r="G15" s="11">
        <f>'Monthly Rent Roll &amp; CIP'!F57</f>
        <v>2130</v>
      </c>
      <c r="H15" s="11">
        <f>'Monthly Rent Roll &amp; CIP'!G57</f>
        <v>2130</v>
      </c>
      <c r="I15" s="11">
        <f>'Monthly Rent Roll &amp; CIP'!H57</f>
        <v>2130</v>
      </c>
      <c r="J15" s="11">
        <f>'Monthly Rent Roll &amp; CIP'!I57</f>
        <v>2130</v>
      </c>
      <c r="K15" s="11">
        <f>'Monthly Rent Roll &amp; CIP'!J57</f>
        <v>2130</v>
      </c>
      <c r="L15" s="11">
        <f>'Monthly Rent Roll &amp; CIP'!K57</f>
        <v>2130</v>
      </c>
      <c r="M15" s="11">
        <f>'Monthly Rent Roll &amp; CIP'!L57</f>
        <v>2130</v>
      </c>
      <c r="N15" s="11">
        <f>'Monthly Rent Roll &amp; CIP'!M57</f>
        <v>2130</v>
      </c>
      <c r="O15" s="11">
        <f>'Monthly Rent Roll &amp; CIP'!N57</f>
        <v>2130</v>
      </c>
      <c r="P15" s="11">
        <f>'Monthly Rent Roll &amp; CIP'!O57</f>
        <v>2130</v>
      </c>
      <c r="Q15" s="11">
        <f>'Monthly Rent Roll &amp; CIP'!P57</f>
        <v>2130</v>
      </c>
      <c r="R15" s="20">
        <f>SUM(F15:Q15)</f>
        <v>25560</v>
      </c>
      <c r="T15" s="7" t="s">
        <v>125</v>
      </c>
    </row>
    <row r="16" spans="1:20" x14ac:dyDescent="0.35">
      <c r="A16" s="27" t="s">
        <v>69</v>
      </c>
      <c r="B16" s="14"/>
      <c r="C16" s="7" t="s">
        <v>205</v>
      </c>
      <c r="F16" s="63">
        <v>60</v>
      </c>
      <c r="G16" s="63">
        <v>60</v>
      </c>
      <c r="H16" s="63">
        <v>60</v>
      </c>
      <c r="I16" s="63">
        <v>100</v>
      </c>
      <c r="J16" s="63">
        <v>60</v>
      </c>
      <c r="K16" s="63">
        <v>60</v>
      </c>
      <c r="L16" s="63">
        <v>60</v>
      </c>
      <c r="M16" s="63">
        <v>60</v>
      </c>
      <c r="N16" s="63">
        <v>100</v>
      </c>
      <c r="O16" s="63">
        <v>60</v>
      </c>
      <c r="P16" s="63">
        <v>60</v>
      </c>
      <c r="Q16" s="63">
        <v>60</v>
      </c>
      <c r="R16" s="20">
        <f>SUM(F16:Q16)</f>
        <v>800</v>
      </c>
      <c r="T16" s="7" t="s">
        <v>124</v>
      </c>
    </row>
    <row r="17" spans="1:20" x14ac:dyDescent="0.35">
      <c r="A17" s="27" t="s">
        <v>70</v>
      </c>
      <c r="B17" s="14"/>
      <c r="C17" s="7" t="s">
        <v>114</v>
      </c>
      <c r="F17" s="63">
        <v>37</v>
      </c>
      <c r="G17" s="63">
        <v>37</v>
      </c>
      <c r="H17" s="63">
        <v>37</v>
      </c>
      <c r="I17" s="63">
        <v>37</v>
      </c>
      <c r="J17" s="63">
        <v>37</v>
      </c>
      <c r="K17" s="63">
        <v>37</v>
      </c>
      <c r="L17" s="63">
        <v>37</v>
      </c>
      <c r="M17" s="63">
        <v>37</v>
      </c>
      <c r="N17" s="63">
        <v>37</v>
      </c>
      <c r="O17" s="63">
        <v>37</v>
      </c>
      <c r="P17" s="63">
        <v>37</v>
      </c>
      <c r="Q17" s="63">
        <v>37</v>
      </c>
      <c r="R17" s="20">
        <f t="shared" ref="R17:R23" si="1">SUM(F17:Q17)</f>
        <v>444</v>
      </c>
      <c r="T17" s="7" t="s">
        <v>126</v>
      </c>
    </row>
    <row r="18" spans="1:20" x14ac:dyDescent="0.35">
      <c r="A18" s="27" t="s">
        <v>71</v>
      </c>
      <c r="B18" s="14"/>
      <c r="C18" s="7" t="s">
        <v>107</v>
      </c>
      <c r="F18" s="63">
        <v>103</v>
      </c>
      <c r="G18" s="63">
        <v>103</v>
      </c>
      <c r="H18" s="63">
        <v>103</v>
      </c>
      <c r="I18" s="63">
        <v>103</v>
      </c>
      <c r="J18" s="63">
        <v>103</v>
      </c>
      <c r="K18" s="63">
        <v>103</v>
      </c>
      <c r="L18" s="63">
        <v>103</v>
      </c>
      <c r="M18" s="63">
        <v>103</v>
      </c>
      <c r="N18" s="63">
        <v>103</v>
      </c>
      <c r="O18" s="63">
        <v>103</v>
      </c>
      <c r="P18" s="63">
        <v>103</v>
      </c>
      <c r="Q18" s="63">
        <v>103</v>
      </c>
      <c r="R18" s="20">
        <f t="shared" si="1"/>
        <v>1236</v>
      </c>
      <c r="T18" s="7" t="s">
        <v>127</v>
      </c>
    </row>
    <row r="19" spans="1:20" x14ac:dyDescent="0.35">
      <c r="A19" s="27" t="s">
        <v>72</v>
      </c>
      <c r="B19" s="14"/>
      <c r="C19" s="7" t="s">
        <v>108</v>
      </c>
      <c r="F19" s="63">
        <v>450</v>
      </c>
      <c r="G19" s="63">
        <v>450</v>
      </c>
      <c r="H19" s="63">
        <v>450</v>
      </c>
      <c r="I19" s="63">
        <v>450</v>
      </c>
      <c r="J19" s="63">
        <v>450</v>
      </c>
      <c r="K19" s="63">
        <v>450</v>
      </c>
      <c r="L19" s="63">
        <v>450</v>
      </c>
      <c r="M19" s="63">
        <v>450</v>
      </c>
      <c r="N19" s="63">
        <v>450</v>
      </c>
      <c r="O19" s="63">
        <v>450</v>
      </c>
      <c r="P19" s="63">
        <v>450</v>
      </c>
      <c r="Q19" s="63">
        <v>450</v>
      </c>
      <c r="R19" s="20">
        <f t="shared" si="1"/>
        <v>5400</v>
      </c>
      <c r="T19" s="7" t="s">
        <v>128</v>
      </c>
    </row>
    <row r="20" spans="1:20" x14ac:dyDescent="0.35">
      <c r="A20" s="27" t="s">
        <v>73</v>
      </c>
      <c r="B20" s="14"/>
      <c r="C20" s="7" t="s">
        <v>109</v>
      </c>
      <c r="F20" s="63">
        <v>79</v>
      </c>
      <c r="G20" s="63">
        <v>79</v>
      </c>
      <c r="H20" s="63">
        <v>79</v>
      </c>
      <c r="I20" s="63">
        <v>79</v>
      </c>
      <c r="J20" s="63">
        <v>79</v>
      </c>
      <c r="K20" s="63">
        <v>79</v>
      </c>
      <c r="L20" s="63">
        <v>79</v>
      </c>
      <c r="M20" s="63">
        <v>79</v>
      </c>
      <c r="N20" s="63">
        <v>79</v>
      </c>
      <c r="O20" s="63">
        <v>79</v>
      </c>
      <c r="P20" s="63">
        <v>79</v>
      </c>
      <c r="Q20" s="63">
        <v>79</v>
      </c>
      <c r="R20" s="20">
        <f t="shared" si="1"/>
        <v>948</v>
      </c>
      <c r="T20" s="7" t="s">
        <v>129</v>
      </c>
    </row>
    <row r="21" spans="1:20" x14ac:dyDescent="0.35">
      <c r="A21" s="30" t="s">
        <v>74</v>
      </c>
      <c r="B21" s="14"/>
      <c r="C21" s="7" t="s">
        <v>110</v>
      </c>
      <c r="F21" s="63">
        <v>30</v>
      </c>
      <c r="G21" s="63">
        <v>30</v>
      </c>
      <c r="H21" s="63">
        <v>30</v>
      </c>
      <c r="I21" s="63">
        <v>30</v>
      </c>
      <c r="J21" s="63">
        <v>30</v>
      </c>
      <c r="K21" s="63">
        <v>30</v>
      </c>
      <c r="L21" s="63">
        <v>30</v>
      </c>
      <c r="M21" s="63">
        <v>30</v>
      </c>
      <c r="N21" s="63">
        <v>30</v>
      </c>
      <c r="O21" s="63">
        <v>30</v>
      </c>
      <c r="P21" s="63">
        <v>30</v>
      </c>
      <c r="Q21" s="63">
        <v>30</v>
      </c>
      <c r="R21" s="20">
        <f t="shared" si="1"/>
        <v>360</v>
      </c>
      <c r="T21" s="7" t="s">
        <v>130</v>
      </c>
    </row>
    <row r="22" spans="1:20" x14ac:dyDescent="0.35">
      <c r="A22" s="27" t="s">
        <v>75</v>
      </c>
      <c r="B22" s="14"/>
      <c r="C22" s="7" t="s">
        <v>113</v>
      </c>
      <c r="F22" s="63">
        <v>0</v>
      </c>
      <c r="G22" s="63">
        <v>0</v>
      </c>
      <c r="H22" s="63">
        <v>0</v>
      </c>
      <c r="I22" s="63">
        <v>325</v>
      </c>
      <c r="J22" s="63">
        <v>0</v>
      </c>
      <c r="K22" s="63">
        <v>0</v>
      </c>
      <c r="L22" s="63">
        <v>325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20">
        <f t="shared" si="1"/>
        <v>650</v>
      </c>
      <c r="T22" s="7" t="s">
        <v>133</v>
      </c>
    </row>
    <row r="23" spans="1:20" x14ac:dyDescent="0.35">
      <c r="A23" s="27" t="s">
        <v>76</v>
      </c>
      <c r="B23" s="14"/>
      <c r="C23" s="7" t="s">
        <v>112</v>
      </c>
      <c r="F23" s="63">
        <v>1</v>
      </c>
      <c r="G23" s="63">
        <v>1</v>
      </c>
      <c r="H23" s="63">
        <v>1</v>
      </c>
      <c r="I23" s="63">
        <v>1</v>
      </c>
      <c r="J23" s="63">
        <v>1</v>
      </c>
      <c r="K23" s="63">
        <v>1</v>
      </c>
      <c r="L23" s="63">
        <v>1</v>
      </c>
      <c r="M23" s="63">
        <v>1</v>
      </c>
      <c r="N23" s="63">
        <v>1</v>
      </c>
      <c r="O23" s="63">
        <v>1</v>
      </c>
      <c r="P23" s="63">
        <v>1</v>
      </c>
      <c r="Q23" s="63">
        <v>1</v>
      </c>
      <c r="R23" s="20">
        <f t="shared" si="1"/>
        <v>12</v>
      </c>
    </row>
    <row r="24" spans="1:20" x14ac:dyDescent="0.35">
      <c r="A24" s="27" t="s">
        <v>77</v>
      </c>
      <c r="B24" s="14"/>
      <c r="C24" s="7" t="s">
        <v>111</v>
      </c>
      <c r="F24" s="64">
        <v>975</v>
      </c>
      <c r="G24" s="64">
        <v>975</v>
      </c>
      <c r="H24" s="64">
        <v>975</v>
      </c>
      <c r="I24" s="64">
        <v>975</v>
      </c>
      <c r="J24" s="64">
        <v>975</v>
      </c>
      <c r="K24" s="64">
        <v>975</v>
      </c>
      <c r="L24" s="64">
        <v>975</v>
      </c>
      <c r="M24" s="64">
        <v>975</v>
      </c>
      <c r="N24" s="64">
        <v>975</v>
      </c>
      <c r="O24" s="64">
        <v>975</v>
      </c>
      <c r="P24" s="64">
        <v>975</v>
      </c>
      <c r="Q24" s="64">
        <v>975</v>
      </c>
      <c r="R24" s="22">
        <f>SUM(F24:Q24)</f>
        <v>11700</v>
      </c>
      <c r="T24" s="7" t="s">
        <v>134</v>
      </c>
    </row>
    <row r="25" spans="1:20" x14ac:dyDescent="0.35">
      <c r="A25" s="27" t="s">
        <v>78</v>
      </c>
      <c r="B25" s="14"/>
      <c r="C25" s="7" t="s">
        <v>115</v>
      </c>
      <c r="F25" s="63">
        <v>2052</v>
      </c>
      <c r="G25" s="63">
        <v>2052</v>
      </c>
      <c r="H25" s="63">
        <v>2052</v>
      </c>
      <c r="I25" s="63">
        <v>2052</v>
      </c>
      <c r="J25" s="63">
        <v>2052</v>
      </c>
      <c r="K25" s="63">
        <v>2052</v>
      </c>
      <c r="L25" s="63">
        <v>2052</v>
      </c>
      <c r="M25" s="63">
        <v>2052</v>
      </c>
      <c r="N25" s="63">
        <v>2052</v>
      </c>
      <c r="O25" s="63">
        <v>2052</v>
      </c>
      <c r="P25" s="63">
        <v>2052</v>
      </c>
      <c r="Q25" s="63">
        <v>2052</v>
      </c>
      <c r="R25" s="22">
        <f>SUM(F25:Q25)</f>
        <v>24624</v>
      </c>
      <c r="T25" s="7" t="s">
        <v>135</v>
      </c>
    </row>
    <row r="26" spans="1:20" x14ac:dyDescent="0.35">
      <c r="C26" s="8" t="s">
        <v>10</v>
      </c>
      <c r="F26" s="10">
        <f>SUM(F15:F25)</f>
        <v>5917</v>
      </c>
      <c r="G26" s="10">
        <f t="shared" ref="G26:R26" si="2">SUM(G15:G25)</f>
        <v>5917</v>
      </c>
      <c r="H26" s="10">
        <f t="shared" si="2"/>
        <v>5917</v>
      </c>
      <c r="I26" s="10">
        <f t="shared" si="2"/>
        <v>6282</v>
      </c>
      <c r="J26" s="10">
        <f t="shared" si="2"/>
        <v>5917</v>
      </c>
      <c r="K26" s="10">
        <f t="shared" si="2"/>
        <v>5917</v>
      </c>
      <c r="L26" s="10">
        <f t="shared" si="2"/>
        <v>6242</v>
      </c>
      <c r="M26" s="10">
        <f t="shared" si="2"/>
        <v>5917</v>
      </c>
      <c r="N26" s="10">
        <f t="shared" si="2"/>
        <v>5957</v>
      </c>
      <c r="O26" s="10">
        <f t="shared" si="2"/>
        <v>5917</v>
      </c>
      <c r="P26" s="10">
        <f t="shared" si="2"/>
        <v>5917</v>
      </c>
      <c r="Q26" s="10">
        <f t="shared" si="2"/>
        <v>5917</v>
      </c>
      <c r="R26" s="20">
        <f t="shared" si="2"/>
        <v>71734</v>
      </c>
    </row>
    <row r="27" spans="1:20" x14ac:dyDescent="0.35">
      <c r="C27" s="8" t="s">
        <v>11</v>
      </c>
      <c r="F27" s="10">
        <f>F12+F26</f>
        <v>28254</v>
      </c>
      <c r="G27" s="10">
        <f t="shared" ref="G27:R27" si="3">G12+G26</f>
        <v>27359</v>
      </c>
      <c r="H27" s="10">
        <f t="shared" si="3"/>
        <v>27419</v>
      </c>
      <c r="I27" s="10">
        <f t="shared" si="3"/>
        <v>28634</v>
      </c>
      <c r="J27" s="10">
        <f t="shared" si="3"/>
        <v>28269</v>
      </c>
      <c r="K27" s="10">
        <f t="shared" si="3"/>
        <v>28289</v>
      </c>
      <c r="L27" s="10">
        <f t="shared" si="3"/>
        <v>29534</v>
      </c>
      <c r="M27" s="10">
        <f t="shared" si="3"/>
        <v>29209</v>
      </c>
      <c r="N27" s="10">
        <f t="shared" si="3"/>
        <v>29249</v>
      </c>
      <c r="O27" s="10">
        <f t="shared" si="3"/>
        <v>29229</v>
      </c>
      <c r="P27" s="10">
        <f t="shared" si="3"/>
        <v>29229</v>
      </c>
      <c r="Q27" s="10">
        <f t="shared" si="3"/>
        <v>29229</v>
      </c>
      <c r="R27" s="20">
        <f t="shared" si="3"/>
        <v>343879</v>
      </c>
    </row>
    <row r="28" spans="1:20" x14ac:dyDescent="0.35">
      <c r="R28" s="23"/>
    </row>
    <row r="29" spans="1:20" x14ac:dyDescent="0.35">
      <c r="B29" s="8" t="s">
        <v>12</v>
      </c>
      <c r="R29" s="23"/>
    </row>
    <row r="30" spans="1:20" x14ac:dyDescent="0.35">
      <c r="A30" s="27" t="s">
        <v>79</v>
      </c>
      <c r="C30" s="7" t="s">
        <v>116</v>
      </c>
      <c r="F30" s="63">
        <v>8682</v>
      </c>
      <c r="G30" s="63">
        <v>6946</v>
      </c>
      <c r="H30" s="63">
        <v>6946</v>
      </c>
      <c r="I30" s="63">
        <v>6946</v>
      </c>
      <c r="J30" s="63">
        <v>6946</v>
      </c>
      <c r="K30" s="63">
        <v>6946</v>
      </c>
      <c r="L30" s="63">
        <v>8682</v>
      </c>
      <c r="M30" s="63">
        <v>6946</v>
      </c>
      <c r="N30" s="63">
        <v>6946</v>
      </c>
      <c r="O30" s="63">
        <v>6946</v>
      </c>
      <c r="P30" s="63">
        <v>6946</v>
      </c>
      <c r="Q30" s="63">
        <v>6946</v>
      </c>
      <c r="R30" s="22">
        <f>SUM(F30:Q30)</f>
        <v>86824</v>
      </c>
      <c r="S30" s="11"/>
    </row>
    <row r="31" spans="1:20" x14ac:dyDescent="0.35">
      <c r="A31" s="27" t="s">
        <v>80</v>
      </c>
      <c r="C31" s="7" t="s">
        <v>62</v>
      </c>
      <c r="F31" s="63">
        <v>0</v>
      </c>
      <c r="G31" s="63">
        <v>135</v>
      </c>
      <c r="H31" s="63">
        <v>200</v>
      </c>
      <c r="I31" s="63">
        <v>0</v>
      </c>
      <c r="J31" s="63">
        <v>135</v>
      </c>
      <c r="K31" s="63">
        <v>200</v>
      </c>
      <c r="L31" s="63">
        <v>0</v>
      </c>
      <c r="M31" s="63">
        <v>135</v>
      </c>
      <c r="N31" s="63">
        <v>200</v>
      </c>
      <c r="O31" s="63">
        <v>0</v>
      </c>
      <c r="P31" s="63">
        <v>135</v>
      </c>
      <c r="Q31" s="63">
        <v>2000</v>
      </c>
      <c r="R31" s="22">
        <f>SUM(F31:Q31)</f>
        <v>3140</v>
      </c>
      <c r="T31" s="7" t="s">
        <v>136</v>
      </c>
    </row>
    <row r="32" spans="1:20" x14ac:dyDescent="0.35">
      <c r="A32" s="27" t="s">
        <v>81</v>
      </c>
      <c r="C32" s="7" t="s">
        <v>13</v>
      </c>
      <c r="F32" s="63">
        <v>20</v>
      </c>
      <c r="G32" s="63">
        <v>20</v>
      </c>
      <c r="H32" s="63">
        <v>20</v>
      </c>
      <c r="I32" s="63">
        <v>20</v>
      </c>
      <c r="J32" s="63">
        <v>20</v>
      </c>
      <c r="K32" s="63">
        <v>20</v>
      </c>
      <c r="L32" s="63">
        <v>20</v>
      </c>
      <c r="M32" s="63">
        <v>20</v>
      </c>
      <c r="N32" s="63">
        <v>20</v>
      </c>
      <c r="O32" s="63">
        <v>20</v>
      </c>
      <c r="P32" s="63">
        <v>20</v>
      </c>
      <c r="Q32" s="63">
        <v>20</v>
      </c>
      <c r="R32" s="22">
        <f t="shared" ref="R32:R38" si="4">SUM(F32:Q32)</f>
        <v>240</v>
      </c>
      <c r="T32" s="7" t="s">
        <v>137</v>
      </c>
    </row>
    <row r="33" spans="1:20" x14ac:dyDescent="0.35">
      <c r="A33" s="27" t="s">
        <v>82</v>
      </c>
      <c r="C33" s="7" t="s">
        <v>119</v>
      </c>
      <c r="F33" s="64">
        <v>880</v>
      </c>
      <c r="G33" s="64">
        <v>880</v>
      </c>
      <c r="H33" s="64">
        <v>880</v>
      </c>
      <c r="I33" s="64">
        <v>880</v>
      </c>
      <c r="J33" s="64">
        <v>880</v>
      </c>
      <c r="K33" s="64">
        <v>880</v>
      </c>
      <c r="L33" s="64">
        <v>880</v>
      </c>
      <c r="M33" s="64">
        <v>880</v>
      </c>
      <c r="N33" s="64">
        <v>880</v>
      </c>
      <c r="O33" s="64">
        <v>880</v>
      </c>
      <c r="P33" s="64">
        <v>880</v>
      </c>
      <c r="Q33" s="64">
        <v>880</v>
      </c>
      <c r="R33" s="22">
        <f t="shared" si="4"/>
        <v>10560</v>
      </c>
      <c r="T33" s="7" t="s">
        <v>138</v>
      </c>
    </row>
    <row r="34" spans="1:20" x14ac:dyDescent="0.35">
      <c r="A34" s="27" t="s">
        <v>83</v>
      </c>
      <c r="C34" s="7" t="s">
        <v>9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22">
        <f t="shared" si="4"/>
        <v>0</v>
      </c>
    </row>
    <row r="35" spans="1:20" x14ac:dyDescent="0.35">
      <c r="A35" s="31" t="s">
        <v>84</v>
      </c>
      <c r="C35" s="7" t="s">
        <v>14</v>
      </c>
      <c r="F35" s="63">
        <v>75</v>
      </c>
      <c r="G35" s="63">
        <v>75</v>
      </c>
      <c r="H35" s="63">
        <v>75</v>
      </c>
      <c r="I35" s="63">
        <v>75</v>
      </c>
      <c r="J35" s="63">
        <v>75</v>
      </c>
      <c r="K35" s="63">
        <v>75</v>
      </c>
      <c r="L35" s="63">
        <v>75</v>
      </c>
      <c r="M35" s="63">
        <v>75</v>
      </c>
      <c r="N35" s="63">
        <v>75</v>
      </c>
      <c r="O35" s="63">
        <v>75</v>
      </c>
      <c r="P35" s="63">
        <v>75</v>
      </c>
      <c r="Q35" s="63">
        <v>75</v>
      </c>
      <c r="R35" s="22">
        <f t="shared" si="4"/>
        <v>900</v>
      </c>
      <c r="T35" s="7" t="s">
        <v>131</v>
      </c>
    </row>
    <row r="36" spans="1:20" x14ac:dyDescent="0.35">
      <c r="A36" s="27" t="s">
        <v>85</v>
      </c>
      <c r="C36" s="7" t="s">
        <v>15</v>
      </c>
      <c r="F36" s="63">
        <v>50</v>
      </c>
      <c r="G36" s="63">
        <v>50</v>
      </c>
      <c r="H36" s="63">
        <v>50</v>
      </c>
      <c r="I36" s="63">
        <v>50</v>
      </c>
      <c r="J36" s="63">
        <v>50</v>
      </c>
      <c r="K36" s="63">
        <v>50</v>
      </c>
      <c r="L36" s="63">
        <v>50</v>
      </c>
      <c r="M36" s="63">
        <v>50</v>
      </c>
      <c r="N36" s="63">
        <v>50</v>
      </c>
      <c r="O36" s="63">
        <v>50</v>
      </c>
      <c r="P36" s="63">
        <v>50</v>
      </c>
      <c r="Q36" s="63">
        <v>50</v>
      </c>
      <c r="R36" s="22">
        <f t="shared" si="4"/>
        <v>600</v>
      </c>
      <c r="T36" s="7" t="s">
        <v>132</v>
      </c>
    </row>
    <row r="37" spans="1:20" x14ac:dyDescent="0.35">
      <c r="A37" s="27" t="s">
        <v>86</v>
      </c>
      <c r="C37" s="7" t="s">
        <v>117</v>
      </c>
      <c r="F37" s="63">
        <v>350</v>
      </c>
      <c r="G37" s="63">
        <v>350</v>
      </c>
      <c r="H37" s="63">
        <v>350</v>
      </c>
      <c r="I37" s="63">
        <v>350</v>
      </c>
      <c r="J37" s="63">
        <v>350</v>
      </c>
      <c r="K37" s="63">
        <v>350</v>
      </c>
      <c r="L37" s="63">
        <v>350</v>
      </c>
      <c r="M37" s="63">
        <v>350</v>
      </c>
      <c r="N37" s="63">
        <v>350</v>
      </c>
      <c r="O37" s="63">
        <v>350</v>
      </c>
      <c r="P37" s="63">
        <v>350</v>
      </c>
      <c r="Q37" s="63">
        <v>350</v>
      </c>
      <c r="R37" s="22">
        <f t="shared" si="4"/>
        <v>4200</v>
      </c>
    </row>
    <row r="38" spans="1:20" x14ac:dyDescent="0.35">
      <c r="A38" s="27" t="s">
        <v>87</v>
      </c>
      <c r="C38" s="7" t="s">
        <v>16</v>
      </c>
      <c r="D38" s="7" t="s">
        <v>118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300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22">
        <f t="shared" si="4"/>
        <v>300</v>
      </c>
    </row>
    <row r="39" spans="1:20" x14ac:dyDescent="0.35">
      <c r="C39" s="8" t="s">
        <v>18</v>
      </c>
      <c r="F39" s="10">
        <f>SUM(F30:F38)</f>
        <v>10057</v>
      </c>
      <c r="G39" s="10">
        <f t="shared" ref="G39:R39" si="5">SUM(G30:G38)</f>
        <v>8456</v>
      </c>
      <c r="H39" s="10">
        <f t="shared" si="5"/>
        <v>8521</v>
      </c>
      <c r="I39" s="10">
        <f t="shared" si="5"/>
        <v>8321</v>
      </c>
      <c r="J39" s="10">
        <f t="shared" si="5"/>
        <v>8456</v>
      </c>
      <c r="K39" s="10">
        <f t="shared" si="5"/>
        <v>8521</v>
      </c>
      <c r="L39" s="10">
        <f t="shared" si="5"/>
        <v>10357</v>
      </c>
      <c r="M39" s="10">
        <f t="shared" si="5"/>
        <v>8456</v>
      </c>
      <c r="N39" s="10">
        <f t="shared" si="5"/>
        <v>8521</v>
      </c>
      <c r="O39" s="10">
        <f t="shared" si="5"/>
        <v>8321</v>
      </c>
      <c r="P39" s="10">
        <f t="shared" si="5"/>
        <v>8456</v>
      </c>
      <c r="Q39" s="10">
        <f t="shared" si="5"/>
        <v>10321</v>
      </c>
      <c r="R39" s="20">
        <f t="shared" si="5"/>
        <v>106764</v>
      </c>
      <c r="S39" s="10"/>
    </row>
    <row r="40" spans="1:20" x14ac:dyDescent="0.35">
      <c r="R40" s="23"/>
    </row>
    <row r="41" spans="1:20" x14ac:dyDescent="0.35">
      <c r="B41" s="8" t="s">
        <v>19</v>
      </c>
      <c r="R41" s="23"/>
    </row>
    <row r="42" spans="1:20" x14ac:dyDescent="0.35">
      <c r="C42" s="7" t="s">
        <v>20</v>
      </c>
      <c r="R42" s="22">
        <f>SUM(F42:Q42)</f>
        <v>0</v>
      </c>
    </row>
    <row r="43" spans="1:20" x14ac:dyDescent="0.35">
      <c r="A43" s="27" t="s">
        <v>88</v>
      </c>
      <c r="C43" s="7" t="s">
        <v>101</v>
      </c>
      <c r="F43" s="63">
        <v>660</v>
      </c>
      <c r="G43" s="63">
        <v>660</v>
      </c>
      <c r="H43" s="63">
        <v>660</v>
      </c>
      <c r="I43" s="63">
        <v>660</v>
      </c>
      <c r="J43" s="63">
        <v>660</v>
      </c>
      <c r="K43" s="63">
        <v>660</v>
      </c>
      <c r="L43" s="63">
        <v>660</v>
      </c>
      <c r="M43" s="63">
        <v>660</v>
      </c>
      <c r="N43" s="63">
        <v>660</v>
      </c>
      <c r="O43" s="63">
        <v>660</v>
      </c>
      <c r="P43" s="63">
        <v>660</v>
      </c>
      <c r="Q43" s="63">
        <v>660</v>
      </c>
      <c r="R43" s="22">
        <f>SUM(F43:Q43)</f>
        <v>7920</v>
      </c>
    </row>
    <row r="44" spans="1:20" x14ac:dyDescent="0.35">
      <c r="A44" s="27" t="s">
        <v>89</v>
      </c>
      <c r="C44" s="79" t="s">
        <v>103</v>
      </c>
      <c r="D44" s="80"/>
      <c r="E44" s="80"/>
      <c r="F44" s="63">
        <v>150</v>
      </c>
      <c r="G44" s="63">
        <v>150</v>
      </c>
      <c r="H44" s="63">
        <v>150</v>
      </c>
      <c r="I44" s="63">
        <v>150</v>
      </c>
      <c r="J44" s="63">
        <v>150</v>
      </c>
      <c r="K44" s="63">
        <v>150</v>
      </c>
      <c r="L44" s="63">
        <v>150</v>
      </c>
      <c r="M44" s="63">
        <v>150</v>
      </c>
      <c r="N44" s="63">
        <v>150</v>
      </c>
      <c r="O44" s="63">
        <v>150</v>
      </c>
      <c r="P44" s="63">
        <v>150</v>
      </c>
      <c r="Q44" s="63">
        <v>150</v>
      </c>
      <c r="R44" s="22">
        <f>SUM(F44:Q44)</f>
        <v>1800</v>
      </c>
    </row>
    <row r="45" spans="1:20" x14ac:dyDescent="0.35">
      <c r="A45" s="27" t="s">
        <v>90</v>
      </c>
      <c r="C45" s="7" t="s">
        <v>21</v>
      </c>
      <c r="E45" s="8" t="s">
        <v>22</v>
      </c>
      <c r="F45" s="63">
        <v>30</v>
      </c>
      <c r="G45" s="63">
        <v>30</v>
      </c>
      <c r="H45" s="63">
        <v>30</v>
      </c>
      <c r="I45" s="63">
        <v>30</v>
      </c>
      <c r="J45" s="63">
        <v>30</v>
      </c>
      <c r="K45" s="63">
        <v>30</v>
      </c>
      <c r="L45" s="63">
        <v>30</v>
      </c>
      <c r="M45" s="63">
        <v>30</v>
      </c>
      <c r="N45" s="63">
        <v>30</v>
      </c>
      <c r="O45" s="63">
        <v>30</v>
      </c>
      <c r="P45" s="63">
        <v>30</v>
      </c>
      <c r="Q45" s="63">
        <v>30</v>
      </c>
      <c r="R45" s="22">
        <f t="shared" ref="R45:R64" si="6">SUM(F45:Q45)</f>
        <v>360</v>
      </c>
    </row>
    <row r="46" spans="1:20" x14ac:dyDescent="0.35">
      <c r="A46" s="27" t="s">
        <v>91</v>
      </c>
      <c r="C46" s="7" t="s">
        <v>122</v>
      </c>
      <c r="F46" s="63">
        <v>17300</v>
      </c>
      <c r="G46" s="63">
        <v>17300</v>
      </c>
      <c r="H46" s="63">
        <v>17300</v>
      </c>
      <c r="I46" s="63">
        <v>17300</v>
      </c>
      <c r="J46" s="63">
        <v>17300</v>
      </c>
      <c r="K46" s="63">
        <v>17300</v>
      </c>
      <c r="L46" s="63">
        <v>17300</v>
      </c>
      <c r="M46" s="63">
        <v>17300</v>
      </c>
      <c r="N46" s="63">
        <v>17300</v>
      </c>
      <c r="O46" s="63">
        <v>17300</v>
      </c>
      <c r="P46" s="63">
        <v>17300</v>
      </c>
      <c r="Q46" s="63">
        <v>17300</v>
      </c>
      <c r="R46" s="22">
        <f t="shared" si="6"/>
        <v>207600</v>
      </c>
    </row>
    <row r="47" spans="1:20" x14ac:dyDescent="0.35">
      <c r="A47" s="27" t="s">
        <v>98</v>
      </c>
      <c r="C47" s="7" t="s">
        <v>99</v>
      </c>
      <c r="F47" s="63">
        <v>10</v>
      </c>
      <c r="G47" s="63">
        <v>10</v>
      </c>
      <c r="H47" s="63">
        <v>10</v>
      </c>
      <c r="I47" s="63">
        <v>10</v>
      </c>
      <c r="J47" s="63">
        <v>10</v>
      </c>
      <c r="K47" s="63">
        <v>10</v>
      </c>
      <c r="L47" s="63">
        <v>10</v>
      </c>
      <c r="M47" s="63">
        <v>10</v>
      </c>
      <c r="N47" s="63">
        <v>10</v>
      </c>
      <c r="O47" s="63">
        <v>10</v>
      </c>
      <c r="P47" s="63">
        <v>10</v>
      </c>
      <c r="Q47" s="63">
        <v>10</v>
      </c>
      <c r="R47" s="22">
        <f t="shared" si="6"/>
        <v>120</v>
      </c>
    </row>
    <row r="48" spans="1:20" x14ac:dyDescent="0.35">
      <c r="A48" s="27" t="s">
        <v>97</v>
      </c>
      <c r="C48" s="7" t="s">
        <v>100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2">
        <f t="shared" si="6"/>
        <v>0</v>
      </c>
    </row>
    <row r="49" spans="1:19" x14ac:dyDescent="0.35">
      <c r="C49" s="7" t="s">
        <v>23</v>
      </c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2">
        <f t="shared" si="6"/>
        <v>0</v>
      </c>
    </row>
    <row r="50" spans="1:19" x14ac:dyDescent="0.35">
      <c r="A50" s="27" t="s">
        <v>49</v>
      </c>
      <c r="E50" s="7" t="s">
        <v>24</v>
      </c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22">
        <f t="shared" si="6"/>
        <v>0</v>
      </c>
    </row>
    <row r="51" spans="1:19" x14ac:dyDescent="0.35">
      <c r="A51" s="27" t="s">
        <v>48</v>
      </c>
      <c r="E51" s="7" t="s">
        <v>25</v>
      </c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22">
        <f t="shared" si="6"/>
        <v>0</v>
      </c>
    </row>
    <row r="52" spans="1:19" x14ac:dyDescent="0.35">
      <c r="A52" s="27" t="s">
        <v>50</v>
      </c>
      <c r="E52" s="7" t="s">
        <v>26</v>
      </c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22">
        <f t="shared" si="6"/>
        <v>0</v>
      </c>
    </row>
    <row r="53" spans="1:19" x14ac:dyDescent="0.35">
      <c r="A53" s="27" t="s">
        <v>51</v>
      </c>
      <c r="E53" s="7" t="s">
        <v>27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22">
        <f t="shared" si="6"/>
        <v>0</v>
      </c>
    </row>
    <row r="54" spans="1:19" x14ac:dyDescent="0.35">
      <c r="A54" s="27" t="s">
        <v>104</v>
      </c>
      <c r="E54" s="7" t="s">
        <v>105</v>
      </c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22">
        <f t="shared" si="6"/>
        <v>0</v>
      </c>
    </row>
    <row r="55" spans="1:19" x14ac:dyDescent="0.35">
      <c r="A55" s="27" t="s">
        <v>52</v>
      </c>
      <c r="E55" s="7" t="s">
        <v>39</v>
      </c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22">
        <f t="shared" si="6"/>
        <v>0</v>
      </c>
    </row>
    <row r="56" spans="1:19" x14ac:dyDescent="0.35">
      <c r="A56" s="27" t="s">
        <v>53</v>
      </c>
      <c r="E56" s="7" t="s">
        <v>28</v>
      </c>
      <c r="F56" s="63">
        <v>0</v>
      </c>
      <c r="G56" s="63">
        <v>0</v>
      </c>
      <c r="H56" s="63">
        <v>0</v>
      </c>
      <c r="I56" s="63">
        <v>300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1000</v>
      </c>
      <c r="R56" s="22">
        <f t="shared" si="6"/>
        <v>1300</v>
      </c>
    </row>
    <row r="57" spans="1:19" x14ac:dyDescent="0.35">
      <c r="A57" s="27" t="s">
        <v>54</v>
      </c>
      <c r="E57" s="7" t="s">
        <v>29</v>
      </c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22">
        <f t="shared" si="6"/>
        <v>0</v>
      </c>
    </row>
    <row r="58" spans="1:19" x14ac:dyDescent="0.35">
      <c r="A58" s="27" t="s">
        <v>55</v>
      </c>
      <c r="E58" s="7" t="s">
        <v>30</v>
      </c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22">
        <f t="shared" si="6"/>
        <v>0</v>
      </c>
    </row>
    <row r="59" spans="1:19" x14ac:dyDescent="0.35">
      <c r="A59" s="27" t="s">
        <v>56</v>
      </c>
      <c r="E59" s="7" t="s">
        <v>106</v>
      </c>
      <c r="F59" s="63">
        <v>160</v>
      </c>
      <c r="G59" s="63">
        <v>160</v>
      </c>
      <c r="H59" s="63">
        <v>160</v>
      </c>
      <c r="I59" s="63">
        <v>160</v>
      </c>
      <c r="J59" s="63">
        <v>160</v>
      </c>
      <c r="K59" s="63">
        <v>160</v>
      </c>
      <c r="L59" s="63">
        <v>160</v>
      </c>
      <c r="M59" s="63">
        <v>160</v>
      </c>
      <c r="N59" s="63">
        <v>160</v>
      </c>
      <c r="O59" s="63">
        <v>160</v>
      </c>
      <c r="P59" s="63">
        <v>160</v>
      </c>
      <c r="Q59" s="63">
        <v>160</v>
      </c>
      <c r="R59" s="22">
        <f t="shared" si="6"/>
        <v>1920</v>
      </c>
    </row>
    <row r="60" spans="1:19" x14ac:dyDescent="0.35">
      <c r="A60" s="27" t="s">
        <v>57</v>
      </c>
      <c r="E60" s="7" t="s">
        <v>31</v>
      </c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22">
        <f t="shared" si="6"/>
        <v>0</v>
      </c>
    </row>
    <row r="61" spans="1:19" x14ac:dyDescent="0.35">
      <c r="A61" s="27" t="s">
        <v>58</v>
      </c>
      <c r="E61" s="7" t="s">
        <v>8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22">
        <f t="shared" si="6"/>
        <v>0</v>
      </c>
    </row>
    <row r="62" spans="1:19" x14ac:dyDescent="0.35">
      <c r="A62" s="27" t="s">
        <v>59</v>
      </c>
      <c r="E62" s="7" t="s">
        <v>32</v>
      </c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22">
        <f t="shared" si="6"/>
        <v>0</v>
      </c>
    </row>
    <row r="63" spans="1:19" x14ac:dyDescent="0.35">
      <c r="A63" s="27" t="s">
        <v>60</v>
      </c>
      <c r="E63" s="7" t="s">
        <v>33</v>
      </c>
      <c r="F63" s="63">
        <v>1440</v>
      </c>
      <c r="G63" s="63">
        <v>1440</v>
      </c>
      <c r="H63" s="63">
        <v>1440</v>
      </c>
      <c r="I63" s="63">
        <v>1440</v>
      </c>
      <c r="J63" s="63">
        <v>1440</v>
      </c>
      <c r="K63" s="63">
        <v>1440</v>
      </c>
      <c r="L63" s="63">
        <v>1440</v>
      </c>
      <c r="M63" s="63">
        <v>1440</v>
      </c>
      <c r="N63" s="63">
        <v>1440</v>
      </c>
      <c r="O63" s="63">
        <v>1440</v>
      </c>
      <c r="P63" s="63">
        <v>1440</v>
      </c>
      <c r="Q63" s="63">
        <v>1440</v>
      </c>
      <c r="R63" s="22">
        <f t="shared" si="6"/>
        <v>17280</v>
      </c>
    </row>
    <row r="64" spans="1:19" x14ac:dyDescent="0.35">
      <c r="A64" s="27" t="s">
        <v>61</v>
      </c>
      <c r="E64" s="7" t="s">
        <v>40</v>
      </c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22">
        <f t="shared" si="6"/>
        <v>0</v>
      </c>
      <c r="S64" s="11"/>
    </row>
    <row r="65" spans="1:19" x14ac:dyDescent="0.35">
      <c r="C65" s="8" t="s">
        <v>34</v>
      </c>
      <c r="F65" s="10">
        <f>SUM(F42:F64)</f>
        <v>19750</v>
      </c>
      <c r="G65" s="10">
        <f t="shared" ref="G65:R65" si="7">SUM(G42:G64)</f>
        <v>19750</v>
      </c>
      <c r="H65" s="10">
        <f t="shared" si="7"/>
        <v>19750</v>
      </c>
      <c r="I65" s="10">
        <f t="shared" si="7"/>
        <v>20050</v>
      </c>
      <c r="J65" s="10">
        <f t="shared" si="7"/>
        <v>19750</v>
      </c>
      <c r="K65" s="10">
        <f t="shared" si="7"/>
        <v>19750</v>
      </c>
      <c r="L65" s="10">
        <f t="shared" si="7"/>
        <v>19750</v>
      </c>
      <c r="M65" s="10">
        <f t="shared" si="7"/>
        <v>19750</v>
      </c>
      <c r="N65" s="10">
        <f t="shared" si="7"/>
        <v>19750</v>
      </c>
      <c r="O65" s="10">
        <f t="shared" si="7"/>
        <v>19750</v>
      </c>
      <c r="P65" s="10">
        <f t="shared" si="7"/>
        <v>19750</v>
      </c>
      <c r="Q65" s="10">
        <f t="shared" si="7"/>
        <v>20750</v>
      </c>
      <c r="R65" s="20">
        <f t="shared" si="7"/>
        <v>238300</v>
      </c>
      <c r="S65" s="15"/>
    </row>
    <row r="66" spans="1:19" x14ac:dyDescent="0.35">
      <c r="C66" s="8" t="s">
        <v>35</v>
      </c>
      <c r="F66" s="10">
        <f t="shared" ref="F66:R66" si="8">F39+F65</f>
        <v>29807</v>
      </c>
      <c r="G66" s="10">
        <f t="shared" si="8"/>
        <v>28206</v>
      </c>
      <c r="H66" s="10">
        <f t="shared" si="8"/>
        <v>28271</v>
      </c>
      <c r="I66" s="10">
        <f t="shared" si="8"/>
        <v>28371</v>
      </c>
      <c r="J66" s="10">
        <f t="shared" si="8"/>
        <v>28206</v>
      </c>
      <c r="K66" s="10">
        <f t="shared" si="8"/>
        <v>28271</v>
      </c>
      <c r="L66" s="10">
        <f t="shared" si="8"/>
        <v>30107</v>
      </c>
      <c r="M66" s="10">
        <f t="shared" si="8"/>
        <v>28206</v>
      </c>
      <c r="N66" s="10">
        <f t="shared" si="8"/>
        <v>28271</v>
      </c>
      <c r="O66" s="10">
        <f t="shared" si="8"/>
        <v>28071</v>
      </c>
      <c r="P66" s="10">
        <f t="shared" si="8"/>
        <v>28206</v>
      </c>
      <c r="Q66" s="10">
        <f t="shared" si="8"/>
        <v>31071</v>
      </c>
      <c r="R66" s="20">
        <f t="shared" si="8"/>
        <v>345064</v>
      </c>
      <c r="S66" s="10"/>
    </row>
    <row r="67" spans="1:19" x14ac:dyDescent="0.35">
      <c r="C67" s="8" t="s">
        <v>36</v>
      </c>
      <c r="F67" s="10">
        <f t="shared" ref="F67:R67" si="9">F27-F66</f>
        <v>-1553</v>
      </c>
      <c r="G67" s="10">
        <f t="shared" si="9"/>
        <v>-847</v>
      </c>
      <c r="H67" s="10">
        <f t="shared" si="9"/>
        <v>-852</v>
      </c>
      <c r="I67" s="10">
        <f t="shared" si="9"/>
        <v>263</v>
      </c>
      <c r="J67" s="10">
        <f t="shared" si="9"/>
        <v>63</v>
      </c>
      <c r="K67" s="10">
        <f t="shared" si="9"/>
        <v>18</v>
      </c>
      <c r="L67" s="10">
        <f t="shared" si="9"/>
        <v>-573</v>
      </c>
      <c r="M67" s="10">
        <f t="shared" si="9"/>
        <v>1003</v>
      </c>
      <c r="N67" s="10">
        <f t="shared" si="9"/>
        <v>978</v>
      </c>
      <c r="O67" s="10">
        <f t="shared" si="9"/>
        <v>1158</v>
      </c>
      <c r="P67" s="10">
        <f t="shared" si="9"/>
        <v>1023</v>
      </c>
      <c r="Q67" s="10">
        <f t="shared" si="9"/>
        <v>-1842</v>
      </c>
      <c r="R67" s="20">
        <f t="shared" si="9"/>
        <v>-1185</v>
      </c>
      <c r="S67" s="10"/>
    </row>
    <row r="68" spans="1:19" x14ac:dyDescent="0.35">
      <c r="F68" s="11"/>
      <c r="K68" s="11"/>
      <c r="R68" s="23"/>
    </row>
    <row r="69" spans="1:19" x14ac:dyDescent="0.35">
      <c r="B69" s="8" t="s">
        <v>37</v>
      </c>
      <c r="F69" s="11"/>
      <c r="K69" s="11"/>
      <c r="R69" s="23"/>
    </row>
    <row r="70" spans="1:19" x14ac:dyDescent="0.35">
      <c r="A70" s="27" t="s">
        <v>92</v>
      </c>
      <c r="B70" s="8"/>
      <c r="C70" s="7" t="s">
        <v>120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22">
        <f>SUM(F70:Q70)</f>
        <v>0</v>
      </c>
      <c r="S70" s="11"/>
    </row>
    <row r="71" spans="1:19" x14ac:dyDescent="0.35">
      <c r="A71" s="27" t="s">
        <v>93</v>
      </c>
      <c r="B71" s="8"/>
      <c r="C71" s="7" t="s">
        <v>44</v>
      </c>
      <c r="F71" s="10"/>
      <c r="G71" s="11"/>
      <c r="H71" s="11"/>
      <c r="I71" s="11"/>
      <c r="J71" s="11"/>
      <c r="K71" s="10"/>
      <c r="L71" s="11"/>
      <c r="M71" s="11"/>
      <c r="N71" s="11"/>
      <c r="O71" s="11"/>
      <c r="P71" s="11"/>
      <c r="Q71" s="11"/>
      <c r="R71" s="22">
        <f>SUM(F71:Q71)</f>
        <v>0</v>
      </c>
      <c r="S71" s="11"/>
    </row>
    <row r="72" spans="1:19" x14ac:dyDescent="0.35">
      <c r="B72" s="8"/>
      <c r="C72" s="8" t="s">
        <v>46</v>
      </c>
      <c r="F72" s="10">
        <v>0</v>
      </c>
      <c r="G72" s="10">
        <v>0</v>
      </c>
      <c r="H72" s="10">
        <f t="shared" ref="H72:R72" si="10">SUM(H70:H71)</f>
        <v>0</v>
      </c>
      <c r="I72" s="10">
        <f t="shared" si="10"/>
        <v>0</v>
      </c>
      <c r="J72" s="10">
        <f t="shared" si="10"/>
        <v>0</v>
      </c>
      <c r="K72" s="10">
        <f t="shared" si="10"/>
        <v>0</v>
      </c>
      <c r="L72" s="10">
        <f t="shared" si="10"/>
        <v>0</v>
      </c>
      <c r="M72" s="10">
        <f t="shared" si="10"/>
        <v>0</v>
      </c>
      <c r="N72" s="10">
        <v>0</v>
      </c>
      <c r="O72" s="10">
        <f t="shared" si="10"/>
        <v>0</v>
      </c>
      <c r="P72" s="10">
        <f t="shared" si="10"/>
        <v>0</v>
      </c>
      <c r="Q72" s="10">
        <f t="shared" si="10"/>
        <v>0</v>
      </c>
      <c r="R72" s="20">
        <f t="shared" si="10"/>
        <v>0</v>
      </c>
      <c r="S72" s="10"/>
    </row>
    <row r="73" spans="1:19" x14ac:dyDescent="0.35">
      <c r="A73" s="30"/>
      <c r="B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22"/>
      <c r="S73" s="11"/>
    </row>
    <row r="74" spans="1:19" x14ac:dyDescent="0.35">
      <c r="A74" s="30"/>
      <c r="B74" s="8" t="s">
        <v>41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22"/>
      <c r="S74" s="11"/>
    </row>
    <row r="75" spans="1:19" x14ac:dyDescent="0.35">
      <c r="A75" s="27" t="s">
        <v>43</v>
      </c>
      <c r="B75" s="8"/>
      <c r="C75" s="7" t="s">
        <v>42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22">
        <f>SUM(F75:Q75)</f>
        <v>0</v>
      </c>
      <c r="S75" s="11"/>
    </row>
    <row r="76" spans="1:19" x14ac:dyDescent="0.35">
      <c r="A76" s="27" t="s">
        <v>47</v>
      </c>
      <c r="B76" s="8"/>
      <c r="C76" s="7" t="s">
        <v>102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22">
        <f>SUM(F76:Q76)</f>
        <v>0</v>
      </c>
      <c r="S76" s="11"/>
    </row>
    <row r="77" spans="1:19" x14ac:dyDescent="0.35">
      <c r="B77" s="8"/>
      <c r="C77" s="8" t="s">
        <v>45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0">
        <f>SUM(R75:R76)</f>
        <v>0</v>
      </c>
      <c r="S77" s="10"/>
    </row>
    <row r="78" spans="1:19" x14ac:dyDescent="0.35">
      <c r="B78" s="8"/>
      <c r="R78" s="23"/>
    </row>
    <row r="79" spans="1:19" x14ac:dyDescent="0.35">
      <c r="B79" s="8" t="s">
        <v>38</v>
      </c>
      <c r="F79" s="16">
        <f t="shared" ref="F79:R79" si="11">F67-F72-F77</f>
        <v>-1553</v>
      </c>
      <c r="G79" s="16">
        <f t="shared" si="11"/>
        <v>-847</v>
      </c>
      <c r="H79" s="16">
        <f t="shared" si="11"/>
        <v>-852</v>
      </c>
      <c r="I79" s="16">
        <f t="shared" si="11"/>
        <v>263</v>
      </c>
      <c r="J79" s="16">
        <f t="shared" si="11"/>
        <v>63</v>
      </c>
      <c r="K79" s="16">
        <f t="shared" si="11"/>
        <v>18</v>
      </c>
      <c r="L79" s="16">
        <f t="shared" si="11"/>
        <v>-573</v>
      </c>
      <c r="M79" s="16">
        <f t="shared" si="11"/>
        <v>1003</v>
      </c>
      <c r="N79" s="16">
        <f t="shared" si="11"/>
        <v>978</v>
      </c>
      <c r="O79" s="16">
        <f t="shared" si="11"/>
        <v>1158</v>
      </c>
      <c r="P79" s="16">
        <f t="shared" si="11"/>
        <v>1023</v>
      </c>
      <c r="Q79" s="16">
        <f t="shared" si="11"/>
        <v>-1842</v>
      </c>
      <c r="R79" s="24">
        <f t="shared" si="11"/>
        <v>-1185</v>
      </c>
      <c r="S79" s="11"/>
    </row>
    <row r="81" spans="1:18" x14ac:dyDescent="0.35">
      <c r="A81" s="30"/>
      <c r="R81" s="11"/>
    </row>
    <row r="82" spans="1:18" x14ac:dyDescent="0.35">
      <c r="A82" s="32"/>
      <c r="R82" s="11"/>
    </row>
    <row r="83" spans="1:18" x14ac:dyDescent="0.35">
      <c r="A83" s="30"/>
      <c r="R83" s="11"/>
    </row>
    <row r="84" spans="1:18" x14ac:dyDescent="0.35">
      <c r="A84" s="32"/>
      <c r="R84" s="11"/>
    </row>
    <row r="85" spans="1:18" x14ac:dyDescent="0.35">
      <c r="A85" s="30"/>
    </row>
    <row r="87" spans="1:18" x14ac:dyDescent="0.35">
      <c r="R87" s="11"/>
    </row>
    <row r="88" spans="1:18" x14ac:dyDescent="0.35">
      <c r="C88" s="7" t="s">
        <v>154</v>
      </c>
      <c r="R88" s="11"/>
    </row>
    <row r="89" spans="1:18" ht="16.5" thickBot="1" x14ac:dyDescent="0.4">
      <c r="A89" s="7"/>
      <c r="E89" s="76" t="s">
        <v>64</v>
      </c>
      <c r="F89" s="17">
        <v>1</v>
      </c>
      <c r="G89" s="17">
        <v>2</v>
      </c>
      <c r="H89" s="17">
        <v>3</v>
      </c>
      <c r="I89" s="17">
        <v>4</v>
      </c>
      <c r="J89" s="17">
        <v>5</v>
      </c>
      <c r="K89" s="17">
        <v>6</v>
      </c>
      <c r="L89" s="17">
        <v>7</v>
      </c>
      <c r="M89" s="17">
        <v>8</v>
      </c>
      <c r="N89" s="17">
        <v>9</v>
      </c>
      <c r="O89" s="17">
        <v>10</v>
      </c>
      <c r="P89" s="17">
        <v>11</v>
      </c>
      <c r="Q89" s="17">
        <v>12</v>
      </c>
      <c r="R89" s="77" t="s">
        <v>96</v>
      </c>
    </row>
    <row r="90" spans="1:18" x14ac:dyDescent="0.35">
      <c r="A90" s="7" t="str">
        <f>VLOOKUP($E90,$A$9:$E$77,3,FALSE)</f>
        <v>Rental Income</v>
      </c>
      <c r="E90" s="73" t="s">
        <v>65</v>
      </c>
      <c r="F90" s="74">
        <f t="shared" ref="F90:Q90" si="12">-F9</f>
        <v>-22330</v>
      </c>
      <c r="G90" s="74">
        <f t="shared" si="12"/>
        <v>-21435</v>
      </c>
      <c r="H90" s="74">
        <f t="shared" si="12"/>
        <v>-21495</v>
      </c>
      <c r="I90" s="74">
        <f t="shared" si="12"/>
        <v>-22345</v>
      </c>
      <c r="J90" s="74">
        <f t="shared" si="12"/>
        <v>-22345</v>
      </c>
      <c r="K90" s="74">
        <f t="shared" si="12"/>
        <v>-22365</v>
      </c>
      <c r="L90" s="74">
        <f t="shared" si="12"/>
        <v>-23285</v>
      </c>
      <c r="M90" s="74">
        <f t="shared" si="12"/>
        <v>-23285</v>
      </c>
      <c r="N90" s="74">
        <f t="shared" si="12"/>
        <v>-23285</v>
      </c>
      <c r="O90" s="74">
        <f t="shared" si="12"/>
        <v>-23305</v>
      </c>
      <c r="P90" s="74">
        <f t="shared" si="12"/>
        <v>-23305</v>
      </c>
      <c r="Q90" s="75">
        <f t="shared" si="12"/>
        <v>-23305</v>
      </c>
      <c r="R90" s="18">
        <f>SUM(F90:Q90)</f>
        <v>-272085</v>
      </c>
    </row>
    <row r="91" spans="1:18" x14ac:dyDescent="0.35">
      <c r="A91" s="7" t="str">
        <f t="shared" ref="A91:A136" si="13">VLOOKUP($E91,$A$9:$E$77,3,FALSE)</f>
        <v>Equipment Rentals &amp; Other</v>
      </c>
      <c r="E91" s="66" t="s">
        <v>66</v>
      </c>
      <c r="F91" s="67">
        <f t="shared" ref="F91:Q91" si="14">-F10</f>
        <v>-5</v>
      </c>
      <c r="G91" s="67">
        <f t="shared" si="14"/>
        <v>-5</v>
      </c>
      <c r="H91" s="67">
        <f t="shared" si="14"/>
        <v>-5</v>
      </c>
      <c r="I91" s="67">
        <f t="shared" si="14"/>
        <v>-5</v>
      </c>
      <c r="J91" s="67">
        <f t="shared" si="14"/>
        <v>-5</v>
      </c>
      <c r="K91" s="67">
        <f t="shared" si="14"/>
        <v>-5</v>
      </c>
      <c r="L91" s="67">
        <f t="shared" si="14"/>
        <v>-5</v>
      </c>
      <c r="M91" s="67">
        <f t="shared" si="14"/>
        <v>-5</v>
      </c>
      <c r="N91" s="67">
        <f t="shared" si="14"/>
        <v>-5</v>
      </c>
      <c r="O91" s="67">
        <f t="shared" si="14"/>
        <v>-5</v>
      </c>
      <c r="P91" s="67">
        <f t="shared" si="14"/>
        <v>-5</v>
      </c>
      <c r="Q91" s="68">
        <f t="shared" si="14"/>
        <v>-5</v>
      </c>
      <c r="R91" s="18">
        <f t="shared" ref="R91:R136" si="15">SUM(F91:Q91)</f>
        <v>-60</v>
      </c>
    </row>
    <row r="92" spans="1:18" x14ac:dyDescent="0.35">
      <c r="A92" s="7" t="str">
        <f t="shared" si="13"/>
        <v>Interest Income</v>
      </c>
      <c r="E92" s="66" t="s">
        <v>67</v>
      </c>
      <c r="F92" s="67">
        <f t="shared" ref="F92:Q92" si="16">-F11</f>
        <v>-2</v>
      </c>
      <c r="G92" s="67">
        <f t="shared" si="16"/>
        <v>-2</v>
      </c>
      <c r="H92" s="67">
        <f t="shared" si="16"/>
        <v>-2</v>
      </c>
      <c r="I92" s="67">
        <f t="shared" si="16"/>
        <v>-2</v>
      </c>
      <c r="J92" s="67">
        <f t="shared" si="16"/>
        <v>-2</v>
      </c>
      <c r="K92" s="67">
        <f t="shared" si="16"/>
        <v>-2</v>
      </c>
      <c r="L92" s="67">
        <f t="shared" si="16"/>
        <v>-2</v>
      </c>
      <c r="M92" s="67">
        <f t="shared" si="16"/>
        <v>-2</v>
      </c>
      <c r="N92" s="67">
        <f t="shared" si="16"/>
        <v>-2</v>
      </c>
      <c r="O92" s="67">
        <f t="shared" si="16"/>
        <v>-2</v>
      </c>
      <c r="P92" s="67">
        <f t="shared" si="16"/>
        <v>-2</v>
      </c>
      <c r="Q92" s="68">
        <f t="shared" si="16"/>
        <v>-2</v>
      </c>
      <c r="R92" s="18">
        <f t="shared" si="15"/>
        <v>-24</v>
      </c>
    </row>
    <row r="93" spans="1:18" x14ac:dyDescent="0.35">
      <c r="A93" s="7" t="str">
        <f t="shared" si="13"/>
        <v>CIP Memberships</v>
      </c>
      <c r="E93" s="66" t="s">
        <v>68</v>
      </c>
      <c r="F93" s="67">
        <f t="shared" ref="F93:Q93" si="17">-F15</f>
        <v>-2130</v>
      </c>
      <c r="G93" s="67">
        <f t="shared" si="17"/>
        <v>-2130</v>
      </c>
      <c r="H93" s="67">
        <f t="shared" si="17"/>
        <v>-2130</v>
      </c>
      <c r="I93" s="67">
        <f t="shared" si="17"/>
        <v>-2130</v>
      </c>
      <c r="J93" s="67">
        <f t="shared" si="17"/>
        <v>-2130</v>
      </c>
      <c r="K93" s="67">
        <f t="shared" si="17"/>
        <v>-2130</v>
      </c>
      <c r="L93" s="67">
        <f t="shared" si="17"/>
        <v>-2130</v>
      </c>
      <c r="M93" s="67">
        <f t="shared" si="17"/>
        <v>-2130</v>
      </c>
      <c r="N93" s="67">
        <f t="shared" si="17"/>
        <v>-2130</v>
      </c>
      <c r="O93" s="67">
        <f t="shared" si="17"/>
        <v>-2130</v>
      </c>
      <c r="P93" s="67">
        <f t="shared" si="17"/>
        <v>-2130</v>
      </c>
      <c r="Q93" s="68">
        <f t="shared" si="17"/>
        <v>-2130</v>
      </c>
      <c r="R93" s="18">
        <f t="shared" si="15"/>
        <v>-25560</v>
      </c>
    </row>
    <row r="94" spans="1:18" x14ac:dyDescent="0.35">
      <c r="A94" s="7" t="str">
        <f t="shared" si="13"/>
        <v>Conference Room Rental</v>
      </c>
      <c r="E94" s="66" t="s">
        <v>69</v>
      </c>
      <c r="F94" s="67">
        <f t="shared" ref="F94:Q94" si="18">-F16</f>
        <v>-60</v>
      </c>
      <c r="G94" s="67">
        <f t="shared" si="18"/>
        <v>-60</v>
      </c>
      <c r="H94" s="67">
        <f t="shared" si="18"/>
        <v>-60</v>
      </c>
      <c r="I94" s="67">
        <f t="shared" si="18"/>
        <v>-100</v>
      </c>
      <c r="J94" s="67">
        <f t="shared" si="18"/>
        <v>-60</v>
      </c>
      <c r="K94" s="67">
        <f t="shared" si="18"/>
        <v>-60</v>
      </c>
      <c r="L94" s="67">
        <f t="shared" si="18"/>
        <v>-60</v>
      </c>
      <c r="M94" s="67">
        <f t="shared" si="18"/>
        <v>-60</v>
      </c>
      <c r="N94" s="67">
        <f t="shared" si="18"/>
        <v>-100</v>
      </c>
      <c r="O94" s="67">
        <f t="shared" si="18"/>
        <v>-60</v>
      </c>
      <c r="P94" s="67">
        <f t="shared" si="18"/>
        <v>-60</v>
      </c>
      <c r="Q94" s="68">
        <f t="shared" si="18"/>
        <v>-60</v>
      </c>
      <c r="R94" s="18">
        <f t="shared" si="15"/>
        <v>-800</v>
      </c>
    </row>
    <row r="95" spans="1:18" x14ac:dyDescent="0.35">
      <c r="A95" s="7" t="str">
        <f t="shared" si="13"/>
        <v>Supplies (6960-8502)</v>
      </c>
      <c r="C95" s="8"/>
      <c r="E95" s="66" t="s">
        <v>70</v>
      </c>
      <c r="F95" s="67">
        <f t="shared" ref="F95:Q95" si="19">-F17</f>
        <v>-37</v>
      </c>
      <c r="G95" s="67">
        <f t="shared" si="19"/>
        <v>-37</v>
      </c>
      <c r="H95" s="67">
        <f t="shared" si="19"/>
        <v>-37</v>
      </c>
      <c r="I95" s="67">
        <f t="shared" si="19"/>
        <v>-37</v>
      </c>
      <c r="J95" s="67">
        <f t="shared" si="19"/>
        <v>-37</v>
      </c>
      <c r="K95" s="67">
        <f t="shared" si="19"/>
        <v>-37</v>
      </c>
      <c r="L95" s="67">
        <f t="shared" si="19"/>
        <v>-37</v>
      </c>
      <c r="M95" s="67">
        <f t="shared" si="19"/>
        <v>-37</v>
      </c>
      <c r="N95" s="67">
        <f t="shared" si="19"/>
        <v>-37</v>
      </c>
      <c r="O95" s="67">
        <f t="shared" si="19"/>
        <v>-37</v>
      </c>
      <c r="P95" s="67">
        <f t="shared" si="19"/>
        <v>-37</v>
      </c>
      <c r="Q95" s="68">
        <f t="shared" si="19"/>
        <v>-37</v>
      </c>
      <c r="R95" s="18">
        <f t="shared" si="15"/>
        <v>-444</v>
      </c>
    </row>
    <row r="96" spans="1:18" x14ac:dyDescent="0.35">
      <c r="A96" s="7" t="str">
        <f t="shared" si="13"/>
        <v>Postage (1PO-2PO) (1PP-2PP)</v>
      </c>
      <c r="E96" s="66" t="s">
        <v>71</v>
      </c>
      <c r="F96" s="67">
        <f t="shared" ref="F96:Q96" si="20">-F18</f>
        <v>-103</v>
      </c>
      <c r="G96" s="67">
        <f t="shared" si="20"/>
        <v>-103</v>
      </c>
      <c r="H96" s="67">
        <f t="shared" si="20"/>
        <v>-103</v>
      </c>
      <c r="I96" s="67">
        <f t="shared" si="20"/>
        <v>-103</v>
      </c>
      <c r="J96" s="67">
        <f t="shared" si="20"/>
        <v>-103</v>
      </c>
      <c r="K96" s="67">
        <f t="shared" si="20"/>
        <v>-103</v>
      </c>
      <c r="L96" s="67">
        <f t="shared" si="20"/>
        <v>-103</v>
      </c>
      <c r="M96" s="67">
        <f t="shared" si="20"/>
        <v>-103</v>
      </c>
      <c r="N96" s="67">
        <f t="shared" si="20"/>
        <v>-103</v>
      </c>
      <c r="O96" s="67">
        <f t="shared" si="20"/>
        <v>-103</v>
      </c>
      <c r="P96" s="67">
        <f t="shared" si="20"/>
        <v>-103</v>
      </c>
      <c r="Q96" s="68">
        <f t="shared" si="20"/>
        <v>-103</v>
      </c>
      <c r="R96" s="18">
        <f t="shared" si="15"/>
        <v>-1236</v>
      </c>
    </row>
    <row r="97" spans="1:18" x14ac:dyDescent="0.35">
      <c r="A97" s="7" t="str">
        <f t="shared" si="13"/>
        <v>Clerical (Notary-KCP) (1CE-2NO)</v>
      </c>
      <c r="E97" s="66" t="s">
        <v>72</v>
      </c>
      <c r="F97" s="67">
        <f t="shared" ref="F97:Q97" si="21">-F19</f>
        <v>-450</v>
      </c>
      <c r="G97" s="67">
        <f t="shared" si="21"/>
        <v>-450</v>
      </c>
      <c r="H97" s="67">
        <f t="shared" si="21"/>
        <v>-450</v>
      </c>
      <c r="I97" s="67">
        <f t="shared" si="21"/>
        <v>-450</v>
      </c>
      <c r="J97" s="67">
        <f t="shared" si="21"/>
        <v>-450</v>
      </c>
      <c r="K97" s="67">
        <f t="shared" si="21"/>
        <v>-450</v>
      </c>
      <c r="L97" s="67">
        <f t="shared" si="21"/>
        <v>-450</v>
      </c>
      <c r="M97" s="67">
        <f t="shared" si="21"/>
        <v>-450</v>
      </c>
      <c r="N97" s="67">
        <f t="shared" si="21"/>
        <v>-450</v>
      </c>
      <c r="O97" s="67">
        <f t="shared" si="21"/>
        <v>-450</v>
      </c>
      <c r="P97" s="67">
        <f t="shared" si="21"/>
        <v>-450</v>
      </c>
      <c r="Q97" s="68">
        <f t="shared" si="21"/>
        <v>-450</v>
      </c>
      <c r="R97" s="18">
        <f t="shared" si="15"/>
        <v>-5400</v>
      </c>
    </row>
    <row r="98" spans="1:18" x14ac:dyDescent="0.35">
      <c r="A98" s="7" t="str">
        <f t="shared" si="13"/>
        <v>Copier - B&amp;W (1CI)</v>
      </c>
      <c r="E98" s="66" t="s">
        <v>73</v>
      </c>
      <c r="F98" s="67">
        <f t="shared" ref="F98:Q98" si="22">-F20</f>
        <v>-79</v>
      </c>
      <c r="G98" s="67">
        <f t="shared" si="22"/>
        <v>-79</v>
      </c>
      <c r="H98" s="67">
        <f t="shared" si="22"/>
        <v>-79</v>
      </c>
      <c r="I98" s="67">
        <f t="shared" si="22"/>
        <v>-79</v>
      </c>
      <c r="J98" s="67">
        <f t="shared" si="22"/>
        <v>-79</v>
      </c>
      <c r="K98" s="67">
        <f t="shared" si="22"/>
        <v>-79</v>
      </c>
      <c r="L98" s="67">
        <f t="shared" si="22"/>
        <v>-79</v>
      </c>
      <c r="M98" s="67">
        <f t="shared" si="22"/>
        <v>-79</v>
      </c>
      <c r="N98" s="67">
        <f t="shared" si="22"/>
        <v>-79</v>
      </c>
      <c r="O98" s="67">
        <f t="shared" si="22"/>
        <v>-79</v>
      </c>
      <c r="P98" s="67">
        <f t="shared" si="22"/>
        <v>-79</v>
      </c>
      <c r="Q98" s="68">
        <f t="shared" si="22"/>
        <v>-79</v>
      </c>
      <c r="R98" s="18">
        <f t="shared" si="15"/>
        <v>-948</v>
      </c>
    </row>
    <row r="99" spans="1:18" x14ac:dyDescent="0.35">
      <c r="A99" s="7" t="str">
        <f t="shared" si="13"/>
        <v>Copier - Color (1CO)</v>
      </c>
      <c r="E99" s="66" t="s">
        <v>74</v>
      </c>
      <c r="F99" s="67">
        <f t="shared" ref="F99:Q99" si="23">-F21</f>
        <v>-30</v>
      </c>
      <c r="G99" s="67">
        <f t="shared" si="23"/>
        <v>-30</v>
      </c>
      <c r="H99" s="67">
        <f t="shared" si="23"/>
        <v>-30</v>
      </c>
      <c r="I99" s="67">
        <f t="shared" si="23"/>
        <v>-30</v>
      </c>
      <c r="J99" s="67">
        <f t="shared" si="23"/>
        <v>-30</v>
      </c>
      <c r="K99" s="67">
        <f t="shared" si="23"/>
        <v>-30</v>
      </c>
      <c r="L99" s="67">
        <f t="shared" si="23"/>
        <v>-30</v>
      </c>
      <c r="M99" s="67">
        <f t="shared" si="23"/>
        <v>-30</v>
      </c>
      <c r="N99" s="67">
        <f t="shared" si="23"/>
        <v>-30</v>
      </c>
      <c r="O99" s="67">
        <f t="shared" si="23"/>
        <v>-30</v>
      </c>
      <c r="P99" s="67">
        <f t="shared" si="23"/>
        <v>-30</v>
      </c>
      <c r="Q99" s="68">
        <f t="shared" si="23"/>
        <v>-30</v>
      </c>
      <c r="R99" s="18">
        <f t="shared" si="15"/>
        <v>-360</v>
      </c>
    </row>
    <row r="100" spans="1:18" x14ac:dyDescent="0.35">
      <c r="A100" s="7" t="str">
        <f t="shared" si="13"/>
        <v>Start-up (2UP)</v>
      </c>
      <c r="E100" s="66" t="s">
        <v>75</v>
      </c>
      <c r="F100" s="67">
        <f t="shared" ref="F100:Q100" si="24">-F22</f>
        <v>0</v>
      </c>
      <c r="G100" s="67">
        <f t="shared" si="24"/>
        <v>0</v>
      </c>
      <c r="H100" s="67">
        <f t="shared" si="24"/>
        <v>0</v>
      </c>
      <c r="I100" s="67">
        <f t="shared" si="24"/>
        <v>-325</v>
      </c>
      <c r="J100" s="67">
        <f t="shared" si="24"/>
        <v>0</v>
      </c>
      <c r="K100" s="67">
        <f t="shared" si="24"/>
        <v>0</v>
      </c>
      <c r="L100" s="67">
        <f t="shared" si="24"/>
        <v>-325</v>
      </c>
      <c r="M100" s="67">
        <f t="shared" si="24"/>
        <v>0</v>
      </c>
      <c r="N100" s="67">
        <f t="shared" si="24"/>
        <v>0</v>
      </c>
      <c r="O100" s="67">
        <f t="shared" si="24"/>
        <v>0</v>
      </c>
      <c r="P100" s="67">
        <f t="shared" si="24"/>
        <v>0</v>
      </c>
      <c r="Q100" s="68">
        <f t="shared" si="24"/>
        <v>0</v>
      </c>
      <c r="R100" s="18">
        <f t="shared" si="15"/>
        <v>-650</v>
      </c>
    </row>
    <row r="101" spans="1:18" x14ac:dyDescent="0.35">
      <c r="A101" s="7" t="str">
        <f t="shared" si="13"/>
        <v>Fax (1FX)</v>
      </c>
      <c r="E101" s="66" t="s">
        <v>76</v>
      </c>
      <c r="F101" s="67">
        <f t="shared" ref="F101:Q101" si="25">-F23</f>
        <v>-1</v>
      </c>
      <c r="G101" s="67">
        <f t="shared" si="25"/>
        <v>-1</v>
      </c>
      <c r="H101" s="67">
        <f t="shared" si="25"/>
        <v>-1</v>
      </c>
      <c r="I101" s="67">
        <f t="shared" si="25"/>
        <v>-1</v>
      </c>
      <c r="J101" s="67">
        <f t="shared" si="25"/>
        <v>-1</v>
      </c>
      <c r="K101" s="67">
        <f t="shared" si="25"/>
        <v>-1</v>
      </c>
      <c r="L101" s="67">
        <f t="shared" si="25"/>
        <v>-1</v>
      </c>
      <c r="M101" s="67">
        <f t="shared" si="25"/>
        <v>-1</v>
      </c>
      <c r="N101" s="67">
        <f t="shared" si="25"/>
        <v>-1</v>
      </c>
      <c r="O101" s="67">
        <f t="shared" si="25"/>
        <v>-1</v>
      </c>
      <c r="P101" s="67">
        <f t="shared" si="25"/>
        <v>-1</v>
      </c>
      <c r="Q101" s="68">
        <f t="shared" si="25"/>
        <v>-1</v>
      </c>
      <c r="R101" s="18">
        <f t="shared" si="15"/>
        <v>-12</v>
      </c>
    </row>
    <row r="102" spans="1:18" x14ac:dyDescent="0.35">
      <c r="A102" s="7" t="str">
        <f t="shared" si="13"/>
        <v>Telephone (1CL-1VM-1CK)</v>
      </c>
      <c r="E102" s="66" t="s">
        <v>77</v>
      </c>
      <c r="F102" s="67">
        <f t="shared" ref="F102:Q102" si="26">-F24</f>
        <v>-975</v>
      </c>
      <c r="G102" s="67">
        <f t="shared" si="26"/>
        <v>-975</v>
      </c>
      <c r="H102" s="67">
        <f t="shared" si="26"/>
        <v>-975</v>
      </c>
      <c r="I102" s="67">
        <f t="shared" si="26"/>
        <v>-975</v>
      </c>
      <c r="J102" s="67">
        <f t="shared" si="26"/>
        <v>-975</v>
      </c>
      <c r="K102" s="67">
        <f t="shared" si="26"/>
        <v>-975</v>
      </c>
      <c r="L102" s="67">
        <f t="shared" si="26"/>
        <v>-975</v>
      </c>
      <c r="M102" s="67">
        <f t="shared" si="26"/>
        <v>-975</v>
      </c>
      <c r="N102" s="67">
        <f t="shared" si="26"/>
        <v>-975</v>
      </c>
      <c r="O102" s="67">
        <f t="shared" si="26"/>
        <v>-975</v>
      </c>
      <c r="P102" s="67">
        <f t="shared" si="26"/>
        <v>-975</v>
      </c>
      <c r="Q102" s="68">
        <f t="shared" si="26"/>
        <v>-975</v>
      </c>
      <c r="R102" s="18">
        <f t="shared" si="15"/>
        <v>-11700</v>
      </c>
    </row>
    <row r="103" spans="1:18" x14ac:dyDescent="0.35">
      <c r="A103" s="7" t="str">
        <f t="shared" si="13"/>
        <v>Internet (2IP)</v>
      </c>
      <c r="E103" s="66" t="s">
        <v>78</v>
      </c>
      <c r="F103" s="67">
        <f t="shared" ref="F103:Q103" si="27">-F25</f>
        <v>-2052</v>
      </c>
      <c r="G103" s="67">
        <f t="shared" si="27"/>
        <v>-2052</v>
      </c>
      <c r="H103" s="67">
        <f t="shared" si="27"/>
        <v>-2052</v>
      </c>
      <c r="I103" s="67">
        <f t="shared" si="27"/>
        <v>-2052</v>
      </c>
      <c r="J103" s="67">
        <f t="shared" si="27"/>
        <v>-2052</v>
      </c>
      <c r="K103" s="67">
        <f t="shared" si="27"/>
        <v>-2052</v>
      </c>
      <c r="L103" s="67">
        <f t="shared" si="27"/>
        <v>-2052</v>
      </c>
      <c r="M103" s="67">
        <f t="shared" si="27"/>
        <v>-2052</v>
      </c>
      <c r="N103" s="67">
        <f t="shared" si="27"/>
        <v>-2052</v>
      </c>
      <c r="O103" s="67">
        <f t="shared" si="27"/>
        <v>-2052</v>
      </c>
      <c r="P103" s="67">
        <f t="shared" si="27"/>
        <v>-2052</v>
      </c>
      <c r="Q103" s="68">
        <f t="shared" si="27"/>
        <v>-2052</v>
      </c>
      <c r="R103" s="18">
        <f t="shared" si="15"/>
        <v>-24624</v>
      </c>
    </row>
    <row r="104" spans="1:18" x14ac:dyDescent="0.35">
      <c r="A104" s="7" t="str">
        <f t="shared" si="13"/>
        <v>Salaries- Secretarial Staff</v>
      </c>
      <c r="E104" s="66" t="s">
        <v>79</v>
      </c>
      <c r="F104" s="67">
        <f t="shared" ref="F104:Q104" si="28">+F30</f>
        <v>8682</v>
      </c>
      <c r="G104" s="67">
        <f t="shared" si="28"/>
        <v>6946</v>
      </c>
      <c r="H104" s="67">
        <f t="shared" si="28"/>
        <v>6946</v>
      </c>
      <c r="I104" s="67">
        <f t="shared" si="28"/>
        <v>6946</v>
      </c>
      <c r="J104" s="67">
        <f t="shared" si="28"/>
        <v>6946</v>
      </c>
      <c r="K104" s="67">
        <f t="shared" si="28"/>
        <v>6946</v>
      </c>
      <c r="L104" s="67">
        <f t="shared" si="28"/>
        <v>8682</v>
      </c>
      <c r="M104" s="67">
        <f t="shared" si="28"/>
        <v>6946</v>
      </c>
      <c r="N104" s="67">
        <f t="shared" si="28"/>
        <v>6946</v>
      </c>
      <c r="O104" s="67">
        <f t="shared" si="28"/>
        <v>6946</v>
      </c>
      <c r="P104" s="67">
        <f t="shared" si="28"/>
        <v>6946</v>
      </c>
      <c r="Q104" s="68">
        <f t="shared" si="28"/>
        <v>6946</v>
      </c>
      <c r="R104" s="18">
        <f t="shared" si="15"/>
        <v>86824</v>
      </c>
    </row>
    <row r="105" spans="1:18" x14ac:dyDescent="0.35">
      <c r="A105" s="7" t="str">
        <f t="shared" si="13"/>
        <v>Postage (Pitney Bowes machine and Fex Ex)</v>
      </c>
      <c r="E105" s="66" t="s">
        <v>80</v>
      </c>
      <c r="F105" s="67">
        <f t="shared" ref="F105:Q105" si="29">+F31</f>
        <v>0</v>
      </c>
      <c r="G105" s="67">
        <f t="shared" si="29"/>
        <v>135</v>
      </c>
      <c r="H105" s="67">
        <f t="shared" si="29"/>
        <v>200</v>
      </c>
      <c r="I105" s="67">
        <f t="shared" si="29"/>
        <v>0</v>
      </c>
      <c r="J105" s="67">
        <f t="shared" si="29"/>
        <v>135</v>
      </c>
      <c r="K105" s="67">
        <f t="shared" si="29"/>
        <v>200</v>
      </c>
      <c r="L105" s="67">
        <f t="shared" si="29"/>
        <v>0</v>
      </c>
      <c r="M105" s="67">
        <f t="shared" si="29"/>
        <v>135</v>
      </c>
      <c r="N105" s="67">
        <f t="shared" si="29"/>
        <v>200</v>
      </c>
      <c r="O105" s="67">
        <f t="shared" si="29"/>
        <v>0</v>
      </c>
      <c r="P105" s="67">
        <f t="shared" si="29"/>
        <v>135</v>
      </c>
      <c r="Q105" s="68">
        <f t="shared" si="29"/>
        <v>2000</v>
      </c>
      <c r="R105" s="18">
        <f t="shared" si="15"/>
        <v>3140</v>
      </c>
    </row>
    <row r="106" spans="1:18" x14ac:dyDescent="0.35">
      <c r="A106" s="7" t="str">
        <f t="shared" si="13"/>
        <v>Office Supplies</v>
      </c>
      <c r="E106" s="66" t="s">
        <v>81</v>
      </c>
      <c r="F106" s="67">
        <f t="shared" ref="F106:Q106" si="30">+F32</f>
        <v>20</v>
      </c>
      <c r="G106" s="67">
        <f t="shared" si="30"/>
        <v>20</v>
      </c>
      <c r="H106" s="67">
        <f t="shared" si="30"/>
        <v>20</v>
      </c>
      <c r="I106" s="67">
        <f t="shared" si="30"/>
        <v>20</v>
      </c>
      <c r="J106" s="67">
        <f t="shared" si="30"/>
        <v>20</v>
      </c>
      <c r="K106" s="67">
        <f t="shared" si="30"/>
        <v>20</v>
      </c>
      <c r="L106" s="67">
        <f t="shared" si="30"/>
        <v>20</v>
      </c>
      <c r="M106" s="67">
        <f t="shared" si="30"/>
        <v>20</v>
      </c>
      <c r="N106" s="67">
        <f t="shared" si="30"/>
        <v>20</v>
      </c>
      <c r="O106" s="67">
        <f t="shared" si="30"/>
        <v>20</v>
      </c>
      <c r="P106" s="67">
        <f t="shared" si="30"/>
        <v>20</v>
      </c>
      <c r="Q106" s="68">
        <f t="shared" si="30"/>
        <v>20</v>
      </c>
      <c r="R106" s="18">
        <f t="shared" si="15"/>
        <v>240</v>
      </c>
    </row>
    <row r="107" spans="1:18" x14ac:dyDescent="0.35">
      <c r="A107" s="7" t="str">
        <f t="shared" si="13"/>
        <v>Telephone (TDS)</v>
      </c>
      <c r="E107" s="66" t="s">
        <v>82</v>
      </c>
      <c r="F107" s="67">
        <f t="shared" ref="F107:Q107" si="31">+F33</f>
        <v>880</v>
      </c>
      <c r="G107" s="67">
        <f t="shared" si="31"/>
        <v>880</v>
      </c>
      <c r="H107" s="67">
        <f t="shared" si="31"/>
        <v>880</v>
      </c>
      <c r="I107" s="67">
        <f t="shared" si="31"/>
        <v>880</v>
      </c>
      <c r="J107" s="67">
        <f t="shared" si="31"/>
        <v>880</v>
      </c>
      <c r="K107" s="67">
        <f t="shared" si="31"/>
        <v>880</v>
      </c>
      <c r="L107" s="67">
        <f t="shared" si="31"/>
        <v>880</v>
      </c>
      <c r="M107" s="67">
        <f t="shared" si="31"/>
        <v>880</v>
      </c>
      <c r="N107" s="67">
        <f t="shared" si="31"/>
        <v>880</v>
      </c>
      <c r="O107" s="67">
        <f t="shared" si="31"/>
        <v>880</v>
      </c>
      <c r="P107" s="67">
        <f t="shared" si="31"/>
        <v>880</v>
      </c>
      <c r="Q107" s="68">
        <f t="shared" si="31"/>
        <v>880</v>
      </c>
      <c r="R107" s="18">
        <f t="shared" si="15"/>
        <v>10560</v>
      </c>
    </row>
    <row r="108" spans="1:18" x14ac:dyDescent="0.35">
      <c r="A108" s="7" t="str">
        <f t="shared" si="13"/>
        <v>Fax</v>
      </c>
      <c r="E108" s="66" t="s">
        <v>83</v>
      </c>
      <c r="F108" s="67">
        <f t="shared" ref="F108:Q108" si="32">+F34</f>
        <v>0</v>
      </c>
      <c r="G108" s="67">
        <f t="shared" si="32"/>
        <v>0</v>
      </c>
      <c r="H108" s="67">
        <f t="shared" si="32"/>
        <v>0</v>
      </c>
      <c r="I108" s="67">
        <f t="shared" si="32"/>
        <v>0</v>
      </c>
      <c r="J108" s="67">
        <f t="shared" si="32"/>
        <v>0</v>
      </c>
      <c r="K108" s="67">
        <f t="shared" si="32"/>
        <v>0</v>
      </c>
      <c r="L108" s="67">
        <f t="shared" si="32"/>
        <v>0</v>
      </c>
      <c r="M108" s="67">
        <f t="shared" si="32"/>
        <v>0</v>
      </c>
      <c r="N108" s="67">
        <f t="shared" si="32"/>
        <v>0</v>
      </c>
      <c r="O108" s="67">
        <f t="shared" si="32"/>
        <v>0</v>
      </c>
      <c r="P108" s="67">
        <f t="shared" si="32"/>
        <v>0</v>
      </c>
      <c r="Q108" s="68">
        <f t="shared" si="32"/>
        <v>0</v>
      </c>
      <c r="R108" s="18">
        <f t="shared" si="15"/>
        <v>0</v>
      </c>
    </row>
    <row r="109" spans="1:18" x14ac:dyDescent="0.35">
      <c r="A109" s="7" t="str">
        <f t="shared" si="13"/>
        <v>Copier-B&amp;W</v>
      </c>
      <c r="E109" s="69" t="s">
        <v>84</v>
      </c>
      <c r="F109" s="67">
        <f t="shared" ref="F109:Q109" si="33">+F35</f>
        <v>75</v>
      </c>
      <c r="G109" s="67">
        <f t="shared" si="33"/>
        <v>75</v>
      </c>
      <c r="H109" s="67">
        <f t="shared" si="33"/>
        <v>75</v>
      </c>
      <c r="I109" s="67">
        <f t="shared" si="33"/>
        <v>75</v>
      </c>
      <c r="J109" s="67">
        <f t="shared" si="33"/>
        <v>75</v>
      </c>
      <c r="K109" s="67">
        <f t="shared" si="33"/>
        <v>75</v>
      </c>
      <c r="L109" s="67">
        <f t="shared" si="33"/>
        <v>75</v>
      </c>
      <c r="M109" s="67">
        <f t="shared" si="33"/>
        <v>75</v>
      </c>
      <c r="N109" s="67">
        <f t="shared" si="33"/>
        <v>75</v>
      </c>
      <c r="O109" s="67">
        <f t="shared" si="33"/>
        <v>75</v>
      </c>
      <c r="P109" s="67">
        <f t="shared" si="33"/>
        <v>75</v>
      </c>
      <c r="Q109" s="68">
        <f t="shared" si="33"/>
        <v>75</v>
      </c>
      <c r="R109" s="18">
        <f t="shared" si="15"/>
        <v>900</v>
      </c>
    </row>
    <row r="110" spans="1:18" x14ac:dyDescent="0.35">
      <c r="A110" s="7" t="str">
        <f t="shared" si="13"/>
        <v>Copier-Color</v>
      </c>
      <c r="E110" s="66" t="s">
        <v>85</v>
      </c>
      <c r="F110" s="67">
        <f t="shared" ref="F110:Q110" si="34">+F36</f>
        <v>50</v>
      </c>
      <c r="G110" s="67">
        <f t="shared" si="34"/>
        <v>50</v>
      </c>
      <c r="H110" s="67">
        <f t="shared" si="34"/>
        <v>50</v>
      </c>
      <c r="I110" s="67">
        <f t="shared" si="34"/>
        <v>50</v>
      </c>
      <c r="J110" s="67">
        <f t="shared" si="34"/>
        <v>50</v>
      </c>
      <c r="K110" s="67">
        <f t="shared" si="34"/>
        <v>50</v>
      </c>
      <c r="L110" s="67">
        <f t="shared" si="34"/>
        <v>50</v>
      </c>
      <c r="M110" s="67">
        <f t="shared" si="34"/>
        <v>50</v>
      </c>
      <c r="N110" s="67">
        <f t="shared" si="34"/>
        <v>50</v>
      </c>
      <c r="O110" s="67">
        <f t="shared" si="34"/>
        <v>50</v>
      </c>
      <c r="P110" s="67">
        <f t="shared" si="34"/>
        <v>50</v>
      </c>
      <c r="Q110" s="68">
        <f t="shared" si="34"/>
        <v>50</v>
      </c>
      <c r="R110" s="18">
        <f t="shared" si="15"/>
        <v>600</v>
      </c>
    </row>
    <row r="111" spans="1:18" x14ac:dyDescent="0.35">
      <c r="A111" s="7" t="str">
        <f t="shared" si="13"/>
        <v>Internet (Verizon/Comcast)</v>
      </c>
      <c r="E111" s="66" t="s">
        <v>86</v>
      </c>
      <c r="F111" s="67">
        <f t="shared" ref="F111:Q111" si="35">+F37</f>
        <v>350</v>
      </c>
      <c r="G111" s="67">
        <f t="shared" si="35"/>
        <v>350</v>
      </c>
      <c r="H111" s="67">
        <f t="shared" si="35"/>
        <v>350</v>
      </c>
      <c r="I111" s="67">
        <f t="shared" si="35"/>
        <v>350</v>
      </c>
      <c r="J111" s="67">
        <f t="shared" si="35"/>
        <v>350</v>
      </c>
      <c r="K111" s="67">
        <f t="shared" si="35"/>
        <v>350</v>
      </c>
      <c r="L111" s="67">
        <f t="shared" si="35"/>
        <v>350</v>
      </c>
      <c r="M111" s="67">
        <f t="shared" si="35"/>
        <v>350</v>
      </c>
      <c r="N111" s="67">
        <f t="shared" si="35"/>
        <v>350</v>
      </c>
      <c r="O111" s="67">
        <f t="shared" si="35"/>
        <v>350</v>
      </c>
      <c r="P111" s="67">
        <f t="shared" si="35"/>
        <v>350</v>
      </c>
      <c r="Q111" s="68">
        <f t="shared" si="35"/>
        <v>350</v>
      </c>
      <c r="R111" s="18">
        <f t="shared" si="15"/>
        <v>4200</v>
      </c>
    </row>
    <row r="112" spans="1:18" x14ac:dyDescent="0.35">
      <c r="A112" s="7" t="str">
        <f t="shared" si="13"/>
        <v xml:space="preserve">Start-up </v>
      </c>
      <c r="C112" s="7" t="s">
        <v>17</v>
      </c>
      <c r="E112" s="66" t="s">
        <v>87</v>
      </c>
      <c r="F112" s="67">
        <f t="shared" ref="F112:Q112" si="36">+F38</f>
        <v>0</v>
      </c>
      <c r="G112" s="67">
        <f t="shared" si="36"/>
        <v>0</v>
      </c>
      <c r="H112" s="67">
        <f t="shared" si="36"/>
        <v>0</v>
      </c>
      <c r="I112" s="67">
        <f t="shared" si="36"/>
        <v>0</v>
      </c>
      <c r="J112" s="67">
        <f t="shared" si="36"/>
        <v>0</v>
      </c>
      <c r="K112" s="67">
        <f t="shared" si="36"/>
        <v>0</v>
      </c>
      <c r="L112" s="67">
        <f t="shared" si="36"/>
        <v>300</v>
      </c>
      <c r="M112" s="67">
        <f t="shared" si="36"/>
        <v>0</v>
      </c>
      <c r="N112" s="67">
        <f t="shared" si="36"/>
        <v>0</v>
      </c>
      <c r="O112" s="67">
        <f t="shared" si="36"/>
        <v>0</v>
      </c>
      <c r="P112" s="67">
        <f t="shared" si="36"/>
        <v>0</v>
      </c>
      <c r="Q112" s="68">
        <f t="shared" si="36"/>
        <v>0</v>
      </c>
      <c r="R112" s="18">
        <f t="shared" si="15"/>
        <v>300</v>
      </c>
    </row>
    <row r="113" spans="1:18" x14ac:dyDescent="0.35">
      <c r="A113" s="7" t="str">
        <f t="shared" si="13"/>
        <v>Salaries- Supervisor</v>
      </c>
      <c r="E113" s="66" t="s">
        <v>88</v>
      </c>
      <c r="F113" s="67">
        <f t="shared" ref="F113:Q113" si="37">+F43</f>
        <v>660</v>
      </c>
      <c r="G113" s="67">
        <f t="shared" si="37"/>
        <v>660</v>
      </c>
      <c r="H113" s="67">
        <f t="shared" si="37"/>
        <v>660</v>
      </c>
      <c r="I113" s="67">
        <f t="shared" si="37"/>
        <v>660</v>
      </c>
      <c r="J113" s="67">
        <f t="shared" si="37"/>
        <v>660</v>
      </c>
      <c r="K113" s="67">
        <f t="shared" si="37"/>
        <v>660</v>
      </c>
      <c r="L113" s="67">
        <f t="shared" si="37"/>
        <v>660</v>
      </c>
      <c r="M113" s="67">
        <f t="shared" si="37"/>
        <v>660</v>
      </c>
      <c r="N113" s="67">
        <f t="shared" si="37"/>
        <v>660</v>
      </c>
      <c r="O113" s="67">
        <f t="shared" si="37"/>
        <v>660</v>
      </c>
      <c r="P113" s="67">
        <f t="shared" si="37"/>
        <v>660</v>
      </c>
      <c r="Q113" s="68">
        <f t="shared" si="37"/>
        <v>660</v>
      </c>
      <c r="R113" s="18">
        <f t="shared" si="15"/>
        <v>7920</v>
      </c>
    </row>
    <row r="114" spans="1:18" x14ac:dyDescent="0.35">
      <c r="A114" s="7" t="str">
        <f t="shared" si="13"/>
        <v>Building Maintenance</v>
      </c>
      <c r="C114" s="7" t="s">
        <v>63</v>
      </c>
      <c r="E114" s="66" t="s">
        <v>89</v>
      </c>
      <c r="F114" s="67">
        <f t="shared" ref="F114:Q114" si="38">+F44</f>
        <v>150</v>
      </c>
      <c r="G114" s="67">
        <f t="shared" si="38"/>
        <v>150</v>
      </c>
      <c r="H114" s="67">
        <f t="shared" si="38"/>
        <v>150</v>
      </c>
      <c r="I114" s="67">
        <f t="shared" si="38"/>
        <v>150</v>
      </c>
      <c r="J114" s="67">
        <f t="shared" si="38"/>
        <v>150</v>
      </c>
      <c r="K114" s="67">
        <f t="shared" si="38"/>
        <v>150</v>
      </c>
      <c r="L114" s="67">
        <f t="shared" si="38"/>
        <v>150</v>
      </c>
      <c r="M114" s="67">
        <f t="shared" si="38"/>
        <v>150</v>
      </c>
      <c r="N114" s="67">
        <f t="shared" si="38"/>
        <v>150</v>
      </c>
      <c r="O114" s="67">
        <f t="shared" si="38"/>
        <v>150</v>
      </c>
      <c r="P114" s="67">
        <f t="shared" si="38"/>
        <v>150</v>
      </c>
      <c r="Q114" s="68">
        <f t="shared" si="38"/>
        <v>150</v>
      </c>
      <c r="R114" s="18">
        <f t="shared" si="15"/>
        <v>1800</v>
      </c>
    </row>
    <row r="115" spans="1:18" x14ac:dyDescent="0.35">
      <c r="A115" s="7" t="str">
        <f t="shared" si="13"/>
        <v>Insurance</v>
      </c>
      <c r="E115" s="66" t="s">
        <v>90</v>
      </c>
      <c r="F115" s="67">
        <f t="shared" ref="F115:Q115" si="39">+F45</f>
        <v>30</v>
      </c>
      <c r="G115" s="67">
        <f t="shared" si="39"/>
        <v>30</v>
      </c>
      <c r="H115" s="67">
        <f t="shared" si="39"/>
        <v>30</v>
      </c>
      <c r="I115" s="67">
        <f t="shared" si="39"/>
        <v>30</v>
      </c>
      <c r="J115" s="67">
        <f t="shared" si="39"/>
        <v>30</v>
      </c>
      <c r="K115" s="67">
        <f t="shared" si="39"/>
        <v>30</v>
      </c>
      <c r="L115" s="67">
        <f t="shared" si="39"/>
        <v>30</v>
      </c>
      <c r="M115" s="67">
        <f t="shared" si="39"/>
        <v>30</v>
      </c>
      <c r="N115" s="67">
        <f t="shared" si="39"/>
        <v>30</v>
      </c>
      <c r="O115" s="67">
        <f t="shared" si="39"/>
        <v>30</v>
      </c>
      <c r="P115" s="67">
        <f t="shared" si="39"/>
        <v>30</v>
      </c>
      <c r="Q115" s="68">
        <f t="shared" si="39"/>
        <v>30</v>
      </c>
      <c r="R115" s="18">
        <f t="shared" si="15"/>
        <v>360</v>
      </c>
    </row>
    <row r="116" spans="1:18" x14ac:dyDescent="0.35">
      <c r="A116" s="7" t="str">
        <f t="shared" si="13"/>
        <v>Office Rent &amp; electric $17.50 psf (10,048 sf))</v>
      </c>
      <c r="E116" s="66" t="s">
        <v>91</v>
      </c>
      <c r="F116" s="67">
        <f t="shared" ref="F116:Q116" si="40">+F46</f>
        <v>17300</v>
      </c>
      <c r="G116" s="67">
        <f t="shared" si="40"/>
        <v>17300</v>
      </c>
      <c r="H116" s="67">
        <f t="shared" si="40"/>
        <v>17300</v>
      </c>
      <c r="I116" s="67">
        <f t="shared" si="40"/>
        <v>17300</v>
      </c>
      <c r="J116" s="67">
        <f t="shared" si="40"/>
        <v>17300</v>
      </c>
      <c r="K116" s="67">
        <f t="shared" si="40"/>
        <v>17300</v>
      </c>
      <c r="L116" s="67">
        <f t="shared" si="40"/>
        <v>17300</v>
      </c>
      <c r="M116" s="67">
        <f t="shared" si="40"/>
        <v>17300</v>
      </c>
      <c r="N116" s="67">
        <f t="shared" si="40"/>
        <v>17300</v>
      </c>
      <c r="O116" s="67">
        <f t="shared" si="40"/>
        <v>17300</v>
      </c>
      <c r="P116" s="67">
        <f t="shared" si="40"/>
        <v>17300</v>
      </c>
      <c r="Q116" s="68">
        <f t="shared" si="40"/>
        <v>17300</v>
      </c>
      <c r="R116" s="18">
        <f t="shared" si="15"/>
        <v>207600</v>
      </c>
    </row>
    <row r="117" spans="1:18" x14ac:dyDescent="0.35">
      <c r="A117" s="7" t="str">
        <f t="shared" si="13"/>
        <v>Marketing</v>
      </c>
      <c r="E117" s="66" t="s">
        <v>98</v>
      </c>
      <c r="F117" s="67">
        <f t="shared" ref="F117:Q117" si="41">+F47</f>
        <v>10</v>
      </c>
      <c r="G117" s="67">
        <f t="shared" si="41"/>
        <v>10</v>
      </c>
      <c r="H117" s="67">
        <f t="shared" si="41"/>
        <v>10</v>
      </c>
      <c r="I117" s="67">
        <f t="shared" si="41"/>
        <v>10</v>
      </c>
      <c r="J117" s="67">
        <f t="shared" si="41"/>
        <v>10</v>
      </c>
      <c r="K117" s="67">
        <f t="shared" si="41"/>
        <v>10</v>
      </c>
      <c r="L117" s="67">
        <f t="shared" si="41"/>
        <v>10</v>
      </c>
      <c r="M117" s="67">
        <f t="shared" si="41"/>
        <v>10</v>
      </c>
      <c r="N117" s="67">
        <f t="shared" si="41"/>
        <v>10</v>
      </c>
      <c r="O117" s="67">
        <f t="shared" si="41"/>
        <v>10</v>
      </c>
      <c r="P117" s="67">
        <f t="shared" si="41"/>
        <v>10</v>
      </c>
      <c r="Q117" s="68">
        <f t="shared" si="41"/>
        <v>10</v>
      </c>
      <c r="R117" s="18">
        <f t="shared" si="15"/>
        <v>120</v>
      </c>
    </row>
    <row r="118" spans="1:18" x14ac:dyDescent="0.35">
      <c r="A118" s="7" t="str">
        <f t="shared" si="13"/>
        <v>Marketing-Advertising</v>
      </c>
      <c r="E118" s="66" t="s">
        <v>97</v>
      </c>
      <c r="F118" s="67">
        <f t="shared" ref="F118:Q118" si="42">+F48</f>
        <v>0</v>
      </c>
      <c r="G118" s="67">
        <f t="shared" si="42"/>
        <v>0</v>
      </c>
      <c r="H118" s="67">
        <f t="shared" si="42"/>
        <v>0</v>
      </c>
      <c r="I118" s="67">
        <f t="shared" si="42"/>
        <v>0</v>
      </c>
      <c r="J118" s="67">
        <f t="shared" si="42"/>
        <v>0</v>
      </c>
      <c r="K118" s="67">
        <f t="shared" si="42"/>
        <v>0</v>
      </c>
      <c r="L118" s="67">
        <f t="shared" si="42"/>
        <v>0</v>
      </c>
      <c r="M118" s="67">
        <f t="shared" si="42"/>
        <v>0</v>
      </c>
      <c r="N118" s="67">
        <f t="shared" si="42"/>
        <v>0</v>
      </c>
      <c r="O118" s="67">
        <f t="shared" si="42"/>
        <v>0</v>
      </c>
      <c r="P118" s="67">
        <f t="shared" si="42"/>
        <v>0</v>
      </c>
      <c r="Q118" s="68">
        <f t="shared" si="42"/>
        <v>0</v>
      </c>
      <c r="R118" s="18">
        <f t="shared" ref="R118" si="43">SUM(F118:Q118)</f>
        <v>0</v>
      </c>
    </row>
    <row r="119" spans="1:18" x14ac:dyDescent="0.35">
      <c r="A119" s="7">
        <f>VLOOKUP($E119,$A$9:$E$77,4,FALSE)</f>
        <v>0</v>
      </c>
      <c r="E119" s="66" t="s">
        <v>49</v>
      </c>
      <c r="F119" s="67">
        <f t="shared" ref="F119:Q119" si="44">+F50</f>
        <v>0</v>
      </c>
      <c r="G119" s="67">
        <f t="shared" si="44"/>
        <v>0</v>
      </c>
      <c r="H119" s="67">
        <f t="shared" si="44"/>
        <v>0</v>
      </c>
      <c r="I119" s="67">
        <f t="shared" si="44"/>
        <v>0</v>
      </c>
      <c r="J119" s="67">
        <f t="shared" si="44"/>
        <v>0</v>
      </c>
      <c r="K119" s="67">
        <f t="shared" si="44"/>
        <v>0</v>
      </c>
      <c r="L119" s="67">
        <f t="shared" si="44"/>
        <v>0</v>
      </c>
      <c r="M119" s="67">
        <f t="shared" si="44"/>
        <v>0</v>
      </c>
      <c r="N119" s="67">
        <f t="shared" si="44"/>
        <v>0</v>
      </c>
      <c r="O119" s="67">
        <f t="shared" si="44"/>
        <v>0</v>
      </c>
      <c r="P119" s="67">
        <f t="shared" si="44"/>
        <v>0</v>
      </c>
      <c r="Q119" s="68">
        <f t="shared" si="44"/>
        <v>0</v>
      </c>
      <c r="R119" s="18">
        <f t="shared" si="15"/>
        <v>0</v>
      </c>
    </row>
    <row r="120" spans="1:18" x14ac:dyDescent="0.35">
      <c r="A120" s="7">
        <f t="shared" si="13"/>
        <v>0</v>
      </c>
      <c r="E120" s="66" t="s">
        <v>48</v>
      </c>
      <c r="F120" s="67">
        <f t="shared" ref="F120:Q120" si="45">+F51</f>
        <v>0</v>
      </c>
      <c r="G120" s="67">
        <f t="shared" si="45"/>
        <v>0</v>
      </c>
      <c r="H120" s="67">
        <f t="shared" si="45"/>
        <v>0</v>
      </c>
      <c r="I120" s="67">
        <f t="shared" si="45"/>
        <v>0</v>
      </c>
      <c r="J120" s="67">
        <f t="shared" si="45"/>
        <v>0</v>
      </c>
      <c r="K120" s="67">
        <f t="shared" si="45"/>
        <v>0</v>
      </c>
      <c r="L120" s="67">
        <f t="shared" si="45"/>
        <v>0</v>
      </c>
      <c r="M120" s="67">
        <f t="shared" si="45"/>
        <v>0</v>
      </c>
      <c r="N120" s="67">
        <f t="shared" si="45"/>
        <v>0</v>
      </c>
      <c r="O120" s="67">
        <f t="shared" si="45"/>
        <v>0</v>
      </c>
      <c r="P120" s="67">
        <f t="shared" si="45"/>
        <v>0</v>
      </c>
      <c r="Q120" s="68">
        <f t="shared" si="45"/>
        <v>0</v>
      </c>
      <c r="R120" s="18">
        <f t="shared" si="15"/>
        <v>0</v>
      </c>
    </row>
    <row r="121" spans="1:18" x14ac:dyDescent="0.35">
      <c r="A121" s="7">
        <f t="shared" si="13"/>
        <v>0</v>
      </c>
      <c r="E121" s="66" t="s">
        <v>50</v>
      </c>
      <c r="F121" s="67">
        <f t="shared" ref="F121:Q121" si="46">+F52</f>
        <v>0</v>
      </c>
      <c r="G121" s="67">
        <f t="shared" si="46"/>
        <v>0</v>
      </c>
      <c r="H121" s="67">
        <f t="shared" si="46"/>
        <v>0</v>
      </c>
      <c r="I121" s="67">
        <f t="shared" si="46"/>
        <v>0</v>
      </c>
      <c r="J121" s="67">
        <f t="shared" si="46"/>
        <v>0</v>
      </c>
      <c r="K121" s="67">
        <f t="shared" si="46"/>
        <v>0</v>
      </c>
      <c r="L121" s="67">
        <f t="shared" si="46"/>
        <v>0</v>
      </c>
      <c r="M121" s="67">
        <f t="shared" si="46"/>
        <v>0</v>
      </c>
      <c r="N121" s="67">
        <f t="shared" si="46"/>
        <v>0</v>
      </c>
      <c r="O121" s="67">
        <f t="shared" si="46"/>
        <v>0</v>
      </c>
      <c r="P121" s="67">
        <f t="shared" si="46"/>
        <v>0</v>
      </c>
      <c r="Q121" s="68">
        <f t="shared" si="46"/>
        <v>0</v>
      </c>
      <c r="R121" s="18">
        <f t="shared" si="15"/>
        <v>0</v>
      </c>
    </row>
    <row r="122" spans="1:18" x14ac:dyDescent="0.35">
      <c r="A122" s="7">
        <f t="shared" si="13"/>
        <v>0</v>
      </c>
      <c r="E122" s="66" t="s">
        <v>51</v>
      </c>
      <c r="F122" s="67">
        <f t="shared" ref="F122:Q122" si="47">+F53</f>
        <v>0</v>
      </c>
      <c r="G122" s="67">
        <f t="shared" si="47"/>
        <v>0</v>
      </c>
      <c r="H122" s="67">
        <f t="shared" si="47"/>
        <v>0</v>
      </c>
      <c r="I122" s="67">
        <f t="shared" si="47"/>
        <v>0</v>
      </c>
      <c r="J122" s="67">
        <f t="shared" si="47"/>
        <v>0</v>
      </c>
      <c r="K122" s="67">
        <f t="shared" si="47"/>
        <v>0</v>
      </c>
      <c r="L122" s="67">
        <f t="shared" si="47"/>
        <v>0</v>
      </c>
      <c r="M122" s="67">
        <f t="shared" si="47"/>
        <v>0</v>
      </c>
      <c r="N122" s="67">
        <f t="shared" si="47"/>
        <v>0</v>
      </c>
      <c r="O122" s="67">
        <f t="shared" si="47"/>
        <v>0</v>
      </c>
      <c r="P122" s="67">
        <f t="shared" si="47"/>
        <v>0</v>
      </c>
      <c r="Q122" s="68">
        <f t="shared" si="47"/>
        <v>0</v>
      </c>
      <c r="R122" s="18">
        <f t="shared" si="15"/>
        <v>0</v>
      </c>
    </row>
    <row r="123" spans="1:18" x14ac:dyDescent="0.35">
      <c r="A123" s="7">
        <f t="shared" si="13"/>
        <v>0</v>
      </c>
      <c r="E123" s="66" t="s">
        <v>52</v>
      </c>
      <c r="F123" s="67">
        <f t="shared" ref="F123:Q123" si="48">+F55</f>
        <v>0</v>
      </c>
      <c r="G123" s="67">
        <f t="shared" si="48"/>
        <v>0</v>
      </c>
      <c r="H123" s="67">
        <f t="shared" si="48"/>
        <v>0</v>
      </c>
      <c r="I123" s="67">
        <f t="shared" si="48"/>
        <v>0</v>
      </c>
      <c r="J123" s="67">
        <f t="shared" si="48"/>
        <v>0</v>
      </c>
      <c r="K123" s="67">
        <f t="shared" si="48"/>
        <v>0</v>
      </c>
      <c r="L123" s="67">
        <f t="shared" si="48"/>
        <v>0</v>
      </c>
      <c r="M123" s="67">
        <f t="shared" si="48"/>
        <v>0</v>
      </c>
      <c r="N123" s="67">
        <f t="shared" si="48"/>
        <v>0</v>
      </c>
      <c r="O123" s="67">
        <f t="shared" si="48"/>
        <v>0</v>
      </c>
      <c r="P123" s="67">
        <f t="shared" si="48"/>
        <v>0</v>
      </c>
      <c r="Q123" s="68">
        <f t="shared" si="48"/>
        <v>0</v>
      </c>
      <c r="R123" s="18">
        <f t="shared" si="15"/>
        <v>0</v>
      </c>
    </row>
    <row r="124" spans="1:18" x14ac:dyDescent="0.35">
      <c r="A124" s="7">
        <f t="shared" si="13"/>
        <v>0</v>
      </c>
      <c r="E124" s="66" t="s">
        <v>53</v>
      </c>
      <c r="F124" s="67">
        <f t="shared" ref="F124:Q124" si="49">+F56</f>
        <v>0</v>
      </c>
      <c r="G124" s="67">
        <f t="shared" si="49"/>
        <v>0</v>
      </c>
      <c r="H124" s="67">
        <f t="shared" si="49"/>
        <v>0</v>
      </c>
      <c r="I124" s="67">
        <f t="shared" si="49"/>
        <v>300</v>
      </c>
      <c r="J124" s="67">
        <f t="shared" si="49"/>
        <v>0</v>
      </c>
      <c r="K124" s="67">
        <f t="shared" si="49"/>
        <v>0</v>
      </c>
      <c r="L124" s="67">
        <f t="shared" si="49"/>
        <v>0</v>
      </c>
      <c r="M124" s="67">
        <f t="shared" si="49"/>
        <v>0</v>
      </c>
      <c r="N124" s="67">
        <f t="shared" si="49"/>
        <v>0</v>
      </c>
      <c r="O124" s="67">
        <f t="shared" si="49"/>
        <v>0</v>
      </c>
      <c r="P124" s="67">
        <f t="shared" si="49"/>
        <v>0</v>
      </c>
      <c r="Q124" s="68">
        <f t="shared" si="49"/>
        <v>1000</v>
      </c>
      <c r="R124" s="18">
        <f t="shared" si="15"/>
        <v>1300</v>
      </c>
    </row>
    <row r="125" spans="1:18" x14ac:dyDescent="0.35">
      <c r="A125" s="7">
        <f t="shared" si="13"/>
        <v>0</v>
      </c>
      <c r="E125" s="66" t="s">
        <v>54</v>
      </c>
      <c r="F125" s="67">
        <f t="shared" ref="F125:Q125" si="50">+F57</f>
        <v>0</v>
      </c>
      <c r="G125" s="67">
        <f t="shared" si="50"/>
        <v>0</v>
      </c>
      <c r="H125" s="67">
        <f t="shared" si="50"/>
        <v>0</v>
      </c>
      <c r="I125" s="67">
        <f t="shared" si="50"/>
        <v>0</v>
      </c>
      <c r="J125" s="67">
        <f t="shared" si="50"/>
        <v>0</v>
      </c>
      <c r="K125" s="67">
        <f t="shared" si="50"/>
        <v>0</v>
      </c>
      <c r="L125" s="67">
        <f t="shared" si="50"/>
        <v>0</v>
      </c>
      <c r="M125" s="67">
        <f t="shared" si="50"/>
        <v>0</v>
      </c>
      <c r="N125" s="67">
        <f t="shared" si="50"/>
        <v>0</v>
      </c>
      <c r="O125" s="67">
        <f t="shared" si="50"/>
        <v>0</v>
      </c>
      <c r="P125" s="67">
        <f t="shared" si="50"/>
        <v>0</v>
      </c>
      <c r="Q125" s="68">
        <f t="shared" si="50"/>
        <v>0</v>
      </c>
      <c r="R125" s="18">
        <f t="shared" si="15"/>
        <v>0</v>
      </c>
    </row>
    <row r="126" spans="1:18" x14ac:dyDescent="0.35">
      <c r="A126" s="7">
        <f t="shared" si="13"/>
        <v>0</v>
      </c>
      <c r="E126" s="66" t="s">
        <v>55</v>
      </c>
      <c r="F126" s="67">
        <f t="shared" ref="F126:Q126" si="51">+F58</f>
        <v>0</v>
      </c>
      <c r="G126" s="67">
        <f t="shared" si="51"/>
        <v>0</v>
      </c>
      <c r="H126" s="67">
        <f t="shared" si="51"/>
        <v>0</v>
      </c>
      <c r="I126" s="67">
        <f t="shared" si="51"/>
        <v>0</v>
      </c>
      <c r="J126" s="67">
        <f t="shared" si="51"/>
        <v>0</v>
      </c>
      <c r="K126" s="67">
        <f t="shared" si="51"/>
        <v>0</v>
      </c>
      <c r="L126" s="67">
        <f t="shared" si="51"/>
        <v>0</v>
      </c>
      <c r="M126" s="67">
        <f t="shared" si="51"/>
        <v>0</v>
      </c>
      <c r="N126" s="67">
        <f t="shared" si="51"/>
        <v>0</v>
      </c>
      <c r="O126" s="67">
        <f t="shared" si="51"/>
        <v>0</v>
      </c>
      <c r="P126" s="67">
        <f t="shared" si="51"/>
        <v>0</v>
      </c>
      <c r="Q126" s="68">
        <f t="shared" si="51"/>
        <v>0</v>
      </c>
      <c r="R126" s="18">
        <f t="shared" si="15"/>
        <v>0</v>
      </c>
    </row>
    <row r="127" spans="1:18" x14ac:dyDescent="0.35">
      <c r="A127" s="7">
        <f t="shared" si="13"/>
        <v>0</v>
      </c>
      <c r="E127" s="66" t="s">
        <v>56</v>
      </c>
      <c r="F127" s="67">
        <f t="shared" ref="F127:Q127" si="52">+F59</f>
        <v>160</v>
      </c>
      <c r="G127" s="67">
        <f t="shared" si="52"/>
        <v>160</v>
      </c>
      <c r="H127" s="67">
        <f t="shared" si="52"/>
        <v>160</v>
      </c>
      <c r="I127" s="67">
        <f t="shared" si="52"/>
        <v>160</v>
      </c>
      <c r="J127" s="67">
        <f t="shared" si="52"/>
        <v>160</v>
      </c>
      <c r="K127" s="67">
        <f t="shared" si="52"/>
        <v>160</v>
      </c>
      <c r="L127" s="67">
        <f t="shared" si="52"/>
        <v>160</v>
      </c>
      <c r="M127" s="67">
        <f t="shared" si="52"/>
        <v>160</v>
      </c>
      <c r="N127" s="67">
        <f t="shared" si="52"/>
        <v>160</v>
      </c>
      <c r="O127" s="67">
        <f t="shared" si="52"/>
        <v>160</v>
      </c>
      <c r="P127" s="67">
        <f t="shared" si="52"/>
        <v>160</v>
      </c>
      <c r="Q127" s="68">
        <f t="shared" si="52"/>
        <v>160</v>
      </c>
      <c r="R127" s="18">
        <f t="shared" si="15"/>
        <v>1920</v>
      </c>
    </row>
    <row r="128" spans="1:18" x14ac:dyDescent="0.35">
      <c r="A128" s="7">
        <f t="shared" si="13"/>
        <v>0</v>
      </c>
      <c r="E128" s="66" t="s">
        <v>57</v>
      </c>
      <c r="F128" s="67">
        <f t="shared" ref="F128:Q128" si="53">+F60</f>
        <v>0</v>
      </c>
      <c r="G128" s="67">
        <f t="shared" si="53"/>
        <v>0</v>
      </c>
      <c r="H128" s="67">
        <f t="shared" si="53"/>
        <v>0</v>
      </c>
      <c r="I128" s="67">
        <f t="shared" si="53"/>
        <v>0</v>
      </c>
      <c r="J128" s="67">
        <f t="shared" si="53"/>
        <v>0</v>
      </c>
      <c r="K128" s="67">
        <f t="shared" si="53"/>
        <v>0</v>
      </c>
      <c r="L128" s="67">
        <f t="shared" si="53"/>
        <v>0</v>
      </c>
      <c r="M128" s="67">
        <f t="shared" si="53"/>
        <v>0</v>
      </c>
      <c r="N128" s="67">
        <f t="shared" si="53"/>
        <v>0</v>
      </c>
      <c r="O128" s="67">
        <f t="shared" si="53"/>
        <v>0</v>
      </c>
      <c r="P128" s="67">
        <f t="shared" si="53"/>
        <v>0</v>
      </c>
      <c r="Q128" s="68">
        <f t="shared" si="53"/>
        <v>0</v>
      </c>
      <c r="R128" s="18">
        <f t="shared" si="15"/>
        <v>0</v>
      </c>
    </row>
    <row r="129" spans="1:18" x14ac:dyDescent="0.35">
      <c r="A129" s="7">
        <f t="shared" si="13"/>
        <v>0</v>
      </c>
      <c r="E129" s="66" t="s">
        <v>58</v>
      </c>
      <c r="F129" s="67">
        <f t="shared" ref="F129:Q129" si="54">+F61</f>
        <v>0</v>
      </c>
      <c r="G129" s="67">
        <f t="shared" si="54"/>
        <v>0</v>
      </c>
      <c r="H129" s="67">
        <f t="shared" si="54"/>
        <v>0</v>
      </c>
      <c r="I129" s="67">
        <f t="shared" si="54"/>
        <v>0</v>
      </c>
      <c r="J129" s="67">
        <f t="shared" si="54"/>
        <v>0</v>
      </c>
      <c r="K129" s="67">
        <f t="shared" si="54"/>
        <v>0</v>
      </c>
      <c r="L129" s="67">
        <f t="shared" si="54"/>
        <v>0</v>
      </c>
      <c r="M129" s="67">
        <f t="shared" si="54"/>
        <v>0</v>
      </c>
      <c r="N129" s="67">
        <f t="shared" si="54"/>
        <v>0</v>
      </c>
      <c r="O129" s="67">
        <f t="shared" si="54"/>
        <v>0</v>
      </c>
      <c r="P129" s="67">
        <f t="shared" si="54"/>
        <v>0</v>
      </c>
      <c r="Q129" s="68">
        <f t="shared" si="54"/>
        <v>0</v>
      </c>
      <c r="R129" s="18">
        <f t="shared" si="15"/>
        <v>0</v>
      </c>
    </row>
    <row r="130" spans="1:18" x14ac:dyDescent="0.35">
      <c r="A130" s="7">
        <f t="shared" si="13"/>
        <v>0</v>
      </c>
      <c r="E130" s="66" t="s">
        <v>59</v>
      </c>
      <c r="F130" s="67">
        <f t="shared" ref="F130:Q130" si="55">+F62</f>
        <v>0</v>
      </c>
      <c r="G130" s="67">
        <f t="shared" si="55"/>
        <v>0</v>
      </c>
      <c r="H130" s="67">
        <f t="shared" si="55"/>
        <v>0</v>
      </c>
      <c r="I130" s="67">
        <f t="shared" si="55"/>
        <v>0</v>
      </c>
      <c r="J130" s="67">
        <f t="shared" si="55"/>
        <v>0</v>
      </c>
      <c r="K130" s="67">
        <f t="shared" si="55"/>
        <v>0</v>
      </c>
      <c r="L130" s="67">
        <f t="shared" si="55"/>
        <v>0</v>
      </c>
      <c r="M130" s="67">
        <f t="shared" si="55"/>
        <v>0</v>
      </c>
      <c r="N130" s="67">
        <f t="shared" si="55"/>
        <v>0</v>
      </c>
      <c r="O130" s="67">
        <f t="shared" si="55"/>
        <v>0</v>
      </c>
      <c r="P130" s="67">
        <f t="shared" si="55"/>
        <v>0</v>
      </c>
      <c r="Q130" s="68">
        <f t="shared" si="55"/>
        <v>0</v>
      </c>
      <c r="R130" s="18">
        <f t="shared" si="15"/>
        <v>0</v>
      </c>
    </row>
    <row r="131" spans="1:18" x14ac:dyDescent="0.35">
      <c r="A131" s="7">
        <f t="shared" si="13"/>
        <v>0</v>
      </c>
      <c r="E131" s="66" t="s">
        <v>60</v>
      </c>
      <c r="F131" s="67">
        <f t="shared" ref="F131:Q131" si="56">+F63</f>
        <v>1440</v>
      </c>
      <c r="G131" s="67">
        <f t="shared" si="56"/>
        <v>1440</v>
      </c>
      <c r="H131" s="67">
        <f t="shared" si="56"/>
        <v>1440</v>
      </c>
      <c r="I131" s="67">
        <f t="shared" si="56"/>
        <v>1440</v>
      </c>
      <c r="J131" s="67">
        <f t="shared" si="56"/>
        <v>1440</v>
      </c>
      <c r="K131" s="67">
        <f t="shared" si="56"/>
        <v>1440</v>
      </c>
      <c r="L131" s="67">
        <f t="shared" si="56"/>
        <v>1440</v>
      </c>
      <c r="M131" s="67">
        <f t="shared" si="56"/>
        <v>1440</v>
      </c>
      <c r="N131" s="67">
        <f t="shared" si="56"/>
        <v>1440</v>
      </c>
      <c r="O131" s="67">
        <f t="shared" si="56"/>
        <v>1440</v>
      </c>
      <c r="P131" s="67">
        <f t="shared" si="56"/>
        <v>1440</v>
      </c>
      <c r="Q131" s="68">
        <f t="shared" si="56"/>
        <v>1440</v>
      </c>
      <c r="R131" s="18">
        <f t="shared" si="15"/>
        <v>17280</v>
      </c>
    </row>
    <row r="132" spans="1:18" x14ac:dyDescent="0.35">
      <c r="A132" s="7">
        <f t="shared" si="13"/>
        <v>0</v>
      </c>
      <c r="E132" s="66" t="s">
        <v>61</v>
      </c>
      <c r="F132" s="67">
        <f t="shared" ref="F132:Q132" si="57">+F64</f>
        <v>0</v>
      </c>
      <c r="G132" s="67">
        <f t="shared" si="57"/>
        <v>0</v>
      </c>
      <c r="H132" s="67">
        <f t="shared" si="57"/>
        <v>0</v>
      </c>
      <c r="I132" s="67">
        <f t="shared" si="57"/>
        <v>0</v>
      </c>
      <c r="J132" s="67">
        <f t="shared" si="57"/>
        <v>0</v>
      </c>
      <c r="K132" s="67">
        <f t="shared" si="57"/>
        <v>0</v>
      </c>
      <c r="L132" s="67">
        <f t="shared" si="57"/>
        <v>0</v>
      </c>
      <c r="M132" s="67">
        <f t="shared" si="57"/>
        <v>0</v>
      </c>
      <c r="N132" s="67">
        <f t="shared" si="57"/>
        <v>0</v>
      </c>
      <c r="O132" s="67">
        <f t="shared" si="57"/>
        <v>0</v>
      </c>
      <c r="P132" s="67">
        <f t="shared" si="57"/>
        <v>0</v>
      </c>
      <c r="Q132" s="68">
        <f t="shared" si="57"/>
        <v>0</v>
      </c>
      <c r="R132" s="18">
        <f t="shared" si="15"/>
        <v>0</v>
      </c>
    </row>
    <row r="133" spans="1:18" x14ac:dyDescent="0.35">
      <c r="A133" s="7" t="str">
        <f t="shared" si="13"/>
        <v>Capital Expenditures - Carpet</v>
      </c>
      <c r="E133" s="66" t="s">
        <v>92</v>
      </c>
      <c r="F133" s="67">
        <f t="shared" ref="F133:Q133" si="58">+F70</f>
        <v>0</v>
      </c>
      <c r="G133" s="67">
        <f t="shared" si="58"/>
        <v>0</v>
      </c>
      <c r="H133" s="67">
        <f t="shared" si="58"/>
        <v>0</v>
      </c>
      <c r="I133" s="67">
        <f t="shared" si="58"/>
        <v>0</v>
      </c>
      <c r="J133" s="67">
        <f t="shared" si="58"/>
        <v>0</v>
      </c>
      <c r="K133" s="67">
        <f t="shared" si="58"/>
        <v>0</v>
      </c>
      <c r="L133" s="67">
        <f t="shared" si="58"/>
        <v>0</v>
      </c>
      <c r="M133" s="67">
        <f t="shared" si="58"/>
        <v>0</v>
      </c>
      <c r="N133" s="67">
        <f t="shared" si="58"/>
        <v>0</v>
      </c>
      <c r="O133" s="67">
        <f t="shared" si="58"/>
        <v>0</v>
      </c>
      <c r="P133" s="67">
        <f t="shared" si="58"/>
        <v>0</v>
      </c>
      <c r="Q133" s="68">
        <f t="shared" si="58"/>
        <v>0</v>
      </c>
      <c r="R133" s="18">
        <f t="shared" si="15"/>
        <v>0</v>
      </c>
    </row>
    <row r="134" spans="1:18" x14ac:dyDescent="0.35">
      <c r="A134" s="7" t="str">
        <f t="shared" si="13"/>
        <v>Leasing Costs</v>
      </c>
      <c r="E134" s="66" t="s">
        <v>93</v>
      </c>
      <c r="F134" s="67">
        <f t="shared" ref="F134:Q134" si="59">+F71</f>
        <v>0</v>
      </c>
      <c r="G134" s="67">
        <f t="shared" si="59"/>
        <v>0</v>
      </c>
      <c r="H134" s="67">
        <f t="shared" si="59"/>
        <v>0</v>
      </c>
      <c r="I134" s="67">
        <f t="shared" si="59"/>
        <v>0</v>
      </c>
      <c r="J134" s="67">
        <f t="shared" si="59"/>
        <v>0</v>
      </c>
      <c r="K134" s="67">
        <f t="shared" si="59"/>
        <v>0</v>
      </c>
      <c r="L134" s="67">
        <f t="shared" si="59"/>
        <v>0</v>
      </c>
      <c r="M134" s="67">
        <f t="shared" si="59"/>
        <v>0</v>
      </c>
      <c r="N134" s="67">
        <f t="shared" si="59"/>
        <v>0</v>
      </c>
      <c r="O134" s="67">
        <f t="shared" si="59"/>
        <v>0</v>
      </c>
      <c r="P134" s="67">
        <f t="shared" si="59"/>
        <v>0</v>
      </c>
      <c r="Q134" s="68">
        <f t="shared" si="59"/>
        <v>0</v>
      </c>
      <c r="R134" s="18">
        <f t="shared" si="15"/>
        <v>0</v>
      </c>
    </row>
    <row r="135" spans="1:18" x14ac:dyDescent="0.35">
      <c r="A135" s="7" t="e">
        <f t="shared" si="13"/>
        <v>#N/A</v>
      </c>
      <c r="E135" s="66" t="s">
        <v>94</v>
      </c>
      <c r="F135" s="67">
        <f t="shared" ref="F135:Q135" si="60">+F75</f>
        <v>0</v>
      </c>
      <c r="G135" s="67">
        <f t="shared" si="60"/>
        <v>0</v>
      </c>
      <c r="H135" s="67">
        <f t="shared" si="60"/>
        <v>0</v>
      </c>
      <c r="I135" s="67">
        <f t="shared" si="60"/>
        <v>0</v>
      </c>
      <c r="J135" s="67">
        <f t="shared" si="60"/>
        <v>0</v>
      </c>
      <c r="K135" s="67">
        <f t="shared" si="60"/>
        <v>0</v>
      </c>
      <c r="L135" s="67">
        <f t="shared" si="60"/>
        <v>0</v>
      </c>
      <c r="M135" s="67">
        <f t="shared" si="60"/>
        <v>0</v>
      </c>
      <c r="N135" s="67">
        <f t="shared" si="60"/>
        <v>0</v>
      </c>
      <c r="O135" s="67">
        <f t="shared" si="60"/>
        <v>0</v>
      </c>
      <c r="P135" s="67">
        <f t="shared" si="60"/>
        <v>0</v>
      </c>
      <c r="Q135" s="68">
        <f t="shared" si="60"/>
        <v>0</v>
      </c>
      <c r="R135" s="18">
        <f t="shared" si="15"/>
        <v>0</v>
      </c>
    </row>
    <row r="136" spans="1:18" ht="16.5" thickBot="1" x14ac:dyDescent="0.4">
      <c r="A136" s="7" t="e">
        <f t="shared" si="13"/>
        <v>#N/A</v>
      </c>
      <c r="E136" s="70" t="s">
        <v>95</v>
      </c>
      <c r="F136" s="71">
        <f t="shared" ref="F136:Q136" si="61">+F76</f>
        <v>0</v>
      </c>
      <c r="G136" s="71">
        <f t="shared" si="61"/>
        <v>0</v>
      </c>
      <c r="H136" s="71">
        <f t="shared" si="61"/>
        <v>0</v>
      </c>
      <c r="I136" s="71">
        <f t="shared" si="61"/>
        <v>0</v>
      </c>
      <c r="J136" s="71">
        <f t="shared" si="61"/>
        <v>0</v>
      </c>
      <c r="K136" s="71">
        <f t="shared" si="61"/>
        <v>0</v>
      </c>
      <c r="L136" s="71">
        <f t="shared" si="61"/>
        <v>0</v>
      </c>
      <c r="M136" s="71">
        <f t="shared" si="61"/>
        <v>0</v>
      </c>
      <c r="N136" s="71">
        <f t="shared" si="61"/>
        <v>0</v>
      </c>
      <c r="O136" s="71">
        <f t="shared" si="61"/>
        <v>0</v>
      </c>
      <c r="P136" s="71">
        <f t="shared" si="61"/>
        <v>0</v>
      </c>
      <c r="Q136" s="72">
        <f t="shared" si="61"/>
        <v>0</v>
      </c>
      <c r="R136" s="18">
        <f t="shared" si="15"/>
        <v>0</v>
      </c>
    </row>
    <row r="137" spans="1:18" x14ac:dyDescent="0.35">
      <c r="F137" s="18">
        <f t="shared" ref="F137:R137" si="62">SUM(F90:F136)</f>
        <v>1553</v>
      </c>
      <c r="G137" s="18">
        <f t="shared" si="62"/>
        <v>847</v>
      </c>
      <c r="H137" s="18">
        <f t="shared" si="62"/>
        <v>852</v>
      </c>
      <c r="I137" s="18">
        <f t="shared" si="62"/>
        <v>-263</v>
      </c>
      <c r="J137" s="18">
        <f t="shared" si="62"/>
        <v>-63</v>
      </c>
      <c r="K137" s="18">
        <f t="shared" si="62"/>
        <v>-18</v>
      </c>
      <c r="L137" s="18">
        <f t="shared" si="62"/>
        <v>573</v>
      </c>
      <c r="M137" s="18">
        <f t="shared" si="62"/>
        <v>-1003</v>
      </c>
      <c r="N137" s="18">
        <f t="shared" si="62"/>
        <v>-978</v>
      </c>
      <c r="O137" s="18">
        <f t="shared" si="62"/>
        <v>-1158</v>
      </c>
      <c r="P137" s="18">
        <f t="shared" si="62"/>
        <v>-1023</v>
      </c>
      <c r="Q137" s="18">
        <f t="shared" si="62"/>
        <v>1842</v>
      </c>
      <c r="R137" s="18">
        <f t="shared" si="62"/>
        <v>1161</v>
      </c>
    </row>
    <row r="138" spans="1:18" x14ac:dyDescent="0.35">
      <c r="F138" s="18">
        <f>F137+F79</f>
        <v>0</v>
      </c>
      <c r="G138" s="18">
        <f t="shared" ref="G138:R138" si="63">G137+G79</f>
        <v>0</v>
      </c>
      <c r="H138" s="18">
        <f t="shared" si="63"/>
        <v>0</v>
      </c>
      <c r="I138" s="18">
        <f t="shared" si="63"/>
        <v>0</v>
      </c>
      <c r="J138" s="18">
        <f t="shared" si="63"/>
        <v>0</v>
      </c>
      <c r="K138" s="18">
        <f t="shared" si="63"/>
        <v>0</v>
      </c>
      <c r="L138" s="18">
        <f t="shared" si="63"/>
        <v>0</v>
      </c>
      <c r="M138" s="18">
        <f t="shared" si="63"/>
        <v>0</v>
      </c>
      <c r="N138" s="18">
        <f t="shared" si="63"/>
        <v>0</v>
      </c>
      <c r="O138" s="18">
        <f t="shared" si="63"/>
        <v>0</v>
      </c>
      <c r="P138" s="18">
        <f t="shared" si="63"/>
        <v>0</v>
      </c>
      <c r="Q138" s="18">
        <f t="shared" si="63"/>
        <v>0</v>
      </c>
      <c r="R138" s="18">
        <f t="shared" si="63"/>
        <v>-24</v>
      </c>
    </row>
  </sheetData>
  <mergeCells count="2">
    <mergeCell ref="B6:E6"/>
    <mergeCell ref="C44:E44"/>
  </mergeCells>
  <printOptions horizontalCentered="1" verticalCentered="1"/>
  <pageMargins left="0.5" right="0.5" top="0.5" bottom="0.5" header="0.25" footer="0.25"/>
  <pageSetup paperSize="17" scale="60" orientation="landscape" r:id="rId1"/>
  <headerFooter alignWithMargins="0">
    <oddFooter>&amp;L&amp;Z&amp;F \ &amp;A&amp;R&amp;D ; &amp;T</oddFooter>
  </headerFooter>
  <rowBreaks count="1" manualBreakCount="1">
    <brk id="80" min="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F54A-25E5-46D1-86E6-229069B552CE}">
  <dimension ref="A1:Q57"/>
  <sheetViews>
    <sheetView tabSelected="1" topLeftCell="A22" zoomScaleNormal="100" workbookViewId="0">
      <selection activeCell="H38" sqref="H38"/>
    </sheetView>
  </sheetViews>
  <sheetFormatPr defaultRowHeight="16" x14ac:dyDescent="0.35"/>
  <cols>
    <col min="1" max="1" width="8.7265625" style="39"/>
    <col min="2" max="2" width="25.1796875" style="39" bestFit="1" customWidth="1"/>
    <col min="3" max="3" width="8.1796875" style="39" bestFit="1" customWidth="1"/>
    <col min="4" max="4" width="13.08984375" style="39" bestFit="1" customWidth="1"/>
    <col min="5" max="16" width="10.90625" style="39" bestFit="1" customWidth="1"/>
    <col min="17" max="17" width="13.90625" style="39" bestFit="1" customWidth="1"/>
    <col min="18" max="16384" width="8.7265625" style="39"/>
  </cols>
  <sheetData>
    <row r="1" spans="1:17" x14ac:dyDescent="0.35">
      <c r="B1" s="37"/>
      <c r="C1" s="37"/>
      <c r="D1" s="37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7" x14ac:dyDescent="0.35">
      <c r="A2" s="52"/>
      <c r="B2" s="59" t="s">
        <v>204</v>
      </c>
      <c r="C2" s="51" t="s">
        <v>203</v>
      </c>
      <c r="D2" s="51" t="s">
        <v>202</v>
      </c>
      <c r="E2" s="60" t="str">
        <f>'The Office Works'!F6</f>
        <v>Jan</v>
      </c>
      <c r="F2" s="60" t="str">
        <f>'The Office Works'!G6</f>
        <v>Feb</v>
      </c>
      <c r="G2" s="60" t="str">
        <f>'The Office Works'!H6</f>
        <v>Mar</v>
      </c>
      <c r="H2" s="60" t="str">
        <f>'The Office Works'!I6</f>
        <v>Apr</v>
      </c>
      <c r="I2" s="60" t="str">
        <f>'The Office Works'!J6</f>
        <v>May</v>
      </c>
      <c r="J2" s="60" t="str">
        <f>'The Office Works'!K6</f>
        <v>Jun</v>
      </c>
      <c r="K2" s="60" t="str">
        <f>'The Office Works'!L6</f>
        <v>Jul</v>
      </c>
      <c r="L2" s="60" t="str">
        <f>'The Office Works'!M6</f>
        <v>Aug</v>
      </c>
      <c r="M2" s="60" t="str">
        <f>'The Office Works'!N6</f>
        <v>Sep</v>
      </c>
      <c r="N2" s="60" t="str">
        <f>'The Office Works'!O6</f>
        <v>Oct</v>
      </c>
      <c r="O2" s="60" t="str">
        <f>'The Office Works'!P6</f>
        <v>Nov</v>
      </c>
      <c r="P2" s="60" t="str">
        <f>'The Office Works'!Q6</f>
        <v>Dec</v>
      </c>
    </row>
    <row r="3" spans="1:17" x14ac:dyDescent="0.35">
      <c r="C3" s="38"/>
      <c r="D3" s="38"/>
      <c r="E3" s="38"/>
      <c r="F3" s="38"/>
      <c r="G3" s="38"/>
      <c r="H3" s="38"/>
      <c r="I3" s="40"/>
      <c r="J3" s="41"/>
      <c r="K3" s="41"/>
      <c r="L3" s="41"/>
      <c r="M3" s="41"/>
      <c r="N3" s="41"/>
    </row>
    <row r="4" spans="1:17" x14ac:dyDescent="0.35">
      <c r="B4" s="37" t="s">
        <v>201</v>
      </c>
      <c r="C4" s="38">
        <v>1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7" x14ac:dyDescent="0.35">
      <c r="B5" s="42" t="s">
        <v>185</v>
      </c>
      <c r="C5" s="38">
        <v>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7" x14ac:dyDescent="0.35">
      <c r="B6" s="42" t="s">
        <v>185</v>
      </c>
      <c r="C6" s="38">
        <v>3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</row>
    <row r="7" spans="1:17" x14ac:dyDescent="0.35">
      <c r="B7" s="42" t="s">
        <v>200</v>
      </c>
      <c r="C7" s="38">
        <v>4</v>
      </c>
      <c r="D7" s="38" t="s">
        <v>178</v>
      </c>
      <c r="E7" s="53">
        <v>675</v>
      </c>
      <c r="F7" s="53">
        <v>675</v>
      </c>
      <c r="G7" s="53">
        <v>675</v>
      </c>
      <c r="H7" s="53">
        <v>675</v>
      </c>
      <c r="I7" s="53">
        <v>675</v>
      </c>
      <c r="J7" s="53">
        <v>675</v>
      </c>
      <c r="K7" s="53">
        <v>675</v>
      </c>
      <c r="L7" s="53">
        <v>675</v>
      </c>
      <c r="M7" s="53">
        <v>675</v>
      </c>
      <c r="N7" s="53">
        <v>675</v>
      </c>
      <c r="O7" s="53">
        <v>675</v>
      </c>
      <c r="P7" s="53">
        <v>675</v>
      </c>
      <c r="Q7" s="54"/>
    </row>
    <row r="8" spans="1:17" x14ac:dyDescent="0.35">
      <c r="B8" s="43" t="s">
        <v>199</v>
      </c>
      <c r="C8" s="38">
        <v>5</v>
      </c>
      <c r="D8" s="44">
        <v>46053</v>
      </c>
      <c r="E8" s="53">
        <v>895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5">
        <v>900</v>
      </c>
      <c r="L8" s="55">
        <v>900</v>
      </c>
      <c r="M8" s="55">
        <v>900</v>
      </c>
      <c r="N8" s="55">
        <v>900</v>
      </c>
      <c r="O8" s="55">
        <v>900</v>
      </c>
      <c r="P8" s="55">
        <v>900</v>
      </c>
      <c r="Q8" s="54"/>
    </row>
    <row r="9" spans="1:17" x14ac:dyDescent="0.35">
      <c r="B9" s="37" t="s">
        <v>198</v>
      </c>
      <c r="C9" s="38">
        <v>6</v>
      </c>
      <c r="D9" s="44">
        <v>46081</v>
      </c>
      <c r="E9" s="53">
        <v>670</v>
      </c>
      <c r="F9" s="53">
        <v>670</v>
      </c>
      <c r="G9" s="53">
        <v>685</v>
      </c>
      <c r="H9" s="53">
        <v>685</v>
      </c>
      <c r="I9" s="53">
        <v>685</v>
      </c>
      <c r="J9" s="53">
        <v>685</v>
      </c>
      <c r="K9" s="53">
        <v>685</v>
      </c>
      <c r="L9" s="53">
        <v>685</v>
      </c>
      <c r="M9" s="53">
        <v>685</v>
      </c>
      <c r="N9" s="53">
        <v>685</v>
      </c>
      <c r="O9" s="53">
        <v>685</v>
      </c>
      <c r="P9" s="53">
        <v>685</v>
      </c>
      <c r="Q9" s="54"/>
    </row>
    <row r="10" spans="1:17" x14ac:dyDescent="0.35">
      <c r="B10" s="37" t="s">
        <v>197</v>
      </c>
      <c r="C10" s="38">
        <v>7</v>
      </c>
      <c r="D10" s="38" t="s">
        <v>178</v>
      </c>
      <c r="E10" s="53">
        <v>900</v>
      </c>
      <c r="F10" s="53">
        <v>900</v>
      </c>
      <c r="G10" s="53">
        <v>900</v>
      </c>
      <c r="H10" s="53">
        <v>900</v>
      </c>
      <c r="I10" s="53">
        <v>900</v>
      </c>
      <c r="J10" s="53">
        <v>900</v>
      </c>
      <c r="K10" s="53">
        <v>900</v>
      </c>
      <c r="L10" s="53">
        <v>900</v>
      </c>
      <c r="M10" s="53">
        <v>900</v>
      </c>
      <c r="N10" s="53">
        <v>900</v>
      </c>
      <c r="O10" s="53">
        <v>900</v>
      </c>
      <c r="P10" s="53">
        <v>900</v>
      </c>
      <c r="Q10" s="54"/>
    </row>
    <row r="11" spans="1:17" x14ac:dyDescent="0.35">
      <c r="B11" s="37" t="s">
        <v>196</v>
      </c>
      <c r="C11" s="38">
        <v>8</v>
      </c>
      <c r="D11" s="38" t="s">
        <v>178</v>
      </c>
      <c r="E11" s="53">
        <v>775</v>
      </c>
      <c r="F11" s="53">
        <v>775</v>
      </c>
      <c r="G11" s="53">
        <v>775</v>
      </c>
      <c r="H11" s="53">
        <v>775</v>
      </c>
      <c r="I11" s="53">
        <v>775</v>
      </c>
      <c r="J11" s="53">
        <v>775</v>
      </c>
      <c r="K11" s="53">
        <v>775</v>
      </c>
      <c r="L11" s="53">
        <v>775</v>
      </c>
      <c r="M11" s="53">
        <v>775</v>
      </c>
      <c r="N11" s="53">
        <v>775</v>
      </c>
      <c r="O11" s="53">
        <v>775</v>
      </c>
      <c r="P11" s="53">
        <v>775</v>
      </c>
      <c r="Q11" s="54"/>
    </row>
    <row r="12" spans="1:17" x14ac:dyDescent="0.35">
      <c r="B12" s="45" t="s">
        <v>195</v>
      </c>
      <c r="C12" s="38">
        <v>9</v>
      </c>
      <c r="D12" s="38" t="s">
        <v>178</v>
      </c>
      <c r="E12" s="53">
        <v>900</v>
      </c>
      <c r="F12" s="53">
        <v>900</v>
      </c>
      <c r="G12" s="53">
        <v>900</v>
      </c>
      <c r="H12" s="53">
        <v>900</v>
      </c>
      <c r="I12" s="53">
        <v>900</v>
      </c>
      <c r="J12" s="53">
        <v>900</v>
      </c>
      <c r="K12" s="53">
        <v>900</v>
      </c>
      <c r="L12" s="53">
        <v>900</v>
      </c>
      <c r="M12" s="53">
        <v>900</v>
      </c>
      <c r="N12" s="53">
        <v>900</v>
      </c>
      <c r="O12" s="53">
        <v>900</v>
      </c>
      <c r="P12" s="53">
        <v>900</v>
      </c>
      <c r="Q12" s="54"/>
    </row>
    <row r="13" spans="1:17" x14ac:dyDescent="0.35">
      <c r="B13" s="37" t="s">
        <v>194</v>
      </c>
      <c r="C13" s="38">
        <v>10</v>
      </c>
      <c r="D13" s="44">
        <v>46265</v>
      </c>
      <c r="E13" s="53">
        <v>900</v>
      </c>
      <c r="F13" s="53">
        <v>900</v>
      </c>
      <c r="G13" s="53">
        <v>900</v>
      </c>
      <c r="H13" s="53">
        <v>900</v>
      </c>
      <c r="I13" s="53">
        <v>900</v>
      </c>
      <c r="J13" s="53">
        <v>900</v>
      </c>
      <c r="K13" s="53">
        <v>900</v>
      </c>
      <c r="L13" s="53">
        <v>900</v>
      </c>
      <c r="M13" s="53">
        <v>900</v>
      </c>
      <c r="N13" s="53">
        <v>900</v>
      </c>
      <c r="O13" s="53">
        <v>900</v>
      </c>
      <c r="P13" s="53">
        <v>900</v>
      </c>
      <c r="Q13" s="54"/>
    </row>
    <row r="14" spans="1:17" x14ac:dyDescent="0.35">
      <c r="B14" s="37" t="s">
        <v>193</v>
      </c>
      <c r="C14" s="38">
        <v>11</v>
      </c>
      <c r="D14" s="38" t="s">
        <v>178</v>
      </c>
      <c r="E14" s="53">
        <v>1500</v>
      </c>
      <c r="F14" s="53">
        <v>1500</v>
      </c>
      <c r="G14" s="53">
        <v>1500</v>
      </c>
      <c r="H14" s="53">
        <v>1500</v>
      </c>
      <c r="I14" s="53">
        <v>1500</v>
      </c>
      <c r="J14" s="53">
        <v>1500</v>
      </c>
      <c r="K14" s="53">
        <v>1500</v>
      </c>
      <c r="L14" s="53">
        <v>1500</v>
      </c>
      <c r="M14" s="53">
        <v>1500</v>
      </c>
      <c r="N14" s="53">
        <v>1500</v>
      </c>
      <c r="O14" s="53">
        <v>1500</v>
      </c>
      <c r="P14" s="53">
        <v>1500</v>
      </c>
      <c r="Q14" s="54"/>
    </row>
    <row r="15" spans="1:17" x14ac:dyDescent="0.35">
      <c r="B15" s="37" t="s">
        <v>192</v>
      </c>
      <c r="C15" s="38">
        <v>12</v>
      </c>
      <c r="D15" s="38" t="s">
        <v>178</v>
      </c>
      <c r="E15" s="53">
        <v>1200</v>
      </c>
      <c r="F15" s="53">
        <v>1200</v>
      </c>
      <c r="G15" s="53">
        <v>1200</v>
      </c>
      <c r="H15" s="53">
        <v>1200</v>
      </c>
      <c r="I15" s="53">
        <v>1200</v>
      </c>
      <c r="J15" s="53">
        <v>1200</v>
      </c>
      <c r="K15" s="53">
        <v>1200</v>
      </c>
      <c r="L15" s="53">
        <v>1200</v>
      </c>
      <c r="M15" s="53">
        <v>1200</v>
      </c>
      <c r="N15" s="53">
        <v>1200</v>
      </c>
      <c r="O15" s="53">
        <v>1200</v>
      </c>
      <c r="P15" s="53">
        <v>1200</v>
      </c>
      <c r="Q15" s="54"/>
    </row>
    <row r="16" spans="1:17" x14ac:dyDescent="0.35">
      <c r="B16" s="37" t="s">
        <v>191</v>
      </c>
      <c r="C16" s="38">
        <v>13</v>
      </c>
      <c r="D16" s="44">
        <v>46356</v>
      </c>
      <c r="E16" s="53">
        <v>845</v>
      </c>
      <c r="F16" s="53">
        <v>845</v>
      </c>
      <c r="G16" s="53">
        <v>845</v>
      </c>
      <c r="H16" s="53">
        <v>845</v>
      </c>
      <c r="I16" s="53">
        <v>845</v>
      </c>
      <c r="J16" s="53">
        <v>845</v>
      </c>
      <c r="K16" s="53">
        <v>845</v>
      </c>
      <c r="L16" s="53">
        <v>845</v>
      </c>
      <c r="M16" s="53">
        <v>845</v>
      </c>
      <c r="N16" s="53">
        <v>845</v>
      </c>
      <c r="O16" s="53">
        <v>845</v>
      </c>
      <c r="P16" s="53">
        <v>845</v>
      </c>
      <c r="Q16" s="54"/>
    </row>
    <row r="17" spans="2:17" x14ac:dyDescent="0.35">
      <c r="B17" s="37" t="s">
        <v>190</v>
      </c>
      <c r="C17" s="38">
        <v>14</v>
      </c>
      <c r="D17" s="44">
        <v>46203</v>
      </c>
      <c r="E17" s="53">
        <v>920</v>
      </c>
      <c r="F17" s="53">
        <v>920</v>
      </c>
      <c r="G17" s="53">
        <v>920</v>
      </c>
      <c r="H17" s="53">
        <v>920</v>
      </c>
      <c r="I17" s="53">
        <v>920</v>
      </c>
      <c r="J17" s="53">
        <v>920</v>
      </c>
      <c r="K17" s="53">
        <v>940</v>
      </c>
      <c r="L17" s="53">
        <v>940</v>
      </c>
      <c r="M17" s="53">
        <v>940</v>
      </c>
      <c r="N17" s="53">
        <v>940</v>
      </c>
      <c r="O17" s="53">
        <v>940</v>
      </c>
      <c r="P17" s="53">
        <v>940</v>
      </c>
      <c r="Q17" s="54"/>
    </row>
    <row r="18" spans="2:17" x14ac:dyDescent="0.35">
      <c r="B18" s="37" t="s">
        <v>189</v>
      </c>
      <c r="C18" s="38">
        <v>15</v>
      </c>
      <c r="D18" s="44">
        <v>46173</v>
      </c>
      <c r="E18" s="53">
        <v>720</v>
      </c>
      <c r="F18" s="53">
        <v>720</v>
      </c>
      <c r="G18" s="53">
        <v>720</v>
      </c>
      <c r="H18" s="53">
        <v>720</v>
      </c>
      <c r="I18" s="53">
        <v>720</v>
      </c>
      <c r="J18" s="53">
        <v>740</v>
      </c>
      <c r="K18" s="53">
        <v>740</v>
      </c>
      <c r="L18" s="53">
        <v>740</v>
      </c>
      <c r="M18" s="53">
        <v>740</v>
      </c>
      <c r="N18" s="53">
        <v>740</v>
      </c>
      <c r="O18" s="53">
        <v>740</v>
      </c>
      <c r="P18" s="53">
        <v>740</v>
      </c>
      <c r="Q18" s="54"/>
    </row>
    <row r="19" spans="2:17" x14ac:dyDescent="0.35">
      <c r="B19" s="37" t="s">
        <v>188</v>
      </c>
      <c r="C19" s="38">
        <v>16</v>
      </c>
      <c r="D19" s="44">
        <v>46326</v>
      </c>
      <c r="E19" s="53">
        <v>810</v>
      </c>
      <c r="F19" s="53">
        <v>810</v>
      </c>
      <c r="G19" s="53">
        <v>810</v>
      </c>
      <c r="H19" s="53">
        <v>810</v>
      </c>
      <c r="I19" s="53">
        <v>810</v>
      </c>
      <c r="J19" s="53">
        <v>810</v>
      </c>
      <c r="K19" s="53">
        <v>810</v>
      </c>
      <c r="L19" s="53">
        <v>810</v>
      </c>
      <c r="M19" s="53">
        <v>810</v>
      </c>
      <c r="N19" s="53">
        <v>810</v>
      </c>
      <c r="O19" s="53">
        <v>810</v>
      </c>
      <c r="P19" s="53">
        <v>810</v>
      </c>
      <c r="Q19" s="54"/>
    </row>
    <row r="20" spans="2:17" x14ac:dyDescent="0.35">
      <c r="B20" s="37" t="s">
        <v>187</v>
      </c>
      <c r="C20" s="38">
        <v>17</v>
      </c>
      <c r="D20" s="38" t="s">
        <v>178</v>
      </c>
      <c r="E20" s="53">
        <v>725</v>
      </c>
      <c r="F20" s="53">
        <v>725</v>
      </c>
      <c r="G20" s="53">
        <v>725</v>
      </c>
      <c r="H20" s="53">
        <v>725</v>
      </c>
      <c r="I20" s="53">
        <v>725</v>
      </c>
      <c r="J20" s="53">
        <v>725</v>
      </c>
      <c r="K20" s="53">
        <v>725</v>
      </c>
      <c r="L20" s="53">
        <v>725</v>
      </c>
      <c r="M20" s="53">
        <v>725</v>
      </c>
      <c r="N20" s="53">
        <v>725</v>
      </c>
      <c r="O20" s="53">
        <v>725</v>
      </c>
      <c r="P20" s="53">
        <v>725</v>
      </c>
      <c r="Q20" s="54"/>
    </row>
    <row r="21" spans="2:17" x14ac:dyDescent="0.35">
      <c r="B21" s="37" t="s">
        <v>186</v>
      </c>
      <c r="C21" s="38">
        <v>18</v>
      </c>
      <c r="D21" s="44">
        <v>46295</v>
      </c>
      <c r="E21" s="53">
        <v>925</v>
      </c>
      <c r="F21" s="53">
        <v>925</v>
      </c>
      <c r="G21" s="53">
        <v>925</v>
      </c>
      <c r="H21" s="53">
        <v>925</v>
      </c>
      <c r="I21" s="53">
        <v>925</v>
      </c>
      <c r="J21" s="53">
        <v>925</v>
      </c>
      <c r="K21" s="53">
        <v>925</v>
      </c>
      <c r="L21" s="53">
        <v>925</v>
      </c>
      <c r="M21" s="53">
        <v>925</v>
      </c>
      <c r="N21" s="53">
        <v>945</v>
      </c>
      <c r="O21" s="53">
        <v>945</v>
      </c>
      <c r="P21" s="53">
        <v>945</v>
      </c>
      <c r="Q21" s="54"/>
    </row>
    <row r="22" spans="2:17" x14ac:dyDescent="0.35">
      <c r="B22" s="37" t="s">
        <v>185</v>
      </c>
      <c r="C22" s="38">
        <v>19</v>
      </c>
      <c r="D22" s="38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2:17" x14ac:dyDescent="0.35">
      <c r="B23" s="37" t="s">
        <v>184</v>
      </c>
      <c r="C23" s="38">
        <v>20</v>
      </c>
      <c r="D23" s="44">
        <v>46295</v>
      </c>
      <c r="E23" s="53">
        <v>1325</v>
      </c>
      <c r="F23" s="53">
        <v>1325</v>
      </c>
      <c r="G23" s="53">
        <v>1325</v>
      </c>
      <c r="H23" s="53">
        <v>1325</v>
      </c>
      <c r="I23" s="53">
        <v>1325</v>
      </c>
      <c r="J23" s="53">
        <v>1325</v>
      </c>
      <c r="K23" s="53">
        <v>1325</v>
      </c>
      <c r="L23" s="53">
        <v>1325</v>
      </c>
      <c r="M23" s="53">
        <v>1325</v>
      </c>
      <c r="N23" s="53">
        <v>1325</v>
      </c>
      <c r="O23" s="53">
        <v>1325</v>
      </c>
      <c r="P23" s="53">
        <v>1325</v>
      </c>
      <c r="Q23" s="54"/>
    </row>
    <row r="24" spans="2:17" x14ac:dyDescent="0.35">
      <c r="B24" s="37" t="s">
        <v>183</v>
      </c>
      <c r="C24" s="38">
        <v>21</v>
      </c>
      <c r="D24" s="44">
        <v>46081</v>
      </c>
      <c r="E24" s="53">
        <v>1220</v>
      </c>
      <c r="F24" s="53">
        <v>1220</v>
      </c>
      <c r="G24" s="53">
        <v>1240</v>
      </c>
      <c r="H24" s="53">
        <v>1240</v>
      </c>
      <c r="I24" s="53">
        <v>1240</v>
      </c>
      <c r="J24" s="53">
        <v>1240</v>
      </c>
      <c r="K24" s="53">
        <v>1240</v>
      </c>
      <c r="L24" s="53">
        <v>1240</v>
      </c>
      <c r="M24" s="53">
        <v>1240</v>
      </c>
      <c r="N24" s="53">
        <v>1240</v>
      </c>
      <c r="O24" s="53">
        <v>1240</v>
      </c>
      <c r="P24" s="53">
        <v>1240</v>
      </c>
      <c r="Q24" s="54"/>
    </row>
    <row r="25" spans="2:17" x14ac:dyDescent="0.35">
      <c r="B25" s="37" t="s">
        <v>183</v>
      </c>
      <c r="C25" s="38">
        <v>22</v>
      </c>
      <c r="D25" s="44">
        <v>46081</v>
      </c>
      <c r="E25" s="53">
        <v>640</v>
      </c>
      <c r="F25" s="53">
        <v>640</v>
      </c>
      <c r="G25" s="53">
        <v>655</v>
      </c>
      <c r="H25" s="53">
        <v>655</v>
      </c>
      <c r="I25" s="53">
        <v>655</v>
      </c>
      <c r="J25" s="53">
        <v>655</v>
      </c>
      <c r="K25" s="53">
        <v>655</v>
      </c>
      <c r="L25" s="53">
        <v>655</v>
      </c>
      <c r="M25" s="53">
        <v>655</v>
      </c>
      <c r="N25" s="53">
        <v>655</v>
      </c>
      <c r="O25" s="53">
        <v>655</v>
      </c>
      <c r="P25" s="53">
        <v>655</v>
      </c>
      <c r="Q25" s="54"/>
    </row>
    <row r="26" spans="2:17" x14ac:dyDescent="0.35">
      <c r="B26" s="37" t="s">
        <v>177</v>
      </c>
      <c r="C26" s="38">
        <v>23</v>
      </c>
      <c r="D26" s="44">
        <v>46387</v>
      </c>
      <c r="E26" s="53">
        <v>590</v>
      </c>
      <c r="F26" s="53">
        <v>590</v>
      </c>
      <c r="G26" s="53">
        <v>590</v>
      </c>
      <c r="H26" s="53">
        <v>590</v>
      </c>
      <c r="I26" s="53">
        <v>590</v>
      </c>
      <c r="J26" s="53">
        <v>590</v>
      </c>
      <c r="K26" s="53">
        <v>590</v>
      </c>
      <c r="L26" s="53">
        <v>590</v>
      </c>
      <c r="M26" s="53">
        <v>590</v>
      </c>
      <c r="N26" s="53">
        <v>590</v>
      </c>
      <c r="O26" s="53">
        <v>590</v>
      </c>
      <c r="P26" s="53">
        <v>590</v>
      </c>
      <c r="Q26" s="54"/>
    </row>
    <row r="27" spans="2:17" x14ac:dyDescent="0.35">
      <c r="B27" s="37" t="s">
        <v>182</v>
      </c>
      <c r="C27" s="38">
        <v>24</v>
      </c>
      <c r="D27" s="44">
        <v>46081</v>
      </c>
      <c r="E27" s="53">
        <v>575</v>
      </c>
      <c r="F27" s="53">
        <v>575</v>
      </c>
      <c r="G27" s="53">
        <v>585</v>
      </c>
      <c r="H27" s="53">
        <v>585</v>
      </c>
      <c r="I27" s="53">
        <v>585</v>
      </c>
      <c r="J27" s="53">
        <v>585</v>
      </c>
      <c r="K27" s="53">
        <v>585</v>
      </c>
      <c r="L27" s="53">
        <v>585</v>
      </c>
      <c r="M27" s="53">
        <v>585</v>
      </c>
      <c r="N27" s="53">
        <v>585</v>
      </c>
      <c r="O27" s="53">
        <v>585</v>
      </c>
      <c r="P27" s="53">
        <v>585</v>
      </c>
      <c r="Q27" s="54"/>
    </row>
    <row r="28" spans="2:17" x14ac:dyDescent="0.35">
      <c r="B28" s="37" t="s">
        <v>181</v>
      </c>
      <c r="C28" s="38">
        <v>25</v>
      </c>
      <c r="D28" s="44">
        <v>46387</v>
      </c>
      <c r="E28" s="53">
        <v>600</v>
      </c>
      <c r="F28" s="53">
        <v>600</v>
      </c>
      <c r="G28" s="53">
        <v>600</v>
      </c>
      <c r="H28" s="53">
        <v>600</v>
      </c>
      <c r="I28" s="53">
        <v>600</v>
      </c>
      <c r="J28" s="53">
        <v>600</v>
      </c>
      <c r="K28" s="53">
        <v>600</v>
      </c>
      <c r="L28" s="53">
        <v>600</v>
      </c>
      <c r="M28" s="53">
        <v>600</v>
      </c>
      <c r="N28" s="53">
        <v>600</v>
      </c>
      <c r="O28" s="53">
        <v>600</v>
      </c>
      <c r="P28" s="53">
        <v>600</v>
      </c>
      <c r="Q28" s="54"/>
    </row>
    <row r="29" spans="2:17" x14ac:dyDescent="0.35">
      <c r="B29" s="37" t="s">
        <v>179</v>
      </c>
      <c r="C29" s="38">
        <v>26</v>
      </c>
      <c r="D29" s="38" t="s">
        <v>178</v>
      </c>
      <c r="E29" s="53">
        <v>600</v>
      </c>
      <c r="F29" s="53">
        <v>600</v>
      </c>
      <c r="G29" s="53">
        <v>600</v>
      </c>
      <c r="H29" s="53">
        <v>600</v>
      </c>
      <c r="I29" s="53">
        <v>600</v>
      </c>
      <c r="J29" s="53">
        <v>600</v>
      </c>
      <c r="K29" s="53">
        <v>600</v>
      </c>
      <c r="L29" s="53">
        <v>600</v>
      </c>
      <c r="M29" s="53">
        <v>600</v>
      </c>
      <c r="N29" s="53">
        <v>600</v>
      </c>
      <c r="O29" s="53">
        <v>600</v>
      </c>
      <c r="P29" s="53">
        <v>600</v>
      </c>
      <c r="Q29" s="54"/>
    </row>
    <row r="30" spans="2:17" x14ac:dyDescent="0.35">
      <c r="B30" s="37" t="s">
        <v>180</v>
      </c>
      <c r="C30" s="38">
        <v>27</v>
      </c>
      <c r="D30" s="38" t="s">
        <v>178</v>
      </c>
      <c r="E30" s="53">
        <v>575</v>
      </c>
      <c r="F30" s="53">
        <v>575</v>
      </c>
      <c r="G30" s="53">
        <v>575</v>
      </c>
      <c r="H30" s="53">
        <v>575</v>
      </c>
      <c r="I30" s="53">
        <v>575</v>
      </c>
      <c r="J30" s="53">
        <v>575</v>
      </c>
      <c r="K30" s="53">
        <v>575</v>
      </c>
      <c r="L30" s="53">
        <v>575</v>
      </c>
      <c r="M30" s="53">
        <v>575</v>
      </c>
      <c r="N30" s="53">
        <v>575</v>
      </c>
      <c r="O30" s="53">
        <v>575</v>
      </c>
      <c r="P30" s="53">
        <v>575</v>
      </c>
      <c r="Q30" s="54"/>
    </row>
    <row r="31" spans="2:17" x14ac:dyDescent="0.35">
      <c r="B31" s="37" t="s">
        <v>179</v>
      </c>
      <c r="C31" s="38">
        <v>28</v>
      </c>
      <c r="D31" s="38" t="s">
        <v>178</v>
      </c>
      <c r="E31" s="53">
        <v>600</v>
      </c>
      <c r="F31" s="53">
        <v>600</v>
      </c>
      <c r="G31" s="53">
        <v>600</v>
      </c>
      <c r="H31" s="53">
        <v>600</v>
      </c>
      <c r="I31" s="53">
        <v>600</v>
      </c>
      <c r="J31" s="53">
        <v>600</v>
      </c>
      <c r="K31" s="53">
        <v>600</v>
      </c>
      <c r="L31" s="53">
        <v>600</v>
      </c>
      <c r="M31" s="53">
        <v>600</v>
      </c>
      <c r="N31" s="53">
        <v>600</v>
      </c>
      <c r="O31" s="53">
        <v>600</v>
      </c>
      <c r="P31" s="53">
        <v>600</v>
      </c>
      <c r="Q31" s="54"/>
    </row>
    <row r="32" spans="2:17" x14ac:dyDescent="0.35">
      <c r="B32" s="37" t="s">
        <v>177</v>
      </c>
      <c r="C32" s="38">
        <v>29</v>
      </c>
      <c r="D32" s="44">
        <v>46387</v>
      </c>
      <c r="E32" s="53">
        <v>770</v>
      </c>
      <c r="F32" s="53">
        <v>770</v>
      </c>
      <c r="G32" s="53">
        <v>770</v>
      </c>
      <c r="H32" s="53">
        <v>770</v>
      </c>
      <c r="I32" s="53">
        <v>770</v>
      </c>
      <c r="J32" s="53">
        <v>770</v>
      </c>
      <c r="K32" s="53">
        <v>770</v>
      </c>
      <c r="L32" s="53">
        <v>770</v>
      </c>
      <c r="M32" s="53">
        <v>770</v>
      </c>
      <c r="N32" s="53">
        <v>770</v>
      </c>
      <c r="O32" s="53">
        <v>770</v>
      </c>
      <c r="P32" s="53">
        <v>770</v>
      </c>
      <c r="Q32" s="54"/>
    </row>
    <row r="33" spans="2:17" x14ac:dyDescent="0.35">
      <c r="B33" s="37" t="s">
        <v>176</v>
      </c>
      <c r="C33" s="38">
        <v>30</v>
      </c>
      <c r="D33" s="44">
        <v>46387</v>
      </c>
      <c r="E33" s="53">
        <v>825</v>
      </c>
      <c r="F33" s="53">
        <v>825</v>
      </c>
      <c r="G33" s="53">
        <v>825</v>
      </c>
      <c r="H33" s="53">
        <v>825</v>
      </c>
      <c r="I33" s="53">
        <v>825</v>
      </c>
      <c r="J33" s="53">
        <v>825</v>
      </c>
      <c r="K33" s="53">
        <v>825</v>
      </c>
      <c r="L33" s="53">
        <v>825</v>
      </c>
      <c r="M33" s="53">
        <v>825</v>
      </c>
      <c r="N33" s="53">
        <v>825</v>
      </c>
      <c r="O33" s="53">
        <v>825</v>
      </c>
      <c r="P33" s="53">
        <v>825</v>
      </c>
      <c r="Q33" s="54"/>
    </row>
    <row r="34" spans="2:17" x14ac:dyDescent="0.35">
      <c r="B34" s="37" t="s">
        <v>176</v>
      </c>
      <c r="C34" s="38">
        <v>31</v>
      </c>
      <c r="D34" s="44">
        <v>46387</v>
      </c>
      <c r="E34" s="53">
        <v>650</v>
      </c>
      <c r="F34" s="53">
        <v>650</v>
      </c>
      <c r="G34" s="53">
        <v>650</v>
      </c>
      <c r="H34" s="53">
        <v>650</v>
      </c>
      <c r="I34" s="53">
        <v>650</v>
      </c>
      <c r="J34" s="53">
        <v>650</v>
      </c>
      <c r="K34" s="53">
        <v>650</v>
      </c>
      <c r="L34" s="53">
        <v>650</v>
      </c>
      <c r="M34" s="53">
        <v>650</v>
      </c>
      <c r="N34" s="53">
        <v>650</v>
      </c>
      <c r="O34" s="53">
        <v>650</v>
      </c>
      <c r="P34" s="53">
        <v>650</v>
      </c>
      <c r="Q34" s="54"/>
    </row>
    <row r="35" spans="2:17" x14ac:dyDescent="0.35">
      <c r="B35" s="50" t="s">
        <v>175</v>
      </c>
      <c r="C35" s="51">
        <v>32</v>
      </c>
      <c r="D35" s="52"/>
      <c r="E35" s="56">
        <v>0</v>
      </c>
      <c r="F35" s="56">
        <v>0</v>
      </c>
      <c r="G35" s="56">
        <v>0</v>
      </c>
      <c r="H35" s="56">
        <v>850</v>
      </c>
      <c r="I35" s="56">
        <v>850</v>
      </c>
      <c r="J35" s="56">
        <v>850</v>
      </c>
      <c r="K35" s="56">
        <v>850</v>
      </c>
      <c r="L35" s="56">
        <v>850</v>
      </c>
      <c r="M35" s="56">
        <v>850</v>
      </c>
      <c r="N35" s="56">
        <v>850</v>
      </c>
      <c r="O35" s="56">
        <v>850</v>
      </c>
      <c r="P35" s="56">
        <v>850</v>
      </c>
      <c r="Q35" s="57"/>
    </row>
    <row r="36" spans="2:17" x14ac:dyDescent="0.35">
      <c r="B36" s="47" t="s">
        <v>155</v>
      </c>
      <c r="C36" s="38"/>
      <c r="E36" s="58">
        <f t="shared" ref="E36:P36" si="0">SUM(E4:E35)</f>
        <v>22330</v>
      </c>
      <c r="F36" s="58">
        <f t="shared" si="0"/>
        <v>21435</v>
      </c>
      <c r="G36" s="58">
        <f t="shared" si="0"/>
        <v>21495</v>
      </c>
      <c r="H36" s="58">
        <f t="shared" si="0"/>
        <v>22345</v>
      </c>
      <c r="I36" s="58">
        <f t="shared" si="0"/>
        <v>22345</v>
      </c>
      <c r="J36" s="58">
        <f t="shared" si="0"/>
        <v>22365</v>
      </c>
      <c r="K36" s="58">
        <f t="shared" si="0"/>
        <v>23285</v>
      </c>
      <c r="L36" s="58">
        <f t="shared" si="0"/>
        <v>23285</v>
      </c>
      <c r="M36" s="58">
        <f t="shared" si="0"/>
        <v>23285</v>
      </c>
      <c r="N36" s="58">
        <f t="shared" si="0"/>
        <v>23305</v>
      </c>
      <c r="O36" s="58">
        <f t="shared" si="0"/>
        <v>23305</v>
      </c>
      <c r="P36" s="58">
        <f t="shared" si="0"/>
        <v>23305</v>
      </c>
      <c r="Q36" s="58">
        <f>SUM(E36:P36)</f>
        <v>272085</v>
      </c>
    </row>
    <row r="37" spans="2:17" x14ac:dyDescent="0.35">
      <c r="B37" s="46"/>
      <c r="C37" s="3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35">
      <c r="B38" s="46"/>
      <c r="C38" s="38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8"/>
    </row>
    <row r="39" spans="2:17" x14ac:dyDescent="0.35">
      <c r="B39" s="37" t="s">
        <v>174</v>
      </c>
      <c r="C39" s="38" t="s">
        <v>156</v>
      </c>
      <c r="E39" s="82">
        <v>60</v>
      </c>
      <c r="F39" s="82">
        <v>60</v>
      </c>
      <c r="G39" s="82">
        <v>60</v>
      </c>
      <c r="H39" s="82">
        <v>60</v>
      </c>
      <c r="I39" s="82">
        <v>60</v>
      </c>
      <c r="J39" s="82">
        <v>60</v>
      </c>
      <c r="K39" s="82">
        <v>60</v>
      </c>
      <c r="L39" s="82">
        <v>60</v>
      </c>
      <c r="M39" s="82">
        <v>60</v>
      </c>
      <c r="N39" s="82">
        <v>60</v>
      </c>
      <c r="O39" s="82">
        <v>60</v>
      </c>
      <c r="P39" s="82">
        <v>60</v>
      </c>
    </row>
    <row r="40" spans="2:17" x14ac:dyDescent="0.35">
      <c r="B40" s="37" t="s">
        <v>173</v>
      </c>
      <c r="C40" s="38" t="s">
        <v>156</v>
      </c>
      <c r="E40" s="82">
        <v>200</v>
      </c>
      <c r="F40" s="82">
        <v>200</v>
      </c>
      <c r="G40" s="82">
        <v>200</v>
      </c>
      <c r="H40" s="82">
        <v>200</v>
      </c>
      <c r="I40" s="82">
        <v>200</v>
      </c>
      <c r="J40" s="82">
        <v>200</v>
      </c>
      <c r="K40" s="82">
        <v>200</v>
      </c>
      <c r="L40" s="82">
        <v>200</v>
      </c>
      <c r="M40" s="82">
        <v>200</v>
      </c>
      <c r="N40" s="82">
        <v>200</v>
      </c>
      <c r="O40" s="82">
        <v>200</v>
      </c>
      <c r="P40" s="82">
        <v>200</v>
      </c>
    </row>
    <row r="41" spans="2:17" x14ac:dyDescent="0.35">
      <c r="B41" s="37" t="s">
        <v>172</v>
      </c>
      <c r="C41" s="38" t="s">
        <v>156</v>
      </c>
      <c r="E41" s="82">
        <v>75</v>
      </c>
      <c r="F41" s="82">
        <v>75</v>
      </c>
      <c r="G41" s="82">
        <v>75</v>
      </c>
      <c r="H41" s="82">
        <v>75</v>
      </c>
      <c r="I41" s="82">
        <v>75</v>
      </c>
      <c r="J41" s="82">
        <v>75</v>
      </c>
      <c r="K41" s="82">
        <v>75</v>
      </c>
      <c r="L41" s="82">
        <v>75</v>
      </c>
      <c r="M41" s="82">
        <v>75</v>
      </c>
      <c r="N41" s="82">
        <v>75</v>
      </c>
      <c r="O41" s="82">
        <v>75</v>
      </c>
      <c r="P41" s="82">
        <v>75</v>
      </c>
    </row>
    <row r="42" spans="2:17" x14ac:dyDescent="0.35">
      <c r="B42" s="37" t="s">
        <v>171</v>
      </c>
      <c r="C42" s="38" t="s">
        <v>156</v>
      </c>
      <c r="E42" s="82">
        <v>200</v>
      </c>
      <c r="F42" s="82">
        <v>200</v>
      </c>
      <c r="G42" s="82">
        <v>200</v>
      </c>
      <c r="H42" s="82">
        <v>200</v>
      </c>
      <c r="I42" s="82">
        <v>200</v>
      </c>
      <c r="J42" s="82">
        <v>200</v>
      </c>
      <c r="K42" s="82">
        <v>200</v>
      </c>
      <c r="L42" s="82">
        <v>200</v>
      </c>
      <c r="M42" s="82">
        <v>200</v>
      </c>
      <c r="N42" s="82">
        <v>200</v>
      </c>
      <c r="O42" s="82">
        <v>200</v>
      </c>
      <c r="P42" s="82">
        <v>200</v>
      </c>
    </row>
    <row r="43" spans="2:17" x14ac:dyDescent="0.35">
      <c r="B43" s="37" t="s">
        <v>170</v>
      </c>
      <c r="C43" s="38" t="s">
        <v>156</v>
      </c>
      <c r="E43" s="82">
        <v>175</v>
      </c>
      <c r="F43" s="82">
        <v>175</v>
      </c>
      <c r="G43" s="82">
        <v>175</v>
      </c>
      <c r="H43" s="82">
        <v>175</v>
      </c>
      <c r="I43" s="82">
        <v>175</v>
      </c>
      <c r="J43" s="82">
        <v>175</v>
      </c>
      <c r="K43" s="82">
        <v>175</v>
      </c>
      <c r="L43" s="82">
        <v>175</v>
      </c>
      <c r="M43" s="82">
        <v>175</v>
      </c>
      <c r="N43" s="82">
        <v>175</v>
      </c>
      <c r="O43" s="82">
        <v>175</v>
      </c>
      <c r="P43" s="82">
        <v>175</v>
      </c>
    </row>
    <row r="44" spans="2:17" x14ac:dyDescent="0.35">
      <c r="B44" s="37" t="s">
        <v>169</v>
      </c>
      <c r="C44" s="38" t="s">
        <v>156</v>
      </c>
      <c r="E44" s="82">
        <v>150</v>
      </c>
      <c r="F44" s="82">
        <v>150</v>
      </c>
      <c r="G44" s="82">
        <v>150</v>
      </c>
      <c r="H44" s="82">
        <v>150</v>
      </c>
      <c r="I44" s="82">
        <v>150</v>
      </c>
      <c r="J44" s="82">
        <v>150</v>
      </c>
      <c r="K44" s="82">
        <v>150</v>
      </c>
      <c r="L44" s="82">
        <v>150</v>
      </c>
      <c r="M44" s="82">
        <v>150</v>
      </c>
      <c r="N44" s="82">
        <v>150</v>
      </c>
      <c r="O44" s="82">
        <v>150</v>
      </c>
      <c r="P44" s="82">
        <v>150</v>
      </c>
    </row>
    <row r="45" spans="2:17" x14ac:dyDescent="0.35">
      <c r="B45" s="37" t="s">
        <v>168</v>
      </c>
      <c r="C45" s="38" t="s">
        <v>156</v>
      </c>
      <c r="E45" s="82">
        <v>75</v>
      </c>
      <c r="F45" s="82">
        <v>75</v>
      </c>
      <c r="G45" s="82">
        <v>75</v>
      </c>
      <c r="H45" s="82">
        <v>75</v>
      </c>
      <c r="I45" s="82">
        <v>75</v>
      </c>
      <c r="J45" s="82">
        <v>75</v>
      </c>
      <c r="K45" s="82">
        <v>75</v>
      </c>
      <c r="L45" s="82">
        <v>75</v>
      </c>
      <c r="M45" s="82">
        <v>75</v>
      </c>
      <c r="N45" s="82">
        <v>75</v>
      </c>
      <c r="O45" s="82">
        <v>75</v>
      </c>
      <c r="P45" s="82">
        <v>75</v>
      </c>
    </row>
    <row r="46" spans="2:17" x14ac:dyDescent="0.35">
      <c r="B46" s="37" t="s">
        <v>167</v>
      </c>
      <c r="C46" s="38" t="s">
        <v>156</v>
      </c>
      <c r="E46" s="82">
        <v>75</v>
      </c>
      <c r="F46" s="82">
        <v>75</v>
      </c>
      <c r="G46" s="82">
        <v>75</v>
      </c>
      <c r="H46" s="82">
        <v>75</v>
      </c>
      <c r="I46" s="82">
        <v>75</v>
      </c>
      <c r="J46" s="82">
        <v>75</v>
      </c>
      <c r="K46" s="82">
        <v>75</v>
      </c>
      <c r="L46" s="82">
        <v>75</v>
      </c>
      <c r="M46" s="82">
        <v>75</v>
      </c>
      <c r="N46" s="82">
        <v>75</v>
      </c>
      <c r="O46" s="82">
        <v>75</v>
      </c>
      <c r="P46" s="82">
        <v>75</v>
      </c>
    </row>
    <row r="47" spans="2:17" x14ac:dyDescent="0.35">
      <c r="B47" s="49" t="s">
        <v>166</v>
      </c>
      <c r="C47" s="38" t="s">
        <v>156</v>
      </c>
      <c r="E47" s="82">
        <v>60</v>
      </c>
      <c r="F47" s="82">
        <v>60</v>
      </c>
      <c r="G47" s="82">
        <v>60</v>
      </c>
      <c r="H47" s="82">
        <v>60</v>
      </c>
      <c r="I47" s="82">
        <v>60</v>
      </c>
      <c r="J47" s="82">
        <v>60</v>
      </c>
      <c r="K47" s="82">
        <v>60</v>
      </c>
      <c r="L47" s="82">
        <v>60</v>
      </c>
      <c r="M47" s="82">
        <v>60</v>
      </c>
      <c r="N47" s="82">
        <v>60</v>
      </c>
      <c r="O47" s="82">
        <v>60</v>
      </c>
      <c r="P47" s="82">
        <v>60</v>
      </c>
    </row>
    <row r="48" spans="2:17" x14ac:dyDescent="0.35">
      <c r="B48" s="37" t="s">
        <v>165</v>
      </c>
      <c r="C48" s="38" t="s">
        <v>156</v>
      </c>
      <c r="E48" s="82">
        <v>75</v>
      </c>
      <c r="F48" s="82">
        <v>75</v>
      </c>
      <c r="G48" s="82">
        <v>75</v>
      </c>
      <c r="H48" s="82">
        <v>75</v>
      </c>
      <c r="I48" s="82">
        <v>75</v>
      </c>
      <c r="J48" s="82">
        <v>75</v>
      </c>
      <c r="K48" s="82">
        <v>75</v>
      </c>
      <c r="L48" s="82">
        <v>75</v>
      </c>
      <c r="M48" s="82">
        <v>75</v>
      </c>
      <c r="N48" s="82">
        <v>75</v>
      </c>
      <c r="O48" s="82">
        <v>75</v>
      </c>
      <c r="P48" s="82">
        <v>75</v>
      </c>
    </row>
    <row r="49" spans="2:17" x14ac:dyDescent="0.35">
      <c r="B49" s="37" t="s">
        <v>164</v>
      </c>
      <c r="C49" s="38" t="s">
        <v>156</v>
      </c>
      <c r="E49" s="82">
        <v>60</v>
      </c>
      <c r="F49" s="82">
        <v>60</v>
      </c>
      <c r="G49" s="82">
        <v>60</v>
      </c>
      <c r="H49" s="82">
        <v>60</v>
      </c>
      <c r="I49" s="82">
        <v>60</v>
      </c>
      <c r="J49" s="82">
        <v>60</v>
      </c>
      <c r="K49" s="82">
        <v>60</v>
      </c>
      <c r="L49" s="82">
        <v>60</v>
      </c>
      <c r="M49" s="82">
        <v>60</v>
      </c>
      <c r="N49" s="82">
        <v>60</v>
      </c>
      <c r="O49" s="82">
        <v>60</v>
      </c>
      <c r="P49" s="82">
        <v>60</v>
      </c>
    </row>
    <row r="50" spans="2:17" x14ac:dyDescent="0.35">
      <c r="B50" s="37" t="s">
        <v>163</v>
      </c>
      <c r="C50" s="38" t="s">
        <v>156</v>
      </c>
      <c r="E50" s="82">
        <v>225</v>
      </c>
      <c r="F50" s="82">
        <v>225</v>
      </c>
      <c r="G50" s="82">
        <v>225</v>
      </c>
      <c r="H50" s="82">
        <v>225</v>
      </c>
      <c r="I50" s="82">
        <v>225</v>
      </c>
      <c r="J50" s="82">
        <v>225</v>
      </c>
      <c r="K50" s="82">
        <v>225</v>
      </c>
      <c r="L50" s="82">
        <v>225</v>
      </c>
      <c r="M50" s="82">
        <v>225</v>
      </c>
      <c r="N50" s="82">
        <v>225</v>
      </c>
      <c r="O50" s="82">
        <v>225</v>
      </c>
      <c r="P50" s="82">
        <v>225</v>
      </c>
    </row>
    <row r="51" spans="2:17" x14ac:dyDescent="0.35">
      <c r="B51" s="37" t="s">
        <v>162</v>
      </c>
      <c r="C51" s="38" t="s">
        <v>156</v>
      </c>
      <c r="E51" s="82">
        <v>75</v>
      </c>
      <c r="F51" s="82">
        <v>75</v>
      </c>
      <c r="G51" s="82">
        <v>75</v>
      </c>
      <c r="H51" s="82">
        <v>75</v>
      </c>
      <c r="I51" s="82">
        <v>75</v>
      </c>
      <c r="J51" s="82">
        <v>75</v>
      </c>
      <c r="K51" s="82">
        <v>75</v>
      </c>
      <c r="L51" s="82">
        <v>75</v>
      </c>
      <c r="M51" s="82">
        <v>75</v>
      </c>
      <c r="N51" s="82">
        <v>75</v>
      </c>
      <c r="O51" s="82">
        <v>75</v>
      </c>
      <c r="P51" s="82">
        <v>75</v>
      </c>
    </row>
    <row r="52" spans="2:17" x14ac:dyDescent="0.35">
      <c r="B52" s="37" t="s">
        <v>161</v>
      </c>
      <c r="C52" s="38" t="s">
        <v>156</v>
      </c>
      <c r="E52" s="82">
        <v>75</v>
      </c>
      <c r="F52" s="82">
        <v>75</v>
      </c>
      <c r="G52" s="82">
        <v>75</v>
      </c>
      <c r="H52" s="82">
        <v>75</v>
      </c>
      <c r="I52" s="82">
        <v>75</v>
      </c>
      <c r="J52" s="82">
        <v>75</v>
      </c>
      <c r="K52" s="82">
        <v>75</v>
      </c>
      <c r="L52" s="82">
        <v>75</v>
      </c>
      <c r="M52" s="82">
        <v>75</v>
      </c>
      <c r="N52" s="82">
        <v>75</v>
      </c>
      <c r="O52" s="82">
        <v>75</v>
      </c>
      <c r="P52" s="82">
        <v>75</v>
      </c>
    </row>
    <row r="53" spans="2:17" x14ac:dyDescent="0.35">
      <c r="B53" s="37" t="s">
        <v>160</v>
      </c>
      <c r="C53" s="38" t="s">
        <v>156</v>
      </c>
      <c r="E53" s="82">
        <v>75</v>
      </c>
      <c r="F53" s="82">
        <v>75</v>
      </c>
      <c r="G53" s="82">
        <v>75</v>
      </c>
      <c r="H53" s="82">
        <v>75</v>
      </c>
      <c r="I53" s="82">
        <v>75</v>
      </c>
      <c r="J53" s="82">
        <v>75</v>
      </c>
      <c r="K53" s="82">
        <v>75</v>
      </c>
      <c r="L53" s="82">
        <v>75</v>
      </c>
      <c r="M53" s="82">
        <v>75</v>
      </c>
      <c r="N53" s="82">
        <v>75</v>
      </c>
      <c r="O53" s="82">
        <v>75</v>
      </c>
      <c r="P53" s="82">
        <v>75</v>
      </c>
    </row>
    <row r="54" spans="2:17" x14ac:dyDescent="0.35">
      <c r="B54" s="37" t="s">
        <v>159</v>
      </c>
      <c r="C54" s="38" t="s">
        <v>156</v>
      </c>
      <c r="E54" s="82">
        <v>200</v>
      </c>
      <c r="F54" s="82">
        <v>200</v>
      </c>
      <c r="G54" s="82">
        <v>200</v>
      </c>
      <c r="H54" s="82">
        <v>200</v>
      </c>
      <c r="I54" s="82">
        <v>200</v>
      </c>
      <c r="J54" s="82">
        <v>200</v>
      </c>
      <c r="K54" s="82">
        <v>200</v>
      </c>
      <c r="L54" s="82">
        <v>200</v>
      </c>
      <c r="M54" s="82">
        <v>200</v>
      </c>
      <c r="N54" s="82">
        <v>200</v>
      </c>
      <c r="O54" s="82">
        <v>200</v>
      </c>
      <c r="P54" s="82">
        <v>200</v>
      </c>
    </row>
    <row r="55" spans="2:17" x14ac:dyDescent="0.35">
      <c r="B55" s="37" t="s">
        <v>158</v>
      </c>
      <c r="C55" s="38" t="s">
        <v>156</v>
      </c>
      <c r="E55" s="82">
        <v>200</v>
      </c>
      <c r="F55" s="82">
        <v>200</v>
      </c>
      <c r="G55" s="82">
        <v>200</v>
      </c>
      <c r="H55" s="82">
        <v>200</v>
      </c>
      <c r="I55" s="82">
        <v>200</v>
      </c>
      <c r="J55" s="82">
        <v>200</v>
      </c>
      <c r="K55" s="82">
        <v>200</v>
      </c>
      <c r="L55" s="82">
        <v>200</v>
      </c>
      <c r="M55" s="82">
        <v>200</v>
      </c>
      <c r="N55" s="82">
        <v>200</v>
      </c>
      <c r="O55" s="82">
        <v>200</v>
      </c>
      <c r="P55" s="82">
        <v>200</v>
      </c>
    </row>
    <row r="56" spans="2:17" x14ac:dyDescent="0.35">
      <c r="B56" s="59" t="s">
        <v>157</v>
      </c>
      <c r="C56" s="51" t="s">
        <v>156</v>
      </c>
      <c r="D56" s="52"/>
      <c r="E56" s="83">
        <v>75</v>
      </c>
      <c r="F56" s="83">
        <v>75</v>
      </c>
      <c r="G56" s="83">
        <v>75</v>
      </c>
      <c r="H56" s="83">
        <v>75</v>
      </c>
      <c r="I56" s="83">
        <v>75</v>
      </c>
      <c r="J56" s="83">
        <v>75</v>
      </c>
      <c r="K56" s="83">
        <v>75</v>
      </c>
      <c r="L56" s="83">
        <v>75</v>
      </c>
      <c r="M56" s="83">
        <v>75</v>
      </c>
      <c r="N56" s="83">
        <v>75</v>
      </c>
      <c r="O56" s="83">
        <v>75</v>
      </c>
      <c r="P56" s="83">
        <v>75</v>
      </c>
      <c r="Q56" s="52"/>
    </row>
    <row r="57" spans="2:17" x14ac:dyDescent="0.35">
      <c r="B57" s="47" t="s">
        <v>155</v>
      </c>
      <c r="C57" s="38"/>
      <c r="E57" s="58">
        <f t="shared" ref="E57:P57" si="1">SUM(E39:E56)</f>
        <v>2130</v>
      </c>
      <c r="F57" s="58">
        <f t="shared" si="1"/>
        <v>2130</v>
      </c>
      <c r="G57" s="58">
        <f t="shared" si="1"/>
        <v>2130</v>
      </c>
      <c r="H57" s="58">
        <f t="shared" si="1"/>
        <v>2130</v>
      </c>
      <c r="I57" s="58">
        <f t="shared" si="1"/>
        <v>2130</v>
      </c>
      <c r="J57" s="58">
        <f t="shared" si="1"/>
        <v>2130</v>
      </c>
      <c r="K57" s="58">
        <f t="shared" si="1"/>
        <v>2130</v>
      </c>
      <c r="L57" s="58">
        <f t="shared" si="1"/>
        <v>2130</v>
      </c>
      <c r="M57" s="58">
        <f t="shared" si="1"/>
        <v>2130</v>
      </c>
      <c r="N57" s="58">
        <f t="shared" si="1"/>
        <v>2130</v>
      </c>
      <c r="O57" s="58">
        <f t="shared" si="1"/>
        <v>2130</v>
      </c>
      <c r="P57" s="58">
        <f t="shared" si="1"/>
        <v>2130</v>
      </c>
      <c r="Q57" s="58">
        <f>SUM(E57:P57)</f>
        <v>25560</v>
      </c>
    </row>
  </sheetData>
  <mergeCells count="1">
    <mergeCell ref="E1:N1"/>
  </mergeCells>
  <printOptions horizontalCentered="1"/>
  <pageMargins left="0" right="0" top="0" bottom="0" header="0.5" footer="0.5"/>
  <pageSetup paperSize="5" scale="8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41438e3bccbe278bb7e12377a96b2c47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314c5ac66ebed779787c298e564e02d9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E35A99-8EBB-4B5B-BFCA-480758F6B9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70B36A-5331-4540-BE96-C1F7D82576A4}">
  <ds:schemaRefs>
    <ds:schemaRef ds:uri="http://schemas.microsoft.com/office/2006/metadata/properties"/>
    <ds:schemaRef ds:uri="http://schemas.microsoft.com/office/infopath/2007/PartnerControls"/>
    <ds:schemaRef ds:uri="d8bb4864-1f15-4dbc-8993-a0057cbdf711"/>
    <ds:schemaRef ds:uri="af706855-280e-40fa-beb9-81c9773b0c79"/>
  </ds:schemaRefs>
</ds:datastoreItem>
</file>

<file path=customXml/itemProps3.xml><?xml version="1.0" encoding="utf-8"?>
<ds:datastoreItem xmlns:ds="http://schemas.openxmlformats.org/officeDocument/2006/customXml" ds:itemID="{5F2175F2-E7EC-4C78-98E8-61866D67B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The Office Works</vt:lpstr>
      <vt:lpstr>Monthly Rent Roll &amp; CIP</vt:lpstr>
      <vt:lpstr>'Monthly Rent Roll &amp; CIP'!Print_Area</vt:lpstr>
      <vt:lpstr>'The Office Works'!Print_Area</vt:lpstr>
    </vt:vector>
  </TitlesOfParts>
  <Company>Korman Commercial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Tootchen</dc:creator>
  <cp:lastModifiedBy>Drew Winig</cp:lastModifiedBy>
  <cp:lastPrinted>2024-05-03T14:35:35Z</cp:lastPrinted>
  <dcterms:created xsi:type="dcterms:W3CDTF">2007-11-01T18:52:01Z</dcterms:created>
  <dcterms:modified xsi:type="dcterms:W3CDTF">2026-05-28T17:12:46Z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