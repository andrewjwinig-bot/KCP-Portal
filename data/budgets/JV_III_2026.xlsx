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https://kormancommercial.sharepoint.com/sites/KormanCommercialProperties/Shared Documents/Data/Shared/Properties/Business Plans - All Entities/2026/JV III 2026 Budget/"/>
    </mc:Choice>
  </mc:AlternateContent>
  <xr:revisionPtr revIDLastSave="4014" documentId="8_{8873A146-6446-44FD-9566-E76D03963009}" xr6:coauthVersionLast="47" xr6:coauthVersionMax="47" xr10:uidLastSave="{B0BA759E-6658-487A-9478-7CC78C9746EC}"/>
  <bookViews>
    <workbookView xWindow="-11970" yWindow="-21765" windowWidth="51930" windowHeight="21210" firstSheet="1" activeTab="3" xr2:uid="{AD68EEA2-50BD-4FF8-BBDB-0577C580B206}"/>
  </bookViews>
  <sheets>
    <sheet name="Cover Sheet" sheetId="58" r:id="rId1"/>
    <sheet name="Source and Use of Cash" sheetId="50" r:id="rId2"/>
    <sheet name="Assumptions" sheetId="57" r:id="rId3"/>
    <sheet name="JV III Consolidated" sheetId="27" r:id="rId4"/>
    <sheet name="361" sheetId="6" r:id="rId5"/>
    <sheet name="362" sheetId="22" r:id="rId6"/>
    <sheet name="364" sheetId="8" r:id="rId7"/>
    <sheet name="Renew &amp; Vac - Rent, TI, LC" sheetId="41" r:id="rId8"/>
    <sheet name="Allocated Expenses" sheetId="44" r:id="rId9"/>
    <sheet name="Water Sewer" sheetId="56" r:id="rId10"/>
    <sheet name="Building Maint" sheetId="52" r:id="rId11"/>
    <sheet name="Sheet2" sheetId="48" state="hidden" r:id="rId12"/>
    <sheet name="In Place Revenue" sheetId="38" r:id="rId13"/>
    <sheet name="Tenant Recoveries" sheetId="46" r:id="rId14"/>
    <sheet name="Parking Lot Maint" sheetId="53" r:id="rId15"/>
    <sheet name="Landscaping" sheetId="54" r:id="rId16"/>
    <sheet name="INS RET" sheetId="43" r:id="rId17"/>
    <sheet name="Trash" sheetId="55" r:id="rId18"/>
    <sheet name="DSCR calc" sheetId="49" state="hidden" r:id="rId19"/>
  </sheets>
  <definedNames>
    <definedName name="_Order1" hidden="1">255</definedName>
    <definedName name="_Order2" hidden="1">255</definedName>
    <definedName name="_xlcn.WorksheetConnection_JMRevenueA1H587" hidden="1">'In Place Revenue'!$A$1:$H$602</definedName>
    <definedName name="PaiementsParAn" localSheetId="9">'Water Sewer'!$F$6</definedName>
    <definedName name="PaiementsParAn">'INS RET'!$G$6</definedName>
    <definedName name="pmtType" localSheetId="16">'INS RET'!$F$20</definedName>
    <definedName name="pmtType" localSheetId="9">'Water Sewer'!$E$16</definedName>
    <definedName name="_xlnm.Print_Area" localSheetId="4">'361'!$B$1:$R$131</definedName>
    <definedName name="_xlnm.Print_Area" localSheetId="5">'362'!$B$1:$Q$131</definedName>
    <definedName name="_xlnm.Print_Area" localSheetId="6">'364'!$B$1:$R$131</definedName>
    <definedName name="_xlnm.Print_Area" localSheetId="8">'Allocated Expenses'!$B$2:$X$115</definedName>
    <definedName name="_xlnm.Print_Area" localSheetId="2">Assumptions!$A$1:$E$58</definedName>
    <definedName name="_xlnm.Print_Area" localSheetId="10">'Building Maint'!$A$1:$O$163</definedName>
    <definedName name="_xlnm.Print_Area" localSheetId="0">'Cover Sheet'!$A$1:$A$3</definedName>
    <definedName name="_xlnm.Print_Area" localSheetId="16">'INS RET'!$B$1:$Q$35</definedName>
    <definedName name="_xlnm.Print_Area" localSheetId="3">'JV III Consolidated'!$B$1:$Q$131</definedName>
    <definedName name="_xlnm.Print_Area" localSheetId="7">'Renew &amp; Vac - Rent, TI, LC'!$A$1:$S$68</definedName>
    <definedName name="_xlnm.Print_Area" localSheetId="9">'Water Sewer'!$B$1:$P$19</definedName>
    <definedName name="_xlnm.Print_Titles" localSheetId="4">'361'!$A:$D,'361'!$1:$4</definedName>
    <definedName name="_xlnm.Print_Titles" localSheetId="5">'362'!$A:$D,'362'!$1:$4</definedName>
    <definedName name="_xlnm.Print_Titles" localSheetId="6">'364'!$A:$D,'364'!$1:$4</definedName>
    <definedName name="_xlnm.Print_Titles" localSheetId="3">'JV III Consolidated'!$A:$D,'JV III Consolidated'!$1:$4</definedName>
    <definedName name="rate" localSheetId="16">'INS RET'!$J$6</definedName>
    <definedName name="rate" localSheetId="9">'Water Sewer'!$I$6</definedName>
    <definedName name="roundOpt" localSheetId="16">'INS RET'!$F$24</definedName>
    <definedName name="roundOpt" localSheetId="9">'Water Sewer'!$E$18</definedName>
    <definedName name="TauxIntérêt" localSheetId="9">'Water Sewer'!$F$3</definedName>
    <definedName name="TauxIntérêt">'INS RET'!$G$3</definedName>
  </definedNames>
  <calcPr calcId="191029"/>
  <pivotCaches>
    <pivotCache cacheId="2" r:id="rId20"/>
    <pivotCache cacheId="3" r:id="rId21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JM Revenue!$A$1:$H$587"/>
        </x15:modelTables>
        <x15:extLst>
          <ext xmlns:x16="http://schemas.microsoft.com/office/spreadsheetml/2014/11/main" uri="{9835A34E-60A6-4A7C-AAB8-D5F71C897F49}">
            <x16:modelTimeGroupings>
              <x16:modelTimeGrouping tableName="Range" columnName="Charge Date" columnId="Charge Date">
                <x16:calculatedTimeColumn columnName="Charge Date (Month Index)" columnId="Charge Date (Month Index)" contentType="monthsindex" isSelected="1"/>
                <x16:calculatedTimeColumn columnName="Charge Date (Month)" columnId="Charge 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43" l="1"/>
  <c r="C68" i="41"/>
  <c r="B50" i="41" s="1"/>
  <c r="AH53" i="41" a="1"/>
  <c r="AH53" i="41" s="1"/>
  <c r="P67" i="41"/>
  <c r="AH54" i="41" a="1"/>
  <c r="AH54" i="41" s="1"/>
  <c r="D139" i="27"/>
  <c r="A137" i="8" l="1"/>
  <c r="A156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P171" i="8" l="1"/>
  <c r="O171" i="8"/>
  <c r="N171" i="8"/>
  <c r="M171" i="8"/>
  <c r="L171" i="8"/>
  <c r="K171" i="8"/>
  <c r="J171" i="8"/>
  <c r="I171" i="8"/>
  <c r="H171" i="8"/>
  <c r="G171" i="8"/>
  <c r="F171" i="8"/>
  <c r="E171" i="8"/>
  <c r="P170" i="8"/>
  <c r="O170" i="8"/>
  <c r="N170" i="8"/>
  <c r="M170" i="8"/>
  <c r="L170" i="8"/>
  <c r="K170" i="8"/>
  <c r="J170" i="8"/>
  <c r="I170" i="8"/>
  <c r="H170" i="8"/>
  <c r="G170" i="8"/>
  <c r="F170" i="8"/>
  <c r="E170" i="8"/>
  <c r="P169" i="8"/>
  <c r="O169" i="8"/>
  <c r="N169" i="8"/>
  <c r="M169" i="8"/>
  <c r="L169" i="8"/>
  <c r="K169" i="8"/>
  <c r="J169" i="8"/>
  <c r="I169" i="8"/>
  <c r="H169" i="8"/>
  <c r="G169" i="8"/>
  <c r="F169" i="8"/>
  <c r="E169" i="8"/>
  <c r="P167" i="8"/>
  <c r="O167" i="8"/>
  <c r="N167" i="8"/>
  <c r="M167" i="8"/>
  <c r="L167" i="8"/>
  <c r="K167" i="8"/>
  <c r="J167" i="8"/>
  <c r="I167" i="8"/>
  <c r="H167" i="8"/>
  <c r="G167" i="8"/>
  <c r="F167" i="8"/>
  <c r="E167" i="8"/>
  <c r="P166" i="8"/>
  <c r="O166" i="8"/>
  <c r="N166" i="8"/>
  <c r="M166" i="8"/>
  <c r="L166" i="8"/>
  <c r="K166" i="8"/>
  <c r="J166" i="8"/>
  <c r="I166" i="8"/>
  <c r="H166" i="8"/>
  <c r="G166" i="8"/>
  <c r="F166" i="8"/>
  <c r="E166" i="8"/>
  <c r="P165" i="8"/>
  <c r="O165" i="8"/>
  <c r="N165" i="8"/>
  <c r="M165" i="8"/>
  <c r="L165" i="8"/>
  <c r="K165" i="8"/>
  <c r="J165" i="8"/>
  <c r="I165" i="8"/>
  <c r="H165" i="8"/>
  <c r="G165" i="8"/>
  <c r="F165" i="8"/>
  <c r="E165" i="8"/>
  <c r="P164" i="8"/>
  <c r="O164" i="8"/>
  <c r="N164" i="8"/>
  <c r="M164" i="8"/>
  <c r="L164" i="8"/>
  <c r="K164" i="8"/>
  <c r="J164" i="8"/>
  <c r="I164" i="8"/>
  <c r="H164" i="8"/>
  <c r="G164" i="8"/>
  <c r="F164" i="8"/>
  <c r="E164" i="8"/>
  <c r="P163" i="8"/>
  <c r="O163" i="8"/>
  <c r="N163" i="8"/>
  <c r="M163" i="8"/>
  <c r="L163" i="8"/>
  <c r="K163" i="8"/>
  <c r="J163" i="8"/>
  <c r="I163" i="8"/>
  <c r="H163" i="8"/>
  <c r="G163" i="8"/>
  <c r="F163" i="8"/>
  <c r="E163" i="8"/>
  <c r="P162" i="8"/>
  <c r="O162" i="8"/>
  <c r="N162" i="8"/>
  <c r="M162" i="8"/>
  <c r="L162" i="8"/>
  <c r="K162" i="8"/>
  <c r="J162" i="8"/>
  <c r="I162" i="8"/>
  <c r="H162" i="8"/>
  <c r="G162" i="8"/>
  <c r="F162" i="8"/>
  <c r="E162" i="8"/>
  <c r="P161" i="8"/>
  <c r="O161" i="8"/>
  <c r="N161" i="8"/>
  <c r="M161" i="8"/>
  <c r="L161" i="8"/>
  <c r="K161" i="8"/>
  <c r="J161" i="8"/>
  <c r="I161" i="8"/>
  <c r="H161" i="8"/>
  <c r="G161" i="8"/>
  <c r="F161" i="8"/>
  <c r="E161" i="8"/>
  <c r="P160" i="8"/>
  <c r="O160" i="8"/>
  <c r="N160" i="8"/>
  <c r="M160" i="8"/>
  <c r="L160" i="8"/>
  <c r="K160" i="8"/>
  <c r="J160" i="8"/>
  <c r="I160" i="8"/>
  <c r="G160" i="8"/>
  <c r="F160" i="8"/>
  <c r="E160" i="8"/>
  <c r="P159" i="8"/>
  <c r="O159" i="8"/>
  <c r="N159" i="8"/>
  <c r="M159" i="8"/>
  <c r="L159" i="8"/>
  <c r="K159" i="8"/>
  <c r="J159" i="8"/>
  <c r="I159" i="8"/>
  <c r="H159" i="8"/>
  <c r="G159" i="8"/>
  <c r="F159" i="8"/>
  <c r="E159" i="8"/>
  <c r="P158" i="8"/>
  <c r="O158" i="8"/>
  <c r="N158" i="8"/>
  <c r="M158" i="8"/>
  <c r="L158" i="8"/>
  <c r="K158" i="8"/>
  <c r="J158" i="8"/>
  <c r="I158" i="8"/>
  <c r="H158" i="8"/>
  <c r="G158" i="8"/>
  <c r="F158" i="8"/>
  <c r="E158" i="8"/>
  <c r="P157" i="8"/>
  <c r="O157" i="8"/>
  <c r="N157" i="8"/>
  <c r="M157" i="8"/>
  <c r="L157" i="8"/>
  <c r="K157" i="8"/>
  <c r="J157" i="8"/>
  <c r="I157" i="8"/>
  <c r="H157" i="8"/>
  <c r="G157" i="8"/>
  <c r="F157" i="8"/>
  <c r="E157" i="8"/>
  <c r="P156" i="8"/>
  <c r="O156" i="8"/>
  <c r="N156" i="8"/>
  <c r="M156" i="8"/>
  <c r="L156" i="8"/>
  <c r="K156" i="8"/>
  <c r="J156" i="8"/>
  <c r="I156" i="8"/>
  <c r="H156" i="8"/>
  <c r="G156" i="8"/>
  <c r="F156" i="8"/>
  <c r="E156" i="8"/>
  <c r="P155" i="8"/>
  <c r="O155" i="8"/>
  <c r="N155" i="8"/>
  <c r="M155" i="8"/>
  <c r="L155" i="8"/>
  <c r="K155" i="8"/>
  <c r="J155" i="8"/>
  <c r="I155" i="8"/>
  <c r="H155" i="8"/>
  <c r="G155" i="8"/>
  <c r="F155" i="8"/>
  <c r="E155" i="8"/>
  <c r="P153" i="8"/>
  <c r="O153" i="8"/>
  <c r="N153" i="8"/>
  <c r="M153" i="8"/>
  <c r="L153" i="8"/>
  <c r="K153" i="8"/>
  <c r="J153" i="8"/>
  <c r="I153" i="8"/>
  <c r="H153" i="8"/>
  <c r="G153" i="8"/>
  <c r="F153" i="8"/>
  <c r="E153" i="8"/>
  <c r="P151" i="8"/>
  <c r="O151" i="8"/>
  <c r="N151" i="8"/>
  <c r="M151" i="8"/>
  <c r="L151" i="8"/>
  <c r="K151" i="8"/>
  <c r="J151" i="8"/>
  <c r="I151" i="8"/>
  <c r="H151" i="8"/>
  <c r="G151" i="8"/>
  <c r="F151" i="8"/>
  <c r="E151" i="8"/>
  <c r="P149" i="8"/>
  <c r="O149" i="8"/>
  <c r="N149" i="8"/>
  <c r="M149" i="8"/>
  <c r="L149" i="8"/>
  <c r="K149" i="8"/>
  <c r="J149" i="8"/>
  <c r="I149" i="8"/>
  <c r="H149" i="8"/>
  <c r="G149" i="8"/>
  <c r="F149" i="8"/>
  <c r="E149" i="8"/>
  <c r="P148" i="8"/>
  <c r="O148" i="8"/>
  <c r="N148" i="8"/>
  <c r="M148" i="8"/>
  <c r="L148" i="8"/>
  <c r="K148" i="8"/>
  <c r="J148" i="8"/>
  <c r="I148" i="8"/>
  <c r="H148" i="8"/>
  <c r="G148" i="8"/>
  <c r="F148" i="8"/>
  <c r="E148" i="8"/>
  <c r="P147" i="8"/>
  <c r="O147" i="8"/>
  <c r="N147" i="8"/>
  <c r="M147" i="8"/>
  <c r="L147" i="8"/>
  <c r="K147" i="8"/>
  <c r="J147" i="8"/>
  <c r="I147" i="8"/>
  <c r="H147" i="8"/>
  <c r="G147" i="8"/>
  <c r="F147" i="8"/>
  <c r="E147" i="8"/>
  <c r="P146" i="8"/>
  <c r="O146" i="8"/>
  <c r="N146" i="8"/>
  <c r="M146" i="8"/>
  <c r="L146" i="8"/>
  <c r="K146" i="8"/>
  <c r="J146" i="8"/>
  <c r="I146" i="8"/>
  <c r="H146" i="8"/>
  <c r="G146" i="8"/>
  <c r="F146" i="8"/>
  <c r="E146" i="8"/>
  <c r="P144" i="8"/>
  <c r="O144" i="8"/>
  <c r="N144" i="8"/>
  <c r="M144" i="8"/>
  <c r="L144" i="8"/>
  <c r="K144" i="8"/>
  <c r="J144" i="8"/>
  <c r="I144" i="8"/>
  <c r="H144" i="8"/>
  <c r="G144" i="8"/>
  <c r="F144" i="8"/>
  <c r="E144" i="8"/>
  <c r="P143" i="8"/>
  <c r="O143" i="8"/>
  <c r="N143" i="8"/>
  <c r="M143" i="8"/>
  <c r="L143" i="8"/>
  <c r="K143" i="8"/>
  <c r="J143" i="8"/>
  <c r="I143" i="8"/>
  <c r="H143" i="8"/>
  <c r="G143" i="8"/>
  <c r="F143" i="8"/>
  <c r="E143" i="8"/>
  <c r="P142" i="8"/>
  <c r="O142" i="8"/>
  <c r="N142" i="8"/>
  <c r="M142" i="8"/>
  <c r="L142" i="8"/>
  <c r="K142" i="8"/>
  <c r="J142" i="8"/>
  <c r="I142" i="8"/>
  <c r="H142" i="8"/>
  <c r="G142" i="8"/>
  <c r="F142" i="8"/>
  <c r="E142" i="8"/>
  <c r="P141" i="8"/>
  <c r="O141" i="8"/>
  <c r="N141" i="8"/>
  <c r="M141" i="8"/>
  <c r="L141" i="8"/>
  <c r="K141" i="8"/>
  <c r="J141" i="8"/>
  <c r="I141" i="8"/>
  <c r="H141" i="8"/>
  <c r="G141" i="8"/>
  <c r="F141" i="8"/>
  <c r="E141" i="8"/>
  <c r="P140" i="8"/>
  <c r="O140" i="8"/>
  <c r="N140" i="8"/>
  <c r="M140" i="8"/>
  <c r="L140" i="8"/>
  <c r="K140" i="8"/>
  <c r="J140" i="8"/>
  <c r="I140" i="8"/>
  <c r="H140" i="8"/>
  <c r="G140" i="8"/>
  <c r="F140" i="8"/>
  <c r="E140" i="8"/>
  <c r="P139" i="8"/>
  <c r="O139" i="8"/>
  <c r="N139" i="8"/>
  <c r="M139" i="8"/>
  <c r="L139" i="8"/>
  <c r="K139" i="8"/>
  <c r="J139" i="8"/>
  <c r="I139" i="8"/>
  <c r="H139" i="8"/>
  <c r="G139" i="8"/>
  <c r="F139" i="8"/>
  <c r="E139" i="8"/>
  <c r="F135" i="8"/>
  <c r="G135" i="8" s="1"/>
  <c r="H135" i="8" s="1"/>
  <c r="I135" i="8" s="1"/>
  <c r="J135" i="8" s="1"/>
  <c r="K135" i="8" s="1"/>
  <c r="L135" i="8" s="1"/>
  <c r="M135" i="8" s="1"/>
  <c r="N135" i="8" s="1"/>
  <c r="O135" i="8" s="1"/>
  <c r="P135" i="8" s="1"/>
  <c r="P188" i="8"/>
  <c r="O188" i="8"/>
  <c r="N188" i="8"/>
  <c r="M188" i="8"/>
  <c r="L188" i="8"/>
  <c r="K188" i="8"/>
  <c r="J188" i="8"/>
  <c r="I188" i="8"/>
  <c r="H188" i="8"/>
  <c r="G188" i="8"/>
  <c r="F188" i="8"/>
  <c r="E188" i="8"/>
  <c r="A169" i="22"/>
  <c r="A168" i="22"/>
  <c r="A162" i="22"/>
  <c r="A158" i="22"/>
  <c r="A156" i="22"/>
  <c r="F137" i="22"/>
  <c r="G137" i="22"/>
  <c r="H137" i="22"/>
  <c r="I137" i="22"/>
  <c r="J137" i="22"/>
  <c r="K137" i="22"/>
  <c r="L137" i="22"/>
  <c r="M137" i="22"/>
  <c r="N137" i="22"/>
  <c r="O137" i="22"/>
  <c r="P137" i="22"/>
  <c r="E137" i="22"/>
  <c r="E138" i="22"/>
  <c r="F138" i="22"/>
  <c r="G138" i="22"/>
  <c r="H138" i="22"/>
  <c r="I138" i="22"/>
  <c r="J138" i="22"/>
  <c r="K138" i="22"/>
  <c r="L138" i="22"/>
  <c r="M138" i="22"/>
  <c r="N138" i="22"/>
  <c r="O138" i="22"/>
  <c r="P138" i="22"/>
  <c r="E139" i="22"/>
  <c r="F139" i="22"/>
  <c r="G139" i="22"/>
  <c r="H139" i="22"/>
  <c r="I139" i="22"/>
  <c r="J139" i="22"/>
  <c r="K139" i="22"/>
  <c r="L139" i="22"/>
  <c r="M139" i="22"/>
  <c r="N139" i="22"/>
  <c r="O139" i="22"/>
  <c r="P139" i="22"/>
  <c r="E140" i="22"/>
  <c r="F140" i="22"/>
  <c r="G140" i="22"/>
  <c r="H140" i="22"/>
  <c r="I140" i="22"/>
  <c r="J140" i="22"/>
  <c r="K140" i="22"/>
  <c r="L140" i="22"/>
  <c r="M140" i="22"/>
  <c r="N140" i="22"/>
  <c r="O140" i="22"/>
  <c r="P140" i="22"/>
  <c r="F141" i="22"/>
  <c r="G141" i="22"/>
  <c r="H141" i="22"/>
  <c r="I141" i="22"/>
  <c r="J141" i="22"/>
  <c r="K141" i="22"/>
  <c r="L141" i="22"/>
  <c r="M141" i="22"/>
  <c r="N141" i="22"/>
  <c r="O141" i="22"/>
  <c r="P141" i="22"/>
  <c r="E141" i="22"/>
  <c r="E143" i="22"/>
  <c r="F143" i="22"/>
  <c r="G143" i="22"/>
  <c r="H143" i="22"/>
  <c r="I143" i="22"/>
  <c r="J143" i="22"/>
  <c r="K143" i="22"/>
  <c r="L143" i="22"/>
  <c r="M143" i="22"/>
  <c r="N143" i="22"/>
  <c r="O143" i="22"/>
  <c r="P143" i="22"/>
  <c r="E144" i="22"/>
  <c r="F144" i="22"/>
  <c r="G144" i="22"/>
  <c r="H144" i="22"/>
  <c r="I144" i="22"/>
  <c r="J144" i="22"/>
  <c r="K144" i="22"/>
  <c r="L144" i="22"/>
  <c r="M144" i="22"/>
  <c r="N144" i="22"/>
  <c r="O144" i="22"/>
  <c r="P144" i="22"/>
  <c r="E146" i="22"/>
  <c r="F146" i="22"/>
  <c r="G146" i="22"/>
  <c r="H146" i="22"/>
  <c r="I146" i="22"/>
  <c r="J146" i="22"/>
  <c r="K146" i="22"/>
  <c r="L146" i="22"/>
  <c r="M146" i="22"/>
  <c r="N146" i="22"/>
  <c r="O146" i="22"/>
  <c r="P146" i="22"/>
  <c r="E147" i="22"/>
  <c r="F147" i="22"/>
  <c r="G147" i="22"/>
  <c r="H147" i="22"/>
  <c r="I147" i="22"/>
  <c r="J147" i="22"/>
  <c r="K147" i="22"/>
  <c r="L147" i="22"/>
  <c r="M147" i="22"/>
  <c r="N147" i="22"/>
  <c r="O147" i="22"/>
  <c r="P147" i="22"/>
  <c r="E148" i="22"/>
  <c r="F148" i="22"/>
  <c r="G148" i="22"/>
  <c r="H148" i="22"/>
  <c r="I148" i="22"/>
  <c r="J148" i="22"/>
  <c r="K148" i="22"/>
  <c r="L148" i="22"/>
  <c r="M148" i="22"/>
  <c r="N148" i="22"/>
  <c r="O148" i="22"/>
  <c r="P148" i="22"/>
  <c r="E149" i="22"/>
  <c r="F149" i="22"/>
  <c r="G149" i="22"/>
  <c r="H149" i="22"/>
  <c r="I149" i="22"/>
  <c r="J149" i="22"/>
  <c r="K149" i="22"/>
  <c r="L149" i="22"/>
  <c r="M149" i="22"/>
  <c r="N149" i="22"/>
  <c r="O149" i="22"/>
  <c r="P149" i="22"/>
  <c r="E150" i="22"/>
  <c r="F150" i="22"/>
  <c r="G150" i="22"/>
  <c r="H150" i="22"/>
  <c r="I150" i="22"/>
  <c r="J150" i="22"/>
  <c r="K150" i="22"/>
  <c r="L150" i="22"/>
  <c r="M150" i="22"/>
  <c r="N150" i="22"/>
  <c r="O150" i="22"/>
  <c r="P150" i="22"/>
  <c r="E151" i="22"/>
  <c r="F151" i="22"/>
  <c r="G151" i="22"/>
  <c r="H151" i="22"/>
  <c r="I151" i="22"/>
  <c r="J151" i="22"/>
  <c r="K151" i="22"/>
  <c r="L151" i="22"/>
  <c r="M151" i="22"/>
  <c r="N151" i="22"/>
  <c r="O151" i="22"/>
  <c r="P151" i="22"/>
  <c r="E153" i="22"/>
  <c r="F153" i="22"/>
  <c r="G153" i="22"/>
  <c r="H153" i="22"/>
  <c r="I153" i="22"/>
  <c r="J153" i="22"/>
  <c r="K153" i="22"/>
  <c r="L153" i="22"/>
  <c r="M153" i="22"/>
  <c r="N153" i="22"/>
  <c r="O153" i="22"/>
  <c r="P153" i="22"/>
  <c r="E154" i="22"/>
  <c r="F154" i="22"/>
  <c r="G154" i="22"/>
  <c r="H154" i="22"/>
  <c r="I154" i="22"/>
  <c r="J154" i="22"/>
  <c r="K154" i="22"/>
  <c r="L154" i="22"/>
  <c r="M154" i="22"/>
  <c r="N154" i="22"/>
  <c r="O154" i="22"/>
  <c r="P154" i="22"/>
  <c r="E155" i="22"/>
  <c r="F155" i="22"/>
  <c r="G155" i="22"/>
  <c r="H155" i="22"/>
  <c r="I155" i="22"/>
  <c r="J155" i="22"/>
  <c r="K155" i="22"/>
  <c r="L155" i="22"/>
  <c r="M155" i="22"/>
  <c r="N155" i="22"/>
  <c r="O155" i="22"/>
  <c r="P155" i="22"/>
  <c r="E156" i="22"/>
  <c r="F156" i="22"/>
  <c r="G156" i="22"/>
  <c r="H156" i="22"/>
  <c r="I156" i="22"/>
  <c r="J156" i="22"/>
  <c r="K156" i="22"/>
  <c r="L156" i="22"/>
  <c r="M156" i="22"/>
  <c r="N156" i="22"/>
  <c r="O156" i="22"/>
  <c r="P156" i="22"/>
  <c r="E157" i="22"/>
  <c r="F157" i="22"/>
  <c r="G157" i="22"/>
  <c r="H157" i="22"/>
  <c r="I157" i="22"/>
  <c r="J157" i="22"/>
  <c r="K157" i="22"/>
  <c r="L157" i="22"/>
  <c r="M157" i="22"/>
  <c r="N157" i="22"/>
  <c r="O157" i="22"/>
  <c r="P157" i="22"/>
  <c r="E158" i="22"/>
  <c r="F158" i="22"/>
  <c r="G158" i="22"/>
  <c r="H158" i="22"/>
  <c r="I158" i="22"/>
  <c r="J158" i="22"/>
  <c r="K158" i="22"/>
  <c r="L158" i="22"/>
  <c r="M158" i="22"/>
  <c r="N158" i="22"/>
  <c r="O158" i="22"/>
  <c r="P158" i="22"/>
  <c r="E159" i="22"/>
  <c r="F159" i="22"/>
  <c r="G159" i="22"/>
  <c r="H159" i="22"/>
  <c r="I159" i="22"/>
  <c r="J159" i="22"/>
  <c r="K159" i="22"/>
  <c r="L159" i="22"/>
  <c r="M159" i="22"/>
  <c r="N159" i="22"/>
  <c r="O159" i="22"/>
  <c r="P159" i="22"/>
  <c r="E160" i="22"/>
  <c r="F160" i="22"/>
  <c r="G160" i="22"/>
  <c r="I160" i="22"/>
  <c r="J160" i="22"/>
  <c r="K160" i="22"/>
  <c r="L160" i="22"/>
  <c r="M160" i="22"/>
  <c r="N160" i="22"/>
  <c r="O160" i="22"/>
  <c r="P160" i="22"/>
  <c r="E161" i="22"/>
  <c r="F161" i="22"/>
  <c r="G161" i="22"/>
  <c r="H161" i="22"/>
  <c r="I161" i="22"/>
  <c r="J161" i="22"/>
  <c r="K161" i="22"/>
  <c r="L161" i="22"/>
  <c r="M161" i="22"/>
  <c r="N161" i="22"/>
  <c r="O161" i="22"/>
  <c r="P161" i="22"/>
  <c r="E162" i="22"/>
  <c r="F162" i="22"/>
  <c r="G162" i="22"/>
  <c r="H162" i="22"/>
  <c r="I162" i="22"/>
  <c r="J162" i="22"/>
  <c r="K162" i="22"/>
  <c r="L162" i="22"/>
  <c r="M162" i="22"/>
  <c r="N162" i="22"/>
  <c r="O162" i="22"/>
  <c r="P162" i="22"/>
  <c r="E163" i="22"/>
  <c r="F163" i="22"/>
  <c r="G163" i="22"/>
  <c r="H163" i="22"/>
  <c r="I163" i="22"/>
  <c r="J163" i="22"/>
  <c r="K163" i="22"/>
  <c r="L163" i="22"/>
  <c r="M163" i="22"/>
  <c r="N163" i="22"/>
  <c r="O163" i="22"/>
  <c r="P163" i="22"/>
  <c r="E164" i="22"/>
  <c r="F164" i="22"/>
  <c r="G164" i="22"/>
  <c r="H164" i="22"/>
  <c r="I164" i="22"/>
  <c r="J164" i="22"/>
  <c r="K164" i="22"/>
  <c r="L164" i="22"/>
  <c r="M164" i="22"/>
  <c r="N164" i="22"/>
  <c r="O164" i="22"/>
  <c r="P164" i="22"/>
  <c r="E165" i="22"/>
  <c r="F165" i="22"/>
  <c r="G165" i="22"/>
  <c r="H165" i="22"/>
  <c r="I165" i="22"/>
  <c r="J165" i="22"/>
  <c r="K165" i="22"/>
  <c r="L165" i="22"/>
  <c r="M165" i="22"/>
  <c r="N165" i="22"/>
  <c r="O165" i="22"/>
  <c r="P165" i="22"/>
  <c r="E166" i="22"/>
  <c r="F166" i="22"/>
  <c r="G166" i="22"/>
  <c r="H166" i="22"/>
  <c r="I166" i="22"/>
  <c r="J166" i="22"/>
  <c r="K166" i="22"/>
  <c r="L166" i="22"/>
  <c r="M166" i="22"/>
  <c r="N166" i="22"/>
  <c r="O166" i="22"/>
  <c r="P166" i="22"/>
  <c r="E167" i="22"/>
  <c r="F167" i="22"/>
  <c r="G167" i="22"/>
  <c r="H167" i="22"/>
  <c r="I167" i="22"/>
  <c r="J167" i="22"/>
  <c r="K167" i="22"/>
  <c r="L167" i="22"/>
  <c r="M167" i="22"/>
  <c r="N167" i="22"/>
  <c r="O167" i="22"/>
  <c r="P167" i="22"/>
  <c r="E168" i="22"/>
  <c r="F168" i="22"/>
  <c r="G168" i="22"/>
  <c r="H168" i="22"/>
  <c r="I168" i="22"/>
  <c r="J168" i="22"/>
  <c r="K168" i="22"/>
  <c r="L168" i="22"/>
  <c r="M168" i="22"/>
  <c r="N168" i="22"/>
  <c r="O168" i="22"/>
  <c r="P168" i="22"/>
  <c r="E169" i="22"/>
  <c r="F169" i="22"/>
  <c r="G169" i="22"/>
  <c r="H169" i="22"/>
  <c r="I169" i="22"/>
  <c r="J169" i="22"/>
  <c r="K169" i="22"/>
  <c r="L169" i="22"/>
  <c r="M169" i="22"/>
  <c r="N169" i="22"/>
  <c r="O169" i="22"/>
  <c r="P169" i="22"/>
  <c r="E170" i="22"/>
  <c r="F170" i="22"/>
  <c r="G170" i="22"/>
  <c r="H170" i="22"/>
  <c r="I170" i="22"/>
  <c r="J170" i="22"/>
  <c r="K170" i="22"/>
  <c r="L170" i="22"/>
  <c r="M170" i="22"/>
  <c r="N170" i="22"/>
  <c r="O170" i="22"/>
  <c r="P170" i="22"/>
  <c r="E171" i="22"/>
  <c r="F171" i="22"/>
  <c r="G171" i="22"/>
  <c r="H171" i="22"/>
  <c r="I171" i="22"/>
  <c r="J171" i="22"/>
  <c r="K171" i="22"/>
  <c r="L171" i="22"/>
  <c r="M171" i="22"/>
  <c r="N171" i="22"/>
  <c r="O171" i="22"/>
  <c r="P171" i="22"/>
  <c r="F142" i="22"/>
  <c r="G142" i="22"/>
  <c r="H142" i="22"/>
  <c r="I142" i="22"/>
  <c r="J142" i="22"/>
  <c r="K142" i="22"/>
  <c r="L142" i="22"/>
  <c r="M142" i="22"/>
  <c r="N142" i="22"/>
  <c r="O142" i="22"/>
  <c r="P142" i="22"/>
  <c r="E142" i="22"/>
  <c r="A155" i="22"/>
  <c r="P188" i="22"/>
  <c r="O188" i="22"/>
  <c r="N188" i="22"/>
  <c r="M188" i="22"/>
  <c r="L188" i="22"/>
  <c r="K188" i="22"/>
  <c r="J188" i="22"/>
  <c r="I188" i="22"/>
  <c r="H188" i="22"/>
  <c r="G188" i="22"/>
  <c r="F188" i="22"/>
  <c r="E188" i="22"/>
  <c r="A171" i="22"/>
  <c r="A170" i="22"/>
  <c r="A167" i="22"/>
  <c r="A166" i="22"/>
  <c r="A165" i="22"/>
  <c r="A164" i="22"/>
  <c r="A163" i="22"/>
  <c r="A161" i="22"/>
  <c r="A160" i="22"/>
  <c r="A159" i="22"/>
  <c r="A157" i="22"/>
  <c r="A154" i="22"/>
  <c r="A153" i="22"/>
  <c r="A152" i="22"/>
  <c r="A151" i="22"/>
  <c r="A150" i="22"/>
  <c r="A149" i="22"/>
  <c r="A148" i="22"/>
  <c r="A147" i="22"/>
  <c r="A146" i="22"/>
  <c r="A145" i="22"/>
  <c r="A144" i="22"/>
  <c r="A143" i="22"/>
  <c r="A142" i="22"/>
  <c r="A141" i="22"/>
  <c r="A140" i="22"/>
  <c r="A139" i="22"/>
  <c r="A138" i="22"/>
  <c r="A137" i="22"/>
  <c r="F135" i="22"/>
  <c r="G135" i="22" s="1"/>
  <c r="H135" i="22" s="1"/>
  <c r="I135" i="22" s="1"/>
  <c r="J135" i="22" s="1"/>
  <c r="K135" i="22" s="1"/>
  <c r="L135" i="22" s="1"/>
  <c r="M135" i="22" s="1"/>
  <c r="N135" i="22" s="1"/>
  <c r="O135" i="22" s="1"/>
  <c r="P135" i="22" s="1"/>
  <c r="E138" i="6"/>
  <c r="F138" i="6"/>
  <c r="G138" i="6"/>
  <c r="H138" i="6"/>
  <c r="I138" i="6"/>
  <c r="J138" i="6"/>
  <c r="K138" i="6"/>
  <c r="L138" i="6"/>
  <c r="M138" i="6"/>
  <c r="N138" i="6"/>
  <c r="O138" i="6"/>
  <c r="P138" i="6"/>
  <c r="E139" i="6"/>
  <c r="F139" i="6"/>
  <c r="G139" i="6"/>
  <c r="H139" i="6"/>
  <c r="I139" i="6"/>
  <c r="J139" i="6"/>
  <c r="K139" i="6"/>
  <c r="L139" i="6"/>
  <c r="M139" i="6"/>
  <c r="N139" i="6"/>
  <c r="O139" i="6"/>
  <c r="P139" i="6"/>
  <c r="E140" i="6"/>
  <c r="F140" i="6"/>
  <c r="G140" i="6"/>
  <c r="H140" i="6"/>
  <c r="I140" i="6"/>
  <c r="J140" i="6"/>
  <c r="K140" i="6"/>
  <c r="L140" i="6"/>
  <c r="M140" i="6"/>
  <c r="N140" i="6"/>
  <c r="O140" i="6"/>
  <c r="P140" i="6"/>
  <c r="F141" i="6"/>
  <c r="G141" i="6"/>
  <c r="H141" i="6"/>
  <c r="I141" i="6"/>
  <c r="J141" i="6"/>
  <c r="K141" i="6"/>
  <c r="L141" i="6"/>
  <c r="M141" i="6"/>
  <c r="N141" i="6"/>
  <c r="O141" i="6"/>
  <c r="P141" i="6"/>
  <c r="E141" i="6"/>
  <c r="A169" i="6"/>
  <c r="E143" i="6"/>
  <c r="E147" i="6"/>
  <c r="J147" i="6"/>
  <c r="E149" i="6"/>
  <c r="N149" i="6"/>
  <c r="E165" i="6"/>
  <c r="M165" i="6"/>
  <c r="E166" i="6"/>
  <c r="F166" i="6"/>
  <c r="O166" i="6"/>
  <c r="E167" i="6"/>
  <c r="H167" i="6"/>
  <c r="F135" i="6"/>
  <c r="G135" i="6" s="1"/>
  <c r="H135" i="6" s="1"/>
  <c r="I135" i="6" s="1"/>
  <c r="J135" i="6" s="1"/>
  <c r="K135" i="6" s="1"/>
  <c r="L135" i="6" s="1"/>
  <c r="M135" i="6" s="1"/>
  <c r="N135" i="6" s="1"/>
  <c r="O135" i="6" s="1"/>
  <c r="P135" i="6" s="1"/>
  <c r="P149" i="6" s="1"/>
  <c r="A163" i="6"/>
  <c r="A164" i="6"/>
  <c r="A165" i="6"/>
  <c r="A166" i="6"/>
  <c r="A167" i="6"/>
  <c r="A162" i="6"/>
  <c r="A157" i="6"/>
  <c r="A156" i="6"/>
  <c r="A155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8" i="6"/>
  <c r="A159" i="6"/>
  <c r="A160" i="6"/>
  <c r="A161" i="6"/>
  <c r="A168" i="6"/>
  <c r="A170" i="6"/>
  <c r="A171" i="6"/>
  <c r="A137" i="6"/>
  <c r="Q34" i="43"/>
  <c r="Q33" i="43"/>
  <c r="Q32" i="43"/>
  <c r="S35" i="43"/>
  <c r="Q142" i="8" l="1"/>
  <c r="Q149" i="8"/>
  <c r="Q170" i="8"/>
  <c r="Q156" i="8"/>
  <c r="Q147" i="8"/>
  <c r="Q143" i="8"/>
  <c r="Q141" i="8"/>
  <c r="Q144" i="8"/>
  <c r="Q146" i="8"/>
  <c r="Q148" i="8"/>
  <c r="Q155" i="8"/>
  <c r="Q162" i="8"/>
  <c r="Q163" i="8"/>
  <c r="Q164" i="8"/>
  <c r="Q165" i="8"/>
  <c r="Q166" i="8"/>
  <c r="Q167" i="8"/>
  <c r="Q169" i="8"/>
  <c r="Q139" i="8"/>
  <c r="Q153" i="8"/>
  <c r="Q157" i="8"/>
  <c r="Q171" i="8"/>
  <c r="Q140" i="8"/>
  <c r="Q161" i="8"/>
  <c r="Q158" i="8"/>
  <c r="Q151" i="8"/>
  <c r="Q159" i="8"/>
  <c r="Q155" i="22"/>
  <c r="Q140" i="6"/>
  <c r="Q138" i="6"/>
  <c r="Q139" i="6"/>
  <c r="Q141" i="6"/>
  <c r="P143" i="6"/>
  <c r="I167" i="6"/>
  <c r="G166" i="6"/>
  <c r="O149" i="6"/>
  <c r="K147" i="6"/>
  <c r="G167" i="6"/>
  <c r="F167" i="6"/>
  <c r="O165" i="6"/>
  <c r="K149" i="6"/>
  <c r="G147" i="6"/>
  <c r="M143" i="6"/>
  <c r="M149" i="6"/>
  <c r="I147" i="6"/>
  <c r="O143" i="6"/>
  <c r="P165" i="6"/>
  <c r="L149" i="6"/>
  <c r="H147" i="6"/>
  <c r="N143" i="6"/>
  <c r="P166" i="6"/>
  <c r="N165" i="6"/>
  <c r="J149" i="6"/>
  <c r="F147" i="6"/>
  <c r="L143" i="6"/>
  <c r="I149" i="6"/>
  <c r="P167" i="6"/>
  <c r="G149" i="6"/>
  <c r="J165" i="6"/>
  <c r="F149" i="6"/>
  <c r="P147" i="6"/>
  <c r="H143" i="6"/>
  <c r="N166" i="6"/>
  <c r="M166" i="6"/>
  <c r="L166" i="6"/>
  <c r="M167" i="6"/>
  <c r="K166" i="6"/>
  <c r="O147" i="6"/>
  <c r="G143" i="6"/>
  <c r="L167" i="6"/>
  <c r="J166" i="6"/>
  <c r="H165" i="6"/>
  <c r="N147" i="6"/>
  <c r="F143" i="6"/>
  <c r="H149" i="6"/>
  <c r="J143" i="6"/>
  <c r="K165" i="6"/>
  <c r="N167" i="6"/>
  <c r="K143" i="6"/>
  <c r="L165" i="6"/>
  <c r="O167" i="6"/>
  <c r="I143" i="6"/>
  <c r="I165" i="6"/>
  <c r="K167" i="6"/>
  <c r="I166" i="6"/>
  <c r="G165" i="6"/>
  <c r="M147" i="6"/>
  <c r="J167" i="6"/>
  <c r="H166" i="6"/>
  <c r="F165" i="6"/>
  <c r="L147" i="6"/>
  <c r="D20" i="57"/>
  <c r="D7" i="57"/>
  <c r="Q143" i="6" l="1"/>
  <c r="Q167" i="6"/>
  <c r="Q149" i="6"/>
  <c r="Q166" i="6"/>
  <c r="Q147" i="6"/>
  <c r="Q165" i="6"/>
  <c r="A1" i="58"/>
  <c r="A2" i="58"/>
  <c r="D2" i="56"/>
  <c r="G77" i="6"/>
  <c r="G156" i="6" s="1"/>
  <c r="F92" i="6" l="1"/>
  <c r="F159" i="6" s="1"/>
  <c r="G92" i="6"/>
  <c r="G159" i="6" s="1"/>
  <c r="H92" i="6"/>
  <c r="H159" i="6" s="1"/>
  <c r="I92" i="6"/>
  <c r="I159" i="6" s="1"/>
  <c r="J92" i="6"/>
  <c r="J159" i="6" s="1"/>
  <c r="K92" i="6"/>
  <c r="K159" i="6" s="1"/>
  <c r="L92" i="6"/>
  <c r="L159" i="6" s="1"/>
  <c r="M92" i="6"/>
  <c r="M159" i="6" s="1"/>
  <c r="N92" i="6"/>
  <c r="N159" i="6" s="1"/>
  <c r="O92" i="6"/>
  <c r="O159" i="6" s="1"/>
  <c r="P92" i="6"/>
  <c r="P159" i="6" s="1"/>
  <c r="E92" i="6"/>
  <c r="E159" i="6" s="1"/>
  <c r="F92" i="22"/>
  <c r="G92" i="22"/>
  <c r="H92" i="22"/>
  <c r="I92" i="22"/>
  <c r="J92" i="22"/>
  <c r="K92" i="22"/>
  <c r="L92" i="22"/>
  <c r="M92" i="22"/>
  <c r="N92" i="22"/>
  <c r="O92" i="22"/>
  <c r="P92" i="22"/>
  <c r="E92" i="22"/>
  <c r="F92" i="8"/>
  <c r="G92" i="8"/>
  <c r="H92" i="8"/>
  <c r="I92" i="8"/>
  <c r="J92" i="8"/>
  <c r="K92" i="8"/>
  <c r="L92" i="8"/>
  <c r="M92" i="8"/>
  <c r="N92" i="8"/>
  <c r="O92" i="8"/>
  <c r="P92" i="8"/>
  <c r="E92" i="8"/>
  <c r="Q159" i="6" l="1"/>
  <c r="E140" i="27"/>
  <c r="E24" i="50" l="1"/>
  <c r="E9" i="50"/>
  <c r="Z25" i="6" l="1"/>
  <c r="AA25" i="6" s="1"/>
  <c r="N31" i="6" l="1"/>
  <c r="N144" i="6" s="1"/>
  <c r="D11" i="57"/>
  <c r="D16" i="57"/>
  <c r="D31" i="57"/>
  <c r="D48" i="57"/>
  <c r="B50" i="57"/>
  <c r="C50" i="57" s="1"/>
  <c r="B51" i="57"/>
  <c r="C51" i="57" s="1"/>
  <c r="B52" i="57"/>
  <c r="C52" i="57" s="1"/>
  <c r="B53" i="57"/>
  <c r="C53" i="57" s="1"/>
  <c r="B54" i="57"/>
  <c r="D54" i="57" s="1"/>
  <c r="B55" i="57"/>
  <c r="D55" i="57" s="1"/>
  <c r="B56" i="57"/>
  <c r="C56" i="57" s="1"/>
  <c r="B57" i="57"/>
  <c r="C57" i="57" s="1"/>
  <c r="B58" i="57"/>
  <c r="C58" i="57" s="1"/>
  <c r="B49" i="57"/>
  <c r="C49" i="57" s="1"/>
  <c r="B47" i="57"/>
  <c r="D47" i="57" s="1"/>
  <c r="B33" i="57"/>
  <c r="D33" i="57" s="1"/>
  <c r="B34" i="57"/>
  <c r="C34" i="57" s="1"/>
  <c r="B35" i="57"/>
  <c r="D35" i="57" s="1"/>
  <c r="B36" i="57"/>
  <c r="C36" i="57" s="1"/>
  <c r="B37" i="57"/>
  <c r="C37" i="57" s="1"/>
  <c r="B38" i="57"/>
  <c r="D38" i="57" s="1"/>
  <c r="B39" i="57"/>
  <c r="C39" i="57" s="1"/>
  <c r="B40" i="57"/>
  <c r="D40" i="57" s="1"/>
  <c r="B41" i="57"/>
  <c r="C41" i="57" s="1"/>
  <c r="B42" i="57"/>
  <c r="C42" i="57" s="1"/>
  <c r="B43" i="57"/>
  <c r="C43" i="57" s="1"/>
  <c r="B44" i="57"/>
  <c r="D44" i="57" s="1"/>
  <c r="B45" i="57"/>
  <c r="D45" i="57" s="1"/>
  <c r="B46" i="57"/>
  <c r="D46" i="57" s="1"/>
  <c r="B29" i="57"/>
  <c r="D29" i="57" s="1"/>
  <c r="B30" i="57"/>
  <c r="D30" i="57" s="1"/>
  <c r="B32" i="57"/>
  <c r="D32" i="57" s="1"/>
  <c r="B18" i="57"/>
  <c r="D18" i="57" s="1"/>
  <c r="B19" i="57"/>
  <c r="D19" i="57" s="1"/>
  <c r="B20" i="57"/>
  <c r="B21" i="57"/>
  <c r="C21" i="57" s="1"/>
  <c r="B22" i="57"/>
  <c r="C22" i="57" s="1"/>
  <c r="B23" i="57"/>
  <c r="D23" i="57" s="1"/>
  <c r="B24" i="57"/>
  <c r="D24" i="57" s="1"/>
  <c r="B25" i="57"/>
  <c r="D25" i="57" s="1"/>
  <c r="B26" i="57"/>
  <c r="C26" i="57" s="1"/>
  <c r="B27" i="57"/>
  <c r="D27" i="57" s="1"/>
  <c r="B28" i="57"/>
  <c r="D28" i="57" s="1"/>
  <c r="B17" i="57"/>
  <c r="D17" i="57" s="1"/>
  <c r="C7" i="57"/>
  <c r="B12" i="57"/>
  <c r="D12" i="57" s="1"/>
  <c r="B13" i="57"/>
  <c r="C13" i="57" s="1"/>
  <c r="B14" i="57"/>
  <c r="C14" i="57" s="1"/>
  <c r="B15" i="57"/>
  <c r="D15" i="57" s="1"/>
  <c r="B7" i="57"/>
  <c r="B8" i="57"/>
  <c r="D8" i="57" s="1"/>
  <c r="B9" i="57"/>
  <c r="C9" i="57" s="1"/>
  <c r="B10" i="57"/>
  <c r="D10" i="57" s="1"/>
  <c r="B6" i="57"/>
  <c r="D6" i="57" s="1"/>
  <c r="B2" i="57"/>
  <c r="F31" i="8"/>
  <c r="G31" i="8"/>
  <c r="H31" i="8"/>
  <c r="I31" i="8"/>
  <c r="J31" i="8"/>
  <c r="K31" i="8"/>
  <c r="L31" i="8"/>
  <c r="M31" i="8"/>
  <c r="N31" i="8"/>
  <c r="O31" i="8"/>
  <c r="P31" i="8"/>
  <c r="E31" i="8"/>
  <c r="F31" i="22"/>
  <c r="G31" i="22"/>
  <c r="H31" i="22"/>
  <c r="I31" i="22"/>
  <c r="J31" i="22"/>
  <c r="K31" i="22"/>
  <c r="L31" i="22"/>
  <c r="M31" i="22"/>
  <c r="N31" i="22"/>
  <c r="O31" i="22"/>
  <c r="P31" i="22"/>
  <c r="E31" i="22"/>
  <c r="O19" i="56"/>
  <c r="N19" i="56"/>
  <c r="M19" i="56"/>
  <c r="L19" i="56"/>
  <c r="K19" i="56"/>
  <c r="J19" i="56"/>
  <c r="I19" i="56"/>
  <c r="H19" i="56"/>
  <c r="G19" i="56"/>
  <c r="F19" i="56"/>
  <c r="E19" i="56"/>
  <c r="D19" i="56"/>
  <c r="P18" i="56"/>
  <c r="P17" i="56"/>
  <c r="P16" i="56"/>
  <c r="O14" i="56"/>
  <c r="N14" i="56"/>
  <c r="M14" i="56"/>
  <c r="L14" i="56"/>
  <c r="K14" i="56"/>
  <c r="J14" i="56"/>
  <c r="I14" i="56"/>
  <c r="H14" i="56"/>
  <c r="G14" i="56"/>
  <c r="F14" i="56"/>
  <c r="E14" i="56"/>
  <c r="D14" i="56"/>
  <c r="P13" i="56"/>
  <c r="P12" i="56"/>
  <c r="P11" i="56"/>
  <c r="E9" i="56"/>
  <c r="F31" i="6" s="1"/>
  <c r="F144" i="6" s="1"/>
  <c r="F9" i="56"/>
  <c r="G31" i="6" s="1"/>
  <c r="G144" i="6" s="1"/>
  <c r="G9" i="56"/>
  <c r="H31" i="6" s="1"/>
  <c r="H144" i="6" s="1"/>
  <c r="H9" i="56"/>
  <c r="I31" i="6" s="1"/>
  <c r="I144" i="6" s="1"/>
  <c r="I9" i="56"/>
  <c r="J31" i="6" s="1"/>
  <c r="J144" i="6" s="1"/>
  <c r="J9" i="56"/>
  <c r="K31" i="6" s="1"/>
  <c r="K144" i="6" s="1"/>
  <c r="K9" i="56"/>
  <c r="L31" i="6" s="1"/>
  <c r="L144" i="6" s="1"/>
  <c r="L9" i="56"/>
  <c r="M31" i="6" s="1"/>
  <c r="M144" i="6" s="1"/>
  <c r="M9" i="56"/>
  <c r="N9" i="56"/>
  <c r="O31" i="6" s="1"/>
  <c r="O144" i="6" s="1"/>
  <c r="O9" i="56"/>
  <c r="P31" i="6" s="1"/>
  <c r="P144" i="6" s="1"/>
  <c r="D9" i="56"/>
  <c r="E31" i="6" s="1"/>
  <c r="E144" i="6" s="1"/>
  <c r="B16" i="56"/>
  <c r="B11" i="56"/>
  <c r="B6" i="56"/>
  <c r="Q144" i="6" l="1"/>
  <c r="D52" i="57"/>
  <c r="D53" i="57"/>
  <c r="D26" i="57"/>
  <c r="D22" i="57"/>
  <c r="D42" i="57"/>
  <c r="D41" i="57"/>
  <c r="D57" i="57"/>
  <c r="D39" i="57"/>
  <c r="D56" i="57"/>
  <c r="D43" i="57"/>
  <c r="D9" i="57"/>
  <c r="D13" i="57"/>
  <c r="D50" i="57"/>
  <c r="D36" i="57"/>
  <c r="D14" i="57"/>
  <c r="D49" i="57"/>
  <c r="D21" i="57"/>
  <c r="D34" i="57"/>
  <c r="D58" i="57"/>
  <c r="D51" i="57"/>
  <c r="D37" i="57"/>
  <c r="C44" i="57"/>
  <c r="C45" i="57"/>
  <c r="C55" i="57"/>
  <c r="C46" i="57"/>
  <c r="C54" i="57"/>
  <c r="C47" i="57"/>
  <c r="C38" i="57"/>
  <c r="C33" i="57"/>
  <c r="C35" i="57"/>
  <c r="C40" i="57"/>
  <c r="C29" i="57"/>
  <c r="C32" i="57"/>
  <c r="C30" i="57"/>
  <c r="C6" i="57"/>
  <c r="C10" i="57"/>
  <c r="C17" i="57"/>
  <c r="C23" i="57"/>
  <c r="C27" i="57"/>
  <c r="C8" i="57"/>
  <c r="C12" i="57"/>
  <c r="C25" i="57"/>
  <c r="C28" i="57"/>
  <c r="C24" i="57"/>
  <c r="C20" i="57"/>
  <c r="C15" i="57"/>
  <c r="C19" i="57"/>
  <c r="C18" i="57"/>
  <c r="P14" i="56"/>
  <c r="P19" i="56"/>
  <c r="C6" i="53"/>
  <c r="E41" i="6" s="1"/>
  <c r="I56" i="6"/>
  <c r="I151" i="6" s="1"/>
  <c r="G48" i="6"/>
  <c r="H48" i="6"/>
  <c r="N48" i="6"/>
  <c r="O48" i="6"/>
  <c r="P48" i="6"/>
  <c r="E48" i="6"/>
  <c r="H41" i="8"/>
  <c r="L41" i="8"/>
  <c r="N31" i="55"/>
  <c r="M31" i="55"/>
  <c r="L31" i="55"/>
  <c r="K31" i="55"/>
  <c r="J31" i="55"/>
  <c r="I31" i="55"/>
  <c r="H31" i="55"/>
  <c r="G31" i="55"/>
  <c r="F31" i="55"/>
  <c r="E31" i="55"/>
  <c r="D31" i="55"/>
  <c r="C31" i="55"/>
  <c r="O30" i="55"/>
  <c r="B30" i="55"/>
  <c r="O29" i="55"/>
  <c r="B29" i="55"/>
  <c r="O28" i="55"/>
  <c r="B28" i="55"/>
  <c r="N24" i="55"/>
  <c r="M24" i="55"/>
  <c r="L24" i="55"/>
  <c r="K24" i="55"/>
  <c r="J24" i="55"/>
  <c r="I24" i="55"/>
  <c r="H24" i="55"/>
  <c r="G24" i="55"/>
  <c r="F24" i="55"/>
  <c r="E24" i="55"/>
  <c r="D24" i="55"/>
  <c r="C24" i="55"/>
  <c r="O23" i="55"/>
  <c r="B23" i="55"/>
  <c r="O22" i="55"/>
  <c r="B22" i="55"/>
  <c r="O21" i="55"/>
  <c r="O24" i="55" s="1"/>
  <c r="B21" i="55"/>
  <c r="N17" i="55"/>
  <c r="M17" i="55"/>
  <c r="L17" i="55"/>
  <c r="K17" i="55"/>
  <c r="J17" i="55"/>
  <c r="I17" i="55"/>
  <c r="H17" i="55"/>
  <c r="G17" i="55"/>
  <c r="F17" i="55"/>
  <c r="E17" i="55"/>
  <c r="D17" i="55"/>
  <c r="C17" i="55"/>
  <c r="O16" i="55"/>
  <c r="B16" i="55"/>
  <c r="O15" i="55"/>
  <c r="B15" i="55"/>
  <c r="O14" i="55"/>
  <c r="B14" i="55"/>
  <c r="N8" i="55"/>
  <c r="P56" i="8" s="1"/>
  <c r="M8" i="55"/>
  <c r="O56" i="8" s="1"/>
  <c r="L8" i="55"/>
  <c r="N56" i="8" s="1"/>
  <c r="K8" i="55"/>
  <c r="M56" i="8" s="1"/>
  <c r="J8" i="55"/>
  <c r="L56" i="8" s="1"/>
  <c r="I8" i="55"/>
  <c r="K56" i="8" s="1"/>
  <c r="H8" i="55"/>
  <c r="J56" i="8" s="1"/>
  <c r="G8" i="55"/>
  <c r="I56" i="8" s="1"/>
  <c r="F8" i="55"/>
  <c r="H56" i="8" s="1"/>
  <c r="E8" i="55"/>
  <c r="G56" i="8" s="1"/>
  <c r="D8" i="55"/>
  <c r="F56" i="8" s="1"/>
  <c r="C8" i="55"/>
  <c r="E56" i="8" s="1"/>
  <c r="B8" i="55"/>
  <c r="N7" i="55"/>
  <c r="P56" i="22" s="1"/>
  <c r="M7" i="55"/>
  <c r="O56" i="22" s="1"/>
  <c r="L7" i="55"/>
  <c r="N56" i="22" s="1"/>
  <c r="K7" i="55"/>
  <c r="M56" i="22" s="1"/>
  <c r="J7" i="55"/>
  <c r="L56" i="22" s="1"/>
  <c r="I7" i="55"/>
  <c r="K56" i="22" s="1"/>
  <c r="H7" i="55"/>
  <c r="J56" i="22" s="1"/>
  <c r="G7" i="55"/>
  <c r="I56" i="22" s="1"/>
  <c r="F7" i="55"/>
  <c r="H56" i="22" s="1"/>
  <c r="E7" i="55"/>
  <c r="G56" i="22" s="1"/>
  <c r="D7" i="55"/>
  <c r="F56" i="22" s="1"/>
  <c r="C7" i="55"/>
  <c r="E56" i="22" s="1"/>
  <c r="B7" i="55"/>
  <c r="N6" i="55"/>
  <c r="P56" i="6" s="1"/>
  <c r="P151" i="6" s="1"/>
  <c r="M6" i="55"/>
  <c r="O56" i="6" s="1"/>
  <c r="O151" i="6" s="1"/>
  <c r="L6" i="55"/>
  <c r="N56" i="6" s="1"/>
  <c r="N151" i="6" s="1"/>
  <c r="K6" i="55"/>
  <c r="M56" i="6" s="1"/>
  <c r="M151" i="6" s="1"/>
  <c r="J6" i="55"/>
  <c r="I6" i="55"/>
  <c r="K56" i="6" s="1"/>
  <c r="K151" i="6" s="1"/>
  <c r="H6" i="55"/>
  <c r="G6" i="55"/>
  <c r="F6" i="55"/>
  <c r="H56" i="6" s="1"/>
  <c r="H151" i="6" s="1"/>
  <c r="E6" i="55"/>
  <c r="G56" i="6" s="1"/>
  <c r="G151" i="6" s="1"/>
  <c r="D6" i="55"/>
  <c r="F56" i="6" s="1"/>
  <c r="F151" i="6" s="1"/>
  <c r="C6" i="55"/>
  <c r="E56" i="6" s="1"/>
  <c r="E151" i="6" s="1"/>
  <c r="B6" i="55"/>
  <c r="C2" i="55"/>
  <c r="C7" i="54"/>
  <c r="E48" i="22" s="1"/>
  <c r="D7" i="54"/>
  <c r="F48" i="22" s="1"/>
  <c r="E7" i="54"/>
  <c r="G48" i="22" s="1"/>
  <c r="F7" i="54"/>
  <c r="H48" i="22" s="1"/>
  <c r="G7" i="54"/>
  <c r="I48" i="22" s="1"/>
  <c r="H7" i="54"/>
  <c r="J48" i="22" s="1"/>
  <c r="I7" i="54"/>
  <c r="K48" i="22" s="1"/>
  <c r="J7" i="54"/>
  <c r="L48" i="22" s="1"/>
  <c r="K7" i="54"/>
  <c r="K9" i="54" s="1"/>
  <c r="L7" i="54"/>
  <c r="L9" i="54" s="1"/>
  <c r="M7" i="54"/>
  <c r="O48" i="22" s="1"/>
  <c r="N7" i="54"/>
  <c r="C8" i="54"/>
  <c r="E48" i="8" s="1"/>
  <c r="D8" i="54"/>
  <c r="E8" i="54"/>
  <c r="G48" i="8" s="1"/>
  <c r="F8" i="54"/>
  <c r="H48" i="8" s="1"/>
  <c r="G8" i="54"/>
  <c r="I48" i="8" s="1"/>
  <c r="H8" i="54"/>
  <c r="J48" i="8" s="1"/>
  <c r="I8" i="54"/>
  <c r="K48" i="8" s="1"/>
  <c r="J8" i="54"/>
  <c r="L48" i="8" s="1"/>
  <c r="K8" i="54"/>
  <c r="M48" i="8" s="1"/>
  <c r="L8" i="54"/>
  <c r="N48" i="8" s="1"/>
  <c r="M8" i="54"/>
  <c r="O48" i="8" s="1"/>
  <c r="N8" i="54"/>
  <c r="P48" i="8" s="1"/>
  <c r="D6" i="54"/>
  <c r="F48" i="6" s="1"/>
  <c r="E6" i="54"/>
  <c r="F6" i="54"/>
  <c r="G6" i="54"/>
  <c r="H6" i="54"/>
  <c r="J48" i="6" s="1"/>
  <c r="I6" i="54"/>
  <c r="K48" i="6" s="1"/>
  <c r="J6" i="54"/>
  <c r="L48" i="6" s="1"/>
  <c r="K6" i="54"/>
  <c r="M48" i="6" s="1"/>
  <c r="L6" i="54"/>
  <c r="M6" i="54"/>
  <c r="N6" i="54"/>
  <c r="C6" i="54"/>
  <c r="N31" i="54"/>
  <c r="M31" i="54"/>
  <c r="L31" i="54"/>
  <c r="K31" i="54"/>
  <c r="J31" i="54"/>
  <c r="I31" i="54"/>
  <c r="H31" i="54"/>
  <c r="G31" i="54"/>
  <c r="F31" i="54"/>
  <c r="E31" i="54"/>
  <c r="D31" i="54"/>
  <c r="C31" i="54"/>
  <c r="O30" i="54"/>
  <c r="B30" i="54"/>
  <c r="O29" i="54"/>
  <c r="B29" i="54"/>
  <c r="O28" i="54"/>
  <c r="B28" i="54"/>
  <c r="N24" i="54"/>
  <c r="M24" i="54"/>
  <c r="L24" i="54"/>
  <c r="K24" i="54"/>
  <c r="J24" i="54"/>
  <c r="I24" i="54"/>
  <c r="H24" i="54"/>
  <c r="G24" i="54"/>
  <c r="F24" i="54"/>
  <c r="E24" i="54"/>
  <c r="D24" i="54"/>
  <c r="C24" i="54"/>
  <c r="O23" i="54"/>
  <c r="B23" i="54"/>
  <c r="O22" i="54"/>
  <c r="B22" i="54"/>
  <c r="O21" i="54"/>
  <c r="B21" i="54"/>
  <c r="N17" i="54"/>
  <c r="M17" i="54"/>
  <c r="L17" i="54"/>
  <c r="K17" i="54"/>
  <c r="J17" i="54"/>
  <c r="I17" i="54"/>
  <c r="H17" i="54"/>
  <c r="G17" i="54"/>
  <c r="F17" i="54"/>
  <c r="E17" i="54"/>
  <c r="D17" i="54"/>
  <c r="C17" i="54"/>
  <c r="O16" i="54"/>
  <c r="B16" i="54"/>
  <c r="O15" i="54"/>
  <c r="B15" i="54"/>
  <c r="O14" i="54"/>
  <c r="B14" i="54"/>
  <c r="B8" i="54"/>
  <c r="B7" i="54"/>
  <c r="B6" i="54"/>
  <c r="B2" i="54"/>
  <c r="C7" i="53"/>
  <c r="E41" i="22" s="1"/>
  <c r="D7" i="53"/>
  <c r="F41" i="22" s="1"/>
  <c r="E7" i="53"/>
  <c r="G41" i="22" s="1"/>
  <c r="F7" i="53"/>
  <c r="H41" i="22" s="1"/>
  <c r="G7" i="53"/>
  <c r="I41" i="22" s="1"/>
  <c r="H7" i="53"/>
  <c r="J41" i="22" s="1"/>
  <c r="I7" i="53"/>
  <c r="J7" i="53"/>
  <c r="L41" i="22" s="1"/>
  <c r="K7" i="53"/>
  <c r="M41" i="22" s="1"/>
  <c r="L7" i="53"/>
  <c r="N41" i="22" s="1"/>
  <c r="M7" i="53"/>
  <c r="O41" i="22" s="1"/>
  <c r="N7" i="53"/>
  <c r="P41" i="22" s="1"/>
  <c r="C8" i="53"/>
  <c r="E41" i="8" s="1"/>
  <c r="D8" i="53"/>
  <c r="F41" i="8" s="1"/>
  <c r="E8" i="53"/>
  <c r="G41" i="8" s="1"/>
  <c r="F8" i="53"/>
  <c r="G8" i="53"/>
  <c r="I41" i="8" s="1"/>
  <c r="H8" i="53"/>
  <c r="J41" i="8" s="1"/>
  <c r="I8" i="53"/>
  <c r="K41" i="8" s="1"/>
  <c r="J8" i="53"/>
  <c r="K8" i="53"/>
  <c r="M41" i="8" s="1"/>
  <c r="L8" i="53"/>
  <c r="N41" i="8" s="1"/>
  <c r="M8" i="53"/>
  <c r="O41" i="8" s="1"/>
  <c r="N8" i="53"/>
  <c r="P41" i="8" s="1"/>
  <c r="D6" i="53"/>
  <c r="F41" i="6" s="1"/>
  <c r="E6" i="53"/>
  <c r="G41" i="6" s="1"/>
  <c r="F6" i="53"/>
  <c r="H41" i="6" s="1"/>
  <c r="G6" i="53"/>
  <c r="I41" i="6" s="1"/>
  <c r="H6" i="53"/>
  <c r="J41" i="6" s="1"/>
  <c r="I6" i="53"/>
  <c r="K41" i="6" s="1"/>
  <c r="J6" i="53"/>
  <c r="L41" i="6" s="1"/>
  <c r="K6" i="53"/>
  <c r="M41" i="6" s="1"/>
  <c r="L6" i="53"/>
  <c r="N41" i="6" s="1"/>
  <c r="M6" i="53"/>
  <c r="O41" i="6" s="1"/>
  <c r="N6" i="53"/>
  <c r="P41" i="6" s="1"/>
  <c r="N24" i="53"/>
  <c r="M24" i="53"/>
  <c r="L24" i="53"/>
  <c r="K24" i="53"/>
  <c r="J24" i="53"/>
  <c r="I24" i="53"/>
  <c r="H24" i="53"/>
  <c r="G24" i="53"/>
  <c r="F24" i="53"/>
  <c r="E24" i="53"/>
  <c r="D24" i="53"/>
  <c r="C24" i="53"/>
  <c r="O23" i="53"/>
  <c r="B23" i="53"/>
  <c r="O22" i="53"/>
  <c r="B22" i="53"/>
  <c r="O21" i="53"/>
  <c r="B21" i="53"/>
  <c r="N17" i="53"/>
  <c r="M17" i="53"/>
  <c r="L17" i="53"/>
  <c r="K17" i="53"/>
  <c r="J17" i="53"/>
  <c r="I17" i="53"/>
  <c r="H17" i="53"/>
  <c r="G17" i="53"/>
  <c r="F17" i="53"/>
  <c r="E17" i="53"/>
  <c r="D17" i="53"/>
  <c r="C17" i="53"/>
  <c r="O16" i="53"/>
  <c r="B16" i="53"/>
  <c r="O15" i="53"/>
  <c r="B15" i="53"/>
  <c r="O14" i="53"/>
  <c r="B14" i="53"/>
  <c r="B8" i="53"/>
  <c r="B7" i="53"/>
  <c r="B6" i="53"/>
  <c r="C2" i="53"/>
  <c r="I9" i="53" l="1"/>
  <c r="P8" i="56"/>
  <c r="P7" i="56"/>
  <c r="G9" i="53"/>
  <c r="K41" i="22"/>
  <c r="N9" i="54"/>
  <c r="O31" i="54"/>
  <c r="D9" i="54"/>
  <c r="F9" i="54"/>
  <c r="I9" i="54"/>
  <c r="G9" i="54"/>
  <c r="O8" i="54"/>
  <c r="P48" i="22"/>
  <c r="O17" i="54"/>
  <c r="F48" i="8"/>
  <c r="Q48" i="8" s="1"/>
  <c r="E9" i="54"/>
  <c r="N48" i="22"/>
  <c r="M48" i="22"/>
  <c r="I48" i="6"/>
  <c r="H9" i="55"/>
  <c r="J9" i="55"/>
  <c r="C9" i="55"/>
  <c r="L9" i="55"/>
  <c r="D9" i="55"/>
  <c r="N9" i="55"/>
  <c r="F9" i="55"/>
  <c r="E9" i="55"/>
  <c r="L56" i="6"/>
  <c r="L151" i="6" s="1"/>
  <c r="I9" i="55"/>
  <c r="J56" i="6"/>
  <c r="J151" i="6" s="1"/>
  <c r="O17" i="55"/>
  <c r="J9" i="54"/>
  <c r="O7" i="54"/>
  <c r="O24" i="54"/>
  <c r="G9" i="55"/>
  <c r="O8" i="55"/>
  <c r="O7" i="55"/>
  <c r="O6" i="55"/>
  <c r="O31" i="55"/>
  <c r="K9" i="55"/>
  <c r="M9" i="55"/>
  <c r="C9" i="54"/>
  <c r="H9" i="54"/>
  <c r="M9" i="54"/>
  <c r="O6" i="54"/>
  <c r="N9" i="53"/>
  <c r="C9" i="53"/>
  <c r="L9" i="53"/>
  <c r="M9" i="53"/>
  <c r="J9" i="53"/>
  <c r="K9" i="53"/>
  <c r="O24" i="53"/>
  <c r="F9" i="53"/>
  <c r="O8" i="53"/>
  <c r="O7" i="53"/>
  <c r="D9" i="53"/>
  <c r="E9" i="53"/>
  <c r="O6" i="53"/>
  <c r="O17" i="53"/>
  <c r="H9" i="53"/>
  <c r="Q151" i="6" l="1"/>
  <c r="O9" i="55"/>
  <c r="O9" i="54"/>
  <c r="O9" i="53"/>
  <c r="T11" i="44" l="1"/>
  <c r="D115" i="44"/>
  <c r="T112" i="44"/>
  <c r="T113" i="44"/>
  <c r="T114" i="44"/>
  <c r="S115" i="44"/>
  <c r="S112" i="44" s="1"/>
  <c r="E112" i="44" s="1"/>
  <c r="Q134" i="44"/>
  <c r="Q140" i="44"/>
  <c r="Q141" i="44"/>
  <c r="Q142" i="44"/>
  <c r="Q145" i="44"/>
  <c r="B2" i="52"/>
  <c r="B2" i="46"/>
  <c r="T115" i="44" l="1"/>
  <c r="F112" i="44"/>
  <c r="S114" i="44"/>
  <c r="E114" i="44" s="1"/>
  <c r="S113" i="44"/>
  <c r="E113" i="44" s="1"/>
  <c r="F114" i="44" l="1"/>
  <c r="G114" i="44" s="1"/>
  <c r="H114" i="44" s="1"/>
  <c r="I114" i="44" s="1"/>
  <c r="J114" i="44" s="1"/>
  <c r="K114" i="44" s="1"/>
  <c r="L114" i="44" s="1"/>
  <c r="M114" i="44" s="1"/>
  <c r="N114" i="44" s="1"/>
  <c r="O114" i="44" s="1"/>
  <c r="P114" i="44" s="1"/>
  <c r="F113" i="44"/>
  <c r="G113" i="44" s="1"/>
  <c r="H113" i="44" s="1"/>
  <c r="I113" i="44" s="1"/>
  <c r="J113" i="44" s="1"/>
  <c r="K113" i="44" s="1"/>
  <c r="L113" i="44" s="1"/>
  <c r="M113" i="44" s="1"/>
  <c r="N113" i="44" s="1"/>
  <c r="O113" i="44" s="1"/>
  <c r="P113" i="44" s="1"/>
  <c r="E115" i="44"/>
  <c r="G112" i="44"/>
  <c r="F115" i="44" l="1"/>
  <c r="H112" i="44"/>
  <c r="G115" i="44"/>
  <c r="Q130" i="44"/>
  <c r="Q113" i="44"/>
  <c r="Q131" i="44"/>
  <c r="Q114" i="44"/>
  <c r="I112" i="44" l="1"/>
  <c r="H115" i="44"/>
  <c r="P6" i="56" l="1"/>
  <c r="P9" i="56" s="1"/>
  <c r="I115" i="44"/>
  <c r="J112" i="44"/>
  <c r="K112" i="44" l="1"/>
  <c r="J115" i="44"/>
  <c r="L112" i="44" l="1"/>
  <c r="K115" i="44"/>
  <c r="M112" i="44" l="1"/>
  <c r="L115" i="44"/>
  <c r="M115" i="44" l="1"/>
  <c r="N112" i="44"/>
  <c r="N115" i="44" l="1"/>
  <c r="O112" i="44"/>
  <c r="O115" i="44" l="1"/>
  <c r="P112" i="44"/>
  <c r="P115" i="44" l="1"/>
  <c r="Q129" i="44"/>
  <c r="Q112" i="44"/>
  <c r="Q115" i="44" s="1"/>
  <c r="J33" i="22" l="1"/>
  <c r="E33" i="22"/>
  <c r="J33" i="6"/>
  <c r="K33" i="6"/>
  <c r="L33" i="6"/>
  <c r="N33" i="6"/>
  <c r="K34" i="6"/>
  <c r="C14" i="52"/>
  <c r="D14" i="52"/>
  <c r="F33" i="22" s="1"/>
  <c r="E14" i="52"/>
  <c r="G33" i="22" s="1"/>
  <c r="F14" i="52"/>
  <c r="H33" i="22" s="1"/>
  <c r="G14" i="52"/>
  <c r="H14" i="52"/>
  <c r="H16" i="52" s="1"/>
  <c r="I14" i="52"/>
  <c r="I16" i="52" s="1"/>
  <c r="J14" i="52"/>
  <c r="K14" i="52"/>
  <c r="L14" i="52"/>
  <c r="N33" i="22" s="1"/>
  <c r="M14" i="52"/>
  <c r="N14" i="52"/>
  <c r="P33" i="22" s="1"/>
  <c r="C15" i="52"/>
  <c r="D15" i="52"/>
  <c r="F33" i="8" s="1"/>
  <c r="E15" i="52"/>
  <c r="G33" i="8" s="1"/>
  <c r="F15" i="52"/>
  <c r="H33" i="8" s="1"/>
  <c r="G15" i="52"/>
  <c r="I33" i="8" s="1"/>
  <c r="H15" i="52"/>
  <c r="J33" i="8" s="1"/>
  <c r="I15" i="52"/>
  <c r="K33" i="8" s="1"/>
  <c r="J15" i="52"/>
  <c r="L33" i="8" s="1"/>
  <c r="K15" i="52"/>
  <c r="M33" i="8" s="1"/>
  <c r="L15" i="52"/>
  <c r="N33" i="8" s="1"/>
  <c r="M15" i="52"/>
  <c r="O33" i="8" s="1"/>
  <c r="N15" i="52"/>
  <c r="P33" i="8" s="1"/>
  <c r="D13" i="52"/>
  <c r="F33" i="6" s="1"/>
  <c r="E13" i="52"/>
  <c r="E16" i="52" s="1"/>
  <c r="F13" i="52"/>
  <c r="F16" i="52" s="1"/>
  <c r="G13" i="52"/>
  <c r="I33" i="6" s="1"/>
  <c r="H13" i="52"/>
  <c r="I13" i="52"/>
  <c r="J13" i="52"/>
  <c r="K13" i="52"/>
  <c r="M33" i="6" s="1"/>
  <c r="L13" i="52"/>
  <c r="M13" i="52"/>
  <c r="O33" i="6" s="1"/>
  <c r="N13" i="52"/>
  <c r="P33" i="6" s="1"/>
  <c r="C13" i="52"/>
  <c r="E33" i="6" s="1"/>
  <c r="N163" i="52"/>
  <c r="M163" i="52"/>
  <c r="L163" i="52"/>
  <c r="K163" i="52"/>
  <c r="J163" i="52"/>
  <c r="I163" i="52"/>
  <c r="H163" i="52"/>
  <c r="G163" i="52"/>
  <c r="F163" i="52"/>
  <c r="E163" i="52"/>
  <c r="D163" i="52"/>
  <c r="C163" i="52"/>
  <c r="O162" i="52"/>
  <c r="B162" i="52"/>
  <c r="O161" i="52"/>
  <c r="B161" i="52"/>
  <c r="O160" i="52"/>
  <c r="B160" i="52"/>
  <c r="N156" i="52"/>
  <c r="M156" i="52"/>
  <c r="L156" i="52"/>
  <c r="K156" i="52"/>
  <c r="J156" i="52"/>
  <c r="I156" i="52"/>
  <c r="H156" i="52"/>
  <c r="G156" i="52"/>
  <c r="F156" i="52"/>
  <c r="E156" i="52"/>
  <c r="D156" i="52"/>
  <c r="C156" i="52"/>
  <c r="O155" i="52"/>
  <c r="B155" i="52"/>
  <c r="O154" i="52"/>
  <c r="B154" i="52"/>
  <c r="O153" i="52"/>
  <c r="B153" i="52"/>
  <c r="N149" i="52"/>
  <c r="M149" i="52"/>
  <c r="L149" i="52"/>
  <c r="K149" i="52"/>
  <c r="J149" i="52"/>
  <c r="I149" i="52"/>
  <c r="H149" i="52"/>
  <c r="G149" i="52"/>
  <c r="F149" i="52"/>
  <c r="E149" i="52"/>
  <c r="D149" i="52"/>
  <c r="C149" i="52"/>
  <c r="O148" i="52"/>
  <c r="B148" i="52"/>
  <c r="O147" i="52"/>
  <c r="B147" i="52"/>
  <c r="O146" i="52"/>
  <c r="O149" i="52" s="1"/>
  <c r="B146" i="52"/>
  <c r="N142" i="52"/>
  <c r="M142" i="52"/>
  <c r="L142" i="52"/>
  <c r="K142" i="52"/>
  <c r="J142" i="52"/>
  <c r="I142" i="52"/>
  <c r="H142" i="52"/>
  <c r="G142" i="52"/>
  <c r="F142" i="52"/>
  <c r="E142" i="52"/>
  <c r="D142" i="52"/>
  <c r="C142" i="52"/>
  <c r="O141" i="52"/>
  <c r="B141" i="52"/>
  <c r="O140" i="52"/>
  <c r="B140" i="52"/>
  <c r="O139" i="52"/>
  <c r="B139" i="52"/>
  <c r="N135" i="52"/>
  <c r="M135" i="52"/>
  <c r="L135" i="52"/>
  <c r="K135" i="52"/>
  <c r="J135" i="52"/>
  <c r="I135" i="52"/>
  <c r="H135" i="52"/>
  <c r="G135" i="52"/>
  <c r="F135" i="52"/>
  <c r="E135" i="52"/>
  <c r="D135" i="52"/>
  <c r="C135" i="52"/>
  <c r="O134" i="52"/>
  <c r="B134" i="52"/>
  <c r="O133" i="52"/>
  <c r="B133" i="52"/>
  <c r="O132" i="52"/>
  <c r="B132" i="52"/>
  <c r="N128" i="52"/>
  <c r="M128" i="52"/>
  <c r="L128" i="52"/>
  <c r="K128" i="52"/>
  <c r="J128" i="52"/>
  <c r="I128" i="52"/>
  <c r="H128" i="52"/>
  <c r="G128" i="52"/>
  <c r="F128" i="52"/>
  <c r="E128" i="52"/>
  <c r="D128" i="52"/>
  <c r="C128" i="52"/>
  <c r="O127" i="52"/>
  <c r="B127" i="52"/>
  <c r="O126" i="52"/>
  <c r="B126" i="52"/>
  <c r="O125" i="52"/>
  <c r="B125" i="52"/>
  <c r="N121" i="52"/>
  <c r="M121" i="52"/>
  <c r="L121" i="52"/>
  <c r="K121" i="52"/>
  <c r="J121" i="52"/>
  <c r="I121" i="52"/>
  <c r="H121" i="52"/>
  <c r="G121" i="52"/>
  <c r="F121" i="52"/>
  <c r="E121" i="52"/>
  <c r="D121" i="52"/>
  <c r="C121" i="52"/>
  <c r="O120" i="52"/>
  <c r="B120" i="52"/>
  <c r="O119" i="52"/>
  <c r="B119" i="52"/>
  <c r="O118" i="52"/>
  <c r="B118" i="52"/>
  <c r="N114" i="52"/>
  <c r="M114" i="52"/>
  <c r="L114" i="52"/>
  <c r="K114" i="52"/>
  <c r="J114" i="52"/>
  <c r="I114" i="52"/>
  <c r="H114" i="52"/>
  <c r="G114" i="52"/>
  <c r="F114" i="52"/>
  <c r="E114" i="52"/>
  <c r="D114" i="52"/>
  <c r="C114" i="52"/>
  <c r="O113" i="52"/>
  <c r="B113" i="52"/>
  <c r="O112" i="52"/>
  <c r="B112" i="52"/>
  <c r="O111" i="52"/>
  <c r="B111" i="52"/>
  <c r="N107" i="52"/>
  <c r="M107" i="52"/>
  <c r="L107" i="52"/>
  <c r="K107" i="52"/>
  <c r="J107" i="52"/>
  <c r="I107" i="52"/>
  <c r="H107" i="52"/>
  <c r="G107" i="52"/>
  <c r="F107" i="52"/>
  <c r="E107" i="52"/>
  <c r="D107" i="52"/>
  <c r="C107" i="52"/>
  <c r="O106" i="52"/>
  <c r="B106" i="52"/>
  <c r="O105" i="52"/>
  <c r="B105" i="52"/>
  <c r="O104" i="52"/>
  <c r="B104" i="52"/>
  <c r="N100" i="52"/>
  <c r="M100" i="52"/>
  <c r="L100" i="52"/>
  <c r="K100" i="52"/>
  <c r="J100" i="52"/>
  <c r="I100" i="52"/>
  <c r="H100" i="52"/>
  <c r="G100" i="52"/>
  <c r="F100" i="52"/>
  <c r="E100" i="52"/>
  <c r="D100" i="52"/>
  <c r="C100" i="52"/>
  <c r="O99" i="52"/>
  <c r="B99" i="52"/>
  <c r="O98" i="52"/>
  <c r="B98" i="52"/>
  <c r="O97" i="52"/>
  <c r="B97" i="52"/>
  <c r="C7" i="52"/>
  <c r="E34" i="22" s="1"/>
  <c r="D7" i="52"/>
  <c r="F34" i="22" s="1"/>
  <c r="E7" i="52"/>
  <c r="G34" i="22" s="1"/>
  <c r="F7" i="52"/>
  <c r="H34" i="22" s="1"/>
  <c r="G7" i="52"/>
  <c r="I34" i="22" s="1"/>
  <c r="H7" i="52"/>
  <c r="J34" i="22" s="1"/>
  <c r="I7" i="52"/>
  <c r="K34" i="22" s="1"/>
  <c r="J7" i="52"/>
  <c r="L34" i="22" s="1"/>
  <c r="K7" i="52"/>
  <c r="M34" i="22" s="1"/>
  <c r="L7" i="52"/>
  <c r="N34" i="22" s="1"/>
  <c r="M7" i="52"/>
  <c r="O34" i="22" s="1"/>
  <c r="N7" i="52"/>
  <c r="P34" i="22" s="1"/>
  <c r="C8" i="52"/>
  <c r="E34" i="8" s="1"/>
  <c r="D8" i="52"/>
  <c r="F34" i="8" s="1"/>
  <c r="E8" i="52"/>
  <c r="G34" i="8" s="1"/>
  <c r="F8" i="52"/>
  <c r="H34" i="8" s="1"/>
  <c r="G8" i="52"/>
  <c r="I34" i="8" s="1"/>
  <c r="H8" i="52"/>
  <c r="J34" i="8" s="1"/>
  <c r="I8" i="52"/>
  <c r="K34" i="8" s="1"/>
  <c r="J8" i="52"/>
  <c r="L34" i="8" s="1"/>
  <c r="K8" i="52"/>
  <c r="M34" i="8" s="1"/>
  <c r="L8" i="52"/>
  <c r="N34" i="8" s="1"/>
  <c r="M8" i="52"/>
  <c r="O34" i="8" s="1"/>
  <c r="N8" i="52"/>
  <c r="P34" i="8" s="1"/>
  <c r="D6" i="52"/>
  <c r="F34" i="6" s="1"/>
  <c r="E6" i="52"/>
  <c r="G34" i="6" s="1"/>
  <c r="F6" i="52"/>
  <c r="H34" i="6" s="1"/>
  <c r="G6" i="52"/>
  <c r="I34" i="6" s="1"/>
  <c r="H6" i="52"/>
  <c r="J34" i="6" s="1"/>
  <c r="I6" i="52"/>
  <c r="J6" i="52"/>
  <c r="L34" i="6" s="1"/>
  <c r="K6" i="52"/>
  <c r="M34" i="6" s="1"/>
  <c r="L6" i="52"/>
  <c r="N34" i="6" s="1"/>
  <c r="M6" i="52"/>
  <c r="O34" i="6" s="1"/>
  <c r="N6" i="52"/>
  <c r="P34" i="6" s="1"/>
  <c r="C6" i="52"/>
  <c r="E34" i="6" s="1"/>
  <c r="B15" i="52"/>
  <c r="B14" i="52"/>
  <c r="B13" i="52"/>
  <c r="B8" i="52"/>
  <c r="B7" i="52"/>
  <c r="B6" i="52"/>
  <c r="O76" i="52"/>
  <c r="B92" i="52"/>
  <c r="B91" i="52"/>
  <c r="B90" i="52"/>
  <c r="B85" i="52"/>
  <c r="B84" i="52"/>
  <c r="B83" i="52"/>
  <c r="N79" i="52"/>
  <c r="M79" i="52"/>
  <c r="L79" i="52"/>
  <c r="K79" i="52"/>
  <c r="J79" i="52"/>
  <c r="I79" i="52"/>
  <c r="H79" i="52"/>
  <c r="G79" i="52"/>
  <c r="E79" i="52"/>
  <c r="D79" i="52"/>
  <c r="C79" i="52"/>
  <c r="B78" i="52"/>
  <c r="B77" i="52"/>
  <c r="B76" i="52"/>
  <c r="B71" i="52"/>
  <c r="B70" i="52"/>
  <c r="B69" i="52"/>
  <c r="N65" i="52"/>
  <c r="M65" i="52"/>
  <c r="K65" i="52"/>
  <c r="J65" i="52"/>
  <c r="H65" i="52"/>
  <c r="G65" i="52"/>
  <c r="E65" i="52"/>
  <c r="D65" i="52"/>
  <c r="B64" i="52"/>
  <c r="B63" i="52"/>
  <c r="B62" i="52"/>
  <c r="B57" i="52"/>
  <c r="B56" i="52"/>
  <c r="B55" i="52"/>
  <c r="N51" i="52"/>
  <c r="M51" i="52"/>
  <c r="K51" i="52"/>
  <c r="J51" i="52"/>
  <c r="H51" i="52"/>
  <c r="G51" i="52"/>
  <c r="E51" i="52"/>
  <c r="D51" i="52"/>
  <c r="B50" i="52"/>
  <c r="B49" i="52"/>
  <c r="B48" i="52"/>
  <c r="B43" i="52"/>
  <c r="B42" i="52"/>
  <c r="B41" i="52"/>
  <c r="B36" i="52"/>
  <c r="B35" i="52"/>
  <c r="B34" i="52"/>
  <c r="B29" i="52"/>
  <c r="B28" i="52"/>
  <c r="B27" i="52"/>
  <c r="B22" i="52"/>
  <c r="B21" i="52"/>
  <c r="B20" i="52"/>
  <c r="F35" i="8"/>
  <c r="J35" i="8"/>
  <c r="N35" i="8"/>
  <c r="Q16" i="44"/>
  <c r="F35" i="22"/>
  <c r="J35" i="22"/>
  <c r="N35" i="22"/>
  <c r="G16" i="52" l="1"/>
  <c r="G33" i="6"/>
  <c r="H33" i="6"/>
  <c r="J9" i="52"/>
  <c r="I33" i="22"/>
  <c r="O15" i="52"/>
  <c r="O14" i="52"/>
  <c r="K16" i="52"/>
  <c r="I9" i="52"/>
  <c r="J16" i="52"/>
  <c r="E33" i="8"/>
  <c r="O33" i="22"/>
  <c r="M33" i="22"/>
  <c r="L33" i="22"/>
  <c r="D16" i="52"/>
  <c r="K33" i="22"/>
  <c r="C16" i="52"/>
  <c r="N16" i="52"/>
  <c r="M16" i="52"/>
  <c r="L16" i="52"/>
  <c r="O13" i="52"/>
  <c r="O156" i="52"/>
  <c r="O163" i="52"/>
  <c r="O142" i="52"/>
  <c r="O135" i="52"/>
  <c r="O128" i="52"/>
  <c r="O121" i="52"/>
  <c r="O114" i="52"/>
  <c r="O107" i="52"/>
  <c r="O100" i="52"/>
  <c r="O8" i="52"/>
  <c r="E9" i="52"/>
  <c r="H9" i="52"/>
  <c r="G9" i="52"/>
  <c r="F9" i="52"/>
  <c r="D9" i="52"/>
  <c r="C9" i="52"/>
  <c r="N9" i="52"/>
  <c r="O7" i="52"/>
  <c r="M9" i="52"/>
  <c r="L9" i="52"/>
  <c r="K9" i="52"/>
  <c r="O6" i="52"/>
  <c r="E30" i="52"/>
  <c r="O78" i="52"/>
  <c r="K37" i="52"/>
  <c r="M23" i="52"/>
  <c r="J23" i="52"/>
  <c r="H23" i="52"/>
  <c r="G23" i="52"/>
  <c r="I23" i="52"/>
  <c r="C30" i="52"/>
  <c r="O27" i="52"/>
  <c r="D58" i="52"/>
  <c r="H58" i="52"/>
  <c r="E58" i="52"/>
  <c r="L58" i="52"/>
  <c r="O77" i="52"/>
  <c r="O28" i="52"/>
  <c r="G30" i="52"/>
  <c r="K30" i="52"/>
  <c r="H30" i="52"/>
  <c r="D30" i="52"/>
  <c r="F30" i="52"/>
  <c r="I30" i="52"/>
  <c r="G58" i="52"/>
  <c r="M72" i="52"/>
  <c r="D37" i="52"/>
  <c r="L37" i="52"/>
  <c r="E37" i="52"/>
  <c r="O16" i="52" l="1"/>
  <c r="O9" i="52"/>
  <c r="O79" i="52"/>
  <c r="G37" i="52"/>
  <c r="H44" i="52"/>
  <c r="H37" i="52"/>
  <c r="O57" i="52"/>
  <c r="I37" i="52"/>
  <c r="D44" i="52"/>
  <c r="G44" i="52"/>
  <c r="O42" i="52"/>
  <c r="H72" i="52"/>
  <c r="O64" i="52"/>
  <c r="O56" i="52"/>
  <c r="I44" i="52"/>
  <c r="L44" i="52"/>
  <c r="J37" i="52"/>
  <c r="O91" i="52"/>
  <c r="G72" i="52"/>
  <c r="F37" i="52"/>
  <c r="N37" i="52"/>
  <c r="O29" i="52"/>
  <c r="O30" i="52" s="1"/>
  <c r="N44" i="52"/>
  <c r="O62" i="52"/>
  <c r="C65" i="52"/>
  <c r="F23" i="52"/>
  <c r="M30" i="52"/>
  <c r="O43" i="52"/>
  <c r="M86" i="52"/>
  <c r="K86" i="52"/>
  <c r="J86" i="52"/>
  <c r="F86" i="52"/>
  <c r="E86" i="52"/>
  <c r="D86" i="52"/>
  <c r="G86" i="52"/>
  <c r="N86" i="52"/>
  <c r="I86" i="52"/>
  <c r="C37" i="52"/>
  <c r="O35" i="52"/>
  <c r="M44" i="52"/>
  <c r="I72" i="52"/>
  <c r="O20" i="52"/>
  <c r="C23" i="52"/>
  <c r="F58" i="52"/>
  <c r="K23" i="52"/>
  <c r="N23" i="52"/>
  <c r="M58" i="52"/>
  <c r="F44" i="52"/>
  <c r="O21" i="52"/>
  <c r="O63" i="52"/>
  <c r="D72" i="52"/>
  <c r="D23" i="52"/>
  <c r="L23" i="52"/>
  <c r="O36" i="52"/>
  <c r="I65" i="52"/>
  <c r="J30" i="52"/>
  <c r="O70" i="52"/>
  <c r="J58" i="52"/>
  <c r="K58" i="52"/>
  <c r="K44" i="52"/>
  <c r="O84" i="52"/>
  <c r="N72" i="52"/>
  <c r="O34" i="52"/>
  <c r="N30" i="52"/>
  <c r="O71" i="52"/>
  <c r="I58" i="52"/>
  <c r="E72" i="52"/>
  <c r="N58" i="52"/>
  <c r="C44" i="52"/>
  <c r="O41" i="52"/>
  <c r="J44" i="52"/>
  <c r="L65" i="52"/>
  <c r="O85" i="52"/>
  <c r="J72" i="52"/>
  <c r="E44" i="52"/>
  <c r="O22" i="52"/>
  <c r="M37" i="52"/>
  <c r="L30" i="52"/>
  <c r="F72" i="52"/>
  <c r="O55" i="52"/>
  <c r="C58" i="52"/>
  <c r="F79" i="52"/>
  <c r="E23" i="52"/>
  <c r="K72" i="52"/>
  <c r="O58" i="52" l="1"/>
  <c r="L72" i="52"/>
  <c r="H86" i="52"/>
  <c r="F65" i="52"/>
  <c r="O44" i="52"/>
  <c r="L86" i="52"/>
  <c r="D93" i="52"/>
  <c r="J93" i="52"/>
  <c r="H93" i="52"/>
  <c r="G93" i="52"/>
  <c r="F93" i="52"/>
  <c r="E93" i="52"/>
  <c r="C72" i="52"/>
  <c r="O69" i="52"/>
  <c r="O72" i="52" s="1"/>
  <c r="C86" i="52"/>
  <c r="O83" i="52"/>
  <c r="O86" i="52" s="1"/>
  <c r="O65" i="52"/>
  <c r="O23" i="52"/>
  <c r="O37" i="52"/>
  <c r="I93" i="52" l="1"/>
  <c r="K93" i="52"/>
  <c r="M93" i="52"/>
  <c r="N93" i="52"/>
  <c r="L93" i="52"/>
  <c r="O92" i="52"/>
  <c r="F51" i="52"/>
  <c r="C93" i="52"/>
  <c r="O90" i="52"/>
  <c r="O49" i="52"/>
  <c r="O50" i="52" l="1"/>
  <c r="L51" i="52"/>
  <c r="O93" i="52"/>
  <c r="I51" i="52"/>
  <c r="O48" i="52"/>
  <c r="C51" i="52"/>
  <c r="O51" i="52" l="1"/>
  <c r="T12" i="44" l="1"/>
  <c r="E18" i="44" l="1"/>
  <c r="F20" i="44"/>
  <c r="G20" i="44"/>
  <c r="H20" i="44"/>
  <c r="I20" i="44"/>
  <c r="J20" i="44"/>
  <c r="K20" i="44"/>
  <c r="L20" i="44"/>
  <c r="M20" i="44"/>
  <c r="N20" i="44"/>
  <c r="O20" i="44"/>
  <c r="P20" i="44"/>
  <c r="E20" i="44"/>
  <c r="E21" i="44" s="1"/>
  <c r="F19" i="44"/>
  <c r="G19" i="44"/>
  <c r="H19" i="44"/>
  <c r="I19" i="44"/>
  <c r="J19" i="44"/>
  <c r="K19" i="44"/>
  <c r="L19" i="44"/>
  <c r="M19" i="44"/>
  <c r="N19" i="44"/>
  <c r="O19" i="44"/>
  <c r="P19" i="44"/>
  <c r="E19" i="44"/>
  <c r="F18" i="44"/>
  <c r="G18" i="44"/>
  <c r="H18" i="44"/>
  <c r="I18" i="44"/>
  <c r="J18" i="44"/>
  <c r="K18" i="44"/>
  <c r="L18" i="44"/>
  <c r="M18" i="44"/>
  <c r="N18" i="44"/>
  <c r="O18" i="44"/>
  <c r="P18" i="44"/>
  <c r="S71" i="8" l="1"/>
  <c r="S71" i="22"/>
  <c r="S71" i="6"/>
  <c r="R71" i="27"/>
  <c r="R129" i="27"/>
  <c r="R105" i="27"/>
  <c r="S91" i="27"/>
  <c r="R22" i="27"/>
  <c r="R15" i="27"/>
  <c r="R24" i="27" l="1"/>
  <c r="R107" i="27"/>
  <c r="R109" i="27" l="1"/>
  <c r="R123" i="27" s="1"/>
  <c r="R131" i="27" l="1"/>
  <c r="S129" i="8" l="1"/>
  <c r="S105" i="8"/>
  <c r="S107" i="8" s="1"/>
  <c r="T91" i="8"/>
  <c r="S22" i="8"/>
  <c r="S15" i="8"/>
  <c r="S129" i="22"/>
  <c r="S105" i="22"/>
  <c r="S107" i="22" s="1"/>
  <c r="T91" i="22"/>
  <c r="S22" i="22"/>
  <c r="S15" i="22"/>
  <c r="S24" i="22" s="1"/>
  <c r="S129" i="6"/>
  <c r="S105" i="6"/>
  <c r="S107" i="6" s="1"/>
  <c r="T91" i="6"/>
  <c r="S22" i="6"/>
  <c r="S15" i="6"/>
  <c r="E20" i="46"/>
  <c r="E21" i="46"/>
  <c r="E22" i="46"/>
  <c r="E19" i="46"/>
  <c r="Q139" i="27"/>
  <c r="B20" i="44"/>
  <c r="B19" i="44"/>
  <c r="B18" i="44"/>
  <c r="B29" i="44"/>
  <c r="B28" i="44"/>
  <c r="B27" i="44"/>
  <c r="B13" i="44"/>
  <c r="B12" i="44"/>
  <c r="B11" i="44"/>
  <c r="Q25" i="44"/>
  <c r="S109" i="22" l="1"/>
  <c r="S123" i="22" s="1"/>
  <c r="S131" i="22" s="1"/>
  <c r="S24" i="8"/>
  <c r="S24" i="6"/>
  <c r="T13" i="44"/>
  <c r="Q9" i="44" s="1"/>
  <c r="S109" i="6" l="1"/>
  <c r="S123" i="6" s="1"/>
  <c r="S131" i="6" s="1"/>
  <c r="S109" i="8"/>
  <c r="Q53" i="44"/>
  <c r="S123" i="8" l="1"/>
  <c r="H21" i="46"/>
  <c r="G21" i="46"/>
  <c r="F21" i="46"/>
  <c r="H22" i="46"/>
  <c r="G22" i="46"/>
  <c r="F22" i="46"/>
  <c r="S131" i="8" l="1"/>
  <c r="P59" i="41" l="1"/>
  <c r="P62" i="41"/>
  <c r="P61" i="41"/>
  <c r="P60" i="41"/>
  <c r="P58" i="41"/>
  <c r="P57" i="41"/>
  <c r="P56" i="41"/>
  <c r="P55" i="41"/>
  <c r="P20" i="41" l="1"/>
  <c r="P19" i="41"/>
  <c r="P18" i="41"/>
  <c r="P17" i="41"/>
  <c r="P16" i="41"/>
  <c r="P15" i="41"/>
  <c r="P14" i="41"/>
  <c r="P13" i="41"/>
  <c r="W12" i="22"/>
  <c r="P36" i="41"/>
  <c r="P35" i="41"/>
  <c r="P34" i="41"/>
  <c r="P33" i="41"/>
  <c r="P32" i="41"/>
  <c r="P31" i="41"/>
  <c r="E145" i="27" l="1"/>
  <c r="F90" i="27" l="1"/>
  <c r="G90" i="27"/>
  <c r="H90" i="27"/>
  <c r="I90" i="27"/>
  <c r="J90" i="27"/>
  <c r="K90" i="27"/>
  <c r="L90" i="27"/>
  <c r="M90" i="27"/>
  <c r="N90" i="27"/>
  <c r="O90" i="27"/>
  <c r="P90" i="27"/>
  <c r="E90" i="27"/>
  <c r="Q128" i="27"/>
  <c r="H4" i="46" l="1"/>
  <c r="G4" i="46"/>
  <c r="F4" i="46"/>
  <c r="B36" i="44"/>
  <c r="B35" i="44"/>
  <c r="B34" i="44"/>
  <c r="B85" i="44"/>
  <c r="B84" i="44"/>
  <c r="B83" i="44"/>
  <c r="B50" i="44"/>
  <c r="B49" i="44"/>
  <c r="B48" i="44"/>
  <c r="B92" i="44"/>
  <c r="B91" i="44"/>
  <c r="B90" i="44"/>
  <c r="B106" i="44"/>
  <c r="B105" i="44"/>
  <c r="B104" i="44"/>
  <c r="B78" i="44"/>
  <c r="B77" i="44"/>
  <c r="B76" i="44"/>
  <c r="B71" i="44"/>
  <c r="B70" i="44"/>
  <c r="B69" i="44"/>
  <c r="B64" i="44"/>
  <c r="B63" i="44"/>
  <c r="B62" i="44"/>
  <c r="B99" i="44"/>
  <c r="B98" i="44"/>
  <c r="B97" i="44"/>
  <c r="B57" i="44"/>
  <c r="B56" i="44"/>
  <c r="B55" i="44"/>
  <c r="B43" i="44"/>
  <c r="B42" i="44"/>
  <c r="B41" i="44"/>
  <c r="B6" i="44"/>
  <c r="B5" i="44"/>
  <c r="B4" i="44"/>
  <c r="D7" i="44"/>
  <c r="D41" i="44"/>
  <c r="D42" i="44"/>
  <c r="D56" i="44" s="1"/>
  <c r="D43" i="44"/>
  <c r="D57" i="44" s="1"/>
  <c r="E57" i="44" s="1"/>
  <c r="D62" i="44"/>
  <c r="D63" i="44"/>
  <c r="D64" i="44"/>
  <c r="D90" i="44"/>
  <c r="F90" i="44" s="1"/>
  <c r="D91" i="44"/>
  <c r="P91" i="44" s="1"/>
  <c r="D92" i="44"/>
  <c r="M92" i="44" s="1"/>
  <c r="F69" i="8"/>
  <c r="G69" i="8"/>
  <c r="I69" i="8"/>
  <c r="J69" i="8"/>
  <c r="L69" i="8"/>
  <c r="M69" i="8"/>
  <c r="O69" i="8"/>
  <c r="P69" i="8"/>
  <c r="F69" i="22"/>
  <c r="G69" i="22"/>
  <c r="I69" i="22"/>
  <c r="J69" i="22"/>
  <c r="L69" i="22"/>
  <c r="M69" i="22"/>
  <c r="O69" i="22"/>
  <c r="P69" i="22"/>
  <c r="F69" i="6"/>
  <c r="F155" i="6" s="1"/>
  <c r="G69" i="6"/>
  <c r="G155" i="6" s="1"/>
  <c r="I69" i="6"/>
  <c r="I155" i="6" s="1"/>
  <c r="J69" i="6"/>
  <c r="J155" i="6" s="1"/>
  <c r="L69" i="6"/>
  <c r="L155" i="6" s="1"/>
  <c r="M69" i="6"/>
  <c r="M155" i="6" s="1"/>
  <c r="O69" i="6"/>
  <c r="O155" i="6" s="1"/>
  <c r="P69" i="6"/>
  <c r="P155" i="6" s="1"/>
  <c r="Q102" i="44"/>
  <c r="F78" i="8"/>
  <c r="G78" i="8"/>
  <c r="I78" i="8"/>
  <c r="J78" i="8"/>
  <c r="L78" i="8"/>
  <c r="M78" i="8"/>
  <c r="O78" i="8"/>
  <c r="P78" i="8"/>
  <c r="F78" i="22"/>
  <c r="G78" i="22"/>
  <c r="I78" i="22"/>
  <c r="J78" i="22"/>
  <c r="L78" i="22"/>
  <c r="M78" i="22"/>
  <c r="O78" i="22"/>
  <c r="P78" i="22"/>
  <c r="F78" i="6"/>
  <c r="F157" i="6" s="1"/>
  <c r="G78" i="6"/>
  <c r="G157" i="6" s="1"/>
  <c r="I78" i="6"/>
  <c r="I157" i="6" s="1"/>
  <c r="J78" i="6"/>
  <c r="J157" i="6" s="1"/>
  <c r="L78" i="6"/>
  <c r="L157" i="6" s="1"/>
  <c r="M78" i="6"/>
  <c r="M157" i="6" s="1"/>
  <c r="O78" i="6"/>
  <c r="O157" i="6" s="1"/>
  <c r="P78" i="6"/>
  <c r="P157" i="6" s="1"/>
  <c r="Q46" i="44"/>
  <c r="Q95" i="44"/>
  <c r="Q74" i="44"/>
  <c r="Q60" i="44"/>
  <c r="D71" i="44" l="1"/>
  <c r="L71" i="44" s="1"/>
  <c r="D44" i="44"/>
  <c r="D48" i="44"/>
  <c r="E48" i="44" s="1"/>
  <c r="E78" i="6" s="1"/>
  <c r="E157" i="6" s="1"/>
  <c r="I92" i="44"/>
  <c r="D70" i="44"/>
  <c r="D69" i="44"/>
  <c r="D55" i="44"/>
  <c r="D76" i="44" s="1"/>
  <c r="O92" i="44"/>
  <c r="H69" i="44"/>
  <c r="L69" i="44"/>
  <c r="L92" i="44"/>
  <c r="N92" i="44"/>
  <c r="K70" i="44"/>
  <c r="P92" i="44"/>
  <c r="I91" i="44"/>
  <c r="E92" i="44"/>
  <c r="G92" i="44"/>
  <c r="K92" i="44"/>
  <c r="O71" i="44"/>
  <c r="P71" i="44"/>
  <c r="E71" i="44"/>
  <c r="F71" i="44"/>
  <c r="G71" i="44"/>
  <c r="H71" i="44"/>
  <c r="I71" i="44"/>
  <c r="J71" i="44"/>
  <c r="F92" i="44"/>
  <c r="H92" i="44"/>
  <c r="H90" i="44"/>
  <c r="G90" i="44"/>
  <c r="K90" i="44"/>
  <c r="O90" i="44"/>
  <c r="K91" i="44"/>
  <c r="M91" i="44"/>
  <c r="N90" i="44"/>
  <c r="P90" i="44"/>
  <c r="L91" i="44"/>
  <c r="N91" i="44"/>
  <c r="D65" i="44"/>
  <c r="E91" i="44"/>
  <c r="J91" i="44"/>
  <c r="I90" i="44"/>
  <c r="O91" i="44"/>
  <c r="F91" i="44"/>
  <c r="E90" i="44"/>
  <c r="G91" i="44"/>
  <c r="D93" i="44"/>
  <c r="J90" i="44"/>
  <c r="L90" i="44"/>
  <c r="M90" i="44"/>
  <c r="H91" i="44"/>
  <c r="D78" i="44"/>
  <c r="D99" i="44"/>
  <c r="G99" i="44" s="1"/>
  <c r="D85" i="44"/>
  <c r="D77" i="44"/>
  <c r="D98" i="44"/>
  <c r="H98" i="44" s="1"/>
  <c r="D84" i="44"/>
  <c r="P56" i="44"/>
  <c r="J92" i="44"/>
  <c r="K48" i="44"/>
  <c r="K78" i="6" s="1"/>
  <c r="K157" i="6" s="1"/>
  <c r="D50" i="44"/>
  <c r="H50" i="44" s="1"/>
  <c r="H78" i="8" s="1"/>
  <c r="D49" i="44"/>
  <c r="E49" i="44" s="1"/>
  <c r="E78" i="22" s="1"/>
  <c r="O56" i="44"/>
  <c r="F57" i="44"/>
  <c r="E56" i="44"/>
  <c r="G57" i="44"/>
  <c r="F56" i="44"/>
  <c r="H57" i="44"/>
  <c r="K57" i="44"/>
  <c r="K56" i="44"/>
  <c r="M57" i="44"/>
  <c r="I57" i="44"/>
  <c r="I56" i="44"/>
  <c r="L56" i="44"/>
  <c r="N57" i="44"/>
  <c r="J57" i="44"/>
  <c r="O57" i="44"/>
  <c r="G56" i="44"/>
  <c r="N56" i="44"/>
  <c r="P57" i="44"/>
  <c r="H56" i="44"/>
  <c r="J56" i="44"/>
  <c r="L57" i="44"/>
  <c r="M56" i="44"/>
  <c r="E126" i="6"/>
  <c r="B20" i="43"/>
  <c r="B13" i="43"/>
  <c r="B6" i="43"/>
  <c r="P21" i="41"/>
  <c r="B67" i="41"/>
  <c r="B66" i="41"/>
  <c r="B65" i="41"/>
  <c r="B64" i="41"/>
  <c r="B63" i="41"/>
  <c r="B62" i="41"/>
  <c r="B61" i="41"/>
  <c r="B60" i="41"/>
  <c r="B59" i="41"/>
  <c r="B58" i="41"/>
  <c r="B57" i="41"/>
  <c r="B56" i="41"/>
  <c r="B55" i="41"/>
  <c r="B54" i="41"/>
  <c r="B53" i="41"/>
  <c r="B45" i="41"/>
  <c r="B44" i="41"/>
  <c r="B43" i="41"/>
  <c r="B42" i="41"/>
  <c r="B41" i="41"/>
  <c r="B40" i="41"/>
  <c r="B39" i="41"/>
  <c r="B38" i="41"/>
  <c r="B37" i="41"/>
  <c r="B36" i="41"/>
  <c r="B35" i="41"/>
  <c r="B34" i="41"/>
  <c r="B33" i="41"/>
  <c r="B32" i="41"/>
  <c r="B31" i="41"/>
  <c r="B21" i="41"/>
  <c r="B22" i="41"/>
  <c r="B23" i="41"/>
  <c r="B16" i="41"/>
  <c r="B17" i="41"/>
  <c r="B18" i="41"/>
  <c r="B19" i="41"/>
  <c r="B20" i="41"/>
  <c r="B10" i="41"/>
  <c r="B11" i="41"/>
  <c r="B12" i="41"/>
  <c r="B13" i="41"/>
  <c r="B14" i="41"/>
  <c r="B15" i="41"/>
  <c r="B9" i="41"/>
  <c r="B4" i="27"/>
  <c r="B4" i="8"/>
  <c r="B4" i="22"/>
  <c r="B4" i="6"/>
  <c r="E170" i="6" l="1"/>
  <c r="N71" i="44"/>
  <c r="C63" i="44"/>
  <c r="C5" i="44"/>
  <c r="C105" i="44"/>
  <c r="C98" i="44"/>
  <c r="C19" i="44"/>
  <c r="C35" i="44"/>
  <c r="C70" i="44"/>
  <c r="C56" i="44"/>
  <c r="C91" i="44"/>
  <c r="C28" i="44"/>
  <c r="C113" i="44"/>
  <c r="C49" i="44"/>
  <c r="C42" i="44"/>
  <c r="C84" i="44"/>
  <c r="C77" i="44"/>
  <c r="C12" i="44"/>
  <c r="D12" i="44" s="1"/>
  <c r="C36" i="44"/>
  <c r="C85" i="44"/>
  <c r="C13" i="44"/>
  <c r="D13" i="44" s="1"/>
  <c r="C6" i="44"/>
  <c r="C106" i="44"/>
  <c r="C99" i="44"/>
  <c r="C29" i="44"/>
  <c r="C78" i="44"/>
  <c r="C114" i="44"/>
  <c r="C57" i="44"/>
  <c r="C50" i="44"/>
  <c r="C43" i="44"/>
  <c r="C20" i="44"/>
  <c r="C71" i="44"/>
  <c r="C64" i="44"/>
  <c r="C92" i="44"/>
  <c r="C55" i="44"/>
  <c r="C27" i="44"/>
  <c r="C62" i="44"/>
  <c r="C4" i="44"/>
  <c r="C104" i="44"/>
  <c r="C97" i="44"/>
  <c r="C18" i="44"/>
  <c r="C48" i="44"/>
  <c r="C41" i="44"/>
  <c r="C34" i="44"/>
  <c r="C69" i="44"/>
  <c r="C90" i="44"/>
  <c r="C83" i="44"/>
  <c r="C76" i="44"/>
  <c r="C112" i="44"/>
  <c r="C11" i="44"/>
  <c r="D11" i="44" s="1"/>
  <c r="D33" i="43"/>
  <c r="B113" i="44"/>
  <c r="D32" i="43"/>
  <c r="B112" i="44"/>
  <c r="D34" i="43"/>
  <c r="B114" i="44"/>
  <c r="M71" i="44"/>
  <c r="G76" i="44"/>
  <c r="O69" i="44"/>
  <c r="G70" i="44"/>
  <c r="E78" i="44"/>
  <c r="K71" i="44"/>
  <c r="M76" i="44"/>
  <c r="O55" i="44"/>
  <c r="E76" i="44"/>
  <c r="N55" i="44"/>
  <c r="D72" i="44"/>
  <c r="J55" i="44"/>
  <c r="F70" i="44"/>
  <c r="N76" i="44"/>
  <c r="F76" i="44"/>
  <c r="J70" i="44"/>
  <c r="I55" i="44"/>
  <c r="H70" i="44"/>
  <c r="H48" i="44"/>
  <c r="H78" i="6" s="1"/>
  <c r="H157" i="6" s="1"/>
  <c r="N48" i="44"/>
  <c r="N78" i="6" s="1"/>
  <c r="N157" i="6" s="1"/>
  <c r="L70" i="44"/>
  <c r="I70" i="44"/>
  <c r="E55" i="44"/>
  <c r="I76" i="44"/>
  <c r="P70" i="44"/>
  <c r="O70" i="44"/>
  <c r="K55" i="44"/>
  <c r="K76" i="44"/>
  <c r="E70" i="44"/>
  <c r="M55" i="44"/>
  <c r="N70" i="44"/>
  <c r="M70" i="44"/>
  <c r="M69" i="44"/>
  <c r="J76" i="44"/>
  <c r="K69" i="44"/>
  <c r="P55" i="44"/>
  <c r="J69" i="44"/>
  <c r="L76" i="44"/>
  <c r="I69" i="44"/>
  <c r="P76" i="44"/>
  <c r="G69" i="44"/>
  <c r="G55" i="44"/>
  <c r="H76" i="44"/>
  <c r="F69" i="44"/>
  <c r="D97" i="44"/>
  <c r="H97" i="44" s="1"/>
  <c r="N69" i="44"/>
  <c r="H55" i="44"/>
  <c r="O76" i="44"/>
  <c r="E69" i="44"/>
  <c r="D58" i="44"/>
  <c r="L98" i="44"/>
  <c r="L55" i="44"/>
  <c r="P69" i="44"/>
  <c r="D83" i="44"/>
  <c r="P83" i="44" s="1"/>
  <c r="P99" i="6" s="1"/>
  <c r="F55" i="44"/>
  <c r="E99" i="44"/>
  <c r="J98" i="44"/>
  <c r="D79" i="44"/>
  <c r="L99" i="44"/>
  <c r="L78" i="44"/>
  <c r="N78" i="44"/>
  <c r="J77" i="44"/>
  <c r="M77" i="44"/>
  <c r="K77" i="44"/>
  <c r="E50" i="44"/>
  <c r="E78" i="8" s="1"/>
  <c r="M78" i="44"/>
  <c r="N50" i="44"/>
  <c r="N78" i="8" s="1"/>
  <c r="O78" i="44"/>
  <c r="I99" i="44"/>
  <c r="F99" i="44"/>
  <c r="N77" i="44"/>
  <c r="E98" i="44"/>
  <c r="N49" i="44"/>
  <c r="N78" i="22" s="1"/>
  <c r="I77" i="44"/>
  <c r="K50" i="44"/>
  <c r="K78" i="8" s="1"/>
  <c r="J78" i="44"/>
  <c r="I98" i="44"/>
  <c r="D36" i="44"/>
  <c r="M99" i="44"/>
  <c r="D106" i="44"/>
  <c r="H99" i="44"/>
  <c r="K99" i="44"/>
  <c r="O98" i="44"/>
  <c r="P78" i="44"/>
  <c r="I78" i="44"/>
  <c r="H78" i="44"/>
  <c r="H77" i="44"/>
  <c r="F78" i="44"/>
  <c r="K49" i="44"/>
  <c r="K78" i="22" s="1"/>
  <c r="H49" i="44"/>
  <c r="H78" i="22" s="1"/>
  <c r="H84" i="44"/>
  <c r="H99" i="22" s="1"/>
  <c r="G84" i="44"/>
  <c r="G99" i="22" s="1"/>
  <c r="F84" i="44"/>
  <c r="F99" i="22" s="1"/>
  <c r="E84" i="44"/>
  <c r="E99" i="22" s="1"/>
  <c r="P84" i="44"/>
  <c r="P99" i="22" s="1"/>
  <c r="O84" i="44"/>
  <c r="O99" i="22" s="1"/>
  <c r="K84" i="44"/>
  <c r="K99" i="22" s="1"/>
  <c r="I84" i="44"/>
  <c r="I99" i="22" s="1"/>
  <c r="N84" i="44"/>
  <c r="N99" i="22" s="1"/>
  <c r="M84" i="44"/>
  <c r="M99" i="22" s="1"/>
  <c r="L84" i="44"/>
  <c r="L99" i="22" s="1"/>
  <c r="J84" i="44"/>
  <c r="J99" i="22" s="1"/>
  <c r="K98" i="44"/>
  <c r="D105" i="44"/>
  <c r="M98" i="44"/>
  <c r="D35" i="44"/>
  <c r="P77" i="44"/>
  <c r="O77" i="44"/>
  <c r="G77" i="44"/>
  <c r="F77" i="44"/>
  <c r="E77" i="44"/>
  <c r="G98" i="44"/>
  <c r="D51" i="44"/>
  <c r="L77" i="44"/>
  <c r="P98" i="44"/>
  <c r="J85" i="44"/>
  <c r="J99" i="8" s="1"/>
  <c r="I85" i="44"/>
  <c r="I99" i="8" s="1"/>
  <c r="H85" i="44"/>
  <c r="H99" i="8" s="1"/>
  <c r="G85" i="44"/>
  <c r="G99" i="8" s="1"/>
  <c r="F85" i="44"/>
  <c r="F99" i="8" s="1"/>
  <c r="E85" i="44"/>
  <c r="E99" i="8" s="1"/>
  <c r="L85" i="44"/>
  <c r="L99" i="8" s="1"/>
  <c r="P85" i="44"/>
  <c r="P99" i="8" s="1"/>
  <c r="O85" i="44"/>
  <c r="O99" i="8" s="1"/>
  <c r="N85" i="44"/>
  <c r="N99" i="8" s="1"/>
  <c r="M85" i="44"/>
  <c r="M99" i="8" s="1"/>
  <c r="K85" i="44"/>
  <c r="K99" i="8" s="1"/>
  <c r="F98" i="44"/>
  <c r="P99" i="44"/>
  <c r="N98" i="44"/>
  <c r="K78" i="44"/>
  <c r="N99" i="44"/>
  <c r="O99" i="44"/>
  <c r="J99" i="44"/>
  <c r="G78" i="44"/>
  <c r="K43" i="44"/>
  <c r="I42" i="44"/>
  <c r="G41" i="44"/>
  <c r="P41" i="44"/>
  <c r="N41" i="44"/>
  <c r="J43" i="44"/>
  <c r="H42" i="44"/>
  <c r="F41" i="44"/>
  <c r="I43" i="44"/>
  <c r="P42" i="44"/>
  <c r="O42" i="44"/>
  <c r="G42" i="44"/>
  <c r="E41" i="44"/>
  <c r="F43" i="44"/>
  <c r="M43" i="44"/>
  <c r="I41" i="44"/>
  <c r="J42" i="44"/>
  <c r="H43" i="44"/>
  <c r="F42" i="44"/>
  <c r="E43" i="44"/>
  <c r="O41" i="44"/>
  <c r="M41" i="44"/>
  <c r="L43" i="44"/>
  <c r="H41" i="44"/>
  <c r="G43" i="44"/>
  <c r="E42" i="44"/>
  <c r="P43" i="44"/>
  <c r="N42" i="44"/>
  <c r="L41" i="44"/>
  <c r="O43" i="44"/>
  <c r="M42" i="44"/>
  <c r="K41" i="44"/>
  <c r="N43" i="44"/>
  <c r="L42" i="44"/>
  <c r="J41" i="44"/>
  <c r="K42" i="44"/>
  <c r="E6" i="44"/>
  <c r="O4" i="44"/>
  <c r="N6" i="44"/>
  <c r="J4" i="44"/>
  <c r="K6" i="44"/>
  <c r="P5" i="44"/>
  <c r="N4" i="44"/>
  <c r="M6" i="44"/>
  <c r="I5" i="44"/>
  <c r="F6" i="44"/>
  <c r="O5" i="44"/>
  <c r="M4" i="44"/>
  <c r="L5" i="44"/>
  <c r="I4" i="44"/>
  <c r="L6" i="44"/>
  <c r="E5" i="44"/>
  <c r="P6" i="44"/>
  <c r="N5" i="44"/>
  <c r="L4" i="44"/>
  <c r="K5" i="44"/>
  <c r="J5" i="44"/>
  <c r="G4" i="44"/>
  <c r="P4" i="44"/>
  <c r="O6" i="44"/>
  <c r="M5" i="44"/>
  <c r="K4" i="44"/>
  <c r="H4" i="44"/>
  <c r="G6" i="44"/>
  <c r="J6" i="44"/>
  <c r="H5" i="44"/>
  <c r="F4" i="44"/>
  <c r="I6" i="44"/>
  <c r="G5" i="44"/>
  <c r="E4" i="44"/>
  <c r="H6" i="44"/>
  <c r="F5" i="44"/>
  <c r="F126" i="6"/>
  <c r="P10" i="8"/>
  <c r="O10" i="8"/>
  <c r="N10" i="8"/>
  <c r="M10" i="8"/>
  <c r="L10" i="8"/>
  <c r="K10" i="8"/>
  <c r="J10" i="8"/>
  <c r="I10" i="8"/>
  <c r="H10" i="8"/>
  <c r="G10" i="8"/>
  <c r="F10" i="8"/>
  <c r="E10" i="8"/>
  <c r="P10" i="22"/>
  <c r="O10" i="22"/>
  <c r="N10" i="22"/>
  <c r="M10" i="22"/>
  <c r="L10" i="22"/>
  <c r="K10" i="22"/>
  <c r="J10" i="22"/>
  <c r="I10" i="22"/>
  <c r="H10" i="22"/>
  <c r="G10" i="22"/>
  <c r="F10" i="22"/>
  <c r="E10" i="22"/>
  <c r="P10" i="6"/>
  <c r="O10" i="6"/>
  <c r="N10" i="6"/>
  <c r="M10" i="6"/>
  <c r="L10" i="6"/>
  <c r="K10" i="6"/>
  <c r="J10" i="6"/>
  <c r="I10" i="6"/>
  <c r="H10" i="6"/>
  <c r="G10" i="6"/>
  <c r="F10" i="6"/>
  <c r="E10" i="6"/>
  <c r="P86" i="8"/>
  <c r="O86" i="8"/>
  <c r="N86" i="8"/>
  <c r="M86" i="8"/>
  <c r="L86" i="8"/>
  <c r="K86" i="8"/>
  <c r="J86" i="8"/>
  <c r="I86" i="8"/>
  <c r="H86" i="8"/>
  <c r="G86" i="8"/>
  <c r="F86" i="8"/>
  <c r="E86" i="8"/>
  <c r="P86" i="22"/>
  <c r="O86" i="22"/>
  <c r="N86" i="22"/>
  <c r="M86" i="22"/>
  <c r="L86" i="22"/>
  <c r="K86" i="22"/>
  <c r="J86" i="22"/>
  <c r="I86" i="22"/>
  <c r="H86" i="22"/>
  <c r="G86" i="22"/>
  <c r="F86" i="22"/>
  <c r="E86" i="22"/>
  <c r="P86" i="6"/>
  <c r="O86" i="6"/>
  <c r="N86" i="6"/>
  <c r="M86" i="6"/>
  <c r="L86" i="6"/>
  <c r="K86" i="6"/>
  <c r="J86" i="6"/>
  <c r="I86" i="6"/>
  <c r="H86" i="6"/>
  <c r="G86" i="6"/>
  <c r="F86" i="6"/>
  <c r="E86" i="6"/>
  <c r="N35" i="6"/>
  <c r="J35" i="6"/>
  <c r="F35" i="6"/>
  <c r="F119" i="27"/>
  <c r="G119" i="27"/>
  <c r="H119" i="27"/>
  <c r="I119" i="27"/>
  <c r="J119" i="27"/>
  <c r="K119" i="27"/>
  <c r="L119" i="27"/>
  <c r="M119" i="27"/>
  <c r="N119" i="27"/>
  <c r="O119" i="27"/>
  <c r="P119" i="27"/>
  <c r="E119" i="27"/>
  <c r="Q157" i="6" l="1"/>
  <c r="F170" i="6"/>
  <c r="D14" i="44"/>
  <c r="O97" i="44"/>
  <c r="P97" i="44"/>
  <c r="L97" i="44"/>
  <c r="D86" i="44"/>
  <c r="I83" i="44"/>
  <c r="I99" i="6" s="1"/>
  <c r="J83" i="44"/>
  <c r="J99" i="6" s="1"/>
  <c r="H83" i="44"/>
  <c r="H99" i="6" s="1"/>
  <c r="K83" i="44"/>
  <c r="K99" i="6" s="1"/>
  <c r="L83" i="44"/>
  <c r="L99" i="6" s="1"/>
  <c r="M97" i="44"/>
  <c r="I97" i="44"/>
  <c r="E51" i="44"/>
  <c r="K97" i="44"/>
  <c r="D104" i="44"/>
  <c r="M104" i="44" s="1"/>
  <c r="D34" i="44"/>
  <c r="D37" i="44" s="1"/>
  <c r="F97" i="44"/>
  <c r="M83" i="44"/>
  <c r="M99" i="6" s="1"/>
  <c r="N97" i="44"/>
  <c r="N83" i="44"/>
  <c r="N99" i="6" s="1"/>
  <c r="O83" i="44"/>
  <c r="O99" i="6" s="1"/>
  <c r="G83" i="44"/>
  <c r="G99" i="6" s="1"/>
  <c r="E97" i="44"/>
  <c r="J97" i="44"/>
  <c r="E83" i="44"/>
  <c r="E99" i="6" s="1"/>
  <c r="F83" i="44"/>
  <c r="F99" i="6" s="1"/>
  <c r="D100" i="44"/>
  <c r="G97" i="44"/>
  <c r="Q50" i="44"/>
  <c r="Q49" i="44"/>
  <c r="Q85" i="44"/>
  <c r="H35" i="44"/>
  <c r="H69" i="22" s="1"/>
  <c r="N35" i="44"/>
  <c r="N69" i="22" s="1"/>
  <c r="E35" i="44"/>
  <c r="K35" i="44"/>
  <c r="K69" i="22" s="1"/>
  <c r="J105" i="44"/>
  <c r="F105" i="44"/>
  <c r="L105" i="44"/>
  <c r="H105" i="44"/>
  <c r="M105" i="44"/>
  <c r="E105" i="44"/>
  <c r="P105" i="44"/>
  <c r="N105" i="44"/>
  <c r="O105" i="44"/>
  <c r="I105" i="44"/>
  <c r="K105" i="44"/>
  <c r="G105" i="44"/>
  <c r="O106" i="44"/>
  <c r="P106" i="44"/>
  <c r="F106" i="44"/>
  <c r="M106" i="44"/>
  <c r="I106" i="44"/>
  <c r="N106" i="44"/>
  <c r="E106" i="44"/>
  <c r="J106" i="44"/>
  <c r="K106" i="44"/>
  <c r="G106" i="44"/>
  <c r="L106" i="44"/>
  <c r="H106" i="44"/>
  <c r="Q84" i="44"/>
  <c r="N36" i="44"/>
  <c r="N69" i="8" s="1"/>
  <c r="H36" i="44"/>
  <c r="H69" i="8" s="1"/>
  <c r="E36" i="44"/>
  <c r="K36" i="44"/>
  <c r="K69" i="8" s="1"/>
  <c r="F37" i="44"/>
  <c r="F51" i="44"/>
  <c r="G126" i="6"/>
  <c r="F111" i="27"/>
  <c r="G111" i="27"/>
  <c r="H111" i="27"/>
  <c r="I111" i="27"/>
  <c r="J111" i="27"/>
  <c r="K111" i="27"/>
  <c r="L111" i="27"/>
  <c r="M111" i="27"/>
  <c r="N111" i="27"/>
  <c r="O111" i="27"/>
  <c r="P111" i="27"/>
  <c r="F112" i="27"/>
  <c r="G112" i="27"/>
  <c r="H112" i="27"/>
  <c r="I112" i="27"/>
  <c r="J112" i="27"/>
  <c r="K112" i="27"/>
  <c r="L112" i="27"/>
  <c r="M112" i="27"/>
  <c r="N112" i="27"/>
  <c r="O112" i="27"/>
  <c r="P112" i="27"/>
  <c r="F113" i="27"/>
  <c r="G113" i="27"/>
  <c r="H113" i="27"/>
  <c r="I113" i="27"/>
  <c r="J113" i="27"/>
  <c r="K113" i="27"/>
  <c r="L113" i="27"/>
  <c r="M113" i="27"/>
  <c r="N113" i="27"/>
  <c r="O113" i="27"/>
  <c r="P113" i="27"/>
  <c r="F114" i="27"/>
  <c r="G114" i="27"/>
  <c r="H114" i="27"/>
  <c r="I114" i="27"/>
  <c r="J114" i="27"/>
  <c r="K114" i="27"/>
  <c r="L114" i="27"/>
  <c r="M114" i="27"/>
  <c r="N114" i="27"/>
  <c r="O114" i="27"/>
  <c r="P114" i="27"/>
  <c r="E114" i="27"/>
  <c r="E113" i="27"/>
  <c r="E112" i="27"/>
  <c r="E111" i="27"/>
  <c r="F82" i="27"/>
  <c r="G82" i="27"/>
  <c r="H82" i="27"/>
  <c r="I82" i="27"/>
  <c r="J82" i="27"/>
  <c r="K82" i="27"/>
  <c r="L82" i="27"/>
  <c r="M82" i="27"/>
  <c r="N82" i="27"/>
  <c r="O82" i="27"/>
  <c r="P82" i="27"/>
  <c r="F83" i="27"/>
  <c r="G83" i="27"/>
  <c r="H83" i="27"/>
  <c r="I83" i="27"/>
  <c r="J83" i="27"/>
  <c r="K83" i="27"/>
  <c r="L83" i="27"/>
  <c r="M83" i="27"/>
  <c r="N83" i="27"/>
  <c r="O83" i="27"/>
  <c r="P83" i="27"/>
  <c r="F86" i="27"/>
  <c r="G86" i="27"/>
  <c r="H86" i="27"/>
  <c r="I86" i="27"/>
  <c r="J86" i="27"/>
  <c r="K86" i="27"/>
  <c r="L86" i="27"/>
  <c r="M86" i="27"/>
  <c r="N86" i="27"/>
  <c r="O86" i="27"/>
  <c r="P86" i="27"/>
  <c r="F87" i="27"/>
  <c r="G87" i="27"/>
  <c r="H87" i="27"/>
  <c r="I87" i="27"/>
  <c r="J87" i="27"/>
  <c r="K87" i="27"/>
  <c r="L87" i="27"/>
  <c r="M87" i="27"/>
  <c r="N87" i="27"/>
  <c r="O87" i="27"/>
  <c r="P87" i="27"/>
  <c r="E87" i="27"/>
  <c r="E86" i="27"/>
  <c r="E83" i="27"/>
  <c r="E82" i="27"/>
  <c r="F75" i="27"/>
  <c r="G75" i="27"/>
  <c r="H75" i="27"/>
  <c r="I75" i="27"/>
  <c r="J75" i="27"/>
  <c r="K75" i="27"/>
  <c r="L75" i="27"/>
  <c r="M75" i="27"/>
  <c r="N75" i="27"/>
  <c r="O75" i="27"/>
  <c r="P75" i="27"/>
  <c r="F78" i="27"/>
  <c r="G78" i="27"/>
  <c r="I78" i="27"/>
  <c r="J78" i="27"/>
  <c r="L78" i="27"/>
  <c r="M78" i="27"/>
  <c r="O78" i="27"/>
  <c r="P78" i="27"/>
  <c r="F81" i="27"/>
  <c r="G81" i="27"/>
  <c r="H81" i="27"/>
  <c r="I81" i="27"/>
  <c r="J81" i="27"/>
  <c r="K81" i="27"/>
  <c r="L81" i="27"/>
  <c r="M81" i="27"/>
  <c r="N81" i="27"/>
  <c r="O81" i="27"/>
  <c r="P81" i="27"/>
  <c r="E81" i="27"/>
  <c r="E75" i="27"/>
  <c r="F69" i="27"/>
  <c r="G69" i="27"/>
  <c r="I69" i="27"/>
  <c r="J69" i="27"/>
  <c r="L69" i="27"/>
  <c r="M69" i="27"/>
  <c r="O69" i="27"/>
  <c r="P69" i="27"/>
  <c r="F52" i="27"/>
  <c r="G52" i="27"/>
  <c r="H52" i="27"/>
  <c r="I52" i="27"/>
  <c r="J52" i="27"/>
  <c r="K52" i="27"/>
  <c r="L52" i="27"/>
  <c r="M52" i="27"/>
  <c r="N52" i="27"/>
  <c r="O52" i="27"/>
  <c r="P52" i="27"/>
  <c r="F56" i="27"/>
  <c r="G56" i="27"/>
  <c r="H56" i="27"/>
  <c r="I56" i="27"/>
  <c r="J56" i="27"/>
  <c r="K56" i="27"/>
  <c r="L56" i="27"/>
  <c r="M56" i="27"/>
  <c r="N56" i="27"/>
  <c r="O56" i="27"/>
  <c r="P56" i="27"/>
  <c r="E56" i="27"/>
  <c r="E52" i="27"/>
  <c r="F47" i="27"/>
  <c r="G47" i="27"/>
  <c r="H47" i="27"/>
  <c r="I47" i="27"/>
  <c r="J47" i="27"/>
  <c r="K47" i="27"/>
  <c r="L47" i="27"/>
  <c r="M47" i="27"/>
  <c r="N47" i="27"/>
  <c r="O47" i="27"/>
  <c r="P47" i="27"/>
  <c r="F48" i="27"/>
  <c r="G48" i="27"/>
  <c r="H48" i="27"/>
  <c r="I48" i="27"/>
  <c r="J48" i="27"/>
  <c r="K48" i="27"/>
  <c r="L48" i="27"/>
  <c r="M48" i="27"/>
  <c r="N48" i="27"/>
  <c r="O48" i="27"/>
  <c r="P48" i="27"/>
  <c r="F49" i="27"/>
  <c r="G49" i="27"/>
  <c r="H49" i="27"/>
  <c r="I49" i="27"/>
  <c r="J49" i="27"/>
  <c r="K49" i="27"/>
  <c r="L49" i="27"/>
  <c r="M49" i="27"/>
  <c r="N49" i="27"/>
  <c r="O49" i="27"/>
  <c r="P49" i="27"/>
  <c r="E49" i="27"/>
  <c r="E48" i="27"/>
  <c r="E47" i="27"/>
  <c r="F45" i="27"/>
  <c r="G45" i="27"/>
  <c r="H45" i="27"/>
  <c r="I45" i="27"/>
  <c r="J45" i="27"/>
  <c r="K45" i="27"/>
  <c r="L45" i="27"/>
  <c r="M45" i="27"/>
  <c r="N45" i="27"/>
  <c r="O45" i="27"/>
  <c r="P45" i="27"/>
  <c r="E45" i="27"/>
  <c r="F40" i="27"/>
  <c r="G40" i="27"/>
  <c r="H40" i="27"/>
  <c r="I40" i="27"/>
  <c r="J40" i="27"/>
  <c r="K40" i="27"/>
  <c r="L40" i="27"/>
  <c r="M40" i="27"/>
  <c r="N40" i="27"/>
  <c r="O40" i="27"/>
  <c r="P40" i="27"/>
  <c r="F41" i="27"/>
  <c r="G41" i="27"/>
  <c r="H41" i="27"/>
  <c r="I41" i="27"/>
  <c r="J41" i="27"/>
  <c r="K41" i="27"/>
  <c r="L41" i="27"/>
  <c r="M41" i="27"/>
  <c r="N41" i="27"/>
  <c r="O41" i="27"/>
  <c r="P41" i="27"/>
  <c r="F42" i="27"/>
  <c r="G42" i="27"/>
  <c r="H42" i="27"/>
  <c r="I42" i="27"/>
  <c r="J42" i="27"/>
  <c r="K42" i="27"/>
  <c r="L42" i="27"/>
  <c r="M42" i="27"/>
  <c r="N42" i="27"/>
  <c r="O42" i="27"/>
  <c r="P42" i="27"/>
  <c r="E42" i="27"/>
  <c r="E41" i="27"/>
  <c r="E40" i="27"/>
  <c r="F38" i="27"/>
  <c r="G38" i="27"/>
  <c r="H38" i="27"/>
  <c r="I38" i="27"/>
  <c r="J38" i="27"/>
  <c r="K38" i="27"/>
  <c r="L38" i="27"/>
  <c r="M38" i="27"/>
  <c r="N38" i="27"/>
  <c r="O38" i="27"/>
  <c r="P38" i="27"/>
  <c r="E38" i="27"/>
  <c r="F33" i="27"/>
  <c r="G33" i="27"/>
  <c r="H33" i="27"/>
  <c r="I33" i="27"/>
  <c r="J33" i="27"/>
  <c r="K33" i="27"/>
  <c r="L33" i="27"/>
  <c r="M33" i="27"/>
  <c r="N33" i="27"/>
  <c r="O33" i="27"/>
  <c r="P33" i="27"/>
  <c r="F34" i="27"/>
  <c r="G34" i="27"/>
  <c r="H34" i="27"/>
  <c r="I34" i="27"/>
  <c r="J34" i="27"/>
  <c r="K34" i="27"/>
  <c r="L34" i="27"/>
  <c r="M34" i="27"/>
  <c r="N34" i="27"/>
  <c r="O34" i="27"/>
  <c r="P34" i="27"/>
  <c r="F35" i="27"/>
  <c r="G35" i="27"/>
  <c r="H35" i="27"/>
  <c r="I35" i="27"/>
  <c r="J35" i="27"/>
  <c r="K35" i="27"/>
  <c r="L35" i="27"/>
  <c r="M35" i="27"/>
  <c r="N35" i="27"/>
  <c r="O35" i="27"/>
  <c r="P35" i="27"/>
  <c r="E35" i="27"/>
  <c r="E34" i="27"/>
  <c r="E33" i="27"/>
  <c r="F29" i="27"/>
  <c r="G29" i="27"/>
  <c r="H29" i="27"/>
  <c r="I29" i="27"/>
  <c r="J29" i="27"/>
  <c r="K29" i="27"/>
  <c r="L29" i="27"/>
  <c r="M29" i="27"/>
  <c r="N29" i="27"/>
  <c r="O29" i="27"/>
  <c r="P29" i="27"/>
  <c r="F31" i="27"/>
  <c r="G31" i="27"/>
  <c r="H31" i="27"/>
  <c r="I31" i="27"/>
  <c r="J31" i="27"/>
  <c r="K31" i="27"/>
  <c r="L31" i="27"/>
  <c r="M31" i="27"/>
  <c r="N31" i="27"/>
  <c r="O31" i="27"/>
  <c r="P31" i="27"/>
  <c r="E31" i="27"/>
  <c r="E29" i="27"/>
  <c r="F21" i="27"/>
  <c r="G21" i="27"/>
  <c r="H21" i="27"/>
  <c r="I21" i="27"/>
  <c r="J21" i="27"/>
  <c r="K21" i="27"/>
  <c r="L21" i="27"/>
  <c r="M21" i="27"/>
  <c r="N21" i="27"/>
  <c r="O21" i="27"/>
  <c r="P21" i="27"/>
  <c r="E21" i="27"/>
  <c r="F12" i="27"/>
  <c r="G12" i="27"/>
  <c r="H12" i="27"/>
  <c r="I12" i="27"/>
  <c r="J12" i="27"/>
  <c r="K12" i="27"/>
  <c r="L12" i="27"/>
  <c r="M12" i="27"/>
  <c r="N12" i="27"/>
  <c r="O12" i="27"/>
  <c r="P12" i="27"/>
  <c r="F13" i="27"/>
  <c r="G13" i="27"/>
  <c r="H13" i="27"/>
  <c r="I13" i="27"/>
  <c r="J13" i="27"/>
  <c r="K13" i="27"/>
  <c r="L13" i="27"/>
  <c r="M13" i="27"/>
  <c r="N13" i="27"/>
  <c r="O13" i="27"/>
  <c r="P13" i="27"/>
  <c r="F14" i="27"/>
  <c r="G14" i="27"/>
  <c r="H14" i="27"/>
  <c r="I14" i="27"/>
  <c r="J14" i="27"/>
  <c r="K14" i="27"/>
  <c r="L14" i="27"/>
  <c r="M14" i="27"/>
  <c r="N14" i="27"/>
  <c r="O14" i="27"/>
  <c r="P14" i="27"/>
  <c r="E14" i="27"/>
  <c r="E13" i="27"/>
  <c r="E12" i="27"/>
  <c r="G170" i="6" l="1"/>
  <c r="E34" i="44"/>
  <c r="K88" i="27"/>
  <c r="J88" i="27"/>
  <c r="K34" i="44"/>
  <c r="K69" i="6" s="1"/>
  <c r="G104" i="44"/>
  <c r="I104" i="44"/>
  <c r="I107" i="44" s="1"/>
  <c r="D107" i="44"/>
  <c r="H34" i="44"/>
  <c r="H69" i="6" s="1"/>
  <c r="N34" i="44"/>
  <c r="N69" i="6" s="1"/>
  <c r="F86" i="44"/>
  <c r="L104" i="44"/>
  <c r="K104" i="44"/>
  <c r="K107" i="44" s="1"/>
  <c r="P104" i="44"/>
  <c r="P107" i="44" s="1"/>
  <c r="O104" i="44"/>
  <c r="O107" i="44" s="1"/>
  <c r="F104" i="44"/>
  <c r="F107" i="44" s="1"/>
  <c r="E86" i="44"/>
  <c r="J104" i="44"/>
  <c r="J107" i="44" s="1"/>
  <c r="H104" i="44"/>
  <c r="H107" i="44" s="1"/>
  <c r="E104" i="44"/>
  <c r="E107" i="44" s="1"/>
  <c r="N104" i="44"/>
  <c r="N107" i="44" s="1"/>
  <c r="I88" i="27"/>
  <c r="I84" i="27"/>
  <c r="N88" i="27"/>
  <c r="M88" i="27"/>
  <c r="L88" i="27"/>
  <c r="Q106" i="44"/>
  <c r="G107" i="44"/>
  <c r="E69" i="6"/>
  <c r="E155" i="6" s="1"/>
  <c r="E37" i="44"/>
  <c r="E69" i="22"/>
  <c r="Q35" i="44"/>
  <c r="E69" i="8"/>
  <c r="Q36" i="44"/>
  <c r="M107" i="44"/>
  <c r="Q105" i="44"/>
  <c r="G37" i="44"/>
  <c r="G86" i="44"/>
  <c r="G51" i="44"/>
  <c r="K84" i="27"/>
  <c r="J84" i="27"/>
  <c r="G88" i="27"/>
  <c r="H88" i="27"/>
  <c r="F88" i="27"/>
  <c r="F84" i="27"/>
  <c r="H84" i="27"/>
  <c r="P84" i="27"/>
  <c r="N84" i="27"/>
  <c r="M84" i="27"/>
  <c r="L84" i="27"/>
  <c r="G84" i="27"/>
  <c r="O84" i="27"/>
  <c r="H126" i="6"/>
  <c r="P88" i="27"/>
  <c r="O88" i="27"/>
  <c r="K69" i="27" l="1"/>
  <c r="K155" i="6"/>
  <c r="N69" i="27"/>
  <c r="N155" i="6"/>
  <c r="H170" i="6"/>
  <c r="H69" i="27"/>
  <c r="H155" i="6"/>
  <c r="Q104" i="44"/>
  <c r="Q107" i="44" s="1"/>
  <c r="L107" i="44"/>
  <c r="E69" i="27"/>
  <c r="H37" i="44"/>
  <c r="H86" i="44"/>
  <c r="H51" i="44"/>
  <c r="I126" i="6"/>
  <c r="Q155" i="6" l="1"/>
  <c r="I170" i="6"/>
  <c r="I37" i="44"/>
  <c r="I86" i="44"/>
  <c r="I51" i="44"/>
  <c r="J126" i="6"/>
  <c r="J170" i="6" l="1"/>
  <c r="J37" i="44"/>
  <c r="J86" i="44"/>
  <c r="J51" i="44"/>
  <c r="K126" i="6"/>
  <c r="K170" i="6" l="1"/>
  <c r="K37" i="44"/>
  <c r="K86" i="44"/>
  <c r="K51" i="44"/>
  <c r="L126" i="6"/>
  <c r="L170" i="6" l="1"/>
  <c r="L37" i="44"/>
  <c r="L86" i="44"/>
  <c r="L51" i="44"/>
  <c r="M126" i="6"/>
  <c r="M170" i="6" l="1"/>
  <c r="M37" i="44"/>
  <c r="M86" i="44"/>
  <c r="M51" i="44"/>
  <c r="N126" i="6"/>
  <c r="N170" i="6" l="1"/>
  <c r="N37" i="44"/>
  <c r="N86" i="44"/>
  <c r="N51" i="44"/>
  <c r="O126" i="6"/>
  <c r="O170" i="6" l="1"/>
  <c r="O37" i="44"/>
  <c r="O86" i="44"/>
  <c r="O51" i="44"/>
  <c r="P126" i="6"/>
  <c r="P170" i="6" l="1"/>
  <c r="Q170" i="6" s="1"/>
  <c r="P37" i="44"/>
  <c r="Q34" i="44"/>
  <c r="Q37" i="44" s="1"/>
  <c r="P86" i="44"/>
  <c r="Q83" i="44"/>
  <c r="Q86" i="44" s="1"/>
  <c r="P51" i="44"/>
  <c r="Q48" i="44"/>
  <c r="Q51" i="44" s="1"/>
  <c r="R114" i="8" l="1"/>
  <c r="R23" i="8"/>
  <c r="R113" i="8"/>
  <c r="R23" i="22"/>
  <c r="R73" i="22"/>
  <c r="R23" i="6"/>
  <c r="V53" i="41" a="1"/>
  <c r="V53" i="41" s="1"/>
  <c r="V31" i="41" a="1"/>
  <c r="V31" i="41" s="1"/>
  <c r="V9" i="41" a="1"/>
  <c r="V9" i="41" s="1"/>
  <c r="AH9" i="41" a="1"/>
  <c r="AH9" i="41" s="1"/>
  <c r="E6" i="6" s="1"/>
  <c r="AH10" i="41" a="1"/>
  <c r="AH10" i="41" s="1"/>
  <c r="AH11" i="41" a="1"/>
  <c r="AH11" i="41" s="1"/>
  <c r="AS52" i="41"/>
  <c r="AR52" i="41"/>
  <c r="AQ52" i="41"/>
  <c r="AP52" i="41"/>
  <c r="AO52" i="41"/>
  <c r="AN52" i="41"/>
  <c r="AM52" i="41"/>
  <c r="AL52" i="41"/>
  <c r="AK52" i="41"/>
  <c r="AJ52" i="41"/>
  <c r="AI52" i="41"/>
  <c r="AH52" i="41"/>
  <c r="AI30" i="41"/>
  <c r="AJ30" i="41"/>
  <c r="AK30" i="41"/>
  <c r="AL30" i="41"/>
  <c r="AM30" i="41"/>
  <c r="AN30" i="41"/>
  <c r="AO30" i="41"/>
  <c r="AP30" i="41"/>
  <c r="AQ30" i="41"/>
  <c r="AR30" i="41"/>
  <c r="AS30" i="41"/>
  <c r="AH30" i="41"/>
  <c r="E7" i="6" l="1"/>
  <c r="E11" i="44" s="1"/>
  <c r="E18" i="6"/>
  <c r="R111" i="8"/>
  <c r="R73" i="8"/>
  <c r="F6" i="8"/>
  <c r="G6" i="8"/>
  <c r="P6" i="8"/>
  <c r="O6" i="8"/>
  <c r="E6" i="8"/>
  <c r="M6" i="8"/>
  <c r="L6" i="8"/>
  <c r="K6" i="8"/>
  <c r="N6" i="8"/>
  <c r="J6" i="8"/>
  <c r="I6" i="8"/>
  <c r="H6" i="8"/>
  <c r="O6" i="6"/>
  <c r="N6" i="6"/>
  <c r="L6" i="6"/>
  <c r="K6" i="6"/>
  <c r="J6" i="6"/>
  <c r="I6" i="6"/>
  <c r="H6" i="6"/>
  <c r="G6" i="6"/>
  <c r="M6" i="6"/>
  <c r="F6" i="6"/>
  <c r="P6" i="6"/>
  <c r="AH31" i="41" a="1"/>
  <c r="N7" i="8" l="1"/>
  <c r="N18" i="8"/>
  <c r="N138" i="8" s="1"/>
  <c r="E7" i="8"/>
  <c r="E18" i="8"/>
  <c r="E138" i="8" s="1"/>
  <c r="O7" i="8"/>
  <c r="O18" i="8"/>
  <c r="O138" i="8" s="1"/>
  <c r="G7" i="8"/>
  <c r="G18" i="8"/>
  <c r="G138" i="8" s="1"/>
  <c r="H7" i="8"/>
  <c r="H18" i="8"/>
  <c r="H138" i="8" s="1"/>
  <c r="J7" i="8"/>
  <c r="J18" i="8"/>
  <c r="J138" i="8" s="1"/>
  <c r="K7" i="8"/>
  <c r="K18" i="8"/>
  <c r="K138" i="8" s="1"/>
  <c r="L7" i="8"/>
  <c r="L18" i="8"/>
  <c r="L138" i="8" s="1"/>
  <c r="M7" i="8"/>
  <c r="M18" i="8"/>
  <c r="M138" i="8" s="1"/>
  <c r="P7" i="8"/>
  <c r="P18" i="8"/>
  <c r="P138" i="8" s="1"/>
  <c r="F7" i="8"/>
  <c r="F18" i="8"/>
  <c r="F138" i="8" s="1"/>
  <c r="I7" i="8"/>
  <c r="I18" i="8"/>
  <c r="I138" i="8" s="1"/>
  <c r="G7" i="6"/>
  <c r="G18" i="6"/>
  <c r="E27" i="44"/>
  <c r="P7" i="6"/>
  <c r="P18" i="6"/>
  <c r="F7" i="6"/>
  <c r="F18" i="6"/>
  <c r="M7" i="6"/>
  <c r="M18" i="6"/>
  <c r="H7" i="6"/>
  <c r="H18" i="6"/>
  <c r="I7" i="6"/>
  <c r="I18" i="6"/>
  <c r="J7" i="6"/>
  <c r="J18" i="6"/>
  <c r="K7" i="6"/>
  <c r="K18" i="6"/>
  <c r="L7" i="6"/>
  <c r="L18" i="6"/>
  <c r="N7" i="6"/>
  <c r="N18" i="6"/>
  <c r="O7" i="6"/>
  <c r="O18" i="6"/>
  <c r="AH31" i="41"/>
  <c r="F6" i="22"/>
  <c r="G6" i="22"/>
  <c r="H6" i="22"/>
  <c r="I6" i="22"/>
  <c r="J6" i="22"/>
  <c r="K6" i="22"/>
  <c r="L6" i="22"/>
  <c r="M6" i="22"/>
  <c r="N6" i="22"/>
  <c r="O6" i="22"/>
  <c r="P6" i="22"/>
  <c r="Q138" i="8" l="1"/>
  <c r="K13" i="44"/>
  <c r="K29" i="44"/>
  <c r="K66" i="8" s="1"/>
  <c r="Q18" i="8"/>
  <c r="T18" i="8" s="1"/>
  <c r="M13" i="44"/>
  <c r="M29" i="44"/>
  <c r="M66" i="8" s="1"/>
  <c r="J13" i="44"/>
  <c r="J29" i="44"/>
  <c r="J66" i="8" s="1"/>
  <c r="I13" i="44"/>
  <c r="I29" i="44"/>
  <c r="I66" i="8" s="1"/>
  <c r="H13" i="44"/>
  <c r="H29" i="44"/>
  <c r="H66" i="8" s="1"/>
  <c r="F13" i="44"/>
  <c r="F29" i="44"/>
  <c r="F66" i="8" s="1"/>
  <c r="G13" i="44"/>
  <c r="G29" i="44"/>
  <c r="G66" i="8" s="1"/>
  <c r="P13" i="44"/>
  <c r="P29" i="44"/>
  <c r="P66" i="8" s="1"/>
  <c r="O13" i="44"/>
  <c r="O29" i="44"/>
  <c r="O66" i="8" s="1"/>
  <c r="E13" i="44"/>
  <c r="E29" i="44"/>
  <c r="L13" i="44"/>
  <c r="L29" i="44"/>
  <c r="L66" i="8" s="1"/>
  <c r="N13" i="44"/>
  <c r="N29" i="44"/>
  <c r="N66" i="8" s="1"/>
  <c r="G7" i="22"/>
  <c r="G12" i="44" s="1"/>
  <c r="G18" i="22"/>
  <c r="G18" i="27" s="1"/>
  <c r="K7" i="22"/>
  <c r="K12" i="44" s="1"/>
  <c r="K18" i="22"/>
  <c r="K18" i="27" s="1"/>
  <c r="P7" i="22"/>
  <c r="P12" i="44" s="1"/>
  <c r="P18" i="22"/>
  <c r="P18" i="27" s="1"/>
  <c r="O7" i="22"/>
  <c r="O12" i="44" s="1"/>
  <c r="O18" i="22"/>
  <c r="O18" i="27" s="1"/>
  <c r="J7" i="22"/>
  <c r="J12" i="44" s="1"/>
  <c r="J18" i="22"/>
  <c r="J18" i="27" s="1"/>
  <c r="F7" i="22"/>
  <c r="F12" i="44" s="1"/>
  <c r="F18" i="22"/>
  <c r="F18" i="27" s="1"/>
  <c r="L7" i="22"/>
  <c r="L18" i="22"/>
  <c r="L18" i="27" s="1"/>
  <c r="I7" i="22"/>
  <c r="I12" i="44" s="1"/>
  <c r="I18" i="22"/>
  <c r="I18" i="27" s="1"/>
  <c r="N7" i="22"/>
  <c r="N12" i="44" s="1"/>
  <c r="N18" i="22"/>
  <c r="N18" i="27" s="1"/>
  <c r="M7" i="22"/>
  <c r="M12" i="44" s="1"/>
  <c r="M18" i="22"/>
  <c r="M18" i="27" s="1"/>
  <c r="H7" i="22"/>
  <c r="H12" i="44" s="1"/>
  <c r="H18" i="22"/>
  <c r="H18" i="27" s="1"/>
  <c r="M11" i="44"/>
  <c r="M27" i="44"/>
  <c r="H11" i="44"/>
  <c r="H27" i="44"/>
  <c r="F11" i="44"/>
  <c r="F27" i="44"/>
  <c r="O11" i="44"/>
  <c r="O27" i="44"/>
  <c r="L11" i="44"/>
  <c r="L27" i="44"/>
  <c r="J11" i="44"/>
  <c r="J27" i="44"/>
  <c r="Q18" i="6"/>
  <c r="O6" i="27"/>
  <c r="P11" i="44"/>
  <c r="P27" i="44"/>
  <c r="N11" i="44"/>
  <c r="N27" i="44"/>
  <c r="E66" i="6"/>
  <c r="K11" i="44"/>
  <c r="K27" i="44"/>
  <c r="I11" i="44"/>
  <c r="I27" i="44"/>
  <c r="G11" i="44"/>
  <c r="G27" i="44"/>
  <c r="E6" i="22"/>
  <c r="L6" i="27" l="1"/>
  <c r="L12" i="44"/>
  <c r="M6" i="27"/>
  <c r="H6" i="27"/>
  <c r="Q13" i="44"/>
  <c r="R18" i="8"/>
  <c r="E66" i="8"/>
  <c r="Q29" i="44"/>
  <c r="F6" i="27"/>
  <c r="F14" i="44"/>
  <c r="F28" i="44"/>
  <c r="F66" i="22" s="1"/>
  <c r="I6" i="27"/>
  <c r="I14" i="44"/>
  <c r="I28" i="44"/>
  <c r="I66" i="22" s="1"/>
  <c r="P6" i="27"/>
  <c r="P14" i="44"/>
  <c r="P28" i="44"/>
  <c r="P66" i="22" s="1"/>
  <c r="N14" i="44"/>
  <c r="N28" i="44"/>
  <c r="N66" i="22" s="1"/>
  <c r="J6" i="27"/>
  <c r="J14" i="44"/>
  <c r="J28" i="44"/>
  <c r="J66" i="22" s="1"/>
  <c r="O14" i="44"/>
  <c r="O28" i="44"/>
  <c r="O66" i="22" s="1"/>
  <c r="L14" i="44"/>
  <c r="L28" i="44"/>
  <c r="L66" i="22" s="1"/>
  <c r="H14" i="44"/>
  <c r="H28" i="44"/>
  <c r="H66" i="22" s="1"/>
  <c r="K6" i="27"/>
  <c r="K14" i="44"/>
  <c r="K28" i="44"/>
  <c r="K66" i="22" s="1"/>
  <c r="M14" i="44"/>
  <c r="M28" i="44"/>
  <c r="M66" i="22" s="1"/>
  <c r="N6" i="27"/>
  <c r="E7" i="22"/>
  <c r="E12" i="44" s="1"/>
  <c r="E18" i="22"/>
  <c r="G6" i="27"/>
  <c r="G14" i="44"/>
  <c r="G28" i="44"/>
  <c r="G66" i="22" s="1"/>
  <c r="O66" i="6"/>
  <c r="F66" i="6"/>
  <c r="G66" i="6"/>
  <c r="P66" i="6"/>
  <c r="H66" i="6"/>
  <c r="I66" i="6"/>
  <c r="R18" i="6"/>
  <c r="T18" i="6"/>
  <c r="J66" i="6"/>
  <c r="M66" i="6"/>
  <c r="Q27" i="44"/>
  <c r="L66" i="6"/>
  <c r="N66" i="6"/>
  <c r="Q11" i="44"/>
  <c r="K66" i="6"/>
  <c r="U51" i="41"/>
  <c r="U29" i="41"/>
  <c r="U7" i="41"/>
  <c r="V55" i="41" a="1"/>
  <c r="V55" i="41" s="1"/>
  <c r="W55" i="41" a="1"/>
  <c r="W55" i="41" s="1"/>
  <c r="X55" i="41" a="1"/>
  <c r="X55" i="41" s="1"/>
  <c r="Y55" i="41" a="1"/>
  <c r="Y55" i="41" s="1"/>
  <c r="Z55" i="41" a="1"/>
  <c r="Z55" i="41" s="1"/>
  <c r="AA55" i="41" a="1"/>
  <c r="AA55" i="41" s="1"/>
  <c r="AB55" i="41" a="1"/>
  <c r="AB55" i="41" s="1"/>
  <c r="AC55" i="41" a="1"/>
  <c r="AC55" i="41" s="1"/>
  <c r="AD55" i="41" a="1"/>
  <c r="AD55" i="41" s="1"/>
  <c r="AE55" i="41" a="1"/>
  <c r="AE55" i="41" s="1"/>
  <c r="AF55" i="41" a="1"/>
  <c r="AF55" i="41" s="1"/>
  <c r="AG55" i="41" a="1"/>
  <c r="AG55" i="41" s="1"/>
  <c r="AI55" i="41" a="1"/>
  <c r="AI55" i="41" s="1"/>
  <c r="AJ55" i="41" a="1"/>
  <c r="AJ55" i="41" s="1"/>
  <c r="AK55" i="41" a="1"/>
  <c r="AK55" i="41" s="1"/>
  <c r="AL55" i="41" a="1"/>
  <c r="AL55" i="41" s="1"/>
  <c r="AM55" i="41" a="1"/>
  <c r="AM55" i="41" s="1"/>
  <c r="AN55" i="41" a="1"/>
  <c r="AN55" i="41" s="1"/>
  <c r="AO55" i="41" a="1"/>
  <c r="AO55" i="41" s="1"/>
  <c r="AP55" i="41" a="1"/>
  <c r="AP55" i="41" s="1"/>
  <c r="AQ55" i="41" a="1"/>
  <c r="AQ55" i="41" s="1"/>
  <c r="AR55" i="41" a="1"/>
  <c r="AR55" i="41" s="1"/>
  <c r="AS55" i="41" a="1"/>
  <c r="AS55" i="41" s="1"/>
  <c r="AH55" i="41" a="1"/>
  <c r="AH55" i="41" s="1"/>
  <c r="AH51" i="41"/>
  <c r="AT52" i="41" s="1"/>
  <c r="W33" i="41" a="1"/>
  <c r="W33" i="41" s="1"/>
  <c r="X33" i="41" a="1"/>
  <c r="X33" i="41" s="1"/>
  <c r="Y33" i="41" a="1"/>
  <c r="Y33" i="41" s="1"/>
  <c r="Z33" i="41" a="1"/>
  <c r="Z33" i="41" s="1"/>
  <c r="AA33" i="41" a="1"/>
  <c r="AA33" i="41" s="1"/>
  <c r="AB33" i="41" a="1"/>
  <c r="AB33" i="41" s="1"/>
  <c r="AC33" i="41" a="1"/>
  <c r="AC33" i="41" s="1"/>
  <c r="AD33" i="41" a="1"/>
  <c r="AD33" i="41" s="1"/>
  <c r="AE33" i="41" a="1"/>
  <c r="AE33" i="41" s="1"/>
  <c r="AF33" i="41" a="1"/>
  <c r="AF33" i="41" s="1"/>
  <c r="AG33" i="41" a="1"/>
  <c r="AG33" i="41" s="1"/>
  <c r="AH33" i="41" a="1"/>
  <c r="AH33" i="41" s="1"/>
  <c r="AI33" i="41" a="1"/>
  <c r="AI33" i="41" s="1"/>
  <c r="AJ33" i="41" a="1"/>
  <c r="AJ33" i="41" s="1"/>
  <c r="AK33" i="41" a="1"/>
  <c r="AK33" i="41" s="1"/>
  <c r="AL33" i="41" a="1"/>
  <c r="AL33" i="41" s="1"/>
  <c r="AM33" i="41" a="1"/>
  <c r="AM33" i="41" s="1"/>
  <c r="AN33" i="41" a="1"/>
  <c r="AN33" i="41" s="1"/>
  <c r="AO33" i="41" a="1"/>
  <c r="AO33" i="41" s="1"/>
  <c r="AP33" i="41" a="1"/>
  <c r="AP33" i="41" s="1"/>
  <c r="AQ33" i="41" a="1"/>
  <c r="AQ33" i="41" s="1"/>
  <c r="AR33" i="41" a="1"/>
  <c r="AR33" i="41" s="1"/>
  <c r="AS33" i="41" a="1"/>
  <c r="AS33" i="41" s="1"/>
  <c r="V33" i="41" a="1"/>
  <c r="V33" i="41" s="1"/>
  <c r="AH29" i="41"/>
  <c r="AT30" i="41" s="1"/>
  <c r="F30" i="44" l="1"/>
  <c r="F66" i="27"/>
  <c r="L30" i="44"/>
  <c r="M30" i="44"/>
  <c r="M66" i="27"/>
  <c r="J30" i="44"/>
  <c r="J66" i="27"/>
  <c r="G30" i="44"/>
  <c r="G66" i="27"/>
  <c r="H30" i="44"/>
  <c r="H66" i="27"/>
  <c r="I66" i="27"/>
  <c r="K66" i="27"/>
  <c r="N30" i="44"/>
  <c r="N66" i="27"/>
  <c r="E6" i="27"/>
  <c r="E28" i="44"/>
  <c r="O30" i="44"/>
  <c r="K30" i="44"/>
  <c r="I30" i="44"/>
  <c r="P66" i="27"/>
  <c r="O66" i="27"/>
  <c r="P30" i="44"/>
  <c r="L66" i="27"/>
  <c r="Q18" i="22"/>
  <c r="E18" i="27"/>
  <c r="AT55" i="41"/>
  <c r="AT33" i="41"/>
  <c r="AH7" i="41"/>
  <c r="AT8" i="41" s="1"/>
  <c r="AF11" i="41" a="1"/>
  <c r="AF11" i="41" s="1"/>
  <c r="V11" i="41" a="1"/>
  <c r="V11" i="41" s="1"/>
  <c r="W11" i="41" a="1"/>
  <c r="W11" i="41" s="1"/>
  <c r="X11" i="41" a="1"/>
  <c r="X11" i="41" s="1"/>
  <c r="Y11" i="41" a="1"/>
  <c r="Y11" i="41" s="1"/>
  <c r="Z11" i="41" a="1"/>
  <c r="Z11" i="41" s="1"/>
  <c r="AA11" i="41" a="1"/>
  <c r="AA11" i="41" s="1"/>
  <c r="AB11" i="41" a="1"/>
  <c r="AB11" i="41" s="1"/>
  <c r="AC11" i="41" a="1"/>
  <c r="AC11" i="41" s="1"/>
  <c r="AD11" i="41" a="1"/>
  <c r="AD11" i="41" s="1"/>
  <c r="AE11" i="41" a="1"/>
  <c r="AE11" i="41" s="1"/>
  <c r="AG11" i="41" a="1"/>
  <c r="AG11" i="41" s="1"/>
  <c r="AI11" i="41" a="1"/>
  <c r="AI11" i="41" s="1"/>
  <c r="AJ11" i="41" a="1"/>
  <c r="AJ11" i="41" s="1"/>
  <c r="AK11" i="41" a="1"/>
  <c r="AK11" i="41" s="1"/>
  <c r="AL11" i="41" a="1"/>
  <c r="AL11" i="41" s="1"/>
  <c r="AM11" i="41" a="1"/>
  <c r="AM11" i="41" s="1"/>
  <c r="AN11" i="41" a="1"/>
  <c r="AN11" i="41" s="1"/>
  <c r="AO11" i="41" a="1"/>
  <c r="AO11" i="41" s="1"/>
  <c r="AP11" i="41" a="1"/>
  <c r="AP11" i="41" s="1"/>
  <c r="AQ11" i="41" a="1"/>
  <c r="AQ11" i="41" s="1"/>
  <c r="AR11" i="41" a="1"/>
  <c r="AR11" i="41" s="1"/>
  <c r="AS11" i="41" a="1"/>
  <c r="AS11" i="41" s="1"/>
  <c r="AF10" i="41" a="1"/>
  <c r="AF10" i="41" s="1"/>
  <c r="B2" i="41"/>
  <c r="AS54" i="41" a="1"/>
  <c r="AS54" i="41" s="1"/>
  <c r="P11" i="8" s="1"/>
  <c r="P137" i="8" s="1"/>
  <c r="AK54" i="41" a="1"/>
  <c r="AK54" i="41" s="1"/>
  <c r="H11" i="8" s="1"/>
  <c r="H137" i="8" s="1"/>
  <c r="AL54" i="41" a="1"/>
  <c r="AL54" i="41" s="1"/>
  <c r="I11" i="8" s="1"/>
  <c r="I137" i="8" s="1"/>
  <c r="AM54" i="41" a="1"/>
  <c r="AM54" i="41" s="1"/>
  <c r="J11" i="8" s="1"/>
  <c r="J137" i="8" s="1"/>
  <c r="AN54" i="41" a="1"/>
  <c r="AN54" i="41" s="1"/>
  <c r="K11" i="8" s="1"/>
  <c r="K137" i="8" s="1"/>
  <c r="AO54" i="41" a="1"/>
  <c r="AO54" i="41" s="1"/>
  <c r="L11" i="8" s="1"/>
  <c r="L137" i="8" s="1"/>
  <c r="AP54" i="41" a="1"/>
  <c r="AP54" i="41" s="1"/>
  <c r="M11" i="8" s="1"/>
  <c r="M137" i="8" s="1"/>
  <c r="AQ54" i="41" a="1"/>
  <c r="AQ54" i="41" s="1"/>
  <c r="N11" i="8" s="1"/>
  <c r="N137" i="8" s="1"/>
  <c r="AR54" i="41" a="1"/>
  <c r="AR54" i="41" s="1"/>
  <c r="O11" i="8" s="1"/>
  <c r="O137" i="8" s="1"/>
  <c r="AI54" i="41" a="1"/>
  <c r="AI54" i="41" s="1"/>
  <c r="F11" i="8" s="1"/>
  <c r="F137" i="8" s="1"/>
  <c r="AJ54" i="41" a="1"/>
  <c r="AJ54" i="41" s="1"/>
  <c r="G11" i="8" s="1"/>
  <c r="G137" i="8" s="1"/>
  <c r="W54" i="41" a="1"/>
  <c r="W54" i="41" s="1"/>
  <c r="X54" i="41" a="1"/>
  <c r="X54" i="41" s="1"/>
  <c r="Y54" i="41" a="1"/>
  <c r="Y54" i="41" s="1"/>
  <c r="Z54" i="41" a="1"/>
  <c r="Z54" i="41" s="1"/>
  <c r="AA54" i="41" a="1"/>
  <c r="AA54" i="41" s="1"/>
  <c r="AB54" i="41" a="1"/>
  <c r="AB54" i="41" s="1"/>
  <c r="AC54" i="41" a="1"/>
  <c r="AC54" i="41" s="1"/>
  <c r="AD54" i="41" a="1"/>
  <c r="AD54" i="41" s="1"/>
  <c r="AE54" i="41" a="1"/>
  <c r="AE54" i="41" s="1"/>
  <c r="AF54" i="41" a="1"/>
  <c r="AF54" i="41" s="1"/>
  <c r="AG54" i="41" a="1"/>
  <c r="AG54" i="41" s="1"/>
  <c r="V54" i="41" a="1"/>
  <c r="V54" i="41" s="1"/>
  <c r="AR10" i="41" a="1"/>
  <c r="AR10" i="41" s="1"/>
  <c r="AS10" i="41" a="1"/>
  <c r="AS10" i="41" s="1"/>
  <c r="AL10" i="41" a="1"/>
  <c r="AL10" i="41" s="1"/>
  <c r="AM10" i="41" a="1"/>
  <c r="AM10" i="41" s="1"/>
  <c r="AN10" i="41" a="1"/>
  <c r="AN10" i="41" s="1"/>
  <c r="AO10" i="41" a="1"/>
  <c r="AO10" i="41" s="1"/>
  <c r="AP10" i="41" a="1"/>
  <c r="AP10" i="41" s="1"/>
  <c r="AQ10" i="41" a="1"/>
  <c r="AQ10" i="41" s="1"/>
  <c r="AJ10" i="41" a="1"/>
  <c r="AJ10" i="41" s="1"/>
  <c r="AK10" i="41" a="1"/>
  <c r="AK10" i="41" s="1"/>
  <c r="AI10" i="41" a="1"/>
  <c r="AI10" i="41" s="1"/>
  <c r="AG10" i="41" a="1"/>
  <c r="AG10" i="41" s="1"/>
  <c r="AE10" i="41" a="1"/>
  <c r="AE10" i="41" s="1"/>
  <c r="W10" i="41" a="1"/>
  <c r="W10" i="41" s="1"/>
  <c r="X10" i="41" a="1"/>
  <c r="X10" i="41" s="1"/>
  <c r="Y10" i="41" a="1"/>
  <c r="Y10" i="41" s="1"/>
  <c r="Z10" i="41" a="1"/>
  <c r="Z10" i="41" s="1"/>
  <c r="AA10" i="41" a="1"/>
  <c r="AA10" i="41" s="1"/>
  <c r="AB10" i="41" a="1"/>
  <c r="AB10" i="41" s="1"/>
  <c r="AC10" i="41" a="1"/>
  <c r="AC10" i="41" s="1"/>
  <c r="AD10" i="41" a="1"/>
  <c r="AD10" i="41" s="1"/>
  <c r="V10" i="41" a="1"/>
  <c r="V10" i="41" s="1"/>
  <c r="V32" i="41" a="1"/>
  <c r="V32" i="41" s="1"/>
  <c r="W32" i="41" a="1"/>
  <c r="W32" i="41" s="1"/>
  <c r="X32" i="41" a="1"/>
  <c r="X32" i="41" s="1"/>
  <c r="Y32" i="41" a="1"/>
  <c r="Y32" i="41" s="1"/>
  <c r="Z32" i="41" a="1"/>
  <c r="Z32" i="41" s="1"/>
  <c r="AA32" i="41" a="1"/>
  <c r="AA32" i="41" s="1"/>
  <c r="AB32" i="41" a="1"/>
  <c r="AB32" i="41" s="1"/>
  <c r="AC32" i="41" a="1"/>
  <c r="AC32" i="41" s="1"/>
  <c r="AD32" i="41" a="1"/>
  <c r="AD32" i="41" s="1"/>
  <c r="AE32" i="41" a="1"/>
  <c r="AE32" i="41" s="1"/>
  <c r="AF32" i="41" a="1"/>
  <c r="AF32" i="41" s="1"/>
  <c r="AG32" i="41" a="1"/>
  <c r="AG32" i="41" s="1"/>
  <c r="AH32" i="41" a="1"/>
  <c r="AH32" i="41" s="1"/>
  <c r="AI32" i="41" a="1"/>
  <c r="AI32" i="41" s="1"/>
  <c r="AJ32" i="41" a="1"/>
  <c r="AJ32" i="41" s="1"/>
  <c r="AK32" i="41" a="1"/>
  <c r="AK32" i="41" s="1"/>
  <c r="AL32" i="41" a="1"/>
  <c r="AL32" i="41" s="1"/>
  <c r="AM32" i="41" a="1"/>
  <c r="AM32" i="41" s="1"/>
  <c r="AP32" i="41" a="1"/>
  <c r="AP32" i="41" s="1"/>
  <c r="AQ32" i="41" a="1"/>
  <c r="AQ32" i="41" s="1"/>
  <c r="AR32" i="41" a="1"/>
  <c r="AR32" i="41" s="1"/>
  <c r="AS32" i="41" a="1"/>
  <c r="AS32" i="41" s="1"/>
  <c r="AO32" i="41" a="1"/>
  <c r="AO32" i="41" s="1"/>
  <c r="AN32" i="41" a="1"/>
  <c r="AN32" i="41" s="1"/>
  <c r="P66" i="41"/>
  <c r="P65" i="41"/>
  <c r="P64" i="41"/>
  <c r="P63" i="41"/>
  <c r="P54" i="41"/>
  <c r="P53" i="41"/>
  <c r="F67" i="41"/>
  <c r="F66" i="41"/>
  <c r="F65" i="41"/>
  <c r="F64" i="41"/>
  <c r="F63" i="41"/>
  <c r="F62" i="41"/>
  <c r="F61" i="41"/>
  <c r="F60" i="41"/>
  <c r="F59" i="41"/>
  <c r="F58" i="41"/>
  <c r="F57" i="41"/>
  <c r="F56" i="41"/>
  <c r="F55" i="41"/>
  <c r="F54" i="41"/>
  <c r="F53" i="41"/>
  <c r="P45" i="41"/>
  <c r="P44" i="41"/>
  <c r="P43" i="41"/>
  <c r="P42" i="41"/>
  <c r="P41" i="41"/>
  <c r="P40" i="41"/>
  <c r="P39" i="41"/>
  <c r="P38" i="41"/>
  <c r="P37" i="41"/>
  <c r="F45" i="41"/>
  <c r="F44" i="41"/>
  <c r="F43" i="41"/>
  <c r="F42" i="41"/>
  <c r="F41" i="41"/>
  <c r="F40" i="41"/>
  <c r="F39" i="41"/>
  <c r="F38" i="41"/>
  <c r="F37" i="41"/>
  <c r="F36" i="41"/>
  <c r="F35" i="41"/>
  <c r="F34" i="41"/>
  <c r="F33" i="41"/>
  <c r="F32" i="41"/>
  <c r="F31" i="41"/>
  <c r="P23" i="41"/>
  <c r="P22" i="41"/>
  <c r="P12" i="41"/>
  <c r="P11" i="41"/>
  <c r="P10" i="41"/>
  <c r="P9" i="41"/>
  <c r="F10" i="41"/>
  <c r="F11" i="41"/>
  <c r="F12" i="41"/>
  <c r="F13" i="41"/>
  <c r="F14" i="41"/>
  <c r="F15" i="41"/>
  <c r="F16" i="41"/>
  <c r="F17" i="41"/>
  <c r="F18" i="41"/>
  <c r="F19" i="41"/>
  <c r="F20" i="41"/>
  <c r="F21" i="41"/>
  <c r="F22" i="41"/>
  <c r="F23" i="41"/>
  <c r="F9" i="41"/>
  <c r="L117" i="22"/>
  <c r="P117" i="22"/>
  <c r="F117" i="8"/>
  <c r="F168" i="8" s="1"/>
  <c r="DI12" i="41"/>
  <c r="DW67" i="41"/>
  <c r="DV67" i="41"/>
  <c r="DU67" i="41"/>
  <c r="DT67" i="41"/>
  <c r="DS67" i="41"/>
  <c r="DR67" i="41"/>
  <c r="DQ67" i="41"/>
  <c r="DP67" i="41"/>
  <c r="DO67" i="41"/>
  <c r="DN67" i="41"/>
  <c r="DM67" i="41"/>
  <c r="DL67" i="41"/>
  <c r="DK67" i="41"/>
  <c r="DJ67" i="41"/>
  <c r="DI67" i="41"/>
  <c r="DH67" i="41"/>
  <c r="DG67" i="41"/>
  <c r="DF67" i="41"/>
  <c r="DE67" i="41"/>
  <c r="DD67" i="41"/>
  <c r="DC67" i="41"/>
  <c r="DB67" i="41"/>
  <c r="DA67" i="41"/>
  <c r="CZ67" i="41"/>
  <c r="DW66" i="41"/>
  <c r="DV66" i="41"/>
  <c r="DU66" i="41"/>
  <c r="DT66" i="41"/>
  <c r="DS66" i="41"/>
  <c r="DR66" i="41"/>
  <c r="DQ66" i="41"/>
  <c r="DP66" i="41"/>
  <c r="DO66" i="41"/>
  <c r="DN66" i="41"/>
  <c r="DM66" i="41"/>
  <c r="DL66" i="41"/>
  <c r="DK66" i="41"/>
  <c r="DJ66" i="41"/>
  <c r="DI66" i="41"/>
  <c r="DH66" i="41"/>
  <c r="DG66" i="41"/>
  <c r="DF66" i="41"/>
  <c r="DE66" i="41"/>
  <c r="DD66" i="41"/>
  <c r="DC66" i="41"/>
  <c r="DB66" i="41"/>
  <c r="DA66" i="41"/>
  <c r="CZ66" i="41"/>
  <c r="DW65" i="41"/>
  <c r="DV65" i="41"/>
  <c r="DU65" i="41"/>
  <c r="DT65" i="41"/>
  <c r="DS65" i="41"/>
  <c r="DR65" i="41"/>
  <c r="DQ65" i="41"/>
  <c r="DP65" i="41"/>
  <c r="DO65" i="41"/>
  <c r="DN65" i="41"/>
  <c r="DM65" i="41"/>
  <c r="DL65" i="41"/>
  <c r="DK65" i="41"/>
  <c r="DJ65" i="41"/>
  <c r="DI65" i="41"/>
  <c r="DH65" i="41"/>
  <c r="DG65" i="41"/>
  <c r="DF65" i="41"/>
  <c r="DE65" i="41"/>
  <c r="DD65" i="41"/>
  <c r="DC65" i="41"/>
  <c r="DB65" i="41"/>
  <c r="DA65" i="41"/>
  <c r="CZ65" i="41"/>
  <c r="DW64" i="41"/>
  <c r="DV64" i="41"/>
  <c r="DU64" i="41"/>
  <c r="DT64" i="41"/>
  <c r="DS64" i="41"/>
  <c r="DR64" i="41"/>
  <c r="DQ64" i="41"/>
  <c r="DP64" i="41"/>
  <c r="DO64" i="41"/>
  <c r="DN64" i="41"/>
  <c r="DM64" i="41"/>
  <c r="DL64" i="41"/>
  <c r="DK64" i="41"/>
  <c r="DJ64" i="41"/>
  <c r="DI64" i="41"/>
  <c r="DH64" i="41"/>
  <c r="DG64" i="41"/>
  <c r="DF64" i="41"/>
  <c r="DE64" i="41"/>
  <c r="DD64" i="41"/>
  <c r="DC64" i="41"/>
  <c r="DB64" i="41"/>
  <c r="DA64" i="41"/>
  <c r="CZ64" i="41"/>
  <c r="DW63" i="41"/>
  <c r="DV63" i="41"/>
  <c r="DU63" i="41"/>
  <c r="DT63" i="41"/>
  <c r="DS63" i="41"/>
  <c r="DR63" i="41"/>
  <c r="DQ63" i="41"/>
  <c r="DP63" i="41"/>
  <c r="DO63" i="41"/>
  <c r="DN63" i="41"/>
  <c r="DM63" i="41"/>
  <c r="DL63" i="41"/>
  <c r="DK63" i="41"/>
  <c r="DJ63" i="41"/>
  <c r="DI63" i="41"/>
  <c r="DH63" i="41"/>
  <c r="DG63" i="41"/>
  <c r="DF63" i="41"/>
  <c r="DE63" i="41"/>
  <c r="DD63" i="41"/>
  <c r="DC63" i="41"/>
  <c r="DB63" i="41"/>
  <c r="DA63" i="41"/>
  <c r="CZ63" i="41"/>
  <c r="DW62" i="41"/>
  <c r="DV62" i="41"/>
  <c r="DU62" i="41"/>
  <c r="DT62" i="41"/>
  <c r="DS62" i="41"/>
  <c r="DR62" i="41"/>
  <c r="DQ62" i="41"/>
  <c r="DP62" i="41"/>
  <c r="DO62" i="41"/>
  <c r="DN62" i="41"/>
  <c r="DM62" i="41"/>
  <c r="DL62" i="41"/>
  <c r="DK62" i="41"/>
  <c r="DJ62" i="41"/>
  <c r="DI62" i="41"/>
  <c r="DH62" i="41"/>
  <c r="DG62" i="41"/>
  <c r="DF62" i="41"/>
  <c r="DE62" i="41"/>
  <c r="DD62" i="41"/>
  <c r="DC62" i="41"/>
  <c r="DB62" i="41"/>
  <c r="DA62" i="41"/>
  <c r="CZ62" i="41"/>
  <c r="DW61" i="41"/>
  <c r="DV61" i="41"/>
  <c r="DU61" i="41"/>
  <c r="DT61" i="41"/>
  <c r="DS61" i="41"/>
  <c r="DR61" i="41"/>
  <c r="DQ61" i="41"/>
  <c r="DP61" i="41"/>
  <c r="DO61" i="41"/>
  <c r="DN61" i="41"/>
  <c r="DM61" i="41"/>
  <c r="DL61" i="41"/>
  <c r="DK61" i="41"/>
  <c r="DJ61" i="41"/>
  <c r="DI61" i="41"/>
  <c r="DH61" i="41"/>
  <c r="DG61" i="41"/>
  <c r="DF61" i="41"/>
  <c r="DE61" i="41"/>
  <c r="DD61" i="41"/>
  <c r="DC61" i="41"/>
  <c r="DB61" i="41"/>
  <c r="DA61" i="41"/>
  <c r="CZ61" i="41"/>
  <c r="DW60" i="41"/>
  <c r="DV60" i="41"/>
  <c r="DU60" i="41"/>
  <c r="DT60" i="41"/>
  <c r="DS60" i="41"/>
  <c r="DR60" i="41"/>
  <c r="DQ60" i="41"/>
  <c r="DP60" i="41"/>
  <c r="DO60" i="41"/>
  <c r="DN60" i="41"/>
  <c r="DM60" i="41"/>
  <c r="DL60" i="41"/>
  <c r="DK60" i="41"/>
  <c r="DJ60" i="41"/>
  <c r="DI60" i="41"/>
  <c r="DH60" i="41"/>
  <c r="DG60" i="41"/>
  <c r="DF60" i="41"/>
  <c r="DE60" i="41"/>
  <c r="DD60" i="41"/>
  <c r="DC60" i="41"/>
  <c r="DB60" i="41"/>
  <c r="DA60" i="41"/>
  <c r="CZ60" i="41"/>
  <c r="DW59" i="41"/>
  <c r="DV59" i="41"/>
  <c r="DU59" i="41"/>
  <c r="DT59" i="41"/>
  <c r="DS59" i="41"/>
  <c r="DR59" i="41"/>
  <c r="DQ59" i="41"/>
  <c r="DP59" i="41"/>
  <c r="DO59" i="41"/>
  <c r="DN59" i="41"/>
  <c r="DM59" i="41"/>
  <c r="DL59" i="41"/>
  <c r="DK59" i="41"/>
  <c r="DJ59" i="41"/>
  <c r="DI59" i="41"/>
  <c r="DH59" i="41"/>
  <c r="DG59" i="41"/>
  <c r="DF59" i="41"/>
  <c r="DE59" i="41"/>
  <c r="DD59" i="41"/>
  <c r="DC59" i="41"/>
  <c r="DB59" i="41"/>
  <c r="DA59" i="41"/>
  <c r="CZ59" i="41"/>
  <c r="DW58" i="41"/>
  <c r="DV58" i="41"/>
  <c r="DU58" i="41"/>
  <c r="DT58" i="41"/>
  <c r="DS58" i="41"/>
  <c r="DR58" i="41"/>
  <c r="DQ58" i="41"/>
  <c r="DP58" i="41"/>
  <c r="DO58" i="41"/>
  <c r="DN58" i="41"/>
  <c r="DM58" i="41"/>
  <c r="DL58" i="41"/>
  <c r="DK58" i="41"/>
  <c r="DJ58" i="41"/>
  <c r="DI58" i="41"/>
  <c r="DH58" i="41"/>
  <c r="DG58" i="41"/>
  <c r="DF58" i="41"/>
  <c r="DE58" i="41"/>
  <c r="DD58" i="41"/>
  <c r="DC58" i="41"/>
  <c r="DB58" i="41"/>
  <c r="DA58" i="41"/>
  <c r="CZ58" i="41"/>
  <c r="DW57" i="41"/>
  <c r="DV57" i="41"/>
  <c r="DU57" i="41"/>
  <c r="DT57" i="41"/>
  <c r="DS57" i="41"/>
  <c r="DR57" i="41"/>
  <c r="DQ57" i="41"/>
  <c r="DP57" i="41"/>
  <c r="DO57" i="41"/>
  <c r="DN57" i="41"/>
  <c r="DM57" i="41"/>
  <c r="DL57" i="41"/>
  <c r="DK57" i="41"/>
  <c r="DJ57" i="41"/>
  <c r="DI57" i="41"/>
  <c r="DH57" i="41"/>
  <c r="DG57" i="41"/>
  <c r="DF57" i="41"/>
  <c r="DE57" i="41"/>
  <c r="DD57" i="41"/>
  <c r="DC57" i="41"/>
  <c r="DB57" i="41"/>
  <c r="DA57" i="41"/>
  <c r="CZ57" i="41"/>
  <c r="DW56" i="41"/>
  <c r="DV56" i="41"/>
  <c r="DU56" i="41"/>
  <c r="DT56" i="41"/>
  <c r="DS56" i="41"/>
  <c r="DR56" i="41"/>
  <c r="DQ56" i="41"/>
  <c r="DP56" i="41"/>
  <c r="DO56" i="41"/>
  <c r="DN56" i="41"/>
  <c r="DM56" i="41"/>
  <c r="DL56" i="41"/>
  <c r="DK56" i="41"/>
  <c r="DJ56" i="41"/>
  <c r="DI56" i="41"/>
  <c r="DH56" i="41"/>
  <c r="DG56" i="41"/>
  <c r="DF56" i="41"/>
  <c r="DE56" i="41"/>
  <c r="DD56" i="41"/>
  <c r="DC56" i="41"/>
  <c r="DB56" i="41"/>
  <c r="DA56" i="41"/>
  <c r="CZ56" i="41"/>
  <c r="DW55" i="41"/>
  <c r="DV55" i="41"/>
  <c r="DU55" i="41"/>
  <c r="DT55" i="41"/>
  <c r="DS55" i="41"/>
  <c r="DR55" i="41"/>
  <c r="DQ55" i="41"/>
  <c r="DP55" i="41"/>
  <c r="DO55" i="41"/>
  <c r="DN55" i="41"/>
  <c r="DM55" i="41"/>
  <c r="DL55" i="41"/>
  <c r="DK55" i="41"/>
  <c r="DJ55" i="41"/>
  <c r="DI55" i="41"/>
  <c r="DH55" i="41"/>
  <c r="DG55" i="41"/>
  <c r="DF55" i="41"/>
  <c r="DE55" i="41"/>
  <c r="DD55" i="41"/>
  <c r="DC55" i="41"/>
  <c r="DB55" i="41"/>
  <c r="DA55" i="41"/>
  <c r="CZ55" i="41"/>
  <c r="DW54" i="41"/>
  <c r="DV54" i="41"/>
  <c r="DU54" i="41"/>
  <c r="DT54" i="41"/>
  <c r="DS54" i="41"/>
  <c r="DR54" i="41"/>
  <c r="DQ54" i="41"/>
  <c r="DP54" i="41"/>
  <c r="DO54" i="41"/>
  <c r="DN54" i="41"/>
  <c r="DM54" i="41"/>
  <c r="DL54" i="41"/>
  <c r="DK54" i="41"/>
  <c r="DJ54" i="41"/>
  <c r="DI54" i="41"/>
  <c r="DH54" i="41"/>
  <c r="DG54" i="41"/>
  <c r="DF54" i="41"/>
  <c r="DE54" i="41"/>
  <c r="DD54" i="41"/>
  <c r="DC54" i="41"/>
  <c r="DB54" i="41"/>
  <c r="DA54" i="41"/>
  <c r="CZ54" i="41"/>
  <c r="DW41" i="41"/>
  <c r="DV41" i="41"/>
  <c r="DU41" i="41"/>
  <c r="DT41" i="41"/>
  <c r="DS41" i="41"/>
  <c r="DR41" i="41"/>
  <c r="DQ41" i="41"/>
  <c r="DP41" i="41"/>
  <c r="DO41" i="41"/>
  <c r="DN41" i="41"/>
  <c r="DM41" i="41"/>
  <c r="DL41" i="41"/>
  <c r="DK41" i="41"/>
  <c r="DJ41" i="41"/>
  <c r="DI41" i="41"/>
  <c r="DH41" i="41"/>
  <c r="DG41" i="41"/>
  <c r="DF41" i="41"/>
  <c r="DE41" i="41"/>
  <c r="DD41" i="41"/>
  <c r="DC41" i="41"/>
  <c r="DB41" i="41"/>
  <c r="DA41" i="41"/>
  <c r="CZ41" i="41"/>
  <c r="DW40" i="41"/>
  <c r="DV40" i="41"/>
  <c r="DU40" i="41"/>
  <c r="DT40" i="41"/>
  <c r="DS40" i="41"/>
  <c r="DR40" i="41"/>
  <c r="DQ40" i="41"/>
  <c r="DP40" i="41"/>
  <c r="DO40" i="41"/>
  <c r="DN40" i="41"/>
  <c r="DM40" i="41"/>
  <c r="DL40" i="41"/>
  <c r="DK40" i="41"/>
  <c r="DJ40" i="41"/>
  <c r="DI40" i="41"/>
  <c r="DH40" i="41"/>
  <c r="DG40" i="41"/>
  <c r="DF40" i="41"/>
  <c r="DE40" i="41"/>
  <c r="DD40" i="41"/>
  <c r="DC40" i="41"/>
  <c r="DB40" i="41"/>
  <c r="DA40" i="41"/>
  <c r="CZ40" i="41"/>
  <c r="DW39" i="41"/>
  <c r="DV39" i="41"/>
  <c r="DU39" i="41"/>
  <c r="DT39" i="41"/>
  <c r="DS39" i="41"/>
  <c r="DR39" i="41"/>
  <c r="DQ39" i="41"/>
  <c r="DP39" i="41"/>
  <c r="DO39" i="41"/>
  <c r="DN39" i="41"/>
  <c r="DM39" i="41"/>
  <c r="DL39" i="41"/>
  <c r="DK39" i="41"/>
  <c r="DJ39" i="41"/>
  <c r="DI39" i="41"/>
  <c r="DH39" i="41"/>
  <c r="DG39" i="41"/>
  <c r="DF39" i="41"/>
  <c r="DE39" i="41"/>
  <c r="DD39" i="41"/>
  <c r="DC39" i="41"/>
  <c r="DB39" i="41"/>
  <c r="DA39" i="41"/>
  <c r="CZ39" i="41"/>
  <c r="DW38" i="41"/>
  <c r="DV38" i="41"/>
  <c r="DU38" i="41"/>
  <c r="DT38" i="41"/>
  <c r="DS38" i="41"/>
  <c r="DR38" i="41"/>
  <c r="DQ38" i="41"/>
  <c r="DP38" i="41"/>
  <c r="DO38" i="41"/>
  <c r="DN38" i="41"/>
  <c r="DM38" i="41"/>
  <c r="DL38" i="41"/>
  <c r="DK38" i="41"/>
  <c r="DJ38" i="41"/>
  <c r="DI38" i="41"/>
  <c r="DH38" i="41"/>
  <c r="DG38" i="41"/>
  <c r="DF38" i="41"/>
  <c r="DE38" i="41"/>
  <c r="DD38" i="41"/>
  <c r="DC38" i="41"/>
  <c r="DB38" i="41"/>
  <c r="DA38" i="41"/>
  <c r="CZ38" i="41"/>
  <c r="DW37" i="41"/>
  <c r="DV37" i="41"/>
  <c r="DU37" i="41"/>
  <c r="DT37" i="41"/>
  <c r="DS37" i="41"/>
  <c r="DR37" i="41"/>
  <c r="DQ37" i="41"/>
  <c r="DP37" i="41"/>
  <c r="DO37" i="41"/>
  <c r="DN37" i="41"/>
  <c r="DM37" i="41"/>
  <c r="DL37" i="41"/>
  <c r="DK37" i="41"/>
  <c r="DJ37" i="41"/>
  <c r="DI37" i="41"/>
  <c r="DH37" i="41"/>
  <c r="DG37" i="41"/>
  <c r="DF37" i="41"/>
  <c r="DE37" i="41"/>
  <c r="DD37" i="41"/>
  <c r="DC37" i="41"/>
  <c r="DB37" i="41"/>
  <c r="DA37" i="41"/>
  <c r="CZ37" i="41"/>
  <c r="DW36" i="41"/>
  <c r="DV36" i="41"/>
  <c r="DU36" i="41"/>
  <c r="DT36" i="41"/>
  <c r="DS36" i="41"/>
  <c r="DR36" i="41"/>
  <c r="DQ36" i="41"/>
  <c r="DP36" i="41"/>
  <c r="DO36" i="41"/>
  <c r="DN36" i="41"/>
  <c r="DM36" i="41"/>
  <c r="DL36" i="41"/>
  <c r="DK36" i="41"/>
  <c r="DJ36" i="41"/>
  <c r="DI36" i="41"/>
  <c r="DH36" i="41"/>
  <c r="DG36" i="41"/>
  <c r="DF36" i="41"/>
  <c r="DE36" i="41"/>
  <c r="DD36" i="41"/>
  <c r="DC36" i="41"/>
  <c r="DB36" i="41"/>
  <c r="DA36" i="41"/>
  <c r="CZ36" i="41"/>
  <c r="DW35" i="41"/>
  <c r="DV35" i="41"/>
  <c r="DU35" i="41"/>
  <c r="DT35" i="41"/>
  <c r="DS35" i="41"/>
  <c r="DR35" i="41"/>
  <c r="DQ35" i="41"/>
  <c r="DP35" i="41"/>
  <c r="DO35" i="41"/>
  <c r="DN35" i="41"/>
  <c r="DM35" i="41"/>
  <c r="DL35" i="41"/>
  <c r="DK35" i="41"/>
  <c r="DJ35" i="41"/>
  <c r="DI35" i="41"/>
  <c r="DH35" i="41"/>
  <c r="DG35" i="41"/>
  <c r="DF35" i="41"/>
  <c r="DE35" i="41"/>
  <c r="DD35" i="41"/>
  <c r="DC35" i="41"/>
  <c r="DB35" i="41"/>
  <c r="DA35" i="41"/>
  <c r="CZ35" i="41"/>
  <c r="DW34" i="41"/>
  <c r="DV34" i="41"/>
  <c r="DU34" i="41"/>
  <c r="DT34" i="41"/>
  <c r="DS34" i="41"/>
  <c r="DR34" i="41"/>
  <c r="DQ34" i="41"/>
  <c r="DP34" i="41"/>
  <c r="DO34" i="41"/>
  <c r="DN34" i="41"/>
  <c r="DM34" i="41"/>
  <c r="DL34" i="41"/>
  <c r="DK34" i="41"/>
  <c r="DJ34" i="41"/>
  <c r="DI34" i="41"/>
  <c r="DH34" i="41"/>
  <c r="DG34" i="41"/>
  <c r="DF34" i="41"/>
  <c r="DE34" i="41"/>
  <c r="DD34" i="41"/>
  <c r="DC34" i="41"/>
  <c r="DB34" i="41"/>
  <c r="DA34" i="41"/>
  <c r="CZ34" i="41"/>
  <c r="DW33" i="41"/>
  <c r="DV33" i="41"/>
  <c r="DU33" i="41"/>
  <c r="DT33" i="41"/>
  <c r="DS33" i="41"/>
  <c r="DR33" i="41"/>
  <c r="DQ33" i="41"/>
  <c r="DP33" i="41"/>
  <c r="DO33" i="41"/>
  <c r="DN33" i="41"/>
  <c r="DM33" i="41"/>
  <c r="DL33" i="41"/>
  <c r="DK33" i="41"/>
  <c r="DJ33" i="41"/>
  <c r="DI33" i="41"/>
  <c r="DH33" i="41"/>
  <c r="DG33" i="41"/>
  <c r="DF33" i="41"/>
  <c r="DE33" i="41"/>
  <c r="DD33" i="41"/>
  <c r="DC33" i="41"/>
  <c r="DB33" i="41"/>
  <c r="DA33" i="41"/>
  <c r="CZ33" i="41"/>
  <c r="DW32" i="41"/>
  <c r="DV32" i="41"/>
  <c r="DU32" i="41"/>
  <c r="DT32" i="41"/>
  <c r="DS32" i="41"/>
  <c r="DR32" i="41"/>
  <c r="DQ32" i="41"/>
  <c r="DP32" i="41"/>
  <c r="DO32" i="41"/>
  <c r="DN32" i="41"/>
  <c r="DM32" i="41"/>
  <c r="DL32" i="41"/>
  <c r="DK32" i="41"/>
  <c r="DJ32" i="41"/>
  <c r="DI32" i="41"/>
  <c r="DH32" i="41"/>
  <c r="DG32" i="41"/>
  <c r="DF32" i="41"/>
  <c r="DE32" i="41"/>
  <c r="DD32" i="41"/>
  <c r="DC32" i="41"/>
  <c r="DB32" i="41"/>
  <c r="DA32" i="41"/>
  <c r="CZ32" i="41"/>
  <c r="DW31" i="41"/>
  <c r="DV31" i="41"/>
  <c r="DU31" i="41"/>
  <c r="DT31" i="41"/>
  <c r="DS31" i="41"/>
  <c r="DR31" i="41"/>
  <c r="DQ31" i="41"/>
  <c r="DP31" i="41"/>
  <c r="DO31" i="41"/>
  <c r="DN31" i="41"/>
  <c r="DM31" i="41"/>
  <c r="DL31" i="41"/>
  <c r="DK31" i="41"/>
  <c r="DJ31" i="41"/>
  <c r="DI31" i="41"/>
  <c r="DH31" i="41"/>
  <c r="DG31" i="41"/>
  <c r="DF31" i="41"/>
  <c r="DE31" i="41"/>
  <c r="DD31" i="41"/>
  <c r="DC31" i="41"/>
  <c r="DB31" i="41"/>
  <c r="DA31" i="41"/>
  <c r="CZ31" i="41"/>
  <c r="DW30" i="41"/>
  <c r="DV30" i="41"/>
  <c r="DU30" i="41"/>
  <c r="DT30" i="41"/>
  <c r="DS30" i="41"/>
  <c r="DR30" i="41"/>
  <c r="DQ30" i="41"/>
  <c r="DP30" i="41"/>
  <c r="DO30" i="41"/>
  <c r="DN30" i="41"/>
  <c r="DM30" i="41"/>
  <c r="DL30" i="41"/>
  <c r="DK30" i="41"/>
  <c r="DJ30" i="41"/>
  <c r="DI30" i="41"/>
  <c r="DH30" i="41"/>
  <c r="DG30" i="41"/>
  <c r="DF30" i="41"/>
  <c r="DE30" i="41"/>
  <c r="DD30" i="41"/>
  <c r="DC30" i="41"/>
  <c r="DB30" i="41"/>
  <c r="DA30" i="41"/>
  <c r="CZ30" i="41"/>
  <c r="DW29" i="41"/>
  <c r="DV29" i="41"/>
  <c r="DU29" i="41"/>
  <c r="DT29" i="41"/>
  <c r="DS29" i="41"/>
  <c r="DR29" i="41"/>
  <c r="DQ29" i="41"/>
  <c r="DP29" i="41"/>
  <c r="DO29" i="41"/>
  <c r="DN29" i="41"/>
  <c r="DM29" i="41"/>
  <c r="DL29" i="41"/>
  <c r="DK29" i="41"/>
  <c r="DJ29" i="41"/>
  <c r="DI29" i="41"/>
  <c r="DH29" i="41"/>
  <c r="DG29" i="41"/>
  <c r="DF29" i="41"/>
  <c r="DE29" i="41"/>
  <c r="DD29" i="41"/>
  <c r="DC29" i="41"/>
  <c r="DB29" i="41"/>
  <c r="DA29" i="41"/>
  <c r="CZ29" i="41"/>
  <c r="DW28" i="41"/>
  <c r="DV28" i="41"/>
  <c r="DU28" i="41"/>
  <c r="DT28" i="41"/>
  <c r="DS28" i="41"/>
  <c r="DR28" i="41"/>
  <c r="DQ28" i="41"/>
  <c r="DP28" i="41"/>
  <c r="DO28" i="41"/>
  <c r="DN28" i="41"/>
  <c r="DM28" i="41"/>
  <c r="DL28" i="41"/>
  <c r="DK28" i="41"/>
  <c r="DJ28" i="41"/>
  <c r="DI28" i="41"/>
  <c r="DH28" i="41"/>
  <c r="DG28" i="41"/>
  <c r="DF28" i="41"/>
  <c r="DE28" i="41"/>
  <c r="DD28" i="41"/>
  <c r="DC28" i="41"/>
  <c r="DB28" i="41"/>
  <c r="DA28" i="41"/>
  <c r="CZ28" i="41"/>
  <c r="DA9" i="41"/>
  <c r="DB9" i="41"/>
  <c r="DC9" i="41"/>
  <c r="DD9" i="41"/>
  <c r="DE9" i="41"/>
  <c r="DF9" i="41"/>
  <c r="DG9" i="41"/>
  <c r="DH9" i="41"/>
  <c r="DI9" i="41"/>
  <c r="DJ9" i="41"/>
  <c r="DK9" i="41"/>
  <c r="DL9" i="41"/>
  <c r="DM9" i="41"/>
  <c r="DN9" i="41"/>
  <c r="DO9" i="41"/>
  <c r="DP9" i="41"/>
  <c r="DQ9" i="41"/>
  <c r="DR9" i="41"/>
  <c r="DS9" i="41"/>
  <c r="DT9" i="41"/>
  <c r="DU9" i="41"/>
  <c r="DV9" i="41"/>
  <c r="DW9" i="41"/>
  <c r="DA10" i="41"/>
  <c r="DB10" i="41"/>
  <c r="DC10" i="41"/>
  <c r="DD10" i="41"/>
  <c r="DE10" i="41"/>
  <c r="DF10" i="41"/>
  <c r="DG10" i="41"/>
  <c r="DH10" i="41"/>
  <c r="DI10" i="41"/>
  <c r="DJ10" i="41"/>
  <c r="DK10" i="41"/>
  <c r="DL10" i="41"/>
  <c r="DM10" i="41"/>
  <c r="DN10" i="41"/>
  <c r="DO10" i="41"/>
  <c r="DP10" i="41"/>
  <c r="DQ10" i="41"/>
  <c r="DR10" i="41"/>
  <c r="DS10" i="41"/>
  <c r="DT10" i="41"/>
  <c r="DU10" i="41"/>
  <c r="DV10" i="41"/>
  <c r="DW10" i="41"/>
  <c r="DA11" i="41"/>
  <c r="DB11" i="41"/>
  <c r="DC11" i="41"/>
  <c r="DD11" i="41"/>
  <c r="DE11" i="41"/>
  <c r="DF11" i="41"/>
  <c r="DG11" i="41"/>
  <c r="DH11" i="41"/>
  <c r="DI11" i="41"/>
  <c r="DJ11" i="41"/>
  <c r="DK11" i="41"/>
  <c r="DL11" i="41"/>
  <c r="DM11" i="41"/>
  <c r="DN11" i="41"/>
  <c r="DO11" i="41"/>
  <c r="DP11" i="41"/>
  <c r="DQ11" i="41"/>
  <c r="DR11" i="41"/>
  <c r="DS11" i="41"/>
  <c r="DT11" i="41"/>
  <c r="DU11" i="41"/>
  <c r="DV11" i="41"/>
  <c r="DW11" i="41"/>
  <c r="DA12" i="41"/>
  <c r="DB12" i="41"/>
  <c r="DC12" i="41"/>
  <c r="DD12" i="41"/>
  <c r="DE12" i="41"/>
  <c r="DF12" i="41"/>
  <c r="DG12" i="41"/>
  <c r="DH12" i="41"/>
  <c r="DJ12" i="41"/>
  <c r="DK12" i="41"/>
  <c r="DL12" i="41"/>
  <c r="DM12" i="41"/>
  <c r="DN12" i="41"/>
  <c r="DO12" i="41"/>
  <c r="DP12" i="41"/>
  <c r="DQ12" i="41"/>
  <c r="DR12" i="41"/>
  <c r="DS12" i="41"/>
  <c r="DT12" i="41"/>
  <c r="DU12" i="41"/>
  <c r="DV12" i="41"/>
  <c r="DW12" i="41"/>
  <c r="DA13" i="41"/>
  <c r="DB13" i="41"/>
  <c r="DC13" i="41"/>
  <c r="DD13" i="41"/>
  <c r="DE13" i="41"/>
  <c r="DF13" i="41"/>
  <c r="DG13" i="41"/>
  <c r="DH13" i="41"/>
  <c r="DI13" i="41"/>
  <c r="DJ13" i="41"/>
  <c r="DK13" i="41"/>
  <c r="DL13" i="41"/>
  <c r="DM13" i="41"/>
  <c r="DN13" i="41"/>
  <c r="DO13" i="41"/>
  <c r="DP13" i="41"/>
  <c r="DQ13" i="41"/>
  <c r="DR13" i="41"/>
  <c r="DS13" i="41"/>
  <c r="DT13" i="41"/>
  <c r="DU13" i="41"/>
  <c r="DV13" i="41"/>
  <c r="DW13" i="41"/>
  <c r="DA14" i="41"/>
  <c r="DB14" i="41"/>
  <c r="DC14" i="41"/>
  <c r="DD14" i="41"/>
  <c r="DE14" i="41"/>
  <c r="DF14" i="41"/>
  <c r="DG14" i="41"/>
  <c r="DH14" i="41"/>
  <c r="DI14" i="41"/>
  <c r="DJ14" i="41"/>
  <c r="DK14" i="41"/>
  <c r="DL14" i="41"/>
  <c r="DM14" i="41"/>
  <c r="DN14" i="41"/>
  <c r="DO14" i="41"/>
  <c r="DP14" i="41"/>
  <c r="DQ14" i="41"/>
  <c r="DR14" i="41"/>
  <c r="DS14" i="41"/>
  <c r="DT14" i="41"/>
  <c r="DU14" i="41"/>
  <c r="DV14" i="41"/>
  <c r="DW14" i="41"/>
  <c r="DA15" i="41"/>
  <c r="DB15" i="41"/>
  <c r="DC15" i="41"/>
  <c r="DD15" i="41"/>
  <c r="DE15" i="41"/>
  <c r="DF15" i="41"/>
  <c r="DG15" i="41"/>
  <c r="DH15" i="41"/>
  <c r="DI15" i="41"/>
  <c r="DJ15" i="41"/>
  <c r="DK15" i="41"/>
  <c r="DL15" i="41"/>
  <c r="DM15" i="41"/>
  <c r="DN15" i="41"/>
  <c r="DO15" i="41"/>
  <c r="DP15" i="41"/>
  <c r="DQ15" i="41"/>
  <c r="DR15" i="41"/>
  <c r="DS15" i="41"/>
  <c r="DT15" i="41"/>
  <c r="DU15" i="41"/>
  <c r="DV15" i="41"/>
  <c r="DW15" i="41"/>
  <c r="DA16" i="41"/>
  <c r="DB16" i="41"/>
  <c r="DC16" i="41"/>
  <c r="DD16" i="41"/>
  <c r="DE16" i="41"/>
  <c r="DF16" i="41"/>
  <c r="DG16" i="41"/>
  <c r="DH16" i="41"/>
  <c r="DI16" i="41"/>
  <c r="DJ16" i="41"/>
  <c r="DK16" i="41"/>
  <c r="DL16" i="41"/>
  <c r="DM16" i="41"/>
  <c r="DN16" i="41"/>
  <c r="DO16" i="41"/>
  <c r="DP16" i="41"/>
  <c r="DQ16" i="41"/>
  <c r="DR16" i="41"/>
  <c r="DS16" i="41"/>
  <c r="DT16" i="41"/>
  <c r="DU16" i="41"/>
  <c r="DV16" i="41"/>
  <c r="DW16" i="41"/>
  <c r="DA17" i="41"/>
  <c r="DB17" i="41"/>
  <c r="DC17" i="41"/>
  <c r="DD17" i="41"/>
  <c r="DE17" i="41"/>
  <c r="DF17" i="41"/>
  <c r="DG17" i="41"/>
  <c r="DH17" i="41"/>
  <c r="DI17" i="41"/>
  <c r="DJ17" i="41"/>
  <c r="DK17" i="41"/>
  <c r="DL17" i="41"/>
  <c r="DM17" i="41"/>
  <c r="DN17" i="41"/>
  <c r="DO17" i="41"/>
  <c r="DP17" i="41"/>
  <c r="DQ17" i="41"/>
  <c r="DR17" i="41"/>
  <c r="DS17" i="41"/>
  <c r="DT17" i="41"/>
  <c r="DU17" i="41"/>
  <c r="DV17" i="41"/>
  <c r="DW17" i="41"/>
  <c r="DA18" i="41"/>
  <c r="DB18" i="41"/>
  <c r="DC18" i="41"/>
  <c r="DD18" i="41"/>
  <c r="DE18" i="41"/>
  <c r="DF18" i="41"/>
  <c r="DG18" i="41"/>
  <c r="DH18" i="41"/>
  <c r="DI18" i="41"/>
  <c r="DJ18" i="41"/>
  <c r="DK18" i="41"/>
  <c r="DL18" i="41"/>
  <c r="DM18" i="41"/>
  <c r="DN18" i="41"/>
  <c r="DO18" i="41"/>
  <c r="DP18" i="41"/>
  <c r="DQ18" i="41"/>
  <c r="DR18" i="41"/>
  <c r="DS18" i="41"/>
  <c r="DT18" i="41"/>
  <c r="DU18" i="41"/>
  <c r="DV18" i="41"/>
  <c r="DW18" i="41"/>
  <c r="DA19" i="41"/>
  <c r="DB19" i="41"/>
  <c r="DC19" i="41"/>
  <c r="DD19" i="41"/>
  <c r="DE19" i="41"/>
  <c r="DF19" i="41"/>
  <c r="DG19" i="41"/>
  <c r="DH19" i="41"/>
  <c r="DI19" i="41"/>
  <c r="DJ19" i="41"/>
  <c r="DK19" i="41"/>
  <c r="DL19" i="41"/>
  <c r="DM19" i="41"/>
  <c r="DN19" i="41"/>
  <c r="DO19" i="41"/>
  <c r="DP19" i="41"/>
  <c r="DQ19" i="41"/>
  <c r="DR19" i="41"/>
  <c r="DS19" i="41"/>
  <c r="DT19" i="41"/>
  <c r="DU19" i="41"/>
  <c r="DV19" i="41"/>
  <c r="DW19" i="41"/>
  <c r="DA20" i="41"/>
  <c r="DB20" i="41"/>
  <c r="DC20" i="41"/>
  <c r="DD20" i="41"/>
  <c r="DE20" i="41"/>
  <c r="DF20" i="41"/>
  <c r="DG20" i="41"/>
  <c r="DH20" i="41"/>
  <c r="DI20" i="41"/>
  <c r="DJ20" i="41"/>
  <c r="DK20" i="41"/>
  <c r="DL20" i="41"/>
  <c r="DM20" i="41"/>
  <c r="DN20" i="41"/>
  <c r="DO20" i="41"/>
  <c r="DP20" i="41"/>
  <c r="DQ20" i="41"/>
  <c r="DR20" i="41"/>
  <c r="DS20" i="41"/>
  <c r="DT20" i="41"/>
  <c r="DU20" i="41"/>
  <c r="DV20" i="41"/>
  <c r="DW20" i="41"/>
  <c r="DA21" i="41"/>
  <c r="DB21" i="41"/>
  <c r="DC21" i="41"/>
  <c r="DD21" i="41"/>
  <c r="DE21" i="41"/>
  <c r="DF21" i="41"/>
  <c r="DG21" i="41"/>
  <c r="DH21" i="41"/>
  <c r="DI21" i="41"/>
  <c r="DJ21" i="41"/>
  <c r="DK21" i="41"/>
  <c r="DL21" i="41"/>
  <c r="DM21" i="41"/>
  <c r="DN21" i="41"/>
  <c r="DO21" i="41"/>
  <c r="DP21" i="41"/>
  <c r="DQ21" i="41"/>
  <c r="DR21" i="41"/>
  <c r="DS21" i="41"/>
  <c r="DT21" i="41"/>
  <c r="DU21" i="41"/>
  <c r="DV21" i="41"/>
  <c r="DW21" i="41"/>
  <c r="DA22" i="41"/>
  <c r="DB22" i="41"/>
  <c r="DC22" i="41"/>
  <c r="DD22" i="41"/>
  <c r="DE22" i="41"/>
  <c r="DF22" i="41"/>
  <c r="DG22" i="41"/>
  <c r="DH22" i="41"/>
  <c r="DI22" i="41"/>
  <c r="DJ22" i="41"/>
  <c r="DK22" i="41"/>
  <c r="DL22" i="41"/>
  <c r="DM22" i="41"/>
  <c r="DN22" i="41"/>
  <c r="DO22" i="41"/>
  <c r="DP22" i="41"/>
  <c r="DQ22" i="41"/>
  <c r="DR22" i="41"/>
  <c r="DS22" i="41"/>
  <c r="DT22" i="41"/>
  <c r="DU22" i="41"/>
  <c r="DV22" i="41"/>
  <c r="DW22" i="41"/>
  <c r="DA23" i="41"/>
  <c r="DB23" i="41"/>
  <c r="DC23" i="41"/>
  <c r="DD23" i="41"/>
  <c r="DE23" i="41"/>
  <c r="DF23" i="41"/>
  <c r="DG23" i="41"/>
  <c r="DH23" i="41"/>
  <c r="DI23" i="41"/>
  <c r="DJ23" i="41"/>
  <c r="DK23" i="41"/>
  <c r="DL23" i="41"/>
  <c r="DM23" i="41"/>
  <c r="DN23" i="41"/>
  <c r="DO23" i="41"/>
  <c r="DP23" i="41"/>
  <c r="DQ23" i="41"/>
  <c r="DR23" i="41"/>
  <c r="DS23" i="41"/>
  <c r="DT23" i="41"/>
  <c r="DU23" i="41"/>
  <c r="DV23" i="41"/>
  <c r="DW23" i="41"/>
  <c r="CZ9" i="41"/>
  <c r="CZ23" i="41"/>
  <c r="CZ22" i="41"/>
  <c r="CZ21" i="41"/>
  <c r="CZ20" i="41"/>
  <c r="CZ19" i="41"/>
  <c r="CZ18" i="41"/>
  <c r="CZ17" i="41"/>
  <c r="CZ16" i="41"/>
  <c r="CZ15" i="41"/>
  <c r="CZ14" i="41"/>
  <c r="CZ13" i="41"/>
  <c r="CZ12" i="41"/>
  <c r="CZ11" i="41"/>
  <c r="CZ10" i="41"/>
  <c r="M68" i="41"/>
  <c r="C46" i="41"/>
  <c r="B28" i="41" s="1"/>
  <c r="M46" i="41"/>
  <c r="M24" i="41"/>
  <c r="N50" i="41"/>
  <c r="DW52" i="41"/>
  <c r="DW53" i="41" s="1"/>
  <c r="DV52" i="41"/>
  <c r="DV53" i="41" s="1"/>
  <c r="DU52" i="41"/>
  <c r="DU53" i="41" s="1"/>
  <c r="DT52" i="41"/>
  <c r="DT53" i="41" s="1"/>
  <c r="DS52" i="41"/>
  <c r="DS53" i="41" s="1"/>
  <c r="DR52" i="41"/>
  <c r="DR53" i="41" s="1"/>
  <c r="DQ52" i="41"/>
  <c r="DQ53" i="41" s="1"/>
  <c r="DP52" i="41"/>
  <c r="DP53" i="41" s="1"/>
  <c r="DO52" i="41"/>
  <c r="DO53" i="41" s="1"/>
  <c r="DN52" i="41"/>
  <c r="DN53" i="41" s="1"/>
  <c r="DM52" i="41"/>
  <c r="DM53" i="41" s="1"/>
  <c r="DL52" i="41"/>
  <c r="DL53" i="41" s="1"/>
  <c r="DK52" i="41"/>
  <c r="DK53" i="41" s="1"/>
  <c r="DJ52" i="41"/>
  <c r="DJ53" i="41" s="1"/>
  <c r="DI52" i="41"/>
  <c r="DI53" i="41" s="1"/>
  <c r="DH52" i="41"/>
  <c r="DH53" i="41" s="1"/>
  <c r="DG52" i="41"/>
  <c r="DG53" i="41" s="1"/>
  <c r="DF52" i="41"/>
  <c r="DF53" i="41" s="1"/>
  <c r="DE52" i="41"/>
  <c r="DE53" i="41" s="1"/>
  <c r="DD52" i="41"/>
  <c r="DD53" i="41" s="1"/>
  <c r="DC52" i="41"/>
  <c r="DC53" i="41" s="1"/>
  <c r="DB52" i="41"/>
  <c r="DB53" i="41" s="1"/>
  <c r="DA52" i="41"/>
  <c r="DA53" i="41" s="1"/>
  <c r="CZ52" i="41"/>
  <c r="CZ53" i="41" s="1"/>
  <c r="DL51" i="41"/>
  <c r="CZ51" i="41"/>
  <c r="D50" i="41"/>
  <c r="N28" i="41"/>
  <c r="D28" i="41"/>
  <c r="D6" i="41"/>
  <c r="N6" i="41"/>
  <c r="DA26" i="41"/>
  <c r="DA27" i="41" s="1"/>
  <c r="DB26" i="41"/>
  <c r="DB27" i="41" s="1"/>
  <c r="DC26" i="41"/>
  <c r="DC27" i="41" s="1"/>
  <c r="DD26" i="41"/>
  <c r="DD27" i="41" s="1"/>
  <c r="DE26" i="41"/>
  <c r="DE27" i="41" s="1"/>
  <c r="DF26" i="41"/>
  <c r="DF27" i="41" s="1"/>
  <c r="DG26" i="41"/>
  <c r="DG27" i="41" s="1"/>
  <c r="DH26" i="41"/>
  <c r="DH27" i="41" s="1"/>
  <c r="DI26" i="41"/>
  <c r="DI27" i="41" s="1"/>
  <c r="DJ26" i="41"/>
  <c r="DJ27" i="41" s="1"/>
  <c r="DK26" i="41"/>
  <c r="DK27" i="41" s="1"/>
  <c r="DL26" i="41"/>
  <c r="DL27" i="41" s="1"/>
  <c r="DM26" i="41"/>
  <c r="DM27" i="41" s="1"/>
  <c r="DN26" i="41"/>
  <c r="DN27" i="41" s="1"/>
  <c r="DO26" i="41"/>
  <c r="DO27" i="41" s="1"/>
  <c r="DP26" i="41"/>
  <c r="DP27" i="41" s="1"/>
  <c r="DQ26" i="41"/>
  <c r="DQ27" i="41" s="1"/>
  <c r="DR26" i="41"/>
  <c r="DR27" i="41" s="1"/>
  <c r="DS26" i="41"/>
  <c r="DS27" i="41" s="1"/>
  <c r="DT26" i="41"/>
  <c r="DT27" i="41" s="1"/>
  <c r="DU26" i="41"/>
  <c r="DU27" i="41" s="1"/>
  <c r="DV26" i="41"/>
  <c r="DV27" i="41" s="1"/>
  <c r="DW26" i="41"/>
  <c r="DW27" i="41" s="1"/>
  <c r="CZ26" i="41"/>
  <c r="CZ27" i="41" s="1"/>
  <c r="C24" i="41"/>
  <c r="B6" i="41" s="1"/>
  <c r="E66" i="22" l="1"/>
  <c r="E66" i="27" s="1"/>
  <c r="Q28" i="44"/>
  <c r="Q30" i="44" s="1"/>
  <c r="E30" i="44"/>
  <c r="Q12" i="44"/>
  <c r="Q14" i="44" s="1"/>
  <c r="E14" i="44"/>
  <c r="R18" i="22"/>
  <c r="T18" i="22"/>
  <c r="AH12" i="41" a="1"/>
  <c r="AH12" i="41" s="1"/>
  <c r="E120" i="6" s="1"/>
  <c r="E11" i="8"/>
  <c r="E137" i="8" s="1"/>
  <c r="AT54" i="41"/>
  <c r="AT32" i="41"/>
  <c r="AT11" i="41"/>
  <c r="AT10" i="41"/>
  <c r="F11" i="22"/>
  <c r="E11" i="22"/>
  <c r="N11" i="6"/>
  <c r="N137" i="6" s="1"/>
  <c r="M11" i="6"/>
  <c r="M137" i="6" s="1"/>
  <c r="L11" i="6"/>
  <c r="L137" i="6" s="1"/>
  <c r="G11" i="22"/>
  <c r="K11" i="22"/>
  <c r="K15" i="22" s="1"/>
  <c r="K11" i="6"/>
  <c r="K137" i="6" s="1"/>
  <c r="G11" i="6"/>
  <c r="G137" i="6" s="1"/>
  <c r="P11" i="6"/>
  <c r="P137" i="6" s="1"/>
  <c r="H11" i="6"/>
  <c r="H137" i="6" s="1"/>
  <c r="L11" i="22"/>
  <c r="P11" i="22"/>
  <c r="V56" i="41" a="1"/>
  <c r="V56" i="41" s="1"/>
  <c r="V57" i="41" s="1"/>
  <c r="AJ56" i="41" a="1"/>
  <c r="AJ56" i="41" s="1"/>
  <c r="AJ57" i="41" s="1"/>
  <c r="W56" i="41" a="1"/>
  <c r="W56" i="41" s="1"/>
  <c r="W57" i="41" s="1"/>
  <c r="AK56" i="41" a="1"/>
  <c r="AK56" i="41" s="1"/>
  <c r="AK57" i="41" s="1"/>
  <c r="AH56" i="41" a="1"/>
  <c r="AH56" i="41" s="1"/>
  <c r="X56" i="41" a="1"/>
  <c r="X56" i="41" s="1"/>
  <c r="X57" i="41" s="1"/>
  <c r="AL56" i="41" a="1"/>
  <c r="AL56" i="41" s="1"/>
  <c r="AL57" i="41" s="1"/>
  <c r="Y56" i="41" a="1"/>
  <c r="Y56" i="41" s="1"/>
  <c r="Y57" i="41" s="1"/>
  <c r="AM56" i="41" a="1"/>
  <c r="AM56" i="41" s="1"/>
  <c r="AM57" i="41" s="1"/>
  <c r="AP56" i="41" a="1"/>
  <c r="AP56" i="41" s="1"/>
  <c r="AP57" i="41" s="1"/>
  <c r="AC56" i="41" a="1"/>
  <c r="AC56" i="41" s="1"/>
  <c r="AC57" i="41" s="1"/>
  <c r="AS56" i="41" a="1"/>
  <c r="AS56" i="41" s="1"/>
  <c r="P120" i="8" s="1"/>
  <c r="AB56" i="41" a="1"/>
  <c r="AB56" i="41" s="1"/>
  <c r="AB57" i="41" s="1"/>
  <c r="AQ56" i="41" a="1"/>
  <c r="AQ56" i="41" s="1"/>
  <c r="AQ57" i="41" s="1"/>
  <c r="AE56" i="41" a="1"/>
  <c r="AE56" i="41" s="1"/>
  <c r="AE57" i="41" s="1"/>
  <c r="AF56" i="41" a="1"/>
  <c r="AF56" i="41" s="1"/>
  <c r="AF57" i="41" s="1"/>
  <c r="AG56" i="41" a="1"/>
  <c r="AG56" i="41" s="1"/>
  <c r="AG57" i="41" s="1"/>
  <c r="AI56" i="41" a="1"/>
  <c r="AI56" i="41" s="1"/>
  <c r="AI57" i="41" s="1"/>
  <c r="Z56" i="41" a="1"/>
  <c r="Z56" i="41" s="1"/>
  <c r="Z57" i="41" s="1"/>
  <c r="AN56" i="41" a="1"/>
  <c r="AN56" i="41" s="1"/>
  <c r="AN57" i="41" s="1"/>
  <c r="AA56" i="41" a="1"/>
  <c r="AA56" i="41" s="1"/>
  <c r="AA57" i="41" s="1"/>
  <c r="AO56" i="41" a="1"/>
  <c r="AO56" i="41" s="1"/>
  <c r="AO57" i="41" s="1"/>
  <c r="AD56" i="41" a="1"/>
  <c r="AD56" i="41" s="1"/>
  <c r="AD57" i="41" s="1"/>
  <c r="AR56" i="41" a="1"/>
  <c r="AR56" i="41" s="1"/>
  <c r="O120" i="8" s="1"/>
  <c r="J11" i="6"/>
  <c r="J137" i="6" s="1"/>
  <c r="I11" i="6"/>
  <c r="I137" i="6" s="1"/>
  <c r="O11" i="22"/>
  <c r="N11" i="22"/>
  <c r="O11" i="6"/>
  <c r="O137" i="6" s="1"/>
  <c r="M11" i="22"/>
  <c r="J11" i="22"/>
  <c r="I11" i="22"/>
  <c r="F11" i="6"/>
  <c r="F137" i="6" s="1"/>
  <c r="H11" i="22"/>
  <c r="E11" i="6"/>
  <c r="E137" i="6" s="1"/>
  <c r="X12" i="41" a="1"/>
  <c r="X12" i="41" s="1"/>
  <c r="X13" i="41" s="1"/>
  <c r="AK12" i="41" a="1"/>
  <c r="AK12" i="41" s="1"/>
  <c r="AK13" i="41" s="1"/>
  <c r="AL12" i="41" a="1"/>
  <c r="AL12" i="41" s="1"/>
  <c r="I120" i="6" s="1"/>
  <c r="AR12" i="41" a="1"/>
  <c r="AR12" i="41" s="1"/>
  <c r="O120" i="6" s="1"/>
  <c r="G117" i="6"/>
  <c r="G168" i="6" s="1"/>
  <c r="AQ12" i="41" a="1"/>
  <c r="AQ12" i="41" s="1"/>
  <c r="N120" i="6" s="1"/>
  <c r="AI12" i="41" a="1"/>
  <c r="AI12" i="41" s="1"/>
  <c r="F120" i="6" s="1"/>
  <c r="AD12" i="41" a="1"/>
  <c r="AD12" i="41" s="1"/>
  <c r="AD13" i="41" s="1"/>
  <c r="AC12" i="41" a="1"/>
  <c r="AC12" i="41" s="1"/>
  <c r="AC13" i="41" s="1"/>
  <c r="AP12" i="41" a="1"/>
  <c r="AP12" i="41" s="1"/>
  <c r="AP13" i="41" s="1"/>
  <c r="V12" i="41" a="1"/>
  <c r="V12" i="41" s="1"/>
  <c r="V13" i="41" s="1"/>
  <c r="AB12" i="41" a="1"/>
  <c r="AB12" i="41" s="1"/>
  <c r="AB13" i="41" s="1"/>
  <c r="W12" i="41" a="1"/>
  <c r="W12" i="41" s="1"/>
  <c r="W13" i="41" s="1"/>
  <c r="AJ12" i="41" a="1"/>
  <c r="AJ12" i="41" s="1"/>
  <c r="G120" i="6" s="1"/>
  <c r="AO12" i="41" a="1"/>
  <c r="AO12" i="41" s="1"/>
  <c r="L120" i="6" s="1"/>
  <c r="AG12" i="41" a="1"/>
  <c r="AG12" i="41" s="1"/>
  <c r="AG13" i="41" s="1"/>
  <c r="AS12" i="41" a="1"/>
  <c r="AS12" i="41" s="1"/>
  <c r="AS13" i="41" s="1"/>
  <c r="W34" i="41" a="1"/>
  <c r="W34" i="41" s="1"/>
  <c r="W35" i="41" s="1"/>
  <c r="AK34" i="41" a="1"/>
  <c r="AK34" i="41" s="1"/>
  <c r="AK35" i="41" s="1"/>
  <c r="AL34" i="41" a="1"/>
  <c r="AL34" i="41" s="1"/>
  <c r="AL35" i="41" s="1"/>
  <c r="AQ34" i="41" a="1"/>
  <c r="AQ34" i="41" s="1"/>
  <c r="N120" i="22" s="1"/>
  <c r="X34" i="41" a="1"/>
  <c r="X34" i="41" s="1"/>
  <c r="X35" i="41" s="1"/>
  <c r="AM34" i="41" a="1"/>
  <c r="AM34" i="41" s="1"/>
  <c r="J120" i="22" s="1"/>
  <c r="AR34" i="41" a="1"/>
  <c r="AR34" i="41" s="1"/>
  <c r="O120" i="22" s="1"/>
  <c r="Y34" i="41" a="1"/>
  <c r="Y34" i="41" s="1"/>
  <c r="Y35" i="41" s="1"/>
  <c r="AN34" i="41" a="1"/>
  <c r="AN34" i="41" s="1"/>
  <c r="K120" i="22" s="1"/>
  <c r="AA34" i="41" a="1"/>
  <c r="AA34" i="41" s="1"/>
  <c r="AA35" i="41" s="1"/>
  <c r="AO34" i="41" a="1"/>
  <c r="AO34" i="41" s="1"/>
  <c r="L120" i="22" s="1"/>
  <c r="AP34" i="41" a="1"/>
  <c r="AP34" i="41" s="1"/>
  <c r="M120" i="22" s="1"/>
  <c r="Z34" i="41" a="1"/>
  <c r="Z34" i="41" s="1"/>
  <c r="Z35" i="41" s="1"/>
  <c r="AB34" i="41" a="1"/>
  <c r="AB34" i="41" s="1"/>
  <c r="AB35" i="41" s="1"/>
  <c r="AE34" i="41" a="1"/>
  <c r="AE34" i="41" s="1"/>
  <c r="AE35" i="41" s="1"/>
  <c r="AI34" i="41" a="1"/>
  <c r="AI34" i="41" s="1"/>
  <c r="F120" i="22" s="1"/>
  <c r="AG34" i="41" a="1"/>
  <c r="AG34" i="41" s="1"/>
  <c r="AG35" i="41" s="1"/>
  <c r="AD34" i="41" a="1"/>
  <c r="AD34" i="41" s="1"/>
  <c r="AD35" i="41" s="1"/>
  <c r="AC34" i="41" a="1"/>
  <c r="AC34" i="41" s="1"/>
  <c r="AC35" i="41" s="1"/>
  <c r="AS34" i="41" a="1"/>
  <c r="AS34" i="41" s="1"/>
  <c r="P120" i="22" s="1"/>
  <c r="AF34" i="41" a="1"/>
  <c r="AF34" i="41" s="1"/>
  <c r="AF35" i="41" s="1"/>
  <c r="AH34" i="41" a="1"/>
  <c r="AH34" i="41" s="1"/>
  <c r="V34" i="41" a="1"/>
  <c r="V34" i="41" s="1"/>
  <c r="V35" i="41" s="1"/>
  <c r="AJ34" i="41" a="1"/>
  <c r="AJ34" i="41" s="1"/>
  <c r="G120" i="22" s="1"/>
  <c r="AA12" i="41" a="1"/>
  <c r="AA12" i="41" s="1"/>
  <c r="AA13" i="41" s="1"/>
  <c r="AF12" i="41" a="1"/>
  <c r="AF12" i="41" s="1"/>
  <c r="AF13" i="41" s="1"/>
  <c r="Z12" i="41" a="1"/>
  <c r="Z12" i="41" s="1"/>
  <c r="Z13" i="41" s="1"/>
  <c r="AN12" i="41" a="1"/>
  <c r="AN12" i="41" s="1"/>
  <c r="K120" i="6" s="1"/>
  <c r="AM12" i="41" a="1"/>
  <c r="AM12" i="41" s="1"/>
  <c r="J120" i="6" s="1"/>
  <c r="AE12" i="41" a="1"/>
  <c r="AE12" i="41" s="1"/>
  <c r="AE13" i="41" s="1"/>
  <c r="Y12" i="41" a="1"/>
  <c r="Y12" i="41" s="1"/>
  <c r="Y13" i="41" s="1"/>
  <c r="K117" i="6"/>
  <c r="K168" i="6" s="1"/>
  <c r="J117" i="6"/>
  <c r="J168" i="6" s="1"/>
  <c r="P117" i="6"/>
  <c r="P168" i="6" s="1"/>
  <c r="F117" i="6"/>
  <c r="F168" i="6" s="1"/>
  <c r="P117" i="8"/>
  <c r="P168" i="8" s="1"/>
  <c r="F117" i="22"/>
  <c r="I117" i="22"/>
  <c r="I117" i="6"/>
  <c r="I168" i="6" s="1"/>
  <c r="G117" i="8"/>
  <c r="G168" i="8" s="1"/>
  <c r="H117" i="8"/>
  <c r="H168" i="8" s="1"/>
  <c r="I117" i="8"/>
  <c r="I168" i="8" s="1"/>
  <c r="J117" i="8"/>
  <c r="J168" i="8" s="1"/>
  <c r="J117" i="22"/>
  <c r="K117" i="22"/>
  <c r="H117" i="22"/>
  <c r="K117" i="8"/>
  <c r="K168" i="8" s="1"/>
  <c r="E117" i="6"/>
  <c r="E168" i="6" s="1"/>
  <c r="O117" i="22"/>
  <c r="N117" i="22"/>
  <c r="H117" i="6"/>
  <c r="H168" i="6" s="1"/>
  <c r="O117" i="8"/>
  <c r="O168" i="8" s="1"/>
  <c r="G117" i="22"/>
  <c r="O117" i="6"/>
  <c r="O168" i="6" s="1"/>
  <c r="N117" i="6"/>
  <c r="N168" i="6" s="1"/>
  <c r="E117" i="22"/>
  <c r="N117" i="8"/>
  <c r="N168" i="8" s="1"/>
  <c r="E117" i="8"/>
  <c r="E168" i="8" s="1"/>
  <c r="L117" i="8"/>
  <c r="L168" i="8" s="1"/>
  <c r="M117" i="8"/>
  <c r="M168" i="8" s="1"/>
  <c r="M117" i="6"/>
  <c r="M168" i="6" s="1"/>
  <c r="L117" i="6"/>
  <c r="L168" i="6" s="1"/>
  <c r="M117" i="22"/>
  <c r="DL24" i="41"/>
  <c r="H88" i="8"/>
  <c r="I88" i="8"/>
  <c r="J88" i="8"/>
  <c r="K88" i="8"/>
  <c r="L88" i="8"/>
  <c r="M88" i="8"/>
  <c r="O88" i="8"/>
  <c r="P88" i="8"/>
  <c r="E88" i="8"/>
  <c r="N88" i="8"/>
  <c r="F88" i="8"/>
  <c r="G88" i="8"/>
  <c r="Q168" i="8" l="1"/>
  <c r="Q168" i="6"/>
  <c r="L117" i="27"/>
  <c r="E117" i="27"/>
  <c r="O117" i="27"/>
  <c r="K11" i="27"/>
  <c r="H117" i="27"/>
  <c r="K117" i="27"/>
  <c r="E11" i="27"/>
  <c r="L11" i="27"/>
  <c r="O11" i="27"/>
  <c r="F11" i="27"/>
  <c r="N11" i="27"/>
  <c r="I117" i="27"/>
  <c r="AH57" i="41"/>
  <c r="AT56" i="41"/>
  <c r="AT57" i="41" s="1"/>
  <c r="M11" i="27"/>
  <c r="P117" i="27"/>
  <c r="M117" i="27"/>
  <c r="J117" i="27"/>
  <c r="E120" i="22"/>
  <c r="AT34" i="41"/>
  <c r="AT35" i="41" s="1"/>
  <c r="G117" i="27"/>
  <c r="O120" i="27"/>
  <c r="O121" i="27" s="1"/>
  <c r="I11" i="27"/>
  <c r="H11" i="27"/>
  <c r="J11" i="27"/>
  <c r="P11" i="27"/>
  <c r="F117" i="27"/>
  <c r="N117" i="27"/>
  <c r="G11" i="27"/>
  <c r="AH13" i="41"/>
  <c r="AT12" i="41"/>
  <c r="AT13" i="41" s="1"/>
  <c r="M120" i="6"/>
  <c r="H120" i="6"/>
  <c r="H120" i="8"/>
  <c r="I120" i="8"/>
  <c r="G120" i="8"/>
  <c r="G120" i="27" s="1"/>
  <c r="G121" i="27" s="1"/>
  <c r="M120" i="8"/>
  <c r="J120" i="8"/>
  <c r="J120" i="27" s="1"/>
  <c r="J121" i="27" s="1"/>
  <c r="AM13" i="41"/>
  <c r="AJ13" i="41"/>
  <c r="AP35" i="41"/>
  <c r="I120" i="22"/>
  <c r="H120" i="22"/>
  <c r="L120" i="8"/>
  <c r="L120" i="27" s="1"/>
  <c r="L121" i="27" s="1"/>
  <c r="AS57" i="41"/>
  <c r="K120" i="8"/>
  <c r="K120" i="27" s="1"/>
  <c r="K121" i="27" s="1"/>
  <c r="F120" i="8"/>
  <c r="F120" i="27" s="1"/>
  <c r="F121" i="27" s="1"/>
  <c r="E120" i="8"/>
  <c r="E121" i="8" s="1"/>
  <c r="P120" i="6"/>
  <c r="P120" i="27" s="1"/>
  <c r="P121" i="27" s="1"/>
  <c r="AQ13" i="41"/>
  <c r="N120" i="8"/>
  <c r="N120" i="27" s="1"/>
  <c r="N121" i="27" s="1"/>
  <c r="AS35" i="41"/>
  <c r="AN13" i="41"/>
  <c r="AH35" i="41"/>
  <c r="AI35" i="41"/>
  <c r="AR13" i="41"/>
  <c r="AL13" i="41"/>
  <c r="AI13" i="41"/>
  <c r="AO35" i="41"/>
  <c r="AN35" i="41"/>
  <c r="AQ35" i="41"/>
  <c r="AR57" i="41"/>
  <c r="AR35" i="41"/>
  <c r="AO13" i="41"/>
  <c r="AJ35" i="41"/>
  <c r="AM35" i="41"/>
  <c r="I120" i="27" l="1"/>
  <c r="I121" i="27" s="1"/>
  <c r="E120" i="27"/>
  <c r="E121" i="27" s="1"/>
  <c r="E148" i="27" s="1"/>
  <c r="H120" i="27"/>
  <c r="H121" i="27" s="1"/>
  <c r="M120" i="27"/>
  <c r="M121" i="27" s="1"/>
  <c r="E102" i="8" l="1"/>
  <c r="E102" i="22"/>
  <c r="E102" i="6"/>
  <c r="E164" i="6" s="1"/>
  <c r="G102" i="22"/>
  <c r="F102" i="6"/>
  <c r="F164" i="6" s="1"/>
  <c r="F94" i="8"/>
  <c r="G94" i="8"/>
  <c r="I94" i="8"/>
  <c r="J94" i="8"/>
  <c r="K94" i="8"/>
  <c r="L94" i="8"/>
  <c r="M94" i="8"/>
  <c r="N94" i="8"/>
  <c r="O94" i="8"/>
  <c r="P94" i="8"/>
  <c r="E94" i="8"/>
  <c r="F94" i="22"/>
  <c r="G94" i="22"/>
  <c r="I94" i="22"/>
  <c r="J94" i="22"/>
  <c r="K94" i="22"/>
  <c r="L94" i="22"/>
  <c r="M94" i="22"/>
  <c r="N94" i="22"/>
  <c r="O94" i="22"/>
  <c r="P94" i="22"/>
  <c r="E94" i="22"/>
  <c r="F94" i="6"/>
  <c r="F160" i="6" s="1"/>
  <c r="G94" i="6"/>
  <c r="G160" i="6" s="1"/>
  <c r="I94" i="6"/>
  <c r="I160" i="6" s="1"/>
  <c r="J94" i="6"/>
  <c r="J160" i="6" s="1"/>
  <c r="K94" i="6"/>
  <c r="K160" i="6" s="1"/>
  <c r="L94" i="6"/>
  <c r="L160" i="6" s="1"/>
  <c r="M94" i="6"/>
  <c r="M160" i="6" s="1"/>
  <c r="N94" i="6"/>
  <c r="N160" i="6" s="1"/>
  <c r="O94" i="6"/>
  <c r="O160" i="6" s="1"/>
  <c r="P94" i="6"/>
  <c r="P160" i="6" s="1"/>
  <c r="E94" i="6"/>
  <c r="E160" i="6" s="1"/>
  <c r="G94" i="27" l="1"/>
  <c r="N94" i="27"/>
  <c r="M94" i="27"/>
  <c r="O94" i="27"/>
  <c r="L94" i="27"/>
  <c r="J94" i="27"/>
  <c r="I94" i="27"/>
  <c r="E94" i="27"/>
  <c r="K94" i="27"/>
  <c r="F94" i="27"/>
  <c r="P94" i="27"/>
  <c r="E102" i="27"/>
  <c r="F102" i="22"/>
  <c r="F102" i="8"/>
  <c r="G102" i="8"/>
  <c r="P65" i="44"/>
  <c r="M65" i="44"/>
  <c r="K65" i="44"/>
  <c r="N65" i="44"/>
  <c r="O65" i="44"/>
  <c r="D22" i="43"/>
  <c r="D25" i="43" s="1"/>
  <c r="D15" i="43"/>
  <c r="D18" i="43" s="1"/>
  <c r="E126" i="22"/>
  <c r="Q35" i="43"/>
  <c r="D8" i="43"/>
  <c r="D11" i="43" s="1"/>
  <c r="E126" i="8"/>
  <c r="E33" i="43"/>
  <c r="E34" i="43"/>
  <c r="J2" i="22"/>
  <c r="J2" i="8" s="1"/>
  <c r="J2" i="6"/>
  <c r="J1" i="6"/>
  <c r="D135" i="8"/>
  <c r="D135" i="22"/>
  <c r="E126" i="27" l="1"/>
  <c r="F102" i="27"/>
  <c r="D28" i="43"/>
  <c r="G102" i="6"/>
  <c r="H102" i="22"/>
  <c r="H102" i="8"/>
  <c r="G65" i="44"/>
  <c r="L65" i="44"/>
  <c r="F65" i="44"/>
  <c r="J65" i="44"/>
  <c r="I65" i="44"/>
  <c r="E65" i="44"/>
  <c r="G102" i="27" l="1"/>
  <c r="G164" i="6"/>
  <c r="H102" i="6"/>
  <c r="I102" i="8"/>
  <c r="I102" i="22"/>
  <c r="H102" i="27" l="1"/>
  <c r="H164" i="6"/>
  <c r="I102" i="6"/>
  <c r="J102" i="8"/>
  <c r="J102" i="22"/>
  <c r="I102" i="27" l="1"/>
  <c r="I164" i="6"/>
  <c r="J102" i="6"/>
  <c r="K102" i="22"/>
  <c r="K102" i="8"/>
  <c r="J102" i="27" l="1"/>
  <c r="J164" i="6"/>
  <c r="K102" i="6"/>
  <c r="L102" i="8"/>
  <c r="L102" i="22"/>
  <c r="K102" i="27" l="1"/>
  <c r="K164" i="6"/>
  <c r="L102" i="6"/>
  <c r="M102" i="22"/>
  <c r="M102" i="8"/>
  <c r="L102" i="27" l="1"/>
  <c r="L164" i="6"/>
  <c r="M102" i="6"/>
  <c r="N102" i="8"/>
  <c r="N102" i="22"/>
  <c r="M102" i="27" l="1"/>
  <c r="M164" i="6"/>
  <c r="N102" i="6"/>
  <c r="O102" i="22"/>
  <c r="P102" i="8"/>
  <c r="O102" i="8"/>
  <c r="N102" i="27" l="1"/>
  <c r="N164" i="6"/>
  <c r="O102" i="6"/>
  <c r="P102" i="6"/>
  <c r="P164" i="6" s="1"/>
  <c r="P102" i="22"/>
  <c r="Q102" i="22" s="1"/>
  <c r="O102" i="27" l="1"/>
  <c r="O164" i="6"/>
  <c r="Q164" i="6" s="1"/>
  <c r="P102" i="27"/>
  <c r="D135" i="6" l="1"/>
  <c r="Q1" i="27" l="1"/>
  <c r="O1" i="55" l="1"/>
  <c r="O1" i="53"/>
  <c r="P1" i="56"/>
  <c r="A3" i="58"/>
  <c r="O1" i="52"/>
  <c r="Q1" i="43"/>
  <c r="O1" i="54"/>
  <c r="Q3" i="27"/>
  <c r="H1" i="46"/>
  <c r="S1" i="41"/>
  <c r="Q1" i="8"/>
  <c r="Q3" i="8" s="1"/>
  <c r="Q1" i="22"/>
  <c r="Q3" i="22" s="1"/>
  <c r="Q1" i="6"/>
  <c r="Q3" i="6" s="1"/>
  <c r="C93" i="44" l="1"/>
  <c r="C7" i="44"/>
  <c r="F145" i="27"/>
  <c r="F140" i="27"/>
  <c r="G145" i="27" l="1"/>
  <c r="H145" i="27" s="1"/>
  <c r="I145" i="27" s="1"/>
  <c r="J145" i="27" s="1"/>
  <c r="K145" i="27" s="1"/>
  <c r="L145" i="27" s="1"/>
  <c r="M145" i="27" s="1"/>
  <c r="N145" i="27" s="1"/>
  <c r="O145" i="27" s="1"/>
  <c r="P145" i="27" s="1"/>
  <c r="F148" i="27"/>
  <c r="G148" i="27" s="1"/>
  <c r="H148" i="27" s="1"/>
  <c r="I148" i="27" s="1"/>
  <c r="J148" i="27" s="1"/>
  <c r="K148" i="27" s="1"/>
  <c r="L148" i="27" s="1"/>
  <c r="M148" i="27" s="1"/>
  <c r="N148" i="27" s="1"/>
  <c r="O148" i="27" s="1"/>
  <c r="P148" i="27" s="1"/>
  <c r="G140" i="27"/>
  <c r="H140" i="27" s="1"/>
  <c r="I140" i="27" s="1"/>
  <c r="J140" i="27" s="1"/>
  <c r="K140" i="27" s="1"/>
  <c r="L140" i="27" s="1"/>
  <c r="M140" i="27" s="1"/>
  <c r="N140" i="27" s="1"/>
  <c r="O140" i="27" s="1"/>
  <c r="P140" i="27" s="1"/>
  <c r="C65" i="44"/>
  <c r="C51" i="44"/>
  <c r="C14" i="44"/>
  <c r="C44" i="44"/>
  <c r="Q140" i="27" l="1"/>
  <c r="C72" i="44"/>
  <c r="C30" i="44"/>
  <c r="D21" i="44"/>
  <c r="C86" i="44"/>
  <c r="C58" i="44"/>
  <c r="E27" i="6"/>
  <c r="E142" i="6" s="1"/>
  <c r="D23" i="44" l="1"/>
  <c r="C79" i="44"/>
  <c r="C21" i="44"/>
  <c r="C23" i="44" s="1"/>
  <c r="C100" i="44"/>
  <c r="C37" i="44"/>
  <c r="C107" i="44"/>
  <c r="C115" i="44" s="1"/>
  <c r="E7" i="44"/>
  <c r="E27" i="8"/>
  <c r="E100" i="8"/>
  <c r="E77" i="6"/>
  <c r="E156" i="6" s="1"/>
  <c r="E27" i="22"/>
  <c r="F27" i="6"/>
  <c r="F142" i="6" s="1"/>
  <c r="E100" i="22"/>
  <c r="E100" i="6"/>
  <c r="E93" i="44"/>
  <c r="P65" i="22" l="1"/>
  <c r="H65" i="22"/>
  <c r="L65" i="8"/>
  <c r="F65" i="6"/>
  <c r="G65" i="6"/>
  <c r="O65" i="8"/>
  <c r="H65" i="6"/>
  <c r="N65" i="22"/>
  <c r="O65" i="22"/>
  <c r="F65" i="8"/>
  <c r="M65" i="6"/>
  <c r="G65" i="8"/>
  <c r="I65" i="8"/>
  <c r="P65" i="6"/>
  <c r="P65" i="8"/>
  <c r="I65" i="22"/>
  <c r="M65" i="8"/>
  <c r="J65" i="22"/>
  <c r="N65" i="8"/>
  <c r="K65" i="22"/>
  <c r="L65" i="22"/>
  <c r="E65" i="8"/>
  <c r="I65" i="6"/>
  <c r="M65" i="22"/>
  <c r="E65" i="22"/>
  <c r="J65" i="6"/>
  <c r="E65" i="6"/>
  <c r="K65" i="6"/>
  <c r="L65" i="6"/>
  <c r="N65" i="6"/>
  <c r="H65" i="8"/>
  <c r="O65" i="6"/>
  <c r="J65" i="8"/>
  <c r="G65" i="22"/>
  <c r="F65" i="22"/>
  <c r="K65" i="8"/>
  <c r="N101" i="6"/>
  <c r="N163" i="6" s="1"/>
  <c r="O101" i="6"/>
  <c r="O163" i="6" s="1"/>
  <c r="M101" i="6"/>
  <c r="M163" i="6" s="1"/>
  <c r="H101" i="6"/>
  <c r="H163" i="6" s="1"/>
  <c r="P101" i="6"/>
  <c r="P163" i="6" s="1"/>
  <c r="P101" i="8"/>
  <c r="H101" i="8"/>
  <c r="G101" i="8"/>
  <c r="F101" i="8"/>
  <c r="N101" i="8"/>
  <c r="E101" i="8"/>
  <c r="I101" i="8"/>
  <c r="O101" i="8"/>
  <c r="K101" i="8"/>
  <c r="M101" i="8"/>
  <c r="L101" i="8"/>
  <c r="E101" i="6"/>
  <c r="E163" i="6" s="1"/>
  <c r="J101" i="6"/>
  <c r="J163" i="6" s="1"/>
  <c r="Q97" i="44"/>
  <c r="I101" i="6"/>
  <c r="I163" i="6" s="1"/>
  <c r="F101" i="6"/>
  <c r="F163" i="6" s="1"/>
  <c r="G101" i="6"/>
  <c r="G163" i="6" s="1"/>
  <c r="K101" i="6"/>
  <c r="K163" i="6" s="1"/>
  <c r="L101" i="6"/>
  <c r="L163" i="6" s="1"/>
  <c r="N101" i="22"/>
  <c r="H101" i="22"/>
  <c r="G101" i="22"/>
  <c r="P101" i="22"/>
  <c r="O101" i="22"/>
  <c r="I101" i="22"/>
  <c r="M101" i="22"/>
  <c r="L101" i="22"/>
  <c r="F101" i="22"/>
  <c r="K101" i="22"/>
  <c r="E101" i="22"/>
  <c r="F7" i="44"/>
  <c r="E27" i="27"/>
  <c r="E100" i="27"/>
  <c r="E44" i="44"/>
  <c r="H96" i="6"/>
  <c r="H161" i="6" s="1"/>
  <c r="E96" i="6"/>
  <c r="E161" i="6" s="1"/>
  <c r="Q69" i="44"/>
  <c r="F27" i="8"/>
  <c r="P96" i="6"/>
  <c r="P161" i="6" s="1"/>
  <c r="F27" i="22"/>
  <c r="F77" i="6"/>
  <c r="F156" i="6" s="1"/>
  <c r="G27" i="6"/>
  <c r="G142" i="6" s="1"/>
  <c r="F100" i="22"/>
  <c r="N96" i="6"/>
  <c r="N161" i="6" s="1"/>
  <c r="F96" i="6"/>
  <c r="F161" i="6" s="1"/>
  <c r="L96" i="6"/>
  <c r="L161" i="6" s="1"/>
  <c r="N96" i="22"/>
  <c r="L96" i="22"/>
  <c r="K96" i="22"/>
  <c r="M96" i="22"/>
  <c r="O96" i="22"/>
  <c r="F96" i="22"/>
  <c r="H96" i="22"/>
  <c r="I96" i="22"/>
  <c r="J96" i="22"/>
  <c r="G96" i="22"/>
  <c r="P96" i="22"/>
  <c r="E77" i="22"/>
  <c r="I96" i="6"/>
  <c r="I161" i="6" s="1"/>
  <c r="F100" i="8"/>
  <c r="G96" i="6"/>
  <c r="G161" i="6" s="1"/>
  <c r="Q55" i="44"/>
  <c r="E77" i="8"/>
  <c r="O96" i="6"/>
  <c r="O161" i="6" s="1"/>
  <c r="F100" i="6"/>
  <c r="F93" i="44"/>
  <c r="K96" i="6"/>
  <c r="K161" i="6" s="1"/>
  <c r="J96" i="6"/>
  <c r="J161" i="6" s="1"/>
  <c r="O96" i="8"/>
  <c r="N96" i="8"/>
  <c r="F96" i="8"/>
  <c r="J96" i="8"/>
  <c r="M96" i="8"/>
  <c r="G96" i="8"/>
  <c r="P96" i="8"/>
  <c r="L96" i="8"/>
  <c r="H96" i="8"/>
  <c r="I96" i="8"/>
  <c r="K96" i="8"/>
  <c r="M96" i="6"/>
  <c r="M161" i="6" s="1"/>
  <c r="E19" i="22"/>
  <c r="Q163" i="6" l="1"/>
  <c r="Q161" i="6"/>
  <c r="P65" i="27"/>
  <c r="J65" i="27"/>
  <c r="E65" i="27"/>
  <c r="M65" i="27"/>
  <c r="H65" i="27"/>
  <c r="K65" i="27"/>
  <c r="I65" i="27"/>
  <c r="G65" i="27"/>
  <c r="F65" i="27"/>
  <c r="O65" i="27"/>
  <c r="N65" i="27"/>
  <c r="L65" i="27"/>
  <c r="F21" i="44"/>
  <c r="Q19" i="44"/>
  <c r="Q20" i="44"/>
  <c r="F101" i="27"/>
  <c r="F100" i="44"/>
  <c r="L101" i="27"/>
  <c r="K100" i="44"/>
  <c r="L100" i="44"/>
  <c r="K101" i="27"/>
  <c r="E101" i="27"/>
  <c r="P101" i="27"/>
  <c r="H100" i="44"/>
  <c r="M101" i="27"/>
  <c r="G100" i="44"/>
  <c r="P92" i="27"/>
  <c r="O100" i="44"/>
  <c r="J101" i="8"/>
  <c r="Q99" i="44"/>
  <c r="H101" i="27"/>
  <c r="M100" i="44"/>
  <c r="I100" i="44"/>
  <c r="O101" i="27"/>
  <c r="J101" i="22"/>
  <c r="Q98" i="44"/>
  <c r="E100" i="44"/>
  <c r="P100" i="44"/>
  <c r="L92" i="27"/>
  <c r="I101" i="27"/>
  <c r="N100" i="44"/>
  <c r="G101" i="27"/>
  <c r="J100" i="44"/>
  <c r="N101" i="27"/>
  <c r="F27" i="27"/>
  <c r="E77" i="27"/>
  <c r="I96" i="27"/>
  <c r="F96" i="27"/>
  <c r="M96" i="27"/>
  <c r="P96" i="27"/>
  <c r="E99" i="27"/>
  <c r="L96" i="27"/>
  <c r="H96" i="27"/>
  <c r="G96" i="27"/>
  <c r="K96" i="27"/>
  <c r="F100" i="27"/>
  <c r="N96" i="27"/>
  <c r="M92" i="27"/>
  <c r="O96" i="27"/>
  <c r="J96" i="27"/>
  <c r="M72" i="44"/>
  <c r="G72" i="44"/>
  <c r="G7" i="44"/>
  <c r="E72" i="44"/>
  <c r="N58" i="44"/>
  <c r="F44" i="44"/>
  <c r="M98" i="6"/>
  <c r="M162" i="6" s="1"/>
  <c r="G100" i="6"/>
  <c r="G93" i="44"/>
  <c r="P72" i="44"/>
  <c r="F77" i="8"/>
  <c r="G100" i="8"/>
  <c r="I98" i="6"/>
  <c r="I162" i="6" s="1"/>
  <c r="Q57" i="44"/>
  <c r="H98" i="6"/>
  <c r="H162" i="6" s="1"/>
  <c r="K98" i="6"/>
  <c r="K162" i="6" s="1"/>
  <c r="Q56" i="44"/>
  <c r="N98" i="8"/>
  <c r="F98" i="8"/>
  <c r="J98" i="8"/>
  <c r="M98" i="8"/>
  <c r="O98" i="8"/>
  <c r="G98" i="8"/>
  <c r="H98" i="8"/>
  <c r="I98" i="8"/>
  <c r="K98" i="8"/>
  <c r="P98" i="8"/>
  <c r="L98" i="8"/>
  <c r="E58" i="44"/>
  <c r="G98" i="6"/>
  <c r="G162" i="6" s="1"/>
  <c r="F58" i="44"/>
  <c r="P58" i="44"/>
  <c r="P98" i="6"/>
  <c r="P162" i="6" s="1"/>
  <c r="G27" i="8"/>
  <c r="O58" i="44"/>
  <c r="M58" i="44"/>
  <c r="O98" i="6"/>
  <c r="O162" i="6" s="1"/>
  <c r="H27" i="6"/>
  <c r="H142" i="6" s="1"/>
  <c r="N72" i="44"/>
  <c r="I72" i="44"/>
  <c r="F98" i="6"/>
  <c r="F162" i="6" s="1"/>
  <c r="E98" i="6"/>
  <c r="E162" i="6" s="1"/>
  <c r="Q76" i="44"/>
  <c r="L72" i="44"/>
  <c r="G100" i="22"/>
  <c r="H72" i="44"/>
  <c r="K58" i="44"/>
  <c r="J72" i="44"/>
  <c r="O72" i="44"/>
  <c r="I58" i="44"/>
  <c r="Q70" i="44"/>
  <c r="E96" i="22"/>
  <c r="N98" i="6"/>
  <c r="N162" i="6" s="1"/>
  <c r="E96" i="8"/>
  <c r="Q71" i="44"/>
  <c r="F77" i="22"/>
  <c r="L98" i="6"/>
  <c r="L162" i="6" s="1"/>
  <c r="G27" i="22"/>
  <c r="J58" i="44"/>
  <c r="P98" i="22"/>
  <c r="F98" i="22"/>
  <c r="G98" i="22"/>
  <c r="H98" i="22"/>
  <c r="M98" i="22"/>
  <c r="I98" i="22"/>
  <c r="J98" i="22"/>
  <c r="L98" i="22"/>
  <c r="O98" i="22"/>
  <c r="K98" i="22"/>
  <c r="N98" i="22"/>
  <c r="L58" i="44"/>
  <c r="K72" i="44"/>
  <c r="H58" i="44"/>
  <c r="J98" i="6"/>
  <c r="J162" i="6" s="1"/>
  <c r="G58" i="44"/>
  <c r="F72" i="44"/>
  <c r="Q162" i="6" l="1"/>
  <c r="I92" i="27"/>
  <c r="G21" i="44"/>
  <c r="N92" i="27"/>
  <c r="G92" i="27"/>
  <c r="J101" i="27"/>
  <c r="K92" i="27"/>
  <c r="H92" i="27"/>
  <c r="Q100" i="44"/>
  <c r="O92" i="27"/>
  <c r="F92" i="27"/>
  <c r="J92" i="27"/>
  <c r="N98" i="27"/>
  <c r="F98" i="27"/>
  <c r="F77" i="27"/>
  <c r="F79" i="27" s="1"/>
  <c r="E92" i="27"/>
  <c r="O98" i="27"/>
  <c r="K98" i="27"/>
  <c r="J98" i="27"/>
  <c r="E96" i="27"/>
  <c r="G27" i="27"/>
  <c r="I98" i="27"/>
  <c r="M98" i="27"/>
  <c r="G98" i="27"/>
  <c r="F99" i="27"/>
  <c r="L98" i="27"/>
  <c r="P98" i="27"/>
  <c r="H98" i="27"/>
  <c r="G100" i="27"/>
  <c r="Q58" i="44"/>
  <c r="G79" i="44"/>
  <c r="Q72" i="44"/>
  <c r="H7" i="44"/>
  <c r="J79" i="44"/>
  <c r="F79" i="44"/>
  <c r="H100" i="6"/>
  <c r="H93" i="44"/>
  <c r="Q77" i="44"/>
  <c r="E98" i="22"/>
  <c r="I27" i="6"/>
  <c r="I142" i="6" s="1"/>
  <c r="H79" i="44"/>
  <c r="H100" i="22"/>
  <c r="I79" i="44"/>
  <c r="L79" i="44"/>
  <c r="E98" i="8"/>
  <c r="Q78" i="44"/>
  <c r="H100" i="8"/>
  <c r="M79" i="44"/>
  <c r="H27" i="8"/>
  <c r="H27" i="22"/>
  <c r="N79" i="44"/>
  <c r="E79" i="44"/>
  <c r="O79" i="44"/>
  <c r="P79" i="44"/>
  <c r="K79" i="44"/>
  <c r="G44" i="44"/>
  <c r="G77" i="8"/>
  <c r="G77" i="22"/>
  <c r="H77" i="6"/>
  <c r="H156" i="6" s="1"/>
  <c r="H21" i="44" l="1"/>
  <c r="G77" i="27"/>
  <c r="G79" i="27" s="1"/>
  <c r="F103" i="27"/>
  <c r="E98" i="27"/>
  <c r="H27" i="27"/>
  <c r="G99" i="27"/>
  <c r="G103" i="27" s="1"/>
  <c r="H100" i="27"/>
  <c r="Q79" i="44"/>
  <c r="H77" i="22"/>
  <c r="I7" i="44"/>
  <c r="H77" i="8"/>
  <c r="I77" i="6"/>
  <c r="I156" i="6" s="1"/>
  <c r="J27" i="6"/>
  <c r="J142" i="6" s="1"/>
  <c r="I100" i="8"/>
  <c r="I27" i="8"/>
  <c r="I100" i="22"/>
  <c r="H44" i="44"/>
  <c r="I100" i="6"/>
  <c r="I93" i="44"/>
  <c r="I27" i="22"/>
  <c r="I21" i="44" l="1"/>
  <c r="H77" i="27"/>
  <c r="I27" i="27"/>
  <c r="I100" i="27"/>
  <c r="H99" i="27"/>
  <c r="H103" i="27" s="1"/>
  <c r="I44" i="44"/>
  <c r="J7" i="44"/>
  <c r="K27" i="6"/>
  <c r="K142" i="6" s="1"/>
  <c r="J100" i="22"/>
  <c r="J100" i="8"/>
  <c r="J77" i="6"/>
  <c r="J156" i="6" s="1"/>
  <c r="J27" i="8"/>
  <c r="I77" i="8"/>
  <c r="I77" i="22"/>
  <c r="J27" i="22"/>
  <c r="J100" i="6"/>
  <c r="J93" i="44"/>
  <c r="E24" i="43"/>
  <c r="E23" i="43"/>
  <c r="E21" i="43"/>
  <c r="E20" i="43"/>
  <c r="E17" i="43"/>
  <c r="E16" i="43"/>
  <c r="E14" i="43"/>
  <c r="E13" i="43"/>
  <c r="E10" i="43"/>
  <c r="E9" i="43"/>
  <c r="E7" i="43"/>
  <c r="J21" i="44" l="1"/>
  <c r="I77" i="27"/>
  <c r="I79" i="27" s="1"/>
  <c r="J100" i="27"/>
  <c r="J27" i="27"/>
  <c r="I99" i="27"/>
  <c r="I103" i="27" s="1"/>
  <c r="F9" i="43"/>
  <c r="G9" i="43" s="1"/>
  <c r="F10" i="43"/>
  <c r="F62" i="6" s="1"/>
  <c r="F7" i="43"/>
  <c r="G7" i="43" s="1"/>
  <c r="H7" i="43" s="1"/>
  <c r="I7" i="43" s="1"/>
  <c r="J7" i="43" s="1"/>
  <c r="K7" i="43" s="1"/>
  <c r="L7" i="43" s="1"/>
  <c r="M7" i="43" s="1"/>
  <c r="N7" i="43" s="1"/>
  <c r="O7" i="43" s="1"/>
  <c r="P7" i="43" s="1"/>
  <c r="F21" i="43"/>
  <c r="G21" i="43" s="1"/>
  <c r="H21" i="43" s="1"/>
  <c r="I21" i="43" s="1"/>
  <c r="J21" i="43" s="1"/>
  <c r="K21" i="43" s="1"/>
  <c r="L21" i="43" s="1"/>
  <c r="M21" i="43" s="1"/>
  <c r="N21" i="43" s="1"/>
  <c r="O21" i="43" s="1"/>
  <c r="P21" i="43" s="1"/>
  <c r="F23" i="43"/>
  <c r="G23" i="43" s="1"/>
  <c r="F24" i="43"/>
  <c r="F62" i="8" s="1"/>
  <c r="F16" i="43"/>
  <c r="G16" i="43" s="1"/>
  <c r="F17" i="43"/>
  <c r="G17" i="43" s="1"/>
  <c r="F14" i="43"/>
  <c r="G14" i="43" s="1"/>
  <c r="H14" i="43" s="1"/>
  <c r="I14" i="43" s="1"/>
  <c r="J14" i="43" s="1"/>
  <c r="K14" i="43" s="1"/>
  <c r="L14" i="43" s="1"/>
  <c r="M14" i="43" s="1"/>
  <c r="N14" i="43" s="1"/>
  <c r="O14" i="43" s="1"/>
  <c r="P14" i="43" s="1"/>
  <c r="L27" i="6"/>
  <c r="L142" i="6" s="1"/>
  <c r="K27" i="22"/>
  <c r="J77" i="22"/>
  <c r="K100" i="8"/>
  <c r="K100" i="6"/>
  <c r="K93" i="44"/>
  <c r="J77" i="8"/>
  <c r="K7" i="44"/>
  <c r="K100" i="22"/>
  <c r="K27" i="8"/>
  <c r="J44" i="44"/>
  <c r="K77" i="6"/>
  <c r="K156" i="6" s="1"/>
  <c r="G10" i="43"/>
  <c r="F20" i="43"/>
  <c r="E22" i="43"/>
  <c r="E25" i="43" s="1"/>
  <c r="F13" i="43"/>
  <c r="E15" i="43"/>
  <c r="E18" i="43" s="1"/>
  <c r="K21" i="44" l="1"/>
  <c r="F61" i="6"/>
  <c r="K27" i="27"/>
  <c r="J77" i="27"/>
  <c r="J79" i="27" s="1"/>
  <c r="J99" i="27"/>
  <c r="J103" i="27" s="1"/>
  <c r="K100" i="27"/>
  <c r="F60" i="8"/>
  <c r="G24" i="43"/>
  <c r="G62" i="8" s="1"/>
  <c r="F61" i="22"/>
  <c r="F62" i="22"/>
  <c r="F62" i="27" s="1"/>
  <c r="F60" i="22"/>
  <c r="Q7" i="43"/>
  <c r="F61" i="8"/>
  <c r="Q21" i="43"/>
  <c r="Q14" i="43"/>
  <c r="L7" i="44"/>
  <c r="K44" i="44"/>
  <c r="L100" i="6"/>
  <c r="L93" i="44"/>
  <c r="L100" i="8"/>
  <c r="L77" i="6"/>
  <c r="L156" i="6" s="1"/>
  <c r="K77" i="8"/>
  <c r="K77" i="22"/>
  <c r="L27" i="8"/>
  <c r="L27" i="22"/>
  <c r="L100" i="22"/>
  <c r="M27" i="6"/>
  <c r="M142" i="6" s="1"/>
  <c r="H24" i="43"/>
  <c r="H16" i="43"/>
  <c r="G61" i="22"/>
  <c r="H9" i="43"/>
  <c r="G61" i="6"/>
  <c r="H10" i="43"/>
  <c r="G62" i="6"/>
  <c r="H23" i="43"/>
  <c r="G61" i="8"/>
  <c r="H17" i="43"/>
  <c r="G62" i="22"/>
  <c r="G20" i="43"/>
  <c r="G60" i="8" s="1"/>
  <c r="F22" i="43"/>
  <c r="F25" i="43" s="1"/>
  <c r="G13" i="43"/>
  <c r="G60" i="22" s="1"/>
  <c r="F15" i="43"/>
  <c r="F18" i="43" s="1"/>
  <c r="Q65" i="6"/>
  <c r="R65" i="6" s="1"/>
  <c r="Q65" i="22"/>
  <c r="R65" i="22" s="1"/>
  <c r="L21" i="44" l="1"/>
  <c r="F61" i="27"/>
  <c r="K77" i="27"/>
  <c r="K99" i="27"/>
  <c r="K103" i="27" s="1"/>
  <c r="L100" i="27"/>
  <c r="L27" i="27"/>
  <c r="M7" i="44"/>
  <c r="G61" i="27"/>
  <c r="G62" i="27"/>
  <c r="M100" i="8"/>
  <c r="N27" i="6"/>
  <c r="N142" i="6" s="1"/>
  <c r="M100" i="6"/>
  <c r="M93" i="44"/>
  <c r="M27" i="22"/>
  <c r="M100" i="22"/>
  <c r="L77" i="8"/>
  <c r="M27" i="8"/>
  <c r="L44" i="44"/>
  <c r="L77" i="22"/>
  <c r="M77" i="6"/>
  <c r="M156" i="6" s="1"/>
  <c r="I17" i="43"/>
  <c r="H62" i="22"/>
  <c r="I23" i="43"/>
  <c r="H61" i="8"/>
  <c r="I16" i="43"/>
  <c r="H61" i="22"/>
  <c r="I9" i="43"/>
  <c r="H61" i="6"/>
  <c r="I10" i="43"/>
  <c r="H62" i="6"/>
  <c r="I24" i="43"/>
  <c r="H62" i="8"/>
  <c r="H20" i="43"/>
  <c r="G22" i="43"/>
  <c r="G25" i="43" s="1"/>
  <c r="H13" i="43"/>
  <c r="G15" i="43"/>
  <c r="G18" i="43" s="1"/>
  <c r="M21" i="44" l="1"/>
  <c r="M27" i="27"/>
  <c r="L77" i="27"/>
  <c r="L79" i="27" s="1"/>
  <c r="M100" i="27"/>
  <c r="L99" i="27"/>
  <c r="L103" i="27" s="1"/>
  <c r="H62" i="27"/>
  <c r="H61" i="27"/>
  <c r="H60" i="8"/>
  <c r="H60" i="22"/>
  <c r="N7" i="44"/>
  <c r="M44" i="44"/>
  <c r="N27" i="8"/>
  <c r="M77" i="22"/>
  <c r="N100" i="8"/>
  <c r="N27" i="22"/>
  <c r="N100" i="22"/>
  <c r="N77" i="6"/>
  <c r="N156" i="6" s="1"/>
  <c r="M77" i="8"/>
  <c r="O27" i="6"/>
  <c r="O142" i="6" s="1"/>
  <c r="N100" i="6"/>
  <c r="N93" i="44"/>
  <c r="J10" i="43"/>
  <c r="I62" i="6"/>
  <c r="J24" i="43"/>
  <c r="I62" i="8"/>
  <c r="J9" i="43"/>
  <c r="I61" i="6"/>
  <c r="J16" i="43"/>
  <c r="I61" i="22"/>
  <c r="J23" i="43"/>
  <c r="I61" i="8"/>
  <c r="J17" i="43"/>
  <c r="I62" i="22"/>
  <c r="I20" i="43"/>
  <c r="I60" i="8" s="1"/>
  <c r="H22" i="43"/>
  <c r="H25" i="43" s="1"/>
  <c r="I13" i="43"/>
  <c r="I60" i="22" s="1"/>
  <c r="H15" i="43"/>
  <c r="H18" i="43" s="1"/>
  <c r="N36" i="22"/>
  <c r="N145" i="22" s="1"/>
  <c r="Q31" i="22"/>
  <c r="L50" i="22"/>
  <c r="M50" i="22"/>
  <c r="N50" i="22"/>
  <c r="O50" i="22"/>
  <c r="R31" i="22" l="1"/>
  <c r="T31" i="22"/>
  <c r="N21" i="44"/>
  <c r="M77" i="27"/>
  <c r="M79" i="27" s="1"/>
  <c r="N27" i="27"/>
  <c r="N100" i="27"/>
  <c r="M99" i="27"/>
  <c r="M103" i="27" s="1"/>
  <c r="O7" i="44"/>
  <c r="I62" i="27"/>
  <c r="I61" i="27"/>
  <c r="N77" i="22"/>
  <c r="O27" i="8"/>
  <c r="N77" i="8"/>
  <c r="P27" i="6"/>
  <c r="P142" i="6" s="1"/>
  <c r="Q142" i="6" s="1"/>
  <c r="Q4" i="44"/>
  <c r="O27" i="22"/>
  <c r="N44" i="44"/>
  <c r="O77" i="6"/>
  <c r="O156" i="6" s="1"/>
  <c r="O100" i="6"/>
  <c r="O93" i="44"/>
  <c r="O100" i="8"/>
  <c r="O100" i="22"/>
  <c r="K24" i="43"/>
  <c r="J62" i="8"/>
  <c r="K10" i="43"/>
  <c r="J62" i="6"/>
  <c r="K17" i="43"/>
  <c r="J62" i="22"/>
  <c r="K23" i="43"/>
  <c r="J61" i="8"/>
  <c r="K16" i="43"/>
  <c r="J61" i="22"/>
  <c r="K9" i="43"/>
  <c r="J61" i="6"/>
  <c r="J20" i="43"/>
  <c r="I22" i="43"/>
  <c r="I25" i="43" s="1"/>
  <c r="J13" i="43"/>
  <c r="J60" i="22" s="1"/>
  <c r="I15" i="43"/>
  <c r="I18" i="43" s="1"/>
  <c r="O21" i="44" l="1"/>
  <c r="N77" i="27"/>
  <c r="O27" i="27"/>
  <c r="N99" i="27"/>
  <c r="N103" i="27" s="1"/>
  <c r="O44" i="44"/>
  <c r="O100" i="27"/>
  <c r="J61" i="27"/>
  <c r="J62" i="27"/>
  <c r="J60" i="8"/>
  <c r="P27" i="22"/>
  <c r="Q5" i="44"/>
  <c r="O77" i="8"/>
  <c r="P27" i="8"/>
  <c r="Q6" i="44"/>
  <c r="P100" i="22"/>
  <c r="Q91" i="44"/>
  <c r="P7" i="44"/>
  <c r="P100" i="6"/>
  <c r="P93" i="44"/>
  <c r="Q90" i="44"/>
  <c r="P77" i="6"/>
  <c r="P156" i="6" s="1"/>
  <c r="Q156" i="6" s="1"/>
  <c r="Q41" i="44"/>
  <c r="P100" i="8"/>
  <c r="Q92" i="44"/>
  <c r="O77" i="22"/>
  <c r="L17" i="43"/>
  <c r="K62" i="22"/>
  <c r="L9" i="43"/>
  <c r="K61" i="6"/>
  <c r="L16" i="43"/>
  <c r="K61" i="22"/>
  <c r="L10" i="43"/>
  <c r="K62" i="6"/>
  <c r="L23" i="43"/>
  <c r="K61" i="8"/>
  <c r="L24" i="43"/>
  <c r="K62" i="8"/>
  <c r="K20" i="43"/>
  <c r="K60" i="8" s="1"/>
  <c r="J22" i="43"/>
  <c r="J25" i="43" s="1"/>
  <c r="K13" i="43"/>
  <c r="K60" i="22" s="1"/>
  <c r="J15" i="43"/>
  <c r="J18" i="43" s="1"/>
  <c r="P21" i="44" l="1"/>
  <c r="Q18" i="44"/>
  <c r="Q21" i="44" s="1"/>
  <c r="P27" i="27"/>
  <c r="O77" i="27"/>
  <c r="O79" i="27" s="1"/>
  <c r="P100" i="27"/>
  <c r="O99" i="27"/>
  <c r="O103" i="27" s="1"/>
  <c r="P44" i="44"/>
  <c r="Q7" i="44"/>
  <c r="K61" i="27"/>
  <c r="K62" i="27"/>
  <c r="Q93" i="44"/>
  <c r="P77" i="8"/>
  <c r="Q43" i="44"/>
  <c r="P77" i="22"/>
  <c r="Q42" i="44"/>
  <c r="F126" i="22"/>
  <c r="M17" i="43"/>
  <c r="L62" i="22"/>
  <c r="M23" i="43"/>
  <c r="L61" i="8"/>
  <c r="M9" i="43"/>
  <c r="L61" i="6"/>
  <c r="M24" i="43"/>
  <c r="L62" i="8"/>
  <c r="M10" i="43"/>
  <c r="L62" i="6"/>
  <c r="M16" i="43"/>
  <c r="L61" i="22"/>
  <c r="L20" i="43"/>
  <c r="L60" i="8" s="1"/>
  <c r="K22" i="43"/>
  <c r="K25" i="43" s="1"/>
  <c r="L13" i="43"/>
  <c r="L60" i="22" s="1"/>
  <c r="K15" i="43"/>
  <c r="K18" i="43" s="1"/>
  <c r="F126" i="8" l="1"/>
  <c r="F126" i="27" s="1"/>
  <c r="P77" i="27"/>
  <c r="P79" i="27" s="1"/>
  <c r="P99" i="27"/>
  <c r="P103" i="27" s="1"/>
  <c r="L61" i="27"/>
  <c r="L62" i="27"/>
  <c r="Q44" i="44"/>
  <c r="N9" i="43"/>
  <c r="O9" i="43" s="1"/>
  <c r="M61" i="6"/>
  <c r="N23" i="43"/>
  <c r="O23" i="43" s="1"/>
  <c r="M61" i="8"/>
  <c r="N17" i="43"/>
  <c r="O17" i="43" s="1"/>
  <c r="M62" i="22"/>
  <c r="N16" i="43"/>
  <c r="O16" i="43" s="1"/>
  <c r="M61" i="22"/>
  <c r="N24" i="43"/>
  <c r="O24" i="43" s="1"/>
  <c r="M62" i="8"/>
  <c r="N10" i="43"/>
  <c r="O10" i="43" s="1"/>
  <c r="M62" i="6"/>
  <c r="M20" i="43"/>
  <c r="M60" i="8" s="1"/>
  <c r="L22" i="43"/>
  <c r="L25" i="43" s="1"/>
  <c r="M13" i="43"/>
  <c r="M60" i="22" s="1"/>
  <c r="L15" i="43"/>
  <c r="L18" i="43" s="1"/>
  <c r="G43" i="8"/>
  <c r="Q47" i="22"/>
  <c r="R47" i="22" s="1"/>
  <c r="Q34" i="22"/>
  <c r="R34" i="22" s="1"/>
  <c r="H579" i="38"/>
  <c r="H580" i="38"/>
  <c r="H581" i="38"/>
  <c r="H582" i="38"/>
  <c r="H583" i="38"/>
  <c r="H584" i="38"/>
  <c r="H585" i="38"/>
  <c r="H586" i="38"/>
  <c r="H587" i="38"/>
  <c r="H588" i="38"/>
  <c r="H589" i="38"/>
  <c r="H590" i="38"/>
  <c r="H572" i="38"/>
  <c r="H573" i="38"/>
  <c r="H574" i="38"/>
  <c r="H575" i="38"/>
  <c r="H576" i="38"/>
  <c r="H577" i="38"/>
  <c r="H578" i="38"/>
  <c r="H552" i="38"/>
  <c r="H553" i="38"/>
  <c r="H554" i="38"/>
  <c r="H555" i="38"/>
  <c r="H556" i="38"/>
  <c r="H557" i="38"/>
  <c r="H558" i="38"/>
  <c r="H559" i="38"/>
  <c r="Q49" i="6"/>
  <c r="R49" i="6" s="1"/>
  <c r="Q48" i="6"/>
  <c r="R48" i="6" s="1"/>
  <c r="H418" i="38"/>
  <c r="H419" i="38"/>
  <c r="H420" i="38"/>
  <c r="H421" i="38"/>
  <c r="H422" i="38"/>
  <c r="H423" i="38"/>
  <c r="H424" i="38"/>
  <c r="H425" i="38"/>
  <c r="H426" i="38"/>
  <c r="H427" i="38"/>
  <c r="H428" i="38"/>
  <c r="H429" i="38"/>
  <c r="H379" i="38"/>
  <c r="H380" i="38"/>
  <c r="H381" i="38"/>
  <c r="H370" i="38"/>
  <c r="H371" i="38"/>
  <c r="H372" i="38"/>
  <c r="H373" i="38"/>
  <c r="H374" i="38"/>
  <c r="H375" i="38"/>
  <c r="H376" i="38"/>
  <c r="H377" i="38"/>
  <c r="H378" i="38"/>
  <c r="H451" i="38"/>
  <c r="H452" i="38"/>
  <c r="H453" i="38"/>
  <c r="H454" i="38"/>
  <c r="H455" i="38"/>
  <c r="H456" i="38"/>
  <c r="H457" i="38"/>
  <c r="H458" i="38"/>
  <c r="H459" i="38"/>
  <c r="H460" i="38"/>
  <c r="H461" i="38"/>
  <c r="H462" i="38"/>
  <c r="H238" i="38"/>
  <c r="H239" i="38"/>
  <c r="H240" i="38"/>
  <c r="H241" i="38"/>
  <c r="H242" i="38"/>
  <c r="H243" i="38"/>
  <c r="H244" i="38"/>
  <c r="H245" i="38"/>
  <c r="H246" i="38"/>
  <c r="H247" i="38"/>
  <c r="H248" i="38"/>
  <c r="H249" i="38"/>
  <c r="H250" i="38"/>
  <c r="H251" i="38"/>
  <c r="H252" i="38"/>
  <c r="H253" i="38"/>
  <c r="H254" i="38"/>
  <c r="H255" i="38"/>
  <c r="H256" i="38"/>
  <c r="H257" i="38"/>
  <c r="H258" i="38"/>
  <c r="H259" i="38"/>
  <c r="H260" i="38"/>
  <c r="H261" i="38"/>
  <c r="H92" i="38"/>
  <c r="H93" i="38"/>
  <c r="H94" i="38"/>
  <c r="H119" i="38"/>
  <c r="H120" i="38"/>
  <c r="H121" i="38"/>
  <c r="H122" i="38"/>
  <c r="H123" i="38"/>
  <c r="H124" i="38"/>
  <c r="H125" i="38"/>
  <c r="H126" i="38"/>
  <c r="H127" i="38"/>
  <c r="H128" i="38"/>
  <c r="H129" i="38"/>
  <c r="H130" i="38"/>
  <c r="H131" i="38"/>
  <c r="H132" i="38"/>
  <c r="H133" i="38"/>
  <c r="H134" i="38"/>
  <c r="H135" i="38"/>
  <c r="H136" i="38"/>
  <c r="H95" i="38"/>
  <c r="H96" i="38"/>
  <c r="H97" i="38"/>
  <c r="H98" i="38"/>
  <c r="H99" i="38"/>
  <c r="H100" i="38"/>
  <c r="H101" i="38"/>
  <c r="H102" i="38"/>
  <c r="H103" i="38"/>
  <c r="H104" i="38"/>
  <c r="H105" i="38"/>
  <c r="H106" i="38"/>
  <c r="H48" i="38"/>
  <c r="H49" i="38"/>
  <c r="H50" i="38"/>
  <c r="H51" i="38"/>
  <c r="H52" i="38"/>
  <c r="H53" i="38"/>
  <c r="H54" i="38"/>
  <c r="H55" i="38"/>
  <c r="H56" i="38"/>
  <c r="H57" i="38"/>
  <c r="H58" i="38"/>
  <c r="H59" i="38"/>
  <c r="H26" i="38"/>
  <c r="H27" i="38"/>
  <c r="H28" i="38"/>
  <c r="H29" i="38"/>
  <c r="H30" i="38"/>
  <c r="H31" i="38"/>
  <c r="H32" i="38"/>
  <c r="H33" i="38"/>
  <c r="H34" i="38"/>
  <c r="H35" i="38"/>
  <c r="H36" i="38"/>
  <c r="H37" i="38"/>
  <c r="H91" i="38"/>
  <c r="H90" i="38"/>
  <c r="H89" i="38"/>
  <c r="H88" i="38"/>
  <c r="H87" i="38"/>
  <c r="H86" i="38"/>
  <c r="H85" i="38"/>
  <c r="H84" i="38"/>
  <c r="F45" i="49"/>
  <c r="F46" i="49"/>
  <c r="F30" i="49"/>
  <c r="E30" i="49"/>
  <c r="D30" i="49"/>
  <c r="F4" i="49"/>
  <c r="E22" i="49"/>
  <c r="F22" i="49" s="1"/>
  <c r="G126" i="22" l="1"/>
  <c r="G126" i="8"/>
  <c r="M62" i="27"/>
  <c r="M61" i="27"/>
  <c r="N61" i="8"/>
  <c r="N61" i="6"/>
  <c r="N62" i="6"/>
  <c r="N61" i="22"/>
  <c r="N62" i="22"/>
  <c r="N62" i="8"/>
  <c r="N20" i="43"/>
  <c r="O20" i="43" s="1"/>
  <c r="O22" i="43" s="1"/>
  <c r="M22" i="43"/>
  <c r="M25" i="43" s="1"/>
  <c r="N13" i="43"/>
  <c r="O13" i="43" s="1"/>
  <c r="O15" i="43" s="1"/>
  <c r="M15" i="43"/>
  <c r="M18" i="43" s="1"/>
  <c r="F33" i="49"/>
  <c r="E33" i="49"/>
  <c r="F35" i="49" s="1"/>
  <c r="D12" i="49"/>
  <c r="D39" i="49" s="1"/>
  <c r="G126" i="27" l="1"/>
  <c r="H126" i="22"/>
  <c r="H126" i="8"/>
  <c r="N62" i="27"/>
  <c r="N61" i="27"/>
  <c r="O62" i="22"/>
  <c r="P17" i="43"/>
  <c r="N60" i="22"/>
  <c r="P23" i="43"/>
  <c r="O61" i="8"/>
  <c r="O62" i="8"/>
  <c r="P24" i="43"/>
  <c r="O62" i="6"/>
  <c r="P10" i="43"/>
  <c r="N60" i="8"/>
  <c r="O61" i="6"/>
  <c r="P9" i="43"/>
  <c r="O61" i="22"/>
  <c r="P16" i="43"/>
  <c r="N22" i="43"/>
  <c r="N25" i="43" s="1"/>
  <c r="N15" i="43"/>
  <c r="N18" i="43" s="1"/>
  <c r="H382" i="38"/>
  <c r="H369" i="38"/>
  <c r="H368" i="38"/>
  <c r="H367" i="38"/>
  <c r="H366" i="38"/>
  <c r="I126" i="22" l="1"/>
  <c r="I126" i="8"/>
  <c r="H126" i="27"/>
  <c r="O61" i="27"/>
  <c r="O62" i="27"/>
  <c r="P61" i="6"/>
  <c r="Q9" i="43"/>
  <c r="P62" i="6"/>
  <c r="Q10" i="43"/>
  <c r="P62" i="8"/>
  <c r="Q24" i="43"/>
  <c r="P61" i="8"/>
  <c r="Q23" i="43"/>
  <c r="P61" i="22"/>
  <c r="Q16" i="43"/>
  <c r="P62" i="22"/>
  <c r="Q17" i="43"/>
  <c r="O18" i="43"/>
  <c r="O60" i="22"/>
  <c r="P13" i="43"/>
  <c r="Q13" i="43" s="1"/>
  <c r="Q15" i="43" s="1"/>
  <c r="O25" i="43"/>
  <c r="O60" i="8"/>
  <c r="P20" i="43"/>
  <c r="Q20" i="43" s="1"/>
  <c r="Q22" i="43" s="1"/>
  <c r="E12" i="49"/>
  <c r="J126" i="22" l="1"/>
  <c r="J126" i="8"/>
  <c r="I126" i="27"/>
  <c r="P62" i="27"/>
  <c r="Q25" i="43"/>
  <c r="P61" i="27"/>
  <c r="Q18" i="43"/>
  <c r="P22" i="43"/>
  <c r="P25" i="43" s="1"/>
  <c r="P60" i="8"/>
  <c r="P60" i="22"/>
  <c r="P15" i="43"/>
  <c r="P18" i="43" s="1"/>
  <c r="E39" i="49"/>
  <c r="E15" i="49"/>
  <c r="K126" i="22" l="1"/>
  <c r="K126" i="8"/>
  <c r="J126" i="27"/>
  <c r="H317" i="38"/>
  <c r="L126" i="22" l="1"/>
  <c r="L126" i="8"/>
  <c r="K126" i="27"/>
  <c r="M126" i="22" l="1"/>
  <c r="M126" i="8"/>
  <c r="L126" i="27"/>
  <c r="N126" i="22" l="1"/>
  <c r="N126" i="8"/>
  <c r="M126" i="27"/>
  <c r="O126" i="22" l="1"/>
  <c r="O126" i="8"/>
  <c r="N126" i="27"/>
  <c r="P126" i="22" l="1"/>
  <c r="P126" i="8"/>
  <c r="O126" i="27"/>
  <c r="B6" i="46"/>
  <c r="B7" i="46" s="1"/>
  <c r="B8" i="46" s="1"/>
  <c r="B9" i="46" s="1"/>
  <c r="B10" i="46" s="1"/>
  <c r="B11" i="46" s="1"/>
  <c r="B12" i="46" s="1"/>
  <c r="B13" i="46" s="1"/>
  <c r="B14" i="46" s="1"/>
  <c r="B15" i="46" s="1"/>
  <c r="B16" i="46" s="1"/>
  <c r="C12" i="49"/>
  <c r="P126" i="27" l="1"/>
  <c r="Q126" i="27" s="1"/>
  <c r="S126" i="27" s="1"/>
  <c r="F12" i="49"/>
  <c r="F39" i="49" l="1"/>
  <c r="F15" i="49"/>
  <c r="F17" i="49" s="1"/>
  <c r="H487" i="38" l="1"/>
  <c r="H486" i="38"/>
  <c r="H485" i="38"/>
  <c r="H484" i="38"/>
  <c r="H483" i="38"/>
  <c r="H482" i="38"/>
  <c r="H481" i="38"/>
  <c r="H480" i="38"/>
  <c r="H479" i="38"/>
  <c r="H478" i="38"/>
  <c r="H477" i="38"/>
  <c r="H476" i="38"/>
  <c r="H503" i="38" l="1"/>
  <c r="H502" i="38"/>
  <c r="H501" i="38"/>
  <c r="H500" i="38"/>
  <c r="H499" i="38"/>
  <c r="H498" i="38"/>
  <c r="H497" i="38"/>
  <c r="H496" i="38"/>
  <c r="H495" i="38"/>
  <c r="H494" i="38"/>
  <c r="H493" i="38"/>
  <c r="H492" i="38"/>
  <c r="F33" i="43" l="1"/>
  <c r="G33" i="43" l="1"/>
  <c r="H33" i="43" s="1"/>
  <c r="I33" i="43" s="1"/>
  <c r="J33" i="43" s="1"/>
  <c r="K33" i="43" s="1"/>
  <c r="L33" i="43" s="1"/>
  <c r="M33" i="43" s="1"/>
  <c r="N33" i="43" s="1"/>
  <c r="O33" i="43" s="1"/>
  <c r="P33" i="43" s="1"/>
  <c r="F34" i="43"/>
  <c r="Q125" i="44" l="1"/>
  <c r="G34" i="43"/>
  <c r="H34" i="43" s="1"/>
  <c r="I34" i="43" s="1"/>
  <c r="J34" i="43" s="1"/>
  <c r="K34" i="43" s="1"/>
  <c r="L34" i="43" s="1"/>
  <c r="M34" i="43" s="1"/>
  <c r="N34" i="43" s="1"/>
  <c r="O34" i="43" s="1"/>
  <c r="P34" i="43" s="1"/>
  <c r="E32" i="43"/>
  <c r="Q126" i="44" l="1"/>
  <c r="F32" i="43"/>
  <c r="G32" i="43" s="1"/>
  <c r="E35" i="43"/>
  <c r="H32" i="43" l="1"/>
  <c r="I32" i="43" l="1"/>
  <c r="J32" i="43" l="1"/>
  <c r="Q52" i="8"/>
  <c r="T52" i="8" s="1"/>
  <c r="Q65" i="8"/>
  <c r="R65" i="8" s="1"/>
  <c r="Q56" i="6"/>
  <c r="T56" i="6" s="1"/>
  <c r="H10" i="46" l="1"/>
  <c r="R52" i="8"/>
  <c r="F8" i="46"/>
  <c r="R56" i="6"/>
  <c r="K32" i="43"/>
  <c r="H2" i="38"/>
  <c r="H3" i="38"/>
  <c r="H4" i="38"/>
  <c r="H5" i="38"/>
  <c r="H6" i="38"/>
  <c r="H7" i="38"/>
  <c r="H8" i="38"/>
  <c r="H9" i="38"/>
  <c r="H10" i="38"/>
  <c r="H11" i="38"/>
  <c r="H12" i="38"/>
  <c r="H13" i="38"/>
  <c r="H14" i="38"/>
  <c r="H15" i="38"/>
  <c r="H16" i="38"/>
  <c r="H17" i="38"/>
  <c r="H18" i="38"/>
  <c r="H19" i="38"/>
  <c r="H20" i="38"/>
  <c r="H21" i="38"/>
  <c r="H22" i="38"/>
  <c r="H23" i="38"/>
  <c r="H24" i="38"/>
  <c r="H25" i="38"/>
  <c r="H38" i="38"/>
  <c r="H39" i="38"/>
  <c r="H40" i="38"/>
  <c r="H41" i="38"/>
  <c r="H42" i="38"/>
  <c r="H43" i="38"/>
  <c r="H44" i="38"/>
  <c r="H45" i="38"/>
  <c r="H46" i="38"/>
  <c r="H47" i="38"/>
  <c r="H60" i="38"/>
  <c r="H61" i="38"/>
  <c r="H62" i="38"/>
  <c r="H63" i="38"/>
  <c r="H64" i="38"/>
  <c r="H65" i="38"/>
  <c r="H66" i="38"/>
  <c r="H67" i="38"/>
  <c r="H68" i="38"/>
  <c r="H69" i="38"/>
  <c r="H70" i="38"/>
  <c r="H71" i="38"/>
  <c r="H72" i="38"/>
  <c r="H73" i="38"/>
  <c r="H74" i="38"/>
  <c r="H75" i="38"/>
  <c r="H76" i="38"/>
  <c r="H77" i="38"/>
  <c r="H78" i="38"/>
  <c r="H79" i="38"/>
  <c r="H80" i="38"/>
  <c r="H81" i="38"/>
  <c r="H82" i="38"/>
  <c r="H83" i="38"/>
  <c r="H107" i="38"/>
  <c r="H108" i="38"/>
  <c r="H109" i="38"/>
  <c r="H110" i="38"/>
  <c r="H111" i="38"/>
  <c r="H112" i="38"/>
  <c r="H113" i="38"/>
  <c r="H114" i="38"/>
  <c r="H115" i="38"/>
  <c r="H116" i="38"/>
  <c r="H117" i="38"/>
  <c r="H118" i="38"/>
  <c r="H137" i="38"/>
  <c r="H138" i="38"/>
  <c r="H139" i="38"/>
  <c r="H140" i="38"/>
  <c r="H141" i="38"/>
  <c r="H142" i="38"/>
  <c r="H143" i="38"/>
  <c r="H144" i="38"/>
  <c r="H145" i="38"/>
  <c r="H146" i="38"/>
  <c r="H147" i="38"/>
  <c r="H148" i="38"/>
  <c r="H149" i="38"/>
  <c r="H150" i="38"/>
  <c r="H151" i="38"/>
  <c r="H152" i="38"/>
  <c r="H153" i="38"/>
  <c r="H154" i="38"/>
  <c r="H155" i="38"/>
  <c r="H156" i="38"/>
  <c r="H157" i="38"/>
  <c r="H158" i="38"/>
  <c r="H159" i="38"/>
  <c r="H160" i="38"/>
  <c r="H161" i="38"/>
  <c r="H162" i="38"/>
  <c r="H163" i="38"/>
  <c r="H164" i="38"/>
  <c r="H165" i="38"/>
  <c r="H166" i="38"/>
  <c r="H167" i="38"/>
  <c r="H168" i="38"/>
  <c r="H169" i="38"/>
  <c r="H170" i="38"/>
  <c r="H171" i="38"/>
  <c r="H172" i="38"/>
  <c r="H173" i="38"/>
  <c r="H174" i="38"/>
  <c r="H175" i="38"/>
  <c r="H176" i="38"/>
  <c r="H177" i="38"/>
  <c r="H178" i="38"/>
  <c r="H179" i="38"/>
  <c r="H180" i="38"/>
  <c r="H181" i="38"/>
  <c r="H182" i="38"/>
  <c r="H183" i="38"/>
  <c r="H184" i="38"/>
  <c r="H185" i="38"/>
  <c r="H186" i="38"/>
  <c r="H187" i="38"/>
  <c r="H188" i="38"/>
  <c r="H189" i="38"/>
  <c r="H190" i="38"/>
  <c r="H191" i="38"/>
  <c r="H192" i="38"/>
  <c r="H193" i="38"/>
  <c r="H194" i="38"/>
  <c r="H195" i="38"/>
  <c r="H196" i="38"/>
  <c r="H197" i="38"/>
  <c r="H198" i="38"/>
  <c r="H199" i="38"/>
  <c r="H200" i="38"/>
  <c r="H201" i="38"/>
  <c r="H202" i="38"/>
  <c r="H203" i="38"/>
  <c r="H204" i="38"/>
  <c r="H205" i="38"/>
  <c r="H206" i="38"/>
  <c r="H207" i="38"/>
  <c r="H208" i="38"/>
  <c r="H209" i="38"/>
  <c r="H211" i="38"/>
  <c r="H212" i="38"/>
  <c r="H213" i="38"/>
  <c r="H214" i="38"/>
  <c r="H215" i="38"/>
  <c r="H216" i="38"/>
  <c r="H217" i="38"/>
  <c r="H218" i="38"/>
  <c r="H219" i="38"/>
  <c r="H220" i="38"/>
  <c r="H221" i="38"/>
  <c r="H222" i="38"/>
  <c r="H223" i="38"/>
  <c r="H224" i="38"/>
  <c r="H225" i="38"/>
  <c r="H226" i="38"/>
  <c r="H227" i="38"/>
  <c r="H228" i="38"/>
  <c r="H229" i="38"/>
  <c r="H230" i="38"/>
  <c r="H231" i="38"/>
  <c r="H232" i="38"/>
  <c r="H233" i="38"/>
  <c r="H234" i="38"/>
  <c r="H235" i="38"/>
  <c r="H236" i="38"/>
  <c r="H237" i="38"/>
  <c r="H262" i="38"/>
  <c r="H263" i="38"/>
  <c r="H264" i="38"/>
  <c r="H265" i="38"/>
  <c r="H266" i="38"/>
  <c r="H267" i="38"/>
  <c r="H268" i="38"/>
  <c r="H269" i="38"/>
  <c r="H270" i="38"/>
  <c r="H271" i="38"/>
  <c r="H272" i="38"/>
  <c r="H273" i="38"/>
  <c r="H274" i="38"/>
  <c r="H275" i="38"/>
  <c r="H276" i="38"/>
  <c r="H277" i="38"/>
  <c r="H278" i="38"/>
  <c r="H279" i="38"/>
  <c r="H280" i="38"/>
  <c r="H281" i="38"/>
  <c r="H282" i="38"/>
  <c r="H283" i="38"/>
  <c r="H284" i="38"/>
  <c r="H285" i="38"/>
  <c r="H286" i="38"/>
  <c r="H287" i="38"/>
  <c r="H288" i="38"/>
  <c r="H289" i="38"/>
  <c r="H290" i="38"/>
  <c r="H291" i="38"/>
  <c r="H292" i="38"/>
  <c r="H293" i="38"/>
  <c r="H294" i="38"/>
  <c r="H295" i="38"/>
  <c r="H296" i="38"/>
  <c r="H297" i="38"/>
  <c r="H298" i="38"/>
  <c r="H299" i="38"/>
  <c r="H300" i="38"/>
  <c r="H301" i="38"/>
  <c r="H302" i="38"/>
  <c r="H303" i="38"/>
  <c r="H304" i="38"/>
  <c r="H305" i="38"/>
  <c r="H306" i="38"/>
  <c r="H307" i="38"/>
  <c r="H308" i="38"/>
  <c r="H309" i="38"/>
  <c r="H310" i="38"/>
  <c r="H311" i="38"/>
  <c r="H312" i="38"/>
  <c r="H313" i="38"/>
  <c r="H314" i="38"/>
  <c r="H315" i="38"/>
  <c r="H316" i="38"/>
  <c r="H318" i="38"/>
  <c r="H319" i="38"/>
  <c r="H320" i="38"/>
  <c r="H321" i="38"/>
  <c r="H322" i="38"/>
  <c r="H323" i="38"/>
  <c r="H324" i="38"/>
  <c r="H325" i="38"/>
  <c r="H326" i="38"/>
  <c r="H327" i="38"/>
  <c r="H328" i="38"/>
  <c r="H329" i="38"/>
  <c r="H330" i="38"/>
  <c r="H331" i="38"/>
  <c r="H332" i="38"/>
  <c r="H333" i="38"/>
  <c r="H334" i="38"/>
  <c r="H335" i="38"/>
  <c r="H336" i="38"/>
  <c r="H337" i="38"/>
  <c r="H338" i="38"/>
  <c r="H339" i="38"/>
  <c r="H340" i="38"/>
  <c r="H341" i="38"/>
  <c r="H342" i="38"/>
  <c r="H343" i="38"/>
  <c r="H344" i="38"/>
  <c r="H345" i="38"/>
  <c r="H346" i="38"/>
  <c r="H347" i="38"/>
  <c r="H348" i="38"/>
  <c r="H349" i="38"/>
  <c r="H350" i="38"/>
  <c r="H351" i="38"/>
  <c r="H352" i="38"/>
  <c r="H353" i="38"/>
  <c r="H354" i="38"/>
  <c r="H355" i="38"/>
  <c r="H356" i="38"/>
  <c r="H357" i="38"/>
  <c r="H358" i="38"/>
  <c r="H359" i="38"/>
  <c r="H360" i="38"/>
  <c r="H361" i="38"/>
  <c r="H362" i="38"/>
  <c r="H363" i="38"/>
  <c r="H364" i="38"/>
  <c r="H365" i="38"/>
  <c r="H383" i="38"/>
  <c r="H384" i="38"/>
  <c r="H385" i="38"/>
  <c r="H386" i="38"/>
  <c r="H387" i="38"/>
  <c r="H388" i="38"/>
  <c r="H389" i="38"/>
  <c r="H390" i="38"/>
  <c r="H391" i="38"/>
  <c r="H392" i="38"/>
  <c r="H393" i="38"/>
  <c r="H394" i="38"/>
  <c r="H395" i="38"/>
  <c r="H396" i="38"/>
  <c r="H397" i="38"/>
  <c r="H398" i="38"/>
  <c r="H399" i="38"/>
  <c r="H400" i="38"/>
  <c r="H401" i="38"/>
  <c r="H402" i="38"/>
  <c r="H403" i="38"/>
  <c r="H404" i="38"/>
  <c r="H405" i="38"/>
  <c r="H406" i="38"/>
  <c r="H407" i="38"/>
  <c r="H408" i="38"/>
  <c r="H409" i="38"/>
  <c r="H410" i="38"/>
  <c r="H411" i="38"/>
  <c r="H412" i="38"/>
  <c r="H413" i="38"/>
  <c r="H414" i="38"/>
  <c r="H415" i="38"/>
  <c r="H416" i="38"/>
  <c r="H417" i="38"/>
  <c r="H430" i="38"/>
  <c r="H431" i="38"/>
  <c r="H432" i="38"/>
  <c r="H433" i="38"/>
  <c r="H434" i="38"/>
  <c r="H435" i="38"/>
  <c r="H436" i="38"/>
  <c r="H437" i="38"/>
  <c r="H438" i="38"/>
  <c r="H439" i="38"/>
  <c r="H440" i="38"/>
  <c r="H441" i="38"/>
  <c r="H442" i="38"/>
  <c r="H443" i="38"/>
  <c r="H444" i="38"/>
  <c r="H445" i="38"/>
  <c r="H446" i="38"/>
  <c r="H447" i="38"/>
  <c r="H448" i="38"/>
  <c r="H449" i="38"/>
  <c r="H450" i="38"/>
  <c r="H463" i="38"/>
  <c r="H464" i="38"/>
  <c r="H465" i="38"/>
  <c r="H466" i="38"/>
  <c r="H467" i="38"/>
  <c r="H468" i="38"/>
  <c r="H469" i="38"/>
  <c r="H470" i="38"/>
  <c r="H471" i="38"/>
  <c r="H472" i="38"/>
  <c r="H473" i="38"/>
  <c r="H474" i="38"/>
  <c r="H475" i="38"/>
  <c r="H488" i="38"/>
  <c r="H489" i="38"/>
  <c r="H490" i="38"/>
  <c r="H491" i="38"/>
  <c r="H504" i="38"/>
  <c r="H505" i="38"/>
  <c r="H506" i="38"/>
  <c r="H507" i="38"/>
  <c r="H508" i="38"/>
  <c r="H509" i="38"/>
  <c r="H510" i="38"/>
  <c r="H511" i="38"/>
  <c r="H512" i="38"/>
  <c r="H513" i="38"/>
  <c r="H514" i="38"/>
  <c r="H515" i="38"/>
  <c r="H516" i="38"/>
  <c r="H517" i="38"/>
  <c r="H518" i="38"/>
  <c r="H519" i="38"/>
  <c r="H520" i="38"/>
  <c r="H521" i="38"/>
  <c r="H522" i="38"/>
  <c r="H523" i="38"/>
  <c r="H524" i="38"/>
  <c r="H525" i="38"/>
  <c r="H526" i="38"/>
  <c r="H527" i="38"/>
  <c r="H528" i="38"/>
  <c r="H529" i="38"/>
  <c r="H530" i="38"/>
  <c r="H531" i="38"/>
  <c r="H532" i="38"/>
  <c r="H533" i="38"/>
  <c r="H534" i="38"/>
  <c r="H535" i="38"/>
  <c r="H536" i="38"/>
  <c r="H537" i="38"/>
  <c r="H538" i="38"/>
  <c r="H539" i="38"/>
  <c r="H540" i="38"/>
  <c r="H541" i="38"/>
  <c r="H542" i="38"/>
  <c r="H543" i="38"/>
  <c r="H544" i="38"/>
  <c r="H545" i="38"/>
  <c r="H546" i="38"/>
  <c r="H547" i="38"/>
  <c r="H548" i="38"/>
  <c r="H549" i="38"/>
  <c r="H550" i="38"/>
  <c r="H551" i="38"/>
  <c r="H560" i="38"/>
  <c r="H561" i="38"/>
  <c r="H562" i="38"/>
  <c r="H563" i="38"/>
  <c r="H564" i="38"/>
  <c r="H565" i="38"/>
  <c r="H566" i="38"/>
  <c r="H567" i="38"/>
  <c r="H568" i="38"/>
  <c r="H569" i="38"/>
  <c r="H570" i="38"/>
  <c r="H571" i="38"/>
  <c r="H591" i="38"/>
  <c r="H592" i="38"/>
  <c r="H593" i="38"/>
  <c r="H594" i="38"/>
  <c r="H595" i="38"/>
  <c r="H596" i="38"/>
  <c r="H597" i="38"/>
  <c r="H598" i="38"/>
  <c r="H599" i="38"/>
  <c r="H600" i="38"/>
  <c r="H601" i="38"/>
  <c r="H602" i="38"/>
  <c r="Q29" i="6"/>
  <c r="R29" i="6" l="1"/>
  <c r="T29" i="6"/>
  <c r="V18" i="6"/>
  <c r="L32" i="43"/>
  <c r="P10" i="27"/>
  <c r="H10" i="27"/>
  <c r="M10" i="27" l="1"/>
  <c r="K10" i="27"/>
  <c r="L10" i="27"/>
  <c r="N10" i="27"/>
  <c r="O10" i="27"/>
  <c r="J10" i="27"/>
  <c r="I10" i="27"/>
  <c r="E10" i="27"/>
  <c r="F10" i="27"/>
  <c r="G10" i="27"/>
  <c r="M32" i="43"/>
  <c r="N32" i="43" l="1"/>
  <c r="O32" i="43" l="1"/>
  <c r="P32" i="43" l="1"/>
  <c r="Q124" i="44" s="1"/>
  <c r="Q112" i="8" l="1"/>
  <c r="R112" i="8" s="1"/>
  <c r="Q52" i="22"/>
  <c r="T52" i="22" s="1"/>
  <c r="Q52" i="6"/>
  <c r="T52" i="6" s="1"/>
  <c r="G10" i="46" l="1"/>
  <c r="R52" i="22"/>
  <c r="F10" i="46"/>
  <c r="R52" i="6"/>
  <c r="E10" i="46" l="1"/>
  <c r="Q49" i="22"/>
  <c r="R49" i="22" s="1"/>
  <c r="Q48" i="22"/>
  <c r="Q46" i="22"/>
  <c r="Q45" i="22"/>
  <c r="T45" i="22" s="1"/>
  <c r="Q42" i="22"/>
  <c r="R42" i="22" s="1"/>
  <c r="Q41" i="22"/>
  <c r="R41" i="22" s="1"/>
  <c r="Q40" i="22"/>
  <c r="R40" i="22" s="1"/>
  <c r="G11" i="46" l="1"/>
  <c r="R45" i="22"/>
  <c r="Q50" i="22"/>
  <c r="R48" i="22"/>
  <c r="H50" i="22"/>
  <c r="I50" i="22"/>
  <c r="J50" i="22"/>
  <c r="K50" i="22"/>
  <c r="G50" i="22"/>
  <c r="O50" i="6"/>
  <c r="O148" i="6" s="1"/>
  <c r="H50" i="6"/>
  <c r="H148" i="6" s="1"/>
  <c r="I50" i="6"/>
  <c r="I148" i="6" s="1"/>
  <c r="J50" i="6"/>
  <c r="J148" i="6" s="1"/>
  <c r="K50" i="6"/>
  <c r="K148" i="6" s="1"/>
  <c r="L50" i="6"/>
  <c r="L148" i="6" s="1"/>
  <c r="M50" i="6"/>
  <c r="M148" i="6" s="1"/>
  <c r="N50" i="6"/>
  <c r="N148" i="6" s="1"/>
  <c r="G50" i="6"/>
  <c r="G148" i="6" s="1"/>
  <c r="F50" i="6"/>
  <c r="F148" i="6" s="1"/>
  <c r="P50" i="6"/>
  <c r="P148" i="6" s="1"/>
  <c r="E50" i="6"/>
  <c r="E148" i="6" s="1"/>
  <c r="Q148" i="6" l="1"/>
  <c r="R50" i="22"/>
  <c r="T50" i="22"/>
  <c r="J1" i="22"/>
  <c r="J1" i="8" s="1"/>
  <c r="E78" i="27" l="1"/>
  <c r="Q27" i="6"/>
  <c r="T27" i="6" s="1"/>
  <c r="F7" i="46" l="1"/>
  <c r="R27" i="6"/>
  <c r="Q34" i="6"/>
  <c r="R34" i="6" s="1"/>
  <c r="Q77" i="22" l="1"/>
  <c r="R77" i="22" s="1"/>
  <c r="Q77" i="8" l="1"/>
  <c r="R77" i="8" s="1"/>
  <c r="Q119" i="22" l="1"/>
  <c r="R119" i="22" s="1"/>
  <c r="H603" i="38"/>
  <c r="H604" i="38"/>
  <c r="H605" i="38"/>
  <c r="H606" i="38"/>
  <c r="H607" i="38"/>
  <c r="H608" i="38"/>
  <c r="H609" i="38"/>
  <c r="H610" i="38"/>
  <c r="Q119" i="8" l="1"/>
  <c r="R119" i="8" s="1"/>
  <c r="E6" i="43" l="1"/>
  <c r="E8" i="43" l="1"/>
  <c r="Q27" i="22"/>
  <c r="T27" i="22" s="1"/>
  <c r="G7" i="46" l="1"/>
  <c r="R27" i="22"/>
  <c r="E11" i="43"/>
  <c r="E28" i="43" s="1"/>
  <c r="E61" i="6" l="1"/>
  <c r="E62" i="6"/>
  <c r="E62" i="8"/>
  <c r="E61" i="8"/>
  <c r="E62" i="22"/>
  <c r="E61" i="22"/>
  <c r="E62" i="27" l="1"/>
  <c r="E61" i="27"/>
  <c r="H78" i="27" l="1"/>
  <c r="H79" i="27" s="1"/>
  <c r="E60" i="8"/>
  <c r="E60" i="22"/>
  <c r="F6" i="43"/>
  <c r="E60" i="6"/>
  <c r="E60" i="27" l="1"/>
  <c r="N78" i="27"/>
  <c r="N79" i="27" s="1"/>
  <c r="K78" i="27"/>
  <c r="K79" i="27" s="1"/>
  <c r="F60" i="6"/>
  <c r="F60" i="27" s="1"/>
  <c r="G6" i="43"/>
  <c r="G60" i="6" s="1"/>
  <c r="G60" i="27" s="1"/>
  <c r="F8" i="43"/>
  <c r="F11" i="43" s="1"/>
  <c r="F28" i="43" s="1"/>
  <c r="DB24" i="41"/>
  <c r="DC24" i="41"/>
  <c r="DK24" i="41"/>
  <c r="DU24" i="41"/>
  <c r="DA24" i="41"/>
  <c r="DO24" i="41" l="1"/>
  <c r="DS24" i="41"/>
  <c r="DW24" i="41"/>
  <c r="DE24" i="41"/>
  <c r="CZ24" i="41"/>
  <c r="DJ24" i="41"/>
  <c r="DD24" i="41"/>
  <c r="H6" i="43"/>
  <c r="H60" i="6" s="1"/>
  <c r="H60" i="27" s="1"/>
  <c r="G8" i="43"/>
  <c r="G11" i="43" s="1"/>
  <c r="G28" i="43" s="1"/>
  <c r="DR24" i="41"/>
  <c r="DI24" i="41"/>
  <c r="DP24" i="41"/>
  <c r="DH24" i="41"/>
  <c r="DV24" i="41"/>
  <c r="DM24" i="41"/>
  <c r="DQ24" i="41"/>
  <c r="DG24" i="41"/>
  <c r="DJ42" i="41"/>
  <c r="DN24" i="41"/>
  <c r="DF24" i="41"/>
  <c r="DT24" i="41"/>
  <c r="I127" i="6"/>
  <c r="I171" i="6" s="1"/>
  <c r="DW68" i="41"/>
  <c r="DM68" i="41"/>
  <c r="DG42" i="41"/>
  <c r="DL42" i="41"/>
  <c r="DL44" i="41" s="1"/>
  <c r="CZ68" i="41"/>
  <c r="DG44" i="41" l="1"/>
  <c r="DJ44" i="41"/>
  <c r="DU68" i="41"/>
  <c r="DK68" i="41"/>
  <c r="DL68" i="41"/>
  <c r="DN68" i="41"/>
  <c r="DA68" i="41"/>
  <c r="DB68" i="41"/>
  <c r="DS68" i="41"/>
  <c r="DT68" i="41"/>
  <c r="DO68" i="41"/>
  <c r="DH68" i="41"/>
  <c r="DV68" i="41"/>
  <c r="DI68" i="41"/>
  <c r="DJ68" i="41"/>
  <c r="DE68" i="41"/>
  <c r="DP68" i="41"/>
  <c r="DF68" i="41"/>
  <c r="DQ68" i="41"/>
  <c r="DR68" i="41"/>
  <c r="DC68" i="41"/>
  <c r="DD68" i="41"/>
  <c r="DG68" i="41"/>
  <c r="DO42" i="41"/>
  <c r="DO44" i="41" s="1"/>
  <c r="DV42" i="41"/>
  <c r="DV44" i="41" s="1"/>
  <c r="DM42" i="41"/>
  <c r="DM44" i="41" s="1"/>
  <c r="DF42" i="41"/>
  <c r="DF44" i="41" s="1"/>
  <c r="DH42" i="41"/>
  <c r="DH44" i="41" s="1"/>
  <c r="DC42" i="41"/>
  <c r="DC44" i="41" s="1"/>
  <c r="DK42" i="41"/>
  <c r="DK44" i="41" s="1"/>
  <c r="DP42" i="41"/>
  <c r="DP44" i="41" s="1"/>
  <c r="DN42" i="41"/>
  <c r="DN44" i="41" s="1"/>
  <c r="DU42" i="41"/>
  <c r="DU44" i="41" s="1"/>
  <c r="DE42" i="41"/>
  <c r="DE44" i="41" s="1"/>
  <c r="DI42" i="41"/>
  <c r="DI44" i="41" s="1"/>
  <c r="DA42" i="41"/>
  <c r="DA44" i="41" s="1"/>
  <c r="DW42" i="41"/>
  <c r="DW44" i="41" s="1"/>
  <c r="DR42" i="41"/>
  <c r="DR44" i="41" s="1"/>
  <c r="DT42" i="41"/>
  <c r="DT44" i="41" s="1"/>
  <c r="DQ42" i="41"/>
  <c r="DQ44" i="41" s="1"/>
  <c r="DS42" i="41"/>
  <c r="DS44" i="41" s="1"/>
  <c r="DD42" i="41"/>
  <c r="DD44" i="41" s="1"/>
  <c r="CZ42" i="41"/>
  <c r="CZ44" i="41" s="1"/>
  <c r="DB42" i="41"/>
  <c r="DB44" i="41" s="1"/>
  <c r="I6" i="43"/>
  <c r="I60" i="6" s="1"/>
  <c r="I60" i="27" s="1"/>
  <c r="H8" i="43"/>
  <c r="H11" i="43" s="1"/>
  <c r="H28" i="43" s="1"/>
  <c r="J127" i="6"/>
  <c r="J171" i="6" s="1"/>
  <c r="J6" i="43" l="1"/>
  <c r="J60" i="6" s="1"/>
  <c r="J60" i="27" s="1"/>
  <c r="I8" i="43"/>
  <c r="I11" i="43" s="1"/>
  <c r="I28" i="43" s="1"/>
  <c r="K127" i="6"/>
  <c r="K171" i="6" s="1"/>
  <c r="Q31" i="6"/>
  <c r="T31" i="6" s="1"/>
  <c r="Q33" i="6"/>
  <c r="R33" i="6" s="1"/>
  <c r="Q35" i="6"/>
  <c r="R35" i="6" s="1"/>
  <c r="Q27" i="8"/>
  <c r="T27" i="8" s="1"/>
  <c r="Q29" i="8"/>
  <c r="T29" i="8" s="1"/>
  <c r="Q31" i="8"/>
  <c r="T31" i="8" s="1"/>
  <c r="Q33" i="8"/>
  <c r="R33" i="8" s="1"/>
  <c r="Q34" i="8"/>
  <c r="R34" i="8" s="1"/>
  <c r="Q35" i="8"/>
  <c r="R35" i="8" s="1"/>
  <c r="Q29" i="22"/>
  <c r="G5" i="46"/>
  <c r="Q33" i="22"/>
  <c r="R33" i="22" s="1"/>
  <c r="Q35" i="22"/>
  <c r="R35" i="22" s="1"/>
  <c r="Q41" i="6"/>
  <c r="R41" i="6" s="1"/>
  <c r="Q42" i="6"/>
  <c r="R42" i="6" s="1"/>
  <c r="Q41" i="8"/>
  <c r="R41" i="8" s="1"/>
  <c r="Q42" i="8"/>
  <c r="R42" i="8" s="1"/>
  <c r="Q45" i="6"/>
  <c r="T45" i="6" s="1"/>
  <c r="Q47" i="6"/>
  <c r="R47" i="6" s="1"/>
  <c r="Q45" i="8"/>
  <c r="T45" i="8" s="1"/>
  <c r="Q47" i="8"/>
  <c r="R47" i="8" s="1"/>
  <c r="R48" i="8"/>
  <c r="R29" i="8" l="1"/>
  <c r="V18" i="8"/>
  <c r="R29" i="22"/>
  <c r="T29" i="22"/>
  <c r="V18" i="22"/>
  <c r="H5" i="46"/>
  <c r="R31" i="8"/>
  <c r="H11" i="46"/>
  <c r="R45" i="8"/>
  <c r="H7" i="46"/>
  <c r="E7" i="46" s="1"/>
  <c r="R27" i="8"/>
  <c r="F5" i="46"/>
  <c r="R31" i="6"/>
  <c r="F11" i="46"/>
  <c r="R45" i="6"/>
  <c r="K6" i="43"/>
  <c r="K60" i="6" s="1"/>
  <c r="K60" i="27" s="1"/>
  <c r="J8" i="43"/>
  <c r="J11" i="43" s="1"/>
  <c r="J28" i="43" s="1"/>
  <c r="L127" i="6"/>
  <c r="L171" i="6" s="1"/>
  <c r="E11" i="46" l="1"/>
  <c r="E5" i="46"/>
  <c r="Q11" i="22"/>
  <c r="L6" i="43"/>
  <c r="L60" i="6" s="1"/>
  <c r="L60" i="27" s="1"/>
  <c r="K8" i="43"/>
  <c r="K11" i="43" s="1"/>
  <c r="K28" i="43" s="1"/>
  <c r="M127" i="6"/>
  <c r="M171" i="6" s="1"/>
  <c r="R11" i="22" l="1"/>
  <c r="T11" i="22"/>
  <c r="M6" i="43"/>
  <c r="M60" i="6" s="1"/>
  <c r="M60" i="27" s="1"/>
  <c r="L8" i="43"/>
  <c r="L11" i="43" s="1"/>
  <c r="L28" i="43" s="1"/>
  <c r="N127" i="6"/>
  <c r="N171" i="6" s="1"/>
  <c r="N6" i="43" l="1"/>
  <c r="O6" i="43" s="1"/>
  <c r="M8" i="43"/>
  <c r="M11" i="43" s="1"/>
  <c r="M28" i="43" s="1"/>
  <c r="P127" i="6"/>
  <c r="P171" i="6" s="1"/>
  <c r="O127" i="6"/>
  <c r="O171" i="6" s="1"/>
  <c r="N60" i="6" l="1"/>
  <c r="N60" i="27" s="1"/>
  <c r="N8" i="43"/>
  <c r="N11" i="43" s="1"/>
  <c r="N28" i="43" s="1"/>
  <c r="Q162" i="22"/>
  <c r="P321" i="27"/>
  <c r="O321" i="27"/>
  <c r="N321" i="27"/>
  <c r="M321" i="27"/>
  <c r="L321" i="27"/>
  <c r="K321" i="27"/>
  <c r="J321" i="27"/>
  <c r="I321" i="27"/>
  <c r="H321" i="27"/>
  <c r="G321" i="27"/>
  <c r="F321" i="27"/>
  <c r="E321" i="27"/>
  <c r="P320" i="27"/>
  <c r="O320" i="27"/>
  <c r="N320" i="27"/>
  <c r="M320" i="27"/>
  <c r="L320" i="27"/>
  <c r="K320" i="27"/>
  <c r="J320" i="27"/>
  <c r="I320" i="27"/>
  <c r="H320" i="27"/>
  <c r="G320" i="27"/>
  <c r="P317" i="27"/>
  <c r="O317" i="27"/>
  <c r="N317" i="27"/>
  <c r="M317" i="27"/>
  <c r="L317" i="27"/>
  <c r="K317" i="27"/>
  <c r="J317" i="27"/>
  <c r="I317" i="27"/>
  <c r="H317" i="27"/>
  <c r="G317" i="27"/>
  <c r="Q316" i="27"/>
  <c r="F315" i="27"/>
  <c r="F320" i="27" s="1"/>
  <c r="E315" i="27"/>
  <c r="E320" i="27" s="1"/>
  <c r="P312" i="27"/>
  <c r="O312" i="27"/>
  <c r="N312" i="27"/>
  <c r="M312" i="27"/>
  <c r="L312" i="27"/>
  <c r="K312" i="27"/>
  <c r="J312" i="27"/>
  <c r="I312" i="27"/>
  <c r="H312" i="27"/>
  <c r="G312" i="27"/>
  <c r="F312" i="27"/>
  <c r="E312" i="27"/>
  <c r="Q311" i="27"/>
  <c r="Q310" i="27"/>
  <c r="E300" i="27"/>
  <c r="F297" i="27" s="1"/>
  <c r="F35" i="43" l="1"/>
  <c r="P6" i="43"/>
  <c r="Q6" i="43" s="1"/>
  <c r="Q8" i="43" s="1"/>
  <c r="Q11" i="43" s="1"/>
  <c r="Q28" i="43" s="1"/>
  <c r="O8" i="43"/>
  <c r="O11" i="43" s="1"/>
  <c r="O28" i="43" s="1"/>
  <c r="O60" i="6"/>
  <c r="O60" i="27" s="1"/>
  <c r="K322" i="27"/>
  <c r="H322" i="27"/>
  <c r="I322" i="27"/>
  <c r="P322" i="27"/>
  <c r="G322" i="27"/>
  <c r="M322" i="27"/>
  <c r="F296" i="27"/>
  <c r="F298" i="27"/>
  <c r="L322" i="27"/>
  <c r="Q312" i="27"/>
  <c r="F317" i="27"/>
  <c r="Q320" i="27"/>
  <c r="E322" i="27"/>
  <c r="F299" i="27"/>
  <c r="F293" i="27"/>
  <c r="J280" i="27" s="1"/>
  <c r="O322" i="27"/>
  <c r="F294" i="27"/>
  <c r="Q315" i="27"/>
  <c r="Q317" i="27" s="1"/>
  <c r="F295" i="27"/>
  <c r="J322" i="27"/>
  <c r="N322" i="27"/>
  <c r="Q321" i="27"/>
  <c r="F322" i="27"/>
  <c r="E317" i="27"/>
  <c r="G35" i="43" l="1"/>
  <c r="P8" i="43"/>
  <c r="P11" i="43" s="1"/>
  <c r="P28" i="43" s="1"/>
  <c r="P60" i="6"/>
  <c r="P60" i="27" s="1"/>
  <c r="F280" i="27"/>
  <c r="O280" i="27"/>
  <c r="L280" i="27"/>
  <c r="H280" i="27"/>
  <c r="G280" i="27"/>
  <c r="N280" i="27"/>
  <c r="P280" i="27"/>
  <c r="M280" i="27"/>
  <c r="I280" i="27"/>
  <c r="E280" i="27"/>
  <c r="Q322" i="27"/>
  <c r="K280" i="27"/>
  <c r="F300" i="27"/>
  <c r="H35" i="43" l="1"/>
  <c r="M274" i="27"/>
  <c r="N274" i="27"/>
  <c r="I275" i="27"/>
  <c r="I285" i="27" s="1"/>
  <c r="P274" i="27"/>
  <c r="F274" i="27"/>
  <c r="H274" i="27"/>
  <c r="P275" i="27"/>
  <c r="G279" i="27"/>
  <c r="G281" i="27" s="1"/>
  <c r="J274" i="27"/>
  <c r="G274" i="27"/>
  <c r="O279" i="27"/>
  <c r="O281" i="27" s="1"/>
  <c r="N275" i="27"/>
  <c r="N285" i="27" s="1"/>
  <c r="N279" i="27"/>
  <c r="N281" i="27" s="1"/>
  <c r="O274" i="27"/>
  <c r="M275" i="27"/>
  <c r="M285" i="27" s="1"/>
  <c r="F275" i="27"/>
  <c r="F285" i="27" s="1"/>
  <c r="L275" i="27"/>
  <c r="L285" i="27" s="1"/>
  <c r="I274" i="27"/>
  <c r="Q280" i="27"/>
  <c r="L274" i="27"/>
  <c r="K274" i="27"/>
  <c r="M279" i="27"/>
  <c r="M281" i="27" s="1"/>
  <c r="J279" i="27"/>
  <c r="J281" i="27" s="1"/>
  <c r="I279" i="27"/>
  <c r="I281" i="27" s="1"/>
  <c r="J275" i="27"/>
  <c r="J285" i="27" s="1"/>
  <c r="E274" i="27"/>
  <c r="K279" i="27"/>
  <c r="K275" i="27"/>
  <c r="K285" i="27" s="1"/>
  <c r="E275" i="27"/>
  <c r="E285" i="27" s="1"/>
  <c r="H275" i="27"/>
  <c r="H285" i="27" s="1"/>
  <c r="G275" i="27"/>
  <c r="G285" i="27" s="1"/>
  <c r="L279" i="27"/>
  <c r="L281" i="27" s="1"/>
  <c r="H279" i="27"/>
  <c r="H281" i="27" s="1"/>
  <c r="O275" i="27"/>
  <c r="O285" i="27" s="1"/>
  <c r="E279" i="27"/>
  <c r="P279" i="27"/>
  <c r="F279" i="27"/>
  <c r="F281" i="27" s="1"/>
  <c r="I35" i="43" l="1"/>
  <c r="P276" i="27"/>
  <c r="I276" i="27"/>
  <c r="E284" i="27"/>
  <c r="E286" i="27" s="1"/>
  <c r="P285" i="27"/>
  <c r="Q285" i="27" s="1"/>
  <c r="N284" i="27"/>
  <c r="N286" i="27" s="1"/>
  <c r="G284" i="27"/>
  <c r="G286" i="27" s="1"/>
  <c r="J284" i="27"/>
  <c r="J286" i="27" s="1"/>
  <c r="M284" i="27"/>
  <c r="M286" i="27" s="1"/>
  <c r="F276" i="27"/>
  <c r="Q274" i="27"/>
  <c r="N276" i="27"/>
  <c r="M276" i="27"/>
  <c r="L276" i="27"/>
  <c r="O284" i="27"/>
  <c r="O286" i="27" s="1"/>
  <c r="O276" i="27"/>
  <c r="I284" i="27"/>
  <c r="I286" i="27" s="1"/>
  <c r="J276" i="27"/>
  <c r="E276" i="27"/>
  <c r="H284" i="27"/>
  <c r="H286" i="27" s="1"/>
  <c r="G276" i="27"/>
  <c r="L284" i="27"/>
  <c r="L286" i="27" s="1"/>
  <c r="K276" i="27"/>
  <c r="K281" i="27"/>
  <c r="K284" i="27"/>
  <c r="K286" i="27" s="1"/>
  <c r="E281" i="27"/>
  <c r="H276" i="27"/>
  <c r="Q275" i="27"/>
  <c r="Q279" i="27"/>
  <c r="Q281" i="27" s="1"/>
  <c r="P281" i="27"/>
  <c r="P284" i="27"/>
  <c r="F284" i="27"/>
  <c r="F286" i="27" s="1"/>
  <c r="J35" i="43" l="1"/>
  <c r="P286" i="27"/>
  <c r="Q276" i="27"/>
  <c r="Q284" i="27"/>
  <c r="Q286" i="27" s="1"/>
  <c r="K35" i="43" l="1"/>
  <c r="L35" i="43" l="1"/>
  <c r="M35" i="43" l="1"/>
  <c r="N35" i="43" l="1"/>
  <c r="P35" i="43" l="1"/>
  <c r="O35" i="43"/>
  <c r="P383" i="27" l="1"/>
  <c r="O383" i="27"/>
  <c r="N383" i="27"/>
  <c r="M383" i="27"/>
  <c r="L383" i="27"/>
  <c r="K383" i="27"/>
  <c r="J383" i="27"/>
  <c r="I383" i="27"/>
  <c r="H383" i="27"/>
  <c r="G383" i="27"/>
  <c r="F383" i="27"/>
  <c r="E383" i="27"/>
  <c r="P381" i="27"/>
  <c r="O381" i="27"/>
  <c r="N381" i="27"/>
  <c r="M381" i="27"/>
  <c r="L381" i="27"/>
  <c r="K381" i="27"/>
  <c r="J381" i="27"/>
  <c r="I381" i="27"/>
  <c r="H381" i="27"/>
  <c r="G381" i="27"/>
  <c r="F381" i="27"/>
  <c r="E381" i="27"/>
  <c r="P188" i="6"/>
  <c r="O188" i="6"/>
  <c r="N188" i="6"/>
  <c r="M188" i="6"/>
  <c r="L188" i="6"/>
  <c r="K188" i="6"/>
  <c r="J188" i="6"/>
  <c r="I188" i="6"/>
  <c r="F188" i="6"/>
  <c r="E188" i="6"/>
  <c r="P366" i="27"/>
  <c r="O366" i="27"/>
  <c r="N366" i="27"/>
  <c r="M366" i="27"/>
  <c r="L366" i="27"/>
  <c r="K366" i="27"/>
  <c r="J366" i="27"/>
  <c r="I366" i="27"/>
  <c r="G366" i="27"/>
  <c r="E366" i="27"/>
  <c r="F366" i="27"/>
  <c r="P365" i="27"/>
  <c r="O365" i="27"/>
  <c r="N365" i="27"/>
  <c r="M365" i="27"/>
  <c r="L365" i="27"/>
  <c r="K365" i="27"/>
  <c r="J365" i="27"/>
  <c r="I365" i="27"/>
  <c r="G365" i="27"/>
  <c r="E365" i="27"/>
  <c r="F365" i="27"/>
  <c r="O364" i="27"/>
  <c r="N364" i="27"/>
  <c r="M364" i="27"/>
  <c r="G364" i="27"/>
  <c r="F364" i="27"/>
  <c r="E364" i="27"/>
  <c r="P363" i="27"/>
  <c r="O363" i="27"/>
  <c r="N363" i="27"/>
  <c r="M363" i="27"/>
  <c r="L363" i="27"/>
  <c r="K363" i="27"/>
  <c r="J363" i="27"/>
  <c r="I363" i="27"/>
  <c r="G363" i="27"/>
  <c r="E363" i="27"/>
  <c r="F363" i="27"/>
  <c r="P362" i="27"/>
  <c r="O362" i="27"/>
  <c r="N362" i="27"/>
  <c r="M362" i="27"/>
  <c r="L362" i="27"/>
  <c r="K362" i="27"/>
  <c r="J362" i="27"/>
  <c r="I362" i="27"/>
  <c r="G362" i="27"/>
  <c r="E362" i="27"/>
  <c r="F362" i="27"/>
  <c r="O361" i="27"/>
  <c r="N361" i="27"/>
  <c r="M361" i="27"/>
  <c r="J361" i="27"/>
  <c r="I361" i="27"/>
  <c r="G361" i="27"/>
  <c r="F361" i="27"/>
  <c r="E361" i="27"/>
  <c r="P359" i="27"/>
  <c r="O359" i="27"/>
  <c r="M359" i="27"/>
  <c r="J359" i="27"/>
  <c r="G359" i="27"/>
  <c r="P356" i="27"/>
  <c r="O356" i="27"/>
  <c r="N356" i="27"/>
  <c r="M356" i="27"/>
  <c r="L356" i="27"/>
  <c r="K356" i="27"/>
  <c r="J356" i="27"/>
  <c r="I356" i="27"/>
  <c r="H356" i="27"/>
  <c r="G356" i="27"/>
  <c r="E356" i="27"/>
  <c r="F356" i="27"/>
  <c r="P355" i="27"/>
  <c r="O355" i="27"/>
  <c r="N355" i="27"/>
  <c r="K355" i="27"/>
  <c r="H355" i="27"/>
  <c r="G355" i="27"/>
  <c r="O351" i="27"/>
  <c r="K351" i="27"/>
  <c r="J351" i="27"/>
  <c r="I351" i="27"/>
  <c r="G351" i="27"/>
  <c r="E351" i="27"/>
  <c r="F351" i="27"/>
  <c r="P15" i="22"/>
  <c r="O15" i="22"/>
  <c r="N15" i="22"/>
  <c r="M15" i="22"/>
  <c r="L15" i="22"/>
  <c r="J15" i="22"/>
  <c r="I15" i="22"/>
  <c r="H15" i="22"/>
  <c r="G15" i="22"/>
  <c r="F15" i="22"/>
  <c r="E15" i="22"/>
  <c r="O349" i="27"/>
  <c r="N349" i="27"/>
  <c r="L349" i="27"/>
  <c r="J349" i="27"/>
  <c r="I349" i="27"/>
  <c r="G349" i="27"/>
  <c r="P347" i="27"/>
  <c r="K347" i="27"/>
  <c r="J347" i="27"/>
  <c r="H347" i="27"/>
  <c r="E347" i="27"/>
  <c r="L344" i="27"/>
  <c r="K344" i="27"/>
  <c r="J344" i="27"/>
  <c r="E344" i="27"/>
  <c r="P343" i="27"/>
  <c r="J343" i="27"/>
  <c r="H343" i="27"/>
  <c r="F343" i="27"/>
  <c r="O342" i="27"/>
  <c r="L342" i="27"/>
  <c r="J342" i="27"/>
  <c r="E342" i="27"/>
  <c r="P341" i="27"/>
  <c r="N341" i="27"/>
  <c r="H341" i="27"/>
  <c r="E341" i="27"/>
  <c r="P338" i="27"/>
  <c r="N338" i="27"/>
  <c r="K338" i="27"/>
  <c r="J338" i="27"/>
  <c r="I338" i="27"/>
  <c r="P121" i="8"/>
  <c r="O121" i="8"/>
  <c r="N121" i="8"/>
  <c r="M121" i="8"/>
  <c r="L121" i="8"/>
  <c r="K121" i="8"/>
  <c r="J121" i="8"/>
  <c r="I121" i="8"/>
  <c r="H121" i="8"/>
  <c r="G121" i="8"/>
  <c r="F121" i="8"/>
  <c r="P115" i="8"/>
  <c r="O115" i="8"/>
  <c r="N115" i="8"/>
  <c r="M115" i="8"/>
  <c r="L115" i="8"/>
  <c r="K115" i="8"/>
  <c r="J115" i="8"/>
  <c r="I115" i="8"/>
  <c r="H115" i="8"/>
  <c r="G115" i="8"/>
  <c r="F115" i="8"/>
  <c r="E115" i="8"/>
  <c r="P103" i="8"/>
  <c r="O103" i="8"/>
  <c r="N103" i="8"/>
  <c r="M103" i="8"/>
  <c r="L103" i="8"/>
  <c r="K103" i="8"/>
  <c r="J103" i="8"/>
  <c r="I103" i="8"/>
  <c r="H103" i="8"/>
  <c r="G103" i="8"/>
  <c r="F103" i="8"/>
  <c r="E103" i="8"/>
  <c r="P79" i="8"/>
  <c r="O79" i="8"/>
  <c r="N79" i="8"/>
  <c r="M79" i="8"/>
  <c r="L79" i="8"/>
  <c r="K79" i="8"/>
  <c r="J79" i="8"/>
  <c r="I79" i="8"/>
  <c r="H79" i="8"/>
  <c r="G79" i="8"/>
  <c r="F79" i="8"/>
  <c r="E79" i="8"/>
  <c r="P67" i="8"/>
  <c r="P154" i="8" s="1"/>
  <c r="O67" i="8"/>
  <c r="O154" i="8" s="1"/>
  <c r="N67" i="8"/>
  <c r="N154" i="8" s="1"/>
  <c r="M67" i="8"/>
  <c r="M154" i="8" s="1"/>
  <c r="L67" i="8"/>
  <c r="L154" i="8" s="1"/>
  <c r="K67" i="8"/>
  <c r="K154" i="8" s="1"/>
  <c r="J67" i="8"/>
  <c r="J154" i="8" s="1"/>
  <c r="I67" i="8"/>
  <c r="I154" i="8" s="1"/>
  <c r="H67" i="8"/>
  <c r="H154" i="8" s="1"/>
  <c r="G67" i="8"/>
  <c r="G154" i="8" s="1"/>
  <c r="F67" i="8"/>
  <c r="F154" i="8" s="1"/>
  <c r="E67" i="8"/>
  <c r="E154" i="8" s="1"/>
  <c r="Q154" i="8" s="1"/>
  <c r="P63" i="8"/>
  <c r="O63" i="8"/>
  <c r="N63" i="8"/>
  <c r="M63" i="8"/>
  <c r="L63" i="8"/>
  <c r="K63" i="8"/>
  <c r="J63" i="8"/>
  <c r="I63" i="8"/>
  <c r="H63" i="8"/>
  <c r="G63" i="8"/>
  <c r="F63" i="8"/>
  <c r="E63" i="8"/>
  <c r="P50" i="8"/>
  <c r="O50" i="8"/>
  <c r="N50" i="8"/>
  <c r="M50" i="8"/>
  <c r="L50" i="8"/>
  <c r="K50" i="8"/>
  <c r="J50" i="8"/>
  <c r="I50" i="8"/>
  <c r="H50" i="8"/>
  <c r="G50" i="8"/>
  <c r="F50" i="8"/>
  <c r="E50" i="8"/>
  <c r="P43" i="8"/>
  <c r="O43" i="8"/>
  <c r="N43" i="8"/>
  <c r="M43" i="8"/>
  <c r="L43" i="8"/>
  <c r="K43" i="8"/>
  <c r="J43" i="8"/>
  <c r="I43" i="8"/>
  <c r="H43" i="8"/>
  <c r="F43" i="8"/>
  <c r="E43" i="8"/>
  <c r="P36" i="8"/>
  <c r="P145" i="8" s="1"/>
  <c r="O36" i="8"/>
  <c r="O145" i="8" s="1"/>
  <c r="N36" i="8"/>
  <c r="N145" i="8" s="1"/>
  <c r="M36" i="8"/>
  <c r="M145" i="8" s="1"/>
  <c r="L36" i="8"/>
  <c r="L145" i="8" s="1"/>
  <c r="K36" i="8"/>
  <c r="K145" i="8" s="1"/>
  <c r="J36" i="8"/>
  <c r="J145" i="8" s="1"/>
  <c r="I36" i="8"/>
  <c r="I145" i="8" s="1"/>
  <c r="H36" i="8"/>
  <c r="H145" i="8" s="1"/>
  <c r="G36" i="8"/>
  <c r="G145" i="8" s="1"/>
  <c r="F36" i="8"/>
  <c r="F145" i="8" s="1"/>
  <c r="E36" i="8"/>
  <c r="E145" i="8" s="1"/>
  <c r="P121" i="22"/>
  <c r="O121" i="22"/>
  <c r="N121" i="22"/>
  <c r="M121" i="22"/>
  <c r="L121" i="22"/>
  <c r="K121" i="22"/>
  <c r="J121" i="22"/>
  <c r="I121" i="22"/>
  <c r="H121" i="22"/>
  <c r="G121" i="22"/>
  <c r="F121" i="22"/>
  <c r="E121" i="22"/>
  <c r="P103" i="22"/>
  <c r="O103" i="22"/>
  <c r="N103" i="22"/>
  <c r="M103" i="22"/>
  <c r="L103" i="22"/>
  <c r="K103" i="22"/>
  <c r="J103" i="22"/>
  <c r="I103" i="22"/>
  <c r="H103" i="22"/>
  <c r="G103" i="22"/>
  <c r="F103" i="22"/>
  <c r="E103" i="22"/>
  <c r="P88" i="22"/>
  <c r="O88" i="22"/>
  <c r="N88" i="22"/>
  <c r="M88" i="22"/>
  <c r="L88" i="22"/>
  <c r="K88" i="22"/>
  <c r="J88" i="22"/>
  <c r="I88" i="22"/>
  <c r="H88" i="22"/>
  <c r="G88" i="22"/>
  <c r="F88" i="22"/>
  <c r="E88" i="22"/>
  <c r="P84" i="22"/>
  <c r="O84" i="22"/>
  <c r="N84" i="22"/>
  <c r="M84" i="22"/>
  <c r="L84" i="22"/>
  <c r="K84" i="22"/>
  <c r="J84" i="22"/>
  <c r="I84" i="22"/>
  <c r="H84" i="22"/>
  <c r="G84" i="22"/>
  <c r="F84" i="22"/>
  <c r="E84" i="22"/>
  <c r="P79" i="22"/>
  <c r="O79" i="22"/>
  <c r="N79" i="22"/>
  <c r="M79" i="22"/>
  <c r="L79" i="22"/>
  <c r="K79" i="22"/>
  <c r="J79" i="22"/>
  <c r="I79" i="22"/>
  <c r="H79" i="22"/>
  <c r="G79" i="22"/>
  <c r="F79" i="22"/>
  <c r="E79" i="22"/>
  <c r="P67" i="22"/>
  <c r="O67" i="22"/>
  <c r="N67" i="22"/>
  <c r="M67" i="22"/>
  <c r="L67" i="22"/>
  <c r="K67" i="22"/>
  <c r="J67" i="22"/>
  <c r="I67" i="22"/>
  <c r="H67" i="22"/>
  <c r="G67" i="22"/>
  <c r="F67" i="22"/>
  <c r="E67" i="22"/>
  <c r="P63" i="22"/>
  <c r="O63" i="22"/>
  <c r="N63" i="22"/>
  <c r="M63" i="22"/>
  <c r="L63" i="22"/>
  <c r="K63" i="22"/>
  <c r="J63" i="22"/>
  <c r="I63" i="22"/>
  <c r="H63" i="22"/>
  <c r="G63" i="22"/>
  <c r="F63" i="22"/>
  <c r="E63" i="22"/>
  <c r="P50" i="22"/>
  <c r="F50" i="22"/>
  <c r="E50" i="22"/>
  <c r="P43" i="22"/>
  <c r="O43" i="22"/>
  <c r="N43" i="22"/>
  <c r="M43" i="22"/>
  <c r="L43" i="22"/>
  <c r="K43" i="22"/>
  <c r="J43" i="22"/>
  <c r="I43" i="22"/>
  <c r="H43" i="22"/>
  <c r="G43" i="22"/>
  <c r="F43" i="22"/>
  <c r="E43" i="22"/>
  <c r="P36" i="22"/>
  <c r="P145" i="22" s="1"/>
  <c r="O36" i="22"/>
  <c r="O145" i="22" s="1"/>
  <c r="M36" i="22"/>
  <c r="M145" i="22" s="1"/>
  <c r="L36" i="22"/>
  <c r="L145" i="22" s="1"/>
  <c r="K36" i="22"/>
  <c r="K145" i="22" s="1"/>
  <c r="J36" i="22"/>
  <c r="J145" i="22" s="1"/>
  <c r="I36" i="22"/>
  <c r="I145" i="22" s="1"/>
  <c r="H36" i="22"/>
  <c r="H145" i="22" s="1"/>
  <c r="G36" i="22"/>
  <c r="G145" i="22" s="1"/>
  <c r="F36" i="22"/>
  <c r="F145" i="22" s="1"/>
  <c r="E36" i="22"/>
  <c r="E145" i="22" s="1"/>
  <c r="P121" i="6"/>
  <c r="P169" i="6" s="1"/>
  <c r="P115" i="6"/>
  <c r="O121" i="6"/>
  <c r="O169" i="6" s="1"/>
  <c r="O115" i="6"/>
  <c r="N121" i="6"/>
  <c r="N169" i="6" s="1"/>
  <c r="N115" i="6"/>
  <c r="M121" i="6"/>
  <c r="M169" i="6" s="1"/>
  <c r="M115" i="6"/>
  <c r="L121" i="6"/>
  <c r="L169" i="6" s="1"/>
  <c r="L115" i="6"/>
  <c r="K121" i="6"/>
  <c r="K169" i="6" s="1"/>
  <c r="K115" i="6"/>
  <c r="J121" i="6"/>
  <c r="J169" i="6" s="1"/>
  <c r="J115" i="6"/>
  <c r="I121" i="6"/>
  <c r="I169" i="6" s="1"/>
  <c r="I115" i="6"/>
  <c r="H121" i="6"/>
  <c r="H169" i="6" s="1"/>
  <c r="H115" i="6"/>
  <c r="G121" i="6"/>
  <c r="G169" i="6" s="1"/>
  <c r="G115" i="6"/>
  <c r="F121" i="6"/>
  <c r="F169" i="6" s="1"/>
  <c r="F115" i="6"/>
  <c r="E121" i="6"/>
  <c r="E169" i="6" s="1"/>
  <c r="E115" i="6"/>
  <c r="P103" i="6"/>
  <c r="P88" i="6"/>
  <c r="P158" i="6" s="1"/>
  <c r="P84" i="6"/>
  <c r="P79" i="6"/>
  <c r="O103" i="6"/>
  <c r="O88" i="6"/>
  <c r="O158" i="6" s="1"/>
  <c r="O84" i="6"/>
  <c r="O79" i="6"/>
  <c r="N103" i="6"/>
  <c r="N79" i="6"/>
  <c r="N84" i="6"/>
  <c r="N88" i="6"/>
  <c r="N158" i="6" s="1"/>
  <c r="M103" i="6"/>
  <c r="M88" i="6"/>
  <c r="M158" i="6" s="1"/>
  <c r="M84" i="6"/>
  <c r="M79" i="6"/>
  <c r="L103" i="6"/>
  <c r="L88" i="6"/>
  <c r="L158" i="6" s="1"/>
  <c r="L84" i="6"/>
  <c r="L79" i="6"/>
  <c r="K103" i="6"/>
  <c r="K88" i="6"/>
  <c r="K158" i="6" s="1"/>
  <c r="K84" i="6"/>
  <c r="K79" i="6"/>
  <c r="J103" i="6"/>
  <c r="J88" i="6"/>
  <c r="J158" i="6" s="1"/>
  <c r="J84" i="6"/>
  <c r="J79" i="6"/>
  <c r="I103" i="6"/>
  <c r="I88" i="6"/>
  <c r="I158" i="6" s="1"/>
  <c r="I84" i="6"/>
  <c r="I79" i="6"/>
  <c r="H103" i="6"/>
  <c r="H88" i="6"/>
  <c r="H158" i="6" s="1"/>
  <c r="H84" i="6"/>
  <c r="H79" i="6"/>
  <c r="G103" i="6"/>
  <c r="G88" i="6"/>
  <c r="G158" i="6" s="1"/>
  <c r="G84" i="6"/>
  <c r="G79" i="6"/>
  <c r="F103" i="6"/>
  <c r="F88" i="6"/>
  <c r="F158" i="6" s="1"/>
  <c r="F84" i="6"/>
  <c r="E84" i="6"/>
  <c r="F79" i="6"/>
  <c r="E103" i="6"/>
  <c r="E88" i="6"/>
  <c r="E158" i="6" s="1"/>
  <c r="E79" i="6"/>
  <c r="P67" i="6"/>
  <c r="P154" i="6" s="1"/>
  <c r="P63" i="6"/>
  <c r="P153" i="6" s="1"/>
  <c r="P43" i="6"/>
  <c r="P146" i="6" s="1"/>
  <c r="P36" i="6"/>
  <c r="P145" i="6" s="1"/>
  <c r="O67" i="6"/>
  <c r="O154" i="6" s="1"/>
  <c r="O63" i="6"/>
  <c r="O153" i="6" s="1"/>
  <c r="O43" i="6"/>
  <c r="O146" i="6" s="1"/>
  <c r="O36" i="6"/>
  <c r="O145" i="6" s="1"/>
  <c r="N67" i="6"/>
  <c r="N154" i="6" s="1"/>
  <c r="N63" i="6"/>
  <c r="N153" i="6" s="1"/>
  <c r="N43" i="6"/>
  <c r="N146" i="6" s="1"/>
  <c r="N36" i="6"/>
  <c r="N145" i="6" s="1"/>
  <c r="M67" i="6"/>
  <c r="M154" i="6" s="1"/>
  <c r="M63" i="6"/>
  <c r="M153" i="6" s="1"/>
  <c r="M43" i="6"/>
  <c r="M146" i="6" s="1"/>
  <c r="M36" i="6"/>
  <c r="M145" i="6" s="1"/>
  <c r="L67" i="6"/>
  <c r="L154" i="6" s="1"/>
  <c r="L63" i="6"/>
  <c r="L153" i="6" s="1"/>
  <c r="L43" i="6"/>
  <c r="L146" i="6" s="1"/>
  <c r="L36" i="6"/>
  <c r="L145" i="6" s="1"/>
  <c r="K67" i="6"/>
  <c r="K154" i="6" s="1"/>
  <c r="K63" i="6"/>
  <c r="K153" i="6" s="1"/>
  <c r="K43" i="6"/>
  <c r="K146" i="6" s="1"/>
  <c r="K36" i="6"/>
  <c r="K145" i="6" s="1"/>
  <c r="J67" i="6"/>
  <c r="J154" i="6" s="1"/>
  <c r="J63" i="6"/>
  <c r="J153" i="6" s="1"/>
  <c r="J43" i="6"/>
  <c r="J146" i="6" s="1"/>
  <c r="J36" i="6"/>
  <c r="J145" i="6" s="1"/>
  <c r="I67" i="6"/>
  <c r="I154" i="6" s="1"/>
  <c r="I63" i="6"/>
  <c r="I153" i="6" s="1"/>
  <c r="I43" i="6"/>
  <c r="I146" i="6" s="1"/>
  <c r="I36" i="6"/>
  <c r="I145" i="6" s="1"/>
  <c r="H67" i="6"/>
  <c r="H154" i="6" s="1"/>
  <c r="H63" i="6"/>
  <c r="H153" i="6" s="1"/>
  <c r="H43" i="6"/>
  <c r="H146" i="6" s="1"/>
  <c r="H36" i="6"/>
  <c r="H145" i="6" s="1"/>
  <c r="G67" i="6"/>
  <c r="G154" i="6" s="1"/>
  <c r="G63" i="6"/>
  <c r="G153" i="6" s="1"/>
  <c r="G43" i="6"/>
  <c r="G146" i="6" s="1"/>
  <c r="E43" i="6"/>
  <c r="E146" i="6" s="1"/>
  <c r="F43" i="6"/>
  <c r="F146" i="6" s="1"/>
  <c r="G36" i="6"/>
  <c r="G145" i="6" s="1"/>
  <c r="F67" i="6"/>
  <c r="F154" i="6" s="1"/>
  <c r="F63" i="6"/>
  <c r="F153" i="6" s="1"/>
  <c r="F36" i="6"/>
  <c r="F145" i="6" s="1"/>
  <c r="E67" i="6"/>
  <c r="E154" i="6" s="1"/>
  <c r="E63" i="6"/>
  <c r="E153" i="6" s="1"/>
  <c r="E36" i="6"/>
  <c r="E145" i="6" s="1"/>
  <c r="Q10" i="6"/>
  <c r="Q120" i="6"/>
  <c r="R120" i="6" s="1"/>
  <c r="Q40" i="8"/>
  <c r="Q66" i="8"/>
  <c r="R66" i="8" s="1"/>
  <c r="Q38" i="8"/>
  <c r="R38" i="8" s="1"/>
  <c r="Q49" i="8"/>
  <c r="Q56" i="8"/>
  <c r="T56" i="8" s="1"/>
  <c r="Q60" i="8"/>
  <c r="R60" i="8" s="1"/>
  <c r="Q61" i="8"/>
  <c r="R61" i="8" s="1"/>
  <c r="Q62" i="8"/>
  <c r="R62" i="8" s="1"/>
  <c r="Q66" i="22"/>
  <c r="Q117" i="8"/>
  <c r="Q117" i="6"/>
  <c r="Q119" i="6"/>
  <c r="R119" i="6" s="1"/>
  <c r="Q10" i="22"/>
  <c r="T10" i="22" s="1"/>
  <c r="Q12" i="22"/>
  <c r="R12" i="22" s="1"/>
  <c r="T12" i="22" s="1"/>
  <c r="Q13" i="22"/>
  <c r="Q14" i="22"/>
  <c r="Q21" i="22"/>
  <c r="Q38" i="22"/>
  <c r="R38" i="22" s="1"/>
  <c r="Q43" i="22"/>
  <c r="T43" i="22" s="1"/>
  <c r="G12" i="46"/>
  <c r="Q56" i="22"/>
  <c r="T56" i="22" s="1"/>
  <c r="Q60" i="22"/>
  <c r="R60" i="22" s="1"/>
  <c r="Q61" i="22"/>
  <c r="R61" i="22" s="1"/>
  <c r="Q62" i="22"/>
  <c r="R62" i="22" s="1"/>
  <c r="Q69" i="22"/>
  <c r="T69" i="22" s="1"/>
  <c r="Q75" i="22"/>
  <c r="Q78" i="22"/>
  <c r="Q81" i="22"/>
  <c r="R81" i="22" s="1"/>
  <c r="Q82" i="22"/>
  <c r="R82" i="22" s="1"/>
  <c r="Q83" i="22"/>
  <c r="R83" i="22" s="1"/>
  <c r="Q86" i="22"/>
  <c r="R86" i="22" s="1"/>
  <c r="Q87" i="22"/>
  <c r="R87" i="22" s="1"/>
  <c r="Q96" i="22"/>
  <c r="Q98" i="22"/>
  <c r="R98" i="22" s="1"/>
  <c r="Q99" i="22"/>
  <c r="R99" i="22" s="1"/>
  <c r="Q100" i="22"/>
  <c r="R100" i="22" s="1"/>
  <c r="Q101" i="22"/>
  <c r="R101" i="22" s="1"/>
  <c r="R102" i="22"/>
  <c r="Q111" i="22"/>
  <c r="R111" i="22" s="1"/>
  <c r="Q112" i="22"/>
  <c r="R112" i="22" s="1"/>
  <c r="Q113" i="22"/>
  <c r="R113" i="22" s="1"/>
  <c r="Q114" i="22"/>
  <c r="R114" i="22" s="1"/>
  <c r="Q117" i="22"/>
  <c r="Q120" i="22"/>
  <c r="Q128" i="22"/>
  <c r="Q14" i="6"/>
  <c r="Q12" i="6"/>
  <c r="R12" i="6" s="1"/>
  <c r="T12" i="6" s="1"/>
  <c r="Q13" i="6"/>
  <c r="Q21" i="6"/>
  <c r="Q21" i="8"/>
  <c r="Q14" i="8"/>
  <c r="Q10" i="8"/>
  <c r="Q12" i="8"/>
  <c r="R12" i="8" s="1"/>
  <c r="T12" i="8" s="1"/>
  <c r="Q13" i="8"/>
  <c r="Q69" i="8"/>
  <c r="T69" i="8" s="1"/>
  <c r="Q75" i="8"/>
  <c r="Q78" i="8"/>
  <c r="Q81" i="8"/>
  <c r="R81" i="8" s="1"/>
  <c r="Q82" i="8"/>
  <c r="R82" i="8" s="1"/>
  <c r="Q83" i="8"/>
  <c r="R83" i="8" s="1"/>
  <c r="E84" i="8"/>
  <c r="F84" i="8"/>
  <c r="G84" i="8"/>
  <c r="H84" i="8"/>
  <c r="I84" i="8"/>
  <c r="J84" i="8"/>
  <c r="K84" i="8"/>
  <c r="L84" i="8"/>
  <c r="M84" i="8"/>
  <c r="N84" i="8"/>
  <c r="O84" i="8"/>
  <c r="P84" i="8"/>
  <c r="Q86" i="8"/>
  <c r="R86" i="8" s="1"/>
  <c r="Q87" i="8"/>
  <c r="R87" i="8" s="1"/>
  <c r="Q96" i="8"/>
  <c r="Q98" i="8"/>
  <c r="R98" i="8" s="1"/>
  <c r="Q99" i="8"/>
  <c r="R99" i="8" s="1"/>
  <c r="Q100" i="8"/>
  <c r="R100" i="8" s="1"/>
  <c r="Q101" i="8"/>
  <c r="R101" i="8" s="1"/>
  <c r="Q102" i="8"/>
  <c r="R102" i="8" s="1"/>
  <c r="Q120" i="8"/>
  <c r="R120" i="8" s="1"/>
  <c r="Q128" i="8"/>
  <c r="Q38" i="6"/>
  <c r="R38" i="6" s="1"/>
  <c r="Q40" i="6"/>
  <c r="Q50" i="6"/>
  <c r="T50" i="6" s="1"/>
  <c r="Q60" i="6"/>
  <c r="R60" i="6" s="1"/>
  <c r="Q61" i="6"/>
  <c r="R61" i="6" s="1"/>
  <c r="Q62" i="6"/>
  <c r="R62" i="6" s="1"/>
  <c r="Q66" i="6"/>
  <c r="R66" i="6" s="1"/>
  <c r="Q69" i="6"/>
  <c r="Q75" i="6"/>
  <c r="Q77" i="6"/>
  <c r="R77" i="6" s="1"/>
  <c r="Q78" i="6"/>
  <c r="R78" i="6" s="1"/>
  <c r="Q81" i="6"/>
  <c r="R81" i="6" s="1"/>
  <c r="Q82" i="6"/>
  <c r="R82" i="6" s="1"/>
  <c r="Q83" i="6"/>
  <c r="R83" i="6" s="1"/>
  <c r="Q86" i="6"/>
  <c r="R86" i="6" s="1"/>
  <c r="Q87" i="6"/>
  <c r="R87" i="6" s="1"/>
  <c r="Q98" i="6"/>
  <c r="R98" i="6" s="1"/>
  <c r="Q99" i="6"/>
  <c r="R99" i="6" s="1"/>
  <c r="Q100" i="6"/>
  <c r="R100" i="6" s="1"/>
  <c r="Q101" i="6"/>
  <c r="R101" i="6" s="1"/>
  <c r="Q102" i="6"/>
  <c r="R102" i="6" s="1"/>
  <c r="Q111" i="6"/>
  <c r="R111" i="6" s="1"/>
  <c r="Q112" i="6"/>
  <c r="R112" i="6" s="1"/>
  <c r="Q113" i="6"/>
  <c r="R113" i="6" s="1"/>
  <c r="Q114" i="6"/>
  <c r="R114" i="6" s="1"/>
  <c r="Q128" i="6"/>
  <c r="I129" i="6"/>
  <c r="J129" i="6"/>
  <c r="K129" i="6"/>
  <c r="L129" i="6"/>
  <c r="M129" i="6"/>
  <c r="N129" i="6"/>
  <c r="O129" i="6"/>
  <c r="P129" i="6"/>
  <c r="Q36" i="22"/>
  <c r="T36" i="22" s="1"/>
  <c r="Q36" i="8"/>
  <c r="T36" i="8" s="1"/>
  <c r="G188" i="6"/>
  <c r="H188" i="6"/>
  <c r="Q36" i="6"/>
  <c r="T36" i="6" s="1"/>
  <c r="Q145" i="8" l="1"/>
  <c r="Q169" i="6"/>
  <c r="Q146" i="6"/>
  <c r="Q153" i="6"/>
  <c r="Q154" i="6"/>
  <c r="Q145" i="6"/>
  <c r="Q158" i="6"/>
  <c r="R75" i="8"/>
  <c r="T75" i="8"/>
  <c r="R10" i="8"/>
  <c r="R14" i="8"/>
  <c r="T14" i="8"/>
  <c r="R117" i="8"/>
  <c r="T117" i="8"/>
  <c r="R21" i="8"/>
  <c r="T21" i="8"/>
  <c r="R128" i="8"/>
  <c r="T128" i="8"/>
  <c r="R13" i="8"/>
  <c r="T13" i="8"/>
  <c r="R96" i="8"/>
  <c r="T96" i="8"/>
  <c r="R21" i="22"/>
  <c r="T21" i="22"/>
  <c r="R14" i="22"/>
  <c r="T14" i="22"/>
  <c r="R13" i="22"/>
  <c r="T13" i="22"/>
  <c r="R10" i="22"/>
  <c r="R75" i="22"/>
  <c r="T75" i="22"/>
  <c r="R96" i="22"/>
  <c r="T96" i="22"/>
  <c r="R128" i="22"/>
  <c r="T128" i="22"/>
  <c r="R117" i="22"/>
  <c r="T117" i="22"/>
  <c r="R14" i="6"/>
  <c r="T14" i="6"/>
  <c r="R128" i="6"/>
  <c r="T128" i="6"/>
  <c r="R10" i="6"/>
  <c r="R75" i="6"/>
  <c r="T75" i="6"/>
  <c r="F15" i="46"/>
  <c r="T69" i="6"/>
  <c r="R21" i="6"/>
  <c r="T21" i="6"/>
  <c r="R117" i="6"/>
  <c r="T117" i="6"/>
  <c r="R13" i="6"/>
  <c r="T13" i="6"/>
  <c r="R69" i="8"/>
  <c r="H15" i="46"/>
  <c r="R69" i="22"/>
  <c r="G15" i="46"/>
  <c r="R69" i="6"/>
  <c r="Q43" i="8"/>
  <c r="R40" i="8"/>
  <c r="Q50" i="8"/>
  <c r="R49" i="8"/>
  <c r="H8" i="46"/>
  <c r="R56" i="8"/>
  <c r="Q79" i="8"/>
  <c r="T79" i="8" s="1"/>
  <c r="R78" i="8"/>
  <c r="Q79" i="22"/>
  <c r="R78" i="22"/>
  <c r="Q67" i="22"/>
  <c r="R66" i="22"/>
  <c r="G8" i="46"/>
  <c r="R56" i="22"/>
  <c r="Q43" i="6"/>
  <c r="R40" i="6"/>
  <c r="Q121" i="22"/>
  <c r="R120" i="22"/>
  <c r="H6" i="46"/>
  <c r="R36" i="8"/>
  <c r="G9" i="46"/>
  <c r="R43" i="22"/>
  <c r="G6" i="46"/>
  <c r="R36" i="22"/>
  <c r="F12" i="46"/>
  <c r="R50" i="6"/>
  <c r="F6" i="46"/>
  <c r="R36" i="6"/>
  <c r="K368" i="27"/>
  <c r="Q163" i="22"/>
  <c r="M367" i="27"/>
  <c r="M368" i="27"/>
  <c r="G367" i="27"/>
  <c r="G368" i="27"/>
  <c r="L367" i="27"/>
  <c r="P367" i="27"/>
  <c r="H349" i="27"/>
  <c r="L357" i="27"/>
  <c r="J385" i="27"/>
  <c r="M115" i="27"/>
  <c r="H351" i="27"/>
  <c r="G63" i="27"/>
  <c r="G353" i="27" s="1"/>
  <c r="M357" i="27"/>
  <c r="I115" i="27"/>
  <c r="L36" i="27"/>
  <c r="L345" i="27" s="1"/>
  <c r="Q63" i="22"/>
  <c r="Q67" i="8"/>
  <c r="T67" i="8" s="1"/>
  <c r="G347" i="27"/>
  <c r="K63" i="27"/>
  <c r="K353" i="27" s="1"/>
  <c r="K50" i="27"/>
  <c r="K367" i="27"/>
  <c r="F367" i="27"/>
  <c r="O367" i="27"/>
  <c r="Q149" i="22"/>
  <c r="G50" i="27"/>
  <c r="G348" i="27" s="1"/>
  <c r="O63" i="27"/>
  <c r="J115" i="27"/>
  <c r="I364" i="27"/>
  <c r="K349" i="27"/>
  <c r="O347" i="27"/>
  <c r="P349" i="27"/>
  <c r="P351" i="27"/>
  <c r="O50" i="27"/>
  <c r="Q84" i="6"/>
  <c r="E359" i="27"/>
  <c r="Q67" i="6"/>
  <c r="T67" i="6" s="1"/>
  <c r="E84" i="27"/>
  <c r="Q115" i="8"/>
  <c r="F341" i="27"/>
  <c r="Q121" i="8"/>
  <c r="Q84" i="8"/>
  <c r="I36" i="27"/>
  <c r="K115" i="27"/>
  <c r="Q145" i="22"/>
  <c r="Q88" i="8"/>
  <c r="G385" i="27"/>
  <c r="Q115" i="6"/>
  <c r="Q103" i="8"/>
  <c r="Q84" i="22"/>
  <c r="Q103" i="22"/>
  <c r="I341" i="27"/>
  <c r="I344" i="27"/>
  <c r="F338" i="27"/>
  <c r="Q165" i="22"/>
  <c r="Q167" i="22"/>
  <c r="I342" i="27"/>
  <c r="K385" i="27"/>
  <c r="Q88" i="6"/>
  <c r="Q115" i="22"/>
  <c r="Q147" i="22"/>
  <c r="Q88" i="22"/>
  <c r="Q164" i="22"/>
  <c r="Q63" i="6"/>
  <c r="M63" i="27"/>
  <c r="M353" i="27" s="1"/>
  <c r="Q156" i="22"/>
  <c r="Q157" i="22"/>
  <c r="Q168" i="22"/>
  <c r="Q141" i="22"/>
  <c r="M50" i="27"/>
  <c r="M348" i="27" s="1"/>
  <c r="M343" i="27"/>
  <c r="M341" i="27"/>
  <c r="J355" i="27"/>
  <c r="N385" i="27"/>
  <c r="Q15" i="22"/>
  <c r="L347" i="27"/>
  <c r="H63" i="27"/>
  <c r="Q63" i="8"/>
  <c r="L63" i="27"/>
  <c r="N36" i="27"/>
  <c r="N345" i="27" s="1"/>
  <c r="I50" i="27"/>
  <c r="I348" i="27" s="1"/>
  <c r="I63" i="27"/>
  <c r="G357" i="27"/>
  <c r="O357" i="27"/>
  <c r="E385" i="27"/>
  <c r="F385" i="27"/>
  <c r="Q79" i="6"/>
  <c r="E79" i="27"/>
  <c r="E355" i="27"/>
  <c r="K36" i="27"/>
  <c r="K345" i="27" s="1"/>
  <c r="P63" i="27"/>
  <c r="O36" i="27"/>
  <c r="O345" i="27" s="1"/>
  <c r="J50" i="27"/>
  <c r="J348" i="27" s="1"/>
  <c r="Q103" i="6"/>
  <c r="N359" i="27"/>
  <c r="P36" i="27"/>
  <c r="Q138" i="22"/>
  <c r="E343" i="27"/>
  <c r="O338" i="27"/>
  <c r="Q121" i="6"/>
  <c r="P43" i="27"/>
  <c r="O115" i="27"/>
  <c r="Q166" i="22"/>
  <c r="Q154" i="22"/>
  <c r="M342" i="27"/>
  <c r="Q143" i="22"/>
  <c r="F344" i="27"/>
  <c r="Q144" i="22"/>
  <c r="Q142" i="22"/>
  <c r="Q146" i="22"/>
  <c r="N50" i="27"/>
  <c r="N348" i="27" s="1"/>
  <c r="L351" i="27"/>
  <c r="Q151" i="22"/>
  <c r="Q153" i="22"/>
  <c r="Q148" i="22"/>
  <c r="J36" i="27"/>
  <c r="M344" i="27"/>
  <c r="I343" i="27"/>
  <c r="F342" i="27"/>
  <c r="M36" i="27"/>
  <c r="M345" i="27" s="1"/>
  <c r="Q161" i="22"/>
  <c r="E103" i="27"/>
  <c r="F115" i="27"/>
  <c r="N342" i="27"/>
  <c r="N344" i="27"/>
  <c r="G338" i="27"/>
  <c r="N343" i="27"/>
  <c r="J341" i="27"/>
  <c r="E115" i="27"/>
  <c r="N115" i="27"/>
  <c r="J364" i="27"/>
  <c r="K359" i="27"/>
  <c r="O385" i="27"/>
  <c r="Q33" i="27"/>
  <c r="K43" i="27"/>
  <c r="K346" i="27" s="1"/>
  <c r="O43" i="27"/>
  <c r="E50" i="27"/>
  <c r="Q62" i="27"/>
  <c r="P67" i="27"/>
  <c r="H67" i="27"/>
  <c r="H354" i="27" s="1"/>
  <c r="Q60" i="27"/>
  <c r="Q87" i="27"/>
  <c r="Q99" i="27"/>
  <c r="Q100" i="27"/>
  <c r="F43" i="27"/>
  <c r="F346" i="27" s="1"/>
  <c r="M67" i="27"/>
  <c r="M354" i="27" s="1"/>
  <c r="I67" i="27"/>
  <c r="H344" i="27"/>
  <c r="P344" i="27"/>
  <c r="H342" i="27"/>
  <c r="F349" i="27"/>
  <c r="L343" i="27"/>
  <c r="G115" i="27"/>
  <c r="P342" i="27"/>
  <c r="E338" i="27"/>
  <c r="N351" i="27"/>
  <c r="E63" i="27"/>
  <c r="J43" i="27"/>
  <c r="N43" i="27"/>
  <c r="N346" i="27" s="1"/>
  <c r="J63" i="27"/>
  <c r="N63" i="27"/>
  <c r="K364" i="27"/>
  <c r="L359" i="27"/>
  <c r="L355" i="27"/>
  <c r="N347" i="27"/>
  <c r="K361" i="27"/>
  <c r="L341" i="27"/>
  <c r="Q45" i="27"/>
  <c r="S45" i="27" s="1"/>
  <c r="Q21" i="27"/>
  <c r="S21" i="27" s="1"/>
  <c r="Q29" i="27"/>
  <c r="S29" i="27" s="1"/>
  <c r="Q31" i="27"/>
  <c r="S31" i="27" s="1"/>
  <c r="G36" i="27"/>
  <c r="G345" i="27" s="1"/>
  <c r="Q41" i="27"/>
  <c r="F50" i="27"/>
  <c r="Q61" i="27"/>
  <c r="Q69" i="27"/>
  <c r="S69" i="27" s="1"/>
  <c r="Q83" i="27"/>
  <c r="Q114" i="27"/>
  <c r="O67" i="27"/>
  <c r="K67" i="27"/>
  <c r="K354" i="27" s="1"/>
  <c r="G67" i="27"/>
  <c r="G354" i="27" s="1"/>
  <c r="N67" i="27"/>
  <c r="J67" i="27"/>
  <c r="J354" i="27" s="1"/>
  <c r="F67" i="27"/>
  <c r="Q12" i="27"/>
  <c r="S12" i="27" s="1"/>
  <c r="F63" i="27"/>
  <c r="Q75" i="27"/>
  <c r="Q77" i="27"/>
  <c r="F355" i="27"/>
  <c r="I355" i="27"/>
  <c r="M355" i="27"/>
  <c r="Q81" i="27"/>
  <c r="Q82" i="27"/>
  <c r="Q86" i="27"/>
  <c r="E88" i="27"/>
  <c r="F359" i="27"/>
  <c r="I359" i="27"/>
  <c r="H361" i="27"/>
  <c r="L361" i="27"/>
  <c r="H362" i="27"/>
  <c r="Q362" i="27" s="1"/>
  <c r="Q101" i="27"/>
  <c r="H363" i="27"/>
  <c r="Q363" i="27" s="1"/>
  <c r="Q102" i="27"/>
  <c r="H364" i="27"/>
  <c r="Q111" i="27"/>
  <c r="H115" i="27"/>
  <c r="L364" i="27"/>
  <c r="L115" i="27"/>
  <c r="P364" i="27"/>
  <c r="P115" i="27"/>
  <c r="H365" i="27"/>
  <c r="Q365" i="27" s="1"/>
  <c r="Q112" i="27"/>
  <c r="H366" i="27"/>
  <c r="Q366" i="27" s="1"/>
  <c r="Q113" i="27"/>
  <c r="Q10" i="27"/>
  <c r="Q14" i="27"/>
  <c r="Q18" i="27"/>
  <c r="S18" i="27" s="1"/>
  <c r="H338" i="27"/>
  <c r="L338" i="27"/>
  <c r="O341" i="27"/>
  <c r="G342" i="27"/>
  <c r="Q27" i="27"/>
  <c r="S27" i="27" s="1"/>
  <c r="K343" i="27"/>
  <c r="E36" i="27"/>
  <c r="Q34" i="27"/>
  <c r="F36" i="27"/>
  <c r="Q35" i="27"/>
  <c r="E43" i="27"/>
  <c r="Q40" i="27"/>
  <c r="F347" i="27"/>
  <c r="E349" i="27"/>
  <c r="Q52" i="27"/>
  <c r="S52" i="27" s="1"/>
  <c r="M349" i="27"/>
  <c r="Q56" i="27"/>
  <c r="S56" i="27" s="1"/>
  <c r="M351" i="27"/>
  <c r="I43" i="27"/>
  <c r="M43" i="27"/>
  <c r="Q13" i="27"/>
  <c r="S13" i="27" s="1"/>
  <c r="Q48" i="27"/>
  <c r="Q49" i="27"/>
  <c r="Q38" i="27"/>
  <c r="L67" i="27"/>
  <c r="P50" i="27"/>
  <c r="Q47" i="27"/>
  <c r="G341" i="27"/>
  <c r="K341" i="27"/>
  <c r="K342" i="27"/>
  <c r="G343" i="27"/>
  <c r="O343" i="27"/>
  <c r="G344" i="27"/>
  <c r="O344" i="27"/>
  <c r="I347" i="27"/>
  <c r="M347" i="27"/>
  <c r="M338" i="27"/>
  <c r="L50" i="27"/>
  <c r="G43" i="27"/>
  <c r="E67" i="27"/>
  <c r="H36" i="27"/>
  <c r="Q66" i="27"/>
  <c r="L43" i="27"/>
  <c r="Q42" i="27"/>
  <c r="H50" i="27"/>
  <c r="H43" i="27"/>
  <c r="Q65" i="27"/>
  <c r="H385" i="27"/>
  <c r="L385" i="27"/>
  <c r="P385" i="27"/>
  <c r="I385" i="27"/>
  <c r="M385" i="27"/>
  <c r="Q119" i="27"/>
  <c r="Q78" i="27"/>
  <c r="Q356" i="27"/>
  <c r="Q169" i="22"/>
  <c r="Q137" i="22"/>
  <c r="R84" i="8" l="1"/>
  <c r="T84" i="8"/>
  <c r="R79" i="8"/>
  <c r="R121" i="8"/>
  <c r="T121" i="8"/>
  <c r="H12" i="46"/>
  <c r="E12" i="46" s="1"/>
  <c r="T50" i="8"/>
  <c r="H9" i="46"/>
  <c r="T43" i="8"/>
  <c r="R88" i="8"/>
  <c r="T88" i="8"/>
  <c r="R63" i="8"/>
  <c r="T63" i="8"/>
  <c r="R115" i="8"/>
  <c r="T115" i="8"/>
  <c r="R103" i="8"/>
  <c r="T103" i="8"/>
  <c r="R43" i="8"/>
  <c r="R67" i="22"/>
  <c r="T67" i="22"/>
  <c r="R115" i="22"/>
  <c r="T115" i="22"/>
  <c r="R79" i="22"/>
  <c r="T79" i="22"/>
  <c r="R63" i="22"/>
  <c r="T63" i="22"/>
  <c r="R15" i="22"/>
  <c r="T15" i="22"/>
  <c r="R103" i="22"/>
  <c r="T103" i="22"/>
  <c r="R88" i="22"/>
  <c r="T88" i="22"/>
  <c r="R84" i="22"/>
  <c r="T84" i="22"/>
  <c r="R121" i="22"/>
  <c r="T121" i="22"/>
  <c r="R84" i="6"/>
  <c r="T84" i="6"/>
  <c r="R43" i="6"/>
  <c r="T43" i="6"/>
  <c r="R103" i="6"/>
  <c r="T103" i="6"/>
  <c r="R63" i="6"/>
  <c r="T63" i="6"/>
  <c r="R79" i="6"/>
  <c r="T79" i="6"/>
  <c r="R121" i="6"/>
  <c r="T121" i="6"/>
  <c r="R115" i="6"/>
  <c r="T115" i="6"/>
  <c r="R88" i="6"/>
  <c r="T88" i="6"/>
  <c r="E15" i="46"/>
  <c r="G16" i="46"/>
  <c r="E6" i="46"/>
  <c r="E8" i="46"/>
  <c r="F9" i="46"/>
  <c r="R50" i="8"/>
  <c r="H16" i="46"/>
  <c r="R67" i="8"/>
  <c r="F16" i="46"/>
  <c r="R67" i="6"/>
  <c r="Q158" i="22"/>
  <c r="I357" i="27"/>
  <c r="J357" i="27"/>
  <c r="G13" i="46"/>
  <c r="H13" i="46"/>
  <c r="F13" i="46"/>
  <c r="K357" i="27"/>
  <c r="P361" i="27"/>
  <c r="Q361" i="27" s="1"/>
  <c r="Q98" i="27"/>
  <c r="K348" i="27"/>
  <c r="F348" i="27"/>
  <c r="O353" i="27"/>
  <c r="P357" i="27"/>
  <c r="I345" i="27"/>
  <c r="O348" i="27"/>
  <c r="L368" i="27"/>
  <c r="F368" i="27"/>
  <c r="P368" i="27"/>
  <c r="H357" i="27"/>
  <c r="I353" i="27"/>
  <c r="H353" i="27"/>
  <c r="O346" i="27"/>
  <c r="L353" i="27"/>
  <c r="N357" i="27"/>
  <c r="F357" i="27"/>
  <c r="P353" i="27"/>
  <c r="P345" i="27"/>
  <c r="J345" i="27"/>
  <c r="I354" i="27"/>
  <c r="P354" i="27"/>
  <c r="P346" i="27"/>
  <c r="F353" i="27"/>
  <c r="E348" i="27"/>
  <c r="N354" i="27"/>
  <c r="Q349" i="27"/>
  <c r="Q355" i="27"/>
  <c r="Q63" i="27"/>
  <c r="S63" i="27" s="1"/>
  <c r="Q364" i="27"/>
  <c r="Q338" i="27"/>
  <c r="Q36" i="27"/>
  <c r="S36" i="27" s="1"/>
  <c r="E357" i="27"/>
  <c r="J346" i="27"/>
  <c r="Q88" i="27"/>
  <c r="S88" i="27" s="1"/>
  <c r="Q115" i="27"/>
  <c r="S115" i="27" s="1"/>
  <c r="E353" i="27"/>
  <c r="Q351" i="27"/>
  <c r="Q342" i="27"/>
  <c r="F354" i="27"/>
  <c r="Q84" i="27"/>
  <c r="S84" i="27" s="1"/>
  <c r="J353" i="27"/>
  <c r="N353" i="27"/>
  <c r="O354" i="27"/>
  <c r="M346" i="27"/>
  <c r="E346" i="27"/>
  <c r="E345" i="27"/>
  <c r="I346" i="27"/>
  <c r="F345" i="27"/>
  <c r="Q343" i="27"/>
  <c r="Q67" i="27"/>
  <c r="S67" i="27" s="1"/>
  <c r="Q344" i="27"/>
  <c r="Q347" i="27"/>
  <c r="E354" i="27"/>
  <c r="L354" i="27"/>
  <c r="Q341" i="27"/>
  <c r="L348" i="27"/>
  <c r="Q50" i="27"/>
  <c r="S50" i="27" s="1"/>
  <c r="P348" i="27"/>
  <c r="H345" i="27"/>
  <c r="G346" i="27"/>
  <c r="H346" i="27"/>
  <c r="H348" i="27"/>
  <c r="Q43" i="27"/>
  <c r="S43" i="27" s="1"/>
  <c r="L346" i="27"/>
  <c r="Q79" i="27"/>
  <c r="S79" i="27" s="1"/>
  <c r="O368" i="27"/>
  <c r="E9" i="46" l="1"/>
  <c r="E16" i="46"/>
  <c r="E13" i="46"/>
  <c r="Q103" i="27"/>
  <c r="S103" i="27" s="1"/>
  <c r="Q357" i="27"/>
  <c r="Q353" i="27"/>
  <c r="Q354" i="27"/>
  <c r="Q345" i="27"/>
  <c r="Q348" i="27"/>
  <c r="Q346" i="27"/>
  <c r="E358" i="27" l="1"/>
  <c r="F358" i="27" l="1"/>
  <c r="G358" i="27" l="1"/>
  <c r="H358" i="27" l="1"/>
  <c r="I358" i="27" l="1"/>
  <c r="J358" i="27" l="1"/>
  <c r="K358" i="27" l="1"/>
  <c r="L358" i="27" l="1"/>
  <c r="M358" i="27" l="1"/>
  <c r="N358" i="27" l="1"/>
  <c r="Q92" i="22" l="1"/>
  <c r="Q92" i="8"/>
  <c r="O358" i="27"/>
  <c r="Q92" i="6"/>
  <c r="R92" i="8" l="1"/>
  <c r="T92" i="8"/>
  <c r="R92" i="22"/>
  <c r="T92" i="22"/>
  <c r="R92" i="6"/>
  <c r="T92" i="6"/>
  <c r="Q159" i="22"/>
  <c r="P358" i="27"/>
  <c r="Q358" i="27" s="1"/>
  <c r="Q92" i="27"/>
  <c r="S92" i="27" s="1"/>
  <c r="L58" i="8" l="1"/>
  <c r="L152" i="8" s="1"/>
  <c r="F58" i="8"/>
  <c r="F152" i="8" s="1"/>
  <c r="L58" i="22"/>
  <c r="L152" i="22" s="1"/>
  <c r="F58" i="22"/>
  <c r="F152" i="22" s="1"/>
  <c r="L58" i="6"/>
  <c r="L152" i="6" s="1"/>
  <c r="F58" i="6"/>
  <c r="F152" i="6" s="1"/>
  <c r="K58" i="8"/>
  <c r="K152" i="8" s="1"/>
  <c r="K58" i="22"/>
  <c r="K152" i="22" s="1"/>
  <c r="K58" i="6"/>
  <c r="K152" i="6" s="1"/>
  <c r="P58" i="8"/>
  <c r="P152" i="8" s="1"/>
  <c r="J58" i="8"/>
  <c r="J152" i="8" s="1"/>
  <c r="P58" i="22"/>
  <c r="P152" i="22" s="1"/>
  <c r="J58" i="22"/>
  <c r="J152" i="22" s="1"/>
  <c r="P58" i="6"/>
  <c r="P152" i="6" s="1"/>
  <c r="J58" i="6"/>
  <c r="J152" i="6" s="1"/>
  <c r="O58" i="8"/>
  <c r="O152" i="8" s="1"/>
  <c r="I58" i="8"/>
  <c r="I152" i="8" s="1"/>
  <c r="O58" i="22"/>
  <c r="O152" i="22" s="1"/>
  <c r="I58" i="22"/>
  <c r="I152" i="22" s="1"/>
  <c r="O58" i="6"/>
  <c r="O152" i="6" s="1"/>
  <c r="I58" i="6"/>
  <c r="I152" i="6" s="1"/>
  <c r="N58" i="8"/>
  <c r="N152" i="8" s="1"/>
  <c r="H58" i="8"/>
  <c r="H152" i="8" s="1"/>
  <c r="N58" i="22"/>
  <c r="N152" i="22" s="1"/>
  <c r="H58" i="22"/>
  <c r="H152" i="22" s="1"/>
  <c r="N58" i="6"/>
  <c r="N152" i="6" s="1"/>
  <c r="H58" i="6"/>
  <c r="H152" i="6" s="1"/>
  <c r="M58" i="8"/>
  <c r="M152" i="8" s="1"/>
  <c r="G58" i="8"/>
  <c r="G152" i="8" s="1"/>
  <c r="M58" i="22"/>
  <c r="M152" i="22" s="1"/>
  <c r="G58" i="22"/>
  <c r="G152" i="22" s="1"/>
  <c r="M58" i="6"/>
  <c r="M152" i="6" s="1"/>
  <c r="L58" i="27" l="1"/>
  <c r="P58" i="27"/>
  <c r="I58" i="27"/>
  <c r="O58" i="27"/>
  <c r="K58" i="27"/>
  <c r="N58" i="27"/>
  <c r="H58" i="27"/>
  <c r="F58" i="27"/>
  <c r="M58" i="27"/>
  <c r="J58" i="27"/>
  <c r="E58" i="8"/>
  <c r="E152" i="8" s="1"/>
  <c r="Q152" i="8" s="1"/>
  <c r="E58" i="6"/>
  <c r="E152" i="6" s="1"/>
  <c r="G58" i="6"/>
  <c r="E58" i="22"/>
  <c r="E152" i="22" s="1"/>
  <c r="G58" i="27" l="1"/>
  <c r="G152" i="6"/>
  <c r="Q152" i="6" s="1"/>
  <c r="E58" i="27"/>
  <c r="I352" i="27"/>
  <c r="P352" i="27"/>
  <c r="L352" i="27"/>
  <c r="Q58" i="6"/>
  <c r="N352" i="27"/>
  <c r="H352" i="27"/>
  <c r="F352" i="27"/>
  <c r="Q152" i="22"/>
  <c r="Q58" i="22"/>
  <c r="M352" i="27"/>
  <c r="Q58" i="8"/>
  <c r="O352" i="27"/>
  <c r="K352" i="27"/>
  <c r="J352" i="27"/>
  <c r="R58" i="8" l="1"/>
  <c r="T58" i="8"/>
  <c r="R58" i="22"/>
  <c r="T58" i="22"/>
  <c r="R58" i="6"/>
  <c r="T58" i="6"/>
  <c r="G352" i="27"/>
  <c r="E352" i="27"/>
  <c r="Q58" i="27"/>
  <c r="S58" i="27" s="1"/>
  <c r="Q352" i="27" l="1"/>
  <c r="E360" i="27" l="1"/>
  <c r="F360" i="27" l="1"/>
  <c r="G360" i="27" l="1"/>
  <c r="H360" i="27" l="1"/>
  <c r="I360" i="27" l="1"/>
  <c r="J360" i="27" l="1"/>
  <c r="K360" i="27" l="1"/>
  <c r="L360" i="27" l="1"/>
  <c r="M360" i="27" l="1"/>
  <c r="N360" i="27" l="1"/>
  <c r="O360" i="27" l="1"/>
  <c r="Q96" i="6"/>
  <c r="R96" i="6" l="1"/>
  <c r="T96" i="6"/>
  <c r="P360" i="27"/>
  <c r="Q96" i="27"/>
  <c r="S96" i="27" s="1"/>
  <c r="Q360" i="27" l="1"/>
  <c r="M369" i="27" l="1"/>
  <c r="K369" i="27"/>
  <c r="J369" i="27" l="1"/>
  <c r="I369" i="27"/>
  <c r="N369" i="27"/>
  <c r="P369" i="27"/>
  <c r="O369" i="27"/>
  <c r="L369" i="27"/>
  <c r="M127" i="22" l="1"/>
  <c r="N127" i="22"/>
  <c r="O127" i="22"/>
  <c r="N127" i="8"/>
  <c r="M127" i="8"/>
  <c r="L127" i="8"/>
  <c r="L127" i="22"/>
  <c r="O127" i="8"/>
  <c r="P127" i="8"/>
  <c r="P127" i="22"/>
  <c r="K127" i="22"/>
  <c r="J127" i="22"/>
  <c r="J127" i="27" s="1"/>
  <c r="J129" i="27" s="1"/>
  <c r="K127" i="8"/>
  <c r="I127" i="22"/>
  <c r="I127" i="27" s="1"/>
  <c r="I129" i="27" s="1"/>
  <c r="J127" i="8"/>
  <c r="J129" i="8" s="1"/>
  <c r="I127" i="8"/>
  <c r="L127" i="27" l="1"/>
  <c r="L129" i="27" s="1"/>
  <c r="O127" i="27"/>
  <c r="O129" i="27" s="1"/>
  <c r="K129" i="22"/>
  <c r="K127" i="27"/>
  <c r="K129" i="27" s="1"/>
  <c r="P129" i="22"/>
  <c r="P127" i="27"/>
  <c r="P129" i="27" s="1"/>
  <c r="N127" i="27"/>
  <c r="N129" i="27" s="1"/>
  <c r="M127" i="27"/>
  <c r="M129" i="27" s="1"/>
  <c r="I129" i="8"/>
  <c r="O129" i="8"/>
  <c r="L129" i="22"/>
  <c r="P370" i="27"/>
  <c r="L129" i="8"/>
  <c r="K129" i="8"/>
  <c r="M129" i="8"/>
  <c r="J129" i="22"/>
  <c r="P129" i="8"/>
  <c r="N129" i="8"/>
  <c r="N129" i="22"/>
  <c r="M129" i="22"/>
  <c r="I129" i="22"/>
  <c r="O129" i="22"/>
  <c r="J370" i="27" l="1"/>
  <c r="I370" i="27"/>
  <c r="N370" i="27"/>
  <c r="L370" i="27"/>
  <c r="O370" i="27"/>
  <c r="M370" i="27"/>
  <c r="K370" i="27"/>
  <c r="E367" i="27" l="1"/>
  <c r="N367" i="27" l="1"/>
  <c r="J367" i="27"/>
  <c r="I367" i="27"/>
  <c r="H367" i="27"/>
  <c r="Q117" i="27"/>
  <c r="S117" i="27" l="1"/>
  <c r="H368" i="27"/>
  <c r="J368" i="27"/>
  <c r="Q367" i="27"/>
  <c r="E368" i="27"/>
  <c r="N368" i="27" l="1"/>
  <c r="Q120" i="27"/>
  <c r="E13" i="50" s="1"/>
  <c r="E25" i="50" s="1"/>
  <c r="E27" i="50" s="1"/>
  <c r="Q121" i="27" l="1"/>
  <c r="S121" i="27" s="1"/>
  <c r="I368" i="27"/>
  <c r="Q368" i="27" s="1"/>
  <c r="Q126" i="6" l="1"/>
  <c r="Q126" i="22"/>
  <c r="R126" i="22" l="1"/>
  <c r="T126" i="22"/>
  <c r="R126" i="6"/>
  <c r="T126" i="6"/>
  <c r="Q126" i="8"/>
  <c r="E369" i="27"/>
  <c r="F369" i="27"/>
  <c r="G369" i="27"/>
  <c r="Q170" i="22"/>
  <c r="H369" i="27"/>
  <c r="R126" i="8" l="1"/>
  <c r="T126" i="8"/>
  <c r="Q369" i="27"/>
  <c r="H127" i="22" l="1"/>
  <c r="H127" i="8"/>
  <c r="H129" i="8" s="1"/>
  <c r="G127" i="8"/>
  <c r="F127" i="8"/>
  <c r="G127" i="22"/>
  <c r="F127" i="22"/>
  <c r="F129" i="22" s="1"/>
  <c r="E127" i="22"/>
  <c r="G127" i="6"/>
  <c r="G171" i="6" s="1"/>
  <c r="F127" i="6"/>
  <c r="F171" i="6" s="1"/>
  <c r="H127" i="6"/>
  <c r="E127" i="6"/>
  <c r="E171" i="6" s="1"/>
  <c r="H127" i="27" l="1"/>
  <c r="H129" i="27" s="1"/>
  <c r="H171" i="6"/>
  <c r="Q171" i="6" s="1"/>
  <c r="G127" i="27"/>
  <c r="G129" i="27" s="1"/>
  <c r="F127" i="27"/>
  <c r="F129" i="27" s="1"/>
  <c r="G129" i="8"/>
  <c r="F129" i="8"/>
  <c r="H129" i="6"/>
  <c r="G129" i="6"/>
  <c r="F129" i="6"/>
  <c r="Q127" i="6"/>
  <c r="T127" i="6" s="1"/>
  <c r="G129" i="22"/>
  <c r="Q127" i="22"/>
  <c r="T127" i="22" s="1"/>
  <c r="E129" i="22"/>
  <c r="H129" i="22"/>
  <c r="E127" i="8"/>
  <c r="E127" i="27" s="1"/>
  <c r="E129" i="6"/>
  <c r="E129" i="27" l="1"/>
  <c r="Q127" i="27"/>
  <c r="Q129" i="6"/>
  <c r="T129" i="6" s="1"/>
  <c r="R127" i="6"/>
  <c r="Q129" i="22"/>
  <c r="R127" i="22"/>
  <c r="H370" i="27"/>
  <c r="Q171" i="22"/>
  <c r="Q127" i="8"/>
  <c r="T127" i="8" s="1"/>
  <c r="E129" i="8"/>
  <c r="F370" i="27"/>
  <c r="G370" i="27"/>
  <c r="Q129" i="27" l="1"/>
  <c r="S129" i="27" s="1"/>
  <c r="S127" i="27"/>
  <c r="R129" i="22"/>
  <c r="T129" i="22"/>
  <c r="R129" i="6"/>
  <c r="Q129" i="8"/>
  <c r="R127" i="8"/>
  <c r="E370" i="27"/>
  <c r="R129" i="8" l="1"/>
  <c r="T129" i="8"/>
  <c r="Q370" i="27"/>
  <c r="E19" i="8" l="1"/>
  <c r="F19" i="8" l="1"/>
  <c r="G19" i="8" l="1"/>
  <c r="H19" i="8" l="1"/>
  <c r="I19" i="8" l="1"/>
  <c r="J19" i="8" l="1"/>
  <c r="K19" i="8" l="1"/>
  <c r="L19" i="8" l="1"/>
  <c r="M19" i="8" l="1"/>
  <c r="N19" i="8" l="1"/>
  <c r="O19" i="8" l="1"/>
  <c r="P19" i="8" l="1"/>
  <c r="Q19" i="8" l="1"/>
  <c r="R19" i="8" l="1"/>
  <c r="T19" i="8"/>
  <c r="F19" i="22"/>
  <c r="G19" i="22" l="1"/>
  <c r="H19" i="22" l="1"/>
  <c r="I19" i="22" l="1"/>
  <c r="J19" i="22" l="1"/>
  <c r="K19" i="22" l="1"/>
  <c r="E20" i="22"/>
  <c r="L19" i="22" l="1"/>
  <c r="F20" i="22"/>
  <c r="E22" i="22"/>
  <c r="E20" i="8"/>
  <c r="M19" i="22" l="1"/>
  <c r="E24" i="22"/>
  <c r="G20" i="22"/>
  <c r="F22" i="22"/>
  <c r="F24" i="22" s="1"/>
  <c r="F20" i="8"/>
  <c r="E22" i="8"/>
  <c r="N19" i="22" l="1"/>
  <c r="H20" i="22"/>
  <c r="G22" i="22"/>
  <c r="G24" i="22" s="1"/>
  <c r="F54" i="22"/>
  <c r="F105" i="22"/>
  <c r="E54" i="22"/>
  <c r="G20" i="8"/>
  <c r="F22" i="8"/>
  <c r="O19" i="22" l="1"/>
  <c r="E71" i="22"/>
  <c r="F71" i="22"/>
  <c r="F107" i="22" s="1"/>
  <c r="F109" i="22" s="1"/>
  <c r="F123" i="22" s="1"/>
  <c r="F131" i="22" s="1"/>
  <c r="F172" i="22"/>
  <c r="G54" i="22"/>
  <c r="G105" i="22"/>
  <c r="E105" i="22"/>
  <c r="I20" i="22"/>
  <c r="H22" i="22"/>
  <c r="H20" i="8"/>
  <c r="G22" i="8"/>
  <c r="F173" i="22" l="1"/>
  <c r="P19" i="22"/>
  <c r="G172" i="22"/>
  <c r="G71" i="22"/>
  <c r="G107" i="22" s="1"/>
  <c r="G109" i="22" s="1"/>
  <c r="G123" i="22" s="1"/>
  <c r="G131" i="22" s="1"/>
  <c r="H24" i="22"/>
  <c r="E107" i="22"/>
  <c r="J20" i="22"/>
  <c r="I22" i="22"/>
  <c r="I24" i="22" s="1"/>
  <c r="E172" i="22"/>
  <c r="I20" i="8"/>
  <c r="H22" i="8"/>
  <c r="G173" i="22" l="1"/>
  <c r="Q139" i="22"/>
  <c r="Q19" i="22"/>
  <c r="E109" i="22"/>
  <c r="K20" i="22"/>
  <c r="J22" i="22"/>
  <c r="H54" i="22"/>
  <c r="I105" i="22"/>
  <c r="I54" i="22"/>
  <c r="I22" i="8"/>
  <c r="J20" i="8"/>
  <c r="R19" i="22" l="1"/>
  <c r="T19" i="22"/>
  <c r="L20" i="22"/>
  <c r="K22" i="22"/>
  <c r="K24" i="22" s="1"/>
  <c r="I172" i="22"/>
  <c r="I71" i="22"/>
  <c r="I107" i="22" s="1"/>
  <c r="I109" i="22" s="1"/>
  <c r="I123" i="22" s="1"/>
  <c r="I131" i="22" s="1"/>
  <c r="H71" i="22"/>
  <c r="E123" i="22"/>
  <c r="J24" i="22"/>
  <c r="K20" i="8"/>
  <c r="J22" i="8"/>
  <c r="I173" i="22" l="1"/>
  <c r="K105" i="22"/>
  <c r="K54" i="22"/>
  <c r="J54" i="22"/>
  <c r="E131" i="22"/>
  <c r="E173" i="22" s="1"/>
  <c r="M20" i="22"/>
  <c r="L22" i="22"/>
  <c r="L20" i="8"/>
  <c r="K22" i="8"/>
  <c r="K71" i="22" l="1"/>
  <c r="K107" i="22" s="1"/>
  <c r="K109" i="22" s="1"/>
  <c r="K123" i="22" s="1"/>
  <c r="K131" i="22" s="1"/>
  <c r="K172" i="22"/>
  <c r="N20" i="22"/>
  <c r="M22" i="22"/>
  <c r="M24" i="22" s="1"/>
  <c r="J105" i="22"/>
  <c r="J71" i="22"/>
  <c r="L24" i="22"/>
  <c r="M20" i="8"/>
  <c r="L22" i="8"/>
  <c r="K173" i="22" l="1"/>
  <c r="J172" i="22"/>
  <c r="M105" i="22"/>
  <c r="M54" i="22"/>
  <c r="O20" i="22"/>
  <c r="N22" i="22"/>
  <c r="N24" i="22" s="1"/>
  <c r="L54" i="22"/>
  <c r="J107" i="22"/>
  <c r="M22" i="8"/>
  <c r="N20" i="8"/>
  <c r="N54" i="22" l="1"/>
  <c r="N105" i="22"/>
  <c r="P20" i="22"/>
  <c r="O22" i="22"/>
  <c r="O24" i="22" s="1"/>
  <c r="J109" i="22"/>
  <c r="L105" i="22"/>
  <c r="M71" i="22"/>
  <c r="M107" i="22" s="1"/>
  <c r="M109" i="22" s="1"/>
  <c r="M123" i="22" s="1"/>
  <c r="M131" i="22" s="1"/>
  <c r="M172" i="22"/>
  <c r="L71" i="22"/>
  <c r="O20" i="8"/>
  <c r="N22" i="8"/>
  <c r="M173" i="22" l="1"/>
  <c r="L107" i="22"/>
  <c r="L109" i="22" s="1"/>
  <c r="L123" i="22" s="1"/>
  <c r="L131" i="22" s="1"/>
  <c r="L172" i="22"/>
  <c r="J123" i="22"/>
  <c r="O54" i="22"/>
  <c r="O105" i="22"/>
  <c r="P22" i="22"/>
  <c r="Q20" i="22"/>
  <c r="N71" i="22"/>
  <c r="N107" i="22" s="1"/>
  <c r="N172" i="22"/>
  <c r="O22" i="8"/>
  <c r="P20" i="8"/>
  <c r="L173" i="22" l="1"/>
  <c r="V20" i="22"/>
  <c r="T20" i="22"/>
  <c r="Q22" i="22"/>
  <c r="R20" i="22"/>
  <c r="N109" i="22"/>
  <c r="P24" i="22"/>
  <c r="Q140" i="22"/>
  <c r="O71" i="22"/>
  <c r="O107" i="22" s="1"/>
  <c r="O109" i="22" s="1"/>
  <c r="O123" i="22" s="1"/>
  <c r="O131" i="22" s="1"/>
  <c r="O172" i="22"/>
  <c r="J131" i="22"/>
  <c r="J173" i="22" s="1"/>
  <c r="P22" i="8"/>
  <c r="Q20" i="8"/>
  <c r="O173" i="22" l="1"/>
  <c r="V20" i="8"/>
  <c r="T20" i="8"/>
  <c r="Q24" i="22"/>
  <c r="S63" i="44" s="1"/>
  <c r="U63" i="44" s="1"/>
  <c r="T22" i="22"/>
  <c r="R22" i="22"/>
  <c r="Q22" i="8"/>
  <c r="R20" i="8"/>
  <c r="P54" i="22"/>
  <c r="N123" i="22"/>
  <c r="R22" i="8" l="1"/>
  <c r="T22" i="8"/>
  <c r="R24" i="22"/>
  <c r="T24" i="22"/>
  <c r="N131" i="22"/>
  <c r="N173" i="22" s="1"/>
  <c r="P71" i="22"/>
  <c r="Q54" i="22"/>
  <c r="P105" i="22"/>
  <c r="Q90" i="22"/>
  <c r="R54" i="22" l="1"/>
  <c r="T54" i="22"/>
  <c r="R90" i="22"/>
  <c r="T90" i="22" s="1"/>
  <c r="Q150" i="22"/>
  <c r="P172" i="22"/>
  <c r="G14" i="46"/>
  <c r="G17" i="46" s="1"/>
  <c r="Q71" i="22"/>
  <c r="V71" i="22" s="1"/>
  <c r="P107" i="22"/>
  <c r="V19" i="22" l="1"/>
  <c r="T71" i="22"/>
  <c r="R71" i="22"/>
  <c r="P109" i="22"/>
  <c r="P123" i="22" l="1"/>
  <c r="P131" i="22" l="1"/>
  <c r="P173" i="22" s="1"/>
  <c r="E19" i="6" l="1"/>
  <c r="E19" i="27" s="1"/>
  <c r="E20" i="6" l="1"/>
  <c r="F19" i="6"/>
  <c r="F19" i="27" s="1"/>
  <c r="F20" i="6" l="1"/>
  <c r="F20" i="27" s="1"/>
  <c r="E20" i="27"/>
  <c r="E340" i="27" s="1"/>
  <c r="E22" i="6"/>
  <c r="E339" i="27"/>
  <c r="G19" i="6"/>
  <c r="G19" i="27" s="1"/>
  <c r="F22" i="6" l="1"/>
  <c r="G20" i="6"/>
  <c r="G20" i="27" s="1"/>
  <c r="E22" i="27"/>
  <c r="F340" i="27"/>
  <c r="G22" i="6"/>
  <c r="H19" i="6"/>
  <c r="H19" i="27" s="1"/>
  <c r="F339" i="27"/>
  <c r="F22" i="27"/>
  <c r="H20" i="6" l="1"/>
  <c r="H20" i="27" s="1"/>
  <c r="G340" i="27"/>
  <c r="G339" i="27"/>
  <c r="G22" i="27"/>
  <c r="I19" i="6"/>
  <c r="I19" i="27" s="1"/>
  <c r="H22" i="6" l="1"/>
  <c r="I20" i="6"/>
  <c r="I20" i="27" s="1"/>
  <c r="H340" i="27"/>
  <c r="J19" i="6"/>
  <c r="J19" i="27" s="1"/>
  <c r="H339" i="27"/>
  <c r="H22" i="27"/>
  <c r="J20" i="6" l="1"/>
  <c r="J20" i="27" s="1"/>
  <c r="I22" i="6"/>
  <c r="K20" i="6"/>
  <c r="K20" i="27" s="1"/>
  <c r="I340" i="27"/>
  <c r="I339" i="27"/>
  <c r="I22" i="27"/>
  <c r="K19" i="6"/>
  <c r="K19" i="27" s="1"/>
  <c r="J22" i="6"/>
  <c r="J340" i="27" l="1"/>
  <c r="L20" i="6"/>
  <c r="L20" i="27" s="1"/>
  <c r="L19" i="6"/>
  <c r="L19" i="27" s="1"/>
  <c r="K22" i="6"/>
  <c r="J339" i="27"/>
  <c r="J22" i="27"/>
  <c r="M20" i="6" l="1"/>
  <c r="M20" i="27" s="1"/>
  <c r="K340" i="27"/>
  <c r="K339" i="27"/>
  <c r="K22" i="27"/>
  <c r="M19" i="6"/>
  <c r="M19" i="27" s="1"/>
  <c r="L22" i="6"/>
  <c r="L340" i="27" l="1"/>
  <c r="N20" i="6"/>
  <c r="N20" i="27" s="1"/>
  <c r="M22" i="6"/>
  <c r="N19" i="6"/>
  <c r="N19" i="27" s="1"/>
  <c r="L339" i="27"/>
  <c r="L22" i="27"/>
  <c r="M340" i="27" l="1"/>
  <c r="O20" i="6"/>
  <c r="O20" i="27" s="1"/>
  <c r="O19" i="6"/>
  <c r="O19" i="27" s="1"/>
  <c r="N22" i="6"/>
  <c r="M339" i="27"/>
  <c r="M22" i="27"/>
  <c r="P20" i="6" l="1"/>
  <c r="P20" i="27" s="1"/>
  <c r="N340" i="27"/>
  <c r="N339" i="27"/>
  <c r="N22" i="27"/>
  <c r="O22" i="6"/>
  <c r="P19" i="6"/>
  <c r="P19" i="27" s="1"/>
  <c r="O340" i="27" l="1"/>
  <c r="Q20" i="6"/>
  <c r="T20" i="6" s="1"/>
  <c r="O339" i="27"/>
  <c r="O22" i="27"/>
  <c r="P22" i="6"/>
  <c r="Q19" i="6"/>
  <c r="R19" i="6" l="1"/>
  <c r="T19" i="6"/>
  <c r="R20" i="6"/>
  <c r="V20" i="6"/>
  <c r="P340" i="27"/>
  <c r="Q340" i="27" s="1"/>
  <c r="Q20" i="27"/>
  <c r="S20" i="27" s="1"/>
  <c r="Q22" i="6"/>
  <c r="P339" i="27"/>
  <c r="P22" i="27"/>
  <c r="Q19" i="27"/>
  <c r="S19" i="27" s="1"/>
  <c r="R22" i="6" l="1"/>
  <c r="T22" i="6"/>
  <c r="Q22" i="27"/>
  <c r="S22" i="27" s="1"/>
  <c r="Q339" i="27"/>
  <c r="E15" i="6" l="1"/>
  <c r="E24" i="6" s="1"/>
  <c r="E54" i="6" l="1"/>
  <c r="E150" i="6" s="1"/>
  <c r="E71" i="6" l="1"/>
  <c r="E105" i="6"/>
  <c r="E107" i="6" l="1"/>
  <c r="E109" i="6" s="1"/>
  <c r="E123" i="6" s="1"/>
  <c r="E131" i="6" s="1"/>
  <c r="E172" i="6"/>
  <c r="E173" i="6" l="1"/>
  <c r="I15" i="6"/>
  <c r="I24" i="6" s="1"/>
  <c r="I54" i="6" s="1"/>
  <c r="I150" i="6" s="1"/>
  <c r="I71" i="6" l="1"/>
  <c r="O15" i="6"/>
  <c r="O24" i="6" s="1"/>
  <c r="O54" i="6" s="1"/>
  <c r="O150" i="6" s="1"/>
  <c r="M15" i="6"/>
  <c r="M24" i="6" s="1"/>
  <c r="M105" i="6" s="1"/>
  <c r="P15" i="6"/>
  <c r="P24" i="6" s="1"/>
  <c r="P105" i="6" s="1"/>
  <c r="N15" i="6"/>
  <c r="N24" i="6" s="1"/>
  <c r="J15" i="6"/>
  <c r="J24" i="6" s="1"/>
  <c r="J105" i="6" s="1"/>
  <c r="L15" i="6"/>
  <c r="L24" i="6" s="1"/>
  <c r="H15" i="6"/>
  <c r="H24" i="6" s="1"/>
  <c r="Q11" i="6"/>
  <c r="K15" i="6"/>
  <c r="K24" i="6" s="1"/>
  <c r="I105" i="6"/>
  <c r="F15" i="6"/>
  <c r="F24" i="6" s="1"/>
  <c r="G15" i="6"/>
  <c r="G24" i="6" s="1"/>
  <c r="T11" i="6" l="1"/>
  <c r="T10" i="6"/>
  <c r="I107" i="6"/>
  <c r="I109" i="6" s="1"/>
  <c r="I123" i="6" s="1"/>
  <c r="I131" i="6" s="1"/>
  <c r="O172" i="6"/>
  <c r="Q15" i="6"/>
  <c r="R11" i="6"/>
  <c r="M54" i="6"/>
  <c r="M150" i="6" s="1"/>
  <c r="O105" i="6"/>
  <c r="O71" i="6"/>
  <c r="P54" i="6"/>
  <c r="P150" i="6" s="1"/>
  <c r="H54" i="6"/>
  <c r="H150" i="6" s="1"/>
  <c r="L54" i="6"/>
  <c r="L150" i="6" s="1"/>
  <c r="L105" i="6"/>
  <c r="J54" i="6"/>
  <c r="J150" i="6" s="1"/>
  <c r="N105" i="6"/>
  <c r="N54" i="6"/>
  <c r="N150" i="6" s="1"/>
  <c r="Q137" i="6"/>
  <c r="G105" i="6"/>
  <c r="G54" i="6"/>
  <c r="G150" i="6" s="1"/>
  <c r="F54" i="6"/>
  <c r="F150" i="6" s="1"/>
  <c r="I172" i="6"/>
  <c r="I173" i="6" s="1"/>
  <c r="K54" i="6"/>
  <c r="K150" i="6" s="1"/>
  <c r="K105" i="6"/>
  <c r="Q150" i="6" l="1"/>
  <c r="R15" i="6"/>
  <c r="T15" i="6"/>
  <c r="M172" i="6"/>
  <c r="M71" i="6"/>
  <c r="M107" i="6" s="1"/>
  <c r="M109" i="6" s="1"/>
  <c r="M123" i="6" s="1"/>
  <c r="M131" i="6" s="1"/>
  <c r="Q24" i="6"/>
  <c r="AB25" i="6" s="1"/>
  <c r="O107" i="6"/>
  <c r="O109" i="6" s="1"/>
  <c r="O123" i="6" s="1"/>
  <c r="O131" i="6" s="1"/>
  <c r="O173" i="6" s="1"/>
  <c r="L71" i="6"/>
  <c r="L107" i="6" s="1"/>
  <c r="L109" i="6" s="1"/>
  <c r="L123" i="6" s="1"/>
  <c r="L131" i="6" s="1"/>
  <c r="P172" i="6"/>
  <c r="P71" i="6"/>
  <c r="P107" i="6" s="1"/>
  <c r="P109" i="6" s="1"/>
  <c r="P123" i="6" s="1"/>
  <c r="P131" i="6" s="1"/>
  <c r="L172" i="6"/>
  <c r="J172" i="6"/>
  <c r="J71" i="6"/>
  <c r="J107" i="6" s="1"/>
  <c r="J109" i="6" s="1"/>
  <c r="J123" i="6" s="1"/>
  <c r="J131" i="6" s="1"/>
  <c r="N172" i="6"/>
  <c r="N71" i="6"/>
  <c r="N107" i="6" s="1"/>
  <c r="N109" i="6" s="1"/>
  <c r="N123" i="6" s="1"/>
  <c r="N131" i="6" s="1"/>
  <c r="H71" i="6"/>
  <c r="K71" i="6"/>
  <c r="K107" i="6" s="1"/>
  <c r="K109" i="6" s="1"/>
  <c r="K123" i="6" s="1"/>
  <c r="K131" i="6" s="1"/>
  <c r="K172" i="6"/>
  <c r="G172" i="6"/>
  <c r="G71" i="6"/>
  <c r="G107" i="6" s="1"/>
  <c r="G109" i="6" s="1"/>
  <c r="G123" i="6" s="1"/>
  <c r="G131" i="6" s="1"/>
  <c r="Q90" i="6"/>
  <c r="F105" i="6"/>
  <c r="Q54" i="6"/>
  <c r="F71" i="6"/>
  <c r="K173" i="6" l="1"/>
  <c r="L173" i="6"/>
  <c r="J173" i="6"/>
  <c r="P173" i="6"/>
  <c r="G173" i="6"/>
  <c r="M173" i="6"/>
  <c r="N173" i="6"/>
  <c r="T24" i="6"/>
  <c r="S62" i="44"/>
  <c r="R54" i="6"/>
  <c r="T54" i="6"/>
  <c r="R24" i="6"/>
  <c r="R90" i="6"/>
  <c r="T90" i="6" s="1"/>
  <c r="F107" i="6"/>
  <c r="F109" i="6" s="1"/>
  <c r="F123" i="6" s="1"/>
  <c r="F131" i="6" s="1"/>
  <c r="F14" i="46"/>
  <c r="Q71" i="6"/>
  <c r="V71" i="6" s="1"/>
  <c r="F172" i="6"/>
  <c r="F173" i="6" l="1"/>
  <c r="U62" i="44"/>
  <c r="V19" i="6"/>
  <c r="T71" i="6"/>
  <c r="F17" i="46"/>
  <c r="R71" i="6"/>
  <c r="E15" i="8" l="1"/>
  <c r="E24" i="8" s="1"/>
  <c r="E54" i="8" l="1"/>
  <c r="E150" i="8" s="1"/>
  <c r="E337" i="27"/>
  <c r="E15" i="27"/>
  <c r="E24" i="27" s="1"/>
  <c r="E54" i="27" l="1"/>
  <c r="E105" i="8"/>
  <c r="E71" i="8"/>
  <c r="E107" i="8" l="1"/>
  <c r="E109" i="8" s="1"/>
  <c r="E123" i="8" s="1"/>
  <c r="E131" i="8" s="1"/>
  <c r="E350" i="27"/>
  <c r="E71" i="27"/>
  <c r="E172" i="8"/>
  <c r="E105" i="27"/>
  <c r="E173" i="8" l="1"/>
  <c r="E372" i="27"/>
  <c r="E107" i="27"/>
  <c r="E109" i="27" s="1"/>
  <c r="E123" i="27" s="1"/>
  <c r="E131" i="27" l="1"/>
  <c r="E141" i="27" s="1"/>
  <c r="N337" i="27" l="1"/>
  <c r="K15" i="27"/>
  <c r="K24" i="27" s="1"/>
  <c r="H15" i="8"/>
  <c r="H24" i="8" s="1"/>
  <c r="P15" i="8" l="1"/>
  <c r="P24" i="8" s="1"/>
  <c r="L15" i="8"/>
  <c r="L24" i="8" s="1"/>
  <c r="M15" i="8"/>
  <c r="M24" i="8" s="1"/>
  <c r="M54" i="8" s="1"/>
  <c r="M150" i="8" s="1"/>
  <c r="J15" i="8"/>
  <c r="J24" i="8" s="1"/>
  <c r="N15" i="27"/>
  <c r="N24" i="27" s="1"/>
  <c r="J15" i="27"/>
  <c r="J24" i="27" s="1"/>
  <c r="M105" i="8"/>
  <c r="M337" i="27"/>
  <c r="M15" i="27"/>
  <c r="M24" i="27" s="1"/>
  <c r="H54" i="8"/>
  <c r="H150" i="8" s="1"/>
  <c r="N15" i="8"/>
  <c r="N24" i="8" s="1"/>
  <c r="G15" i="8"/>
  <c r="G24" i="8" s="1"/>
  <c r="L337" i="27"/>
  <c r="L15" i="27"/>
  <c r="L24" i="27" s="1"/>
  <c r="O337" i="27"/>
  <c r="O15" i="27"/>
  <c r="O24" i="27" s="1"/>
  <c r="K337" i="27"/>
  <c r="I15" i="8"/>
  <c r="I24" i="8" s="1"/>
  <c r="F15" i="8"/>
  <c r="F24" i="8" s="1"/>
  <c r="Q11" i="8"/>
  <c r="K15" i="8"/>
  <c r="K24" i="8" s="1"/>
  <c r="O15" i="8"/>
  <c r="O24" i="8" s="1"/>
  <c r="T11" i="8" l="1"/>
  <c r="T10" i="8"/>
  <c r="M54" i="27"/>
  <c r="H54" i="27"/>
  <c r="J54" i="8"/>
  <c r="J105" i="8"/>
  <c r="L54" i="8"/>
  <c r="L105" i="8"/>
  <c r="P105" i="8"/>
  <c r="J105" i="27"/>
  <c r="Q15" i="8"/>
  <c r="R11" i="8"/>
  <c r="P54" i="8"/>
  <c r="P150" i="8" s="1"/>
  <c r="Q11" i="27"/>
  <c r="J337" i="27"/>
  <c r="F54" i="8"/>
  <c r="F150" i="8" s="1"/>
  <c r="F337" i="27"/>
  <c r="F15" i="27"/>
  <c r="F24" i="27" s="1"/>
  <c r="Q137" i="8"/>
  <c r="M71" i="8"/>
  <c r="M107" i="8" s="1"/>
  <c r="M109" i="8" s="1"/>
  <c r="M123" i="8" s="1"/>
  <c r="M131" i="8" s="1"/>
  <c r="M172" i="8"/>
  <c r="I337" i="27"/>
  <c r="I15" i="27"/>
  <c r="I24" i="27" s="1"/>
  <c r="O54" i="8"/>
  <c r="O150" i="8" s="1"/>
  <c r="O105" i="8"/>
  <c r="H71" i="8"/>
  <c r="M105" i="27"/>
  <c r="G15" i="27"/>
  <c r="G24" i="27" s="1"/>
  <c r="G337" i="27"/>
  <c r="P337" i="27"/>
  <c r="P15" i="27"/>
  <c r="P24" i="27" s="1"/>
  <c r="N54" i="8"/>
  <c r="N150" i="8" s="1"/>
  <c r="N105" i="8"/>
  <c r="I54" i="8"/>
  <c r="I150" i="8" s="1"/>
  <c r="I105" i="8"/>
  <c r="G105" i="8"/>
  <c r="G54" i="8"/>
  <c r="G150" i="8" s="1"/>
  <c r="H15" i="27"/>
  <c r="H24" i="27" s="1"/>
  <c r="H337" i="27"/>
  <c r="K105" i="8"/>
  <c r="K54" i="8"/>
  <c r="K150" i="8" s="1"/>
  <c r="L105" i="27" l="1"/>
  <c r="L150" i="8"/>
  <c r="L172" i="8" s="1"/>
  <c r="J150" i="8"/>
  <c r="J172" i="8" s="1"/>
  <c r="M173" i="8"/>
  <c r="Q15" i="27"/>
  <c r="S10" i="27"/>
  <c r="Q24" i="8"/>
  <c r="W24" i="8" s="1"/>
  <c r="T15" i="8"/>
  <c r="J54" i="27"/>
  <c r="J71" i="27" s="1"/>
  <c r="J107" i="27" s="1"/>
  <c r="J109" i="27" s="1"/>
  <c r="L54" i="27"/>
  <c r="L350" i="27" s="1"/>
  <c r="L372" i="27" s="1"/>
  <c r="L71" i="8"/>
  <c r="L107" i="8" s="1"/>
  <c r="L109" i="8" s="1"/>
  <c r="L123" i="8" s="1"/>
  <c r="L131" i="8" s="1"/>
  <c r="J71" i="8"/>
  <c r="J107" i="8" s="1"/>
  <c r="J109" i="8" s="1"/>
  <c r="J123" i="8" s="1"/>
  <c r="J131" i="8" s="1"/>
  <c r="O54" i="27"/>
  <c r="O105" i="27"/>
  <c r="N54" i="27"/>
  <c r="N105" i="27"/>
  <c r="K54" i="27"/>
  <c r="K105" i="27"/>
  <c r="F54" i="27"/>
  <c r="G54" i="27"/>
  <c r="G105" i="27"/>
  <c r="P54" i="27"/>
  <c r="P71" i="27" s="1"/>
  <c r="P105" i="27"/>
  <c r="I54" i="27"/>
  <c r="R15" i="8"/>
  <c r="P172" i="8"/>
  <c r="P71" i="8"/>
  <c r="P107" i="8" s="1"/>
  <c r="P109" i="8" s="1"/>
  <c r="P123" i="8" s="1"/>
  <c r="P131" i="8" s="1"/>
  <c r="Q337" i="27"/>
  <c r="K71" i="8"/>
  <c r="K107" i="8" s="1"/>
  <c r="K109" i="8" s="1"/>
  <c r="K123" i="8" s="1"/>
  <c r="K131" i="8" s="1"/>
  <c r="K172" i="8"/>
  <c r="I105" i="27"/>
  <c r="I71" i="8"/>
  <c r="I107" i="8" s="1"/>
  <c r="I109" i="8" s="1"/>
  <c r="I123" i="8" s="1"/>
  <c r="I131" i="8" s="1"/>
  <c r="I172" i="8"/>
  <c r="H71" i="27"/>
  <c r="H350" i="27"/>
  <c r="Q90" i="8"/>
  <c r="F105" i="8"/>
  <c r="G71" i="8"/>
  <c r="G107" i="8" s="1"/>
  <c r="G109" i="8" s="1"/>
  <c r="G123" i="8" s="1"/>
  <c r="G131" i="8" s="1"/>
  <c r="G172" i="8"/>
  <c r="N172" i="8"/>
  <c r="N71" i="8"/>
  <c r="N107" i="8" s="1"/>
  <c r="N109" i="8" s="1"/>
  <c r="N123" i="8" s="1"/>
  <c r="N131" i="8" s="1"/>
  <c r="M71" i="27"/>
  <c r="M107" i="27" s="1"/>
  <c r="M109" i="27" s="1"/>
  <c r="M350" i="27"/>
  <c r="M372" i="27" s="1"/>
  <c r="O172" i="8"/>
  <c r="O71" i="8"/>
  <c r="O107" i="8" s="1"/>
  <c r="O109" i="8" s="1"/>
  <c r="O123" i="8" s="1"/>
  <c r="O131" i="8" s="1"/>
  <c r="Q54" i="8"/>
  <c r="F71" i="8"/>
  <c r="Q150" i="8" l="1"/>
  <c r="J173" i="8"/>
  <c r="P173" i="8"/>
  <c r="N173" i="8"/>
  <c r="O173" i="8"/>
  <c r="L173" i="8"/>
  <c r="K173" i="8"/>
  <c r="I173" i="8"/>
  <c r="G173" i="8"/>
  <c r="T24" i="8"/>
  <c r="S64" i="44"/>
  <c r="Q25" i="27"/>
  <c r="R24" i="8"/>
  <c r="Q24" i="27"/>
  <c r="S24" i="27" s="1"/>
  <c r="S15" i="27"/>
  <c r="R54" i="8"/>
  <c r="T54" i="8"/>
  <c r="M123" i="27"/>
  <c r="M131" i="27" s="1"/>
  <c r="J123" i="27"/>
  <c r="J131" i="27" s="1"/>
  <c r="J350" i="27"/>
  <c r="J372" i="27" s="1"/>
  <c r="L71" i="27"/>
  <c r="L107" i="27" s="1"/>
  <c r="L109" i="27" s="1"/>
  <c r="P350" i="27"/>
  <c r="P372" i="27" s="1"/>
  <c r="R90" i="8"/>
  <c r="T90" i="8" s="1"/>
  <c r="Q54" i="27"/>
  <c r="S54" i="27" s="1"/>
  <c r="F105" i="27"/>
  <c r="Q90" i="27"/>
  <c r="S90" i="27" s="1"/>
  <c r="O71" i="27"/>
  <c r="O107" i="27" s="1"/>
  <c r="O109" i="27" s="1"/>
  <c r="O350" i="27"/>
  <c r="O372" i="27" s="1"/>
  <c r="K350" i="27"/>
  <c r="K372" i="27" s="1"/>
  <c r="K71" i="27"/>
  <c r="K107" i="27" s="1"/>
  <c r="K109" i="27" s="1"/>
  <c r="F107" i="8"/>
  <c r="F109" i="8" s="1"/>
  <c r="F123" i="8" s="1"/>
  <c r="F131" i="8" s="1"/>
  <c r="N350" i="27"/>
  <c r="N372" i="27" s="1"/>
  <c r="N71" i="27"/>
  <c r="N107" i="27" s="1"/>
  <c r="N109" i="27" s="1"/>
  <c r="F350" i="27"/>
  <c r="F71" i="27"/>
  <c r="F172" i="8"/>
  <c r="P107" i="27"/>
  <c r="P109" i="27" s="1"/>
  <c r="I350" i="27"/>
  <c r="I372" i="27" s="1"/>
  <c r="I71" i="27"/>
  <c r="I107" i="27" s="1"/>
  <c r="I109" i="27" s="1"/>
  <c r="Q71" i="8"/>
  <c r="V71" i="8" s="1"/>
  <c r="H14" i="46"/>
  <c r="G350" i="27"/>
  <c r="G372" i="27" s="1"/>
  <c r="G71" i="27"/>
  <c r="G107" i="27" s="1"/>
  <c r="G109" i="27" s="1"/>
  <c r="F173" i="8" l="1"/>
  <c r="U64" i="44"/>
  <c r="U65" i="44" s="1"/>
  <c r="S65" i="44"/>
  <c r="V64" i="44" s="1"/>
  <c r="V19" i="8"/>
  <c r="T71" i="8"/>
  <c r="H17" i="46"/>
  <c r="E14" i="46"/>
  <c r="E17" i="46" s="1"/>
  <c r="I123" i="27"/>
  <c r="I131" i="27" s="1"/>
  <c r="P123" i="27"/>
  <c r="P131" i="27" s="1"/>
  <c r="L123" i="27"/>
  <c r="L131" i="27" s="1"/>
  <c r="G123" i="27"/>
  <c r="G131" i="27" s="1"/>
  <c r="O123" i="27"/>
  <c r="O131" i="27" s="1"/>
  <c r="K123" i="27"/>
  <c r="K131" i="27" s="1"/>
  <c r="N123" i="27"/>
  <c r="N131" i="27" s="1"/>
  <c r="R71" i="8"/>
  <c r="Q72" i="27"/>
  <c r="F107" i="27"/>
  <c r="F109" i="27" s="1"/>
  <c r="F123" i="27" s="1"/>
  <c r="Q350" i="27"/>
  <c r="F372" i="27"/>
  <c r="Q71" i="27"/>
  <c r="S71" i="27" s="1"/>
  <c r="W64" i="44" l="1"/>
  <c r="X64" i="44" s="1"/>
  <c r="H64" i="44" s="1"/>
  <c r="H94" i="8" s="1"/>
  <c r="H160" i="8" s="1"/>
  <c r="Q160" i="8" s="1"/>
  <c r="V62" i="44"/>
  <c r="V63" i="44"/>
  <c r="W63" i="44" s="1"/>
  <c r="X63" i="44" s="1"/>
  <c r="H63" i="44" s="1"/>
  <c r="F131" i="27"/>
  <c r="F141" i="27" s="1"/>
  <c r="G141" i="27" s="1"/>
  <c r="Q64" i="44" l="1"/>
  <c r="W62" i="44"/>
  <c r="X62" i="44" s="1"/>
  <c r="V65" i="44"/>
  <c r="Q63" i="44"/>
  <c r="H94" i="22"/>
  <c r="H160" i="22" s="1"/>
  <c r="Q94" i="8"/>
  <c r="H105" i="8"/>
  <c r="H107" i="8" s="1"/>
  <c r="H109" i="8" s="1"/>
  <c r="H123" i="8" s="1"/>
  <c r="H131" i="8" s="1"/>
  <c r="Q172" i="8" l="1"/>
  <c r="H172" i="8"/>
  <c r="H173" i="8" s="1"/>
  <c r="R94" i="8"/>
  <c r="T94" i="8"/>
  <c r="Q105" i="8"/>
  <c r="H105" i="22"/>
  <c r="H107" i="22" s="1"/>
  <c r="H109" i="22" s="1"/>
  <c r="H123" i="22" s="1"/>
  <c r="H131" i="22" s="1"/>
  <c r="Q94" i="22"/>
  <c r="W65" i="44"/>
  <c r="T94" i="22" l="1"/>
  <c r="Q105" i="22"/>
  <c r="R94" i="22"/>
  <c r="H62" i="44"/>
  <c r="X65" i="44"/>
  <c r="Q160" i="22"/>
  <c r="Q172" i="22" s="1"/>
  <c r="H172" i="22"/>
  <c r="H173" i="22" s="1"/>
  <c r="Q107" i="8"/>
  <c r="T105" i="8"/>
  <c r="R105" i="8"/>
  <c r="R107" i="8" l="1"/>
  <c r="T107" i="8"/>
  <c r="Q109" i="8"/>
  <c r="R105" i="22"/>
  <c r="Q107" i="22"/>
  <c r="T105" i="22"/>
  <c r="H94" i="6"/>
  <c r="H160" i="6" s="1"/>
  <c r="Q160" i="6" s="1"/>
  <c r="Q62" i="44"/>
  <c r="Q65" i="44" s="1"/>
  <c r="H65" i="44"/>
  <c r="T107" i="22" l="1"/>
  <c r="R107" i="22"/>
  <c r="Q109" i="22"/>
  <c r="H94" i="27"/>
  <c r="H105" i="6"/>
  <c r="H107" i="6" s="1"/>
  <c r="H109" i="6" s="1"/>
  <c r="H123" i="6" s="1"/>
  <c r="H131" i="6" s="1"/>
  <c r="Q94" i="6"/>
  <c r="R109" i="8"/>
  <c r="Q123" i="8"/>
  <c r="T109" i="8"/>
  <c r="R94" i="6" l="1"/>
  <c r="T94" i="6"/>
  <c r="Q105" i="6"/>
  <c r="T123" i="8"/>
  <c r="Q131" i="8"/>
  <c r="Q173" i="8" s="1"/>
  <c r="R123" i="8"/>
  <c r="Q172" i="6"/>
  <c r="H172" i="6"/>
  <c r="H173" i="6" s="1"/>
  <c r="Q94" i="27"/>
  <c r="H359" i="27"/>
  <c r="H105" i="27"/>
  <c r="H107" i="27" s="1"/>
  <c r="H109" i="27" s="1"/>
  <c r="H123" i="27" s="1"/>
  <c r="H131" i="27" s="1"/>
  <c r="H141" i="27" s="1"/>
  <c r="I141" i="27" s="1"/>
  <c r="J141" i="27" s="1"/>
  <c r="K141" i="27" s="1"/>
  <c r="L141" i="27" s="1"/>
  <c r="M141" i="27" s="1"/>
  <c r="N141" i="27" s="1"/>
  <c r="O141" i="27" s="1"/>
  <c r="P141" i="27" s="1"/>
  <c r="T109" i="22"/>
  <c r="Q123" i="22"/>
  <c r="R109" i="22"/>
  <c r="T123" i="22" l="1"/>
  <c r="Q131" i="22"/>
  <c r="Q173" i="22" s="1"/>
  <c r="R123" i="22"/>
  <c r="S94" i="27"/>
  <c r="Q105" i="27"/>
  <c r="T131" i="8"/>
  <c r="R131" i="8"/>
  <c r="Q359" i="27"/>
  <c r="Q372" i="27" s="1"/>
  <c r="Q373" i="27" s="1"/>
  <c r="H372" i="27"/>
  <c r="T105" i="6"/>
  <c r="Q107" i="6"/>
  <c r="R105" i="6"/>
  <c r="R107" i="6" l="1"/>
  <c r="T107" i="6"/>
  <c r="Q109" i="6"/>
  <c r="T131" i="22"/>
  <c r="R131" i="22"/>
  <c r="S105" i="27"/>
  <c r="Q107" i="27"/>
  <c r="Q109" i="27" l="1"/>
  <c r="S107" i="27"/>
  <c r="R109" i="6"/>
  <c r="Q123" i="6"/>
  <c r="T109" i="6"/>
  <c r="T123" i="6" l="1"/>
  <c r="R123" i="6"/>
  <c r="Q131" i="6"/>
  <c r="Q173" i="6" s="1"/>
  <c r="C11" i="49"/>
  <c r="Q123" i="27"/>
  <c r="Q131" i="27" s="1"/>
  <c r="W36" i="43" s="1"/>
  <c r="S109" i="27"/>
  <c r="E7" i="50" l="1"/>
  <c r="E15" i="50" s="1"/>
  <c r="S123" i="27"/>
  <c r="E11" i="49"/>
  <c r="C13" i="49"/>
  <c r="D11" i="49"/>
  <c r="T131" i="6"/>
  <c r="R131" i="6"/>
  <c r="D13" i="49" l="1"/>
  <c r="D29" i="49"/>
  <c r="E13" i="49"/>
  <c r="E29" i="49"/>
  <c r="E31" i="49" s="1"/>
  <c r="F11" i="49"/>
  <c r="Q141" i="27"/>
  <c r="S131" i="27"/>
  <c r="E29" i="50" l="1"/>
  <c r="E18" i="50"/>
  <c r="F13" i="49"/>
  <c r="F29" i="49"/>
  <c r="F31" i="49" s="1"/>
  <c r="D44" i="49"/>
  <c r="D31" i="49"/>
  <c r="D47" i="49" l="1"/>
  <c r="D50" i="49" s="1"/>
  <c r="E44" i="49"/>
  <c r="E47" i="49" l="1"/>
  <c r="E50" i="49" s="1"/>
  <c r="F44" i="49"/>
  <c r="F47" i="49" s="1"/>
  <c r="F50" i="49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JM Revenue!$A$1:$H$587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JMRevenueA1H587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<sst xmlns="http://schemas.openxmlformats.org/spreadsheetml/2006/main" count="3906" uniqueCount="611">
  <si>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</si>
  <si>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</si>
  <si>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</si>
  <si>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</si>
  <si>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</si>
  <si>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</si>
  <si>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</si>
  <si>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</si>
  <si>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</si>
  <si>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</si>
  <si>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</si>
  <si>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</si>
  <si>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</si>
  <si>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Occupancy %</t>
  </si>
  <si>
    <t>Revenues</t>
  </si>
  <si>
    <t>Percentage Rents</t>
  </si>
  <si>
    <t>Miscellaneous</t>
  </si>
  <si>
    <t>Interest Income</t>
  </si>
  <si>
    <t>Total Rental and Other</t>
  </si>
  <si>
    <t>Reimbursements</t>
  </si>
  <si>
    <t>Electric</t>
  </si>
  <si>
    <t>Common Area Maintenance</t>
  </si>
  <si>
    <t>Real Estate Taxes</t>
  </si>
  <si>
    <t>Insurance</t>
  </si>
  <si>
    <t>Total Reimbursements</t>
  </si>
  <si>
    <t>TOTAL REVENUES</t>
  </si>
  <si>
    <t>Reimbursable Expenses</t>
  </si>
  <si>
    <t>Maintenance Salaries</t>
  </si>
  <si>
    <t>Water &amp; Sewer</t>
  </si>
  <si>
    <t>Building Maint.-Contractual</t>
  </si>
  <si>
    <t>Building Maint.-Recurring</t>
  </si>
  <si>
    <t>Building Maint.-Big Projects</t>
  </si>
  <si>
    <t>Building Maintenance</t>
  </si>
  <si>
    <t>(SC)</t>
  </si>
  <si>
    <t>Parking Lot Cleaning</t>
  </si>
  <si>
    <t>Parking Lot Maint.-Contractual</t>
  </si>
  <si>
    <t>Parking Lot Maint.-Recurring</t>
  </si>
  <si>
    <t>Parking Lot Maint.-Big Projects</t>
  </si>
  <si>
    <t>Parking Lot Maintenance</t>
  </si>
  <si>
    <t>Snow Removal</t>
  </si>
  <si>
    <t>Landscaping-Contractual</t>
  </si>
  <si>
    <t>Landscaping-Recurring</t>
  </si>
  <si>
    <t>Landscaping-Big Projects</t>
  </si>
  <si>
    <t>Landscaping</t>
  </si>
  <si>
    <t>Security</t>
  </si>
  <si>
    <t>(BP)</t>
  </si>
  <si>
    <t>Management Fee</t>
  </si>
  <si>
    <t>Trash Removal</t>
  </si>
  <si>
    <t>Insurance-Liability</t>
  </si>
  <si>
    <t>Insurabce-Property</t>
  </si>
  <si>
    <t>Insurance-Other</t>
  </si>
  <si>
    <t>Cleaning &amp; Supplies</t>
  </si>
  <si>
    <t>Cleaning &amp; Supplies-Vacancies</t>
  </si>
  <si>
    <t>Total Reimbursable Expenses</t>
  </si>
  <si>
    <t>Non-Reimbursable Expenses</t>
  </si>
  <si>
    <t>Bad Debt</t>
  </si>
  <si>
    <t>Salaries &amp; Wages</t>
  </si>
  <si>
    <t>Commissions-Internal Broker</t>
  </si>
  <si>
    <t>Leasing Salaries and Commissions</t>
  </si>
  <si>
    <t>Gas</t>
  </si>
  <si>
    <t>Utilities</t>
  </si>
  <si>
    <t>Management fee</t>
  </si>
  <si>
    <t>Marketing</t>
  </si>
  <si>
    <t>Business Taxes</t>
  </si>
  <si>
    <t>Legal &amp; Accounting</t>
  </si>
  <si>
    <t>Bank Fees</t>
  </si>
  <si>
    <t>Office Supplies</t>
  </si>
  <si>
    <t>Postage</t>
  </si>
  <si>
    <t>Other G&amp;A Expense</t>
  </si>
  <si>
    <t>Other G&amp;A-allocated from LIK</t>
  </si>
  <si>
    <t>General &amp; Administrative</t>
  </si>
  <si>
    <t>Total Non-Reimbursable Expenses</t>
  </si>
  <si>
    <t>TOTAL OPERATING EXPENSES</t>
  </si>
  <si>
    <t>NET OPERATING INCOME</t>
  </si>
  <si>
    <t>Land Improvements</t>
  </si>
  <si>
    <t>Buildings</t>
  </si>
  <si>
    <t>Equipment</t>
  </si>
  <si>
    <t>Capital Improvements</t>
  </si>
  <si>
    <t>Tenant Improvements</t>
  </si>
  <si>
    <t>Deferred Marketing</t>
  </si>
  <si>
    <t>Outside Leasing Commissions</t>
  </si>
  <si>
    <t>CASH FLOW BEFORE DEBT SERVICE</t>
  </si>
  <si>
    <t>Debt Service</t>
  </si>
  <si>
    <t>Interest</t>
  </si>
  <si>
    <t>Mortgage Amortization</t>
  </si>
  <si>
    <t>Loan Proceeds</t>
  </si>
  <si>
    <t>Total Debt Service</t>
  </si>
  <si>
    <t>CASH FLOW AFTER DEBT SERVICE</t>
  </si>
  <si>
    <t>Insurance-Property</t>
  </si>
  <si>
    <t>Water and Sewer</t>
  </si>
  <si>
    <t>Net Operating Income</t>
  </si>
  <si>
    <t>Building 5</t>
  </si>
  <si>
    <t>Building 6</t>
  </si>
  <si>
    <t>Building 7</t>
  </si>
  <si>
    <t>Building 8</t>
  </si>
  <si>
    <t>Account</t>
  </si>
  <si>
    <t>4240-8501</t>
  </si>
  <si>
    <t>4710-8502</t>
  </si>
  <si>
    <t>4910-8502</t>
  </si>
  <si>
    <t>4920-8502</t>
  </si>
  <si>
    <t>6030-8502</t>
  </si>
  <si>
    <t>6120-8502</t>
  </si>
  <si>
    <t>6130-8502</t>
  </si>
  <si>
    <t>6220-8502</t>
  </si>
  <si>
    <t>6360-8502</t>
  </si>
  <si>
    <t>6370-8502</t>
  </si>
  <si>
    <t>6380-8502</t>
  </si>
  <si>
    <t>6350-8502</t>
  </si>
  <si>
    <t>6610-8502</t>
  </si>
  <si>
    <t>6270-8502</t>
  </si>
  <si>
    <t>6410-8502</t>
  </si>
  <si>
    <t>6510-8502</t>
  </si>
  <si>
    <t>6250-8502</t>
  </si>
  <si>
    <t>6010-8501</t>
  </si>
  <si>
    <t>6620-8501</t>
  </si>
  <si>
    <t>6220-8501</t>
  </si>
  <si>
    <t>7110-8501</t>
  </si>
  <si>
    <t>8210-8501</t>
  </si>
  <si>
    <t>8310-8501</t>
  </si>
  <si>
    <t>8990-9800</t>
  </si>
  <si>
    <t>1420-0000</t>
  </si>
  <si>
    <t>1430-0000</t>
  </si>
  <si>
    <t>1450-0000</t>
  </si>
  <si>
    <t>1440-0000</t>
  </si>
  <si>
    <t>1940-8501</t>
  </si>
  <si>
    <t>8190-8501</t>
  </si>
  <si>
    <t>8990-8501</t>
  </si>
  <si>
    <t>9210-8501</t>
  </si>
  <si>
    <t>1980-8501</t>
  </si>
  <si>
    <t>BUDGET IMPORT - DO NOT IMPORT - for reconciliation of consolidated total</t>
  </si>
  <si>
    <t>1980-0000</t>
  </si>
  <si>
    <t>4230-8501</t>
  </si>
  <si>
    <t>4990-8501</t>
  </si>
  <si>
    <t>9190-8501</t>
  </si>
  <si>
    <t>4930-8502</t>
  </si>
  <si>
    <t>6330-8502</t>
  </si>
  <si>
    <t>5210-8501</t>
  </si>
  <si>
    <t>6110-8501</t>
  </si>
  <si>
    <t>6120-8501</t>
  </si>
  <si>
    <t>6130-8501</t>
  </si>
  <si>
    <t>6610-8501</t>
  </si>
  <si>
    <t>8930-8501</t>
  </si>
  <si>
    <t>8950-8501</t>
  </si>
  <si>
    <t>5210-0000</t>
  </si>
  <si>
    <t>2740-8501</t>
  </si>
  <si>
    <t>2740-0000</t>
  </si>
  <si>
    <t>Building - Occupancy - SF</t>
  </si>
  <si>
    <t>Building - Total - SF</t>
  </si>
  <si>
    <t>Building - Occupancy - %</t>
  </si>
  <si>
    <t>Liberty Bank</t>
  </si>
  <si>
    <t>Principal</t>
  </si>
  <si>
    <t>CIBC</t>
  </si>
  <si>
    <t>Combined</t>
  </si>
  <si>
    <t>Appraisal Value - 11/22/2013</t>
  </si>
  <si>
    <t>Building A</t>
  </si>
  <si>
    <t>Building B</t>
  </si>
  <si>
    <t>Building C</t>
  </si>
  <si>
    <t>Debt Service - Consolidated</t>
  </si>
  <si>
    <t>Rental Income - In Place</t>
  </si>
  <si>
    <t>Rental Income - New &amp; Renewal</t>
  </si>
  <si>
    <t>Tenant Name</t>
  </si>
  <si>
    <t>Charge Date</t>
  </si>
  <si>
    <t>Charge Code</t>
  </si>
  <si>
    <t>4050</t>
  </si>
  <si>
    <t>RNT</t>
  </si>
  <si>
    <t>4050-113</t>
  </si>
  <si>
    <t>4050-207</t>
  </si>
  <si>
    <t>4050-300</t>
  </si>
  <si>
    <t>4060</t>
  </si>
  <si>
    <t>4060-205</t>
  </si>
  <si>
    <t>4060-207</t>
  </si>
  <si>
    <t>4060-212</t>
  </si>
  <si>
    <t>4060-215</t>
  </si>
  <si>
    <t>4060-300</t>
  </si>
  <si>
    <t>4060-401</t>
  </si>
  <si>
    <t>4060-402</t>
  </si>
  <si>
    <t>4060-600</t>
  </si>
  <si>
    <t>4070</t>
  </si>
  <si>
    <t>4070-103</t>
  </si>
  <si>
    <t>4070-117</t>
  </si>
  <si>
    <t>4070-201</t>
  </si>
  <si>
    <t>4070-301</t>
  </si>
  <si>
    <t>4070-400</t>
  </si>
  <si>
    <t>4070-415</t>
  </si>
  <si>
    <t>4080</t>
  </si>
  <si>
    <t>4080-106</t>
  </si>
  <si>
    <t>4080-117</t>
  </si>
  <si>
    <t>4080-209</t>
  </si>
  <si>
    <t>4080-219</t>
  </si>
  <si>
    <t>4080-221</t>
  </si>
  <si>
    <t>40A0</t>
  </si>
  <si>
    <t>40A0-A</t>
  </si>
  <si>
    <t>40A0-204</t>
  </si>
  <si>
    <t>40B0</t>
  </si>
  <si>
    <t>40B0-1</t>
  </si>
  <si>
    <t>40C0</t>
  </si>
  <si>
    <t>40C0-CP</t>
  </si>
  <si>
    <t>Row Labels</t>
  </si>
  <si>
    <t>Grand Total</t>
  </si>
  <si>
    <t>Column Labels</t>
  </si>
  <si>
    <t>Comm</t>
  </si>
  <si>
    <t>Per Sq Ft</t>
  </si>
  <si>
    <t>Sq Ft</t>
  </si>
  <si>
    <t>Lease Renewals / Vacancy Rent-Ups</t>
  </si>
  <si>
    <t>4080-112</t>
  </si>
  <si>
    <t>Suite #</t>
  </si>
  <si>
    <t>DEBT SERVICE PRINCIPAL</t>
  </si>
  <si>
    <t>Line 60</t>
  </si>
  <si>
    <t>Line 61</t>
  </si>
  <si>
    <t>General Liability</t>
  </si>
  <si>
    <t>Umbrella</t>
  </si>
  <si>
    <t>Property</t>
  </si>
  <si>
    <t>D&amp;O</t>
  </si>
  <si>
    <t>Month</t>
  </si>
  <si>
    <t>4080-401</t>
  </si>
  <si>
    <t>4050-206</t>
  </si>
  <si>
    <t>Debt Coverage Ratio</t>
  </si>
  <si>
    <t>Calculation</t>
  </si>
  <si>
    <t>Annual Debt Service</t>
  </si>
  <si>
    <t>4050-119</t>
  </si>
  <si>
    <t>4050-201</t>
  </si>
  <si>
    <t>4050-215</t>
  </si>
  <si>
    <t>4050-315</t>
  </si>
  <si>
    <t>4060-210</t>
  </si>
  <si>
    <t>4080-215</t>
  </si>
  <si>
    <t>4080-400</t>
  </si>
  <si>
    <t>40A0-205</t>
  </si>
  <si>
    <t>4060-211</t>
  </si>
  <si>
    <t>4060-204</t>
  </si>
  <si>
    <t>4070-411</t>
  </si>
  <si>
    <t>4070-107</t>
  </si>
  <si>
    <t>4080-102</t>
  </si>
  <si>
    <t>4080-217</t>
  </si>
  <si>
    <t>Line 58</t>
  </si>
  <si>
    <t>Line 62</t>
  </si>
  <si>
    <t>Starting with the February payment - below are the total principal due for FY23 for each month</t>
  </si>
  <si>
    <t>4070-113</t>
  </si>
  <si>
    <t>2025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</si>
  <si>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</si>
  <si>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</si>
  <si>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</si>
  <si>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</si>
  <si>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</si>
  <si>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</si>
  <si>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</si>
  <si>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</si>
  <si>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</si>
  <si>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</si>
  <si>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</si>
  <si>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</si>
  <si>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4050-307</t>
  </si>
  <si>
    <t>4060-100</t>
  </si>
  <si>
    <t>4060-206</t>
  </si>
  <si>
    <t>4080-100</t>
  </si>
  <si>
    <t>4080-107</t>
  </si>
  <si>
    <t>4080-111</t>
  </si>
  <si>
    <t>4080-305</t>
  </si>
  <si>
    <t>Posting Co.</t>
  </si>
  <si>
    <t>Unit Ref. No.</t>
  </si>
  <si>
    <t>GL Acct No.</t>
  </si>
  <si>
    <t>Charge Amount</t>
  </si>
  <si>
    <t>Current Mtg</t>
  </si>
  <si>
    <t>One Year</t>
  </si>
  <si>
    <t>New Mtg</t>
  </si>
  <si>
    <t>Proforma</t>
  </si>
  <si>
    <t>Monthly Debt Service</t>
  </si>
  <si>
    <t>Beginning Mortgage Balance</t>
  </si>
  <si>
    <t>General Maintenance and Repair</t>
  </si>
  <si>
    <t>6990-8502</t>
  </si>
  <si>
    <t>Condo</t>
  </si>
  <si>
    <t>Cleaning</t>
  </si>
  <si>
    <t>6330-850</t>
  </si>
  <si>
    <t>Included in other G&amp;A; paid by LIK</t>
  </si>
  <si>
    <t>Debt Coverage Ratio -  Projected Principal 1 April 2024</t>
  </si>
  <si>
    <t>Debt Coverage Ratio -  Projected Principal 1 April 2024 less Escrow funds: $1,840,000</t>
  </si>
  <si>
    <t>Net Difference Cash Flow due to Interest Rate 1/2 % intervals</t>
  </si>
  <si>
    <t>Net Difference Cash Flow due to Interest Rate 5.5% to 6.5%</t>
  </si>
  <si>
    <t xml:space="preserve">  Cash Flow</t>
  </si>
  <si>
    <t>Net Differences Total Debt Service with Debt reduced via Escrow Applied:</t>
  </si>
  <si>
    <t>Year: &gt;&gt;&gt;&gt;&gt;&gt;&gt;&gt;</t>
  </si>
  <si>
    <t>CAP Rate</t>
  </si>
  <si>
    <t>CAP Value</t>
  </si>
  <si>
    <t xml:space="preserve">    LESS: Estimated Additional Vacanacy Loss from 2024</t>
  </si>
  <si>
    <t xml:space="preserve">    LESS: Estimated Additional Vacancy Loss from 2025</t>
  </si>
  <si>
    <t>If Broder vacates one floor at end of renewal 11/30/2025</t>
  </si>
  <si>
    <t xml:space="preserve"> # of months less rent in 2025 for tenants projected to vacate in 2024</t>
  </si>
  <si>
    <t>2026</t>
  </si>
  <si>
    <t xml:space="preserve"> {1}</t>
  </si>
  <si>
    <t>Operating Cash Flow is after deducting Accounts Payable, Reserve for Insurance, and before TI Reserve</t>
  </si>
  <si>
    <t>Monthly TI Escrow Deposit</t>
  </si>
  <si>
    <t>Reimb</t>
  </si>
  <si>
    <t>TOTAL:</t>
  </si>
  <si>
    <t>Operating Budget</t>
  </si>
  <si>
    <t>Total Rental and Other:</t>
  </si>
  <si>
    <t>Total Reimbursements:</t>
  </si>
  <si>
    <t>Budget Line</t>
  </si>
  <si>
    <t>Insurance - Liability</t>
  </si>
  <si>
    <t>TOTAL INSURANCE:</t>
  </si>
  <si>
    <t>SF</t>
  </si>
  <si>
    <t>Maintenance Salaries - Line 27</t>
  </si>
  <si>
    <t>Total:</t>
  </si>
  <si>
    <t>Slaries &amp; Wages - Line 77</t>
  </si>
  <si>
    <t>2025 amt grown 3%</t>
  </si>
  <si>
    <t>Notes</t>
  </si>
  <si>
    <t>DW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</si>
  <si>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</si>
  <si>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</si>
  <si>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</si>
  <si>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</si>
  <si>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</si>
  <si>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</si>
  <si>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</si>
  <si>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</si>
  <si>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</si>
  <si>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</si>
  <si>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</si>
  <si>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</si>
  <si>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Skyline Report: General Ledger --&gt; G/L Information --&gt; Budget Rent Increase Calculation</t>
  </si>
  <si>
    <t>Convert Charge Amouts in column G to number once pasted</t>
  </si>
  <si>
    <t>2024 Additions</t>
  </si>
  <si>
    <t>Data\Accounting\2024 Year End\Insurance Renewal 24-25\12. Proposal and Billing/24-25 Korman Commercial Billing and PPD workbook</t>
  </si>
  <si>
    <t>Percentage Rent</t>
  </si>
  <si>
    <t>Total Vacant:</t>
  </si>
  <si>
    <t>Tenant</t>
  </si>
  <si>
    <t>T.I. /sq ft</t>
  </si>
  <si>
    <t>Total Renewals:</t>
  </si>
  <si>
    <t>*Based on July-25 RR</t>
  </si>
  <si>
    <t>Leasing Department Assumptions</t>
  </si>
  <si>
    <t>Rent Start Date</t>
  </si>
  <si>
    <t>Rent Exp. Date</t>
  </si>
  <si>
    <t>Projected TI</t>
  </si>
  <si>
    <t># Years</t>
  </si>
  <si>
    <t>Hidden --&gt;</t>
  </si>
  <si>
    <t>Projected Revenue</t>
  </si>
  <si>
    <t>Procject LC</t>
  </si>
  <si>
    <t>Projected Occ %</t>
  </si>
  <si>
    <t>TI = Sq Ft * T.I /sq ft  all paid up front.</t>
  </si>
  <si>
    <t>LC = Sq Ft * # Years * Per Sq Ft * Comm all paid up front.</t>
  </si>
  <si>
    <t>Total PSF</t>
  </si>
  <si>
    <t>Insurance &amp; Real Estate Tax</t>
  </si>
  <si>
    <t>TOTAL REAL ESTATE TAX:</t>
  </si>
  <si>
    <t>Real Estate Tax</t>
  </si>
  <si>
    <t>Debt Service - Interest</t>
  </si>
  <si>
    <t>Occupancy SF</t>
  </si>
  <si>
    <t>Lincoln JV III</t>
  </si>
  <si>
    <t>Consolidated - 1, 2, 4</t>
  </si>
  <si>
    <t>Other - Condo Fee</t>
  </si>
  <si>
    <t>3610</t>
  </si>
  <si>
    <t>3610-101</t>
  </si>
  <si>
    <t>Altruistic Home Care Agency</t>
  </si>
  <si>
    <t>3610-103</t>
  </si>
  <si>
    <t>Paragon Exterior LLC</t>
  </si>
  <si>
    <t>3610-104</t>
  </si>
  <si>
    <t>All American Hospice, LLC</t>
  </si>
  <si>
    <t>3610-105</t>
  </si>
  <si>
    <t>Julia Meehan-Haley Eicher LLC</t>
  </si>
  <si>
    <t>3610-201</t>
  </si>
  <si>
    <t>Interim Healthcare of Lower Bu</t>
  </si>
  <si>
    <t>3610-202</t>
  </si>
  <si>
    <t>Leonard A. Feinberg, Inc.</t>
  </si>
  <si>
    <t>3610-203</t>
  </si>
  <si>
    <t>Apollo Acquisitions, Inc.</t>
  </si>
  <si>
    <t>3610-205</t>
  </si>
  <si>
    <t>Lincoln Medical Supplies, LLC</t>
  </si>
  <si>
    <t>3610-209</t>
  </si>
  <si>
    <t>West Comm, Inc.</t>
  </si>
  <si>
    <t>3610-300</t>
  </si>
  <si>
    <t>EELP, Inc.</t>
  </si>
  <si>
    <t>3610-302</t>
  </si>
  <si>
    <t>Traffic Tech, Inc.</t>
  </si>
  <si>
    <t>3610-305</t>
  </si>
  <si>
    <t>Horizon House, Inc.</t>
  </si>
  <si>
    <t>3620</t>
  </si>
  <si>
    <t>3620-100</t>
  </si>
  <si>
    <t>Vermont Information Processing</t>
  </si>
  <si>
    <t>3620-102</t>
  </si>
  <si>
    <t>Home Solutions Realty Group LL</t>
  </si>
  <si>
    <t>3620-104</t>
  </si>
  <si>
    <t>Corporate Payroll Services</t>
  </si>
  <si>
    <t>3620-108</t>
  </si>
  <si>
    <t>James D. Morrissey, Inc.</t>
  </si>
  <si>
    <t>3620-110</t>
  </si>
  <si>
    <t>ISD Renal, Inc.</t>
  </si>
  <si>
    <t>3620-208</t>
  </si>
  <si>
    <t>J D Eckman, Inc.</t>
  </si>
  <si>
    <t>3620-209</t>
  </si>
  <si>
    <t>Freitag Family Insurance Agenc</t>
  </si>
  <si>
    <t>3620-210</t>
  </si>
  <si>
    <t>DJL Advisors, LLC</t>
  </si>
  <si>
    <t>3620-310</t>
  </si>
  <si>
    <t>Delaware Valley Mgmt. Holdings</t>
  </si>
  <si>
    <t>3640</t>
  </si>
  <si>
    <t>3640-103</t>
  </si>
  <si>
    <t>Falcon Engineering Co., LLC</t>
  </si>
  <si>
    <t>3640-105</t>
  </si>
  <si>
    <t>Edward J. Gilson Jr.</t>
  </si>
  <si>
    <t>3640-106</t>
  </si>
  <si>
    <t>Premier Atlantic Security Grou</t>
  </si>
  <si>
    <t>3640-107</t>
  </si>
  <si>
    <t>Envoy Lighting, Inc.</t>
  </si>
  <si>
    <t>3640-108</t>
  </si>
  <si>
    <t>Dennis Richman's Services</t>
  </si>
  <si>
    <t>3640-109</t>
  </si>
  <si>
    <t>Kleinfelder, Inc.</t>
  </si>
  <si>
    <t>3640-111</t>
  </si>
  <si>
    <t>NALC_AFL-CIO</t>
  </si>
  <si>
    <t>3640-204</t>
  </si>
  <si>
    <t>Epic Health Services, Inc.</t>
  </si>
  <si>
    <t>3640-205</t>
  </si>
  <si>
    <t>Sisters of the Blessed Sacrame</t>
  </si>
  <si>
    <t>3640-207</t>
  </si>
  <si>
    <t>University MRO, LLC</t>
  </si>
  <si>
    <t>3640-300</t>
  </si>
  <si>
    <t>Search Engines Marketer, Inc.</t>
  </si>
  <si>
    <t>3640-301</t>
  </si>
  <si>
    <t>Solaray, LLC</t>
  </si>
  <si>
    <t>Data from 7/14/25</t>
  </si>
  <si>
    <t>Altruistic HCA</t>
  </si>
  <si>
    <t>All Amer Hospice</t>
  </si>
  <si>
    <t>Julie Meehan</t>
  </si>
  <si>
    <t>Patient Bliss</t>
  </si>
  <si>
    <t>Apollo Acqu</t>
  </si>
  <si>
    <t>Lincoln Medical</t>
  </si>
  <si>
    <t>West Comm</t>
  </si>
  <si>
    <t>EELP Inc</t>
  </si>
  <si>
    <t>Traffic Tech</t>
  </si>
  <si>
    <t>Horizon House</t>
  </si>
  <si>
    <t>AM Res</t>
  </si>
  <si>
    <t>Home Solutions</t>
  </si>
  <si>
    <t>J.D. Morrissey</t>
  </si>
  <si>
    <t>Mason East</t>
  </si>
  <si>
    <t>Advenser LLC</t>
  </si>
  <si>
    <t>101</t>
  </si>
  <si>
    <t>106</t>
  </si>
  <si>
    <t>Sound Medical</t>
  </si>
  <si>
    <t>Falcon Engineering</t>
  </si>
  <si>
    <t>Premier Atlantic</t>
  </si>
  <si>
    <t>108</t>
  </si>
  <si>
    <t>Carnegie Health</t>
  </si>
  <si>
    <t>University MRO</t>
  </si>
  <si>
    <t>SEOM</t>
  </si>
  <si>
    <t>Solaray LLC</t>
  </si>
  <si>
    <t>Peco (est 20/mo) from JM</t>
  </si>
  <si>
    <t>Home Solutions Realty expected to renew 6/1 but at a reduced rent ($18.50 from $19.00)</t>
  </si>
  <si>
    <t>Input</t>
  </si>
  <si>
    <t>JD Eckman</t>
  </si>
  <si>
    <t>Dennis Richman</t>
  </si>
  <si>
    <t>Vacancy excludes suite 105, which is currently occupied by Edward Gilson</t>
  </si>
  <si>
    <t>From 6/25 actual interest payment</t>
  </si>
  <si>
    <t>Split systems &amp; Zone lines</t>
  </si>
  <si>
    <t>psf</t>
  </si>
  <si>
    <t>Rate</t>
  </si>
  <si>
    <t>Supply</t>
  </si>
  <si>
    <t>*Porter rate is distributed across both business parks</t>
  </si>
  <si>
    <t>TOTAL JV III:</t>
  </si>
  <si>
    <t>TOTAL NI LLC:</t>
  </si>
  <si>
    <t>Consolidated</t>
  </si>
  <si>
    <t>CAM - Recoveries</t>
  </si>
  <si>
    <t>RET - Recoveries</t>
  </si>
  <si>
    <t>CAM - Est.</t>
  </si>
  <si>
    <t>RET - Est.</t>
  </si>
  <si>
    <t xml:space="preserve"> Estimated CAM &amp; RET Recoveries</t>
  </si>
  <si>
    <t xml:space="preserve"> Paste respective expenses into BUILDING OP EX tab for 202X Buidling XXXX CAM and RET Billing workbooks</t>
  </si>
  <si>
    <t>From 202X Buidling XXXX CAM and RET Billing workbooks Building tab (Column J)</t>
  </si>
  <si>
    <t>From 202X Buidling XXXX CAM and RET Billing workbooks Building tab (Column N)</t>
  </si>
  <si>
    <t>Marketing - Line 92</t>
  </si>
  <si>
    <t>Other G&amp;A Expense - Line 101</t>
  </si>
  <si>
    <t>Business Taxes - Line 94</t>
  </si>
  <si>
    <t>Legal &amp; Accounting - Line 96</t>
  </si>
  <si>
    <t>Bank Fees (Lock Box Fees) - Line 98</t>
  </si>
  <si>
    <t>Other G&amp;A-allocated from LIK - Line 102</t>
  </si>
  <si>
    <t>Monthly Transfer to TI Escrow</t>
  </si>
  <si>
    <t>Postage - Line 100</t>
  </si>
  <si>
    <t>Commissions-Internal Broker - Line 78</t>
  </si>
  <si>
    <t>Office Supplies - Line 99</t>
  </si>
  <si>
    <t>Condo Fee - Line 69</t>
  </si>
  <si>
    <t>Cleaning - Occupied SF - Line 65</t>
  </si>
  <si>
    <t>Cleaning - Vacant SF - Line 66</t>
  </si>
  <si>
    <t>Cleaning - Porter Rate - Line  65</t>
  </si>
  <si>
    <t>7/2025 Reprojections</t>
  </si>
  <si>
    <t>Var.</t>
  </si>
  <si>
    <t>7/2025 Projections is for Capitalized Lease Costs</t>
  </si>
  <si>
    <t>7/2025 Reprojection is for Capitalized Lease Costs</t>
  </si>
  <si>
    <t>7/2025 Reprojections is for Capitalized Lease Costs</t>
  </si>
  <si>
    <t>Use of Cash Resources for 2026 Budget Defecit</t>
  </si>
  <si>
    <t xml:space="preserve">   LESS: Monthly Contributions to TI Escrow</t>
  </si>
  <si>
    <t xml:space="preserve">  Preliminary Cash Defecit</t>
  </si>
  <si>
    <t>{A}</t>
  </si>
  <si>
    <r>
      <t>{</t>
    </r>
    <r>
      <rPr>
        <sz val="10"/>
        <color rgb="FFFF0000"/>
        <rFont val="Arial"/>
        <family val="2"/>
      </rPr>
      <t>B</t>
    </r>
    <r>
      <rPr>
        <b/>
        <sz val="10"/>
        <color rgb="FFFF0000"/>
        <rFont val="Arial"/>
        <family val="2"/>
      </rPr>
      <t>}</t>
    </r>
  </si>
  <si>
    <t>Summary of TI Allowance Escrow:</t>
  </si>
  <si>
    <t>Projected Balance,</t>
  </si>
  <si>
    <t xml:space="preserve">   LESS: TI Improvements and Lease Costs year 2026</t>
  </si>
  <si>
    <t>Remaining Balance, TI Escrow</t>
  </si>
  <si>
    <t>Request transfer to cover defecit 2026</t>
  </si>
  <si>
    <t>Request funds to be used to cover defecit</t>
  </si>
  <si>
    <t xml:space="preserve">  Balance of TI Escrow 31 Dec 2026</t>
  </si>
  <si>
    <t>Other Options:</t>
  </si>
  <si>
    <t>Discuss  lower interest rate</t>
  </si>
  <si>
    <t xml:space="preserve">   May result in some element of Cash Management as  previously proposed by Liberty.</t>
  </si>
  <si>
    <t xml:space="preserve">   the normal Bank Cash Management). May require more complexities in structuring</t>
  </si>
  <si>
    <t xml:space="preserve">   at this time.</t>
  </si>
  <si>
    <t>Potential sale or re-purpose of the Interplex.</t>
  </si>
  <si>
    <t>LINCOLN SUB JOINT VENTURE III</t>
  </si>
  <si>
    <t>To be paid by TI Reserve</t>
  </si>
  <si>
    <t>Partners' Capital Call</t>
  </si>
  <si>
    <t>/Mo</t>
  </si>
  <si>
    <t xml:space="preserve">  SEOM $118,318 Total of $155K. Reimbursements for CAM and RETax basd on 2024 would</t>
  </si>
  <si>
    <t xml:space="preserve">   be about $3,300.</t>
  </si>
  <si>
    <t xml:space="preserve">  A possible alternative, subject to approval by Investors.</t>
  </si>
  <si>
    <t>Further Base Rents Reductions</t>
  </si>
  <si>
    <t>Projected Cash Balance, 31 December 2026</t>
  </si>
  <si>
    <t xml:space="preserve">   (This was LIK Management, Inc determining what excess cash was available to remit to Bank - not</t>
  </si>
  <si>
    <t>Base Rents for 2027 are further reduced from 2026  by 3 months Solary $36,075 and 9 months</t>
  </si>
  <si>
    <t>Data\Shared\Properties\Business Plans - All Entities\2026\ISG Electric data</t>
  </si>
  <si>
    <t>Annualized first 6 mo of 2025 actuals</t>
  </si>
  <si>
    <t>AK</t>
  </si>
  <si>
    <t>Misc</t>
  </si>
  <si>
    <t>Electric Meter Reading</t>
  </si>
  <si>
    <t>New Tenant Expenses</t>
  </si>
  <si>
    <t>HVAC Contracts</t>
  </si>
  <si>
    <t>Elevator Service</t>
  </si>
  <si>
    <t>Rug Rental</t>
  </si>
  <si>
    <t>Window Cleaning</t>
  </si>
  <si>
    <t>Comcast</t>
  </si>
  <si>
    <t>Verizon</t>
  </si>
  <si>
    <t>Misc Expenses</t>
  </si>
  <si>
    <t>Common Area Cleaning</t>
  </si>
  <si>
    <t>Roof Inspections</t>
  </si>
  <si>
    <t>Exterminator</t>
  </si>
  <si>
    <t>Elevator Inspections</t>
  </si>
  <si>
    <t>Backflow Testing</t>
  </si>
  <si>
    <t>Sprinkler Inspection</t>
  </si>
  <si>
    <t>Recurring -</t>
  </si>
  <si>
    <t>Fire Alarm Inspection</t>
  </si>
  <si>
    <t>Fire Extinguisher Service</t>
  </si>
  <si>
    <t>Bensalem Fire Inspections</t>
  </si>
  <si>
    <t>LIK Reimbursements</t>
  </si>
  <si>
    <t>Total - Recurring</t>
  </si>
  <si>
    <t>Total - Contract</t>
  </si>
  <si>
    <t xml:space="preserve">Contract - </t>
  </si>
  <si>
    <t>Kastle Security</t>
  </si>
  <si>
    <t>Misc.</t>
  </si>
  <si>
    <t xml:space="preserve">Misc - </t>
  </si>
  <si>
    <t>Alternate SF</t>
  </si>
  <si>
    <t>*Alternate SF for 3620 excludes ISD Renal, who is responsible for cleaning their own space.</t>
  </si>
  <si>
    <t>General Repairs</t>
  </si>
  <si>
    <t>Sweeping / Porter</t>
  </si>
  <si>
    <t>Irrigation Service</t>
  </si>
  <si>
    <t>Tree Service</t>
  </si>
  <si>
    <t xml:space="preserve">  </t>
  </si>
  <si>
    <t>Monthly Service</t>
  </si>
  <si>
    <t>Bulb Recycle</t>
  </si>
  <si>
    <t>Computer Recycle</t>
  </si>
  <si>
    <t>Aqua</t>
  </si>
  <si>
    <t>BCWSA</t>
  </si>
  <si>
    <t>Increased</t>
  </si>
  <si>
    <t>Budget Assumptions</t>
  </si>
  <si>
    <t>Account Code</t>
  </si>
  <si>
    <t>Description</t>
  </si>
  <si>
    <t>Assumption / Notes</t>
  </si>
  <si>
    <t>Set to occupancy</t>
  </si>
  <si>
    <t>2025 Business Plan grown 3%</t>
  </si>
  <si>
    <t>Includes Split systems &amp; Zone lines</t>
  </si>
  <si>
    <t>Based on occupancy. Includes cleaning, supplies, and porter fee.</t>
  </si>
  <si>
    <t>Based on occupancy.</t>
  </si>
  <si>
    <t>Based on occupancy. Includes cleaning, supplies, and porter fee.. Alternate SF for 3620 excludes ISD Renal, who is responsible for cleaning their own space.</t>
  </si>
  <si>
    <t>Based on projected leasing assumptions</t>
  </si>
  <si>
    <t>Performed Analysis of Rent Roll</t>
  </si>
  <si>
    <t>As projected by Leasing Manager</t>
  </si>
  <si>
    <t>By tenant, based on expenses and tenant base year</t>
  </si>
  <si>
    <t>Included in CAM line item</t>
  </si>
  <si>
    <t>Covered by Condo Fee</t>
  </si>
  <si>
    <t>4% of projected revenue</t>
  </si>
  <si>
    <t>Per assessments and estimated increases</t>
  </si>
  <si>
    <t xml:space="preserve">   ADD BACK: TI Improvements and LC Costs </t>
  </si>
  <si>
    <t>N/A</t>
  </si>
  <si>
    <t>2026 budget as provided by Electric Supplier</t>
  </si>
  <si>
    <t xml:space="preserve">Based on occupancy. ( cleaning, supplies, and porter) </t>
  </si>
  <si>
    <t>As per detail above</t>
  </si>
  <si>
    <t>Condo budget same as 2025</t>
  </si>
  <si>
    <t>Tax Rate</t>
  </si>
  <si>
    <t>2026 Tax</t>
  </si>
  <si>
    <t>Credit</t>
  </si>
  <si>
    <t>Prepaid</t>
  </si>
  <si>
    <t>2026 -</t>
  </si>
  <si>
    <t>2025 cr</t>
  </si>
  <si>
    <t>Based on tax rate and revenues</t>
  </si>
  <si>
    <t>Why is 2026 revenues 17.48% higher</t>
  </si>
  <si>
    <t>Sum of Charge Amount</t>
  </si>
  <si>
    <t>Inplace reviewed, ok</t>
  </si>
  <si>
    <t>Move out -,1429, 2 new -- 1.838+2.394</t>
  </si>
  <si>
    <t>Solaray - $108,225; SEOM - $39,439</t>
  </si>
  <si>
    <t>$147,664 combined</t>
  </si>
  <si>
    <t xml:space="preserve">   ADD: Operating Cash projected 01/01/2026</t>
  </si>
  <si>
    <t>TI Cash 09/30/2025 (Assumes TI Reserve contributions stop)</t>
  </si>
  <si>
    <t>Toggle Escrow Contributions</t>
  </si>
  <si>
    <t>See Payroll Budget 2026</t>
  </si>
  <si>
    <t>20% Allocation of $75K cap on Marketing pass through</t>
  </si>
  <si>
    <t>Based on 2026 Payroll Budget</t>
  </si>
  <si>
    <t>Investor Capital Contributions</t>
  </si>
  <si>
    <t>Request discontinuence TI contributions starting 1 January 2026</t>
  </si>
  <si>
    <t>CASH FLOW AFTER INTEREST ON DEBT SERVICE Year 2026</t>
  </si>
  <si>
    <t>2026 Condo Budget less 3610 condo fee</t>
  </si>
  <si>
    <t>Building</t>
  </si>
  <si>
    <t>RET</t>
  </si>
  <si>
    <t>Proj RET</t>
  </si>
  <si>
    <t>CF AFTER DEBT SERVICE</t>
  </si>
  <si>
    <t>JV III 2026 Budget</t>
  </si>
  <si>
    <t>NEW</t>
  </si>
  <si>
    <t>&lt;- Lookup Column</t>
  </si>
  <si>
    <t>Operating Cash 12/31/2025 (Projected using Jun reprojections). Includes $40,065.01 returned to JV III for overages on RET escrows.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</si>
</sst>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6" formatCode="&quot;$&quot;#,##0_);[Red]\(&quot;$&quot;#,##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0_);\(0\)"/>
    <numFmt numFmtId="166" formatCode="mm\/dd\/yyyy"/>
    <numFmt numFmtId="167" formatCode="_(&quot;$&quot;* #,##0_);_(&quot;$&quot;* \(#,##0\);_(&quot;$&quot;* &quot;-&quot;??_);_(@_)"/>
    <numFmt numFmtId="168" formatCode="_(* #,##0_);_(* \(#,##0\);_(* &quot;-&quot;??_);_(@_)"/>
    <numFmt numFmtId="169" formatCode="#,##0.00\ &quot;€&quot;"/>
    <numFmt numFmtId="170" formatCode="[$-409]mmm\-yy;@"/>
    <numFmt numFmtId="171" formatCode="&quot;$&quot;#,##0.00"/>
    <numFmt numFmtId="172" formatCode="&quot;$&quot;#,##0"/>
    <numFmt numFmtId="173" formatCode="yyyy"/>
    <numFmt numFmtId="174" formatCode="00,000\ &quot;SF&quot;"/>
    <numFmt numFmtId="175" formatCode="_(* #,##0.00_);_(* \(#,##0.00\);_(* &quot;-&quot;_);_(@_)"/>
    <numFmt numFmtId="176" formatCode="_(* #,##0.0000_);_(* \(#,##0.0000\);_(* &quot;-&quot;_);_(@_)"/>
    <numFmt numFmtId="177" formatCode="0.0000%"/>
  </numFmts>
  <fonts count="49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theme="1" tint="0.24994659260841701"/>
      <name val="Calibri"/>
      <family val="2"/>
      <scheme val="minor"/>
    </font>
    <font>
      <sz val="12"/>
      <color theme="1"/>
      <name val="Century Gothic"/>
      <family val="2"/>
    </font>
    <font>
      <b/>
      <sz val="12"/>
      <color theme="1"/>
      <name val="Century Gothic"/>
      <family val="2"/>
    </font>
    <font>
      <sz val="10"/>
      <name val="Century Gothic"/>
      <family val="2"/>
    </font>
    <font>
      <sz val="11"/>
      <name val="Century Gothic"/>
      <family val="2"/>
    </font>
    <font>
      <sz val="12"/>
      <name val="Century Gothic"/>
      <family val="2"/>
    </font>
    <font>
      <sz val="14"/>
      <name val="Century Gothic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u/>
      <sz val="12"/>
      <name val="Century Gothic"/>
      <family val="2"/>
    </font>
    <font>
      <b/>
      <sz val="24"/>
      <name val="Century Gothic"/>
      <family val="2"/>
    </font>
    <font>
      <b/>
      <sz val="10"/>
      <color rgb="FFFF0000"/>
      <name val="Century Gothic"/>
      <family val="2"/>
    </font>
    <font>
      <i/>
      <vertAlign val="superscript"/>
      <sz val="12"/>
      <name val="Century Gothic"/>
      <family val="2"/>
    </font>
    <font>
      <b/>
      <sz val="12"/>
      <color rgb="FFFF0000"/>
      <name val="Century Gothic"/>
      <family val="2"/>
    </font>
    <font>
      <b/>
      <i/>
      <vertAlign val="superscript"/>
      <sz val="12"/>
      <name val="Century Gothic"/>
      <family val="2"/>
    </font>
    <font>
      <u val="singleAccounting"/>
      <sz val="12"/>
      <name val="Century Gothic"/>
      <family val="2"/>
    </font>
    <font>
      <sz val="16"/>
      <name val="Century Gothic"/>
      <family val="2"/>
    </font>
    <font>
      <b/>
      <u/>
      <sz val="12"/>
      <name val="Century Gothic"/>
      <family val="2"/>
    </font>
    <font>
      <sz val="12"/>
      <color rgb="FF000000"/>
      <name val="Century Gothic"/>
      <family val="2"/>
    </font>
    <font>
      <i/>
      <sz val="12"/>
      <name val="Century Gothic"/>
      <family val="2"/>
    </font>
    <font>
      <b/>
      <i/>
      <sz val="12"/>
      <name val="Century Gothic"/>
      <family val="2"/>
    </font>
    <font>
      <i/>
      <sz val="11"/>
      <name val="Century Gothic"/>
      <family val="2"/>
    </font>
    <font>
      <b/>
      <sz val="10"/>
      <name val="Century Gothic"/>
      <family val="2"/>
    </font>
    <font>
      <sz val="12"/>
      <color rgb="FFFF0000"/>
      <name val="Century Gothic"/>
      <family val="2"/>
    </font>
    <font>
      <sz val="10"/>
      <color rgb="FFFF0000"/>
      <name val="Century Gothic"/>
      <family val="2"/>
    </font>
    <font>
      <b/>
      <sz val="22"/>
      <color theme="1"/>
      <name val="Century Gothic"/>
      <family val="2"/>
    </font>
    <font>
      <b/>
      <sz val="10"/>
      <color rgb="FFFF0000"/>
      <name val="Arial"/>
      <family val="2"/>
    </font>
    <font>
      <sz val="14"/>
      <name val="Arial"/>
      <family val="2"/>
    </font>
    <font>
      <sz val="10"/>
      <color rgb="FFFF0000"/>
      <name val="Arial"/>
      <family val="2"/>
    </font>
    <font>
      <sz val="26"/>
      <name val="Century Gothic"/>
      <family val="2"/>
    </font>
    <font>
      <sz val="24"/>
      <name val="Century Gothic"/>
      <family val="2"/>
    </font>
    <font>
      <b/>
      <sz val="36"/>
      <name val="Century Gothic"/>
      <family val="2"/>
    </font>
    <font>
      <sz val="28"/>
      <name val="Century Gothic"/>
      <family val="2"/>
    </font>
    <font>
      <b/>
      <sz val="11"/>
      <name val="Century Gothic"/>
      <family val="2"/>
    </font>
    <font>
      <i/>
      <sz val="8"/>
      <name val="Century Gothic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35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ck">
        <color auto="1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30">
    <xf numFmtId="41" fontId="0" fillId="0" borderId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41" fontId="6" fillId="0" borderId="0" applyNumberFormat="0" applyFill="0" applyBorder="0" applyAlignment="0" applyProtection="0"/>
    <xf numFmtId="41" fontId="7" fillId="0" borderId="0" applyNumberFormat="0" applyFill="0" applyBorder="0" applyAlignment="0" applyProtection="0"/>
    <xf numFmtId="41" fontId="6" fillId="0" borderId="0" applyNumberFormat="0" applyFill="0" applyBorder="0" applyAlignment="0" applyProtection="0"/>
    <xf numFmtId="41" fontId="7" fillId="0" borderId="0" applyNumberFormat="0" applyFill="0" applyBorder="0" applyAlignment="0" applyProtection="0"/>
    <xf numFmtId="41" fontId="6" fillId="0" borderId="0" applyNumberFormat="0" applyFill="0" applyBorder="0" applyAlignment="0" applyProtection="0"/>
    <xf numFmtId="41" fontId="7" fillId="0" borderId="0" applyNumberFormat="0" applyFill="0" applyBorder="0" applyAlignment="0" applyProtection="0"/>
    <xf numFmtId="41" fontId="6" fillId="0" borderId="0" applyNumberFormat="0" applyFill="0" applyBorder="0" applyAlignment="0" applyProtection="0"/>
    <xf numFmtId="41" fontId="7" fillId="0" borderId="0" applyNumberFormat="0" applyFill="0" applyBorder="0" applyAlignment="0" applyProtection="0"/>
    <xf numFmtId="41" fontId="6" fillId="0" borderId="0" applyNumberFormat="0" applyFill="0" applyBorder="0" applyAlignment="0" applyProtection="0"/>
    <xf numFmtId="41" fontId="7" fillId="0" borderId="0" applyNumberFormat="0" applyFill="0" applyBorder="0" applyAlignment="0" applyProtection="0"/>
    <xf numFmtId="43" fontId="8" fillId="0" borderId="0"/>
    <xf numFmtId="9" fontId="2" fillId="0" borderId="0" applyFont="0" applyFill="0" applyBorder="0" applyAlignment="0" applyProtection="0"/>
    <xf numFmtId="43" fontId="9" fillId="0" borderId="0"/>
    <xf numFmtId="9" fontId="8" fillId="0" borderId="0" applyFont="0" applyFill="0" applyBorder="0" applyAlignment="0" applyProtection="0"/>
    <xf numFmtId="41" fontId="2" fillId="0" borderId="0"/>
    <xf numFmtId="0" fontId="1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2" fillId="0" borderId="20" applyNumberFormat="0" applyFill="0" applyAlignment="0" applyProtection="0"/>
    <xf numFmtId="0" fontId="13" fillId="0" borderId="0" applyNumberFormat="0" applyFill="0" applyBorder="0" applyAlignment="0" applyProtection="0"/>
    <xf numFmtId="0" fontId="11" fillId="0" borderId="21" applyNumberFormat="0" applyFill="0" applyAlignment="0" applyProtection="0"/>
    <xf numFmtId="0" fontId="1" fillId="0" borderId="0"/>
    <xf numFmtId="169" fontId="14" fillId="6" borderId="0" applyFont="0" applyFill="0" applyBorder="0" applyProtection="0">
      <alignment horizontal="right" indent="2"/>
    </xf>
    <xf numFmtId="0" fontId="2" fillId="0" borderId="0"/>
  </cellStyleXfs>
  <cellXfs count="485">
    <xf numFmtId="41" fontId="0" fillId="0" borderId="0" xfId="0"/>
    <xf numFmtId="41" fontId="0" fillId="0" borderId="0" xfId="0" pivotButton="1"/>
    <xf numFmtId="41" fontId="0" fillId="0" borderId="0" xfId="0" applyAlignment="1">
      <alignment horizontal="left"/>
    </xf>
    <xf numFmtId="41" fontId="0" fillId="2" borderId="0" xfId="0" applyFill="1"/>
    <xf numFmtId="41" fontId="0" fillId="4" borderId="0" xfId="0" applyFill="1"/>
    <xf numFmtId="41" fontId="0" fillId="0" borderId="0" xfId="0" applyAlignment="1">
      <alignment horizontal="left" indent="1"/>
    </xf>
    <xf numFmtId="170" fontId="19" fillId="4" borderId="7" xfId="0" applyNumberFormat="1" applyFont="1" applyFill="1" applyBorder="1"/>
    <xf numFmtId="41" fontId="19" fillId="4" borderId="0" xfId="0" applyFont="1" applyFill="1"/>
    <xf numFmtId="41" fontId="20" fillId="4" borderId="0" xfId="0" applyFont="1" applyFill="1"/>
    <xf numFmtId="41" fontId="22" fillId="4" borderId="0" xfId="0" applyFont="1" applyFill="1"/>
    <xf numFmtId="41" fontId="21" fillId="4" borderId="0" xfId="0" applyFont="1" applyFill="1"/>
    <xf numFmtId="41" fontId="19" fillId="4" borderId="0" xfId="0" applyFont="1" applyFill="1" applyProtection="1">
      <protection locked="0"/>
    </xf>
    <xf numFmtId="41" fontId="23" fillId="4" borderId="0" xfId="0" applyFont="1" applyFill="1" applyAlignment="1">
      <alignment horizontal="right"/>
    </xf>
    <xf numFmtId="41" fontId="19" fillId="3" borderId="0" xfId="0" applyFont="1" applyFill="1" applyProtection="1">
      <protection locked="0"/>
    </xf>
    <xf numFmtId="41" fontId="19" fillId="4" borderId="0" xfId="0" applyFont="1" applyFill="1" applyAlignment="1">
      <alignment horizontal="right"/>
    </xf>
    <xf numFmtId="41" fontId="19" fillId="3" borderId="7" xfId="0" applyFont="1" applyFill="1" applyBorder="1" applyProtection="1">
      <protection locked="0"/>
    </xf>
    <xf numFmtId="41" fontId="19" fillId="4" borderId="7" xfId="0" applyFont="1" applyFill="1" applyBorder="1"/>
    <xf numFmtId="41" fontId="22" fillId="4" borderId="0" xfId="0" applyFont="1" applyFill="1" applyAlignment="1">
      <alignment horizontal="right"/>
    </xf>
    <xf numFmtId="41" fontId="24" fillId="4" borderId="0" xfId="0" applyFont="1" applyFill="1" applyAlignment="1">
      <alignment horizontal="centerContinuous"/>
    </xf>
    <xf numFmtId="41" fontId="19" fillId="4" borderId="0" xfId="0" applyFont="1" applyFill="1" applyAlignment="1">
      <alignment horizontal="centerContinuous"/>
    </xf>
    <xf numFmtId="41" fontId="30" fillId="4" borderId="0" xfId="0" applyFont="1" applyFill="1" applyAlignment="1">
      <alignment vertical="center"/>
    </xf>
    <xf numFmtId="41" fontId="22" fillId="4" borderId="0" xfId="0" applyFont="1" applyFill="1" applyAlignment="1">
      <alignment vertical="center"/>
    </xf>
    <xf numFmtId="41" fontId="24" fillId="4" borderId="0" xfId="0" applyFont="1" applyFill="1" applyAlignment="1">
      <alignment horizontal="center" vertical="center"/>
    </xf>
    <xf numFmtId="173" fontId="30" fillId="4" borderId="0" xfId="0" applyNumberFormat="1" applyFont="1" applyFill="1" applyAlignment="1">
      <alignment horizontal="right" vertical="center"/>
    </xf>
    <xf numFmtId="41" fontId="19" fillId="4" borderId="0" xfId="0" applyFont="1" applyFill="1" applyAlignment="1">
      <alignment horizontal="center"/>
    </xf>
    <xf numFmtId="41" fontId="20" fillId="4" borderId="7" xfId="0" applyFont="1" applyFill="1" applyBorder="1" applyAlignment="1">
      <alignment horizontal="right"/>
    </xf>
    <xf numFmtId="164" fontId="19" fillId="4" borderId="0" xfId="1" applyNumberFormat="1" applyFont="1" applyFill="1" applyProtection="1"/>
    <xf numFmtId="164" fontId="19" fillId="4" borderId="0" xfId="1" applyNumberFormat="1" applyFont="1" applyFill="1" applyAlignment="1" applyProtection="1"/>
    <xf numFmtId="164" fontId="19" fillId="4" borderId="0" xfId="1" applyNumberFormat="1" applyFont="1" applyFill="1" applyAlignment="1" applyProtection="1">
      <alignment horizontal="right"/>
    </xf>
    <xf numFmtId="41" fontId="19" fillId="4" borderId="1" xfId="0" applyFont="1" applyFill="1" applyBorder="1"/>
    <xf numFmtId="41" fontId="19" fillId="4" borderId="5" xfId="0" applyFont="1" applyFill="1" applyBorder="1"/>
    <xf numFmtId="167" fontId="19" fillId="4" borderId="0" xfId="23" applyNumberFormat="1" applyFont="1" applyFill="1" applyBorder="1"/>
    <xf numFmtId="41" fontId="27" fillId="4" borderId="0" xfId="0" applyFont="1" applyFill="1"/>
    <xf numFmtId="41" fontId="22" fillId="4" borderId="0" xfId="0" applyFont="1" applyFill="1" applyAlignment="1">
      <alignment horizontal="left"/>
    </xf>
    <xf numFmtId="167" fontId="22" fillId="4" borderId="0" xfId="23" applyNumberFormat="1" applyFont="1" applyFill="1"/>
    <xf numFmtId="6" fontId="19" fillId="4" borderId="0" xfId="0" applyNumberFormat="1" applyFont="1" applyFill="1"/>
    <xf numFmtId="168" fontId="27" fillId="4" borderId="7" xfId="22" applyNumberFormat="1" applyFont="1" applyFill="1" applyBorder="1" applyAlignment="1">
      <alignment horizontal="left" indent="2"/>
    </xf>
    <xf numFmtId="41" fontId="29" fillId="4" borderId="0" xfId="0" applyFont="1" applyFill="1" applyProtection="1">
      <protection locked="0"/>
    </xf>
    <xf numFmtId="41" fontId="29" fillId="4" borderId="0" xfId="0" applyFont="1" applyFill="1"/>
    <xf numFmtId="41" fontId="19" fillId="4" borderId="1" xfId="0" applyFont="1" applyFill="1" applyBorder="1" applyProtection="1">
      <protection locked="0"/>
    </xf>
    <xf numFmtId="10" fontId="19" fillId="4" borderId="0" xfId="1" applyNumberFormat="1" applyFont="1" applyFill="1"/>
    <xf numFmtId="10" fontId="19" fillId="4" borderId="1" xfId="1" applyNumberFormat="1" applyFont="1" applyFill="1" applyBorder="1"/>
    <xf numFmtId="41" fontId="19" fillId="4" borderId="13" xfId="0" applyFont="1" applyFill="1" applyBorder="1"/>
    <xf numFmtId="41" fontId="19" fillId="4" borderId="13" xfId="0" applyFont="1" applyFill="1" applyBorder="1" applyProtection="1">
      <protection locked="0"/>
    </xf>
    <xf numFmtId="41" fontId="22" fillId="4" borderId="0" xfId="0" applyFont="1" applyFill="1" applyProtection="1">
      <protection locked="0"/>
    </xf>
    <xf numFmtId="0" fontId="19" fillId="4" borderId="0" xfId="15" applyNumberFormat="1" applyFont="1" applyFill="1" applyAlignment="1">
      <alignment horizontal="right"/>
    </xf>
    <xf numFmtId="41" fontId="19" fillId="4" borderId="0" xfId="0" applyFont="1" applyFill="1" applyAlignment="1" applyProtection="1">
      <alignment horizontal="right"/>
      <protection locked="0"/>
    </xf>
    <xf numFmtId="41" fontId="19" fillId="4" borderId="12" xfId="0" applyFont="1" applyFill="1" applyBorder="1"/>
    <xf numFmtId="44" fontId="27" fillId="4" borderId="0" xfId="23" applyFont="1" applyFill="1" applyProtection="1"/>
    <xf numFmtId="14" fontId="27" fillId="4" borderId="0" xfId="0" applyNumberFormat="1" applyFont="1" applyFill="1" applyAlignment="1">
      <alignment horizontal="right"/>
    </xf>
    <xf numFmtId="6" fontId="19" fillId="4" borderId="0" xfId="0" applyNumberFormat="1" applyFont="1" applyFill="1" applyAlignment="1">
      <alignment horizontal="right"/>
    </xf>
    <xf numFmtId="41" fontId="20" fillId="4" borderId="0" xfId="0" applyFont="1" applyFill="1" applyAlignment="1">
      <alignment horizontal="center"/>
    </xf>
    <xf numFmtId="41" fontId="22" fillId="4" borderId="7" xfId="0" applyFont="1" applyFill="1" applyBorder="1"/>
    <xf numFmtId="41" fontId="19" fillId="4" borderId="19" xfId="0" applyFont="1" applyFill="1" applyBorder="1"/>
    <xf numFmtId="41" fontId="19" fillId="4" borderId="10" xfId="0" applyFont="1" applyFill="1" applyBorder="1"/>
    <xf numFmtId="41" fontId="19" fillId="4" borderId="17" xfId="0" applyFont="1" applyFill="1" applyBorder="1"/>
    <xf numFmtId="41" fontId="20" fillId="4" borderId="5" xfId="0" applyFont="1" applyFill="1" applyBorder="1"/>
    <xf numFmtId="41" fontId="20" fillId="4" borderId="1" xfId="0" applyFont="1" applyFill="1" applyBorder="1"/>
    <xf numFmtId="41" fontId="19" fillId="2" borderId="0" xfId="0" applyFont="1" applyFill="1" applyAlignment="1">
      <alignment horizontal="right"/>
    </xf>
    <xf numFmtId="41" fontId="22" fillId="2" borderId="0" xfId="0" applyFont="1" applyFill="1"/>
    <xf numFmtId="41" fontId="19" fillId="2" borderId="0" xfId="0" applyFont="1" applyFill="1"/>
    <xf numFmtId="41" fontId="22" fillId="2" borderId="0" xfId="0" applyFont="1" applyFill="1" applyAlignment="1">
      <alignment horizontal="left"/>
    </xf>
    <xf numFmtId="9" fontId="19" fillId="4" borderId="0" xfId="1" applyFont="1" applyFill="1"/>
    <xf numFmtId="41" fontId="19" fillId="5" borderId="25" xfId="0" applyFont="1" applyFill="1" applyBorder="1"/>
    <xf numFmtId="41" fontId="19" fillId="5" borderId="26" xfId="0" applyFont="1" applyFill="1" applyBorder="1"/>
    <xf numFmtId="41" fontId="19" fillId="5" borderId="27" xfId="0" applyFont="1" applyFill="1" applyBorder="1"/>
    <xf numFmtId="41" fontId="19" fillId="5" borderId="28" xfId="0" applyFont="1" applyFill="1" applyBorder="1"/>
    <xf numFmtId="41" fontId="19" fillId="5" borderId="0" xfId="0" applyFont="1" applyFill="1"/>
    <xf numFmtId="41" fontId="19" fillId="5" borderId="29" xfId="0" applyFont="1" applyFill="1" applyBorder="1"/>
    <xf numFmtId="41" fontId="19" fillId="5" borderId="30" xfId="0" applyFont="1" applyFill="1" applyBorder="1"/>
    <xf numFmtId="41" fontId="19" fillId="5" borderId="31" xfId="0" applyFont="1" applyFill="1" applyBorder="1"/>
    <xf numFmtId="41" fontId="19" fillId="5" borderId="32" xfId="0" applyFont="1" applyFill="1" applyBorder="1"/>
    <xf numFmtId="41" fontId="17" fillId="4" borderId="0" xfId="0" applyFont="1" applyFill="1" applyAlignment="1">
      <alignment horizontal="right"/>
    </xf>
    <xf numFmtId="41" fontId="17" fillId="2" borderId="0" xfId="0" applyFont="1" applyFill="1" applyAlignment="1">
      <alignment horizontal="right"/>
    </xf>
    <xf numFmtId="14" fontId="25" fillId="4" borderId="0" xfId="0" applyNumberFormat="1" applyFont="1" applyFill="1" applyAlignment="1">
      <alignment horizontal="right"/>
    </xf>
    <xf numFmtId="41" fontId="25" fillId="4" borderId="0" xfId="0" applyFont="1" applyFill="1" applyAlignment="1">
      <alignment horizontal="right"/>
    </xf>
    <xf numFmtId="41" fontId="19" fillId="3" borderId="12" xfId="0" applyFont="1" applyFill="1" applyBorder="1" applyProtection="1">
      <protection locked="0"/>
    </xf>
    <xf numFmtId="49" fontId="19" fillId="4" borderId="0" xfId="0" applyNumberFormat="1" applyFont="1" applyFill="1" applyAlignment="1">
      <alignment horizontal="center"/>
    </xf>
    <xf numFmtId="168" fontId="19" fillId="4" borderId="0" xfId="22" applyNumberFormat="1" applyFont="1" applyFill="1"/>
    <xf numFmtId="41" fontId="20" fillId="4" borderId="0" xfId="0" applyFont="1" applyFill="1" applyAlignment="1">
      <alignment horizontal="centerContinuous"/>
    </xf>
    <xf numFmtId="49" fontId="19" fillId="2" borderId="0" xfId="0" applyNumberFormat="1" applyFont="1" applyFill="1" applyAlignment="1">
      <alignment horizontal="center"/>
    </xf>
    <xf numFmtId="41" fontId="19" fillId="4" borderId="7" xfId="0" applyFont="1" applyFill="1" applyBorder="1" applyAlignment="1">
      <alignment horizontal="right"/>
    </xf>
    <xf numFmtId="168" fontId="19" fillId="4" borderId="7" xfId="22" applyNumberFormat="1" applyFont="1" applyFill="1" applyBorder="1"/>
    <xf numFmtId="40" fontId="19" fillId="4" borderId="0" xfId="22" applyNumberFormat="1" applyFont="1" applyFill="1" applyBorder="1" applyAlignment="1" applyProtection="1">
      <alignment horizontal="right"/>
    </xf>
    <xf numFmtId="43" fontId="19" fillId="4" borderId="0" xfId="22" applyFont="1" applyFill="1"/>
    <xf numFmtId="41" fontId="19" fillId="4" borderId="0" xfId="0" applyFont="1" applyFill="1" applyAlignment="1">
      <alignment horizontal="left"/>
    </xf>
    <xf numFmtId="49" fontId="19" fillId="4" borderId="0" xfId="0" applyNumberFormat="1" applyFont="1" applyFill="1" applyAlignment="1">
      <alignment horizontal="left"/>
    </xf>
    <xf numFmtId="41" fontId="18" fillId="4" borderId="0" xfId="0" applyFont="1" applyFill="1" applyAlignment="1">
      <alignment horizontal="center"/>
    </xf>
    <xf numFmtId="41" fontId="33" fillId="4" borderId="0" xfId="0" applyFont="1" applyFill="1"/>
    <xf numFmtId="41" fontId="20" fillId="4" borderId="0" xfId="0" applyFont="1" applyFill="1" applyAlignment="1">
      <alignment horizontal="right"/>
    </xf>
    <xf numFmtId="49" fontId="19" fillId="4" borderId="0" xfId="0" applyNumberFormat="1" applyFont="1" applyFill="1" applyAlignment="1">
      <alignment horizontal="right"/>
    </xf>
    <xf numFmtId="49" fontId="22" fillId="4" borderId="0" xfId="0" applyNumberFormat="1" applyFont="1" applyFill="1" applyAlignment="1">
      <alignment horizontal="right"/>
    </xf>
    <xf numFmtId="43" fontId="22" fillId="4" borderId="0" xfId="22" applyFont="1" applyFill="1" applyBorder="1"/>
    <xf numFmtId="41" fontId="22" fillId="4" borderId="12" xfId="0" applyFont="1" applyFill="1" applyBorder="1"/>
    <xf numFmtId="167" fontId="32" fillId="2" borderId="0" xfId="0" applyNumberFormat="1" applyFont="1" applyFill="1" applyAlignment="1">
      <alignment horizontal="left" vertical="top"/>
    </xf>
    <xf numFmtId="168" fontId="32" fillId="2" borderId="0" xfId="22" applyNumberFormat="1" applyFont="1" applyFill="1" applyAlignment="1">
      <alignment horizontal="left" vertical="top"/>
    </xf>
    <xf numFmtId="43" fontId="17" fillId="4" borderId="0" xfId="22" applyFont="1" applyFill="1"/>
    <xf numFmtId="41" fontId="34" fillId="2" borderId="0" xfId="0" applyFont="1" applyFill="1"/>
    <xf numFmtId="3" fontId="19" fillId="2" borderId="0" xfId="0" applyNumberFormat="1" applyFont="1" applyFill="1" applyAlignment="1">
      <alignment horizontal="right"/>
    </xf>
    <xf numFmtId="3" fontId="19" fillId="2" borderId="0" xfId="0" applyNumberFormat="1" applyFont="1" applyFill="1"/>
    <xf numFmtId="41" fontId="31" fillId="2" borderId="0" xfId="0" applyFont="1" applyFill="1" applyAlignment="1">
      <alignment horizontal="right"/>
    </xf>
    <xf numFmtId="49" fontId="20" fillId="4" borderId="0" xfId="0" applyNumberFormat="1" applyFont="1" applyFill="1" applyAlignment="1">
      <alignment horizontal="center"/>
    </xf>
    <xf numFmtId="49" fontId="21" fillId="4" borderId="0" xfId="0" applyNumberFormat="1" applyFont="1" applyFill="1" applyAlignment="1">
      <alignment horizontal="right"/>
    </xf>
    <xf numFmtId="41" fontId="21" fillId="4" borderId="1" xfId="0" applyFont="1" applyFill="1" applyBorder="1"/>
    <xf numFmtId="43" fontId="20" fillId="4" borderId="0" xfId="22" applyFont="1" applyFill="1"/>
    <xf numFmtId="40" fontId="19" fillId="3" borderId="12" xfId="22" applyNumberFormat="1" applyFont="1" applyFill="1" applyBorder="1" applyAlignment="1" applyProtection="1">
      <alignment horizontal="right"/>
      <protection locked="0"/>
    </xf>
    <xf numFmtId="40" fontId="19" fillId="3" borderId="7" xfId="22" applyNumberFormat="1" applyFont="1" applyFill="1" applyBorder="1" applyAlignment="1" applyProtection="1">
      <alignment horizontal="right"/>
      <protection locked="0"/>
    </xf>
    <xf numFmtId="41" fontId="19" fillId="2" borderId="0" xfId="0" applyFont="1" applyFill="1" applyAlignment="1">
      <alignment horizontal="left"/>
    </xf>
    <xf numFmtId="49" fontId="19" fillId="2" borderId="0" xfId="0" applyNumberFormat="1" applyFont="1" applyFill="1" applyAlignment="1">
      <alignment horizontal="left"/>
    </xf>
    <xf numFmtId="167" fontId="19" fillId="2" borderId="0" xfId="23" applyNumberFormat="1" applyFont="1" applyFill="1"/>
    <xf numFmtId="41" fontId="19" fillId="4" borderId="6" xfId="0" applyFont="1" applyFill="1" applyBorder="1" applyAlignment="1">
      <alignment horizontal="right"/>
    </xf>
    <xf numFmtId="10" fontId="15" fillId="4" borderId="23" xfId="1" applyNumberFormat="1" applyFont="1" applyFill="1" applyBorder="1" applyAlignment="1">
      <alignment horizontal="right" vertical="center"/>
    </xf>
    <xf numFmtId="10" fontId="15" fillId="4" borderId="9" xfId="1" applyNumberFormat="1" applyFont="1" applyFill="1" applyBorder="1" applyAlignment="1">
      <alignment horizontal="right" vertical="center"/>
    </xf>
    <xf numFmtId="10" fontId="19" fillId="4" borderId="9" xfId="0" applyNumberFormat="1" applyFont="1" applyFill="1" applyBorder="1" applyAlignment="1">
      <alignment horizontal="right"/>
    </xf>
    <xf numFmtId="2" fontId="19" fillId="4" borderId="7" xfId="0" applyNumberFormat="1" applyFont="1" applyFill="1" applyBorder="1"/>
    <xf numFmtId="2" fontId="19" fillId="4" borderId="0" xfId="0" applyNumberFormat="1" applyFont="1" applyFill="1"/>
    <xf numFmtId="41" fontId="19" fillId="4" borderId="0" xfId="0" applyFont="1" applyFill="1" applyAlignment="1">
      <alignment horizontal="left" vertical="top"/>
    </xf>
    <xf numFmtId="166" fontId="19" fillId="4" borderId="0" xfId="0" applyNumberFormat="1" applyFont="1" applyFill="1" applyAlignment="1">
      <alignment horizontal="center" vertical="top"/>
    </xf>
    <xf numFmtId="41" fontId="19" fillId="4" borderId="0" xfId="0" applyFont="1" applyFill="1" applyAlignment="1">
      <alignment horizontal="center" vertical="top"/>
    </xf>
    <xf numFmtId="2" fontId="19" fillId="4" borderId="0" xfId="0" applyNumberFormat="1" applyFont="1" applyFill="1" applyAlignment="1">
      <alignment horizontal="right" vertical="top"/>
    </xf>
    <xf numFmtId="41" fontId="20" fillId="7" borderId="7" xfId="0" applyFont="1" applyFill="1" applyBorder="1" applyAlignment="1">
      <alignment horizontal="right"/>
    </xf>
    <xf numFmtId="41" fontId="19" fillId="7" borderId="0" xfId="0" applyFont="1" applyFill="1"/>
    <xf numFmtId="164" fontId="19" fillId="7" borderId="0" xfId="1" applyNumberFormat="1" applyFont="1" applyFill="1" applyProtection="1"/>
    <xf numFmtId="41" fontId="26" fillId="7" borderId="0" xfId="0" applyFont="1" applyFill="1"/>
    <xf numFmtId="41" fontId="19" fillId="7" borderId="18" xfId="0" applyFont="1" applyFill="1" applyBorder="1"/>
    <xf numFmtId="41" fontId="19" fillId="7" borderId="14" xfId="0" applyFont="1" applyFill="1" applyBorder="1"/>
    <xf numFmtId="41" fontId="19" fillId="7" borderId="16" xfId="0" applyFont="1" applyFill="1" applyBorder="1"/>
    <xf numFmtId="41" fontId="22" fillId="7" borderId="7" xfId="0" applyFont="1" applyFill="1" applyBorder="1"/>
    <xf numFmtId="41" fontId="19" fillId="7" borderId="7" xfId="0" applyFont="1" applyFill="1" applyBorder="1"/>
    <xf numFmtId="41" fontId="20" fillId="7" borderId="1" xfId="0" applyFont="1" applyFill="1" applyBorder="1"/>
    <xf numFmtId="41" fontId="19" fillId="7" borderId="1" xfId="0" applyFont="1" applyFill="1" applyBorder="1"/>
    <xf numFmtId="41" fontId="26" fillId="7" borderId="7" xfId="0" applyFont="1" applyFill="1" applyBorder="1"/>
    <xf numFmtId="0" fontId="19" fillId="4" borderId="0" xfId="18" applyFont="1" applyFill="1" applyAlignment="1">
      <alignment vertical="top"/>
    </xf>
    <xf numFmtId="168" fontId="19" fillId="4" borderId="0" xfId="22" applyNumberFormat="1" applyFont="1" applyFill="1" applyAlignment="1" applyProtection="1">
      <alignment vertical="top"/>
    </xf>
    <xf numFmtId="167" fontId="19" fillId="4" borderId="0" xfId="18" applyNumberFormat="1" applyFont="1" applyFill="1" applyAlignment="1">
      <alignment vertical="top"/>
    </xf>
    <xf numFmtId="0" fontId="22" fillId="4" borderId="0" xfId="18" applyFont="1" applyFill="1" applyAlignment="1">
      <alignment horizontal="center" vertical="top"/>
    </xf>
    <xf numFmtId="0" fontId="19" fillId="4" borderId="0" xfId="18" applyFont="1" applyFill="1" applyAlignment="1">
      <alignment horizontal="center" vertical="top"/>
    </xf>
    <xf numFmtId="3" fontId="22" fillId="4" borderId="0" xfId="18" applyNumberFormat="1" applyFont="1" applyFill="1" applyAlignment="1">
      <alignment horizontal="left" vertical="top"/>
    </xf>
    <xf numFmtId="10" fontId="19" fillId="4" borderId="0" xfId="18" applyNumberFormat="1" applyFont="1" applyFill="1" applyAlignment="1">
      <alignment vertical="top"/>
    </xf>
    <xf numFmtId="167" fontId="22" fillId="4" borderId="11" xfId="18" applyNumberFormat="1" applyFont="1" applyFill="1" applyBorder="1" applyAlignment="1">
      <alignment vertical="top"/>
    </xf>
    <xf numFmtId="43" fontId="19" fillId="4" borderId="0" xfId="22" applyFont="1" applyFill="1" applyAlignment="1">
      <alignment vertical="top"/>
    </xf>
    <xf numFmtId="3" fontId="19" fillId="4" borderId="0" xfId="22" applyNumberFormat="1" applyFont="1" applyFill="1" applyBorder="1" applyAlignment="1">
      <alignment vertical="top"/>
    </xf>
    <xf numFmtId="3" fontId="22" fillId="4" borderId="0" xfId="22" applyNumberFormat="1" applyFont="1" applyFill="1" applyBorder="1" applyAlignment="1">
      <alignment vertical="top"/>
    </xf>
    <xf numFmtId="14" fontId="19" fillId="4" borderId="0" xfId="18" applyNumberFormat="1" applyFont="1" applyFill="1" applyAlignment="1">
      <alignment vertical="top"/>
    </xf>
    <xf numFmtId="171" fontId="19" fillId="4" borderId="0" xfId="21" applyNumberFormat="1" applyFont="1" applyFill="1" applyBorder="1" applyAlignment="1" applyProtection="1">
      <alignment vertical="top"/>
    </xf>
    <xf numFmtId="9" fontId="19" fillId="4" borderId="0" xfId="19" applyFont="1" applyFill="1" applyBorder="1" applyAlignment="1" applyProtection="1">
      <alignment vertical="top"/>
    </xf>
    <xf numFmtId="0" fontId="19" fillId="4" borderId="7" xfId="18" applyFont="1" applyFill="1" applyBorder="1" applyAlignment="1">
      <alignment vertical="top"/>
    </xf>
    <xf numFmtId="0" fontId="19" fillId="4" borderId="7" xfId="18" applyFont="1" applyFill="1" applyBorder="1" applyAlignment="1">
      <alignment horizontal="center" vertical="top"/>
    </xf>
    <xf numFmtId="3" fontId="19" fillId="4" borderId="7" xfId="22" applyNumberFormat="1" applyFont="1" applyFill="1" applyBorder="1" applyAlignment="1">
      <alignment vertical="top"/>
    </xf>
    <xf numFmtId="0" fontId="19" fillId="4" borderId="16" xfId="18" applyFont="1" applyFill="1" applyBorder="1" applyAlignment="1">
      <alignment horizontal="center" vertical="top"/>
    </xf>
    <xf numFmtId="168" fontId="19" fillId="4" borderId="0" xfId="22" applyNumberFormat="1" applyFont="1" applyFill="1" applyBorder="1" applyAlignment="1" applyProtection="1">
      <alignment vertical="top"/>
    </xf>
    <xf numFmtId="168" fontId="19" fillId="4" borderId="10" xfId="22" applyNumberFormat="1" applyFont="1" applyFill="1" applyBorder="1" applyAlignment="1" applyProtection="1">
      <alignment vertical="top"/>
    </xf>
    <xf numFmtId="168" fontId="19" fillId="4" borderId="14" xfId="22" applyNumberFormat="1" applyFont="1" applyFill="1" applyBorder="1" applyAlignment="1" applyProtection="1">
      <alignment vertical="top"/>
    </xf>
    <xf numFmtId="14" fontId="19" fillId="4" borderId="0" xfId="18" applyNumberFormat="1" applyFont="1" applyFill="1" applyAlignment="1">
      <alignment horizontal="center" vertical="top"/>
    </xf>
    <xf numFmtId="3" fontId="19" fillId="4" borderId="7" xfId="18" applyNumberFormat="1" applyFont="1" applyFill="1" applyBorder="1" applyAlignment="1">
      <alignment horizontal="right" vertical="top"/>
    </xf>
    <xf numFmtId="3" fontId="19" fillId="4" borderId="0" xfId="22" applyNumberFormat="1" applyFont="1" applyFill="1" applyBorder="1" applyAlignment="1">
      <alignment horizontal="right" vertical="top"/>
    </xf>
    <xf numFmtId="3" fontId="19" fillId="4" borderId="7" xfId="22" applyNumberFormat="1" applyFont="1" applyFill="1" applyBorder="1" applyAlignment="1">
      <alignment horizontal="right" vertical="top"/>
    </xf>
    <xf numFmtId="3" fontId="22" fillId="4" borderId="0" xfId="22" applyNumberFormat="1" applyFont="1" applyFill="1" applyBorder="1" applyAlignment="1">
      <alignment horizontal="right" vertical="top"/>
    </xf>
    <xf numFmtId="3" fontId="22" fillId="4" borderId="0" xfId="18" applyNumberFormat="1" applyFont="1" applyFill="1" applyAlignment="1">
      <alignment horizontal="right" vertical="top"/>
    </xf>
    <xf numFmtId="0" fontId="19" fillId="4" borderId="7" xfId="18" applyFont="1" applyFill="1" applyBorder="1" applyAlignment="1">
      <alignment horizontal="right" vertical="top"/>
    </xf>
    <xf numFmtId="1" fontId="20" fillId="4" borderId="0" xfId="18" applyNumberFormat="1" applyFont="1" applyFill="1" applyAlignment="1">
      <alignment horizontal="left" vertical="top"/>
    </xf>
    <xf numFmtId="1" fontId="20" fillId="4" borderId="0" xfId="18" applyNumberFormat="1" applyFont="1" applyFill="1" applyAlignment="1">
      <alignment horizontal="center" vertical="top"/>
    </xf>
    <xf numFmtId="14" fontId="19" fillId="4" borderId="0" xfId="18" applyNumberFormat="1" applyFont="1" applyFill="1" applyAlignment="1" applyProtection="1">
      <alignment vertical="top"/>
      <protection locked="0"/>
    </xf>
    <xf numFmtId="171" fontId="19" fillId="4" borderId="0" xfId="21" applyNumberFormat="1" applyFont="1" applyFill="1" applyBorder="1" applyAlignment="1" applyProtection="1">
      <alignment vertical="top"/>
      <protection locked="0"/>
    </xf>
    <xf numFmtId="14" fontId="19" fillId="4" borderId="0" xfId="27" applyNumberFormat="1" applyFont="1" applyFill="1" applyAlignment="1" applyProtection="1">
      <alignment vertical="top"/>
      <protection locked="0"/>
    </xf>
    <xf numFmtId="171" fontId="19" fillId="4" borderId="0" xfId="22" applyNumberFormat="1" applyFont="1" applyFill="1" applyBorder="1" applyAlignment="1" applyProtection="1">
      <alignment vertical="top"/>
      <protection locked="0"/>
    </xf>
    <xf numFmtId="14" fontId="19" fillId="4" borderId="7" xfId="18" applyNumberFormat="1" applyFont="1" applyFill="1" applyBorder="1" applyAlignment="1" applyProtection="1">
      <alignment vertical="top"/>
      <protection locked="0"/>
    </xf>
    <xf numFmtId="171" fontId="19" fillId="4" borderId="7" xfId="21" applyNumberFormat="1" applyFont="1" applyFill="1" applyBorder="1" applyAlignment="1" applyProtection="1">
      <alignment vertical="top"/>
      <protection locked="0"/>
    </xf>
    <xf numFmtId="3" fontId="24" fillId="4" borderId="0" xfId="18" applyNumberFormat="1" applyFont="1" applyFill="1" applyAlignment="1">
      <alignment horizontal="centerContinuous" vertical="top"/>
    </xf>
    <xf numFmtId="0" fontId="19" fillId="4" borderId="0" xfId="18" applyFont="1" applyFill="1" applyAlignment="1">
      <alignment horizontal="centerContinuous" vertical="top"/>
    </xf>
    <xf numFmtId="0" fontId="22" fillId="4" borderId="0" xfId="18" applyFont="1" applyFill="1" applyAlignment="1">
      <alignment horizontal="centerContinuous" vertical="top"/>
    </xf>
    <xf numFmtId="3" fontId="20" fillId="4" borderId="0" xfId="18" applyNumberFormat="1" applyFont="1" applyFill="1" applyAlignment="1">
      <alignment horizontal="centerContinuous" vertical="top"/>
    </xf>
    <xf numFmtId="3" fontId="22" fillId="4" borderId="0" xfId="18" applyNumberFormat="1" applyFont="1" applyFill="1" applyAlignment="1">
      <alignment horizontal="centerContinuous" vertical="top"/>
    </xf>
    <xf numFmtId="14" fontId="19" fillId="4" borderId="10" xfId="18" applyNumberFormat="1" applyFont="1" applyFill="1" applyBorder="1" applyAlignment="1" applyProtection="1">
      <alignment vertical="top"/>
      <protection locked="0"/>
    </xf>
    <xf numFmtId="9" fontId="19" fillId="4" borderId="14" xfId="19" applyFont="1" applyFill="1" applyBorder="1" applyAlignment="1" applyProtection="1">
      <alignment vertical="top"/>
      <protection locked="0"/>
    </xf>
    <xf numFmtId="14" fontId="19" fillId="4" borderId="17" xfId="18" applyNumberFormat="1" applyFont="1" applyFill="1" applyBorder="1" applyAlignment="1" applyProtection="1">
      <alignment vertical="top"/>
      <protection locked="0"/>
    </xf>
    <xf numFmtId="9" fontId="19" fillId="4" borderId="16" xfId="19" applyFont="1" applyFill="1" applyBorder="1" applyAlignment="1" applyProtection="1">
      <alignment vertical="top"/>
      <protection locked="0"/>
    </xf>
    <xf numFmtId="0" fontId="19" fillId="4" borderId="17" xfId="18" applyFont="1" applyFill="1" applyBorder="1" applyAlignment="1">
      <alignment horizontal="center" vertical="top"/>
    </xf>
    <xf numFmtId="170" fontId="19" fillId="4" borderId="17" xfId="0" applyNumberFormat="1" applyFont="1" applyFill="1" applyBorder="1"/>
    <xf numFmtId="170" fontId="19" fillId="4" borderId="16" xfId="0" applyNumberFormat="1" applyFont="1" applyFill="1" applyBorder="1"/>
    <xf numFmtId="167" fontId="19" fillId="4" borderId="0" xfId="19" applyNumberFormat="1" applyFont="1" applyFill="1" applyAlignment="1" applyProtection="1">
      <alignment horizontal="center" vertical="top"/>
    </xf>
    <xf numFmtId="167" fontId="33" fillId="4" borderId="0" xfId="18" applyNumberFormat="1" applyFont="1" applyFill="1" applyAlignment="1">
      <alignment vertical="top"/>
    </xf>
    <xf numFmtId="167" fontId="20" fillId="4" borderId="2" xfId="18" applyNumberFormat="1" applyFont="1" applyFill="1" applyBorder="1" applyAlignment="1">
      <alignment vertical="top"/>
    </xf>
    <xf numFmtId="167" fontId="20" fillId="4" borderId="3" xfId="18" applyNumberFormat="1" applyFont="1" applyFill="1" applyBorder="1" applyAlignment="1">
      <alignment vertical="top"/>
    </xf>
    <xf numFmtId="167" fontId="20" fillId="4" borderId="4" xfId="18" applyNumberFormat="1" applyFont="1" applyFill="1" applyBorder="1" applyAlignment="1">
      <alignment vertical="top"/>
    </xf>
    <xf numFmtId="0" fontId="24" fillId="4" borderId="0" xfId="18" applyFont="1" applyFill="1" applyAlignment="1">
      <alignment horizontal="centerContinuous" vertical="top"/>
    </xf>
    <xf numFmtId="14" fontId="19" fillId="4" borderId="0" xfId="18" applyNumberFormat="1" applyFont="1" applyFill="1" applyAlignment="1">
      <alignment horizontal="centerContinuous" vertical="top"/>
    </xf>
    <xf numFmtId="173" fontId="20" fillId="4" borderId="0" xfId="0" applyNumberFormat="1" applyFont="1" applyFill="1" applyAlignment="1">
      <alignment horizontal="right" vertical="center"/>
    </xf>
    <xf numFmtId="0" fontId="17" fillId="4" borderId="0" xfId="18" applyFont="1" applyFill="1" applyAlignment="1">
      <alignment vertical="top"/>
    </xf>
    <xf numFmtId="0" fontId="19" fillId="4" borderId="12" xfId="18" applyFont="1" applyFill="1" applyBorder="1" applyAlignment="1">
      <alignment horizontal="center" vertical="top"/>
    </xf>
    <xf numFmtId="164" fontId="19" fillId="4" borderId="14" xfId="1" applyNumberFormat="1" applyFont="1" applyFill="1" applyBorder="1" applyAlignment="1" applyProtection="1">
      <alignment vertical="top"/>
      <protection locked="0"/>
    </xf>
    <xf numFmtId="164" fontId="19" fillId="4" borderId="14" xfId="19" applyNumberFormat="1" applyFont="1" applyFill="1" applyBorder="1" applyAlignment="1" applyProtection="1">
      <alignment vertical="top"/>
      <protection locked="0"/>
    </xf>
    <xf numFmtId="3" fontId="18" fillId="4" borderId="0" xfId="18" applyNumberFormat="1" applyFont="1" applyFill="1" applyAlignment="1">
      <alignment horizontal="centerContinuous" vertical="top"/>
    </xf>
    <xf numFmtId="41" fontId="22" fillId="4" borderId="5" xfId="0" applyFont="1" applyFill="1" applyBorder="1" applyAlignment="1">
      <alignment horizontal="right"/>
    </xf>
    <xf numFmtId="41" fontId="21" fillId="4" borderId="15" xfId="0" applyFont="1" applyFill="1" applyBorder="1"/>
    <xf numFmtId="0" fontId="19" fillId="4" borderId="31" xfId="18" applyFont="1" applyFill="1" applyBorder="1" applyAlignment="1">
      <alignment horizontal="center" vertical="top"/>
    </xf>
    <xf numFmtId="0" fontId="19" fillId="4" borderId="31" xfId="18" applyFont="1" applyFill="1" applyBorder="1" applyAlignment="1">
      <alignment vertical="top"/>
    </xf>
    <xf numFmtId="167" fontId="19" fillId="4" borderId="31" xfId="18" applyNumberFormat="1" applyFont="1" applyFill="1" applyBorder="1" applyAlignment="1">
      <alignment vertical="top"/>
    </xf>
    <xf numFmtId="171" fontId="22" fillId="4" borderId="0" xfId="18" applyNumberFormat="1" applyFont="1" applyFill="1" applyAlignment="1">
      <alignment horizontal="centerContinuous" vertical="top"/>
    </xf>
    <xf numFmtId="174" fontId="19" fillId="4" borderId="0" xfId="22" applyNumberFormat="1" applyFont="1" applyFill="1" applyAlignment="1">
      <alignment horizontal="left" vertical="top"/>
    </xf>
    <xf numFmtId="9" fontId="19" fillId="4" borderId="0" xfId="1" applyFont="1" applyFill="1" applyAlignment="1">
      <alignment vertical="top"/>
    </xf>
    <xf numFmtId="3" fontId="21" fillId="4" borderId="0" xfId="18" applyNumberFormat="1" applyFont="1" applyFill="1" applyAlignment="1">
      <alignment horizontal="centerContinuous" vertical="top"/>
    </xf>
    <xf numFmtId="9" fontId="19" fillId="4" borderId="10" xfId="1" applyFont="1" applyFill="1" applyBorder="1" applyAlignment="1" applyProtection="1">
      <alignment vertical="top"/>
    </xf>
    <xf numFmtId="9" fontId="19" fillId="4" borderId="0" xfId="1" applyFont="1" applyFill="1" applyAlignment="1" applyProtection="1">
      <alignment vertical="top"/>
    </xf>
    <xf numFmtId="168" fontId="19" fillId="3" borderId="0" xfId="22" applyNumberFormat="1" applyFont="1" applyFill="1" applyProtection="1">
      <protection locked="0"/>
    </xf>
    <xf numFmtId="41" fontId="19" fillId="3" borderId="24" xfId="0" applyFont="1" applyFill="1" applyBorder="1" applyProtection="1">
      <protection locked="0"/>
    </xf>
    <xf numFmtId="41" fontId="19" fillId="3" borderId="24" xfId="0" applyFont="1" applyFill="1" applyBorder="1" applyAlignment="1" applyProtection="1">
      <alignment horizontal="center"/>
      <protection locked="0"/>
    </xf>
    <xf numFmtId="1" fontId="19" fillId="5" borderId="0" xfId="0" applyNumberFormat="1" applyFont="1" applyFill="1" applyAlignment="1">
      <alignment horizontal="center"/>
    </xf>
    <xf numFmtId="2" fontId="19" fillId="4" borderId="7" xfId="0" applyNumberFormat="1" applyFont="1" applyFill="1" applyBorder="1" applyAlignment="1">
      <alignment horizontal="center"/>
    </xf>
    <xf numFmtId="4" fontId="19" fillId="4" borderId="0" xfId="0" applyNumberFormat="1" applyFont="1" applyFill="1" applyProtection="1">
      <protection locked="0"/>
    </xf>
    <xf numFmtId="2" fontId="19" fillId="4" borderId="0" xfId="0" applyNumberFormat="1" applyFont="1" applyFill="1" applyProtection="1">
      <protection locked="0"/>
    </xf>
    <xf numFmtId="0" fontId="19" fillId="4" borderId="0" xfId="0" applyNumberFormat="1" applyFont="1" applyFill="1" applyProtection="1">
      <protection locked="0"/>
    </xf>
    <xf numFmtId="41" fontId="19" fillId="4" borderId="0" xfId="0" applyFont="1" applyFill="1" applyAlignment="1" applyProtection="1">
      <alignment horizontal="left" vertical="top"/>
      <protection locked="0"/>
    </xf>
    <xf numFmtId="166" fontId="19" fillId="4" borderId="0" xfId="0" applyNumberFormat="1" applyFont="1" applyFill="1" applyAlignment="1" applyProtection="1">
      <alignment horizontal="center" vertical="top"/>
      <protection locked="0"/>
    </xf>
    <xf numFmtId="41" fontId="19" fillId="4" borderId="0" xfId="0" applyFont="1" applyFill="1" applyAlignment="1" applyProtection="1">
      <alignment horizontal="center" vertical="top"/>
      <protection locked="0"/>
    </xf>
    <xf numFmtId="2" fontId="19" fillId="4" borderId="0" xfId="0" applyNumberFormat="1" applyFont="1" applyFill="1" applyAlignment="1" applyProtection="1">
      <alignment horizontal="right" vertical="top"/>
      <protection locked="0"/>
    </xf>
    <xf numFmtId="9" fontId="19" fillId="4" borderId="23" xfId="1" applyFont="1" applyFill="1" applyBorder="1" applyAlignment="1" applyProtection="1">
      <alignment vertical="top"/>
    </xf>
    <xf numFmtId="168" fontId="19" fillId="4" borderId="23" xfId="22" applyNumberFormat="1" applyFont="1" applyFill="1" applyBorder="1" applyAlignment="1" applyProtection="1">
      <alignment vertical="top"/>
    </xf>
    <xf numFmtId="170" fontId="22" fillId="4" borderId="6" xfId="0" applyNumberFormat="1" applyFont="1" applyFill="1" applyBorder="1"/>
    <xf numFmtId="164" fontId="35" fillId="4" borderId="0" xfId="1" applyNumberFormat="1" applyFont="1" applyFill="1" applyAlignment="1" applyProtection="1">
      <alignment horizontal="right"/>
    </xf>
    <xf numFmtId="9" fontId="35" fillId="4" borderId="0" xfId="1" applyFont="1" applyFill="1" applyProtection="1"/>
    <xf numFmtId="168" fontId="35" fillId="4" borderId="0" xfId="22" applyNumberFormat="1" applyFont="1" applyFill="1" applyProtection="1"/>
    <xf numFmtId="174" fontId="19" fillId="4" borderId="0" xfId="18" applyNumberFormat="1" applyFont="1" applyFill="1" applyAlignment="1">
      <alignment horizontal="centerContinuous" vertical="top"/>
    </xf>
    <xf numFmtId="0" fontId="19" fillId="4" borderId="0" xfId="0" applyNumberFormat="1" applyFont="1" applyFill="1" applyAlignment="1">
      <alignment horizontal="center"/>
    </xf>
    <xf numFmtId="0" fontId="30" fillId="4" borderId="0" xfId="0" applyNumberFormat="1" applyFont="1" applyFill="1" applyAlignment="1">
      <alignment vertical="center"/>
    </xf>
    <xf numFmtId="174" fontId="19" fillId="4" borderId="0" xfId="22" applyNumberFormat="1" applyFont="1" applyFill="1" applyAlignment="1">
      <alignment horizontal="centerContinuous" vertical="top"/>
    </xf>
    <xf numFmtId="4" fontId="0" fillId="4" borderId="0" xfId="0" applyNumberFormat="1" applyFill="1"/>
    <xf numFmtId="14" fontId="0" fillId="4" borderId="0" xfId="0" applyNumberFormat="1" applyFill="1"/>
    <xf numFmtId="0" fontId="12" fillId="2" borderId="20" xfId="24" applyFill="1" applyAlignment="1">
      <alignment horizontal="left"/>
    </xf>
    <xf numFmtId="0" fontId="12" fillId="2" borderId="0" xfId="24" applyFill="1" applyBorder="1" applyAlignment="1">
      <alignment horizontal="left"/>
    </xf>
    <xf numFmtId="14" fontId="12" fillId="2" borderId="20" xfId="24" applyNumberFormat="1" applyFill="1" applyAlignment="1">
      <alignment horizontal="center"/>
    </xf>
    <xf numFmtId="167" fontId="12" fillId="2" borderId="20" xfId="23" applyNumberFormat="1" applyFont="1" applyFill="1" applyBorder="1" applyAlignment="1">
      <alignment horizontal="left"/>
    </xf>
    <xf numFmtId="167" fontId="12" fillId="2" borderId="20" xfId="24" applyNumberFormat="1" applyFill="1" applyAlignment="1">
      <alignment horizontal="left"/>
    </xf>
    <xf numFmtId="167" fontId="12" fillId="2" borderId="0" xfId="23" applyNumberFormat="1" applyFont="1" applyFill="1" applyBorder="1" applyAlignment="1">
      <alignment horizontal="left"/>
    </xf>
    <xf numFmtId="10" fontId="12" fillId="2" borderId="0" xfId="1" applyNumberFormat="1" applyFont="1" applyFill="1" applyBorder="1" applyAlignment="1">
      <alignment horizontal="center"/>
    </xf>
    <xf numFmtId="41" fontId="11" fillId="2" borderId="0" xfId="0" applyFont="1" applyFill="1"/>
    <xf numFmtId="167" fontId="5" fillId="2" borderId="11" xfId="23" applyNumberFormat="1" applyFont="1" applyFill="1" applyBorder="1"/>
    <xf numFmtId="167" fontId="5" fillId="2" borderId="0" xfId="23" applyNumberFormat="1" applyFont="1" applyFill="1" applyBorder="1"/>
    <xf numFmtId="41" fontId="5" fillId="2" borderId="0" xfId="0" applyFont="1" applyFill="1" applyAlignment="1">
      <alignment horizontal="center"/>
    </xf>
    <xf numFmtId="0" fontId="13" fillId="2" borderId="0" xfId="25" applyFill="1" applyBorder="1"/>
    <xf numFmtId="167" fontId="11" fillId="2" borderId="0" xfId="26" applyNumberFormat="1" applyFill="1" applyBorder="1"/>
    <xf numFmtId="41" fontId="5" fillId="2" borderId="0" xfId="0" applyFont="1" applyFill="1"/>
    <xf numFmtId="2" fontId="11" fillId="2" borderId="22" xfId="26" applyNumberFormat="1" applyFill="1" applyBorder="1"/>
    <xf numFmtId="44" fontId="5" fillId="2" borderId="11" xfId="23" applyFont="1" applyFill="1" applyBorder="1"/>
    <xf numFmtId="41" fontId="5" fillId="2" borderId="11" xfId="0" applyFont="1" applyFill="1" applyBorder="1"/>
    <xf numFmtId="14" fontId="12" fillId="2" borderId="0" xfId="24" applyNumberFormat="1" applyFill="1" applyBorder="1" applyAlignment="1">
      <alignment horizontal="center"/>
    </xf>
    <xf numFmtId="2" fontId="11" fillId="2" borderId="0" xfId="26" applyNumberFormat="1" applyFill="1" applyBorder="1"/>
    <xf numFmtId="165" fontId="5" fillId="2" borderId="6" xfId="0" applyNumberFormat="1" applyFont="1" applyFill="1" applyBorder="1" applyAlignment="1">
      <alignment horizontal="center"/>
    </xf>
    <xf numFmtId="167" fontId="0" fillId="2" borderId="0" xfId="23" applyNumberFormat="1" applyFont="1" applyFill="1"/>
    <xf numFmtId="41" fontId="0" fillId="2" borderId="7" xfId="0" applyFill="1" applyBorder="1"/>
    <xf numFmtId="41" fontId="0" fillId="2" borderId="0" xfId="0" applyFill="1" applyAlignment="1">
      <alignment horizontal="right"/>
    </xf>
    <xf numFmtId="10" fontId="0" fillId="2" borderId="7" xfId="1" applyNumberFormat="1" applyFont="1" applyFill="1" applyBorder="1"/>
    <xf numFmtId="167" fontId="5" fillId="2" borderId="0" xfId="23" applyNumberFormat="1" applyFont="1" applyFill="1"/>
    <xf numFmtId="41" fontId="36" fillId="4" borderId="0" xfId="0" applyFont="1" applyFill="1" applyAlignment="1">
      <alignment horizontal="right"/>
    </xf>
    <xf numFmtId="41" fontId="21" fillId="5" borderId="2" xfId="0" applyFont="1" applyFill="1" applyBorder="1"/>
    <xf numFmtId="41" fontId="21" fillId="5" borderId="3" xfId="0" applyFont="1" applyFill="1" applyBorder="1"/>
    <xf numFmtId="41" fontId="21" fillId="7" borderId="4" xfId="0" applyFont="1" applyFill="1" applyBorder="1"/>
    <xf numFmtId="41" fontId="21" fillId="7" borderId="3" xfId="0" applyFont="1" applyFill="1" applyBorder="1"/>
    <xf numFmtId="41" fontId="27" fillId="4" borderId="0" xfId="0" applyFont="1" applyFill="1" applyAlignment="1">
      <alignment horizontal="right"/>
    </xf>
    <xf numFmtId="41" fontId="22" fillId="3" borderId="0" xfId="0" applyFont="1" applyFill="1" applyAlignment="1">
      <alignment horizontal="centerContinuous"/>
    </xf>
    <xf numFmtId="171" fontId="19" fillId="4" borderId="0" xfId="18" applyNumberFormat="1" applyFont="1" applyFill="1" applyAlignment="1">
      <alignment vertical="top"/>
    </xf>
    <xf numFmtId="41" fontId="22" fillId="4" borderId="0" xfId="0" applyFont="1" applyFill="1" applyAlignment="1">
      <alignment horizontal="center" vertical="center"/>
    </xf>
    <xf numFmtId="41" fontId="20" fillId="4" borderId="7" xfId="0" applyFont="1" applyFill="1" applyBorder="1" applyAlignment="1">
      <alignment horizontal="center"/>
    </xf>
    <xf numFmtId="41" fontId="22" fillId="4" borderId="0" xfId="0" applyFont="1" applyFill="1" applyAlignment="1">
      <alignment horizontal="center"/>
    </xf>
    <xf numFmtId="41" fontId="22" fillId="4" borderId="0" xfId="0" applyFont="1" applyFill="1" applyAlignment="1">
      <alignment horizontal="left" vertical="center"/>
    </xf>
    <xf numFmtId="41" fontId="20" fillId="4" borderId="7" xfId="0" applyFont="1" applyFill="1" applyBorder="1" applyAlignment="1">
      <alignment horizontal="left"/>
    </xf>
    <xf numFmtId="14" fontId="37" fillId="4" borderId="0" xfId="18" applyNumberFormat="1" applyFont="1" applyFill="1" applyAlignment="1">
      <alignment vertical="top"/>
    </xf>
    <xf numFmtId="14" fontId="37" fillId="4" borderId="0" xfId="18" applyNumberFormat="1" applyFont="1" applyFill="1" applyAlignment="1">
      <alignment horizontal="center" vertical="top"/>
    </xf>
    <xf numFmtId="171" fontId="37" fillId="4" borderId="0" xfId="21" applyNumberFormat="1" applyFont="1" applyFill="1" applyBorder="1" applyAlignment="1" applyProtection="1">
      <alignment vertical="top"/>
    </xf>
    <xf numFmtId="9" fontId="37" fillId="4" borderId="0" xfId="19" applyFont="1" applyFill="1" applyBorder="1" applyAlignment="1" applyProtection="1">
      <alignment vertical="top"/>
    </xf>
    <xf numFmtId="167" fontId="19" fillId="4" borderId="0" xfId="19" applyNumberFormat="1" applyFont="1" applyFill="1" applyAlignment="1">
      <alignment horizontal="center" vertical="top"/>
    </xf>
    <xf numFmtId="14" fontId="19" fillId="8" borderId="10" xfId="18" applyNumberFormat="1" applyFont="1" applyFill="1" applyBorder="1" applyAlignment="1" applyProtection="1">
      <alignment vertical="top"/>
      <protection locked="0"/>
    </xf>
    <xf numFmtId="41" fontId="19" fillId="4" borderId="17" xfId="0" applyFont="1" applyFill="1" applyBorder="1" applyAlignment="1">
      <alignment horizontal="right"/>
    </xf>
    <xf numFmtId="10" fontId="15" fillId="4" borderId="8" xfId="1" applyNumberFormat="1" applyFont="1" applyFill="1" applyBorder="1" applyAlignment="1">
      <alignment horizontal="right" vertical="center"/>
    </xf>
    <xf numFmtId="9" fontId="17" fillId="4" borderId="0" xfId="1" applyFont="1" applyFill="1"/>
    <xf numFmtId="9" fontId="17" fillId="4" borderId="1" xfId="1" applyFont="1" applyFill="1" applyBorder="1"/>
    <xf numFmtId="43" fontId="19" fillId="4" borderId="0" xfId="22" applyFont="1" applyFill="1" applyBorder="1"/>
    <xf numFmtId="41" fontId="34" fillId="4" borderId="0" xfId="0" applyFont="1" applyFill="1"/>
    <xf numFmtId="3" fontId="19" fillId="4" borderId="0" xfId="0" applyNumberFormat="1" applyFont="1" applyFill="1" applyAlignment="1">
      <alignment horizontal="right"/>
    </xf>
    <xf numFmtId="43" fontId="27" fillId="4" borderId="0" xfId="22" applyFont="1" applyFill="1"/>
    <xf numFmtId="167" fontId="19" fillId="4" borderId="0" xfId="18" applyNumberFormat="1" applyFont="1" applyFill="1" applyAlignment="1">
      <alignment horizontal="center" vertical="top"/>
    </xf>
    <xf numFmtId="14" fontId="19" fillId="3" borderId="0" xfId="18" applyNumberFormat="1" applyFont="1" applyFill="1" applyAlignment="1" applyProtection="1">
      <alignment vertical="top"/>
      <protection locked="0"/>
    </xf>
    <xf numFmtId="41" fontId="21" fillId="7" borderId="31" xfId="0" applyFont="1" applyFill="1" applyBorder="1"/>
    <xf numFmtId="41" fontId="22" fillId="7" borderId="0" xfId="0" applyFont="1" applyFill="1"/>
    <xf numFmtId="175" fontId="19" fillId="4" borderId="0" xfId="0" applyNumberFormat="1" applyFont="1" applyFill="1" applyAlignment="1" applyProtection="1">
      <alignment horizontal="center"/>
      <protection locked="0"/>
    </xf>
    <xf numFmtId="10" fontId="19" fillId="4" borderId="0" xfId="1" applyNumberFormat="1" applyFont="1" applyFill="1" applyAlignment="1" applyProtection="1">
      <alignment horizontal="left"/>
      <protection locked="0"/>
    </xf>
    <xf numFmtId="176" fontId="19" fillId="4" borderId="24" xfId="0" applyNumberFormat="1" applyFont="1" applyFill="1" applyBorder="1" applyAlignment="1">
      <alignment horizontal="center"/>
    </xf>
    <xf numFmtId="10" fontId="15" fillId="4" borderId="0" xfId="1" applyNumberFormat="1" applyFont="1" applyFill="1" applyBorder="1" applyAlignment="1">
      <alignment horizontal="right" vertical="center"/>
    </xf>
    <xf numFmtId="176" fontId="19" fillId="3" borderId="0" xfId="0" applyNumberFormat="1" applyFont="1" applyFill="1" applyProtection="1">
      <protection locked="0"/>
    </xf>
    <xf numFmtId="176" fontId="19" fillId="3" borderId="7" xfId="0" applyNumberFormat="1" applyFont="1" applyFill="1" applyBorder="1" applyProtection="1">
      <protection locked="0"/>
    </xf>
    <xf numFmtId="176" fontId="22" fillId="4" borderId="0" xfId="0" applyNumberFormat="1" applyFont="1" applyFill="1"/>
    <xf numFmtId="10" fontId="15" fillId="4" borderId="7" xfId="1" applyNumberFormat="1" applyFont="1" applyFill="1" applyBorder="1" applyAlignment="1">
      <alignment horizontal="right" vertical="center"/>
    </xf>
    <xf numFmtId="176" fontId="19" fillId="3" borderId="24" xfId="0" applyNumberFormat="1" applyFont="1" applyFill="1" applyBorder="1" applyAlignment="1" applyProtection="1">
      <alignment horizontal="center"/>
      <protection locked="0"/>
    </xf>
    <xf numFmtId="41" fontId="38" fillId="4" borderId="0" xfId="0" applyFont="1" applyFill="1" applyAlignment="1">
      <alignment horizontal="left" vertical="center"/>
    </xf>
    <xf numFmtId="49" fontId="22" fillId="2" borderId="0" xfId="0" applyNumberFormat="1" applyFont="1" applyFill="1" applyAlignment="1">
      <alignment horizontal="right"/>
    </xf>
    <xf numFmtId="10" fontId="19" fillId="2" borderId="0" xfId="1" applyNumberFormat="1" applyFont="1" applyFill="1"/>
    <xf numFmtId="9" fontId="19" fillId="4" borderId="0" xfId="0" applyNumberFormat="1" applyFont="1" applyFill="1" applyAlignment="1">
      <alignment horizontal="right"/>
    </xf>
    <xf numFmtId="168" fontId="19" fillId="4" borderId="0" xfId="0" applyNumberFormat="1" applyFont="1" applyFill="1"/>
    <xf numFmtId="0" fontId="19" fillId="4" borderId="0" xfId="29" applyFont="1" applyFill="1" applyAlignment="1">
      <alignment vertical="center"/>
    </xf>
    <xf numFmtId="41" fontId="39" fillId="4" borderId="0" xfId="0" applyFont="1" applyFill="1" applyAlignment="1">
      <alignment horizontal="centerContinuous"/>
    </xf>
    <xf numFmtId="41" fontId="15" fillId="4" borderId="0" xfId="0" applyFont="1" applyFill="1" applyAlignment="1">
      <alignment horizontal="centerContinuous"/>
    </xf>
    <xf numFmtId="41" fontId="37" fillId="4" borderId="0" xfId="0" applyFont="1" applyFill="1" applyAlignment="1">
      <alignment horizontal="center"/>
    </xf>
    <xf numFmtId="0" fontId="16" fillId="4" borderId="7" xfId="0" quotePrefix="1" applyNumberFormat="1" applyFont="1" applyFill="1" applyBorder="1" applyAlignment="1">
      <alignment horizontal="right"/>
    </xf>
    <xf numFmtId="165" fontId="19" fillId="4" borderId="8" xfId="0" applyNumberFormat="1" applyFont="1" applyFill="1" applyBorder="1" applyAlignment="1">
      <alignment horizontal="center" vertical="center"/>
    </xf>
    <xf numFmtId="41" fontId="19" fillId="4" borderId="12" xfId="0" applyFont="1" applyFill="1" applyBorder="1" applyAlignment="1">
      <alignment horizontal="center" vertical="center"/>
    </xf>
    <xf numFmtId="0" fontId="19" fillId="4" borderId="8" xfId="29" applyFont="1" applyFill="1" applyBorder="1" applyAlignment="1">
      <alignment vertical="center"/>
    </xf>
    <xf numFmtId="41" fontId="19" fillId="4" borderId="0" xfId="29" applyNumberFormat="1" applyFont="1" applyFill="1" applyAlignment="1">
      <alignment vertical="center"/>
    </xf>
    <xf numFmtId="165" fontId="19" fillId="4" borderId="23" xfId="0" applyNumberFormat="1" applyFont="1" applyFill="1" applyBorder="1" applyAlignment="1">
      <alignment horizontal="center" vertical="center"/>
    </xf>
    <xf numFmtId="41" fontId="19" fillId="4" borderId="0" xfId="0" applyFont="1" applyFill="1" applyAlignment="1">
      <alignment horizontal="center" vertical="center"/>
    </xf>
    <xf numFmtId="0" fontId="19" fillId="4" borderId="23" xfId="29" applyFont="1" applyFill="1" applyBorder="1" applyAlignment="1">
      <alignment vertical="center"/>
    </xf>
    <xf numFmtId="165" fontId="19" fillId="4" borderId="9" xfId="0" applyNumberFormat="1" applyFont="1" applyFill="1" applyBorder="1" applyAlignment="1">
      <alignment horizontal="center" vertical="center"/>
    </xf>
    <xf numFmtId="41" fontId="19" fillId="4" borderId="7" xfId="0" applyFont="1" applyFill="1" applyBorder="1" applyAlignment="1">
      <alignment horizontal="center" vertical="center"/>
    </xf>
    <xf numFmtId="0" fontId="19" fillId="4" borderId="9" xfId="29" applyFont="1" applyFill="1" applyBorder="1" applyAlignment="1">
      <alignment vertical="center"/>
    </xf>
    <xf numFmtId="41" fontId="22" fillId="5" borderId="2" xfId="0" applyFont="1" applyFill="1" applyBorder="1"/>
    <xf numFmtId="41" fontId="22" fillId="5" borderId="3" xfId="0" applyFont="1" applyFill="1" applyBorder="1"/>
    <xf numFmtId="0" fontId="27" fillId="4" borderId="0" xfId="29" applyFont="1" applyFill="1" applyAlignment="1">
      <alignment vertical="center"/>
    </xf>
    <xf numFmtId="167" fontId="19" fillId="3" borderId="0" xfId="23" applyNumberFormat="1" applyFont="1" applyFill="1" applyAlignment="1">
      <alignment horizontal="centerContinuous"/>
    </xf>
    <xf numFmtId="172" fontId="19" fillId="7" borderId="0" xfId="0" applyNumberFormat="1" applyFont="1" applyFill="1"/>
    <xf numFmtId="41" fontId="19" fillId="9" borderId="0" xfId="0" applyFont="1" applyFill="1"/>
    <xf numFmtId="10" fontId="30" fillId="4" borderId="0" xfId="0" applyNumberFormat="1" applyFont="1" applyFill="1" applyAlignment="1">
      <alignment horizontal="right" vertical="center"/>
    </xf>
    <xf numFmtId="10" fontId="19" fillId="4" borderId="0" xfId="0" applyNumberFormat="1" applyFont="1" applyFill="1"/>
    <xf numFmtId="41" fontId="20" fillId="10" borderId="0" xfId="0" applyFont="1" applyFill="1" applyAlignment="1">
      <alignment horizontal="centerContinuous"/>
    </xf>
    <xf numFmtId="10" fontId="20" fillId="10" borderId="0" xfId="0" applyNumberFormat="1" applyFont="1" applyFill="1" applyAlignment="1">
      <alignment horizontal="centerContinuous"/>
    </xf>
    <xf numFmtId="41" fontId="20" fillId="10" borderId="7" xfId="0" applyFont="1" applyFill="1" applyBorder="1" applyAlignment="1">
      <alignment horizontal="right"/>
    </xf>
    <xf numFmtId="10" fontId="20" fillId="10" borderId="7" xfId="0" applyNumberFormat="1" applyFont="1" applyFill="1" applyBorder="1" applyAlignment="1">
      <alignment horizontal="right"/>
    </xf>
    <xf numFmtId="41" fontId="19" fillId="10" borderId="0" xfId="0" applyFont="1" applyFill="1"/>
    <xf numFmtId="10" fontId="19" fillId="10" borderId="0" xfId="0" applyNumberFormat="1" applyFont="1" applyFill="1"/>
    <xf numFmtId="164" fontId="19" fillId="10" borderId="0" xfId="1" applyNumberFormat="1" applyFont="1" applyFill="1" applyProtection="1"/>
    <xf numFmtId="10" fontId="19" fillId="10" borderId="0" xfId="1" applyNumberFormat="1" applyFont="1" applyFill="1" applyBorder="1" applyProtection="1"/>
    <xf numFmtId="10" fontId="19" fillId="10" borderId="0" xfId="1" applyNumberFormat="1" applyFont="1" applyFill="1" applyBorder="1"/>
    <xf numFmtId="41" fontId="19" fillId="10" borderId="1" xfId="0" applyFont="1" applyFill="1" applyBorder="1"/>
    <xf numFmtId="41" fontId="26" fillId="10" borderId="0" xfId="0" applyFont="1" applyFill="1"/>
    <xf numFmtId="10" fontId="26" fillId="10" borderId="0" xfId="1" applyNumberFormat="1" applyFont="1" applyFill="1" applyBorder="1"/>
    <xf numFmtId="41" fontId="21" fillId="10" borderId="2" xfId="0" applyFont="1" applyFill="1" applyBorder="1"/>
    <xf numFmtId="10" fontId="21" fillId="10" borderId="4" xfId="1" applyNumberFormat="1" applyFont="1" applyFill="1" applyBorder="1"/>
    <xf numFmtId="41" fontId="20" fillId="10" borderId="1" xfId="0" applyFont="1" applyFill="1" applyBorder="1"/>
    <xf numFmtId="41" fontId="20" fillId="10" borderId="0" xfId="0" applyFont="1" applyFill="1"/>
    <xf numFmtId="10" fontId="20" fillId="10" borderId="0" xfId="1" applyNumberFormat="1" applyFont="1" applyFill="1" applyBorder="1"/>
    <xf numFmtId="41" fontId="19" fillId="10" borderId="7" xfId="0" applyFont="1" applyFill="1" applyBorder="1"/>
    <xf numFmtId="10" fontId="19" fillId="10" borderId="7" xfId="1" applyNumberFormat="1" applyFont="1" applyFill="1" applyBorder="1"/>
    <xf numFmtId="41" fontId="28" fillId="10" borderId="0" xfId="0" applyFont="1" applyFill="1"/>
    <xf numFmtId="10" fontId="28" fillId="10" borderId="0" xfId="1" applyNumberFormat="1" applyFont="1" applyFill="1" applyBorder="1"/>
    <xf numFmtId="10" fontId="19" fillId="10" borderId="1" xfId="1" applyNumberFormat="1" applyFont="1" applyFill="1" applyBorder="1"/>
    <xf numFmtId="10" fontId="22" fillId="4" borderId="0" xfId="0" applyNumberFormat="1" applyFont="1" applyFill="1"/>
    <xf numFmtId="10" fontId="19" fillId="4" borderId="0" xfId="0" applyNumberFormat="1" applyFont="1" applyFill="1" applyProtection="1">
      <protection locked="0"/>
    </xf>
    <xf numFmtId="10" fontId="19" fillId="4" borderId="0" xfId="0" applyNumberFormat="1" applyFont="1" applyFill="1" applyAlignment="1" applyProtection="1">
      <alignment horizontal="right"/>
      <protection locked="0"/>
    </xf>
    <xf numFmtId="10" fontId="22" fillId="4" borderId="0" xfId="0" applyNumberFormat="1" applyFont="1" applyFill="1" applyProtection="1">
      <protection locked="0"/>
    </xf>
    <xf numFmtId="10" fontId="27" fillId="4" borderId="0" xfId="23" applyNumberFormat="1" applyFont="1" applyFill="1" applyProtection="1"/>
    <xf numFmtId="10" fontId="19" fillId="10" borderId="0" xfId="1" applyNumberFormat="1" applyFont="1" applyFill="1" applyBorder="1" applyAlignment="1" applyProtection="1">
      <alignment horizontal="right"/>
    </xf>
    <xf numFmtId="10" fontId="20" fillId="10" borderId="1" xfId="1" applyNumberFormat="1" applyFont="1" applyFill="1" applyBorder="1"/>
    <xf numFmtId="10" fontId="26" fillId="10" borderId="0" xfId="0" applyNumberFormat="1" applyFont="1" applyFill="1"/>
    <xf numFmtId="172" fontId="19" fillId="10" borderId="0" xfId="0" applyNumberFormat="1" applyFont="1" applyFill="1"/>
    <xf numFmtId="41" fontId="21" fillId="10" borderId="0" xfId="0" applyFont="1" applyFill="1"/>
    <xf numFmtId="10" fontId="21" fillId="10" borderId="0" xfId="0" applyNumberFormat="1" applyFont="1" applyFill="1"/>
    <xf numFmtId="173" fontId="20" fillId="7" borderId="0" xfId="0" applyNumberFormat="1" applyFont="1" applyFill="1" applyAlignment="1">
      <alignment horizontal="center" vertical="center"/>
    </xf>
    <xf numFmtId="173" fontId="20" fillId="7" borderId="0" xfId="0" applyNumberFormat="1" applyFont="1" applyFill="1" applyAlignment="1">
      <alignment horizontal="centerContinuous"/>
    </xf>
    <xf numFmtId="41" fontId="19" fillId="7" borderId="0" xfId="0" applyFont="1" applyFill="1" applyAlignment="1">
      <alignment horizontal="centerContinuous"/>
    </xf>
    <xf numFmtId="10" fontId="19" fillId="10" borderId="0" xfId="0" applyNumberFormat="1" applyFont="1" applyFill="1" applyAlignment="1">
      <alignment horizontal="right"/>
    </xf>
    <xf numFmtId="175" fontId="19" fillId="7" borderId="0" xfId="0" applyNumberFormat="1" applyFont="1" applyFill="1"/>
    <xf numFmtId="175" fontId="19" fillId="7" borderId="1" xfId="0" applyNumberFormat="1" applyFont="1" applyFill="1" applyBorder="1"/>
    <xf numFmtId="10" fontId="19" fillId="10" borderId="1" xfId="1" applyNumberFormat="1" applyFont="1" applyFill="1" applyBorder="1" applyAlignment="1" applyProtection="1">
      <alignment horizontal="right"/>
    </xf>
    <xf numFmtId="175" fontId="26" fillId="7" borderId="0" xfId="0" applyNumberFormat="1" applyFont="1" applyFill="1"/>
    <xf numFmtId="10" fontId="26" fillId="10" borderId="0" xfId="1" applyNumberFormat="1" applyFont="1" applyFill="1" applyBorder="1" applyAlignment="1" applyProtection="1">
      <alignment horizontal="right"/>
    </xf>
    <xf numFmtId="10" fontId="19" fillId="10" borderId="7" xfId="1" applyNumberFormat="1" applyFont="1" applyFill="1" applyBorder="1" applyAlignment="1" applyProtection="1">
      <alignment horizontal="right"/>
    </xf>
    <xf numFmtId="41" fontId="21" fillId="7" borderId="2" xfId="0" applyFont="1" applyFill="1" applyBorder="1"/>
    <xf numFmtId="175" fontId="21" fillId="7" borderId="4" xfId="0" applyNumberFormat="1" applyFont="1" applyFill="1" applyBorder="1"/>
    <xf numFmtId="10" fontId="21" fillId="10" borderId="4" xfId="1" applyNumberFormat="1" applyFont="1" applyFill="1" applyBorder="1" applyAlignment="1" applyProtection="1">
      <alignment horizontal="right"/>
    </xf>
    <xf numFmtId="41" fontId="19" fillId="7" borderId="12" xfId="0" applyFont="1" applyFill="1" applyBorder="1"/>
    <xf numFmtId="175" fontId="19" fillId="7" borderId="18" xfId="0" applyNumberFormat="1" applyFont="1" applyFill="1" applyBorder="1"/>
    <xf numFmtId="175" fontId="19" fillId="7" borderId="14" xfId="0" applyNumberFormat="1" applyFont="1" applyFill="1" applyBorder="1"/>
    <xf numFmtId="175" fontId="19" fillId="7" borderId="16" xfId="0" applyNumberFormat="1" applyFont="1" applyFill="1" applyBorder="1"/>
    <xf numFmtId="175" fontId="19" fillId="7" borderId="7" xfId="0" applyNumberFormat="1" applyFont="1" applyFill="1" applyBorder="1"/>
    <xf numFmtId="175" fontId="22" fillId="7" borderId="7" xfId="0" applyNumberFormat="1" applyFont="1" applyFill="1" applyBorder="1"/>
    <xf numFmtId="175" fontId="20" fillId="7" borderId="1" xfId="0" applyNumberFormat="1" applyFont="1" applyFill="1" applyBorder="1"/>
    <xf numFmtId="10" fontId="20" fillId="10" borderId="1" xfId="1" applyNumberFormat="1" applyFont="1" applyFill="1" applyBorder="1" applyAlignment="1" applyProtection="1">
      <alignment horizontal="right"/>
    </xf>
    <xf numFmtId="175" fontId="19" fillId="2" borderId="0" xfId="0" applyNumberFormat="1" applyFont="1" applyFill="1"/>
    <xf numFmtId="41" fontId="20" fillId="7" borderId="0" xfId="0" applyFont="1" applyFill="1"/>
    <xf numFmtId="175" fontId="20" fillId="7" borderId="0" xfId="0" applyNumberFormat="1" applyFont="1" applyFill="1"/>
    <xf numFmtId="10" fontId="20" fillId="10" borderId="0" xfId="1" applyNumberFormat="1" applyFont="1" applyFill="1" applyBorder="1" applyAlignment="1" applyProtection="1">
      <alignment horizontal="right"/>
    </xf>
    <xf numFmtId="41" fontId="28" fillId="7" borderId="0" xfId="0" applyFont="1" applyFill="1"/>
    <xf numFmtId="175" fontId="28" fillId="7" borderId="0" xfId="0" applyNumberFormat="1" applyFont="1" applyFill="1"/>
    <xf numFmtId="10" fontId="28" fillId="10" borderId="0" xfId="1" applyNumberFormat="1" applyFont="1" applyFill="1" applyBorder="1" applyAlignment="1" applyProtection="1">
      <alignment horizontal="right"/>
    </xf>
    <xf numFmtId="175" fontId="21" fillId="7" borderId="3" xfId="0" applyNumberFormat="1" applyFont="1" applyFill="1" applyBorder="1"/>
    <xf numFmtId="41" fontId="26" fillId="4" borderId="0" xfId="0" applyFont="1" applyFill="1"/>
    <xf numFmtId="10" fontId="26" fillId="4" borderId="0" xfId="0" applyNumberFormat="1" applyFont="1" applyFill="1"/>
    <xf numFmtId="10" fontId="19" fillId="4" borderId="0" xfId="0" applyNumberFormat="1" applyFont="1" applyFill="1" applyAlignment="1">
      <alignment horizontal="right"/>
    </xf>
    <xf numFmtId="10" fontId="21" fillId="4" borderId="0" xfId="0" applyNumberFormat="1" applyFont="1" applyFill="1"/>
    <xf numFmtId="164" fontId="19" fillId="4" borderId="0" xfId="1" applyNumberFormat="1" applyFont="1" applyFill="1" applyProtection="1">
      <protection locked="0"/>
    </xf>
    <xf numFmtId="41" fontId="21" fillId="4" borderId="0" xfId="0" applyFont="1" applyFill="1" applyProtection="1">
      <protection locked="0"/>
    </xf>
    <xf numFmtId="41" fontId="19" fillId="2" borderId="0" xfId="0" applyFont="1" applyFill="1" applyProtection="1">
      <protection locked="0"/>
    </xf>
    <xf numFmtId="41" fontId="19" fillId="4" borderId="0" xfId="0" applyFont="1" applyFill="1" applyAlignment="1" applyProtection="1">
      <alignment horizontal="center"/>
      <protection locked="0"/>
    </xf>
    <xf numFmtId="41" fontId="19" fillId="4" borderId="0" xfId="0" applyFont="1" applyFill="1" applyAlignment="1" applyProtection="1">
      <alignment horizontal="left"/>
      <protection locked="0"/>
    </xf>
    <xf numFmtId="164" fontId="19" fillId="4" borderId="0" xfId="1" applyNumberFormat="1" applyFont="1" applyFill="1" applyAlignment="1" applyProtection="1">
      <alignment horizontal="center"/>
      <protection locked="0"/>
    </xf>
    <xf numFmtId="164" fontId="19" fillId="4" borderId="0" xfId="1" applyNumberFormat="1" applyFont="1" applyFill="1" applyAlignment="1" applyProtection="1">
      <alignment horizontal="left"/>
      <protection locked="0"/>
    </xf>
    <xf numFmtId="41" fontId="21" fillId="4" borderId="0" xfId="0" applyFont="1" applyFill="1" applyAlignment="1" applyProtection="1">
      <alignment horizontal="center"/>
      <protection locked="0"/>
    </xf>
    <xf numFmtId="41" fontId="19" fillId="2" borderId="0" xfId="0" applyFont="1" applyFill="1" applyAlignment="1" applyProtection="1">
      <alignment horizontal="center"/>
      <protection locked="0"/>
    </xf>
    <xf numFmtId="41" fontId="19" fillId="2" borderId="0" xfId="0" applyFont="1" applyFill="1" applyAlignment="1" applyProtection="1">
      <alignment horizontal="left"/>
      <protection locked="0"/>
    </xf>
    <xf numFmtId="41" fontId="22" fillId="4" borderId="0" xfId="0" applyFont="1" applyFill="1" applyAlignment="1" applyProtection="1">
      <alignment horizontal="center"/>
      <protection locked="0"/>
    </xf>
    <xf numFmtId="41" fontId="22" fillId="4" borderId="0" xfId="0" applyFont="1" applyFill="1" applyAlignment="1" applyProtection="1">
      <alignment horizontal="left"/>
      <protection locked="0"/>
    </xf>
    <xf numFmtId="41" fontId="19" fillId="3" borderId="7" xfId="0" applyFont="1" applyFill="1" applyBorder="1"/>
    <xf numFmtId="168" fontId="19" fillId="4" borderId="0" xfId="22" applyNumberFormat="1" applyFont="1" applyFill="1" applyBorder="1"/>
    <xf numFmtId="41" fontId="19" fillId="4" borderId="31" xfId="0" applyFont="1" applyFill="1" applyBorder="1"/>
    <xf numFmtId="9" fontId="19" fillId="4" borderId="31" xfId="1" applyFont="1" applyFill="1" applyBorder="1"/>
    <xf numFmtId="43" fontId="19" fillId="4" borderId="0" xfId="22" applyFont="1" applyFill="1" applyProtection="1"/>
    <xf numFmtId="41" fontId="22" fillId="4" borderId="0" xfId="0" applyFont="1" applyFill="1" applyAlignment="1">
      <alignment horizontal="centerContinuous"/>
    </xf>
    <xf numFmtId="41" fontId="15" fillId="4" borderId="23" xfId="1" applyNumberFormat="1" applyFont="1" applyFill="1" applyBorder="1" applyAlignment="1">
      <alignment horizontal="right" vertical="center"/>
    </xf>
    <xf numFmtId="41" fontId="15" fillId="4" borderId="9" xfId="1" applyNumberFormat="1" applyFont="1" applyFill="1" applyBorder="1" applyAlignment="1">
      <alignment horizontal="right" vertical="center"/>
    </xf>
    <xf numFmtId="41" fontId="19" fillId="4" borderId="9" xfId="0" applyFont="1" applyFill="1" applyBorder="1"/>
    <xf numFmtId="41" fontId="22" fillId="4" borderId="7" xfId="0" applyFont="1" applyFill="1" applyBorder="1" applyAlignment="1">
      <alignment horizontal="right"/>
    </xf>
    <xf numFmtId="168" fontId="22" fillId="4" borderId="0" xfId="22" applyNumberFormat="1" applyFont="1" applyFill="1"/>
    <xf numFmtId="168" fontId="22" fillId="4" borderId="7" xfId="22" applyNumberFormat="1" applyFont="1" applyFill="1" applyBorder="1"/>
    <xf numFmtId="41" fontId="22" fillId="4" borderId="31" xfId="0" applyFont="1" applyFill="1" applyBorder="1"/>
    <xf numFmtId="9" fontId="19" fillId="4" borderId="0" xfId="1" applyFont="1" applyFill="1" applyBorder="1"/>
    <xf numFmtId="41" fontId="19" fillId="3" borderId="0" xfId="0" applyFont="1" applyFill="1"/>
    <xf numFmtId="41" fontId="21" fillId="4" borderId="7" xfId="0" applyFont="1" applyFill="1" applyBorder="1" applyAlignment="1">
      <alignment horizontal="right"/>
    </xf>
    <xf numFmtId="41" fontId="21" fillId="4" borderId="0" xfId="0" applyFont="1" applyFill="1" applyAlignment="1">
      <alignment horizontal="right"/>
    </xf>
    <xf numFmtId="41" fontId="17" fillId="4" borderId="0" xfId="0" applyFont="1" applyFill="1"/>
    <xf numFmtId="41" fontId="24" fillId="4" borderId="0" xfId="0" applyFont="1" applyFill="1" applyAlignment="1">
      <alignment horizontal="centerContinuous" vertical="center"/>
    </xf>
    <xf numFmtId="41" fontId="17" fillId="4" borderId="0" xfId="0" applyFont="1" applyFill="1" applyAlignment="1">
      <alignment horizontal="centerContinuous"/>
    </xf>
    <xf numFmtId="41" fontId="17" fillId="4" borderId="0" xfId="0" applyFont="1" applyFill="1" applyAlignment="1">
      <alignment horizontal="left"/>
    </xf>
    <xf numFmtId="41" fontId="19" fillId="4" borderId="0" xfId="0" applyFont="1" applyFill="1" applyAlignment="1">
      <alignment horizontal="left" vertical="center"/>
    </xf>
    <xf numFmtId="41" fontId="20" fillId="4" borderId="0" xfId="0" applyFont="1" applyFill="1" applyAlignment="1">
      <alignment horizontal="left"/>
    </xf>
    <xf numFmtId="41" fontId="19" fillId="4" borderId="7" xfId="0" applyFont="1" applyFill="1" applyBorder="1" applyAlignment="1">
      <alignment horizontal="center"/>
    </xf>
    <xf numFmtId="177" fontId="19" fillId="4" borderId="0" xfId="1" applyNumberFormat="1" applyFont="1" applyFill="1"/>
    <xf numFmtId="165" fontId="22" fillId="4" borderId="0" xfId="0" applyNumberFormat="1" applyFont="1" applyFill="1" applyAlignment="1">
      <alignment horizontal="center"/>
    </xf>
    <xf numFmtId="41" fontId="21" fillId="11" borderId="0" xfId="0" applyFont="1" applyFill="1" applyProtection="1">
      <protection locked="0"/>
    </xf>
    <xf numFmtId="41" fontId="21" fillId="11" borderId="0" xfId="0" applyFont="1" applyFill="1"/>
    <xf numFmtId="1" fontId="0" fillId="0" borderId="0" xfId="0" applyNumberFormat="1"/>
    <xf numFmtId="41" fontId="0" fillId="0" borderId="0" xfId="0" applyAlignment="1">
      <alignment horizontal="left" indent="2"/>
    </xf>
    <xf numFmtId="0" fontId="0" fillId="0" borderId="0" xfId="0" applyNumberFormat="1"/>
    <xf numFmtId="41" fontId="22" fillId="11" borderId="0" xfId="0" applyFont="1" applyFill="1" applyProtection="1">
      <protection locked="0"/>
    </xf>
    <xf numFmtId="41" fontId="22" fillId="11" borderId="0" xfId="0" applyFont="1" applyFill="1"/>
    <xf numFmtId="167" fontId="22" fillId="11" borderId="0" xfId="23" applyNumberFormat="1" applyFont="1" applyFill="1"/>
    <xf numFmtId="41" fontId="19" fillId="12" borderId="0" xfId="0" applyFont="1" applyFill="1" applyProtection="1">
      <protection locked="0"/>
    </xf>
    <xf numFmtId="41" fontId="21" fillId="12" borderId="0" xfId="0" applyFont="1" applyFill="1" applyProtection="1">
      <protection locked="0"/>
    </xf>
    <xf numFmtId="41" fontId="21" fillId="12" borderId="0" xfId="0" applyFont="1" applyFill="1"/>
    <xf numFmtId="41" fontId="19" fillId="12" borderId="0" xfId="0" applyFont="1" applyFill="1"/>
    <xf numFmtId="41" fontId="21" fillId="4" borderId="0" xfId="0" applyFont="1" applyFill="1" applyAlignment="1" applyProtection="1">
      <alignment horizontal="left"/>
      <protection locked="0"/>
    </xf>
    <xf numFmtId="41" fontId="19" fillId="5" borderId="25" xfId="0" applyFont="1" applyFill="1" applyBorder="1" applyAlignment="1">
      <alignment horizontal="center"/>
    </xf>
    <xf numFmtId="41" fontId="19" fillId="5" borderId="28" xfId="0" applyFont="1" applyFill="1" applyBorder="1" applyAlignment="1">
      <alignment horizontal="center"/>
    </xf>
    <xf numFmtId="41" fontId="19" fillId="5" borderId="30" xfId="0" applyFont="1" applyFill="1" applyBorder="1" applyAlignment="1">
      <alignment horizontal="center"/>
    </xf>
    <xf numFmtId="172" fontId="19" fillId="3" borderId="0" xfId="23" applyNumberFormat="1" applyFont="1" applyFill="1" applyAlignment="1">
      <alignment horizontal="centerContinuous"/>
    </xf>
    <xf numFmtId="41" fontId="19" fillId="4" borderId="0" xfId="0" applyFont="1" applyFill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41" fontId="20" fillId="4" borderId="0" xfId="0" applyFont="1" applyFill="1" applyProtection="1">
      <protection locked="0"/>
    </xf>
    <xf numFmtId="172" fontId="19" fillId="4" borderId="0" xfId="0" applyNumberFormat="1" applyFont="1" applyFill="1"/>
    <xf numFmtId="9" fontId="19" fillId="4" borderId="0" xfId="0" applyNumberFormat="1" applyFont="1" applyFill="1"/>
    <xf numFmtId="41" fontId="43" fillId="4" borderId="0" xfId="0" applyFont="1" applyFill="1"/>
    <xf numFmtId="173" fontId="44" fillId="4" borderId="0" xfId="0" applyNumberFormat="1" applyFont="1" applyFill="1" applyAlignment="1">
      <alignment horizontal="center" vertical="center"/>
    </xf>
    <xf numFmtId="41" fontId="45" fillId="4" borderId="0" xfId="0" applyFont="1" applyFill="1" applyAlignment="1">
      <alignment horizontal="center"/>
    </xf>
    <xf numFmtId="41" fontId="46" fillId="4" borderId="0" xfId="0" applyFont="1" applyFill="1" applyAlignment="1">
      <alignment horizontal="center"/>
    </xf>
    <xf numFmtId="38" fontId="19" fillId="4" borderId="0" xfId="22" applyNumberFormat="1" applyFont="1" applyFill="1" applyBorder="1" applyAlignment="1" applyProtection="1">
      <alignment horizontal="right"/>
    </xf>
    <xf numFmtId="9" fontId="47" fillId="4" borderId="0" xfId="1" applyFont="1" applyFill="1" applyBorder="1" applyAlignment="1" applyProtection="1">
      <alignment horizontal="center"/>
      <protection locked="0"/>
    </xf>
    <xf numFmtId="0" fontId="19" fillId="4" borderId="0" xfId="0" applyNumberFormat="1" applyFont="1" applyFill="1" applyAlignment="1">
      <alignment horizontal="right"/>
    </xf>
    <xf numFmtId="43" fontId="19" fillId="4" borderId="0" xfId="22" applyFont="1" applyFill="1" applyProtection="1"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68" fontId="19" fillId="13" borderId="0" xfId="22" applyNumberFormat="1" applyFont="1" applyFill="1"/>
    <xf numFmtId="168" fontId="19" fillId="13" borderId="7" xfId="22" applyNumberFormat="1" applyFont="1" applyFill="1" applyBorder="1"/>
    <xf numFmtId="0" fontId="48" fillId="4" borderId="0" xfId="0" applyNumberFormat="1" applyFont="1" applyFill="1"/>
    <xf numFmtId="41" fontId="48" fillId="4" borderId="0" xfId="0" applyFont="1" applyFill="1"/>
    <xf numFmtId="41" fontId="20" fillId="4" borderId="7" xfId="0" applyFont="1" applyFill="1" applyBorder="1"/>
    <xf numFmtId="41" fontId="21" fillId="4" borderId="0" xfId="0" applyFont="1" applyFill="1" applyAlignment="1">
      <alignment horizontal="centerContinuous"/>
    </xf>
    <xf numFmtId="41" fontId="0" fillId="4" borderId="0" xfId="0" applyFill="1" applyAlignment="1">
      <alignment horizontal="centerContinuous"/>
    </xf>
    <xf numFmtId="167" fontId="19" fillId="4" borderId="0" xfId="23" applyNumberFormat="1" applyFont="1" applyFill="1"/>
    <xf numFmtId="41" fontId="0" fillId="4" borderId="0" xfId="0" applyFill="1" applyAlignment="1">
      <alignment vertical="center"/>
    </xf>
    <xf numFmtId="41" fontId="19" fillId="4" borderId="0" xfId="0" applyFont="1" applyFill="1" applyAlignment="1">
      <alignment vertical="center"/>
    </xf>
    <xf numFmtId="41" fontId="19" fillId="4" borderId="0" xfId="0" applyFont="1" applyFill="1" applyAlignment="1">
      <alignment wrapText="1"/>
    </xf>
    <xf numFmtId="41" fontId="40" fillId="4" borderId="0" xfId="0" applyFont="1" applyFill="1"/>
    <xf numFmtId="167" fontId="22" fillId="4" borderId="34" xfId="23" applyNumberFormat="1" applyFont="1" applyFill="1" applyBorder="1"/>
    <xf numFmtId="167" fontId="22" fillId="4" borderId="0" xfId="23" applyNumberFormat="1" applyFont="1" applyFill="1" applyBorder="1"/>
    <xf numFmtId="15" fontId="19" fillId="4" borderId="0" xfId="0" applyNumberFormat="1" applyFont="1" applyFill="1"/>
    <xf numFmtId="167" fontId="21" fillId="4" borderId="0" xfId="23" applyNumberFormat="1" applyFont="1" applyFill="1"/>
    <xf numFmtId="167" fontId="21" fillId="4" borderId="11" xfId="23" applyNumberFormat="1" applyFont="1" applyFill="1" applyBorder="1"/>
    <xf numFmtId="41" fontId="41" fillId="4" borderId="0" xfId="0" applyFont="1" applyFill="1"/>
    <xf numFmtId="41" fontId="19" fillId="4" borderId="0" xfId="0" applyFont="1" applyFill="1"/>
    <xf numFmtId="41" fontId="20" fillId="4" borderId="7" xfId="0" applyFont="1" applyFill="1" applyBorder="1"/>
    <xf numFmtId="174" fontId="19" fillId="4" borderId="0" xfId="22" applyNumberFormat="1" applyFont="1" applyFill="1" applyAlignment="1">
      <alignment horizontal="center" vertical="top"/>
    </xf>
    <xf numFmtId="14" fontId="21" fillId="4" borderId="33" xfId="18" quotePrefix="1" applyNumberFormat="1" applyFont="1" applyFill="1" applyBorder="1" applyAlignment="1">
      <alignment horizontal="center" vertical="top"/>
    </xf>
    <xf numFmtId="0" fontId="22" fillId="4" borderId="19" xfId="18" applyFont="1" applyFill="1" applyBorder="1" applyAlignment="1">
      <alignment horizontal="center" vertical="top"/>
    </xf>
    <xf numFmtId="0" fontId="22" fillId="4" borderId="12" xfId="18" applyFont="1" applyFill="1" applyBorder="1" applyAlignment="1">
      <alignment horizontal="center" vertical="top"/>
    </xf>
    <xf numFmtId="0" fontId="22" fillId="4" borderId="18" xfId="18" applyFont="1" applyFill="1" applyBorder="1" applyAlignment="1">
      <alignment horizontal="center" vertical="top"/>
    </xf>
    <xf numFmtId="14" fontId="21" fillId="4" borderId="0" xfId="18" quotePrefix="1" applyNumberFormat="1" applyFont="1" applyFill="1" applyAlignment="1">
      <alignment horizontal="center" vertical="top"/>
    </xf>
    <xf numFmtId="0" fontId="21" fillId="4" borderId="0" xfId="18" applyFont="1" applyFill="1" applyAlignment="1">
      <alignment horizontal="center" vertical="top"/>
    </xf>
    <xf numFmtId="14" fontId="21" fillId="4" borderId="0" xfId="18" applyNumberFormat="1" applyFont="1" applyFill="1" applyAlignment="1">
      <alignment horizontal="center" vertical="top"/>
    </xf>
    <xf numFmtId="41" fontId="19" fillId="4" borderId="0" xfId="0" applyFont="1" applyFill="1" applyAlignment="1">
      <alignment horizontal="center"/>
    </xf>
    <xf numFmtId="0" fontId="12" fillId="2" borderId="20" xfId="24" applyFill="1" applyAlignment="1">
      <alignment horizontal="left"/>
    </xf>
    <xf numFmtId="0" fontId="12" fillId="2" borderId="0" xfId="24" applyFill="1" applyBorder="1" applyAlignment="1">
      <alignment horizontal="left"/>
    </xf>
  </cellXfs>
  <cellStyles count="30">
    <cellStyle name="Comma" xfId="22" builtinId="3"/>
    <cellStyle name="Comma 2" xfId="20" xr:uid="{00000000-0005-0000-0000-000001000000}"/>
    <cellStyle name="Currency" xfId="23" builtinId="4"/>
    <cellStyle name="Currency 2" xfId="21" xr:uid="{00000000-0005-0000-0000-000003000000}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Heading 2" xfId="24" builtinId="17"/>
    <cellStyle name="Heading 4" xfId="25" builtinId="19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Montant du tableau" xfId="28" xr:uid="{00000000-0005-0000-0000-000011000000}"/>
    <cellStyle name="Normal" xfId="0" builtinId="0"/>
    <cellStyle name="Normal 2" xfId="13" xr:uid="{00000000-0005-0000-0000-000013000000}"/>
    <cellStyle name="Normal 2 2" xfId="29" xr:uid="{00000000-0005-0000-0000-000014000000}"/>
    <cellStyle name="Normal 3" xfId="15" xr:uid="{00000000-0005-0000-0000-000015000000}"/>
    <cellStyle name="Normal 4" xfId="18" xr:uid="{00000000-0005-0000-0000-000016000000}"/>
    <cellStyle name="Normal 4_Lease Renewals &amp; Vacancy Rent" xfId="27" xr:uid="{00000000-0005-0000-0000-000017000000}"/>
    <cellStyle name="Normal 5 2" xfId="17" xr:uid="{00000000-0005-0000-0000-000019000000}"/>
    <cellStyle name="Percent" xfId="1" builtinId="5"/>
    <cellStyle name="Percent 2" xfId="2" xr:uid="{00000000-0005-0000-0000-00001F000000}"/>
    <cellStyle name="Percent 2 2" xfId="14" xr:uid="{00000000-0005-0000-0000-000020000000}"/>
    <cellStyle name="Percent 3" xfId="16" xr:uid="{00000000-0005-0000-0000-000021000000}"/>
    <cellStyle name="Percent 4" xfId="19" xr:uid="{00000000-0005-0000-0000-000022000000}"/>
    <cellStyle name="Total" xfId="26" builtinId="25"/>
  </cellStyles>
  <dxfs count="27">
    <dxf>
      <border>
        <bottom style="thin">
          <color indexed="55"/>
        </bottom>
      </border>
    </dxf>
    <dxf>
      <border>
        <bottom style="thin">
          <color indexed="55"/>
        </bottom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9" defaultPivotStyle="PivotStyleLight16"/>
  <colors>
    <mruColors>
      <color rgb="FFE4DF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eetMetadata" Target="metadata.xml"/><Relationship Id="rId39" Type="http://schemas.openxmlformats.org/officeDocument/2006/relationships/customXml" Target="../customXml/item10.xml"/><Relationship Id="rId21" Type="http://schemas.openxmlformats.org/officeDocument/2006/relationships/pivotCacheDefinition" Target="pivotCache/pivotCacheDefinition2.xml"/><Relationship Id="rId34" Type="http://schemas.openxmlformats.org/officeDocument/2006/relationships/customXml" Target="../customXml/item5.xml"/><Relationship Id="rId42" Type="http://schemas.openxmlformats.org/officeDocument/2006/relationships/customXml" Target="../customXml/item13.xml"/><Relationship Id="rId47" Type="http://schemas.openxmlformats.org/officeDocument/2006/relationships/customXml" Target="../customXml/item18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alcChain" Target="calcChain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32" Type="http://schemas.openxmlformats.org/officeDocument/2006/relationships/customXml" Target="../customXml/item3.xml"/><Relationship Id="rId37" Type="http://schemas.openxmlformats.org/officeDocument/2006/relationships/customXml" Target="../customXml/item8.xml"/><Relationship Id="rId40" Type="http://schemas.openxmlformats.org/officeDocument/2006/relationships/customXml" Target="../customXml/item11.xml"/><Relationship Id="rId45" Type="http://schemas.openxmlformats.org/officeDocument/2006/relationships/customXml" Target="../customXml/item1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onnections" Target="connections.xml"/><Relationship Id="rId28" Type="http://schemas.microsoft.com/office/2022/11/relationships/FeaturePropertyBag" Target="featurePropertyBag/featurePropertyBag.xml"/><Relationship Id="rId36" Type="http://schemas.openxmlformats.org/officeDocument/2006/relationships/customXml" Target="../customXml/item7.xml"/><Relationship Id="rId49" Type="http://schemas.microsoft.com/office/2023/09/relationships/Python" Target="pyth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4" Type="http://schemas.openxmlformats.org/officeDocument/2006/relationships/customXml" Target="../customXml/item1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powerPivotData" Target="model/item.data"/><Relationship Id="rId30" Type="http://schemas.openxmlformats.org/officeDocument/2006/relationships/customXml" Target="../customXml/item1.xml"/><Relationship Id="rId35" Type="http://schemas.openxmlformats.org/officeDocument/2006/relationships/customXml" Target="../customXml/item6.xml"/><Relationship Id="rId43" Type="http://schemas.openxmlformats.org/officeDocument/2006/relationships/customXml" Target="../customXml/item14.xml"/><Relationship Id="rId48" Type="http://schemas.openxmlformats.org/officeDocument/2006/relationships/customXml" Target="../customXml/item19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33" Type="http://schemas.openxmlformats.org/officeDocument/2006/relationships/customXml" Target="../customXml/item4.xml"/><Relationship Id="rId38" Type="http://schemas.openxmlformats.org/officeDocument/2006/relationships/customXml" Target="../customXml/item9.xml"/><Relationship Id="rId46" Type="http://schemas.openxmlformats.org/officeDocument/2006/relationships/customXml" Target="../customXml/item17.xml"/><Relationship Id="rId20" Type="http://schemas.openxmlformats.org/officeDocument/2006/relationships/pivotCacheDefinition" Target="pivotCache/pivotCacheDefinition1.xml"/><Relationship Id="rId41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athy Henry" refreshedDate="45138.496187500001" backgroundQuery="1" createdVersion="6" refreshedVersion="6" minRefreshableVersion="3" recordCount="0" supportSubquery="1" supportAdvancedDrill="1" xr:uid="{00000000-000A-0000-FFFF-FFFF00000000}">
  <cacheSource type="external" connectionId="1"/>
  <cacheFields count="3">
    <cacheField name="[Range].[Charge Date (Month)].[Charge Date (Month)]" caption="Charge Date (Month)" numFmtId="0" hierarchy="8" level="1">
      <sharedItems count="12">
        <s v="01/01/2024"/>
        <s v="02/01/2024"/>
        <s v="03/01/2024"/>
        <s v="04/01/2024"/>
        <s v="05/01/2024"/>
        <s v="06/01/2024"/>
        <s v="07/01/2024"/>
        <s v="08/01/2024"/>
        <s v="09/01/2024"/>
        <s v="10/01/2024"/>
        <s v="11/01/2024"/>
        <s v="12/01/2024"/>
      </sharedItems>
    </cacheField>
    <cacheField name="[Range].[Posting Co.].[Posting Co.]" caption="Posting Co." numFmtId="0" level="1">
      <sharedItems count="7">
        <s v="4050"/>
        <s v="4060"/>
        <s v="4070"/>
        <s v="4080"/>
        <s v="40A0"/>
        <s v="40B0"/>
        <s v="40C0"/>
      </sharedItems>
    </cacheField>
    <cacheField name="[Range].[Unit Ref. No.].[Unit Ref. No.]" caption="Unit Ref. No." numFmtId="0" hierarchy="1" level="1">
      <sharedItems count="51">
        <s v="4050-113"/>
        <s v="4050-119"/>
        <s v="4050-201"/>
        <s v="4050-206"/>
        <s v="4050-207"/>
        <s v="4050-215"/>
        <s v="4050-300"/>
        <s v="4050-307"/>
        <s v="4050-315"/>
        <s v="4060-100"/>
        <s v="4060-204"/>
        <s v="4060-205"/>
        <s v="4060-206"/>
        <s v="4060-207"/>
        <s v="4060-210"/>
        <s v="4060-211"/>
        <s v="4060-212"/>
        <s v="4060-215"/>
        <s v="4060-300"/>
        <s v="4060-401"/>
        <s v="4060-402"/>
        <s v="4060-600"/>
        <s v="4070-103"/>
        <s v="4070-107"/>
        <s v="4070-113"/>
        <s v="4070-117"/>
        <s v="4070-201"/>
        <s v="4070-301"/>
        <s v="4070-400"/>
        <s v="4070-411"/>
        <s v="4070-415"/>
        <s v="4080-100"/>
        <s v="4080-102"/>
        <s v="4080-106"/>
        <s v="4080-107"/>
        <s v="4080-111"/>
        <s v="4080-112"/>
        <s v="4080-117"/>
        <s v="4080-209"/>
        <s v="4080-215"/>
        <s v="4080-217"/>
        <s v="4080-219"/>
        <s v="4080-221"/>
        <s v="4080-305"/>
        <s v="4080-400"/>
        <s v="4080-401"/>
        <s v="40A0-204"/>
        <s v="40A0-205"/>
        <s v="40A0-A"/>
        <s v="40B0-1"/>
        <s v="40C0-CP"/>
      </sharedItems>
    </cacheField>
  </cacheFields>
  <cacheHierarchies count="12">
    <cacheHierarchy uniqueName="[Range].[Posting Co.]" caption="Posting Co." attribute="1" defaultMemberUniqueName="[Range].[Posting Co.].[All]" allUniqueName="[Range].[Posting Co.].[All]" dimensionUniqueName="[Range]" displayFolder="" count="2" memberValueDatatype="130" unbalanced="0">
      <fieldsUsage count="2">
        <fieldUsage x="-1"/>
        <fieldUsage x="1"/>
      </fieldsUsage>
    </cacheHierarchy>
    <cacheHierarchy uniqueName="[Range].[Unit Ref. No.]" caption="Unit Ref. No." attribute="1" defaultMemberUniqueName="[Range].[Unit Ref. No.].[All]" allUniqueName="[Range].[Unit Ref. No.].[All]" dimensionUniqueName="[Range]" displayFolder="" count="2" memberValueDatatype="130" unbalanced="0">
      <fieldsUsage count="2">
        <fieldUsage x="-1"/>
        <fieldUsage x="2"/>
      </fieldsUsage>
    </cacheHierarchy>
    <cacheHierarchy uniqueName="[Range].[Tenant Name]" caption="Tenant Name" attribute="1" defaultMemberUniqueName="[Range].[Tenant Name].[All]" allUniqueName="[Range].[Tenant Name].[All]" dimensionUniqueName="[Range]" displayFolder="" count="0" memberValueDatatype="130" unbalanced="0"/>
    <cacheHierarchy uniqueName="[Range].[Charge Date]" caption="Charge Date" attribute="1" defaultMemberUniqueName="[Range].[Charge Date].[All]" allUniqueName="[Range].[Charge Date].[All]" dimensionUniqueName="[Range]" displayFolder="" count="0" memberValueDatatype="130" unbalanced="0"/>
    <cacheHierarchy uniqueName="[Range].[Charge Code]" caption="Charge Code" attribute="1" defaultMemberUniqueName="[Range].[Charge Code].[All]" allUniqueName="[Range].[Charge Code].[All]" dimensionUniqueName="[Range]" displayFolder="" count="0" memberValueDatatype="130" unbalanced="0"/>
    <cacheHierarchy uniqueName="[Range].[GL Acct No.]" caption="GL Acct No." attribute="1" defaultMemberUniqueName="[Range].[GL Acct No.].[All]" allUniqueName="[Range].[GL Acct No.].[All]" dimensionUniqueName="[Range]" displayFolder="" count="0" memberValueDatatype="130" unbalanced="0"/>
    <cacheHierarchy uniqueName="[Range].[Charge Amount]" caption="Charge Amount" attribute="1" defaultMemberUniqueName="[Range].[Charge Amount].[All]" allUniqueName="[Range].[Charge Amount].[All]" dimensionUniqueName="[Range]" displayFolder="" count="0" memberValueDatatype="5" unbalanced="0"/>
    <cacheHierarchy uniqueName="[Range].[Month]" caption="Month" attribute="1" defaultMemberUniqueName="[Range].[Month].[All]" allUniqueName="[Range].[Month].[All]" dimensionUniqueName="[Range]" displayFolder="" count="0" memberValueDatatype="20" unbalanced="0"/>
    <cacheHierarchy uniqueName="[Range].[Charge Date (Month)]" caption="Charge Date (Month)" attribute="1" defaultMemberUniqueName="[Range].[Charge Date (Month)].[All]" allUniqueName="[Range].[Charge Date (Month)].[All]" dimensionUniqueName="[Range]" displayFolder="" count="2" memberValueDatatype="130" unbalanced="0">
      <fieldsUsage count="2">
        <fieldUsage x="-1"/>
        <fieldUsage x="0"/>
      </fieldsUsage>
    </cacheHierarchy>
    <cacheHierarchy uniqueName="[Range].[Charge Date (Month Index)]" caption="Charge Date (Month Index)" attribute="1" defaultMemberUniqueName="[Range].[Charge Date (Month Index)].[All]" allUniqueName="[Range].[Charge 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e Menard" refreshedDate="45888.38833159722" createdVersion="8" refreshedVersion="8" minRefreshableVersion="3" recordCount="256" xr:uid="{9BA78AD0-5BC7-4772-8E37-4BADD9354C62}">
  <cacheSource type="worksheet">
    <worksheetSource ref="A1:H257" sheet="In Place Revenue"/>
  </cacheSource>
  <cacheFields count="8">
    <cacheField name="Posting Co." numFmtId="41">
      <sharedItems count="3">
        <s v="3610"/>
        <s v="3620"/>
        <s v="3640"/>
      </sharedItems>
    </cacheField>
    <cacheField name="Unit Ref. No." numFmtId="41">
      <sharedItems count="33">
        <s v="3610-101"/>
        <s v="3610-103"/>
        <s v="3610-104"/>
        <s v="3610-105"/>
        <s v="3610-201"/>
        <s v="3610-202"/>
        <s v="3610-203"/>
        <s v="3610-205"/>
        <s v="3610-209"/>
        <s v="3610-300"/>
        <s v="3610-302"/>
        <s v="3610-305"/>
        <s v="3620-100"/>
        <s v="3620-102"/>
        <s v="3620-104"/>
        <s v="3620-108"/>
        <s v="3620-110"/>
        <s v="3620-208"/>
        <s v="3620-209"/>
        <s v="3620-210"/>
        <s v="3620-310"/>
        <s v="3640-103"/>
        <s v="3640-105"/>
        <s v="3640-106"/>
        <s v="3640-107"/>
        <s v="3640-108"/>
        <s v="3640-109"/>
        <s v="3640-111"/>
        <s v="3640-204"/>
        <s v="3640-205"/>
        <s v="3640-207"/>
        <s v="3640-300"/>
        <s v="3640-301"/>
      </sharedItems>
    </cacheField>
    <cacheField name="Tenant Name" numFmtId="41">
      <sharedItems containsMixedTypes="1" containsNumber="1" containsInteger="1" minValue="9" maxValue="9" count="34">
        <s v="Altruistic Home Care Agency"/>
        <s v="Paragon Exterior LLC"/>
        <s v="All American Hospice, LLC"/>
        <s v="Julia Meehan-Haley Eicher LLC"/>
        <s v="Interim Healthcare of Lower Bu"/>
        <s v="Leonard A. Feinberg, Inc."/>
        <s v="Apollo Acquisitions, Inc."/>
        <s v="Lincoln Medical Supplies, LLC"/>
        <s v="West Comm, Inc."/>
        <s v="EELP, Inc."/>
        <s v="Traffic Tech, Inc."/>
        <s v="Horizon House, Inc."/>
        <s v="Vermont Information Processing"/>
        <s v="Home Solutions Realty Group LL"/>
        <s v="Corporate Payroll Services"/>
        <n v="9"/>
        <s v="James D. Morrissey, Inc."/>
        <s v="ISD Renal, Inc."/>
        <s v="J D Eckman, Inc."/>
        <s v="Freitag Family Insurance Agenc"/>
        <s v="DJL Advisors, LLC"/>
        <s v="Delaware Valley Mgmt. Holdings"/>
        <s v="Falcon Engineering Co., LLC"/>
        <s v="Edward J. Gilson Jr."/>
        <s v="Premier Atlantic Security Grou"/>
        <s v="Envoy Lighting, Inc."/>
        <s v="Dennis Richman's Services"/>
        <s v="Kleinfelder, Inc."/>
        <s v="NALC_AFL-CIO"/>
        <s v="Epic Health Services, Inc."/>
        <s v="Sisters of the Blessed Sacrame"/>
        <s v="University MRO, LLC"/>
        <s v="Search Engines Marketer, Inc."/>
        <s v="Solaray, LLC"/>
      </sharedItems>
    </cacheField>
    <cacheField name="Charge Date" numFmtId="41">
      <sharedItems/>
    </cacheField>
    <cacheField name="Charge Code" numFmtId="41">
      <sharedItems/>
    </cacheField>
    <cacheField name="GL Acct No." numFmtId="41">
      <sharedItems/>
    </cacheField>
    <cacheField name="Charge Amount" numFmtId="0">
      <sharedItems containsSemiMixedTypes="0" containsString="0" containsNumber="1" minValue="0" maxValue="16230.44"/>
    </cacheField>
    <cacheField name="Month" numFmtId="1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6">
  <r>
    <x v="0"/>
    <x v="0"/>
    <x v="0"/>
    <s v="01/01/2026"/>
    <s v="RNT"/>
    <s v="4230-8501"/>
    <n v="1795.5"/>
    <x v="0"/>
  </r>
  <r>
    <x v="0"/>
    <x v="0"/>
    <x v="0"/>
    <s v="02/01/2026"/>
    <s v="RNT"/>
    <s v="4230-8501"/>
    <n v="1795.5"/>
    <x v="1"/>
  </r>
  <r>
    <x v="0"/>
    <x v="1"/>
    <x v="1"/>
    <s v="01/01/2026"/>
    <s v="RNT"/>
    <s v="4230-8501"/>
    <n v="2727.67"/>
    <x v="0"/>
  </r>
  <r>
    <x v="0"/>
    <x v="1"/>
    <x v="1"/>
    <s v="02/01/2026"/>
    <s v="RNT"/>
    <s v="4230-8501"/>
    <n v="2727.67"/>
    <x v="1"/>
  </r>
  <r>
    <x v="0"/>
    <x v="1"/>
    <x v="1"/>
    <s v="03/01/2026"/>
    <s v="RNT"/>
    <s v="4230-8501"/>
    <n v="2727.67"/>
    <x v="2"/>
  </r>
  <r>
    <x v="0"/>
    <x v="1"/>
    <x v="1"/>
    <s v="04/01/2026"/>
    <s v="RNT"/>
    <s v="4230-8501"/>
    <n v="2727.67"/>
    <x v="3"/>
  </r>
  <r>
    <x v="0"/>
    <x v="1"/>
    <x v="1"/>
    <s v="05/01/2026"/>
    <s v="RNT"/>
    <s v="4230-8501"/>
    <n v="2727.67"/>
    <x v="4"/>
  </r>
  <r>
    <x v="0"/>
    <x v="1"/>
    <x v="1"/>
    <s v="06/01/2026"/>
    <s v="RNT"/>
    <s v="4230-8501"/>
    <n v="2727.67"/>
    <x v="5"/>
  </r>
  <r>
    <x v="0"/>
    <x v="1"/>
    <x v="1"/>
    <s v="07/01/2026"/>
    <s v="RNT"/>
    <s v="4230-8501"/>
    <n v="2727.67"/>
    <x v="6"/>
  </r>
  <r>
    <x v="0"/>
    <x v="1"/>
    <x v="1"/>
    <s v="08/01/2026"/>
    <s v="RNT"/>
    <s v="4230-8501"/>
    <n v="2727.67"/>
    <x v="7"/>
  </r>
  <r>
    <x v="0"/>
    <x v="1"/>
    <x v="1"/>
    <s v="09/01/2026"/>
    <s v="RNT"/>
    <s v="4230-8501"/>
    <n v="2727.67"/>
    <x v="8"/>
  </r>
  <r>
    <x v="0"/>
    <x v="1"/>
    <x v="1"/>
    <s v="10/01/2026"/>
    <s v="RNT"/>
    <s v="4230-8501"/>
    <n v="2727.67"/>
    <x v="9"/>
  </r>
  <r>
    <x v="0"/>
    <x v="1"/>
    <x v="1"/>
    <s v="11/01/2026"/>
    <s v="RNT"/>
    <s v="4230-8501"/>
    <n v="2727.67"/>
    <x v="10"/>
  </r>
  <r>
    <x v="0"/>
    <x v="1"/>
    <x v="1"/>
    <s v="12/01/2026"/>
    <s v="RNT"/>
    <s v="4230-8501"/>
    <n v="2727.67"/>
    <x v="11"/>
  </r>
  <r>
    <x v="0"/>
    <x v="2"/>
    <x v="2"/>
    <s v="01/01/2026"/>
    <s v="RNT"/>
    <s v="4230-8501"/>
    <n v="4203.33"/>
    <x v="0"/>
  </r>
  <r>
    <x v="0"/>
    <x v="3"/>
    <x v="3"/>
    <s v="01/01/2026"/>
    <s v="RNT"/>
    <s v="4230-8501"/>
    <n v="1757.5"/>
    <x v="0"/>
  </r>
  <r>
    <x v="0"/>
    <x v="3"/>
    <x v="3"/>
    <s v="02/01/2026"/>
    <s v="RNT"/>
    <s v="4230-8501"/>
    <n v="1757.5"/>
    <x v="1"/>
  </r>
  <r>
    <x v="0"/>
    <x v="3"/>
    <x v="3"/>
    <s v="03/01/2026"/>
    <s v="RNT"/>
    <s v="4230-8501"/>
    <n v="1757.5"/>
    <x v="2"/>
  </r>
  <r>
    <x v="0"/>
    <x v="3"/>
    <x v="3"/>
    <s v="04/01/2026"/>
    <s v="RNT"/>
    <s v="4230-8501"/>
    <n v="1757.5"/>
    <x v="3"/>
  </r>
  <r>
    <x v="0"/>
    <x v="3"/>
    <x v="3"/>
    <s v="05/01/2026"/>
    <s v="RNT"/>
    <s v="4230-8501"/>
    <n v="1757.5"/>
    <x v="4"/>
  </r>
  <r>
    <x v="0"/>
    <x v="3"/>
    <x v="3"/>
    <s v="06/01/2026"/>
    <s v="RNT"/>
    <s v="4230-8501"/>
    <n v="1757.5"/>
    <x v="5"/>
  </r>
  <r>
    <x v="0"/>
    <x v="3"/>
    <x v="3"/>
    <s v="07/01/2026"/>
    <s v="RNT"/>
    <s v="4230-8501"/>
    <n v="1757.5"/>
    <x v="6"/>
  </r>
  <r>
    <x v="0"/>
    <x v="3"/>
    <x v="3"/>
    <s v="08/01/2026"/>
    <s v="RNT"/>
    <s v="4230-8501"/>
    <n v="1757.5"/>
    <x v="7"/>
  </r>
  <r>
    <x v="0"/>
    <x v="3"/>
    <x v="3"/>
    <s v="09/01/2026"/>
    <s v="RNT"/>
    <s v="4230-8501"/>
    <n v="1757.5"/>
    <x v="8"/>
  </r>
  <r>
    <x v="0"/>
    <x v="4"/>
    <x v="4"/>
    <s v="01/01/2026"/>
    <s v="RNT"/>
    <s v="4230-8501"/>
    <n v="2024.42"/>
    <x v="0"/>
  </r>
  <r>
    <x v="0"/>
    <x v="4"/>
    <x v="4"/>
    <s v="02/01/2026"/>
    <s v="RNT"/>
    <s v="4230-8501"/>
    <n v="2024.42"/>
    <x v="1"/>
  </r>
  <r>
    <x v="0"/>
    <x v="4"/>
    <x v="4"/>
    <s v="03/01/2026"/>
    <s v="RNT"/>
    <s v="4230-8501"/>
    <n v="2024.42"/>
    <x v="2"/>
  </r>
  <r>
    <x v="0"/>
    <x v="5"/>
    <x v="5"/>
    <s v="01/01/2026"/>
    <s v="RNT"/>
    <s v="4230-8501"/>
    <n v="1686.58"/>
    <x v="0"/>
  </r>
  <r>
    <x v="0"/>
    <x v="5"/>
    <x v="5"/>
    <s v="02/01/2026"/>
    <s v="RNT"/>
    <s v="4230-8501"/>
    <n v="1686.58"/>
    <x v="1"/>
  </r>
  <r>
    <x v="0"/>
    <x v="5"/>
    <x v="5"/>
    <s v="03/01/2026"/>
    <s v="RNT"/>
    <s v="4230-8501"/>
    <n v="1686.58"/>
    <x v="2"/>
  </r>
  <r>
    <x v="0"/>
    <x v="5"/>
    <x v="5"/>
    <s v="04/01/2026"/>
    <s v="RNT"/>
    <s v="4230-8501"/>
    <n v="1686.58"/>
    <x v="3"/>
  </r>
  <r>
    <x v="0"/>
    <x v="5"/>
    <x v="5"/>
    <s v="05/01/2026"/>
    <s v="RNT"/>
    <s v="4230-8501"/>
    <n v="1686.58"/>
    <x v="4"/>
  </r>
  <r>
    <x v="0"/>
    <x v="5"/>
    <x v="5"/>
    <s v="06/01/2026"/>
    <s v="RNT"/>
    <s v="4230-8501"/>
    <n v="1686.58"/>
    <x v="5"/>
  </r>
  <r>
    <x v="0"/>
    <x v="5"/>
    <x v="5"/>
    <s v="07/01/2026"/>
    <s v="RNT"/>
    <s v="4230-8501"/>
    <n v="1686.58"/>
    <x v="6"/>
  </r>
  <r>
    <x v="0"/>
    <x v="5"/>
    <x v="5"/>
    <s v="08/01/2026"/>
    <s v="RNT"/>
    <s v="4230-8501"/>
    <n v="1686.58"/>
    <x v="7"/>
  </r>
  <r>
    <x v="0"/>
    <x v="5"/>
    <x v="5"/>
    <s v="09/01/2026"/>
    <s v="RNT"/>
    <s v="4230-8501"/>
    <n v="1686.58"/>
    <x v="8"/>
  </r>
  <r>
    <x v="0"/>
    <x v="5"/>
    <x v="5"/>
    <s v="10/01/2026"/>
    <s v="RNT"/>
    <s v="4230-8501"/>
    <n v="1686.58"/>
    <x v="9"/>
  </r>
  <r>
    <x v="0"/>
    <x v="5"/>
    <x v="5"/>
    <s v="11/01/2026"/>
    <s v="RNT"/>
    <s v="4230-8501"/>
    <n v="1686.58"/>
    <x v="10"/>
  </r>
  <r>
    <x v="0"/>
    <x v="5"/>
    <x v="5"/>
    <s v="12/01/2026"/>
    <s v="RNT"/>
    <s v="4230-8501"/>
    <n v="1686.58"/>
    <x v="11"/>
  </r>
  <r>
    <x v="0"/>
    <x v="6"/>
    <x v="6"/>
    <s v="01/01/2026"/>
    <s v="RNT"/>
    <s v="4230-8501"/>
    <n v="1802.63"/>
    <x v="0"/>
  </r>
  <r>
    <x v="0"/>
    <x v="6"/>
    <x v="6"/>
    <s v="02/01/2026"/>
    <s v="RNT"/>
    <s v="4230-8501"/>
    <n v="1802.63"/>
    <x v="1"/>
  </r>
  <r>
    <x v="0"/>
    <x v="6"/>
    <x v="6"/>
    <s v="03/01/2026"/>
    <s v="RNT"/>
    <s v="4230-8501"/>
    <n v="1802.63"/>
    <x v="2"/>
  </r>
  <r>
    <x v="0"/>
    <x v="6"/>
    <x v="6"/>
    <s v="04/01/2026"/>
    <s v="RNT"/>
    <s v="4230-8501"/>
    <n v="1802.63"/>
    <x v="3"/>
  </r>
  <r>
    <x v="0"/>
    <x v="6"/>
    <x v="6"/>
    <s v="05/01/2026"/>
    <s v="RNT"/>
    <s v="4230-8501"/>
    <n v="1802.63"/>
    <x v="4"/>
  </r>
  <r>
    <x v="0"/>
    <x v="6"/>
    <x v="6"/>
    <s v="06/01/2026"/>
    <s v="RNT"/>
    <s v="4230-8501"/>
    <n v="1802.63"/>
    <x v="5"/>
  </r>
  <r>
    <x v="0"/>
    <x v="7"/>
    <x v="7"/>
    <s v="01/01/2026"/>
    <s v="RNT"/>
    <s v="4230-8501"/>
    <n v="1020"/>
    <x v="0"/>
  </r>
  <r>
    <x v="0"/>
    <x v="7"/>
    <x v="7"/>
    <s v="02/01/2026"/>
    <s v="RNT"/>
    <s v="4230-8501"/>
    <n v="1020"/>
    <x v="1"/>
  </r>
  <r>
    <x v="0"/>
    <x v="7"/>
    <x v="7"/>
    <s v="03/01/2026"/>
    <s v="RNT"/>
    <s v="4230-8501"/>
    <n v="1020"/>
    <x v="2"/>
  </r>
  <r>
    <x v="0"/>
    <x v="7"/>
    <x v="7"/>
    <s v="04/01/2026"/>
    <s v="RNT"/>
    <s v="4230-8501"/>
    <n v="1020"/>
    <x v="3"/>
  </r>
  <r>
    <x v="0"/>
    <x v="8"/>
    <x v="8"/>
    <s v="01/01/2026"/>
    <s v="RNT"/>
    <s v="4230-8501"/>
    <n v="1025"/>
    <x v="0"/>
  </r>
  <r>
    <x v="0"/>
    <x v="8"/>
    <x v="8"/>
    <s v="02/01/2026"/>
    <s v="RNT"/>
    <s v="4230-8501"/>
    <n v="1025"/>
    <x v="1"/>
  </r>
  <r>
    <x v="0"/>
    <x v="8"/>
    <x v="8"/>
    <s v="03/01/2026"/>
    <s v="RNT"/>
    <s v="4230-8501"/>
    <n v="1025"/>
    <x v="2"/>
  </r>
  <r>
    <x v="0"/>
    <x v="8"/>
    <x v="8"/>
    <s v="04/01/2026"/>
    <s v="RNT"/>
    <s v="4230-8501"/>
    <n v="1025"/>
    <x v="3"/>
  </r>
  <r>
    <x v="0"/>
    <x v="9"/>
    <x v="9"/>
    <s v="01/01/2026"/>
    <s v="RNT"/>
    <s v="4230-8501"/>
    <n v="4193.33"/>
    <x v="0"/>
  </r>
  <r>
    <x v="0"/>
    <x v="9"/>
    <x v="9"/>
    <s v="02/01/2026"/>
    <s v="RNT"/>
    <s v="4230-8501"/>
    <n v="4193.33"/>
    <x v="1"/>
  </r>
  <r>
    <x v="0"/>
    <x v="9"/>
    <x v="9"/>
    <s v="03/01/2026"/>
    <s v="RNT"/>
    <s v="4230-8501"/>
    <n v="4193.33"/>
    <x v="2"/>
  </r>
  <r>
    <x v="0"/>
    <x v="9"/>
    <x v="9"/>
    <s v="04/01/2026"/>
    <s v="RNT"/>
    <s v="4230-8501"/>
    <n v="4193.33"/>
    <x v="3"/>
  </r>
  <r>
    <x v="0"/>
    <x v="9"/>
    <x v="9"/>
    <s v="05/01/2026"/>
    <s v="RNT"/>
    <s v="4230-8501"/>
    <n v="4193.33"/>
    <x v="4"/>
  </r>
  <r>
    <x v="0"/>
    <x v="10"/>
    <x v="10"/>
    <s v="01/01/2026"/>
    <s v="RNT"/>
    <s v="4230-8501"/>
    <n v="1216.25"/>
    <x v="0"/>
  </r>
  <r>
    <x v="0"/>
    <x v="10"/>
    <x v="10"/>
    <s v="02/01/2026"/>
    <s v="RNT"/>
    <s v="4230-8501"/>
    <n v="1216.25"/>
    <x v="1"/>
  </r>
  <r>
    <x v="0"/>
    <x v="10"/>
    <x v="10"/>
    <s v="03/01/2026"/>
    <s v="RNT"/>
    <s v="4230-8501"/>
    <n v="1216.25"/>
    <x v="2"/>
  </r>
  <r>
    <x v="0"/>
    <x v="10"/>
    <x v="10"/>
    <s v="04/01/2026"/>
    <s v="RNT"/>
    <s v="4230-8501"/>
    <n v="1216.25"/>
    <x v="3"/>
  </r>
  <r>
    <x v="0"/>
    <x v="10"/>
    <x v="10"/>
    <s v="05/01/2026"/>
    <s v="RNT"/>
    <s v="4230-8501"/>
    <n v="1216.25"/>
    <x v="4"/>
  </r>
  <r>
    <x v="0"/>
    <x v="10"/>
    <x v="10"/>
    <s v="06/01/2026"/>
    <s v="RNT"/>
    <s v="4230-8501"/>
    <n v="1216.25"/>
    <x v="5"/>
  </r>
  <r>
    <x v="0"/>
    <x v="10"/>
    <x v="10"/>
    <s v="07/01/2026"/>
    <s v="RNT"/>
    <s v="4230-8501"/>
    <n v="1216.25"/>
    <x v="6"/>
  </r>
  <r>
    <x v="0"/>
    <x v="11"/>
    <x v="11"/>
    <s v="01/01/2026"/>
    <s v="RNT"/>
    <s v="4230-8501"/>
    <n v="1812.92"/>
    <x v="0"/>
  </r>
  <r>
    <x v="0"/>
    <x v="11"/>
    <x v="11"/>
    <s v="02/01/2026"/>
    <s v="RNT"/>
    <s v="4230-8501"/>
    <n v="1812.92"/>
    <x v="1"/>
  </r>
  <r>
    <x v="0"/>
    <x v="11"/>
    <x v="11"/>
    <s v="03/01/2026"/>
    <s v="RNT"/>
    <s v="4230-8501"/>
    <n v="1812.92"/>
    <x v="2"/>
  </r>
  <r>
    <x v="0"/>
    <x v="11"/>
    <x v="11"/>
    <s v="04/01/2026"/>
    <s v="RNT"/>
    <s v="4230-8501"/>
    <n v="1812.92"/>
    <x v="3"/>
  </r>
  <r>
    <x v="0"/>
    <x v="11"/>
    <x v="11"/>
    <s v="05/01/2026"/>
    <s v="RNT"/>
    <s v="4230-8501"/>
    <n v="1812.92"/>
    <x v="4"/>
  </r>
  <r>
    <x v="1"/>
    <x v="12"/>
    <x v="12"/>
    <s v="01/01/2026"/>
    <s v="RNT"/>
    <s v="4230-8501"/>
    <n v="1853.54"/>
    <x v="0"/>
  </r>
  <r>
    <x v="1"/>
    <x v="12"/>
    <x v="12"/>
    <s v="02/01/2026"/>
    <s v="RNT"/>
    <s v="4230-8501"/>
    <n v="1853.54"/>
    <x v="1"/>
  </r>
  <r>
    <x v="1"/>
    <x v="12"/>
    <x v="12"/>
    <s v="03/01/2026"/>
    <s v="RNT"/>
    <s v="4230-8501"/>
    <n v="1853.54"/>
    <x v="2"/>
  </r>
  <r>
    <x v="1"/>
    <x v="12"/>
    <x v="12"/>
    <s v="04/01/2026"/>
    <s v="RNT"/>
    <s v="4230-8501"/>
    <n v="1853.54"/>
    <x v="3"/>
  </r>
  <r>
    <x v="1"/>
    <x v="12"/>
    <x v="12"/>
    <s v="05/01/2026"/>
    <s v="RNT"/>
    <s v="4230-8501"/>
    <n v="1853.54"/>
    <x v="4"/>
  </r>
  <r>
    <x v="1"/>
    <x v="12"/>
    <x v="12"/>
    <s v="06/01/2026"/>
    <s v="RNT"/>
    <s v="4230-8501"/>
    <n v="1853.54"/>
    <x v="5"/>
  </r>
  <r>
    <x v="1"/>
    <x v="12"/>
    <x v="12"/>
    <s v="07/01/2026"/>
    <s v="RNT"/>
    <s v="4230-8501"/>
    <n v="1853.54"/>
    <x v="6"/>
  </r>
  <r>
    <x v="1"/>
    <x v="12"/>
    <x v="12"/>
    <s v="08/01/2026"/>
    <s v="RNT"/>
    <s v="4230-8501"/>
    <n v="1853.54"/>
    <x v="7"/>
  </r>
  <r>
    <x v="1"/>
    <x v="12"/>
    <x v="12"/>
    <s v="09/01/2026"/>
    <s v="RNT"/>
    <s v="4230-8501"/>
    <n v="1853.54"/>
    <x v="8"/>
  </r>
  <r>
    <x v="1"/>
    <x v="12"/>
    <x v="12"/>
    <s v="10/01/2026"/>
    <s v="RNT"/>
    <s v="4230-8501"/>
    <n v="1853.54"/>
    <x v="9"/>
  </r>
  <r>
    <x v="1"/>
    <x v="12"/>
    <x v="12"/>
    <s v="11/01/2026"/>
    <s v="RNT"/>
    <s v="4230-8501"/>
    <n v="1853.54"/>
    <x v="10"/>
  </r>
  <r>
    <x v="1"/>
    <x v="12"/>
    <x v="12"/>
    <s v="12/01/2026"/>
    <s v="RNT"/>
    <s v="4230-8501"/>
    <n v="1853.54"/>
    <x v="11"/>
  </r>
  <r>
    <x v="1"/>
    <x v="13"/>
    <x v="13"/>
    <s v="01/01/2026"/>
    <s v="RNT"/>
    <s v="4230-8501"/>
    <n v="1895.25"/>
    <x v="0"/>
  </r>
  <r>
    <x v="1"/>
    <x v="13"/>
    <x v="13"/>
    <s v="02/01/2026"/>
    <s v="RNT"/>
    <s v="4230-8501"/>
    <n v="1895.25"/>
    <x v="1"/>
  </r>
  <r>
    <x v="1"/>
    <x v="13"/>
    <x v="13"/>
    <s v="03/01/2026"/>
    <s v="RNT"/>
    <s v="4230-8501"/>
    <n v="1895.25"/>
    <x v="2"/>
  </r>
  <r>
    <x v="1"/>
    <x v="13"/>
    <x v="13"/>
    <s v="04/01/2026"/>
    <s v="RNT"/>
    <s v="4230-8501"/>
    <n v="1895.25"/>
    <x v="3"/>
  </r>
  <r>
    <x v="1"/>
    <x v="13"/>
    <x v="13"/>
    <s v="05/01/2026"/>
    <s v="RNT"/>
    <s v="4230-8501"/>
    <n v="1895.25"/>
    <x v="4"/>
  </r>
  <r>
    <x v="1"/>
    <x v="14"/>
    <x v="14"/>
    <s v="01/01/2026"/>
    <s v="RNT"/>
    <s v="4230-8501"/>
    <n v="4134.17"/>
    <x v="0"/>
  </r>
  <r>
    <x v="1"/>
    <x v="14"/>
    <x v="14"/>
    <s v="02/01/2026"/>
    <s v="RNT"/>
    <s v="4230-8501"/>
    <n v="4134.17"/>
    <x v="1"/>
  </r>
  <r>
    <x v="1"/>
    <x v="14"/>
    <x v="14"/>
    <s v="03/01/2026"/>
    <s v="RNT"/>
    <s v="4230-8501"/>
    <n v="4134.17"/>
    <x v="2"/>
  </r>
  <r>
    <x v="1"/>
    <x v="14"/>
    <x v="14"/>
    <s v="04/01/2026"/>
    <s v="RNT"/>
    <s v="4230-8501"/>
    <n v="4134.17"/>
    <x v="3"/>
  </r>
  <r>
    <x v="1"/>
    <x v="14"/>
    <x v="15"/>
    <s v="05/01/2026"/>
    <s v="RNT"/>
    <s v="4230-8501"/>
    <n v="4134.17"/>
    <x v="4"/>
  </r>
  <r>
    <x v="1"/>
    <x v="14"/>
    <x v="14"/>
    <s v="06/01/2026"/>
    <s v="RNT"/>
    <s v="4230-8501"/>
    <n v="4134.17"/>
    <x v="5"/>
  </r>
  <r>
    <x v="1"/>
    <x v="14"/>
    <x v="14"/>
    <s v="07/01/2026"/>
    <s v="RNT"/>
    <s v="4230-8501"/>
    <n v="4134.17"/>
    <x v="6"/>
  </r>
  <r>
    <x v="1"/>
    <x v="14"/>
    <x v="14"/>
    <s v="08/01/2026"/>
    <s v="RNT"/>
    <s v="4230-8501"/>
    <n v="4134.17"/>
    <x v="7"/>
  </r>
  <r>
    <x v="1"/>
    <x v="14"/>
    <x v="14"/>
    <s v="09/01/2026"/>
    <s v="RNT"/>
    <s v="4230-8501"/>
    <n v="4134.17"/>
    <x v="8"/>
  </r>
  <r>
    <x v="1"/>
    <x v="14"/>
    <x v="14"/>
    <s v="10/01/2026"/>
    <s v="RNT"/>
    <s v="4230-8501"/>
    <n v="4134.17"/>
    <x v="9"/>
  </r>
  <r>
    <x v="1"/>
    <x v="14"/>
    <x v="14"/>
    <s v="11/01/2026"/>
    <s v="RNT"/>
    <s v="4230-8501"/>
    <n v="4134.17"/>
    <x v="10"/>
  </r>
  <r>
    <x v="1"/>
    <x v="14"/>
    <x v="14"/>
    <s v="12/01/2026"/>
    <s v="RNT"/>
    <s v="4230-8501"/>
    <n v="4134.17"/>
    <x v="11"/>
  </r>
  <r>
    <x v="1"/>
    <x v="15"/>
    <x v="16"/>
    <s v="01/01/2026"/>
    <s v="RNT"/>
    <s v="4230-8501"/>
    <n v="1429.17"/>
    <x v="0"/>
  </r>
  <r>
    <x v="1"/>
    <x v="15"/>
    <x v="16"/>
    <s v="02/01/2026"/>
    <s v="RNT"/>
    <s v="4230-8501"/>
    <n v="1429.17"/>
    <x v="1"/>
  </r>
  <r>
    <x v="1"/>
    <x v="15"/>
    <x v="16"/>
    <s v="03/01/2026"/>
    <s v="RNT"/>
    <s v="4230-8501"/>
    <n v="1429.17"/>
    <x v="2"/>
  </r>
  <r>
    <x v="1"/>
    <x v="15"/>
    <x v="16"/>
    <s v="04/01/2026"/>
    <s v="RNT"/>
    <s v="4230-8501"/>
    <n v="1429.17"/>
    <x v="3"/>
  </r>
  <r>
    <x v="1"/>
    <x v="16"/>
    <x v="17"/>
    <s v="01/01/2026"/>
    <s v="RNT"/>
    <s v="4230-8501"/>
    <n v="15943.88"/>
    <x v="0"/>
  </r>
  <r>
    <x v="1"/>
    <x v="16"/>
    <x v="17"/>
    <s v="02/01/2026"/>
    <s v="RNT"/>
    <s v="4230-8501"/>
    <n v="15943.88"/>
    <x v="1"/>
  </r>
  <r>
    <x v="1"/>
    <x v="16"/>
    <x v="17"/>
    <s v="03/01/2026"/>
    <s v="RNT"/>
    <s v="4230-8501"/>
    <n v="15943.88"/>
    <x v="2"/>
  </r>
  <r>
    <x v="1"/>
    <x v="16"/>
    <x v="17"/>
    <s v="04/01/2026"/>
    <s v="RNT"/>
    <s v="4230-8501"/>
    <n v="15943.88"/>
    <x v="3"/>
  </r>
  <r>
    <x v="1"/>
    <x v="16"/>
    <x v="17"/>
    <s v="05/01/2026"/>
    <s v="RNT"/>
    <s v="4230-8501"/>
    <n v="15943.88"/>
    <x v="4"/>
  </r>
  <r>
    <x v="1"/>
    <x v="16"/>
    <x v="17"/>
    <s v="06/01/2026"/>
    <s v="RNT"/>
    <s v="4230-8501"/>
    <n v="15943.88"/>
    <x v="5"/>
  </r>
  <r>
    <x v="1"/>
    <x v="16"/>
    <x v="17"/>
    <s v="07/01/2026"/>
    <s v="RNT"/>
    <s v="4230-8501"/>
    <n v="15943.88"/>
    <x v="6"/>
  </r>
  <r>
    <x v="1"/>
    <x v="16"/>
    <x v="17"/>
    <s v="08/01/2026"/>
    <s v="RNT"/>
    <s v="4230-8501"/>
    <n v="15943.88"/>
    <x v="7"/>
  </r>
  <r>
    <x v="1"/>
    <x v="16"/>
    <x v="17"/>
    <s v="09/01/2026"/>
    <s v="RNT"/>
    <s v="4230-8501"/>
    <n v="16230.44"/>
    <x v="8"/>
  </r>
  <r>
    <x v="1"/>
    <x v="16"/>
    <x v="17"/>
    <s v="10/01/2026"/>
    <s v="RNT"/>
    <s v="4230-8501"/>
    <n v="16230.44"/>
    <x v="9"/>
  </r>
  <r>
    <x v="1"/>
    <x v="16"/>
    <x v="17"/>
    <s v="11/01/2026"/>
    <s v="RNT"/>
    <s v="4230-8501"/>
    <n v="16230.44"/>
    <x v="10"/>
  </r>
  <r>
    <x v="1"/>
    <x v="16"/>
    <x v="17"/>
    <s v="12/01/2026"/>
    <s v="RNT"/>
    <s v="4230-8501"/>
    <n v="16230.44"/>
    <x v="11"/>
  </r>
  <r>
    <x v="1"/>
    <x v="17"/>
    <x v="18"/>
    <s v="01/01/2026"/>
    <s v="RNT"/>
    <s v="4230-8501"/>
    <n v="4203.88"/>
    <x v="0"/>
  </r>
  <r>
    <x v="1"/>
    <x v="17"/>
    <x v="18"/>
    <s v="02/01/2026"/>
    <s v="RNT"/>
    <s v="4230-8501"/>
    <n v="4203.88"/>
    <x v="1"/>
  </r>
  <r>
    <x v="1"/>
    <x v="17"/>
    <x v="18"/>
    <s v="03/01/2026"/>
    <s v="RNT"/>
    <s v="4230-8501"/>
    <n v="4203.88"/>
    <x v="2"/>
  </r>
  <r>
    <x v="1"/>
    <x v="18"/>
    <x v="19"/>
    <s v="01/01/2026"/>
    <s v="RNT"/>
    <s v="4230-8501"/>
    <n v="789.08"/>
    <x v="0"/>
  </r>
  <r>
    <x v="1"/>
    <x v="18"/>
    <x v="19"/>
    <s v="02/01/2026"/>
    <s v="RNT"/>
    <s v="4230-8501"/>
    <n v="789.08"/>
    <x v="1"/>
  </r>
  <r>
    <x v="1"/>
    <x v="18"/>
    <x v="19"/>
    <s v="03/01/2026"/>
    <s v="RNT"/>
    <s v="4230-8501"/>
    <n v="789.08"/>
    <x v="2"/>
  </r>
  <r>
    <x v="1"/>
    <x v="18"/>
    <x v="19"/>
    <s v="04/01/2026"/>
    <s v="RNT"/>
    <s v="4230-8501"/>
    <n v="812.29"/>
    <x v="3"/>
  </r>
  <r>
    <x v="1"/>
    <x v="18"/>
    <x v="19"/>
    <s v="05/01/2026"/>
    <s v="RNT"/>
    <s v="4230-8501"/>
    <n v="812.29"/>
    <x v="4"/>
  </r>
  <r>
    <x v="1"/>
    <x v="18"/>
    <x v="19"/>
    <s v="06/01/2026"/>
    <s v="RNT"/>
    <s v="4230-8501"/>
    <n v="812.29"/>
    <x v="5"/>
  </r>
  <r>
    <x v="1"/>
    <x v="18"/>
    <x v="19"/>
    <s v="07/01/2026"/>
    <s v="RNT"/>
    <s v="4230-8501"/>
    <n v="812.29"/>
    <x v="6"/>
  </r>
  <r>
    <x v="1"/>
    <x v="18"/>
    <x v="19"/>
    <s v="08/01/2026"/>
    <s v="RNT"/>
    <s v="4230-8501"/>
    <n v="812.29"/>
    <x v="7"/>
  </r>
  <r>
    <x v="1"/>
    <x v="18"/>
    <x v="19"/>
    <s v="09/01/2026"/>
    <s v="RNT"/>
    <s v="4230-8501"/>
    <n v="812.29"/>
    <x v="8"/>
  </r>
  <r>
    <x v="1"/>
    <x v="18"/>
    <x v="19"/>
    <s v="10/01/2026"/>
    <s v="RNT"/>
    <s v="4230-8501"/>
    <n v="812.29"/>
    <x v="9"/>
  </r>
  <r>
    <x v="1"/>
    <x v="18"/>
    <x v="19"/>
    <s v="11/01/2026"/>
    <s v="RNT"/>
    <s v="4230-8501"/>
    <n v="812.29"/>
    <x v="10"/>
  </r>
  <r>
    <x v="1"/>
    <x v="18"/>
    <x v="19"/>
    <s v="12/01/2026"/>
    <s v="RNT"/>
    <s v="4230-8501"/>
    <n v="812.29"/>
    <x v="11"/>
  </r>
  <r>
    <x v="1"/>
    <x v="19"/>
    <x v="20"/>
    <s v="01/01/2026"/>
    <s v="RNT"/>
    <s v="4230-8501"/>
    <n v="723.13"/>
    <x v="0"/>
  </r>
  <r>
    <x v="1"/>
    <x v="19"/>
    <x v="20"/>
    <s v="02/01/2026"/>
    <s v="RNT"/>
    <s v="4230-8501"/>
    <n v="723.13"/>
    <x v="1"/>
  </r>
  <r>
    <x v="1"/>
    <x v="19"/>
    <x v="20"/>
    <s v="03/01/2026"/>
    <s v="RNT"/>
    <s v="4230-8501"/>
    <n v="723.13"/>
    <x v="2"/>
  </r>
  <r>
    <x v="1"/>
    <x v="19"/>
    <x v="20"/>
    <s v="04/01/2026"/>
    <s v="RNT"/>
    <s v="4230-8501"/>
    <n v="723.13"/>
    <x v="3"/>
  </r>
  <r>
    <x v="1"/>
    <x v="19"/>
    <x v="20"/>
    <s v="05/01/2026"/>
    <s v="RNT"/>
    <s v="4230-8501"/>
    <n v="723.13"/>
    <x v="4"/>
  </r>
  <r>
    <x v="1"/>
    <x v="19"/>
    <x v="20"/>
    <s v="06/01/2026"/>
    <s v="RNT"/>
    <s v="4230-8501"/>
    <n v="723.13"/>
    <x v="5"/>
  </r>
  <r>
    <x v="1"/>
    <x v="19"/>
    <x v="20"/>
    <s v="07/01/2026"/>
    <s v="RNT"/>
    <s v="4230-8501"/>
    <n v="723.13"/>
    <x v="6"/>
  </r>
  <r>
    <x v="1"/>
    <x v="19"/>
    <x v="20"/>
    <s v="08/01/2026"/>
    <s v="RNT"/>
    <s v="4230-8501"/>
    <n v="741.67"/>
    <x v="7"/>
  </r>
  <r>
    <x v="1"/>
    <x v="19"/>
    <x v="20"/>
    <s v="09/01/2026"/>
    <s v="RNT"/>
    <s v="4230-8501"/>
    <n v="741.67"/>
    <x v="8"/>
  </r>
  <r>
    <x v="1"/>
    <x v="19"/>
    <x v="20"/>
    <s v="10/01/2026"/>
    <s v="RNT"/>
    <s v="4230-8501"/>
    <n v="741.67"/>
    <x v="9"/>
  </r>
  <r>
    <x v="1"/>
    <x v="19"/>
    <x v="20"/>
    <s v="11/01/2026"/>
    <s v="RNT"/>
    <s v="4230-8501"/>
    <n v="741.67"/>
    <x v="10"/>
  </r>
  <r>
    <x v="1"/>
    <x v="19"/>
    <x v="20"/>
    <s v="12/01/2026"/>
    <s v="RNT"/>
    <s v="4230-8501"/>
    <n v="741.67"/>
    <x v="11"/>
  </r>
  <r>
    <x v="1"/>
    <x v="20"/>
    <x v="21"/>
    <s v="01/01/2026"/>
    <s v="RNT"/>
    <s v="4230-8501"/>
    <n v="0"/>
    <x v="0"/>
  </r>
  <r>
    <x v="1"/>
    <x v="20"/>
    <x v="21"/>
    <s v="02/01/2026"/>
    <s v="RNT"/>
    <s v="4230-8501"/>
    <n v="0"/>
    <x v="1"/>
  </r>
  <r>
    <x v="1"/>
    <x v="20"/>
    <x v="21"/>
    <s v="03/01/2026"/>
    <s v="RNT"/>
    <s v="4230-8501"/>
    <n v="0"/>
    <x v="2"/>
  </r>
  <r>
    <x v="1"/>
    <x v="20"/>
    <x v="21"/>
    <s v="04/01/2026"/>
    <s v="RNT"/>
    <s v="4230-8501"/>
    <n v="0"/>
    <x v="3"/>
  </r>
  <r>
    <x v="1"/>
    <x v="20"/>
    <x v="21"/>
    <s v="05/01/2026"/>
    <s v="RNT"/>
    <s v="4230-8501"/>
    <n v="0"/>
    <x v="4"/>
  </r>
  <r>
    <x v="1"/>
    <x v="20"/>
    <x v="21"/>
    <s v="06/01/2026"/>
    <s v="RNT"/>
    <s v="4230-8501"/>
    <n v="0"/>
    <x v="5"/>
  </r>
  <r>
    <x v="1"/>
    <x v="20"/>
    <x v="21"/>
    <s v="07/01/2026"/>
    <s v="RNT"/>
    <s v="4230-8501"/>
    <n v="0"/>
    <x v="6"/>
  </r>
  <r>
    <x v="1"/>
    <x v="20"/>
    <x v="21"/>
    <s v="08/01/2026"/>
    <s v="RNT"/>
    <s v="4230-8501"/>
    <n v="0"/>
    <x v="7"/>
  </r>
  <r>
    <x v="1"/>
    <x v="20"/>
    <x v="21"/>
    <s v="09/01/2026"/>
    <s v="RNT"/>
    <s v="4230-8501"/>
    <n v="0"/>
    <x v="8"/>
  </r>
  <r>
    <x v="1"/>
    <x v="20"/>
    <x v="21"/>
    <s v="10/01/2026"/>
    <s v="RNT"/>
    <s v="4230-8501"/>
    <n v="0"/>
    <x v="9"/>
  </r>
  <r>
    <x v="1"/>
    <x v="20"/>
    <x v="21"/>
    <s v="11/01/2026"/>
    <s v="RNT"/>
    <s v="4230-8501"/>
    <n v="0"/>
    <x v="10"/>
  </r>
  <r>
    <x v="1"/>
    <x v="20"/>
    <x v="21"/>
    <s v="12/01/2026"/>
    <s v="RNT"/>
    <s v="4230-8501"/>
    <n v="0"/>
    <x v="11"/>
  </r>
  <r>
    <x v="2"/>
    <x v="21"/>
    <x v="22"/>
    <s v="01/01/2026"/>
    <s v="RNT"/>
    <s v="4230-8501"/>
    <n v="2716.67"/>
    <x v="0"/>
  </r>
  <r>
    <x v="2"/>
    <x v="21"/>
    <x v="22"/>
    <s v="02/01/2026"/>
    <s v="RNT"/>
    <s v="4230-8501"/>
    <n v="2716.67"/>
    <x v="1"/>
  </r>
  <r>
    <x v="2"/>
    <x v="22"/>
    <x v="23"/>
    <s v="01/01/2026"/>
    <s v="RNT"/>
    <s v="4230-8501"/>
    <n v="1831.92"/>
    <x v="0"/>
  </r>
  <r>
    <x v="2"/>
    <x v="22"/>
    <x v="23"/>
    <s v="02/01/2026"/>
    <s v="RNT"/>
    <s v="4230-8501"/>
    <n v="1831.92"/>
    <x v="1"/>
  </r>
  <r>
    <x v="2"/>
    <x v="22"/>
    <x v="23"/>
    <s v="03/01/2026"/>
    <s v="RNT"/>
    <s v="4230-8501"/>
    <n v="1831.92"/>
    <x v="2"/>
  </r>
  <r>
    <x v="2"/>
    <x v="22"/>
    <x v="23"/>
    <s v="04/01/2026"/>
    <s v="RNT"/>
    <s v="4230-8501"/>
    <n v="1831.92"/>
    <x v="3"/>
  </r>
  <r>
    <x v="2"/>
    <x v="22"/>
    <x v="23"/>
    <s v="05/01/2026"/>
    <s v="RNT"/>
    <s v="4230-8501"/>
    <n v="1831.92"/>
    <x v="4"/>
  </r>
  <r>
    <x v="2"/>
    <x v="22"/>
    <x v="23"/>
    <s v="06/01/2026"/>
    <s v="RNT"/>
    <s v="4230-8501"/>
    <n v="1831.92"/>
    <x v="5"/>
  </r>
  <r>
    <x v="2"/>
    <x v="23"/>
    <x v="24"/>
    <s v="01/01/2026"/>
    <s v="RNT"/>
    <s v="4230-8501"/>
    <n v="1421.42"/>
    <x v="0"/>
  </r>
  <r>
    <x v="2"/>
    <x v="23"/>
    <x v="24"/>
    <s v="02/01/2026"/>
    <s v="RNT"/>
    <s v="4230-8501"/>
    <n v="1421.42"/>
    <x v="1"/>
  </r>
  <r>
    <x v="2"/>
    <x v="23"/>
    <x v="24"/>
    <s v="03/01/2026"/>
    <s v="RNT"/>
    <s v="4230-8501"/>
    <n v="1421.42"/>
    <x v="2"/>
  </r>
  <r>
    <x v="2"/>
    <x v="23"/>
    <x v="24"/>
    <s v="04/01/2026"/>
    <s v="RNT"/>
    <s v="4230-8501"/>
    <n v="1421.42"/>
    <x v="3"/>
  </r>
  <r>
    <x v="2"/>
    <x v="23"/>
    <x v="24"/>
    <s v="05/01/2026"/>
    <s v="RNT"/>
    <s v="4230-8501"/>
    <n v="1421.42"/>
    <x v="4"/>
  </r>
  <r>
    <x v="2"/>
    <x v="23"/>
    <x v="24"/>
    <s v="06/01/2026"/>
    <s v="RNT"/>
    <s v="4230-8501"/>
    <n v="1421.42"/>
    <x v="5"/>
  </r>
  <r>
    <x v="2"/>
    <x v="23"/>
    <x v="24"/>
    <s v="07/01/2026"/>
    <s v="RNT"/>
    <s v="4230-8501"/>
    <n v="1421.42"/>
    <x v="6"/>
  </r>
  <r>
    <x v="2"/>
    <x v="23"/>
    <x v="24"/>
    <s v="08/01/2026"/>
    <s v="RNT"/>
    <s v="4230-8501"/>
    <n v="1421.42"/>
    <x v="7"/>
  </r>
  <r>
    <x v="2"/>
    <x v="23"/>
    <x v="24"/>
    <s v="09/01/2026"/>
    <s v="RNT"/>
    <s v="4230-8501"/>
    <n v="1421.42"/>
    <x v="8"/>
  </r>
  <r>
    <x v="2"/>
    <x v="23"/>
    <x v="24"/>
    <s v="10/01/2026"/>
    <s v="RNT"/>
    <s v="4230-8501"/>
    <n v="1421.42"/>
    <x v="9"/>
  </r>
  <r>
    <x v="2"/>
    <x v="24"/>
    <x v="25"/>
    <s v="01/01/2026"/>
    <s v="RNT"/>
    <s v="4230-8501"/>
    <n v="5010"/>
    <x v="0"/>
  </r>
  <r>
    <x v="2"/>
    <x v="24"/>
    <x v="25"/>
    <s v="02/01/2026"/>
    <s v="RNT"/>
    <s v="4230-8501"/>
    <n v="5010"/>
    <x v="1"/>
  </r>
  <r>
    <x v="2"/>
    <x v="24"/>
    <x v="25"/>
    <s v="03/01/2026"/>
    <s v="RNT"/>
    <s v="4230-8501"/>
    <n v="5010"/>
    <x v="2"/>
  </r>
  <r>
    <x v="2"/>
    <x v="24"/>
    <x v="25"/>
    <s v="04/01/2026"/>
    <s v="RNT"/>
    <s v="4230-8501"/>
    <n v="5010"/>
    <x v="3"/>
  </r>
  <r>
    <x v="2"/>
    <x v="24"/>
    <x v="25"/>
    <s v="05/01/2026"/>
    <s v="RNT"/>
    <s v="4230-8501"/>
    <n v="5010"/>
    <x v="4"/>
  </r>
  <r>
    <x v="2"/>
    <x v="24"/>
    <x v="25"/>
    <s v="06/01/2026"/>
    <s v="RNT"/>
    <s v="4230-8501"/>
    <n v="5010"/>
    <x v="5"/>
  </r>
  <r>
    <x v="2"/>
    <x v="24"/>
    <x v="25"/>
    <s v="07/01/2026"/>
    <s v="RNT"/>
    <s v="4230-8501"/>
    <n v="5010"/>
    <x v="6"/>
  </r>
  <r>
    <x v="2"/>
    <x v="24"/>
    <x v="25"/>
    <s v="08/01/2026"/>
    <s v="RNT"/>
    <s v="4230-8501"/>
    <n v="5010"/>
    <x v="7"/>
  </r>
  <r>
    <x v="2"/>
    <x v="24"/>
    <x v="25"/>
    <s v="09/01/2026"/>
    <s v="RNT"/>
    <s v="4230-8501"/>
    <n v="5010"/>
    <x v="8"/>
  </r>
  <r>
    <x v="2"/>
    <x v="24"/>
    <x v="25"/>
    <s v="10/01/2026"/>
    <s v="RNT"/>
    <s v="4230-8501"/>
    <n v="5010"/>
    <x v="9"/>
  </r>
  <r>
    <x v="2"/>
    <x v="24"/>
    <x v="25"/>
    <s v="11/01/2026"/>
    <s v="RNT"/>
    <s v="4230-8501"/>
    <n v="5010"/>
    <x v="10"/>
  </r>
  <r>
    <x v="2"/>
    <x v="24"/>
    <x v="25"/>
    <s v="12/01/2026"/>
    <s v="RNT"/>
    <s v="4230-8501"/>
    <n v="5010"/>
    <x v="11"/>
  </r>
  <r>
    <x v="2"/>
    <x v="25"/>
    <x v="26"/>
    <s v="01/01/2026"/>
    <s v="RNT"/>
    <s v="4230-8501"/>
    <n v="1270.75"/>
    <x v="0"/>
  </r>
  <r>
    <x v="2"/>
    <x v="25"/>
    <x v="26"/>
    <s v="02/01/2026"/>
    <s v="RNT"/>
    <s v="4230-8501"/>
    <n v="1270.75"/>
    <x v="1"/>
  </r>
  <r>
    <x v="2"/>
    <x v="25"/>
    <x v="26"/>
    <s v="03/01/2026"/>
    <s v="RNT"/>
    <s v="4230-8501"/>
    <n v="1270.75"/>
    <x v="2"/>
  </r>
  <r>
    <x v="2"/>
    <x v="25"/>
    <x v="26"/>
    <s v="04/01/2026"/>
    <s v="RNT"/>
    <s v="4230-8501"/>
    <n v="1270.75"/>
    <x v="3"/>
  </r>
  <r>
    <x v="2"/>
    <x v="25"/>
    <x v="26"/>
    <s v="05/01/2026"/>
    <s v="RNT"/>
    <s v="4230-8501"/>
    <n v="1270.75"/>
    <x v="4"/>
  </r>
  <r>
    <x v="2"/>
    <x v="25"/>
    <x v="26"/>
    <s v="06/01/2026"/>
    <s v="RNT"/>
    <s v="4230-8501"/>
    <n v="1270.75"/>
    <x v="5"/>
  </r>
  <r>
    <x v="2"/>
    <x v="26"/>
    <x v="27"/>
    <s v="01/01/2026"/>
    <s v="RNT"/>
    <s v="4230-8501"/>
    <n v="2093"/>
    <x v="0"/>
  </r>
  <r>
    <x v="2"/>
    <x v="26"/>
    <x v="27"/>
    <s v="02/01/2026"/>
    <s v="RNT"/>
    <s v="4230-8501"/>
    <n v="2093"/>
    <x v="1"/>
  </r>
  <r>
    <x v="2"/>
    <x v="26"/>
    <x v="27"/>
    <s v="03/01/2026"/>
    <s v="RNT"/>
    <s v="4230-8501"/>
    <n v="2093"/>
    <x v="2"/>
  </r>
  <r>
    <x v="2"/>
    <x v="26"/>
    <x v="27"/>
    <s v="04/01/2026"/>
    <s v="RNT"/>
    <s v="4230-8501"/>
    <n v="2093"/>
    <x v="3"/>
  </r>
  <r>
    <x v="2"/>
    <x v="26"/>
    <x v="27"/>
    <s v="05/01/2026"/>
    <s v="RNT"/>
    <s v="4230-8501"/>
    <n v="2093"/>
    <x v="4"/>
  </r>
  <r>
    <x v="2"/>
    <x v="26"/>
    <x v="27"/>
    <s v="06/01/2026"/>
    <s v="RNT"/>
    <s v="4230-8501"/>
    <n v="2093"/>
    <x v="5"/>
  </r>
  <r>
    <x v="2"/>
    <x v="26"/>
    <x v="27"/>
    <s v="07/01/2026"/>
    <s v="RNT"/>
    <s v="4230-8501"/>
    <n v="2093"/>
    <x v="6"/>
  </r>
  <r>
    <x v="2"/>
    <x v="26"/>
    <x v="27"/>
    <s v="08/01/2026"/>
    <s v="RNT"/>
    <s v="4230-8501"/>
    <n v="2093"/>
    <x v="7"/>
  </r>
  <r>
    <x v="2"/>
    <x v="26"/>
    <x v="27"/>
    <s v="09/01/2026"/>
    <s v="RNT"/>
    <s v="4230-8501"/>
    <n v="2093"/>
    <x v="8"/>
  </r>
  <r>
    <x v="2"/>
    <x v="26"/>
    <x v="27"/>
    <s v="10/01/2026"/>
    <s v="RNT"/>
    <s v="4230-8501"/>
    <n v="2093"/>
    <x v="9"/>
  </r>
  <r>
    <x v="2"/>
    <x v="26"/>
    <x v="27"/>
    <s v="11/01/2026"/>
    <s v="RNT"/>
    <s v="4230-8501"/>
    <n v="2093"/>
    <x v="10"/>
  </r>
  <r>
    <x v="2"/>
    <x v="26"/>
    <x v="27"/>
    <s v="12/01/2026"/>
    <s v="RNT"/>
    <s v="4230-8501"/>
    <n v="2093"/>
    <x v="11"/>
  </r>
  <r>
    <x v="2"/>
    <x v="27"/>
    <x v="28"/>
    <s v="01/01/2026"/>
    <s v="RNT"/>
    <s v="4230-8501"/>
    <n v="5120.5"/>
    <x v="0"/>
  </r>
  <r>
    <x v="2"/>
    <x v="27"/>
    <x v="28"/>
    <s v="02/01/2026"/>
    <s v="RNT"/>
    <s v="4230-8501"/>
    <n v="5120.5"/>
    <x v="1"/>
  </r>
  <r>
    <x v="2"/>
    <x v="27"/>
    <x v="28"/>
    <s v="03/01/2026"/>
    <s v="RNT"/>
    <s v="4230-8501"/>
    <n v="5120.5"/>
    <x v="2"/>
  </r>
  <r>
    <x v="2"/>
    <x v="27"/>
    <x v="28"/>
    <s v="04/01/2026"/>
    <s v="RNT"/>
    <s v="4230-8501"/>
    <n v="5120.5"/>
    <x v="3"/>
  </r>
  <r>
    <x v="2"/>
    <x v="27"/>
    <x v="28"/>
    <s v="05/01/2026"/>
    <s v="RNT"/>
    <s v="4230-8501"/>
    <n v="5120.5"/>
    <x v="4"/>
  </r>
  <r>
    <x v="2"/>
    <x v="27"/>
    <x v="28"/>
    <s v="06/01/2026"/>
    <s v="RNT"/>
    <s v="4230-8501"/>
    <n v="5120.5"/>
    <x v="5"/>
  </r>
  <r>
    <x v="2"/>
    <x v="27"/>
    <x v="28"/>
    <s v="07/01/2026"/>
    <s v="RNT"/>
    <s v="4230-8501"/>
    <n v="5187"/>
    <x v="11"/>
  </r>
  <r>
    <x v="2"/>
    <x v="27"/>
    <x v="28"/>
    <s v="08/01/2026"/>
    <s v="RNT"/>
    <s v="4230-8501"/>
    <n v="5187"/>
    <x v="7"/>
  </r>
  <r>
    <x v="2"/>
    <x v="27"/>
    <x v="28"/>
    <s v="09/01/2026"/>
    <s v="RNT"/>
    <s v="4230-8501"/>
    <n v="5187"/>
    <x v="8"/>
  </r>
  <r>
    <x v="2"/>
    <x v="27"/>
    <x v="28"/>
    <s v="10/01/2026"/>
    <s v="RNT"/>
    <s v="4230-8501"/>
    <n v="5187"/>
    <x v="9"/>
  </r>
  <r>
    <x v="2"/>
    <x v="27"/>
    <x v="28"/>
    <s v="11/01/2026"/>
    <s v="RNT"/>
    <s v="4230-8501"/>
    <n v="5187"/>
    <x v="10"/>
  </r>
  <r>
    <x v="2"/>
    <x v="27"/>
    <x v="28"/>
    <s v="12/01/2026"/>
    <s v="RNT"/>
    <s v="4230-8501"/>
    <n v="5187"/>
    <x v="11"/>
  </r>
  <r>
    <x v="2"/>
    <x v="28"/>
    <x v="29"/>
    <s v="01/01/2026"/>
    <s v="RNT"/>
    <s v="4230-8501"/>
    <n v="10879"/>
    <x v="0"/>
  </r>
  <r>
    <x v="2"/>
    <x v="28"/>
    <x v="29"/>
    <s v="02/01/2026"/>
    <s v="RNT"/>
    <s v="4230-8501"/>
    <n v="10879"/>
    <x v="1"/>
  </r>
  <r>
    <x v="2"/>
    <x v="28"/>
    <x v="29"/>
    <s v="03/01/2026"/>
    <s v="RNT"/>
    <s v="4230-8501"/>
    <n v="10879"/>
    <x v="2"/>
  </r>
  <r>
    <x v="2"/>
    <x v="28"/>
    <x v="29"/>
    <s v="04/01/2026"/>
    <s v="RNT"/>
    <s v="4230-8501"/>
    <n v="10879"/>
    <x v="3"/>
  </r>
  <r>
    <x v="2"/>
    <x v="28"/>
    <x v="29"/>
    <s v="05/01/2026"/>
    <s v="RNT"/>
    <s v="4230-8501"/>
    <n v="10879"/>
    <x v="4"/>
  </r>
  <r>
    <x v="2"/>
    <x v="28"/>
    <x v="29"/>
    <s v="06/01/2026"/>
    <s v="RNT"/>
    <s v="4230-8501"/>
    <n v="10879"/>
    <x v="5"/>
  </r>
  <r>
    <x v="2"/>
    <x v="28"/>
    <x v="29"/>
    <s v="07/01/2026"/>
    <s v="RNT"/>
    <s v="4230-8501"/>
    <n v="10879"/>
    <x v="6"/>
  </r>
  <r>
    <x v="2"/>
    <x v="28"/>
    <x v="29"/>
    <s v="08/01/2026"/>
    <s v="RNT"/>
    <s v="4230-8501"/>
    <n v="10879"/>
    <x v="7"/>
  </r>
  <r>
    <x v="2"/>
    <x v="28"/>
    <x v="29"/>
    <s v="09/01/2026"/>
    <s v="RNT"/>
    <s v="4230-8501"/>
    <n v="10879"/>
    <x v="8"/>
  </r>
  <r>
    <x v="2"/>
    <x v="28"/>
    <x v="29"/>
    <s v="10/01/2026"/>
    <s v="RNT"/>
    <s v="4230-8501"/>
    <n v="10879"/>
    <x v="9"/>
  </r>
  <r>
    <x v="2"/>
    <x v="28"/>
    <x v="29"/>
    <s v="11/01/2026"/>
    <s v="RNT"/>
    <s v="4230-8501"/>
    <n v="10879"/>
    <x v="10"/>
  </r>
  <r>
    <x v="2"/>
    <x v="28"/>
    <x v="29"/>
    <s v="12/01/2026"/>
    <s v="RNT"/>
    <s v="4230-8501"/>
    <n v="10879"/>
    <x v="11"/>
  </r>
  <r>
    <x v="2"/>
    <x v="29"/>
    <x v="30"/>
    <s v="01/01/2026"/>
    <s v="RNT"/>
    <s v="4230-8501"/>
    <n v="3836.25"/>
    <x v="0"/>
  </r>
  <r>
    <x v="2"/>
    <x v="29"/>
    <x v="30"/>
    <s v="02/01/2026"/>
    <s v="RNT"/>
    <s v="4230-8501"/>
    <n v="3836.25"/>
    <x v="1"/>
  </r>
  <r>
    <x v="2"/>
    <x v="29"/>
    <x v="30"/>
    <s v="03/01/2026"/>
    <s v="RNT"/>
    <s v="4230-8501"/>
    <n v="3836.25"/>
    <x v="2"/>
  </r>
  <r>
    <x v="2"/>
    <x v="29"/>
    <x v="30"/>
    <s v="04/01/2026"/>
    <s v="RNT"/>
    <s v="4230-8501"/>
    <n v="3836.25"/>
    <x v="3"/>
  </r>
  <r>
    <x v="2"/>
    <x v="29"/>
    <x v="30"/>
    <s v="05/01/2026"/>
    <s v="RNT"/>
    <s v="4230-8501"/>
    <n v="3836.25"/>
    <x v="4"/>
  </r>
  <r>
    <x v="2"/>
    <x v="29"/>
    <x v="30"/>
    <s v="06/01/2026"/>
    <s v="RNT"/>
    <s v="4230-8501"/>
    <n v="3836.25"/>
    <x v="5"/>
  </r>
  <r>
    <x v="2"/>
    <x v="29"/>
    <x v="30"/>
    <s v="07/01/2026"/>
    <s v="RNT"/>
    <s v="4230-8501"/>
    <n v="3836.25"/>
    <x v="6"/>
  </r>
  <r>
    <x v="2"/>
    <x v="29"/>
    <x v="30"/>
    <s v="08/01/2026"/>
    <s v="RNT"/>
    <s v="4230-8501"/>
    <n v="3952.5"/>
    <x v="7"/>
  </r>
  <r>
    <x v="2"/>
    <x v="29"/>
    <x v="30"/>
    <s v="09/01/2026"/>
    <s v="RNT"/>
    <s v="4230-8501"/>
    <n v="3952.5"/>
    <x v="8"/>
  </r>
  <r>
    <x v="2"/>
    <x v="29"/>
    <x v="30"/>
    <s v="10/01/2026"/>
    <s v="RNT"/>
    <s v="4230-8501"/>
    <n v="3952.5"/>
    <x v="9"/>
  </r>
  <r>
    <x v="2"/>
    <x v="29"/>
    <x v="30"/>
    <s v="11/01/2026"/>
    <s v="RNT"/>
    <s v="4230-8501"/>
    <n v="3952.5"/>
    <x v="10"/>
  </r>
  <r>
    <x v="2"/>
    <x v="29"/>
    <x v="30"/>
    <s v="12/01/2026"/>
    <s v="RNT"/>
    <s v="4230-8501"/>
    <n v="3952.5"/>
    <x v="11"/>
  </r>
  <r>
    <x v="2"/>
    <x v="30"/>
    <x v="31"/>
    <s v="01/01/2026"/>
    <s v="RNT"/>
    <s v="4230-8501"/>
    <n v="1325"/>
    <x v="0"/>
  </r>
  <r>
    <x v="2"/>
    <x v="30"/>
    <x v="31"/>
    <s v="02/01/2026"/>
    <s v="RNT"/>
    <s v="4230-8501"/>
    <n v="1325"/>
    <x v="1"/>
  </r>
  <r>
    <x v="2"/>
    <x v="30"/>
    <x v="31"/>
    <s v="03/01/2026"/>
    <s v="RNT"/>
    <s v="4230-8501"/>
    <n v="1325"/>
    <x v="2"/>
  </r>
  <r>
    <x v="2"/>
    <x v="30"/>
    <x v="31"/>
    <s v="04/01/2026"/>
    <s v="RNT"/>
    <s v="4230-8501"/>
    <n v="1325"/>
    <x v="3"/>
  </r>
  <r>
    <x v="2"/>
    <x v="30"/>
    <x v="31"/>
    <s v="05/01/2026"/>
    <s v="RNT"/>
    <s v="4230-8501"/>
    <n v="1325"/>
    <x v="4"/>
  </r>
  <r>
    <x v="2"/>
    <x v="30"/>
    <x v="31"/>
    <s v="06/01/2026"/>
    <s v="RNT"/>
    <s v="4230-8501"/>
    <n v="1325"/>
    <x v="5"/>
  </r>
  <r>
    <x v="2"/>
    <x v="31"/>
    <x v="32"/>
    <s v="01/01/2026"/>
    <s v="RNT"/>
    <s v="4230-8501"/>
    <n v="13544.75"/>
    <x v="0"/>
  </r>
  <r>
    <x v="2"/>
    <x v="31"/>
    <x v="32"/>
    <s v="02/01/2026"/>
    <s v="RNT"/>
    <s v="4230-8501"/>
    <n v="13544.75"/>
    <x v="1"/>
  </r>
  <r>
    <x v="2"/>
    <x v="31"/>
    <x v="32"/>
    <s v="03/01/2026"/>
    <s v="RNT"/>
    <s v="4230-8501"/>
    <n v="13544.75"/>
    <x v="2"/>
  </r>
  <r>
    <x v="2"/>
    <x v="31"/>
    <x v="32"/>
    <s v="04/01/2026"/>
    <s v="RNT"/>
    <s v="4230-8501"/>
    <n v="13544.75"/>
    <x v="3"/>
  </r>
  <r>
    <x v="2"/>
    <x v="31"/>
    <x v="32"/>
    <s v="05/01/2026"/>
    <s v="RNT"/>
    <s v="4230-8501"/>
    <n v="13544.75"/>
    <x v="4"/>
  </r>
  <r>
    <x v="2"/>
    <x v="31"/>
    <x v="32"/>
    <s v="06/01/2026"/>
    <s v="RNT"/>
    <s v="4230-8501"/>
    <n v="13544.75"/>
    <x v="5"/>
  </r>
  <r>
    <x v="2"/>
    <x v="31"/>
    <x v="32"/>
    <s v="07/01/2026"/>
    <s v="RNT"/>
    <s v="4230-8501"/>
    <n v="13544.75"/>
    <x v="6"/>
  </r>
  <r>
    <x v="2"/>
    <x v="31"/>
    <x v="32"/>
    <s v="08/01/2026"/>
    <s v="RNT"/>
    <s v="4230-8501"/>
    <n v="13544.75"/>
    <x v="7"/>
  </r>
  <r>
    <x v="2"/>
    <x v="31"/>
    <x v="32"/>
    <s v="09/01/2026"/>
    <s v="RNT"/>
    <s v="4230-8501"/>
    <n v="13544.75"/>
    <x v="8"/>
  </r>
  <r>
    <x v="2"/>
    <x v="32"/>
    <x v="33"/>
    <s v="01/01/2026"/>
    <s v="RNT"/>
    <s v="4230-8501"/>
    <n v="12025"/>
    <x v="0"/>
  </r>
  <r>
    <x v="2"/>
    <x v="32"/>
    <x v="33"/>
    <s v="02/01/2026"/>
    <s v="RNT"/>
    <s v="4230-8501"/>
    <n v="12025"/>
    <x v="1"/>
  </r>
  <r>
    <x v="2"/>
    <x v="32"/>
    <x v="33"/>
    <s v="03/01/2026"/>
    <s v="RNT"/>
    <s v="4230-8501"/>
    <n v="12025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F00-000000000000}" name="PivotTable2" cacheId="2" applyNumberFormats="0" applyBorderFormats="0" applyFontFormats="0" applyPatternFormats="0" applyAlignmentFormats="0" applyWidthHeightFormats="1" dataCaption="Values" updatedVersion="6" minRefreshableVersion="3" useAutoFormatting="1" subtotalHiddenItems="1" itemPrintTitles="1" createdVersion="6" indent="0" outline="1" outlineData="1" multipleFieldFilters="0">
  <location ref="A3:N63" firstHeaderRow="1" firstDataRow="2" firstDataCol="1"/>
  <pivotFields count="3">
    <pivotField axis="axisCol" allDrilled="1" subtotalTop="0" showAll="0" dataSourceSort="1" defaultSubtotal="0">
      <items count="12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</items>
    </pivotField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axis="axisRow" allDrilled="1" subtotalTop="0" showAll="0" dataSourceSort="1" defaultSubtotal="0" defaultAttributeDrillState="1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</items>
    </pivotField>
  </pivotFields>
  <rowFields count="2">
    <field x="1"/>
    <field x="2"/>
  </rowFields>
  <rowItems count="59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1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>
      <x v="2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>
      <x v="3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>
      <x v="4"/>
    </i>
    <i r="1">
      <x v="46"/>
    </i>
    <i r="1">
      <x v="47"/>
    </i>
    <i r="1">
      <x v="48"/>
    </i>
    <i>
      <x v="5"/>
    </i>
    <i r="1">
      <x v="49"/>
    </i>
    <i>
      <x v="6"/>
    </i>
    <i r="1">
      <x v="50"/>
    </i>
    <i t="grand">
      <x/>
    </i>
  </rowItems>
  <colFields count="1">
    <field x="0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ivotHierarchies count="1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</pivotHierarchies>
  <pivotTableStyleInfo name="PivotStyleLight19" showRowHeaders="1" showColHeaders="1" showRowStripes="0" showColStripes="0" showLastColumn="1"/>
  <rowHierarchiesUsage count="2">
    <rowHierarchyUsage hierarchyUsage="0"/>
    <rowHierarchyUsage hierarchyUsage="1"/>
  </rowHierarchiesUsage>
  <colHierarchiesUsage count="1">
    <colHierarchyUsage hierarchyUsage="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JM Revenue!$A$1:$H$587">
        <x15:activeTabTopLevelEntity name="[Range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CCB28E-55BF-42C2-9052-2B7C062A5316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8:X80" firstHeaderRow="1" firstDataRow="2" firstDataCol="1"/>
  <pivotFields count="8">
    <pivotField axis="axisRow" showAll="0">
      <items count="4">
        <item x="0"/>
        <item x="1"/>
        <item x="2"/>
        <item t="default"/>
      </items>
    </pivotField>
    <pivotField axis="axisRow" showAll="0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axis="axisRow" showAll="0">
      <items count="35">
        <item x="15"/>
        <item x="2"/>
        <item x="0"/>
        <item x="6"/>
        <item x="14"/>
        <item x="21"/>
        <item x="26"/>
        <item x="20"/>
        <item x="23"/>
        <item x="9"/>
        <item x="25"/>
        <item x="29"/>
        <item x="22"/>
        <item x="19"/>
        <item x="13"/>
        <item x="11"/>
        <item x="4"/>
        <item x="17"/>
        <item x="18"/>
        <item x="16"/>
        <item x="3"/>
        <item x="27"/>
        <item x="5"/>
        <item x="7"/>
        <item x="28"/>
        <item x="1"/>
        <item x="24"/>
        <item x="32"/>
        <item x="30"/>
        <item x="33"/>
        <item x="10"/>
        <item x="31"/>
        <item x="12"/>
        <item x="8"/>
        <item t="default"/>
      </items>
    </pivotField>
    <pivotField showAll="0"/>
    <pivotField showAll="0"/>
    <pivotField showAll="0"/>
    <pivotField dataField="1" showAll="0"/>
    <pivotField axis="axisCol" numFmtI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3">
    <field x="0"/>
    <field x="1"/>
    <field x="2"/>
  </rowFields>
  <rowItems count="71">
    <i>
      <x/>
    </i>
    <i r="1">
      <x/>
    </i>
    <i r="2">
      <x v="2"/>
    </i>
    <i r="1">
      <x v="1"/>
    </i>
    <i r="2">
      <x v="25"/>
    </i>
    <i r="1">
      <x v="2"/>
    </i>
    <i r="2">
      <x v="1"/>
    </i>
    <i r="1">
      <x v="3"/>
    </i>
    <i r="2">
      <x v="20"/>
    </i>
    <i r="1">
      <x v="4"/>
    </i>
    <i r="2">
      <x v="16"/>
    </i>
    <i r="1">
      <x v="5"/>
    </i>
    <i r="2">
      <x v="22"/>
    </i>
    <i r="1">
      <x v="6"/>
    </i>
    <i r="2">
      <x v="3"/>
    </i>
    <i r="1">
      <x v="7"/>
    </i>
    <i r="2">
      <x v="23"/>
    </i>
    <i r="1">
      <x v="8"/>
    </i>
    <i r="2">
      <x v="33"/>
    </i>
    <i r="1">
      <x v="9"/>
    </i>
    <i r="2">
      <x v="9"/>
    </i>
    <i r="1">
      <x v="10"/>
    </i>
    <i r="2">
      <x v="30"/>
    </i>
    <i r="1">
      <x v="11"/>
    </i>
    <i r="2">
      <x v="15"/>
    </i>
    <i>
      <x v="1"/>
    </i>
    <i r="1">
      <x v="12"/>
    </i>
    <i r="2">
      <x v="32"/>
    </i>
    <i r="1">
      <x v="13"/>
    </i>
    <i r="2">
      <x v="14"/>
    </i>
    <i r="1">
      <x v="14"/>
    </i>
    <i r="2">
      <x/>
    </i>
    <i r="2">
      <x v="4"/>
    </i>
    <i r="1">
      <x v="15"/>
    </i>
    <i r="2">
      <x v="19"/>
    </i>
    <i r="1">
      <x v="16"/>
    </i>
    <i r="2">
      <x v="17"/>
    </i>
    <i r="1">
      <x v="17"/>
    </i>
    <i r="2">
      <x v="18"/>
    </i>
    <i r="1">
      <x v="18"/>
    </i>
    <i r="2">
      <x v="13"/>
    </i>
    <i r="1">
      <x v="19"/>
    </i>
    <i r="2">
      <x v="7"/>
    </i>
    <i r="1">
      <x v="20"/>
    </i>
    <i r="2">
      <x v="5"/>
    </i>
    <i>
      <x v="2"/>
    </i>
    <i r="1">
      <x v="21"/>
    </i>
    <i r="2">
      <x v="12"/>
    </i>
    <i r="1">
      <x v="22"/>
    </i>
    <i r="2">
      <x v="8"/>
    </i>
    <i r="1">
      <x v="23"/>
    </i>
    <i r="2">
      <x v="26"/>
    </i>
    <i r="1">
      <x v="24"/>
    </i>
    <i r="2">
      <x v="10"/>
    </i>
    <i r="1">
      <x v="25"/>
    </i>
    <i r="2">
      <x v="6"/>
    </i>
    <i r="1">
      <x v="26"/>
    </i>
    <i r="2">
      <x v="21"/>
    </i>
    <i r="1">
      <x v="27"/>
    </i>
    <i r="2">
      <x v="24"/>
    </i>
    <i r="1">
      <x v="28"/>
    </i>
    <i r="2">
      <x v="11"/>
    </i>
    <i r="1">
      <x v="29"/>
    </i>
    <i r="2">
      <x v="28"/>
    </i>
    <i r="1">
      <x v="30"/>
    </i>
    <i r="2">
      <x v="31"/>
    </i>
    <i r="1">
      <x v="31"/>
    </i>
    <i r="2">
      <x v="27"/>
    </i>
    <i r="1">
      <x v="32"/>
    </i>
    <i r="2">
      <x v="29"/>
    </i>
    <i t="grand">
      <x/>
    </i>
  </rowItems>
  <colFields count="1">
    <field x="7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um of Charge Amoun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pivotTable" Target="../pivotTables/pivotTable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D6404-FDFD-412C-B9FE-1F1887EE34FA}">
  <sheetPr>
    <pageSetUpPr fitToPage="1"/>
  </sheetPr>
  <dimension ref="A1:A3"/>
  <sheetViews>
    <sheetView view="pageBreakPreview" zoomScale="160" zoomScaleNormal="100" zoomScaleSheetLayoutView="160" workbookViewId="0">
      <selection activeCell="H2" sqref="H2"/>
    </sheetView>
  </sheetViews>
  <sheetFormatPr defaultColWidth="8.7265625" defaultRowHeight="32.5" x14ac:dyDescent="0.6"/>
  <cols>
    <col min="1" max="1" width="64.81640625" style="446" bestFit="1" customWidth="1"/>
    <col min="2" max="4" width="8.7265625" style="446"/>
    <col min="5" max="5" width="22.26953125" style="446" bestFit="1" customWidth="1"/>
    <col min="6" max="16384" width="8.7265625" style="446"/>
  </cols>
  <sheetData>
    <row r="1" spans="1:1" ht="44" x14ac:dyDescent="0.8">
      <c r="A1" s="448" t="str">
        <f>'JV III Consolidated'!J1</f>
        <v>Operating Budget</v>
      </c>
    </row>
    <row r="2" spans="1:1" ht="36.5" x14ac:dyDescent="0.75">
      <c r="A2" s="449" t="str">
        <f>'JV III Consolidated'!J2</f>
        <v>Lincoln JV III</v>
      </c>
    </row>
    <row r="3" spans="1:1" x14ac:dyDescent="0.6">
      <c r="A3" s="447">
        <f>'JV III Consolidated'!Q1</f>
        <v>46023</v>
      </c>
    </row>
  </sheetData>
  <printOptions horizontalCentered="1" verticalCentered="1"/>
  <pageMargins left="0.25" right="0.25" top="0" bottom="0" header="0.05" footer="0.25"/>
  <pageSetup fitToHeight="0" orientation="landscape" r:id="rId1"/>
  <headerFooter>
    <oddHeader>&amp;R&amp;D</oddHead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3F835-9240-4926-B9D1-70A5A7928B67}">
  <sheetPr>
    <pageSetUpPr fitToPage="1"/>
  </sheetPr>
  <dimension ref="A1:F58"/>
  <sheetViews>
    <sheetView workbookViewId="0">
      <selection activeCell="F11" sqref="F11"/>
    </sheetView>
  </sheetViews>
  <sheetFormatPr defaultRowHeight="12.5" x14ac:dyDescent="0.25"/>
  <cols>
    <col min="1" max="1" width="5.81640625" style="4" customWidth="1"/>
    <col min="2" max="2" width="6.81640625" style="4" customWidth="1"/>
    <col min="3" max="3" width="12.1796875" style="4" customWidth="1"/>
    <col min="4" max="4" width="46.7265625" style="4" customWidth="1"/>
    <col min="5" max="5" width="18" style="4" customWidth="1"/>
    <col min="6" max="6" width="54" style="4" customWidth="1"/>
    <col min="7" max="16384" width="8.7265625" style="4"/>
  </cols>
  <sheetData>
    <row r="1" spans="1:6" ht="17.5" x14ac:dyDescent="0.35">
      <c r="A1" s="459" t="s">
        <v>502</v>
      </c>
      <c r="B1" s="460"/>
      <c r="C1" s="460"/>
      <c r="D1" s="460"/>
      <c r="E1" s="460"/>
      <c r="F1" s="460"/>
    </row>
    <row r="2" spans="1:6" ht="17.5" x14ac:dyDescent="0.35">
      <c r="A2" s="459" t="s">
        <v>484</v>
      </c>
      <c r="B2" s="460"/>
      <c r="C2" s="460"/>
      <c r="D2" s="460"/>
      <c r="E2" s="460"/>
      <c r="F2" s="460"/>
    </row>
    <row r="3" spans="1:6" x14ac:dyDescent="0.25">
      <c r="A3" s="460"/>
      <c r="B3" s="460"/>
      <c r="C3" s="460"/>
      <c r="D3" s="460"/>
      <c r="E3" s="460"/>
      <c r="F3" s="460"/>
    </row>
    <row r="7" spans="1:6" ht="16" x14ac:dyDescent="0.35">
      <c r="B7" s="7" t="s">
        <v>601</v>
      </c>
      <c r="E7" s="461">
        <f>+'JV III Consolidated'!Q131</f>
        <v>79039.968029567855</v>
      </c>
      <c r="F7" s="7"/>
    </row>
    <row r="8" spans="1:6" ht="16" x14ac:dyDescent="0.35">
      <c r="E8" s="7"/>
      <c r="F8" s="7"/>
    </row>
    <row r="9" spans="1:6" ht="16" x14ac:dyDescent="0.35">
      <c r="B9" s="7" t="s">
        <v>593</v>
      </c>
      <c r="E9" s="7">
        <f>+'JV III Consolidated'!D139</f>
        <v>140840.01</v>
      </c>
      <c r="F9" s="7"/>
    </row>
    <row r="10" spans="1:6" ht="16" x14ac:dyDescent="0.35">
      <c r="E10" s="7"/>
      <c r="F10" s="7"/>
    </row>
    <row r="11" spans="1:6" ht="32" x14ac:dyDescent="0.35">
      <c r="A11" s="462"/>
      <c r="B11" s="463" t="s">
        <v>485</v>
      </c>
      <c r="C11" s="462"/>
      <c r="D11" s="462"/>
      <c r="E11" s="463">
        <v>0</v>
      </c>
      <c r="F11" s="464" t="s">
        <v>600</v>
      </c>
    </row>
    <row r="12" spans="1:6" ht="16" x14ac:dyDescent="0.35">
      <c r="E12" s="7"/>
      <c r="F12" s="7"/>
    </row>
    <row r="13" spans="1:6" ht="16" x14ac:dyDescent="0.35">
      <c r="A13" s="465" t="s">
        <v>487</v>
      </c>
      <c r="B13" s="7" t="s">
        <v>574</v>
      </c>
      <c r="E13" s="16">
        <f>+'JV III Consolidated'!Q117+'JV III Consolidated'!Q120</f>
        <v>33135.754999999997</v>
      </c>
      <c r="F13" s="7" t="s">
        <v>503</v>
      </c>
    </row>
    <row r="14" spans="1:6" ht="16" x14ac:dyDescent="0.35">
      <c r="B14" s="7"/>
      <c r="E14" s="7"/>
      <c r="F14" s="7"/>
    </row>
    <row r="15" spans="1:6" ht="16" x14ac:dyDescent="0.35">
      <c r="B15" s="7"/>
      <c r="C15" s="7" t="s">
        <v>486</v>
      </c>
      <c r="E15" s="9">
        <f>SUM(E7:E13)</f>
        <v>253015.73302956787</v>
      </c>
      <c r="F15" s="7"/>
    </row>
    <row r="16" spans="1:6" ht="16" x14ac:dyDescent="0.35">
      <c r="E16" s="7"/>
      <c r="F16" s="7"/>
    </row>
    <row r="17" spans="1:6" ht="16" x14ac:dyDescent="0.35">
      <c r="A17" s="465" t="s">
        <v>488</v>
      </c>
      <c r="C17" s="7" t="s">
        <v>599</v>
      </c>
      <c r="E17" s="16">
        <v>250000</v>
      </c>
      <c r="F17" s="7"/>
    </row>
    <row r="18" spans="1:6" ht="16.5" thickBot="1" x14ac:dyDescent="0.4">
      <c r="C18" s="7" t="s">
        <v>510</v>
      </c>
      <c r="E18" s="466">
        <f>SUM(E15:E17)</f>
        <v>503015.73302956787</v>
      </c>
      <c r="F18" s="7"/>
    </row>
    <row r="19" spans="1:6" ht="16.5" thickTop="1" x14ac:dyDescent="0.35">
      <c r="C19" s="7"/>
      <c r="E19" s="467"/>
      <c r="F19" s="7"/>
    </row>
    <row r="20" spans="1:6" ht="16" x14ac:dyDescent="0.35">
      <c r="A20" s="465"/>
      <c r="C20" s="7"/>
      <c r="E20" s="7"/>
      <c r="F20" s="7"/>
    </row>
    <row r="21" spans="1:6" ht="16" x14ac:dyDescent="0.35">
      <c r="A21" s="465"/>
      <c r="E21" s="7"/>
      <c r="F21" s="7"/>
    </row>
    <row r="22" spans="1:6" ht="18" x14ac:dyDescent="0.35">
      <c r="B22" s="10" t="s">
        <v>489</v>
      </c>
      <c r="C22" s="8"/>
      <c r="D22" s="8"/>
      <c r="E22" s="8"/>
      <c r="F22" s="8"/>
    </row>
    <row r="23" spans="1:6" ht="18" x14ac:dyDescent="0.35">
      <c r="B23" s="8"/>
      <c r="C23" s="8"/>
      <c r="D23" s="8"/>
      <c r="E23" s="8"/>
      <c r="F23" s="8"/>
    </row>
    <row r="24" spans="1:6" ht="18" x14ac:dyDescent="0.35">
      <c r="B24" s="8"/>
      <c r="C24" s="468">
        <v>46022</v>
      </c>
      <c r="D24" s="8" t="s">
        <v>490</v>
      </c>
      <c r="E24" s="469">
        <f>+'JV III Consolidated'!D148</f>
        <v>117089</v>
      </c>
      <c r="F24" s="8"/>
    </row>
    <row r="25" spans="1:6" ht="18" x14ac:dyDescent="0.35">
      <c r="A25" s="465" t="s">
        <v>487</v>
      </c>
      <c r="B25" s="7" t="s">
        <v>491</v>
      </c>
      <c r="C25" s="8"/>
      <c r="D25" s="8"/>
      <c r="E25" s="458">
        <f>-E13</f>
        <v>-33135.754999999997</v>
      </c>
      <c r="F25" s="8"/>
    </row>
    <row r="26" spans="1:6" ht="18" x14ac:dyDescent="0.35">
      <c r="B26" s="8"/>
      <c r="C26" s="8"/>
      <c r="D26" s="8"/>
      <c r="E26" s="8"/>
      <c r="F26" s="8"/>
    </row>
    <row r="27" spans="1:6" ht="18" x14ac:dyDescent="0.35">
      <c r="A27" s="465"/>
      <c r="B27" s="8"/>
      <c r="C27" s="7" t="s">
        <v>492</v>
      </c>
      <c r="D27" s="8"/>
      <c r="E27" s="469">
        <f>+E24+E25</f>
        <v>83953.244999999995</v>
      </c>
      <c r="F27" s="7"/>
    </row>
    <row r="28" spans="1:6" ht="18" x14ac:dyDescent="0.35">
      <c r="A28" s="465" t="s">
        <v>488</v>
      </c>
      <c r="B28" s="8"/>
      <c r="C28" s="7" t="s">
        <v>493</v>
      </c>
      <c r="D28" s="8"/>
      <c r="E28" s="8"/>
      <c r="F28" s="7" t="s">
        <v>494</v>
      </c>
    </row>
    <row r="29" spans="1:6" ht="18.5" thickBot="1" x14ac:dyDescent="0.4">
      <c r="B29" s="8"/>
      <c r="C29" s="8" t="s">
        <v>495</v>
      </c>
      <c r="D29" s="8"/>
      <c r="E29" s="470">
        <f>+E27+E28</f>
        <v>83953.244999999995</v>
      </c>
      <c r="F29" s="8"/>
    </row>
    <row r="30" spans="1:6" ht="18" thickTop="1" x14ac:dyDescent="0.35">
      <c r="B30" s="471"/>
      <c r="C30" s="471"/>
      <c r="D30" s="471"/>
      <c r="E30" s="471"/>
      <c r="F30" s="471"/>
    </row>
    <row r="31" spans="1:6" ht="18" x14ac:dyDescent="0.35">
      <c r="A31" s="8"/>
      <c r="B31" s="8"/>
      <c r="C31" s="8"/>
      <c r="D31" s="8"/>
      <c r="E31" s="471"/>
      <c r="F31" s="471"/>
    </row>
    <row r="32" spans="1:6" ht="18" hidden="1" x14ac:dyDescent="0.35">
      <c r="A32" s="8"/>
      <c r="B32" s="10" t="s">
        <v>496</v>
      </c>
      <c r="C32" s="8"/>
      <c r="D32" s="8"/>
      <c r="E32" s="471"/>
      <c r="F32" s="471"/>
    </row>
    <row r="33" spans="1:6" ht="18" hidden="1" x14ac:dyDescent="0.35">
      <c r="A33" s="8"/>
      <c r="B33" s="10">
        <v>1</v>
      </c>
      <c r="C33" s="10" t="s">
        <v>497</v>
      </c>
      <c r="D33" s="8"/>
      <c r="E33" s="471"/>
      <c r="F33" s="471"/>
    </row>
    <row r="34" spans="1:6" ht="18" hidden="1" x14ac:dyDescent="0.35">
      <c r="A34" s="8"/>
      <c r="B34" s="8"/>
      <c r="C34" s="8" t="s">
        <v>498</v>
      </c>
      <c r="D34" s="8"/>
      <c r="E34" s="471"/>
      <c r="F34" s="471"/>
    </row>
    <row r="35" spans="1:6" ht="18" hidden="1" x14ac:dyDescent="0.35">
      <c r="A35" s="8"/>
      <c r="B35" s="8"/>
      <c r="C35" s="8" t="s">
        <v>511</v>
      </c>
      <c r="D35" s="8"/>
      <c r="E35" s="471"/>
      <c r="F35" s="471"/>
    </row>
    <row r="36" spans="1:6" ht="18" hidden="1" x14ac:dyDescent="0.35">
      <c r="A36" s="8"/>
      <c r="B36" s="8"/>
      <c r="C36" s="8" t="s">
        <v>499</v>
      </c>
      <c r="D36" s="8"/>
      <c r="E36" s="471"/>
      <c r="F36" s="471"/>
    </row>
    <row r="37" spans="1:6" ht="18" hidden="1" x14ac:dyDescent="0.35">
      <c r="A37" s="8"/>
      <c r="B37" s="8"/>
      <c r="C37" s="8" t="s">
        <v>500</v>
      </c>
      <c r="D37" s="8"/>
      <c r="E37" s="471"/>
      <c r="F37" s="471"/>
    </row>
    <row r="38" spans="1:6" ht="18" hidden="1" x14ac:dyDescent="0.35">
      <c r="A38" s="8"/>
      <c r="B38" s="8"/>
      <c r="C38" s="8"/>
      <c r="D38" s="8"/>
      <c r="E38" s="471"/>
      <c r="F38" s="471"/>
    </row>
    <row r="39" spans="1:6" ht="18" hidden="1" x14ac:dyDescent="0.35">
      <c r="A39" s="8"/>
      <c r="B39" s="10">
        <v>2</v>
      </c>
      <c r="C39" s="10" t="s">
        <v>504</v>
      </c>
      <c r="D39" s="8"/>
      <c r="E39" s="471"/>
      <c r="F39" s="471"/>
    </row>
    <row r="40" spans="1:6" ht="18" hidden="1" x14ac:dyDescent="0.35">
      <c r="A40" s="8"/>
      <c r="B40" s="8"/>
      <c r="C40" s="8" t="s">
        <v>508</v>
      </c>
      <c r="D40" s="8"/>
      <c r="E40" s="471"/>
      <c r="F40" s="471"/>
    </row>
    <row r="41" spans="1:6" ht="18" hidden="1" x14ac:dyDescent="0.35">
      <c r="A41" s="8"/>
      <c r="B41" s="8"/>
      <c r="C41" s="8"/>
      <c r="D41" s="8"/>
      <c r="E41" s="471"/>
      <c r="F41" s="471"/>
    </row>
    <row r="42" spans="1:6" ht="18" hidden="1" x14ac:dyDescent="0.35">
      <c r="A42" s="8"/>
      <c r="B42" s="10">
        <v>3</v>
      </c>
      <c r="C42" s="10" t="s">
        <v>501</v>
      </c>
      <c r="D42" s="8"/>
      <c r="E42" s="471"/>
      <c r="F42" s="471"/>
    </row>
    <row r="43" spans="1:6" ht="18" hidden="1" x14ac:dyDescent="0.35">
      <c r="A43" s="8"/>
      <c r="B43" s="8"/>
      <c r="C43" s="8"/>
      <c r="D43" s="8"/>
      <c r="E43" s="471"/>
      <c r="F43" s="471"/>
    </row>
    <row r="44" spans="1:6" ht="18" hidden="1" x14ac:dyDescent="0.35">
      <c r="A44" s="8"/>
      <c r="B44" s="10">
        <v>4</v>
      </c>
      <c r="C44" s="10" t="s">
        <v>509</v>
      </c>
      <c r="D44" s="8"/>
      <c r="E44" s="471"/>
      <c r="F44" s="471"/>
    </row>
    <row r="45" spans="1:6" ht="18" hidden="1" x14ac:dyDescent="0.35">
      <c r="A45" s="8"/>
      <c r="B45" s="10"/>
      <c r="C45" s="8" t="s">
        <v>512</v>
      </c>
      <c r="D45" s="8"/>
      <c r="E45" s="471"/>
      <c r="F45" s="471"/>
    </row>
    <row r="46" spans="1:6" ht="18" hidden="1" x14ac:dyDescent="0.35">
      <c r="A46" s="8"/>
      <c r="B46" s="8"/>
      <c r="C46" s="8" t="s">
        <v>506</v>
      </c>
      <c r="D46" s="8"/>
      <c r="E46" s="471"/>
      <c r="F46" s="471"/>
    </row>
    <row r="47" spans="1:6" ht="17.5" hidden="1" x14ac:dyDescent="0.35">
      <c r="A47" s="471"/>
      <c r="B47" s="471"/>
      <c r="C47" s="7" t="s">
        <v>507</v>
      </c>
      <c r="D47" s="471"/>
      <c r="E47" s="471"/>
      <c r="F47" s="471"/>
    </row>
    <row r="48" spans="1:6" ht="17.5" hidden="1" x14ac:dyDescent="0.35">
      <c r="A48" s="471"/>
      <c r="B48" s="471"/>
      <c r="C48" s="471"/>
      <c r="D48" s="471"/>
      <c r="E48" s="471"/>
      <c r="F48" s="471"/>
    </row>
    <row r="49" spans="1:6" ht="17.5" hidden="1" x14ac:dyDescent="0.35">
      <c r="A49" s="471"/>
      <c r="B49" s="471"/>
      <c r="C49" s="471"/>
      <c r="D49" s="471"/>
      <c r="E49" s="471"/>
      <c r="F49" s="471"/>
    </row>
    <row r="50" spans="1:6" ht="17.5" hidden="1" x14ac:dyDescent="0.35">
      <c r="A50" s="471"/>
      <c r="B50" s="471"/>
      <c r="C50" s="471"/>
      <c r="D50" s="471"/>
      <c r="E50" s="471"/>
      <c r="F50" s="471"/>
    </row>
    <row r="51" spans="1:6" ht="17.5" x14ac:dyDescent="0.35">
      <c r="A51" s="471"/>
      <c r="B51" s="471"/>
      <c r="C51" s="471"/>
      <c r="D51" s="471"/>
      <c r="E51" s="471"/>
      <c r="F51" s="471"/>
    </row>
    <row r="52" spans="1:6" ht="17.5" x14ac:dyDescent="0.35">
      <c r="A52" s="471"/>
      <c r="B52" s="471"/>
      <c r="C52" s="471"/>
      <c r="D52" s="471"/>
      <c r="E52" s="471"/>
      <c r="F52" s="471"/>
    </row>
    <row r="53" spans="1:6" ht="17.5" x14ac:dyDescent="0.35">
      <c r="A53" s="471"/>
      <c r="B53" s="471"/>
      <c r="C53" s="471"/>
      <c r="D53" s="471"/>
      <c r="E53" s="471"/>
      <c r="F53" s="471"/>
    </row>
    <row r="54" spans="1:6" ht="17.5" x14ac:dyDescent="0.35">
      <c r="A54" s="471"/>
      <c r="B54" s="471"/>
      <c r="C54" s="471"/>
      <c r="D54" s="471"/>
      <c r="E54" s="471"/>
      <c r="F54" s="471"/>
    </row>
    <row r="55" spans="1:6" ht="17.5" x14ac:dyDescent="0.35">
      <c r="A55" s="471"/>
      <c r="B55" s="471"/>
      <c r="C55" s="471"/>
      <c r="D55" s="471"/>
      <c r="E55" s="471"/>
      <c r="F55" s="471"/>
    </row>
    <row r="56" spans="1:6" ht="17.5" x14ac:dyDescent="0.35">
      <c r="A56" s="471"/>
      <c r="B56" s="471"/>
      <c r="C56" s="471"/>
      <c r="D56" s="471"/>
      <c r="E56" s="471"/>
      <c r="F56" s="471"/>
    </row>
    <row r="57" spans="1:6" ht="17.5" x14ac:dyDescent="0.35">
      <c r="A57" s="471"/>
      <c r="B57" s="471"/>
      <c r="C57" s="471"/>
      <c r="D57" s="471"/>
      <c r="E57" s="471"/>
      <c r="F57" s="471"/>
    </row>
    <row r="58" spans="1:6" ht="17.5" x14ac:dyDescent="0.35">
      <c r="A58" s="471"/>
      <c r="B58" s="471"/>
      <c r="C58" s="471"/>
      <c r="D58" s="471"/>
      <c r="E58" s="471"/>
      <c r="F58" s="471"/>
    </row>
  </sheetData>
  <pageMargins left="0.25" right="0.25" top="0.75" bottom="0.75" header="0.3" footer="0.3"/>
  <pageSetup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3462C-811B-4686-BECF-BDB2CB522174}">
  <sheetPr>
    <tabColor theme="0"/>
    <pageSetUpPr fitToPage="1"/>
  </sheetPr>
  <dimension ref="B1:E590"/>
  <sheetViews>
    <sheetView view="pageBreakPreview" topLeftCell="A17" zoomScale="160" zoomScaleNormal="100" zoomScaleSheetLayoutView="160" workbookViewId="0">
      <selection activeCell="R3" sqref="R3"/>
    </sheetView>
  </sheetViews>
  <sheetFormatPr defaultColWidth="8.81640625" defaultRowHeight="12.5" x14ac:dyDescent="0.25"/>
  <cols>
    <col min="1" max="1" width="8.81640625" style="416"/>
    <col min="2" max="2" width="20.36328125" style="416" customWidth="1"/>
    <col min="3" max="3" width="38.453125" style="419" bestFit="1" customWidth="1"/>
    <col min="4" max="4" width="59.54296875" style="416" customWidth="1"/>
    <col min="5" max="5" width="7.81640625" style="416" bestFit="1" customWidth="1"/>
    <col min="6" max="16384" width="8.81640625" style="416"/>
  </cols>
  <sheetData>
    <row r="1" spans="2:5" ht="29" x14ac:dyDescent="0.25">
      <c r="B1" s="417" t="s">
        <v>556</v>
      </c>
      <c r="C1" s="418"/>
      <c r="D1" s="418"/>
      <c r="E1" s="23">
        <v>46023</v>
      </c>
    </row>
    <row r="2" spans="2:5" ht="18" x14ac:dyDescent="0.35">
      <c r="B2" s="79" t="str">
        <f>'JV III Consolidated'!J2</f>
        <v>Lincoln JV III</v>
      </c>
      <c r="C2" s="418"/>
      <c r="D2" s="418"/>
    </row>
    <row r="3" spans="2:5" s="7" customFormat="1" ht="19" customHeight="1" x14ac:dyDescent="0.35">
      <c r="B3" s="24"/>
      <c r="C3" s="85"/>
    </row>
    <row r="4" spans="2:5" s="7" customFormat="1" ht="18" x14ac:dyDescent="0.35">
      <c r="B4" s="262" t="s">
        <v>557</v>
      </c>
      <c r="C4" s="265" t="s">
        <v>558</v>
      </c>
      <c r="D4" s="473" t="s">
        <v>559</v>
      </c>
      <c r="E4" s="473"/>
    </row>
    <row r="5" spans="2:5" s="7" customFormat="1" ht="18" x14ac:dyDescent="0.35">
      <c r="B5" s="8" t="s">
        <v>14</v>
      </c>
      <c r="C5" s="85"/>
    </row>
    <row r="6" spans="2:5" s="7" customFormat="1" ht="16" x14ac:dyDescent="0.35">
      <c r="B6" s="308" t="str">
        <f>'JV III Consolidated'!A10</f>
        <v>4230-8501</v>
      </c>
      <c r="C6" s="420" t="str">
        <f>VLOOKUP($B6,'JV III Consolidated'!$A$10:$U$148,3,FALSE)</f>
        <v>Rental Income - In Place</v>
      </c>
      <c r="D6" s="472" t="str">
        <f>IFERROR(VLOOKUP($B6,'JV III Consolidated'!$A$10:$U$148,21,FALSE),"")</f>
        <v>Performed Analysis of Rent Roll</v>
      </c>
      <c r="E6" s="472"/>
    </row>
    <row r="7" spans="2:5" s="7" customFormat="1" ht="16" x14ac:dyDescent="0.35">
      <c r="B7" s="308" t="str">
        <f>'JV III Consolidated'!A11</f>
        <v>4230-8501</v>
      </c>
      <c r="C7" s="420" t="str">
        <f>'JV III Consolidated'!C11</f>
        <v>Rental Income - New &amp; Renewal</v>
      </c>
      <c r="D7" s="472" t="str">
        <f>'JV III Consolidated'!U11</f>
        <v>As projected by Leasing Manager</v>
      </c>
      <c r="E7" s="472"/>
    </row>
    <row r="8" spans="2:5" s="7" customFormat="1" ht="16" hidden="1" x14ac:dyDescent="0.35">
      <c r="B8" s="308" t="str">
        <f>'JV III Consolidated'!A12</f>
        <v>4240-8501</v>
      </c>
      <c r="C8" s="420" t="str">
        <f>VLOOKUP($B8,'JV III Consolidated'!$A$10:$U$148,3,FALSE)</f>
        <v>Percentage Rents</v>
      </c>
      <c r="D8" s="472">
        <f>IFERROR(VLOOKUP($B8,'JV III Consolidated'!$A$10:$U$148,21,FALSE),"")</f>
        <v>0</v>
      </c>
      <c r="E8" s="472"/>
    </row>
    <row r="9" spans="2:5" s="7" customFormat="1" ht="16" x14ac:dyDescent="0.35">
      <c r="B9" s="308" t="str">
        <f>'JV III Consolidated'!A13</f>
        <v>4990-8501</v>
      </c>
      <c r="C9" s="420" t="str">
        <f>VLOOKUP($B9,'JV III Consolidated'!$A$10:$U$148,3,FALSE)</f>
        <v>Miscellaneous</v>
      </c>
      <c r="D9" s="472" t="str">
        <f>IFERROR(VLOOKUP($B9,'JV III Consolidated'!$A$10:$U$148,21,FALSE),"")</f>
        <v>N/A</v>
      </c>
      <c r="E9" s="472"/>
    </row>
    <row r="10" spans="2:5" s="7" customFormat="1" ht="16" x14ac:dyDescent="0.35">
      <c r="B10" s="308" t="str">
        <f>'JV III Consolidated'!A14</f>
        <v>9190-8501</v>
      </c>
      <c r="C10" s="420" t="str">
        <f>VLOOKUP($B10,'JV III Consolidated'!$A$10:$U$148,3,FALSE)</f>
        <v>Interest Income</v>
      </c>
      <c r="D10" s="472" t="str">
        <f>IFERROR(VLOOKUP($B10,'JV III Consolidated'!$A$10:$U$148,21,FALSE),"")</f>
        <v>N/A</v>
      </c>
      <c r="E10" s="472"/>
    </row>
    <row r="11" spans="2:5" s="7" customFormat="1" ht="18" x14ac:dyDescent="0.35">
      <c r="B11" s="421" t="s">
        <v>19</v>
      </c>
      <c r="C11" s="85"/>
      <c r="D11" s="472" t="str">
        <f>IFERROR(VLOOKUP($B11,'JV III Consolidated'!$A$10:$U$148,21,FALSE),"")</f>
        <v/>
      </c>
      <c r="E11" s="472"/>
    </row>
    <row r="12" spans="2:5" s="7" customFormat="1" ht="16" x14ac:dyDescent="0.35">
      <c r="B12" s="308" t="str">
        <f>'JV III Consolidated'!A18</f>
        <v>4710-8502</v>
      </c>
      <c r="C12" s="420" t="str">
        <f>VLOOKUP($B12,'JV III Consolidated'!$A$10:$U$148,3,FALSE)</f>
        <v>Electric</v>
      </c>
      <c r="D12" s="472" t="str">
        <f>IFERROR(VLOOKUP($B12,'JV III Consolidated'!$A$10:$U$148,21,FALSE),"")</f>
        <v>Set to occupancy</v>
      </c>
      <c r="E12" s="472"/>
    </row>
    <row r="13" spans="2:5" s="7" customFormat="1" ht="16" x14ac:dyDescent="0.35">
      <c r="B13" s="308" t="str">
        <f>'JV III Consolidated'!A19</f>
        <v>4910-8502</v>
      </c>
      <c r="C13" s="420" t="str">
        <f>VLOOKUP($B13,'JV III Consolidated'!$A$10:$U$148,3,FALSE)</f>
        <v>Common Area Maintenance</v>
      </c>
      <c r="D13" s="472" t="str">
        <f>IFERROR(VLOOKUP($B13,'JV III Consolidated'!$A$10:$U$148,21,FALSE),"")</f>
        <v>By tenant, based on expenses and tenant base year</v>
      </c>
      <c r="E13" s="472"/>
    </row>
    <row r="14" spans="2:5" s="7" customFormat="1" ht="16" x14ac:dyDescent="0.35">
      <c r="B14" s="308" t="str">
        <f>'JV III Consolidated'!A20</f>
        <v>4920-8502</v>
      </c>
      <c r="C14" s="420" t="str">
        <f>VLOOKUP($B14,'JV III Consolidated'!$A$10:$U$148,3,FALSE)</f>
        <v>Real Estate Taxes</v>
      </c>
      <c r="D14" s="472" t="str">
        <f>IFERROR(VLOOKUP($B14,'JV III Consolidated'!$A$10:$U$148,21,FALSE),"")</f>
        <v>By tenant, based on expenses and tenant base year</v>
      </c>
      <c r="E14" s="472"/>
    </row>
    <row r="15" spans="2:5" s="7" customFormat="1" ht="16" x14ac:dyDescent="0.35">
      <c r="B15" s="308" t="str">
        <f>'JV III Consolidated'!A21</f>
        <v>4930-8502</v>
      </c>
      <c r="C15" s="420" t="str">
        <f>VLOOKUP($B15,'JV III Consolidated'!$A$10:$U$148,3,FALSE)</f>
        <v>Insurance</v>
      </c>
      <c r="D15" s="472" t="str">
        <f>IFERROR(VLOOKUP($B15,'JV III Consolidated'!$A$10:$U$148,21,FALSE),"")</f>
        <v>Included in CAM line item</v>
      </c>
      <c r="E15" s="472"/>
    </row>
    <row r="16" spans="2:5" s="7" customFormat="1" ht="18" x14ac:dyDescent="0.35">
      <c r="B16" s="8" t="s">
        <v>26</v>
      </c>
      <c r="C16" s="85"/>
      <c r="D16" s="472" t="str">
        <f>IFERROR(VLOOKUP($B16,'JV III Consolidated'!$A$10:$U$148,21,FALSE),"")</f>
        <v/>
      </c>
      <c r="E16" s="472"/>
    </row>
    <row r="17" spans="2:5" s="7" customFormat="1" ht="16" x14ac:dyDescent="0.35">
      <c r="B17" s="308" t="str">
        <f>'JV III Consolidated'!A27</f>
        <v>6030-8502</v>
      </c>
      <c r="C17" s="420" t="str">
        <f>VLOOKUP($B17,'JV III Consolidated'!$A$10:$U$148,3,FALSE)</f>
        <v>Maintenance Salaries</v>
      </c>
      <c r="D17" s="472" t="str">
        <f>IFERROR(VLOOKUP($B17,'JV III Consolidated'!$A$10:$U$148,21,FALSE),"")</f>
        <v>Based on 2026 Payroll Budget</v>
      </c>
      <c r="E17" s="472"/>
    </row>
    <row r="18" spans="2:5" s="7" customFormat="1" ht="16" x14ac:dyDescent="0.35">
      <c r="B18" s="308" t="str">
        <f>'JV III Consolidated'!A29</f>
        <v>6120-8502</v>
      </c>
      <c r="C18" s="420" t="str">
        <f>VLOOKUP($B18,'JV III Consolidated'!$A$10:$U$148,3,FALSE)</f>
        <v>Electric</v>
      </c>
      <c r="D18" s="472" t="str">
        <f>IFERROR(VLOOKUP($B18,'JV III Consolidated'!$A$10:$U$148,21,FALSE),"")</f>
        <v>2026 budget as provided by Electric Supplier</v>
      </c>
      <c r="E18" s="472"/>
    </row>
    <row r="19" spans="2:5" s="7" customFormat="1" ht="16" x14ac:dyDescent="0.35">
      <c r="B19" s="308" t="str">
        <f>'JV III Consolidated'!A31</f>
        <v>6130-8502</v>
      </c>
      <c r="C19" s="420" t="str">
        <f>VLOOKUP($B19,'JV III Consolidated'!$A$10:$U$148,3,FALSE)</f>
        <v>Water &amp; Sewer</v>
      </c>
      <c r="D19" s="472" t="str">
        <f>IFERROR(VLOOKUP($B19,'JV III Consolidated'!$A$10:$U$148,21,FALSE),"")</f>
        <v>2025 Business Plan grown 3%</v>
      </c>
      <c r="E19" s="472"/>
    </row>
    <row r="20" spans="2:5" s="7" customFormat="1" ht="16" x14ac:dyDescent="0.35">
      <c r="B20" s="308" t="str">
        <f>'JV III Consolidated'!A36</f>
        <v>6220-8502</v>
      </c>
      <c r="C20" s="420" t="str">
        <f>VLOOKUP($B20,'JV III Consolidated'!$A$10:$U$148,3,FALSE)</f>
        <v>Building Maintenance</v>
      </c>
      <c r="D20" s="472" t="str">
        <f>'JV III Consolidated'!U35</f>
        <v>Includes Split systems &amp; Zone lines</v>
      </c>
      <c r="E20" s="472"/>
    </row>
    <row r="21" spans="2:5" s="7" customFormat="1" ht="16" x14ac:dyDescent="0.35">
      <c r="B21" s="308" t="str">
        <f>'JV III Consolidated'!A38</f>
        <v>6330-8502</v>
      </c>
      <c r="C21" s="420" t="str">
        <f>VLOOKUP($B21,'JV III Consolidated'!$A$10:$U$148,3,FALSE)</f>
        <v>Parking Lot Cleaning</v>
      </c>
      <c r="D21" s="472" t="str">
        <f>IFERROR(VLOOKUP($B21,'JV III Consolidated'!$A$10:$U$148,21,FALSE),"")</f>
        <v>Covered by Condo Fee</v>
      </c>
      <c r="E21" s="472"/>
    </row>
    <row r="22" spans="2:5" s="7" customFormat="1" ht="16" x14ac:dyDescent="0.35">
      <c r="B22" s="308" t="str">
        <f>'JV III Consolidated'!A43</f>
        <v>6360-8502</v>
      </c>
      <c r="C22" s="420" t="str">
        <f>VLOOKUP($B22,'JV III Consolidated'!$A$10:$U$148,3,FALSE)</f>
        <v>Parking Lot Maintenance</v>
      </c>
      <c r="D22" s="472" t="str">
        <f>IFERROR(VLOOKUP($B22,'JV III Consolidated'!$A$10:$U$148,21,FALSE),"")</f>
        <v>Covered by Condo Fee</v>
      </c>
      <c r="E22" s="472"/>
    </row>
    <row r="23" spans="2:5" s="7" customFormat="1" ht="16" x14ac:dyDescent="0.35">
      <c r="B23" s="308" t="str">
        <f>'JV III Consolidated'!A45</f>
        <v>6370-8502</v>
      </c>
      <c r="C23" s="420" t="str">
        <f>VLOOKUP($B23,'JV III Consolidated'!$A$10:$U$148,3,FALSE)</f>
        <v>Snow Removal</v>
      </c>
      <c r="D23" s="472" t="str">
        <f>IFERROR(VLOOKUP($B23,'JV III Consolidated'!$A$10:$U$148,21,FALSE),"")</f>
        <v>Covered by Condo Fee</v>
      </c>
      <c r="E23" s="472"/>
    </row>
    <row r="24" spans="2:5" s="7" customFormat="1" ht="16" x14ac:dyDescent="0.35">
      <c r="B24" s="308" t="str">
        <f>'JV III Consolidated'!A50</f>
        <v>6380-8502</v>
      </c>
      <c r="C24" s="420" t="str">
        <f>VLOOKUP($B24,'JV III Consolidated'!$A$10:$U$148,3,FALSE)</f>
        <v>Landscaping</v>
      </c>
      <c r="D24" s="472" t="str">
        <f>IFERROR(VLOOKUP($B24,'JV III Consolidated'!$A$10:$U$148,21,FALSE),"")</f>
        <v>Covered by Condo Fee</v>
      </c>
      <c r="E24" s="472"/>
    </row>
    <row r="25" spans="2:5" s="7" customFormat="1" ht="16" x14ac:dyDescent="0.35">
      <c r="B25" s="308" t="str">
        <f>'JV III Consolidated'!A52</f>
        <v>6350-8502</v>
      </c>
      <c r="C25" s="420" t="str">
        <f>VLOOKUP($B25,'JV III Consolidated'!$A$10:$U$148,3,FALSE)</f>
        <v>Security</v>
      </c>
      <c r="D25" s="472" t="str">
        <f>IFERROR(VLOOKUP($B25,'JV III Consolidated'!$A$10:$U$148,21,FALSE),"")</f>
        <v>Covered by Condo Fee</v>
      </c>
      <c r="E25" s="472"/>
    </row>
    <row r="26" spans="2:5" s="7" customFormat="1" ht="16" x14ac:dyDescent="0.35">
      <c r="B26" s="308" t="str">
        <f>'JV III Consolidated'!A54</f>
        <v>6610-8502</v>
      </c>
      <c r="C26" s="420" t="str">
        <f>VLOOKUP($B26,'JV III Consolidated'!$A$10:$U$148,3,FALSE)</f>
        <v>Management Fee</v>
      </c>
      <c r="D26" s="472" t="str">
        <f>IFERROR(VLOOKUP($B26,'JV III Consolidated'!$A$10:$U$148,21,FALSE),"")</f>
        <v>4% of projected revenue</v>
      </c>
      <c r="E26" s="472"/>
    </row>
    <row r="27" spans="2:5" s="7" customFormat="1" ht="16" x14ac:dyDescent="0.35">
      <c r="B27" s="308" t="str">
        <f>'JV III Consolidated'!A56</f>
        <v>6270-8502</v>
      </c>
      <c r="C27" s="420" t="str">
        <f>VLOOKUP($B27,'JV III Consolidated'!$A$10:$U$148,3,FALSE)</f>
        <v>Trash Removal</v>
      </c>
      <c r="D27" s="472" t="str">
        <f>IFERROR(VLOOKUP($B27,'JV III Consolidated'!$A$10:$U$148,21,FALSE),"")</f>
        <v>Covered by Condo Fee</v>
      </c>
      <c r="E27" s="472"/>
    </row>
    <row r="28" spans="2:5" s="7" customFormat="1" ht="16" x14ac:dyDescent="0.35">
      <c r="B28" s="308" t="str">
        <f>'JV III Consolidated'!A58</f>
        <v>6410-8502</v>
      </c>
      <c r="C28" s="420" t="str">
        <f>VLOOKUP($B28,'JV III Consolidated'!$A$10:$U$148,3,FALSE)</f>
        <v>Real Estate Taxes</v>
      </c>
      <c r="D28" s="472" t="str">
        <f>IFERROR(VLOOKUP($B28,'JV III Consolidated'!$A$10:$U$148,21,FALSE),"")</f>
        <v>Per assessments and estimated increases</v>
      </c>
      <c r="E28" s="472"/>
    </row>
    <row r="29" spans="2:5" s="7" customFormat="1" ht="16" x14ac:dyDescent="0.35">
      <c r="B29" s="308" t="str">
        <f>'JV III Consolidated'!A63</f>
        <v>6510-8502</v>
      </c>
      <c r="C29" s="420" t="str">
        <f>VLOOKUP($B29,'JV III Consolidated'!$A$10:$U$148,3,FALSE)</f>
        <v>Insurance</v>
      </c>
      <c r="D29" s="472" t="str">
        <f>IFERROR(VLOOKUP($B29,'JV III Consolidated'!$A$10:$U$148,21,FALSE),"")</f>
        <v>2025 Business Plan grown 3%</v>
      </c>
      <c r="E29" s="472"/>
    </row>
    <row r="30" spans="2:5" s="7" customFormat="1" ht="16" x14ac:dyDescent="0.35">
      <c r="B30" s="308" t="str">
        <f>'JV III Consolidated'!A67</f>
        <v>6250-8502</v>
      </c>
      <c r="C30" s="420" t="str">
        <f>VLOOKUP($B30,'JV III Consolidated'!$A$10:$U$148,3,FALSE)</f>
        <v>Cleaning &amp; Supplies</v>
      </c>
      <c r="D30" s="472" t="str">
        <f>IFERROR(VLOOKUP($B30,'JV III Consolidated'!$A$10:$U$148,21,FALSE),"")</f>
        <v>As per detail above</v>
      </c>
      <c r="E30" s="472"/>
    </row>
    <row r="31" spans="2:5" s="7" customFormat="1" ht="18" x14ac:dyDescent="0.35">
      <c r="B31" s="8" t="s">
        <v>54</v>
      </c>
      <c r="C31" s="420"/>
      <c r="D31" s="472" t="str">
        <f>IFERROR(VLOOKUP($B31,'JV III Consolidated'!$A$10:$U$148,21,FALSE),"")</f>
        <v/>
      </c>
      <c r="E31" s="472"/>
    </row>
    <row r="32" spans="2:5" s="7" customFormat="1" ht="16" x14ac:dyDescent="0.35">
      <c r="B32" s="308" t="str">
        <f>'JV III Consolidated'!A75</f>
        <v>5210-8501</v>
      </c>
      <c r="C32" s="420" t="str">
        <f>VLOOKUP($B32,'JV III Consolidated'!$A$10:$U$148,3,FALSE)</f>
        <v>Bad Debt</v>
      </c>
      <c r="D32" s="472">
        <f>IFERROR(VLOOKUP($B32,'JV III Consolidated'!$A$10:$U$148,21,FALSE),"")</f>
        <v>0</v>
      </c>
      <c r="E32" s="472"/>
    </row>
    <row r="33" spans="2:5" s="7" customFormat="1" ht="16" x14ac:dyDescent="0.35">
      <c r="B33" s="308" t="str">
        <f>'JV III Consolidated'!A77</f>
        <v>6010-8501</v>
      </c>
      <c r="C33" s="420" t="str">
        <f>VLOOKUP($B33,'JV III Consolidated'!$A$10:$U$148,4,FALSE)</f>
        <v>Salaries &amp; Wages</v>
      </c>
      <c r="D33" s="472" t="str">
        <f>IFERROR(VLOOKUP($B33,'JV III Consolidated'!$A$10:$U$148,21,FALSE),"")</f>
        <v>Based on 2026 Payroll Budget</v>
      </c>
      <c r="E33" s="472"/>
    </row>
    <row r="34" spans="2:5" s="7" customFormat="1" ht="16" x14ac:dyDescent="0.35">
      <c r="B34" s="308" t="str">
        <f>'JV III Consolidated'!A78</f>
        <v>6620-8501</v>
      </c>
      <c r="C34" s="420" t="str">
        <f>VLOOKUP($B34,'JV III Consolidated'!$A$10:$U$148,4,FALSE)</f>
        <v>Commissions-Internal Broker</v>
      </c>
      <c r="D34" s="472" t="str">
        <f>IFERROR(VLOOKUP($B34,'JV III Consolidated'!$A$10:$U$148,21,FALSE),"")</f>
        <v>Based on projected leasing assumptions</v>
      </c>
      <c r="E34" s="472"/>
    </row>
    <row r="35" spans="2:5" s="7" customFormat="1" ht="16" x14ac:dyDescent="0.35">
      <c r="B35" s="308" t="str">
        <f>'JV III Consolidated'!A81</f>
        <v>6110-8501</v>
      </c>
      <c r="C35" s="420" t="str">
        <f>VLOOKUP($B35,'JV III Consolidated'!$A$10:$U$148,4,FALSE)</f>
        <v>Gas</v>
      </c>
      <c r="D35" s="472">
        <f>IFERROR(VLOOKUP($B35,'JV III Consolidated'!$A$10:$U$148,21,FALSE),"")</f>
        <v>0</v>
      </c>
      <c r="E35" s="472"/>
    </row>
    <row r="36" spans="2:5" s="7" customFormat="1" ht="16" x14ac:dyDescent="0.35">
      <c r="B36" s="308" t="str">
        <f>'JV III Consolidated'!A82</f>
        <v>6120-8501</v>
      </c>
      <c r="C36" s="420" t="str">
        <f>VLOOKUP($B36,'JV III Consolidated'!$A$10:$U$148,4,FALSE)</f>
        <v>Electric</v>
      </c>
      <c r="D36" s="472">
        <f>IFERROR(VLOOKUP($B36,'JV III Consolidated'!$A$10:$U$148,21,FALSE),"")</f>
        <v>0</v>
      </c>
      <c r="E36" s="472"/>
    </row>
    <row r="37" spans="2:5" s="7" customFormat="1" ht="16" x14ac:dyDescent="0.35">
      <c r="B37" s="308" t="str">
        <f>'JV III Consolidated'!A83</f>
        <v>6130-8501</v>
      </c>
      <c r="C37" s="420" t="str">
        <f>VLOOKUP($B37,'JV III Consolidated'!$A$10:$U$148,4,FALSE)</f>
        <v>Water &amp; Sewer</v>
      </c>
      <c r="D37" s="472">
        <f>IFERROR(VLOOKUP($B37,'JV III Consolidated'!$A$10:$U$148,21,FALSE),"")</f>
        <v>0</v>
      </c>
      <c r="E37" s="472"/>
    </row>
    <row r="38" spans="2:5" s="7" customFormat="1" ht="16" x14ac:dyDescent="0.35">
      <c r="B38" s="308" t="str">
        <f>'JV III Consolidated'!A88</f>
        <v>6220-8501</v>
      </c>
      <c r="C38" s="420" t="str">
        <f>VLOOKUP($B38,'JV III Consolidated'!$A$10:$U$148,3,FALSE)</f>
        <v>Building Maintenance</v>
      </c>
      <c r="D38" s="472" t="str">
        <f>IFERROR(VLOOKUP($B38,'JV III Consolidated'!$A$10:$U$148,21,FALSE),"")</f>
        <v>2025 Business Plan grown 3%</v>
      </c>
      <c r="E38" s="472"/>
    </row>
    <row r="39" spans="2:5" s="7" customFormat="1" ht="16" x14ac:dyDescent="0.35">
      <c r="B39" s="308" t="str">
        <f>'JV III Consolidated'!A90</f>
        <v>6610-8501</v>
      </c>
      <c r="C39" s="420" t="str">
        <f>VLOOKUP($B39,'JV III Consolidated'!$A$10:$U$148,3,FALSE)</f>
        <v>Management fee</v>
      </c>
      <c r="D39" s="472">
        <f>IFERROR(VLOOKUP($B39,'JV III Consolidated'!$A$10:$U$148,21,FALSE),"")</f>
        <v>0</v>
      </c>
      <c r="E39" s="472"/>
    </row>
    <row r="40" spans="2:5" s="7" customFormat="1" ht="16" x14ac:dyDescent="0.35">
      <c r="B40" s="308" t="str">
        <f>'JV III Consolidated'!A92</f>
        <v>7110-8501</v>
      </c>
      <c r="C40" s="420" t="str">
        <f>VLOOKUP($B40,'JV III Consolidated'!$A$10:$U$148,3,FALSE)</f>
        <v>Marketing</v>
      </c>
      <c r="D40" s="472" t="str">
        <f>IFERROR(VLOOKUP($B40,'JV III Consolidated'!$A$10:$U$148,21,FALSE),"")</f>
        <v>2025 Business Plan grown 3%</v>
      </c>
      <c r="E40" s="472"/>
    </row>
    <row r="41" spans="2:5" s="7" customFormat="1" ht="16" x14ac:dyDescent="0.35">
      <c r="B41" s="308" t="str">
        <f>'JV III Consolidated'!A94</f>
        <v>8210-8501</v>
      </c>
      <c r="C41" s="420" t="str">
        <f>VLOOKUP($B41,'JV III Consolidated'!$A$10:$U$148,3,FALSE)</f>
        <v>Business Taxes</v>
      </c>
      <c r="D41" s="472" t="str">
        <f>IFERROR(VLOOKUP($B41,'JV III Consolidated'!$A$10:$U$148,21,FALSE),"")</f>
        <v>Based on tax rate and revenues</v>
      </c>
      <c r="E41" s="472"/>
    </row>
    <row r="42" spans="2:5" s="7" customFormat="1" ht="16" x14ac:dyDescent="0.35">
      <c r="B42" s="308" t="str">
        <f>'JV III Consolidated'!A96</f>
        <v>8310-8501</v>
      </c>
      <c r="C42" s="420" t="str">
        <f>VLOOKUP($B42,'JV III Consolidated'!$A$10:$U$148,3,FALSE)</f>
        <v>Legal &amp; Accounting</v>
      </c>
      <c r="D42" s="472">
        <f>IFERROR(VLOOKUP($B42,'JV III Consolidated'!$A$10:$U$148,21,FALSE),"")</f>
        <v>0</v>
      </c>
      <c r="E42" s="472"/>
    </row>
    <row r="43" spans="2:5" s="7" customFormat="1" ht="16" x14ac:dyDescent="0.35">
      <c r="B43" s="308" t="str">
        <f>'JV III Consolidated'!A98</f>
        <v>8190-8501</v>
      </c>
      <c r="C43" s="420" t="str">
        <f>VLOOKUP($B43,'JV III Consolidated'!$A$10:$U$148,4,FALSE)</f>
        <v>Bank Fees</v>
      </c>
      <c r="D43" s="472" t="str">
        <f>IFERROR(VLOOKUP($B43,'JV III Consolidated'!$A$10:$U$148,21,FALSE),"")</f>
        <v>2025 Business Plan grown 3%</v>
      </c>
      <c r="E43" s="472"/>
    </row>
    <row r="44" spans="2:5" s="7" customFormat="1" ht="16" x14ac:dyDescent="0.35">
      <c r="B44" s="308" t="str">
        <f>'JV III Consolidated'!A99</f>
        <v>8930-8501</v>
      </c>
      <c r="C44" s="420" t="str">
        <f>VLOOKUP($B44,'JV III Consolidated'!$A$10:$U$148,4,FALSE)</f>
        <v>Office Supplies</v>
      </c>
      <c r="D44" s="472">
        <f>IFERROR(VLOOKUP($B44,'JV III Consolidated'!$A$10:$U$148,21,FALSE),"")</f>
        <v>0</v>
      </c>
      <c r="E44" s="472"/>
    </row>
    <row r="45" spans="2:5" s="7" customFormat="1" ht="16" x14ac:dyDescent="0.35">
      <c r="B45" s="308" t="str">
        <f>'JV III Consolidated'!A100</f>
        <v>8950-8501</v>
      </c>
      <c r="C45" s="420" t="str">
        <f>VLOOKUP($B45,'JV III Consolidated'!$A$10:$U$148,4,FALSE)</f>
        <v>Postage</v>
      </c>
      <c r="D45" s="472">
        <f>IFERROR(VLOOKUP($B45,'JV III Consolidated'!$A$10:$U$148,21,FALSE),"")</f>
        <v>0</v>
      </c>
      <c r="E45" s="472"/>
    </row>
    <row r="46" spans="2:5" s="7" customFormat="1" ht="16" x14ac:dyDescent="0.35">
      <c r="B46" s="308" t="str">
        <f>'JV III Consolidated'!A101</f>
        <v>8990-8501</v>
      </c>
      <c r="C46" s="420" t="str">
        <f>VLOOKUP($B46,'JV III Consolidated'!$A$10:$U$148,4,FALSE)</f>
        <v>Other G&amp;A Expense</v>
      </c>
      <c r="D46" s="472" t="str">
        <f>IFERROR(VLOOKUP($B46,'JV III Consolidated'!$A$10:$U$148,21,FALSE),"")</f>
        <v>2025 Business Plan grown 3%</v>
      </c>
      <c r="E46" s="472"/>
    </row>
    <row r="47" spans="2:5" s="7" customFormat="1" ht="16" x14ac:dyDescent="0.35">
      <c r="B47" s="308" t="str">
        <f>'JV III Consolidated'!A102</f>
        <v>8990-9800</v>
      </c>
      <c r="C47" s="420" t="str">
        <f>VLOOKUP($B47,'JV III Consolidated'!$A$10:$U$148,4,FALSE)</f>
        <v>Other G&amp;A-allocated from LIK</v>
      </c>
      <c r="D47" s="472" t="str">
        <f>IFERROR(VLOOKUP($B47,'JV III Consolidated'!$A$10:$U$148,21,FALSE),"")</f>
        <v>2025 Business Plan grown 3%</v>
      </c>
      <c r="E47" s="472"/>
    </row>
    <row r="48" spans="2:5" s="7" customFormat="1" ht="16" x14ac:dyDescent="0.35">
      <c r="B48" s="308"/>
      <c r="C48" s="420"/>
      <c r="D48" s="472" t="str">
        <f>IFERROR(VLOOKUP($B48,'JV III Consolidated'!$A$10:$U$148,21,FALSE),"")</f>
        <v/>
      </c>
      <c r="E48" s="472"/>
    </row>
    <row r="49" spans="2:5" s="7" customFormat="1" ht="16" x14ac:dyDescent="0.35">
      <c r="B49" s="308" t="str">
        <f>'JV III Consolidated'!A111</f>
        <v>1420-0000</v>
      </c>
      <c r="C49" s="420" t="str">
        <f>VLOOKUP($B49,'JV III Consolidated'!$A$10:$U$148,4,FALSE)</f>
        <v>Land Improvements</v>
      </c>
      <c r="D49" s="472">
        <f>IFERROR(VLOOKUP($B49,'JV III Consolidated'!$A$10:$U$148,21,FALSE),"")</f>
        <v>0</v>
      </c>
      <c r="E49" s="472"/>
    </row>
    <row r="50" spans="2:5" s="7" customFormat="1" ht="16" x14ac:dyDescent="0.35">
      <c r="B50" s="308" t="str">
        <f>'JV III Consolidated'!A112</f>
        <v>1430-0000</v>
      </c>
      <c r="C50" s="420" t="str">
        <f>VLOOKUP($B50,'JV III Consolidated'!$A$10:$U$148,4,FALSE)</f>
        <v>Buildings</v>
      </c>
      <c r="D50" s="472">
        <f>IFERROR(VLOOKUP($B50,'JV III Consolidated'!$A$10:$U$148,21,FALSE),"")</f>
        <v>0</v>
      </c>
      <c r="E50" s="472"/>
    </row>
    <row r="51" spans="2:5" s="7" customFormat="1" ht="16" x14ac:dyDescent="0.35">
      <c r="B51" s="308" t="str">
        <f>'JV III Consolidated'!A113</f>
        <v>1450-0000</v>
      </c>
      <c r="C51" s="420" t="str">
        <f>VLOOKUP($B51,'JV III Consolidated'!$A$10:$U$148,4,FALSE)</f>
        <v>Equipment</v>
      </c>
      <c r="D51" s="472">
        <f>IFERROR(VLOOKUP($B51,'JV III Consolidated'!$A$10:$U$148,21,FALSE),"")</f>
        <v>0</v>
      </c>
      <c r="E51" s="472"/>
    </row>
    <row r="52" spans="2:5" s="7" customFormat="1" ht="16" x14ac:dyDescent="0.35">
      <c r="B52" s="308" t="str">
        <f>'JV III Consolidated'!A114</f>
        <v>1980-8501</v>
      </c>
      <c r="C52" s="420" t="str">
        <f>VLOOKUP($B52,'JV III Consolidated'!$A$10:$U$148,4,FALSE)</f>
        <v>Capital Improvements</v>
      </c>
      <c r="D52" s="472">
        <f>IFERROR(VLOOKUP($B52,'JV III Consolidated'!$A$10:$U$148,21,FALSE),"")</f>
        <v>0</v>
      </c>
      <c r="E52" s="472"/>
    </row>
    <row r="53" spans="2:5" s="7" customFormat="1" ht="16" x14ac:dyDescent="0.35">
      <c r="B53" s="308" t="str">
        <f>'JV III Consolidated'!A117</f>
        <v>1440-0000</v>
      </c>
      <c r="C53" s="420" t="str">
        <f>VLOOKUP($B53,'JV III Consolidated'!$A$10:$U$148,3,FALSE)</f>
        <v>Tenant Improvements</v>
      </c>
      <c r="D53" s="472" t="str">
        <f>IFERROR(VLOOKUP($B53,'JV III Consolidated'!$A$10:$U$148,21,FALSE),"")</f>
        <v>Based on projected leasing assumptions</v>
      </c>
      <c r="E53" s="472"/>
    </row>
    <row r="54" spans="2:5" s="7" customFormat="1" ht="16" x14ac:dyDescent="0.35">
      <c r="B54" s="308" t="str">
        <f>'JV III Consolidated'!A119</f>
        <v>1940-8501</v>
      </c>
      <c r="C54" s="420" t="str">
        <f>VLOOKUP($B54,'JV III Consolidated'!$A$10:$U$148,4,FALSE)</f>
        <v>Deferred Marketing</v>
      </c>
      <c r="D54" s="472">
        <f>IFERROR(VLOOKUP($B54,'JV III Consolidated'!$A$10:$U$148,21,FALSE),"")</f>
        <v>0</v>
      </c>
      <c r="E54" s="472"/>
    </row>
    <row r="55" spans="2:5" s="7" customFormat="1" ht="16" x14ac:dyDescent="0.35">
      <c r="B55" s="308" t="str">
        <f>'JV III Consolidated'!A120</f>
        <v>1940-8501</v>
      </c>
      <c r="C55" s="420" t="str">
        <f>VLOOKUP($B55,'JV III Consolidated'!$A$10:$U$148,4,FALSE)</f>
        <v>Deferred Marketing</v>
      </c>
      <c r="D55" s="472">
        <f>IFERROR(VLOOKUP($B55,'JV III Consolidated'!$A$10:$U$148,21,FALSE),"")</f>
        <v>0</v>
      </c>
      <c r="E55" s="472"/>
    </row>
    <row r="56" spans="2:5" s="7" customFormat="1" ht="16" x14ac:dyDescent="0.35">
      <c r="B56" s="308" t="str">
        <f>'JV III Consolidated'!A126</f>
        <v>9210-8501</v>
      </c>
      <c r="C56" s="420" t="str">
        <f>VLOOKUP($B56,'JV III Consolidated'!$A$10:$U$148,3,FALSE)</f>
        <v>Interest</v>
      </c>
      <c r="D56" s="472">
        <f>IFERROR(VLOOKUP($B56,'JV III Consolidated'!$A$10:$U$148,21,FALSE),"")</f>
        <v>0</v>
      </c>
      <c r="E56" s="472"/>
    </row>
    <row r="57" spans="2:5" s="7" customFormat="1" ht="16" x14ac:dyDescent="0.35">
      <c r="B57" s="308" t="str">
        <f>'JV III Consolidated'!A127</f>
        <v>2740-8501</v>
      </c>
      <c r="C57" s="420" t="str">
        <f>VLOOKUP($B57,'JV III Consolidated'!$A$10:$U$148,3,FALSE)</f>
        <v>Mortgage Amortization</v>
      </c>
      <c r="D57" s="472">
        <f>IFERROR(VLOOKUP($B57,'JV III Consolidated'!$A$10:$U$148,21,FALSE),"")</f>
        <v>0</v>
      </c>
      <c r="E57" s="472"/>
    </row>
    <row r="58" spans="2:5" s="7" customFormat="1" ht="16" x14ac:dyDescent="0.35">
      <c r="B58" s="308" t="str">
        <f>'JV III Consolidated'!A128</f>
        <v>2740-0000</v>
      </c>
      <c r="C58" s="420" t="str">
        <f>VLOOKUP($B58,'JV III Consolidated'!$A$10:$U$148,3,FALSE)</f>
        <v>Loan Proceeds</v>
      </c>
      <c r="D58" s="472">
        <f>IFERROR(VLOOKUP($B58,'JV III Consolidated'!$A$10:$U$148,21,FALSE),"")</f>
        <v>0</v>
      </c>
      <c r="E58" s="472"/>
    </row>
    <row r="59" spans="2:5" s="7" customFormat="1" ht="16" x14ac:dyDescent="0.35">
      <c r="C59" s="85"/>
    </row>
    <row r="60" spans="2:5" s="7" customFormat="1" ht="16" x14ac:dyDescent="0.35">
      <c r="C60" s="85"/>
    </row>
    <row r="61" spans="2:5" s="7" customFormat="1" ht="16" x14ac:dyDescent="0.35">
      <c r="C61" s="85"/>
    </row>
    <row r="62" spans="2:5" s="7" customFormat="1" ht="16" x14ac:dyDescent="0.35">
      <c r="C62" s="85"/>
    </row>
    <row r="63" spans="2:5" s="7" customFormat="1" ht="16" x14ac:dyDescent="0.35">
      <c r="C63" s="85"/>
    </row>
    <row r="64" spans="2:5" s="7" customFormat="1" ht="16" x14ac:dyDescent="0.35">
      <c r="C64" s="85"/>
    </row>
    <row r="65" spans="3:3" s="7" customFormat="1" ht="16" x14ac:dyDescent="0.35">
      <c r="C65" s="85"/>
    </row>
    <row r="66" spans="3:3" s="7" customFormat="1" ht="16" x14ac:dyDescent="0.35">
      <c r="C66" s="85"/>
    </row>
    <row r="67" spans="3:3" s="7" customFormat="1" ht="16" x14ac:dyDescent="0.35">
      <c r="C67" s="85"/>
    </row>
    <row r="68" spans="3:3" s="7" customFormat="1" ht="16" x14ac:dyDescent="0.35">
      <c r="C68" s="85"/>
    </row>
    <row r="69" spans="3:3" s="7" customFormat="1" ht="16" x14ac:dyDescent="0.35">
      <c r="C69" s="85"/>
    </row>
    <row r="70" spans="3:3" s="7" customFormat="1" ht="16" x14ac:dyDescent="0.35">
      <c r="C70" s="85"/>
    </row>
    <row r="71" spans="3:3" s="7" customFormat="1" ht="16" x14ac:dyDescent="0.35">
      <c r="C71" s="85"/>
    </row>
    <row r="72" spans="3:3" s="7" customFormat="1" ht="16" x14ac:dyDescent="0.35">
      <c r="C72" s="85"/>
    </row>
    <row r="73" spans="3:3" s="7" customFormat="1" ht="16" x14ac:dyDescent="0.35">
      <c r="C73" s="85"/>
    </row>
    <row r="74" spans="3:3" s="7" customFormat="1" ht="16" x14ac:dyDescent="0.35">
      <c r="C74" s="85"/>
    </row>
    <row r="75" spans="3:3" s="7" customFormat="1" ht="16" x14ac:dyDescent="0.35">
      <c r="C75" s="85"/>
    </row>
    <row r="76" spans="3:3" s="7" customFormat="1" ht="16" x14ac:dyDescent="0.35">
      <c r="C76" s="85"/>
    </row>
    <row r="77" spans="3:3" s="7" customFormat="1" ht="16" x14ac:dyDescent="0.35">
      <c r="C77" s="85"/>
    </row>
    <row r="78" spans="3:3" s="7" customFormat="1" ht="16" x14ac:dyDescent="0.35">
      <c r="C78" s="85"/>
    </row>
    <row r="79" spans="3:3" s="7" customFormat="1" ht="16" x14ac:dyDescent="0.35">
      <c r="C79" s="85"/>
    </row>
    <row r="80" spans="3:3" s="7" customFormat="1" ht="16" x14ac:dyDescent="0.35">
      <c r="C80" s="85"/>
    </row>
    <row r="81" spans="3:3" s="7" customFormat="1" ht="16" x14ac:dyDescent="0.35">
      <c r="C81" s="85"/>
    </row>
    <row r="82" spans="3:3" s="7" customFormat="1" ht="16" x14ac:dyDescent="0.35">
      <c r="C82" s="85"/>
    </row>
    <row r="83" spans="3:3" s="7" customFormat="1" ht="16" x14ac:dyDescent="0.35">
      <c r="C83" s="85"/>
    </row>
    <row r="84" spans="3:3" s="7" customFormat="1" ht="16" x14ac:dyDescent="0.35">
      <c r="C84" s="85"/>
    </row>
    <row r="85" spans="3:3" s="7" customFormat="1" ht="16" x14ac:dyDescent="0.35">
      <c r="C85" s="85"/>
    </row>
    <row r="86" spans="3:3" s="7" customFormat="1" ht="16" x14ac:dyDescent="0.35">
      <c r="C86" s="85"/>
    </row>
    <row r="87" spans="3:3" s="7" customFormat="1" ht="16" x14ac:dyDescent="0.35">
      <c r="C87" s="85"/>
    </row>
    <row r="88" spans="3:3" s="7" customFormat="1" ht="16" x14ac:dyDescent="0.35">
      <c r="C88" s="85"/>
    </row>
    <row r="89" spans="3:3" s="7" customFormat="1" ht="16" x14ac:dyDescent="0.35">
      <c r="C89" s="85"/>
    </row>
    <row r="90" spans="3:3" s="7" customFormat="1" ht="16" x14ac:dyDescent="0.35">
      <c r="C90" s="85"/>
    </row>
    <row r="91" spans="3:3" s="7" customFormat="1" ht="16" x14ac:dyDescent="0.35">
      <c r="C91" s="85"/>
    </row>
    <row r="92" spans="3:3" s="7" customFormat="1" ht="16" x14ac:dyDescent="0.35">
      <c r="C92" s="85"/>
    </row>
    <row r="93" spans="3:3" s="7" customFormat="1" ht="16" x14ac:dyDescent="0.35">
      <c r="C93" s="85"/>
    </row>
    <row r="94" spans="3:3" s="7" customFormat="1" ht="16" x14ac:dyDescent="0.35">
      <c r="C94" s="85"/>
    </row>
    <row r="95" spans="3:3" s="7" customFormat="1" ht="16" x14ac:dyDescent="0.35">
      <c r="C95" s="85"/>
    </row>
    <row r="96" spans="3:3" s="7" customFormat="1" ht="16" x14ac:dyDescent="0.35">
      <c r="C96" s="85"/>
    </row>
    <row r="97" spans="3:3" s="7" customFormat="1" ht="16" x14ac:dyDescent="0.35">
      <c r="C97" s="85"/>
    </row>
    <row r="98" spans="3:3" s="7" customFormat="1" ht="16" x14ac:dyDescent="0.35">
      <c r="C98" s="85"/>
    </row>
    <row r="99" spans="3:3" s="7" customFormat="1" ht="16" x14ac:dyDescent="0.35">
      <c r="C99" s="85"/>
    </row>
    <row r="100" spans="3:3" s="7" customFormat="1" ht="16" x14ac:dyDescent="0.35">
      <c r="C100" s="85"/>
    </row>
    <row r="101" spans="3:3" s="7" customFormat="1" ht="16" x14ac:dyDescent="0.35">
      <c r="C101" s="85"/>
    </row>
    <row r="102" spans="3:3" s="7" customFormat="1" ht="16" x14ac:dyDescent="0.35">
      <c r="C102" s="85"/>
    </row>
    <row r="103" spans="3:3" s="7" customFormat="1" ht="16" x14ac:dyDescent="0.35">
      <c r="C103" s="85"/>
    </row>
    <row r="104" spans="3:3" s="7" customFormat="1" ht="16" x14ac:dyDescent="0.35">
      <c r="C104" s="85"/>
    </row>
    <row r="105" spans="3:3" s="7" customFormat="1" ht="16" x14ac:dyDescent="0.35">
      <c r="C105" s="85"/>
    </row>
    <row r="106" spans="3:3" s="7" customFormat="1" ht="16" x14ac:dyDescent="0.35">
      <c r="C106" s="85"/>
    </row>
    <row r="107" spans="3:3" s="7" customFormat="1" ht="16" x14ac:dyDescent="0.35">
      <c r="C107" s="85"/>
    </row>
    <row r="108" spans="3:3" s="7" customFormat="1" ht="16" x14ac:dyDescent="0.35">
      <c r="C108" s="85"/>
    </row>
    <row r="109" spans="3:3" s="7" customFormat="1" ht="16" x14ac:dyDescent="0.35">
      <c r="C109" s="85"/>
    </row>
    <row r="110" spans="3:3" s="7" customFormat="1" ht="16" x14ac:dyDescent="0.35">
      <c r="C110" s="85"/>
    </row>
    <row r="111" spans="3:3" s="7" customFormat="1" ht="16" x14ac:dyDescent="0.35">
      <c r="C111" s="85"/>
    </row>
    <row r="112" spans="3:3" s="7" customFormat="1" ht="16" x14ac:dyDescent="0.35">
      <c r="C112" s="85"/>
    </row>
    <row r="113" spans="3:3" s="7" customFormat="1" ht="16" x14ac:dyDescent="0.35">
      <c r="C113" s="85"/>
    </row>
    <row r="114" spans="3:3" s="7" customFormat="1" ht="16" x14ac:dyDescent="0.35">
      <c r="C114" s="85"/>
    </row>
    <row r="115" spans="3:3" s="7" customFormat="1" ht="16" x14ac:dyDescent="0.35">
      <c r="C115" s="85"/>
    </row>
    <row r="116" spans="3:3" s="7" customFormat="1" ht="16" x14ac:dyDescent="0.35">
      <c r="C116" s="85"/>
    </row>
    <row r="117" spans="3:3" s="7" customFormat="1" ht="16" x14ac:dyDescent="0.35">
      <c r="C117" s="85"/>
    </row>
    <row r="118" spans="3:3" s="7" customFormat="1" ht="16" x14ac:dyDescent="0.35">
      <c r="C118" s="85"/>
    </row>
    <row r="119" spans="3:3" s="7" customFormat="1" ht="16" x14ac:dyDescent="0.35">
      <c r="C119" s="85"/>
    </row>
    <row r="120" spans="3:3" s="7" customFormat="1" ht="16" x14ac:dyDescent="0.35">
      <c r="C120" s="85"/>
    </row>
    <row r="121" spans="3:3" s="7" customFormat="1" ht="16" x14ac:dyDescent="0.35">
      <c r="C121" s="85"/>
    </row>
    <row r="122" spans="3:3" s="7" customFormat="1" ht="16" x14ac:dyDescent="0.35">
      <c r="C122" s="85"/>
    </row>
    <row r="123" spans="3:3" s="7" customFormat="1" ht="16" x14ac:dyDescent="0.35">
      <c r="C123" s="85"/>
    </row>
    <row r="124" spans="3:3" s="7" customFormat="1" ht="16" x14ac:dyDescent="0.35">
      <c r="C124" s="85"/>
    </row>
    <row r="125" spans="3:3" s="7" customFormat="1" ht="16" x14ac:dyDescent="0.35">
      <c r="C125" s="85"/>
    </row>
    <row r="126" spans="3:3" s="7" customFormat="1" ht="16" x14ac:dyDescent="0.35">
      <c r="C126" s="85"/>
    </row>
    <row r="127" spans="3:3" s="7" customFormat="1" ht="16" x14ac:dyDescent="0.35">
      <c r="C127" s="85"/>
    </row>
    <row r="128" spans="3:3" s="7" customFormat="1" ht="16" x14ac:dyDescent="0.35">
      <c r="C128" s="85"/>
    </row>
    <row r="129" spans="3:3" s="7" customFormat="1" ht="16" x14ac:dyDescent="0.35">
      <c r="C129" s="85"/>
    </row>
    <row r="130" spans="3:3" s="7" customFormat="1" ht="16" x14ac:dyDescent="0.35">
      <c r="C130" s="85"/>
    </row>
    <row r="131" spans="3:3" s="7" customFormat="1" ht="16" x14ac:dyDescent="0.35">
      <c r="C131" s="85"/>
    </row>
    <row r="132" spans="3:3" s="7" customFormat="1" ht="16" x14ac:dyDescent="0.35">
      <c r="C132" s="85"/>
    </row>
    <row r="133" spans="3:3" s="7" customFormat="1" ht="16" x14ac:dyDescent="0.35">
      <c r="C133" s="85"/>
    </row>
    <row r="134" spans="3:3" s="7" customFormat="1" ht="16" x14ac:dyDescent="0.35">
      <c r="C134" s="85"/>
    </row>
    <row r="135" spans="3:3" s="7" customFormat="1" ht="16" x14ac:dyDescent="0.35">
      <c r="C135" s="85"/>
    </row>
    <row r="136" spans="3:3" s="7" customFormat="1" ht="16" x14ac:dyDescent="0.35">
      <c r="C136" s="85"/>
    </row>
    <row r="137" spans="3:3" s="7" customFormat="1" ht="16" x14ac:dyDescent="0.35">
      <c r="C137" s="85"/>
    </row>
    <row r="138" spans="3:3" s="7" customFormat="1" ht="16" x14ac:dyDescent="0.35">
      <c r="C138" s="85"/>
    </row>
    <row r="139" spans="3:3" s="7" customFormat="1" ht="16" x14ac:dyDescent="0.35">
      <c r="C139" s="85"/>
    </row>
    <row r="140" spans="3:3" s="7" customFormat="1" ht="16" x14ac:dyDescent="0.35">
      <c r="C140" s="85"/>
    </row>
    <row r="141" spans="3:3" s="7" customFormat="1" ht="16" x14ac:dyDescent="0.35">
      <c r="C141" s="85"/>
    </row>
    <row r="142" spans="3:3" s="7" customFormat="1" ht="16" x14ac:dyDescent="0.35">
      <c r="C142" s="85"/>
    </row>
    <row r="143" spans="3:3" s="7" customFormat="1" ht="16" x14ac:dyDescent="0.35">
      <c r="C143" s="85"/>
    </row>
    <row r="144" spans="3:3" s="7" customFormat="1" ht="16" x14ac:dyDescent="0.35">
      <c r="C144" s="85"/>
    </row>
    <row r="145" spans="3:3" s="7" customFormat="1" ht="16" x14ac:dyDescent="0.35">
      <c r="C145" s="85"/>
    </row>
    <row r="146" spans="3:3" s="7" customFormat="1" ht="16" x14ac:dyDescent="0.35">
      <c r="C146" s="85"/>
    </row>
    <row r="147" spans="3:3" s="7" customFormat="1" ht="16" x14ac:dyDescent="0.35">
      <c r="C147" s="85"/>
    </row>
    <row r="148" spans="3:3" s="7" customFormat="1" ht="16" x14ac:dyDescent="0.35">
      <c r="C148" s="85"/>
    </row>
    <row r="149" spans="3:3" s="7" customFormat="1" ht="16" x14ac:dyDescent="0.35">
      <c r="C149" s="85"/>
    </row>
    <row r="150" spans="3:3" s="7" customFormat="1" ht="16" x14ac:dyDescent="0.35">
      <c r="C150" s="85"/>
    </row>
    <row r="151" spans="3:3" s="7" customFormat="1" ht="16" x14ac:dyDescent="0.35">
      <c r="C151" s="85"/>
    </row>
    <row r="152" spans="3:3" s="7" customFormat="1" ht="16" x14ac:dyDescent="0.35">
      <c r="C152" s="85"/>
    </row>
    <row r="153" spans="3:3" s="7" customFormat="1" ht="16" x14ac:dyDescent="0.35">
      <c r="C153" s="85"/>
    </row>
    <row r="154" spans="3:3" s="7" customFormat="1" ht="16" x14ac:dyDescent="0.35">
      <c r="C154" s="85"/>
    </row>
    <row r="155" spans="3:3" s="7" customFormat="1" ht="16" x14ac:dyDescent="0.35">
      <c r="C155" s="85"/>
    </row>
    <row r="156" spans="3:3" s="7" customFormat="1" ht="16" x14ac:dyDescent="0.35">
      <c r="C156" s="85"/>
    </row>
    <row r="157" spans="3:3" s="7" customFormat="1" ht="16" x14ac:dyDescent="0.35">
      <c r="C157" s="85"/>
    </row>
    <row r="158" spans="3:3" s="7" customFormat="1" ht="16" x14ac:dyDescent="0.35">
      <c r="C158" s="85"/>
    </row>
    <row r="159" spans="3:3" s="7" customFormat="1" ht="16" x14ac:dyDescent="0.35">
      <c r="C159" s="85"/>
    </row>
    <row r="160" spans="3:3" s="7" customFormat="1" ht="16" x14ac:dyDescent="0.35">
      <c r="C160" s="85"/>
    </row>
    <row r="161" spans="3:3" s="7" customFormat="1" ht="16" x14ac:dyDescent="0.35">
      <c r="C161" s="85"/>
    </row>
    <row r="162" spans="3:3" s="7" customFormat="1" ht="16" x14ac:dyDescent="0.35">
      <c r="C162" s="85"/>
    </row>
    <row r="163" spans="3:3" s="7" customFormat="1" ht="16" x14ac:dyDescent="0.35">
      <c r="C163" s="85"/>
    </row>
    <row r="164" spans="3:3" s="7" customFormat="1" ht="16" x14ac:dyDescent="0.35">
      <c r="C164" s="85"/>
    </row>
    <row r="165" spans="3:3" s="7" customFormat="1" ht="16" x14ac:dyDescent="0.35">
      <c r="C165" s="85"/>
    </row>
    <row r="166" spans="3:3" s="7" customFormat="1" ht="16" x14ac:dyDescent="0.35">
      <c r="C166" s="85"/>
    </row>
    <row r="167" spans="3:3" s="7" customFormat="1" ht="16" x14ac:dyDescent="0.35">
      <c r="C167" s="85"/>
    </row>
    <row r="168" spans="3:3" s="7" customFormat="1" ht="16" x14ac:dyDescent="0.35">
      <c r="C168" s="85"/>
    </row>
    <row r="169" spans="3:3" s="7" customFormat="1" ht="16" x14ac:dyDescent="0.35">
      <c r="C169" s="85"/>
    </row>
    <row r="170" spans="3:3" s="7" customFormat="1" ht="16" x14ac:dyDescent="0.35">
      <c r="C170" s="85"/>
    </row>
    <row r="171" spans="3:3" s="7" customFormat="1" ht="16" x14ac:dyDescent="0.35">
      <c r="C171" s="85"/>
    </row>
    <row r="172" spans="3:3" s="7" customFormat="1" ht="16" x14ac:dyDescent="0.35">
      <c r="C172" s="85"/>
    </row>
    <row r="173" spans="3:3" s="7" customFormat="1" ht="16" x14ac:dyDescent="0.35">
      <c r="C173" s="85"/>
    </row>
    <row r="174" spans="3:3" s="7" customFormat="1" ht="16" x14ac:dyDescent="0.35">
      <c r="C174" s="85"/>
    </row>
    <row r="175" spans="3:3" s="7" customFormat="1" ht="16" x14ac:dyDescent="0.35">
      <c r="C175" s="85"/>
    </row>
    <row r="176" spans="3:3" s="7" customFormat="1" ht="16" x14ac:dyDescent="0.35">
      <c r="C176" s="85"/>
    </row>
    <row r="177" spans="3:3" s="7" customFormat="1" ht="16" x14ac:dyDescent="0.35">
      <c r="C177" s="85"/>
    </row>
    <row r="178" spans="3:3" s="7" customFormat="1" ht="16" x14ac:dyDescent="0.35">
      <c r="C178" s="85"/>
    </row>
    <row r="179" spans="3:3" s="7" customFormat="1" ht="16" x14ac:dyDescent="0.35">
      <c r="C179" s="85"/>
    </row>
    <row r="180" spans="3:3" s="7" customFormat="1" ht="16" x14ac:dyDescent="0.35">
      <c r="C180" s="85"/>
    </row>
    <row r="181" spans="3:3" s="7" customFormat="1" ht="16" x14ac:dyDescent="0.35">
      <c r="C181" s="85"/>
    </row>
    <row r="182" spans="3:3" s="7" customFormat="1" ht="16" x14ac:dyDescent="0.35">
      <c r="C182" s="85"/>
    </row>
    <row r="183" spans="3:3" s="7" customFormat="1" ht="16" x14ac:dyDescent="0.35">
      <c r="C183" s="85"/>
    </row>
    <row r="184" spans="3:3" s="7" customFormat="1" ht="16" x14ac:dyDescent="0.35">
      <c r="C184" s="85"/>
    </row>
    <row r="185" spans="3:3" s="7" customFormat="1" ht="16" x14ac:dyDescent="0.35">
      <c r="C185" s="85"/>
    </row>
    <row r="186" spans="3:3" s="7" customFormat="1" ht="16" x14ac:dyDescent="0.35">
      <c r="C186" s="85"/>
    </row>
    <row r="187" spans="3:3" s="7" customFormat="1" ht="16" x14ac:dyDescent="0.35">
      <c r="C187" s="85"/>
    </row>
    <row r="188" spans="3:3" s="7" customFormat="1" ht="16" x14ac:dyDescent="0.35">
      <c r="C188" s="85"/>
    </row>
    <row r="189" spans="3:3" s="7" customFormat="1" ht="16" x14ac:dyDescent="0.35">
      <c r="C189" s="85"/>
    </row>
    <row r="190" spans="3:3" s="7" customFormat="1" ht="16" x14ac:dyDescent="0.35">
      <c r="C190" s="85"/>
    </row>
    <row r="191" spans="3:3" s="7" customFormat="1" ht="16" x14ac:dyDescent="0.35">
      <c r="C191" s="85"/>
    </row>
    <row r="192" spans="3:3" s="7" customFormat="1" ht="16" x14ac:dyDescent="0.35">
      <c r="C192" s="85"/>
    </row>
    <row r="193" spans="3:3" s="7" customFormat="1" ht="16" x14ac:dyDescent="0.35">
      <c r="C193" s="85"/>
    </row>
    <row r="194" spans="3:3" s="7" customFormat="1" ht="16" x14ac:dyDescent="0.35">
      <c r="C194" s="85"/>
    </row>
    <row r="195" spans="3:3" s="7" customFormat="1" ht="16" x14ac:dyDescent="0.35">
      <c r="C195" s="85"/>
    </row>
    <row r="196" spans="3:3" s="7" customFormat="1" ht="16" x14ac:dyDescent="0.35">
      <c r="C196" s="85"/>
    </row>
    <row r="197" spans="3:3" s="7" customFormat="1" ht="16" x14ac:dyDescent="0.35">
      <c r="C197" s="85"/>
    </row>
    <row r="198" spans="3:3" s="7" customFormat="1" ht="16" x14ac:dyDescent="0.35">
      <c r="C198" s="85"/>
    </row>
    <row r="199" spans="3:3" s="7" customFormat="1" ht="16" x14ac:dyDescent="0.35">
      <c r="C199" s="85"/>
    </row>
    <row r="200" spans="3:3" s="7" customFormat="1" ht="16" x14ac:dyDescent="0.35">
      <c r="C200" s="85"/>
    </row>
    <row r="201" spans="3:3" s="7" customFormat="1" ht="16" x14ac:dyDescent="0.35">
      <c r="C201" s="85"/>
    </row>
    <row r="202" spans="3:3" s="7" customFormat="1" ht="16" x14ac:dyDescent="0.35">
      <c r="C202" s="85"/>
    </row>
    <row r="203" spans="3:3" s="7" customFormat="1" ht="16" x14ac:dyDescent="0.35">
      <c r="C203" s="85"/>
    </row>
    <row r="204" spans="3:3" s="7" customFormat="1" ht="16" x14ac:dyDescent="0.35">
      <c r="C204" s="85"/>
    </row>
    <row r="205" spans="3:3" s="7" customFormat="1" ht="16" x14ac:dyDescent="0.35">
      <c r="C205" s="85"/>
    </row>
    <row r="206" spans="3:3" s="7" customFormat="1" ht="16" x14ac:dyDescent="0.35">
      <c r="C206" s="85"/>
    </row>
    <row r="207" spans="3:3" s="7" customFormat="1" ht="16" x14ac:dyDescent="0.35">
      <c r="C207" s="85"/>
    </row>
    <row r="208" spans="3:3" s="7" customFormat="1" ht="16" x14ac:dyDescent="0.35">
      <c r="C208" s="85"/>
    </row>
    <row r="209" spans="3:3" s="7" customFormat="1" ht="16" x14ac:dyDescent="0.35">
      <c r="C209" s="85"/>
    </row>
    <row r="210" spans="3:3" s="7" customFormat="1" ht="16" x14ac:dyDescent="0.35">
      <c r="C210" s="85"/>
    </row>
    <row r="211" spans="3:3" s="7" customFormat="1" ht="16" x14ac:dyDescent="0.35">
      <c r="C211" s="85"/>
    </row>
    <row r="212" spans="3:3" s="7" customFormat="1" ht="16" x14ac:dyDescent="0.35">
      <c r="C212" s="85"/>
    </row>
    <row r="213" spans="3:3" s="7" customFormat="1" ht="16" x14ac:dyDescent="0.35">
      <c r="C213" s="85"/>
    </row>
    <row r="214" spans="3:3" s="7" customFormat="1" ht="16" x14ac:dyDescent="0.35">
      <c r="C214" s="85"/>
    </row>
    <row r="215" spans="3:3" s="7" customFormat="1" ht="16" x14ac:dyDescent="0.35">
      <c r="C215" s="85"/>
    </row>
    <row r="216" spans="3:3" s="7" customFormat="1" ht="16" x14ac:dyDescent="0.35">
      <c r="C216" s="85"/>
    </row>
    <row r="217" spans="3:3" s="7" customFormat="1" ht="16" x14ac:dyDescent="0.35">
      <c r="C217" s="85"/>
    </row>
    <row r="218" spans="3:3" s="7" customFormat="1" ht="16" x14ac:dyDescent="0.35">
      <c r="C218" s="85"/>
    </row>
    <row r="219" spans="3:3" s="7" customFormat="1" ht="16" x14ac:dyDescent="0.35">
      <c r="C219" s="85"/>
    </row>
    <row r="220" spans="3:3" s="7" customFormat="1" ht="16" x14ac:dyDescent="0.35">
      <c r="C220" s="85"/>
    </row>
    <row r="221" spans="3:3" s="7" customFormat="1" ht="16" x14ac:dyDescent="0.35">
      <c r="C221" s="85"/>
    </row>
    <row r="222" spans="3:3" s="7" customFormat="1" ht="16" x14ac:dyDescent="0.35">
      <c r="C222" s="85"/>
    </row>
    <row r="223" spans="3:3" s="7" customFormat="1" ht="16" x14ac:dyDescent="0.35">
      <c r="C223" s="85"/>
    </row>
    <row r="224" spans="3:3" s="7" customFormat="1" ht="16" x14ac:dyDescent="0.35">
      <c r="C224" s="85"/>
    </row>
    <row r="225" spans="3:3" s="7" customFormat="1" ht="16" x14ac:dyDescent="0.35">
      <c r="C225" s="85"/>
    </row>
    <row r="226" spans="3:3" s="7" customFormat="1" ht="16" x14ac:dyDescent="0.35">
      <c r="C226" s="85"/>
    </row>
    <row r="227" spans="3:3" s="7" customFormat="1" ht="16" x14ac:dyDescent="0.35">
      <c r="C227" s="85"/>
    </row>
    <row r="228" spans="3:3" s="7" customFormat="1" ht="16" x14ac:dyDescent="0.35">
      <c r="C228" s="85"/>
    </row>
    <row r="229" spans="3:3" s="7" customFormat="1" ht="16" x14ac:dyDescent="0.35">
      <c r="C229" s="85"/>
    </row>
    <row r="230" spans="3:3" s="7" customFormat="1" ht="16" x14ac:dyDescent="0.35">
      <c r="C230" s="85"/>
    </row>
    <row r="231" spans="3:3" s="7" customFormat="1" ht="16" x14ac:dyDescent="0.35">
      <c r="C231" s="85"/>
    </row>
    <row r="232" spans="3:3" s="7" customFormat="1" ht="16" x14ac:dyDescent="0.35">
      <c r="C232" s="85"/>
    </row>
    <row r="233" spans="3:3" s="7" customFormat="1" ht="16" x14ac:dyDescent="0.35">
      <c r="C233" s="85"/>
    </row>
    <row r="234" spans="3:3" s="7" customFormat="1" ht="16" x14ac:dyDescent="0.35">
      <c r="C234" s="85"/>
    </row>
    <row r="235" spans="3:3" s="7" customFormat="1" ht="16" x14ac:dyDescent="0.35">
      <c r="C235" s="85"/>
    </row>
    <row r="236" spans="3:3" s="7" customFormat="1" ht="16" x14ac:dyDescent="0.35">
      <c r="C236" s="85"/>
    </row>
    <row r="237" spans="3:3" s="7" customFormat="1" ht="16" x14ac:dyDescent="0.35">
      <c r="C237" s="85"/>
    </row>
    <row r="238" spans="3:3" s="7" customFormat="1" ht="16" x14ac:dyDescent="0.35">
      <c r="C238" s="85"/>
    </row>
    <row r="239" spans="3:3" s="7" customFormat="1" ht="16" x14ac:dyDescent="0.35">
      <c r="C239" s="85"/>
    </row>
    <row r="240" spans="3:3" s="7" customFormat="1" ht="16" x14ac:dyDescent="0.35">
      <c r="C240" s="85"/>
    </row>
    <row r="241" spans="3:3" s="7" customFormat="1" ht="16" x14ac:dyDescent="0.35">
      <c r="C241" s="85"/>
    </row>
    <row r="242" spans="3:3" s="7" customFormat="1" ht="16" x14ac:dyDescent="0.35">
      <c r="C242" s="85"/>
    </row>
    <row r="243" spans="3:3" s="7" customFormat="1" ht="16" x14ac:dyDescent="0.35">
      <c r="C243" s="85"/>
    </row>
    <row r="244" spans="3:3" s="7" customFormat="1" ht="16" x14ac:dyDescent="0.35">
      <c r="C244" s="85"/>
    </row>
    <row r="245" spans="3:3" s="7" customFormat="1" ht="16" x14ac:dyDescent="0.35">
      <c r="C245" s="85"/>
    </row>
    <row r="246" spans="3:3" s="7" customFormat="1" ht="16" x14ac:dyDescent="0.35">
      <c r="C246" s="85"/>
    </row>
    <row r="247" spans="3:3" s="7" customFormat="1" ht="16" x14ac:dyDescent="0.35">
      <c r="C247" s="85"/>
    </row>
    <row r="248" spans="3:3" s="7" customFormat="1" ht="16" x14ac:dyDescent="0.35">
      <c r="C248" s="85"/>
    </row>
    <row r="249" spans="3:3" s="7" customFormat="1" ht="16" x14ac:dyDescent="0.35">
      <c r="C249" s="85"/>
    </row>
    <row r="250" spans="3:3" s="7" customFormat="1" ht="16" x14ac:dyDescent="0.35">
      <c r="C250" s="85"/>
    </row>
    <row r="251" spans="3:3" s="7" customFormat="1" ht="16" x14ac:dyDescent="0.35">
      <c r="C251" s="85"/>
    </row>
    <row r="252" spans="3:3" s="7" customFormat="1" ht="16" x14ac:dyDescent="0.35">
      <c r="C252" s="85"/>
    </row>
    <row r="253" spans="3:3" s="7" customFormat="1" ht="16" x14ac:dyDescent="0.35">
      <c r="C253" s="85"/>
    </row>
    <row r="254" spans="3:3" s="7" customFormat="1" ht="16" x14ac:dyDescent="0.35">
      <c r="C254" s="85"/>
    </row>
    <row r="255" spans="3:3" s="7" customFormat="1" ht="16" x14ac:dyDescent="0.35">
      <c r="C255" s="85"/>
    </row>
    <row r="256" spans="3:3" s="7" customFormat="1" ht="16" x14ac:dyDescent="0.35">
      <c r="C256" s="85"/>
    </row>
    <row r="257" spans="3:3" s="7" customFormat="1" ht="16" x14ac:dyDescent="0.35">
      <c r="C257" s="85"/>
    </row>
    <row r="258" spans="3:3" s="7" customFormat="1" ht="16" x14ac:dyDescent="0.35">
      <c r="C258" s="85"/>
    </row>
    <row r="259" spans="3:3" s="7" customFormat="1" ht="16" x14ac:dyDescent="0.35">
      <c r="C259" s="85"/>
    </row>
    <row r="260" spans="3:3" s="7" customFormat="1" ht="16" x14ac:dyDescent="0.35">
      <c r="C260" s="85"/>
    </row>
    <row r="261" spans="3:3" s="7" customFormat="1" ht="16" x14ac:dyDescent="0.35">
      <c r="C261" s="85"/>
    </row>
    <row r="262" spans="3:3" s="7" customFormat="1" ht="16" x14ac:dyDescent="0.35">
      <c r="C262" s="85"/>
    </row>
    <row r="263" spans="3:3" s="7" customFormat="1" ht="16" x14ac:dyDescent="0.35">
      <c r="C263" s="85"/>
    </row>
    <row r="264" spans="3:3" s="7" customFormat="1" ht="16" x14ac:dyDescent="0.35">
      <c r="C264" s="85"/>
    </row>
    <row r="265" spans="3:3" s="7" customFormat="1" ht="16" x14ac:dyDescent="0.35">
      <c r="C265" s="85"/>
    </row>
    <row r="266" spans="3:3" s="7" customFormat="1" ht="16" x14ac:dyDescent="0.35">
      <c r="C266" s="85"/>
    </row>
    <row r="267" spans="3:3" s="7" customFormat="1" ht="16" x14ac:dyDescent="0.35">
      <c r="C267" s="85"/>
    </row>
    <row r="268" spans="3:3" s="7" customFormat="1" ht="16" x14ac:dyDescent="0.35">
      <c r="C268" s="85"/>
    </row>
    <row r="269" spans="3:3" s="7" customFormat="1" ht="16" x14ac:dyDescent="0.35">
      <c r="C269" s="85"/>
    </row>
    <row r="270" spans="3:3" s="7" customFormat="1" ht="16" x14ac:dyDescent="0.35">
      <c r="C270" s="85"/>
    </row>
    <row r="271" spans="3:3" s="7" customFormat="1" ht="16" x14ac:dyDescent="0.35">
      <c r="C271" s="85"/>
    </row>
    <row r="272" spans="3:3" s="7" customFormat="1" ht="16" x14ac:dyDescent="0.35">
      <c r="C272" s="85"/>
    </row>
    <row r="273" spans="3:3" s="7" customFormat="1" ht="16" x14ac:dyDescent="0.35">
      <c r="C273" s="85"/>
    </row>
    <row r="274" spans="3:3" s="7" customFormat="1" ht="16" x14ac:dyDescent="0.35">
      <c r="C274" s="85"/>
    </row>
    <row r="275" spans="3:3" s="7" customFormat="1" ht="16" x14ac:dyDescent="0.35">
      <c r="C275" s="85"/>
    </row>
    <row r="276" spans="3:3" s="7" customFormat="1" ht="16" x14ac:dyDescent="0.35">
      <c r="C276" s="85"/>
    </row>
    <row r="277" spans="3:3" s="7" customFormat="1" ht="16" x14ac:dyDescent="0.35">
      <c r="C277" s="85"/>
    </row>
    <row r="278" spans="3:3" s="7" customFormat="1" ht="16" x14ac:dyDescent="0.35">
      <c r="C278" s="85"/>
    </row>
    <row r="279" spans="3:3" s="7" customFormat="1" ht="16" x14ac:dyDescent="0.35">
      <c r="C279" s="85"/>
    </row>
    <row r="280" spans="3:3" s="7" customFormat="1" ht="16" x14ac:dyDescent="0.35">
      <c r="C280" s="85"/>
    </row>
    <row r="281" spans="3:3" s="7" customFormat="1" ht="16" x14ac:dyDescent="0.35">
      <c r="C281" s="85"/>
    </row>
    <row r="282" spans="3:3" s="7" customFormat="1" ht="16" x14ac:dyDescent="0.35">
      <c r="C282" s="85"/>
    </row>
    <row r="283" spans="3:3" s="7" customFormat="1" ht="16" x14ac:dyDescent="0.35">
      <c r="C283" s="85"/>
    </row>
    <row r="284" spans="3:3" s="7" customFormat="1" ht="16" x14ac:dyDescent="0.35">
      <c r="C284" s="85"/>
    </row>
    <row r="285" spans="3:3" s="7" customFormat="1" ht="16" x14ac:dyDescent="0.35">
      <c r="C285" s="85"/>
    </row>
    <row r="286" spans="3:3" s="7" customFormat="1" ht="16" x14ac:dyDescent="0.35">
      <c r="C286" s="85"/>
    </row>
    <row r="287" spans="3:3" s="7" customFormat="1" ht="16" x14ac:dyDescent="0.35">
      <c r="C287" s="85"/>
    </row>
    <row r="288" spans="3:3" s="7" customFormat="1" ht="16" x14ac:dyDescent="0.35">
      <c r="C288" s="85"/>
    </row>
    <row r="289" spans="3:3" s="7" customFormat="1" ht="16" x14ac:dyDescent="0.35">
      <c r="C289" s="85"/>
    </row>
    <row r="290" spans="3:3" s="7" customFormat="1" ht="16" x14ac:dyDescent="0.35">
      <c r="C290" s="85"/>
    </row>
    <row r="291" spans="3:3" s="7" customFormat="1" ht="16" x14ac:dyDescent="0.35">
      <c r="C291" s="85"/>
    </row>
    <row r="292" spans="3:3" s="7" customFormat="1" ht="16" x14ac:dyDescent="0.35">
      <c r="C292" s="85"/>
    </row>
    <row r="293" spans="3:3" s="7" customFormat="1" ht="16" x14ac:dyDescent="0.35">
      <c r="C293" s="85"/>
    </row>
    <row r="294" spans="3:3" s="7" customFormat="1" ht="16" x14ac:dyDescent="0.35">
      <c r="C294" s="85"/>
    </row>
    <row r="295" spans="3:3" s="7" customFormat="1" ht="16" x14ac:dyDescent="0.35">
      <c r="C295" s="85"/>
    </row>
    <row r="296" spans="3:3" s="7" customFormat="1" ht="16" x14ac:dyDescent="0.35">
      <c r="C296" s="85"/>
    </row>
    <row r="297" spans="3:3" s="7" customFormat="1" ht="16" x14ac:dyDescent="0.35">
      <c r="C297" s="85"/>
    </row>
    <row r="298" spans="3:3" s="7" customFormat="1" ht="16" x14ac:dyDescent="0.35">
      <c r="C298" s="85"/>
    </row>
    <row r="299" spans="3:3" s="7" customFormat="1" ht="16" x14ac:dyDescent="0.35">
      <c r="C299" s="85"/>
    </row>
    <row r="300" spans="3:3" s="7" customFormat="1" ht="16" x14ac:dyDescent="0.35">
      <c r="C300" s="85"/>
    </row>
    <row r="301" spans="3:3" s="7" customFormat="1" ht="16" x14ac:dyDescent="0.35">
      <c r="C301" s="85"/>
    </row>
    <row r="302" spans="3:3" s="7" customFormat="1" ht="16" x14ac:dyDescent="0.35">
      <c r="C302" s="85"/>
    </row>
    <row r="303" spans="3:3" s="7" customFormat="1" ht="16" x14ac:dyDescent="0.35">
      <c r="C303" s="85"/>
    </row>
    <row r="304" spans="3:3" s="7" customFormat="1" ht="16" x14ac:dyDescent="0.35">
      <c r="C304" s="85"/>
    </row>
    <row r="305" spans="3:3" s="7" customFormat="1" ht="16" x14ac:dyDescent="0.35">
      <c r="C305" s="85"/>
    </row>
    <row r="306" spans="3:3" s="7" customFormat="1" ht="16" x14ac:dyDescent="0.35">
      <c r="C306" s="85"/>
    </row>
    <row r="307" spans="3:3" s="7" customFormat="1" ht="16" x14ac:dyDescent="0.35">
      <c r="C307" s="85"/>
    </row>
    <row r="308" spans="3:3" s="7" customFormat="1" ht="16" x14ac:dyDescent="0.35">
      <c r="C308" s="85"/>
    </row>
    <row r="309" spans="3:3" s="7" customFormat="1" ht="16" x14ac:dyDescent="0.35">
      <c r="C309" s="85"/>
    </row>
    <row r="310" spans="3:3" s="7" customFormat="1" ht="16" x14ac:dyDescent="0.35">
      <c r="C310" s="85"/>
    </row>
    <row r="311" spans="3:3" s="7" customFormat="1" ht="16" x14ac:dyDescent="0.35">
      <c r="C311" s="85"/>
    </row>
    <row r="312" spans="3:3" s="7" customFormat="1" ht="16" x14ac:dyDescent="0.35">
      <c r="C312" s="85"/>
    </row>
    <row r="313" spans="3:3" s="7" customFormat="1" ht="16" x14ac:dyDescent="0.35">
      <c r="C313" s="85"/>
    </row>
    <row r="314" spans="3:3" s="7" customFormat="1" ht="16" x14ac:dyDescent="0.35">
      <c r="C314" s="85"/>
    </row>
    <row r="315" spans="3:3" s="7" customFormat="1" ht="16" x14ac:dyDescent="0.35">
      <c r="C315" s="85"/>
    </row>
    <row r="316" spans="3:3" s="7" customFormat="1" ht="16" x14ac:dyDescent="0.35">
      <c r="C316" s="85"/>
    </row>
    <row r="317" spans="3:3" s="7" customFormat="1" ht="16" x14ac:dyDescent="0.35">
      <c r="C317" s="85"/>
    </row>
    <row r="318" spans="3:3" s="7" customFormat="1" ht="16" x14ac:dyDescent="0.35">
      <c r="C318" s="85"/>
    </row>
    <row r="319" spans="3:3" s="7" customFormat="1" ht="16" x14ac:dyDescent="0.35">
      <c r="C319" s="85"/>
    </row>
    <row r="320" spans="3:3" s="7" customFormat="1" ht="16" x14ac:dyDescent="0.35">
      <c r="C320" s="85"/>
    </row>
    <row r="321" spans="3:3" s="7" customFormat="1" ht="16" x14ac:dyDescent="0.35">
      <c r="C321" s="85"/>
    </row>
    <row r="322" spans="3:3" s="7" customFormat="1" ht="16" x14ac:dyDescent="0.35">
      <c r="C322" s="85"/>
    </row>
    <row r="323" spans="3:3" s="7" customFormat="1" ht="16" x14ac:dyDescent="0.35">
      <c r="C323" s="85"/>
    </row>
    <row r="324" spans="3:3" s="7" customFormat="1" ht="16" x14ac:dyDescent="0.35">
      <c r="C324" s="85"/>
    </row>
    <row r="325" spans="3:3" s="7" customFormat="1" ht="16" x14ac:dyDescent="0.35">
      <c r="C325" s="85"/>
    </row>
    <row r="326" spans="3:3" s="7" customFormat="1" ht="16" x14ac:dyDescent="0.35">
      <c r="C326" s="85"/>
    </row>
    <row r="327" spans="3:3" s="7" customFormat="1" ht="16" x14ac:dyDescent="0.35">
      <c r="C327" s="85"/>
    </row>
    <row r="328" spans="3:3" s="7" customFormat="1" ht="16" x14ac:dyDescent="0.35">
      <c r="C328" s="85"/>
    </row>
    <row r="329" spans="3:3" s="7" customFormat="1" ht="16" x14ac:dyDescent="0.35">
      <c r="C329" s="85"/>
    </row>
    <row r="330" spans="3:3" s="7" customFormat="1" ht="16" x14ac:dyDescent="0.35">
      <c r="C330" s="85"/>
    </row>
    <row r="331" spans="3:3" s="7" customFormat="1" ht="16" x14ac:dyDescent="0.35">
      <c r="C331" s="85"/>
    </row>
    <row r="332" spans="3:3" s="7" customFormat="1" ht="16" x14ac:dyDescent="0.35">
      <c r="C332" s="85"/>
    </row>
    <row r="333" spans="3:3" s="7" customFormat="1" ht="16" x14ac:dyDescent="0.35">
      <c r="C333" s="85"/>
    </row>
    <row r="334" spans="3:3" s="7" customFormat="1" ht="16" x14ac:dyDescent="0.35">
      <c r="C334" s="85"/>
    </row>
    <row r="335" spans="3:3" s="7" customFormat="1" ht="16" x14ac:dyDescent="0.35">
      <c r="C335" s="85"/>
    </row>
    <row r="336" spans="3:3" s="7" customFormat="1" ht="16" x14ac:dyDescent="0.35">
      <c r="C336" s="85"/>
    </row>
    <row r="337" spans="3:3" s="7" customFormat="1" ht="16" x14ac:dyDescent="0.35">
      <c r="C337" s="85"/>
    </row>
    <row r="338" spans="3:3" s="7" customFormat="1" ht="16" x14ac:dyDescent="0.35">
      <c r="C338" s="85"/>
    </row>
    <row r="339" spans="3:3" s="7" customFormat="1" ht="16" x14ac:dyDescent="0.35">
      <c r="C339" s="85"/>
    </row>
    <row r="340" spans="3:3" s="7" customFormat="1" ht="16" x14ac:dyDescent="0.35">
      <c r="C340" s="85"/>
    </row>
    <row r="341" spans="3:3" s="7" customFormat="1" ht="16" x14ac:dyDescent="0.35">
      <c r="C341" s="85"/>
    </row>
    <row r="342" spans="3:3" s="7" customFormat="1" ht="16" x14ac:dyDescent="0.35">
      <c r="C342" s="85"/>
    </row>
    <row r="343" spans="3:3" s="7" customFormat="1" ht="16" x14ac:dyDescent="0.35">
      <c r="C343" s="85"/>
    </row>
    <row r="344" spans="3:3" s="7" customFormat="1" ht="16" x14ac:dyDescent="0.35">
      <c r="C344" s="85"/>
    </row>
    <row r="345" spans="3:3" s="7" customFormat="1" ht="16" x14ac:dyDescent="0.35">
      <c r="C345" s="85"/>
    </row>
    <row r="346" spans="3:3" s="7" customFormat="1" ht="16" x14ac:dyDescent="0.35">
      <c r="C346" s="85"/>
    </row>
    <row r="347" spans="3:3" s="7" customFormat="1" ht="16" x14ac:dyDescent="0.35">
      <c r="C347" s="85"/>
    </row>
    <row r="348" spans="3:3" s="7" customFormat="1" ht="16" x14ac:dyDescent="0.35">
      <c r="C348" s="85"/>
    </row>
    <row r="349" spans="3:3" s="7" customFormat="1" ht="16" x14ac:dyDescent="0.35">
      <c r="C349" s="85"/>
    </row>
    <row r="350" spans="3:3" s="7" customFormat="1" ht="16" x14ac:dyDescent="0.35">
      <c r="C350" s="85"/>
    </row>
    <row r="351" spans="3:3" s="7" customFormat="1" ht="16" x14ac:dyDescent="0.35">
      <c r="C351" s="85"/>
    </row>
    <row r="352" spans="3:3" s="7" customFormat="1" ht="16" x14ac:dyDescent="0.35">
      <c r="C352" s="85"/>
    </row>
    <row r="353" spans="3:3" s="7" customFormat="1" ht="16" x14ac:dyDescent="0.35">
      <c r="C353" s="85"/>
    </row>
    <row r="354" spans="3:3" s="7" customFormat="1" ht="16" x14ac:dyDescent="0.35">
      <c r="C354" s="85"/>
    </row>
    <row r="355" spans="3:3" s="7" customFormat="1" ht="16" x14ac:dyDescent="0.35">
      <c r="C355" s="85"/>
    </row>
    <row r="356" spans="3:3" s="7" customFormat="1" ht="16" x14ac:dyDescent="0.35">
      <c r="C356" s="85"/>
    </row>
    <row r="357" spans="3:3" s="7" customFormat="1" ht="16" x14ac:dyDescent="0.35">
      <c r="C357" s="85"/>
    </row>
    <row r="358" spans="3:3" s="7" customFormat="1" ht="16" x14ac:dyDescent="0.35">
      <c r="C358" s="85"/>
    </row>
    <row r="359" spans="3:3" s="7" customFormat="1" ht="16" x14ac:dyDescent="0.35">
      <c r="C359" s="85"/>
    </row>
    <row r="360" spans="3:3" s="7" customFormat="1" ht="16" x14ac:dyDescent="0.35">
      <c r="C360" s="85"/>
    </row>
    <row r="361" spans="3:3" s="7" customFormat="1" ht="16" x14ac:dyDescent="0.35">
      <c r="C361" s="85"/>
    </row>
    <row r="362" spans="3:3" s="7" customFormat="1" ht="16" x14ac:dyDescent="0.35">
      <c r="C362" s="85"/>
    </row>
    <row r="363" spans="3:3" s="7" customFormat="1" ht="16" x14ac:dyDescent="0.35">
      <c r="C363" s="85"/>
    </row>
    <row r="364" spans="3:3" s="7" customFormat="1" ht="16" x14ac:dyDescent="0.35">
      <c r="C364" s="85"/>
    </row>
    <row r="365" spans="3:3" s="7" customFormat="1" ht="16" x14ac:dyDescent="0.35">
      <c r="C365" s="85"/>
    </row>
    <row r="366" spans="3:3" s="7" customFormat="1" ht="16" x14ac:dyDescent="0.35">
      <c r="C366" s="85"/>
    </row>
    <row r="367" spans="3:3" s="7" customFormat="1" ht="16" x14ac:dyDescent="0.35">
      <c r="C367" s="85"/>
    </row>
    <row r="368" spans="3:3" s="7" customFormat="1" ht="16" x14ac:dyDescent="0.35">
      <c r="C368" s="85"/>
    </row>
    <row r="369" spans="3:3" s="7" customFormat="1" ht="16" x14ac:dyDescent="0.35">
      <c r="C369" s="85"/>
    </row>
    <row r="370" spans="3:3" s="7" customFormat="1" ht="16" x14ac:dyDescent="0.35">
      <c r="C370" s="85"/>
    </row>
    <row r="371" spans="3:3" s="7" customFormat="1" ht="16" x14ac:dyDescent="0.35">
      <c r="C371" s="85"/>
    </row>
    <row r="372" spans="3:3" s="7" customFormat="1" ht="16" x14ac:dyDescent="0.35">
      <c r="C372" s="85"/>
    </row>
    <row r="373" spans="3:3" s="7" customFormat="1" ht="16" x14ac:dyDescent="0.35">
      <c r="C373" s="85"/>
    </row>
    <row r="374" spans="3:3" s="7" customFormat="1" ht="16" x14ac:dyDescent="0.35">
      <c r="C374" s="85"/>
    </row>
    <row r="375" spans="3:3" s="7" customFormat="1" ht="16" x14ac:dyDescent="0.35">
      <c r="C375" s="85"/>
    </row>
    <row r="376" spans="3:3" s="7" customFormat="1" ht="16" x14ac:dyDescent="0.35">
      <c r="C376" s="85"/>
    </row>
    <row r="377" spans="3:3" s="7" customFormat="1" ht="16" x14ac:dyDescent="0.35">
      <c r="C377" s="85"/>
    </row>
    <row r="378" spans="3:3" s="7" customFormat="1" ht="16" x14ac:dyDescent="0.35">
      <c r="C378" s="85"/>
    </row>
    <row r="379" spans="3:3" s="7" customFormat="1" ht="16" x14ac:dyDescent="0.35">
      <c r="C379" s="85"/>
    </row>
    <row r="380" spans="3:3" s="7" customFormat="1" ht="16" x14ac:dyDescent="0.35">
      <c r="C380" s="85"/>
    </row>
    <row r="381" spans="3:3" s="7" customFormat="1" ht="16" x14ac:dyDescent="0.35">
      <c r="C381" s="85"/>
    </row>
    <row r="382" spans="3:3" s="7" customFormat="1" ht="16" x14ac:dyDescent="0.35">
      <c r="C382" s="85"/>
    </row>
    <row r="383" spans="3:3" s="7" customFormat="1" ht="16" x14ac:dyDescent="0.35">
      <c r="C383" s="85"/>
    </row>
    <row r="384" spans="3:3" s="7" customFormat="1" ht="16" x14ac:dyDescent="0.35">
      <c r="C384" s="85"/>
    </row>
    <row r="385" spans="3:3" s="7" customFormat="1" ht="16" x14ac:dyDescent="0.35">
      <c r="C385" s="85"/>
    </row>
    <row r="386" spans="3:3" s="7" customFormat="1" ht="16" x14ac:dyDescent="0.35">
      <c r="C386" s="85"/>
    </row>
    <row r="387" spans="3:3" s="7" customFormat="1" ht="16" x14ac:dyDescent="0.35">
      <c r="C387" s="85"/>
    </row>
    <row r="388" spans="3:3" s="7" customFormat="1" ht="16" x14ac:dyDescent="0.35">
      <c r="C388" s="85"/>
    </row>
    <row r="389" spans="3:3" s="7" customFormat="1" ht="16" x14ac:dyDescent="0.35">
      <c r="C389" s="85"/>
    </row>
    <row r="390" spans="3:3" s="7" customFormat="1" ht="16" x14ac:dyDescent="0.35">
      <c r="C390" s="85"/>
    </row>
    <row r="391" spans="3:3" s="7" customFormat="1" ht="16" x14ac:dyDescent="0.35">
      <c r="C391" s="85"/>
    </row>
    <row r="392" spans="3:3" s="7" customFormat="1" ht="16" x14ac:dyDescent="0.35">
      <c r="C392" s="85"/>
    </row>
    <row r="393" spans="3:3" s="7" customFormat="1" ht="16" x14ac:dyDescent="0.35">
      <c r="C393" s="85"/>
    </row>
    <row r="394" spans="3:3" s="7" customFormat="1" ht="16" x14ac:dyDescent="0.35">
      <c r="C394" s="85"/>
    </row>
    <row r="395" spans="3:3" s="7" customFormat="1" ht="16" x14ac:dyDescent="0.35">
      <c r="C395" s="85"/>
    </row>
    <row r="396" spans="3:3" s="7" customFormat="1" ht="16" x14ac:dyDescent="0.35">
      <c r="C396" s="85"/>
    </row>
    <row r="397" spans="3:3" s="7" customFormat="1" ht="16" x14ac:dyDescent="0.35">
      <c r="C397" s="85"/>
    </row>
    <row r="398" spans="3:3" s="7" customFormat="1" ht="16" x14ac:dyDescent="0.35">
      <c r="C398" s="85"/>
    </row>
    <row r="399" spans="3:3" s="7" customFormat="1" ht="16" x14ac:dyDescent="0.35">
      <c r="C399" s="85"/>
    </row>
    <row r="400" spans="3:3" s="7" customFormat="1" ht="16" x14ac:dyDescent="0.35">
      <c r="C400" s="85"/>
    </row>
    <row r="401" spans="3:3" s="7" customFormat="1" ht="16" x14ac:dyDescent="0.35">
      <c r="C401" s="85"/>
    </row>
    <row r="402" spans="3:3" s="7" customFormat="1" ht="16" x14ac:dyDescent="0.35">
      <c r="C402" s="85"/>
    </row>
    <row r="403" spans="3:3" s="7" customFormat="1" ht="16" x14ac:dyDescent="0.35">
      <c r="C403" s="85"/>
    </row>
    <row r="404" spans="3:3" s="7" customFormat="1" ht="16" x14ac:dyDescent="0.35">
      <c r="C404" s="85"/>
    </row>
    <row r="405" spans="3:3" s="7" customFormat="1" ht="16" x14ac:dyDescent="0.35">
      <c r="C405" s="85"/>
    </row>
    <row r="406" spans="3:3" s="7" customFormat="1" ht="16" x14ac:dyDescent="0.35">
      <c r="C406" s="85"/>
    </row>
    <row r="407" spans="3:3" s="7" customFormat="1" ht="16" x14ac:dyDescent="0.35">
      <c r="C407" s="85"/>
    </row>
    <row r="408" spans="3:3" s="7" customFormat="1" ht="16" x14ac:dyDescent="0.35">
      <c r="C408" s="85"/>
    </row>
    <row r="409" spans="3:3" s="7" customFormat="1" ht="16" x14ac:dyDescent="0.35">
      <c r="C409" s="85"/>
    </row>
    <row r="410" spans="3:3" s="7" customFormat="1" ht="16" x14ac:dyDescent="0.35">
      <c r="C410" s="85"/>
    </row>
    <row r="411" spans="3:3" s="7" customFormat="1" ht="16" x14ac:dyDescent="0.35">
      <c r="C411" s="85"/>
    </row>
    <row r="412" spans="3:3" s="7" customFormat="1" ht="16" x14ac:dyDescent="0.35">
      <c r="C412" s="85"/>
    </row>
    <row r="413" spans="3:3" s="7" customFormat="1" ht="16" x14ac:dyDescent="0.35">
      <c r="C413" s="85"/>
    </row>
    <row r="414" spans="3:3" s="7" customFormat="1" ht="16" x14ac:dyDescent="0.35">
      <c r="C414" s="85"/>
    </row>
    <row r="415" spans="3:3" s="7" customFormat="1" ht="16" x14ac:dyDescent="0.35">
      <c r="C415" s="85"/>
    </row>
    <row r="416" spans="3:3" s="7" customFormat="1" ht="16" x14ac:dyDescent="0.35">
      <c r="C416" s="85"/>
    </row>
    <row r="417" spans="3:3" s="7" customFormat="1" ht="16" x14ac:dyDescent="0.35">
      <c r="C417" s="85"/>
    </row>
    <row r="418" spans="3:3" s="7" customFormat="1" ht="16" x14ac:dyDescent="0.35">
      <c r="C418" s="85"/>
    </row>
    <row r="419" spans="3:3" s="7" customFormat="1" ht="16" x14ac:dyDescent="0.35">
      <c r="C419" s="85"/>
    </row>
    <row r="420" spans="3:3" s="7" customFormat="1" ht="16" x14ac:dyDescent="0.35">
      <c r="C420" s="85"/>
    </row>
    <row r="421" spans="3:3" s="7" customFormat="1" ht="16" x14ac:dyDescent="0.35">
      <c r="C421" s="85"/>
    </row>
    <row r="422" spans="3:3" s="7" customFormat="1" ht="16" x14ac:dyDescent="0.35">
      <c r="C422" s="85"/>
    </row>
    <row r="423" spans="3:3" s="7" customFormat="1" ht="16" x14ac:dyDescent="0.35">
      <c r="C423" s="85"/>
    </row>
    <row r="424" spans="3:3" s="7" customFormat="1" ht="16" x14ac:dyDescent="0.35">
      <c r="C424" s="85"/>
    </row>
    <row r="425" spans="3:3" s="7" customFormat="1" ht="16" x14ac:dyDescent="0.35">
      <c r="C425" s="85"/>
    </row>
    <row r="426" spans="3:3" s="7" customFormat="1" ht="16" x14ac:dyDescent="0.35">
      <c r="C426" s="85"/>
    </row>
    <row r="427" spans="3:3" s="7" customFormat="1" ht="16" x14ac:dyDescent="0.35">
      <c r="C427" s="85"/>
    </row>
    <row r="428" spans="3:3" s="7" customFormat="1" ht="16" x14ac:dyDescent="0.35">
      <c r="C428" s="85"/>
    </row>
    <row r="429" spans="3:3" s="7" customFormat="1" ht="16" x14ac:dyDescent="0.35">
      <c r="C429" s="85"/>
    </row>
    <row r="430" spans="3:3" s="7" customFormat="1" ht="16" x14ac:dyDescent="0.35">
      <c r="C430" s="85"/>
    </row>
    <row r="431" spans="3:3" s="7" customFormat="1" ht="16" x14ac:dyDescent="0.35">
      <c r="C431" s="85"/>
    </row>
    <row r="432" spans="3:3" s="7" customFormat="1" ht="16" x14ac:dyDescent="0.35">
      <c r="C432" s="85"/>
    </row>
    <row r="433" spans="3:3" s="7" customFormat="1" ht="16" x14ac:dyDescent="0.35">
      <c r="C433" s="85"/>
    </row>
    <row r="434" spans="3:3" s="7" customFormat="1" ht="16" x14ac:dyDescent="0.35">
      <c r="C434" s="85"/>
    </row>
    <row r="435" spans="3:3" s="7" customFormat="1" ht="16" x14ac:dyDescent="0.35">
      <c r="C435" s="85"/>
    </row>
    <row r="436" spans="3:3" s="7" customFormat="1" ht="16" x14ac:dyDescent="0.35">
      <c r="C436" s="85"/>
    </row>
    <row r="437" spans="3:3" s="7" customFormat="1" ht="16" x14ac:dyDescent="0.35">
      <c r="C437" s="85"/>
    </row>
    <row r="438" spans="3:3" s="7" customFormat="1" ht="16" x14ac:dyDescent="0.35">
      <c r="C438" s="85"/>
    </row>
    <row r="439" spans="3:3" s="7" customFormat="1" ht="16" x14ac:dyDescent="0.35">
      <c r="C439" s="85"/>
    </row>
    <row r="440" spans="3:3" s="7" customFormat="1" ht="16" x14ac:dyDescent="0.35">
      <c r="C440" s="85"/>
    </row>
    <row r="441" spans="3:3" s="7" customFormat="1" ht="16" x14ac:dyDescent="0.35">
      <c r="C441" s="85"/>
    </row>
    <row r="442" spans="3:3" s="7" customFormat="1" ht="16" x14ac:dyDescent="0.35">
      <c r="C442" s="85"/>
    </row>
    <row r="443" spans="3:3" s="7" customFormat="1" ht="16" x14ac:dyDescent="0.35">
      <c r="C443" s="85"/>
    </row>
    <row r="444" spans="3:3" s="7" customFormat="1" ht="16" x14ac:dyDescent="0.35">
      <c r="C444" s="85"/>
    </row>
    <row r="445" spans="3:3" s="7" customFormat="1" ht="16" x14ac:dyDescent="0.35">
      <c r="C445" s="85"/>
    </row>
    <row r="446" spans="3:3" s="7" customFormat="1" ht="16" x14ac:dyDescent="0.35">
      <c r="C446" s="85"/>
    </row>
    <row r="447" spans="3:3" s="7" customFormat="1" ht="16" x14ac:dyDescent="0.35">
      <c r="C447" s="85"/>
    </row>
    <row r="448" spans="3:3" s="7" customFormat="1" ht="16" x14ac:dyDescent="0.35">
      <c r="C448" s="85"/>
    </row>
    <row r="449" spans="3:3" s="7" customFormat="1" ht="16" x14ac:dyDescent="0.35">
      <c r="C449" s="85"/>
    </row>
    <row r="450" spans="3:3" s="7" customFormat="1" ht="16" x14ac:dyDescent="0.35">
      <c r="C450" s="85"/>
    </row>
    <row r="451" spans="3:3" s="7" customFormat="1" ht="16" x14ac:dyDescent="0.35">
      <c r="C451" s="85"/>
    </row>
    <row r="452" spans="3:3" s="7" customFormat="1" ht="16" x14ac:dyDescent="0.35">
      <c r="C452" s="85"/>
    </row>
    <row r="453" spans="3:3" s="7" customFormat="1" ht="16" x14ac:dyDescent="0.35">
      <c r="C453" s="85"/>
    </row>
    <row r="454" spans="3:3" s="7" customFormat="1" ht="16" x14ac:dyDescent="0.35">
      <c r="C454" s="85"/>
    </row>
    <row r="455" spans="3:3" s="7" customFormat="1" ht="16" x14ac:dyDescent="0.35">
      <c r="C455" s="85"/>
    </row>
    <row r="456" spans="3:3" s="7" customFormat="1" ht="16" x14ac:dyDescent="0.35">
      <c r="C456" s="85"/>
    </row>
    <row r="457" spans="3:3" s="7" customFormat="1" ht="16" x14ac:dyDescent="0.35">
      <c r="C457" s="85"/>
    </row>
    <row r="458" spans="3:3" s="7" customFormat="1" ht="16" x14ac:dyDescent="0.35">
      <c r="C458" s="85"/>
    </row>
    <row r="459" spans="3:3" s="7" customFormat="1" ht="16" x14ac:dyDescent="0.35">
      <c r="C459" s="85"/>
    </row>
    <row r="460" spans="3:3" s="7" customFormat="1" ht="16" x14ac:dyDescent="0.35">
      <c r="C460" s="85"/>
    </row>
    <row r="461" spans="3:3" s="7" customFormat="1" ht="16" x14ac:dyDescent="0.35">
      <c r="C461" s="85"/>
    </row>
    <row r="462" spans="3:3" s="7" customFormat="1" ht="16" x14ac:dyDescent="0.35">
      <c r="C462" s="85"/>
    </row>
    <row r="463" spans="3:3" s="7" customFormat="1" ht="16" x14ac:dyDescent="0.35">
      <c r="C463" s="85"/>
    </row>
    <row r="464" spans="3:3" s="7" customFormat="1" ht="16" x14ac:dyDescent="0.35">
      <c r="C464" s="85"/>
    </row>
    <row r="465" spans="3:3" s="7" customFormat="1" ht="16" x14ac:dyDescent="0.35">
      <c r="C465" s="85"/>
    </row>
    <row r="466" spans="3:3" s="7" customFormat="1" ht="16" x14ac:dyDescent="0.35">
      <c r="C466" s="85"/>
    </row>
    <row r="467" spans="3:3" s="7" customFormat="1" ht="16" x14ac:dyDescent="0.35">
      <c r="C467" s="85"/>
    </row>
    <row r="468" spans="3:3" s="7" customFormat="1" ht="16" x14ac:dyDescent="0.35">
      <c r="C468" s="85"/>
    </row>
    <row r="469" spans="3:3" s="7" customFormat="1" ht="16" x14ac:dyDescent="0.35">
      <c r="C469" s="85"/>
    </row>
    <row r="470" spans="3:3" s="7" customFormat="1" ht="16" x14ac:dyDescent="0.35">
      <c r="C470" s="85"/>
    </row>
    <row r="471" spans="3:3" s="7" customFormat="1" ht="16" x14ac:dyDescent="0.35">
      <c r="C471" s="85"/>
    </row>
    <row r="472" spans="3:3" s="7" customFormat="1" ht="16" x14ac:dyDescent="0.35">
      <c r="C472" s="85"/>
    </row>
    <row r="473" spans="3:3" s="7" customFormat="1" ht="16" x14ac:dyDescent="0.35">
      <c r="C473" s="85"/>
    </row>
    <row r="474" spans="3:3" s="7" customFormat="1" ht="16" x14ac:dyDescent="0.35">
      <c r="C474" s="85"/>
    </row>
    <row r="475" spans="3:3" s="7" customFormat="1" ht="16" x14ac:dyDescent="0.35">
      <c r="C475" s="85"/>
    </row>
    <row r="476" spans="3:3" s="7" customFormat="1" ht="16" x14ac:dyDescent="0.35">
      <c r="C476" s="85"/>
    </row>
    <row r="477" spans="3:3" s="7" customFormat="1" ht="16" x14ac:dyDescent="0.35">
      <c r="C477" s="85"/>
    </row>
    <row r="478" spans="3:3" s="7" customFormat="1" ht="16" x14ac:dyDescent="0.35">
      <c r="C478" s="85"/>
    </row>
    <row r="479" spans="3:3" s="7" customFormat="1" ht="16" x14ac:dyDescent="0.35">
      <c r="C479" s="85"/>
    </row>
    <row r="480" spans="3:3" s="7" customFormat="1" ht="16" x14ac:dyDescent="0.35">
      <c r="C480" s="85"/>
    </row>
    <row r="481" spans="3:3" s="7" customFormat="1" ht="16" x14ac:dyDescent="0.35">
      <c r="C481" s="85"/>
    </row>
    <row r="482" spans="3:3" s="7" customFormat="1" ht="16" x14ac:dyDescent="0.35">
      <c r="C482" s="85"/>
    </row>
    <row r="483" spans="3:3" s="7" customFormat="1" ht="16" x14ac:dyDescent="0.35">
      <c r="C483" s="85"/>
    </row>
    <row r="484" spans="3:3" s="7" customFormat="1" ht="16" x14ac:dyDescent="0.35">
      <c r="C484" s="85"/>
    </row>
    <row r="485" spans="3:3" s="7" customFormat="1" ht="16" x14ac:dyDescent="0.35">
      <c r="C485" s="85"/>
    </row>
    <row r="486" spans="3:3" s="7" customFormat="1" ht="16" x14ac:dyDescent="0.35">
      <c r="C486" s="85"/>
    </row>
    <row r="487" spans="3:3" s="7" customFormat="1" ht="16" x14ac:dyDescent="0.35">
      <c r="C487" s="85"/>
    </row>
    <row r="488" spans="3:3" s="7" customFormat="1" ht="16" x14ac:dyDescent="0.35">
      <c r="C488" s="85"/>
    </row>
    <row r="489" spans="3:3" s="7" customFormat="1" ht="16" x14ac:dyDescent="0.35">
      <c r="C489" s="85"/>
    </row>
    <row r="490" spans="3:3" s="7" customFormat="1" ht="16" x14ac:dyDescent="0.35">
      <c r="C490" s="85"/>
    </row>
    <row r="491" spans="3:3" s="7" customFormat="1" ht="16" x14ac:dyDescent="0.35">
      <c r="C491" s="85"/>
    </row>
    <row r="492" spans="3:3" s="7" customFormat="1" ht="16" x14ac:dyDescent="0.35">
      <c r="C492" s="85"/>
    </row>
    <row r="493" spans="3:3" s="7" customFormat="1" ht="16" x14ac:dyDescent="0.35">
      <c r="C493" s="85"/>
    </row>
    <row r="494" spans="3:3" s="7" customFormat="1" ht="16" x14ac:dyDescent="0.35">
      <c r="C494" s="85"/>
    </row>
    <row r="495" spans="3:3" s="7" customFormat="1" ht="16" x14ac:dyDescent="0.35">
      <c r="C495" s="85"/>
    </row>
    <row r="496" spans="3:3" s="7" customFormat="1" ht="16" x14ac:dyDescent="0.35">
      <c r="C496" s="85"/>
    </row>
    <row r="497" spans="3:3" s="7" customFormat="1" ht="16" x14ac:dyDescent="0.35">
      <c r="C497" s="85"/>
    </row>
    <row r="498" spans="3:3" s="7" customFormat="1" ht="16" x14ac:dyDescent="0.35">
      <c r="C498" s="85"/>
    </row>
    <row r="499" spans="3:3" s="7" customFormat="1" ht="16" x14ac:dyDescent="0.35">
      <c r="C499" s="85"/>
    </row>
    <row r="500" spans="3:3" s="7" customFormat="1" ht="16" x14ac:dyDescent="0.35">
      <c r="C500" s="85"/>
    </row>
    <row r="501" spans="3:3" s="7" customFormat="1" ht="16" x14ac:dyDescent="0.35">
      <c r="C501" s="85"/>
    </row>
    <row r="502" spans="3:3" s="7" customFormat="1" ht="16" x14ac:dyDescent="0.35">
      <c r="C502" s="85"/>
    </row>
    <row r="503" spans="3:3" s="7" customFormat="1" ht="16" x14ac:dyDescent="0.35">
      <c r="C503" s="85"/>
    </row>
    <row r="504" spans="3:3" s="7" customFormat="1" ht="16" x14ac:dyDescent="0.35">
      <c r="C504" s="85"/>
    </row>
    <row r="505" spans="3:3" s="7" customFormat="1" ht="16" x14ac:dyDescent="0.35">
      <c r="C505" s="85"/>
    </row>
    <row r="506" spans="3:3" s="7" customFormat="1" ht="16" x14ac:dyDescent="0.35">
      <c r="C506" s="85"/>
    </row>
    <row r="507" spans="3:3" s="7" customFormat="1" ht="16" x14ac:dyDescent="0.35">
      <c r="C507" s="85"/>
    </row>
    <row r="508" spans="3:3" s="7" customFormat="1" ht="16" x14ac:dyDescent="0.35">
      <c r="C508" s="85"/>
    </row>
    <row r="509" spans="3:3" s="7" customFormat="1" ht="16" x14ac:dyDescent="0.35">
      <c r="C509" s="85"/>
    </row>
    <row r="510" spans="3:3" s="7" customFormat="1" ht="16" x14ac:dyDescent="0.35">
      <c r="C510" s="85"/>
    </row>
    <row r="511" spans="3:3" s="7" customFormat="1" ht="16" x14ac:dyDescent="0.35">
      <c r="C511" s="85"/>
    </row>
    <row r="512" spans="3:3" s="7" customFormat="1" ht="16" x14ac:dyDescent="0.35">
      <c r="C512" s="85"/>
    </row>
    <row r="513" spans="3:3" s="7" customFormat="1" ht="16" x14ac:dyDescent="0.35">
      <c r="C513" s="85"/>
    </row>
    <row r="514" spans="3:3" s="7" customFormat="1" ht="16" x14ac:dyDescent="0.35">
      <c r="C514" s="85"/>
    </row>
    <row r="515" spans="3:3" s="7" customFormat="1" ht="16" x14ac:dyDescent="0.35">
      <c r="C515" s="85"/>
    </row>
    <row r="516" spans="3:3" s="7" customFormat="1" ht="16" x14ac:dyDescent="0.35">
      <c r="C516" s="85"/>
    </row>
    <row r="517" spans="3:3" s="7" customFormat="1" ht="16" x14ac:dyDescent="0.35">
      <c r="C517" s="85"/>
    </row>
    <row r="518" spans="3:3" s="7" customFormat="1" ht="16" x14ac:dyDescent="0.35">
      <c r="C518" s="85"/>
    </row>
    <row r="519" spans="3:3" s="7" customFormat="1" ht="16" x14ac:dyDescent="0.35">
      <c r="C519" s="85"/>
    </row>
    <row r="520" spans="3:3" s="7" customFormat="1" ht="16" x14ac:dyDescent="0.35">
      <c r="C520" s="85"/>
    </row>
    <row r="521" spans="3:3" s="7" customFormat="1" ht="16" x14ac:dyDescent="0.35">
      <c r="C521" s="85"/>
    </row>
    <row r="522" spans="3:3" s="7" customFormat="1" ht="16" x14ac:dyDescent="0.35">
      <c r="C522" s="85"/>
    </row>
    <row r="523" spans="3:3" s="7" customFormat="1" ht="16" x14ac:dyDescent="0.35">
      <c r="C523" s="85"/>
    </row>
    <row r="524" spans="3:3" s="7" customFormat="1" ht="16" x14ac:dyDescent="0.35">
      <c r="C524" s="85"/>
    </row>
    <row r="525" spans="3:3" s="7" customFormat="1" ht="16" x14ac:dyDescent="0.35">
      <c r="C525" s="85"/>
    </row>
    <row r="526" spans="3:3" s="7" customFormat="1" ht="16" x14ac:dyDescent="0.35">
      <c r="C526" s="85"/>
    </row>
    <row r="527" spans="3:3" s="7" customFormat="1" ht="16" x14ac:dyDescent="0.35">
      <c r="C527" s="85"/>
    </row>
    <row r="528" spans="3:3" s="7" customFormat="1" ht="16" x14ac:dyDescent="0.35">
      <c r="C528" s="85"/>
    </row>
    <row r="529" spans="3:3" s="7" customFormat="1" ht="16" x14ac:dyDescent="0.35">
      <c r="C529" s="85"/>
    </row>
    <row r="530" spans="3:3" s="7" customFormat="1" ht="16" x14ac:dyDescent="0.35">
      <c r="C530" s="85"/>
    </row>
    <row r="531" spans="3:3" s="7" customFormat="1" ht="16" x14ac:dyDescent="0.35">
      <c r="C531" s="85"/>
    </row>
    <row r="532" spans="3:3" s="7" customFormat="1" ht="16" x14ac:dyDescent="0.35">
      <c r="C532" s="85"/>
    </row>
    <row r="533" spans="3:3" s="7" customFormat="1" ht="16" x14ac:dyDescent="0.35">
      <c r="C533" s="85"/>
    </row>
    <row r="534" spans="3:3" s="7" customFormat="1" ht="16" x14ac:dyDescent="0.35">
      <c r="C534" s="85"/>
    </row>
    <row r="535" spans="3:3" s="7" customFormat="1" ht="16" x14ac:dyDescent="0.35">
      <c r="C535" s="85"/>
    </row>
    <row r="536" spans="3:3" s="7" customFormat="1" ht="16" x14ac:dyDescent="0.35">
      <c r="C536" s="85"/>
    </row>
    <row r="537" spans="3:3" s="7" customFormat="1" ht="16" x14ac:dyDescent="0.35">
      <c r="C537" s="85"/>
    </row>
    <row r="538" spans="3:3" s="7" customFormat="1" ht="16" x14ac:dyDescent="0.35">
      <c r="C538" s="85"/>
    </row>
    <row r="539" spans="3:3" s="7" customFormat="1" ht="16" x14ac:dyDescent="0.35">
      <c r="C539" s="85"/>
    </row>
    <row r="540" spans="3:3" s="7" customFormat="1" ht="16" x14ac:dyDescent="0.35">
      <c r="C540" s="85"/>
    </row>
    <row r="541" spans="3:3" s="7" customFormat="1" ht="16" x14ac:dyDescent="0.35">
      <c r="C541" s="85"/>
    </row>
    <row r="542" spans="3:3" s="7" customFormat="1" ht="16" x14ac:dyDescent="0.35">
      <c r="C542" s="85"/>
    </row>
    <row r="543" spans="3:3" s="7" customFormat="1" ht="16" x14ac:dyDescent="0.35">
      <c r="C543" s="85"/>
    </row>
    <row r="544" spans="3:3" s="7" customFormat="1" ht="16" x14ac:dyDescent="0.35">
      <c r="C544" s="85"/>
    </row>
    <row r="545" spans="3:3" s="7" customFormat="1" ht="16" x14ac:dyDescent="0.35">
      <c r="C545" s="85"/>
    </row>
    <row r="546" spans="3:3" s="7" customFormat="1" ht="16" x14ac:dyDescent="0.35">
      <c r="C546" s="85"/>
    </row>
    <row r="547" spans="3:3" s="7" customFormat="1" ht="16" x14ac:dyDescent="0.35">
      <c r="C547" s="85"/>
    </row>
    <row r="548" spans="3:3" s="7" customFormat="1" ht="16" x14ac:dyDescent="0.35">
      <c r="C548" s="85"/>
    </row>
    <row r="549" spans="3:3" s="7" customFormat="1" ht="16" x14ac:dyDescent="0.35">
      <c r="C549" s="85"/>
    </row>
    <row r="550" spans="3:3" s="7" customFormat="1" ht="16" x14ac:dyDescent="0.35">
      <c r="C550" s="85"/>
    </row>
    <row r="551" spans="3:3" s="7" customFormat="1" ht="16" x14ac:dyDescent="0.35">
      <c r="C551" s="85"/>
    </row>
    <row r="552" spans="3:3" s="7" customFormat="1" ht="16" x14ac:dyDescent="0.35">
      <c r="C552" s="85"/>
    </row>
    <row r="553" spans="3:3" s="7" customFormat="1" ht="16" x14ac:dyDescent="0.35">
      <c r="C553" s="85"/>
    </row>
    <row r="554" spans="3:3" s="7" customFormat="1" ht="16" x14ac:dyDescent="0.35">
      <c r="C554" s="85"/>
    </row>
    <row r="555" spans="3:3" s="7" customFormat="1" ht="16" x14ac:dyDescent="0.35">
      <c r="C555" s="85"/>
    </row>
    <row r="556" spans="3:3" s="7" customFormat="1" ht="16" x14ac:dyDescent="0.35">
      <c r="C556" s="85"/>
    </row>
    <row r="557" spans="3:3" s="7" customFormat="1" ht="16" x14ac:dyDescent="0.35">
      <c r="C557" s="85"/>
    </row>
    <row r="558" spans="3:3" s="7" customFormat="1" ht="16" x14ac:dyDescent="0.35">
      <c r="C558" s="85"/>
    </row>
    <row r="559" spans="3:3" s="7" customFormat="1" ht="16" x14ac:dyDescent="0.35">
      <c r="C559" s="85"/>
    </row>
    <row r="560" spans="3:3" s="7" customFormat="1" ht="16" x14ac:dyDescent="0.35">
      <c r="C560" s="85"/>
    </row>
    <row r="561" spans="3:3" s="7" customFormat="1" ht="16" x14ac:dyDescent="0.35">
      <c r="C561" s="85"/>
    </row>
    <row r="562" spans="3:3" s="7" customFormat="1" ht="16" x14ac:dyDescent="0.35">
      <c r="C562" s="85"/>
    </row>
    <row r="563" spans="3:3" s="7" customFormat="1" ht="16" x14ac:dyDescent="0.35">
      <c r="C563" s="85"/>
    </row>
    <row r="564" spans="3:3" s="7" customFormat="1" ht="16" x14ac:dyDescent="0.35">
      <c r="C564" s="85"/>
    </row>
    <row r="565" spans="3:3" s="7" customFormat="1" ht="16" x14ac:dyDescent="0.35">
      <c r="C565" s="85"/>
    </row>
    <row r="566" spans="3:3" s="7" customFormat="1" ht="16" x14ac:dyDescent="0.35">
      <c r="C566" s="85"/>
    </row>
    <row r="567" spans="3:3" s="7" customFormat="1" ht="16" x14ac:dyDescent="0.35">
      <c r="C567" s="85"/>
    </row>
    <row r="568" spans="3:3" s="7" customFormat="1" ht="16" x14ac:dyDescent="0.35">
      <c r="C568" s="85"/>
    </row>
    <row r="569" spans="3:3" s="7" customFormat="1" ht="16" x14ac:dyDescent="0.35">
      <c r="C569" s="85"/>
    </row>
    <row r="570" spans="3:3" s="7" customFormat="1" ht="16" x14ac:dyDescent="0.35">
      <c r="C570" s="85"/>
    </row>
    <row r="571" spans="3:3" s="7" customFormat="1" ht="16" x14ac:dyDescent="0.35">
      <c r="C571" s="85"/>
    </row>
    <row r="572" spans="3:3" s="7" customFormat="1" ht="16" x14ac:dyDescent="0.35">
      <c r="C572" s="85"/>
    </row>
    <row r="573" spans="3:3" s="7" customFormat="1" ht="16" x14ac:dyDescent="0.35">
      <c r="C573" s="85"/>
    </row>
    <row r="574" spans="3:3" s="7" customFormat="1" ht="16" x14ac:dyDescent="0.35">
      <c r="C574" s="85"/>
    </row>
    <row r="575" spans="3:3" s="7" customFormat="1" ht="16" x14ac:dyDescent="0.35">
      <c r="C575" s="85"/>
    </row>
    <row r="576" spans="3:3" s="7" customFormat="1" ht="16" x14ac:dyDescent="0.35">
      <c r="C576" s="85"/>
    </row>
    <row r="577" spans="3:3" s="7" customFormat="1" ht="16" x14ac:dyDescent="0.35">
      <c r="C577" s="85"/>
    </row>
    <row r="578" spans="3:3" s="7" customFormat="1" ht="16" x14ac:dyDescent="0.35">
      <c r="C578" s="85"/>
    </row>
    <row r="579" spans="3:3" s="7" customFormat="1" ht="16" x14ac:dyDescent="0.35">
      <c r="C579" s="85"/>
    </row>
    <row r="580" spans="3:3" s="7" customFormat="1" ht="16" x14ac:dyDescent="0.35">
      <c r="C580" s="85"/>
    </row>
    <row r="581" spans="3:3" s="7" customFormat="1" ht="16" x14ac:dyDescent="0.35">
      <c r="C581" s="85"/>
    </row>
    <row r="582" spans="3:3" s="7" customFormat="1" ht="16" x14ac:dyDescent="0.35">
      <c r="C582" s="85"/>
    </row>
    <row r="583" spans="3:3" s="7" customFormat="1" ht="16" x14ac:dyDescent="0.35">
      <c r="C583" s="85"/>
    </row>
    <row r="584" spans="3:3" s="7" customFormat="1" ht="16" x14ac:dyDescent="0.35">
      <c r="C584" s="85"/>
    </row>
    <row r="585" spans="3:3" s="7" customFormat="1" ht="16" x14ac:dyDescent="0.35">
      <c r="C585" s="85"/>
    </row>
    <row r="586" spans="3:3" s="7" customFormat="1" ht="16" x14ac:dyDescent="0.35">
      <c r="C586" s="85"/>
    </row>
    <row r="587" spans="3:3" s="7" customFormat="1" ht="16" x14ac:dyDescent="0.35">
      <c r="C587" s="85"/>
    </row>
    <row r="588" spans="3:3" s="7" customFormat="1" ht="16" x14ac:dyDescent="0.35">
      <c r="C588" s="85"/>
    </row>
    <row r="589" spans="3:3" s="7" customFormat="1" ht="16" x14ac:dyDescent="0.35">
      <c r="C589" s="85"/>
    </row>
    <row r="590" spans="3:3" s="7" customFormat="1" ht="16" x14ac:dyDescent="0.35">
      <c r="C590" s="85"/>
    </row>
  </sheetData>
  <mergeCells count="54">
    <mergeCell ref="D16:E16"/>
    <mergeCell ref="D4:E4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22:E22"/>
    <mergeCell ref="D20:E20"/>
    <mergeCell ref="D21:E21"/>
    <mergeCell ref="D17:E17"/>
    <mergeCell ref="D18:E18"/>
    <mergeCell ref="D19:E19"/>
    <mergeCell ref="D28:E28"/>
    <mergeCell ref="D25:E25"/>
    <mergeCell ref="D26:E26"/>
    <mergeCell ref="D27:E27"/>
    <mergeCell ref="D23:E23"/>
    <mergeCell ref="D24:E24"/>
    <mergeCell ref="D32:E32"/>
    <mergeCell ref="D33:E33"/>
    <mergeCell ref="D30:E30"/>
    <mergeCell ref="D31:E31"/>
    <mergeCell ref="D29:E29"/>
    <mergeCell ref="D39:E39"/>
    <mergeCell ref="D40:E40"/>
    <mergeCell ref="D41:E41"/>
    <mergeCell ref="D38:E38"/>
    <mergeCell ref="D34:E34"/>
    <mergeCell ref="D35:E35"/>
    <mergeCell ref="D36:E36"/>
    <mergeCell ref="D37:E37"/>
    <mergeCell ref="D42:E42"/>
    <mergeCell ref="D43:E43"/>
    <mergeCell ref="D44:E44"/>
    <mergeCell ref="D45:E45"/>
    <mergeCell ref="D46:E46"/>
    <mergeCell ref="D47:E47"/>
    <mergeCell ref="D49:E49"/>
    <mergeCell ref="D50:E50"/>
    <mergeCell ref="D51:E51"/>
    <mergeCell ref="D52:E52"/>
    <mergeCell ref="D48:E48"/>
    <mergeCell ref="D58:E58"/>
    <mergeCell ref="D57:E57"/>
    <mergeCell ref="D56:E56"/>
    <mergeCell ref="D54:E54"/>
    <mergeCell ref="D53:E53"/>
    <mergeCell ref="D55:E55"/>
  </mergeCells>
  <conditionalFormatting sqref="D6:D58">
    <cfRule type="expression" dxfId="26" priority="1">
      <formula>D6=0</formula>
    </cfRule>
  </conditionalFormatting>
  <printOptions horizontalCentered="1" verticalCentered="1"/>
  <pageMargins left="0.25" right="0.25" top="0" bottom="0" header="0.05" footer="0.25"/>
  <pageSetup fitToHeight="0" orientation="landscape" verticalDpi="0" r:id="rId1"/>
  <headerFooter>
    <oddHeader>&amp;R&amp;D</oddHeader>
    <oddFooter>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tabColor theme="0"/>
    <pageSetUpPr fitToPage="1"/>
  </sheetPr>
  <dimension ref="A1:U385"/>
  <sheetViews>
    <sheetView tabSelected="1" view="pageBreakPreview" topLeftCell="A57" zoomScale="160" zoomScaleNormal="85" zoomScaleSheetLayoutView="160" workbookViewId="0">
      <selection activeCell="E58" sqref="E58"/>
    </sheetView>
  </sheetViews>
  <sheetFormatPr defaultColWidth="10.81640625" defaultRowHeight="16" outlineLevelCol="1" x14ac:dyDescent="0.35"/>
  <cols>
    <col min="1" max="1" width="15.54296875" style="7" bestFit="1" customWidth="1"/>
    <col min="2" max="2" width="12" style="7" customWidth="1"/>
    <col min="3" max="3" width="2.81640625" style="7" customWidth="1"/>
    <col min="4" max="4" width="37.81640625" style="7" customWidth="1"/>
    <col min="5" max="5" width="14" style="7" customWidth="1"/>
    <col min="6" max="8" width="13.54296875" style="7" customWidth="1"/>
    <col min="9" max="9" width="13.81640625" style="7" customWidth="1"/>
    <col min="10" max="10" width="13.1796875" style="7" customWidth="1"/>
    <col min="11" max="16" width="13.54296875" style="7" customWidth="1"/>
    <col min="17" max="17" width="15.81640625" style="7" bestFit="1" customWidth="1"/>
    <col min="18" max="18" width="17.1796875" style="7" hidden="1" customWidth="1" outlineLevel="1"/>
    <col min="19" max="19" width="15" style="320" hidden="1" customWidth="1" outlineLevel="1"/>
    <col min="20" max="20" width="9.453125" style="7" bestFit="1" customWidth="1" collapsed="1"/>
    <col min="21" max="21" width="63.54296875" style="7" customWidth="1"/>
    <col min="22" max="16384" width="10.81640625" style="7"/>
  </cols>
  <sheetData>
    <row r="1" spans="1:21" s="21" customFormat="1" ht="29" x14ac:dyDescent="0.25">
      <c r="B1" s="20" t="s">
        <v>345</v>
      </c>
      <c r="J1" s="22" t="s">
        <v>292</v>
      </c>
      <c r="Q1" s="23">
        <f>DATE(2026,1,1)</f>
        <v>46023</v>
      </c>
      <c r="R1" s="23"/>
      <c r="S1" s="319"/>
    </row>
    <row r="2" spans="1:21" ht="18" x14ac:dyDescent="0.35">
      <c r="J2" s="51" t="s">
        <v>344</v>
      </c>
    </row>
    <row r="3" spans="1:21" ht="18" x14ac:dyDescent="0.35">
      <c r="Q3" s="354">
        <f>Q1</f>
        <v>46023</v>
      </c>
      <c r="R3" s="321" t="s">
        <v>479</v>
      </c>
      <c r="S3" s="322"/>
    </row>
    <row r="4" spans="1:21" s="12" customFormat="1" ht="18" x14ac:dyDescent="0.35">
      <c r="B4" s="474">
        <f>'Renew &amp; Vac - Rent, TI, LC'!A6+'Renew &amp; Vac - Rent, TI, LC'!A28+'Renew &amp; Vac - Rent, TI, LC'!A50</f>
        <v>139635</v>
      </c>
      <c r="C4" s="474"/>
      <c r="D4" s="14"/>
      <c r="E4" s="25" t="s">
        <v>0</v>
      </c>
      <c r="F4" s="25" t="s">
        <v>1</v>
      </c>
      <c r="G4" s="25" t="s">
        <v>2</v>
      </c>
      <c r="H4" s="25" t="s">
        <v>3</v>
      </c>
      <c r="I4" s="25" t="s">
        <v>4</v>
      </c>
      <c r="J4" s="25" t="s">
        <v>5</v>
      </c>
      <c r="K4" s="25" t="s">
        <v>6</v>
      </c>
      <c r="L4" s="25" t="s">
        <v>7</v>
      </c>
      <c r="M4" s="25" t="s">
        <v>8</v>
      </c>
      <c r="N4" s="25" t="s">
        <v>9</v>
      </c>
      <c r="O4" s="25" t="s">
        <v>10</v>
      </c>
      <c r="P4" s="25" t="s">
        <v>11</v>
      </c>
      <c r="Q4" s="120" t="s">
        <v>12</v>
      </c>
      <c r="R4" s="323" t="s">
        <v>12</v>
      </c>
      <c r="S4" s="324" t="s">
        <v>480</v>
      </c>
      <c r="T4" s="262" t="s">
        <v>444</v>
      </c>
      <c r="U4" s="265" t="s">
        <v>303</v>
      </c>
    </row>
    <row r="5" spans="1:21" x14ac:dyDescent="0.35">
      <c r="Q5" s="121"/>
      <c r="R5" s="325"/>
      <c r="S5" s="326"/>
    </row>
    <row r="6" spans="1:21" s="26" customFormat="1" x14ac:dyDescent="0.35">
      <c r="B6" s="27"/>
      <c r="D6" s="28" t="s">
        <v>13</v>
      </c>
      <c r="E6" s="26">
        <f>SUM('361'!E7,'362'!E7,'364'!E7)/$B$4</f>
        <v>0.61410146453253123</v>
      </c>
      <c r="F6" s="26">
        <f>SUM('361'!F7,'362'!F7,'364'!F7)/$B$4</f>
        <v>0.61410146453253123</v>
      </c>
      <c r="G6" s="26">
        <f>SUM('361'!G7,'362'!G7,'364'!G7)/$B$4</f>
        <v>0.61410146453253123</v>
      </c>
      <c r="H6" s="26">
        <f>SUM('361'!H7,'362'!H7,'364'!H7)/$B$4</f>
        <v>0.56112641959394138</v>
      </c>
      <c r="I6" s="26">
        <f>SUM('361'!I7,'362'!I7,'364'!I7)/$B$4</f>
        <v>0.56112641959394138</v>
      </c>
      <c r="J6" s="26">
        <f>SUM('361'!J7,'362'!J7,'364'!J7)/$B$4</f>
        <v>0.56112641959394138</v>
      </c>
      <c r="K6" s="26">
        <f>SUM('361'!K7,'362'!K7,'364'!K7)/$B$4</f>
        <v>0.56112641959394138</v>
      </c>
      <c r="L6" s="26">
        <f>SUM('361'!L7,'362'!L7,'364'!L7)/$B$4</f>
        <v>0.56112641959394138</v>
      </c>
      <c r="M6" s="26">
        <f>SUM('361'!M7,'362'!M7,'364'!M7)/$B$4</f>
        <v>0.56112641959394138</v>
      </c>
      <c r="N6" s="26">
        <f>SUM('361'!N7,'362'!N7,'364'!N7)/$B$4</f>
        <v>0.48187351595230421</v>
      </c>
      <c r="O6" s="26">
        <f>SUM('361'!O7,'362'!O7,'364'!O7)/$B$4</f>
        <v>0.48187351595230421</v>
      </c>
      <c r="P6" s="26">
        <f>SUM('361'!P7,'362'!P7,'364'!P7)/$B$4</f>
        <v>0.4757651047373509</v>
      </c>
      <c r="Q6" s="122"/>
      <c r="R6" s="327"/>
      <c r="S6" s="328"/>
    </row>
    <row r="7" spans="1:21" s="26" customFormat="1" x14ac:dyDescent="0.35">
      <c r="B7" s="27"/>
      <c r="D7" s="28"/>
      <c r="Q7" s="122"/>
      <c r="R7" s="327"/>
      <c r="S7" s="328"/>
    </row>
    <row r="8" spans="1:21" ht="18" x14ac:dyDescent="0.35">
      <c r="B8" s="8" t="s">
        <v>14</v>
      </c>
      <c r="Q8" s="318"/>
      <c r="R8" s="325"/>
      <c r="S8" s="326"/>
    </row>
    <row r="9" spans="1:21" x14ac:dyDescent="0.35">
      <c r="Q9" s="121"/>
      <c r="R9" s="325"/>
      <c r="S9" s="326"/>
    </row>
    <row r="10" spans="1:21" x14ac:dyDescent="0.35">
      <c r="A10" s="72" t="s">
        <v>131</v>
      </c>
      <c r="C10" s="7" t="s">
        <v>158</v>
      </c>
      <c r="E10" s="7">
        <f>+'361'!E10+'362'!E10+'364'!E10</f>
        <v>117311.49</v>
      </c>
      <c r="F10" s="7">
        <f>+'361'!F10+'362'!F10+'364'!F10</f>
        <v>113108.16</v>
      </c>
      <c r="G10" s="7">
        <f>+'361'!G10+'362'!G10+'364'!G10</f>
        <v>108595.98999999999</v>
      </c>
      <c r="H10" s="7">
        <f>+'361'!H10+'362'!H10+'364'!H10</f>
        <v>90365.9</v>
      </c>
      <c r="I10" s="7">
        <f>+'361'!I10+'362'!I10+'364'!I10</f>
        <v>86891.73</v>
      </c>
      <c r="J10" s="7">
        <f>+'361'!J10+'362'!J10+'364'!J10</f>
        <v>78990.23</v>
      </c>
      <c r="K10" s="7">
        <f>+'361'!K10+'362'!K10+'364'!K10</f>
        <v>67639.429999999993</v>
      </c>
      <c r="L10" s="7">
        <f>+'361'!L10+'362'!L10+'364'!L10</f>
        <v>71744.97</v>
      </c>
      <c r="M10" s="7">
        <f>+'361'!M10+'362'!M10+'364'!M10</f>
        <v>72031.53</v>
      </c>
      <c r="N10" s="7">
        <f>+'361'!N10+'362'!N10+'364'!N10</f>
        <v>56729.279999999999</v>
      </c>
      <c r="O10" s="7">
        <f>+'361'!O10+'362'!O10+'364'!O10</f>
        <v>55307.86</v>
      </c>
      <c r="P10" s="7">
        <f>+'361'!P10+'362'!P10+'364'!P10</f>
        <v>60494.86</v>
      </c>
      <c r="Q10" s="121">
        <f>SUM(E10:P10)</f>
        <v>979211.42999999993</v>
      </c>
      <c r="R10" s="325">
        <v>1503977.4299999997</v>
      </c>
      <c r="S10" s="329">
        <f>(Q10+Q11)/R10-1</f>
        <v>-5.4095379000024701E-2</v>
      </c>
      <c r="U10" s="7" t="s">
        <v>567</v>
      </c>
    </row>
    <row r="11" spans="1:21" x14ac:dyDescent="0.35">
      <c r="A11" s="72" t="s">
        <v>131</v>
      </c>
      <c r="C11" s="7" t="s">
        <v>159</v>
      </c>
      <c r="E11" s="7">
        <f>+'361'!E11+'362'!E11+'364'!E11</f>
        <v>16352.294916666666</v>
      </c>
      <c r="F11" s="7">
        <f>+'361'!F11+'362'!F11+'364'!F11</f>
        <v>20555.628250000002</v>
      </c>
      <c r="G11" s="7">
        <f>+'361'!G11+'362'!G11+'364'!G11</f>
        <v>25067.794916666669</v>
      </c>
      <c r="H11" s="7">
        <f>+'361'!H11+'362'!H11+'364'!H11</f>
        <v>29164.494916666667</v>
      </c>
      <c r="I11" s="7">
        <f>+'361'!I11+'362'!I11+'364'!I11</f>
        <v>32720.328249999999</v>
      </c>
      <c r="J11" s="7">
        <f>+'361'!J11+'362'!J11+'364'!J11</f>
        <v>40695.286583333334</v>
      </c>
      <c r="K11" s="7">
        <f>+'361'!K11+'362'!K11+'364'!K11</f>
        <v>44994.286583333334</v>
      </c>
      <c r="L11" s="7">
        <f>+'361'!L11+'362'!L11+'364'!L11</f>
        <v>46245.286583333334</v>
      </c>
      <c r="M11" s="7">
        <f>+'361'!M11+'362'!M11+'364'!M11</f>
        <v>46245.286583333334</v>
      </c>
      <c r="N11" s="7">
        <f>+'361'!N11+'362'!N11+'364'!N11</f>
        <v>45635.875</v>
      </c>
      <c r="O11" s="7">
        <f>+'361'!O11+'362'!O11+'364'!O11</f>
        <v>48560.291666666672</v>
      </c>
      <c r="P11" s="7">
        <f>+'361'!P11+'362'!P11+'364'!P11</f>
        <v>47170.916666666672</v>
      </c>
      <c r="Q11" s="121">
        <f>SUM(E11:P11)</f>
        <v>443407.77091666672</v>
      </c>
      <c r="R11" s="325"/>
      <c r="S11" s="329"/>
      <c r="U11" s="7" t="s">
        <v>568</v>
      </c>
    </row>
    <row r="12" spans="1:21" hidden="1" x14ac:dyDescent="0.35">
      <c r="A12" s="72" t="s">
        <v>96</v>
      </c>
      <c r="C12" s="7" t="s">
        <v>15</v>
      </c>
      <c r="E12" s="7">
        <f>+'361'!E12+'362'!E12+'364'!E12</f>
        <v>0</v>
      </c>
      <c r="F12" s="7">
        <f>+'361'!F12+'362'!F12+'364'!F12</f>
        <v>0</v>
      </c>
      <c r="G12" s="7">
        <f>+'361'!G12+'362'!G12+'364'!G12</f>
        <v>0</v>
      </c>
      <c r="H12" s="7">
        <f>+'361'!H12+'362'!H12+'364'!H12</f>
        <v>0</v>
      </c>
      <c r="I12" s="7">
        <f>+'361'!I12+'362'!I12+'364'!I12</f>
        <v>0</v>
      </c>
      <c r="J12" s="7">
        <f>+'361'!J12+'362'!J12+'364'!J12</f>
        <v>0</v>
      </c>
      <c r="K12" s="7">
        <f>+'361'!K12+'362'!K12+'364'!K12</f>
        <v>0</v>
      </c>
      <c r="L12" s="7">
        <f>+'361'!L12+'362'!L12+'364'!L12</f>
        <v>0</v>
      </c>
      <c r="M12" s="7">
        <f>+'361'!M12+'362'!M12+'364'!M12</f>
        <v>0</v>
      </c>
      <c r="N12" s="7">
        <f>+'361'!N12+'362'!N12+'364'!N12</f>
        <v>0</v>
      </c>
      <c r="O12" s="7">
        <f>+'361'!O12+'362'!O12+'364'!O12</f>
        <v>0</v>
      </c>
      <c r="P12" s="7">
        <f>+'361'!P12+'362'!P12+'364'!P12</f>
        <v>0</v>
      </c>
      <c r="Q12" s="121">
        <f>SUM(E12:P12)</f>
        <v>0</v>
      </c>
      <c r="R12" s="325"/>
      <c r="S12" s="329" t="e">
        <f t="shared" ref="S12:S71" si="0">Q12/R12-1</f>
        <v>#DIV/0!</v>
      </c>
    </row>
    <row r="13" spans="1:21" x14ac:dyDescent="0.35">
      <c r="A13" s="72" t="s">
        <v>132</v>
      </c>
      <c r="C13" s="7" t="s">
        <v>16</v>
      </c>
      <c r="E13" s="7">
        <f>+'361'!E13+'362'!E13+'364'!E13</f>
        <v>0</v>
      </c>
      <c r="F13" s="7">
        <f>+'361'!F13+'362'!F13+'364'!F13</f>
        <v>0</v>
      </c>
      <c r="G13" s="7">
        <f>+'361'!G13+'362'!G13+'364'!G13</f>
        <v>0</v>
      </c>
      <c r="H13" s="7">
        <f>+'361'!H13+'362'!H13+'364'!H13</f>
        <v>0</v>
      </c>
      <c r="I13" s="7">
        <f>+'361'!I13+'362'!I13+'364'!I13</f>
        <v>0</v>
      </c>
      <c r="J13" s="7">
        <f>+'361'!J13+'362'!J13+'364'!J13</f>
        <v>0</v>
      </c>
      <c r="K13" s="7">
        <f>+'361'!K13+'362'!K13+'364'!K13</f>
        <v>0</v>
      </c>
      <c r="L13" s="7">
        <f>+'361'!L13+'362'!L13+'364'!L13</f>
        <v>0</v>
      </c>
      <c r="M13" s="7">
        <f>+'361'!M13+'362'!M13+'364'!M13</f>
        <v>0</v>
      </c>
      <c r="N13" s="7">
        <f>+'361'!N13+'362'!N13+'364'!N13</f>
        <v>0</v>
      </c>
      <c r="O13" s="7">
        <f>+'361'!O13+'362'!O13+'364'!O13</f>
        <v>0</v>
      </c>
      <c r="P13" s="7">
        <f>+'361'!P13+'362'!P13+'364'!P13</f>
        <v>0</v>
      </c>
      <c r="Q13" s="121">
        <f>SUM(E13:P13)</f>
        <v>0</v>
      </c>
      <c r="R13" s="325">
        <v>0</v>
      </c>
      <c r="S13" s="329" t="str">
        <f>IFERROR(Q13/R13-1,"")</f>
        <v/>
      </c>
      <c r="U13" s="7" t="s">
        <v>575</v>
      </c>
    </row>
    <row r="14" spans="1:21" x14ac:dyDescent="0.35">
      <c r="A14" s="72" t="s">
        <v>133</v>
      </c>
      <c r="C14" s="7" t="s">
        <v>17</v>
      </c>
      <c r="E14" s="7">
        <f>+'361'!E14+'362'!E14+'364'!E14</f>
        <v>0</v>
      </c>
      <c r="F14" s="7">
        <f>+'361'!F14+'362'!F14+'364'!F14</f>
        <v>0</v>
      </c>
      <c r="G14" s="7">
        <f>+'361'!G14+'362'!G14+'364'!G14</f>
        <v>0</v>
      </c>
      <c r="H14" s="7">
        <f>+'361'!H14+'362'!H14+'364'!H14</f>
        <v>0</v>
      </c>
      <c r="I14" s="7">
        <f>+'361'!I14+'362'!I14+'364'!I14</f>
        <v>0</v>
      </c>
      <c r="J14" s="7">
        <f>+'361'!J14+'362'!J14+'364'!J14</f>
        <v>0</v>
      </c>
      <c r="K14" s="7">
        <f>+'361'!K14+'362'!K14+'364'!K14</f>
        <v>0</v>
      </c>
      <c r="L14" s="7">
        <f>+'361'!L14+'362'!L14+'364'!L14</f>
        <v>0</v>
      </c>
      <c r="M14" s="7">
        <f>+'361'!M14+'362'!M14+'364'!M14</f>
        <v>0</v>
      </c>
      <c r="N14" s="7">
        <f>+'361'!N14+'362'!N14+'364'!N14</f>
        <v>0</v>
      </c>
      <c r="O14" s="7">
        <f>+'361'!O14+'362'!O14+'364'!O14</f>
        <v>0</v>
      </c>
      <c r="P14" s="7">
        <f>+'361'!P14+'362'!P14+'364'!P14</f>
        <v>0</v>
      </c>
      <c r="Q14" s="121">
        <f>SUM(E14:P14)</f>
        <v>0</v>
      </c>
      <c r="R14" s="325">
        <v>0</v>
      </c>
      <c r="S14" s="329"/>
      <c r="U14" s="7" t="s">
        <v>575</v>
      </c>
    </row>
    <row r="15" spans="1:21" x14ac:dyDescent="0.35">
      <c r="A15" s="72"/>
      <c r="D15" s="14" t="s">
        <v>293</v>
      </c>
      <c r="E15" s="29">
        <f t="shared" ref="E15:R15" si="1">SUM(E10:E14)</f>
        <v>133663.78491666669</v>
      </c>
      <c r="F15" s="29">
        <f t="shared" si="1"/>
        <v>133663.78825000001</v>
      </c>
      <c r="G15" s="29">
        <f t="shared" si="1"/>
        <v>133663.78491666666</v>
      </c>
      <c r="H15" s="29">
        <f t="shared" si="1"/>
        <v>119530.39491666666</v>
      </c>
      <c r="I15" s="29">
        <f t="shared" si="1"/>
        <v>119612.05825</v>
      </c>
      <c r="J15" s="29">
        <f t="shared" si="1"/>
        <v>119685.51658333333</v>
      </c>
      <c r="K15" s="29">
        <f t="shared" si="1"/>
        <v>112633.71658333333</v>
      </c>
      <c r="L15" s="29">
        <f t="shared" si="1"/>
        <v>117990.25658333334</v>
      </c>
      <c r="M15" s="29">
        <f t="shared" si="1"/>
        <v>118276.81658333333</v>
      </c>
      <c r="N15" s="29">
        <f t="shared" si="1"/>
        <v>102365.155</v>
      </c>
      <c r="O15" s="29">
        <f t="shared" si="1"/>
        <v>103868.15166666667</v>
      </c>
      <c r="P15" s="29">
        <f t="shared" si="1"/>
        <v>107665.77666666667</v>
      </c>
      <c r="Q15" s="130">
        <f t="shared" si="1"/>
        <v>1422619.2009166665</v>
      </c>
      <c r="R15" s="330">
        <f t="shared" si="1"/>
        <v>1503977.4299999997</v>
      </c>
      <c r="S15" s="342">
        <f t="shared" si="0"/>
        <v>-5.4095379000024701E-2</v>
      </c>
    </row>
    <row r="16" spans="1:21" ht="18" x14ac:dyDescent="0.35">
      <c r="A16" s="72"/>
      <c r="Q16" s="123"/>
      <c r="R16" s="331"/>
      <c r="S16" s="332"/>
    </row>
    <row r="17" spans="1:21" ht="18" x14ac:dyDescent="0.35">
      <c r="A17" s="72"/>
      <c r="B17" s="8" t="s">
        <v>19</v>
      </c>
      <c r="Q17" s="121"/>
      <c r="R17" s="325"/>
      <c r="S17" s="329"/>
    </row>
    <row r="18" spans="1:21" x14ac:dyDescent="0.35">
      <c r="A18" s="72" t="s">
        <v>97</v>
      </c>
      <c r="C18" s="7" t="s">
        <v>20</v>
      </c>
      <c r="E18" s="7">
        <f>+'361'!E18+'362'!E18+'364'!E18</f>
        <v>10302.1842</v>
      </c>
      <c r="F18" s="7">
        <f>+'361'!F18+'362'!F18+'364'!F18</f>
        <v>9109.9854999999989</v>
      </c>
      <c r="G18" s="7">
        <f>+'361'!G18+'362'!G18+'364'!G18</f>
        <v>7359.7404999999999</v>
      </c>
      <c r="H18" s="7">
        <f>+'361'!H18+'362'!H18+'364'!H18</f>
        <v>4562.5295999999998</v>
      </c>
      <c r="I18" s="7">
        <f>+'361'!I18+'362'!I18+'364'!I18</f>
        <v>4057.6655999999994</v>
      </c>
      <c r="J18" s="7">
        <f>+'361'!J18+'362'!J18+'364'!J18</f>
        <v>4394.6564999999991</v>
      </c>
      <c r="K18" s="7">
        <f>+'361'!K18+'362'!K18+'364'!K18</f>
        <v>5202.8159999999998</v>
      </c>
      <c r="L18" s="7">
        <f>+'361'!L18+'362'!L18+'364'!L18</f>
        <v>5187.1247999999996</v>
      </c>
      <c r="M18" s="7">
        <f>+'361'!M18+'362'!M18+'364'!M18</f>
        <v>4214.8665000000001</v>
      </c>
      <c r="N18" s="7">
        <f>+'361'!N18+'362'!N18+'364'!N18</f>
        <v>3765.9426000000003</v>
      </c>
      <c r="O18" s="7">
        <f>+'361'!O18+'362'!O18+'364'!O18</f>
        <v>4856.0796</v>
      </c>
      <c r="P18" s="7">
        <f>+'361'!P18+'362'!P18+'364'!P18</f>
        <v>7747.5708000000004</v>
      </c>
      <c r="Q18" s="121">
        <f>SUM(E18:P18)</f>
        <v>70761.162199999992</v>
      </c>
      <c r="R18" s="325">
        <v>82857.27</v>
      </c>
      <c r="S18" s="329">
        <f t="shared" si="0"/>
        <v>-0.14598728391606453</v>
      </c>
      <c r="U18" s="7" t="s">
        <v>560</v>
      </c>
    </row>
    <row r="19" spans="1:21" x14ac:dyDescent="0.35">
      <c r="A19" s="72" t="s">
        <v>98</v>
      </c>
      <c r="C19" s="7" t="s">
        <v>21</v>
      </c>
      <c r="E19" s="7">
        <f>+'361'!E19+'362'!E19+'364'!E19</f>
        <v>5070</v>
      </c>
      <c r="F19" s="7">
        <f>+'361'!F19+'362'!F19+'364'!F19</f>
        <v>5070</v>
      </c>
      <c r="G19" s="7">
        <f>+'361'!G19+'362'!G19+'364'!G19</f>
        <v>5070</v>
      </c>
      <c r="H19" s="7">
        <f>+'361'!H19+'362'!H19+'364'!H19</f>
        <v>5070</v>
      </c>
      <c r="I19" s="7">
        <f>+'361'!I19+'362'!I19+'364'!I19</f>
        <v>5070</v>
      </c>
      <c r="J19" s="7">
        <f>+'361'!J19+'362'!J19+'364'!J19</f>
        <v>5070</v>
      </c>
      <c r="K19" s="7">
        <f>+'361'!K19+'362'!K19+'364'!K19</f>
        <v>5070</v>
      </c>
      <c r="L19" s="7">
        <f>+'361'!L19+'362'!L19+'364'!L19</f>
        <v>5070</v>
      </c>
      <c r="M19" s="7">
        <f>+'361'!M19+'362'!M19+'364'!M19</f>
        <v>5070</v>
      </c>
      <c r="N19" s="7">
        <f>+'361'!N19+'362'!N19+'364'!N19</f>
        <v>5070</v>
      </c>
      <c r="O19" s="7">
        <f>+'361'!O19+'362'!O19+'364'!O19</f>
        <v>5070</v>
      </c>
      <c r="P19" s="7">
        <f>+'361'!P19+'362'!P19+'364'!P19</f>
        <v>5070</v>
      </c>
      <c r="Q19" s="121">
        <f>SUM(E19:P19)</f>
        <v>60840</v>
      </c>
      <c r="R19" s="325">
        <v>54578</v>
      </c>
      <c r="S19" s="329">
        <f t="shared" si="0"/>
        <v>0.11473487485800149</v>
      </c>
      <c r="U19" s="7" t="s">
        <v>569</v>
      </c>
    </row>
    <row r="20" spans="1:21" x14ac:dyDescent="0.35">
      <c r="A20" s="72" t="s">
        <v>99</v>
      </c>
      <c r="C20" s="7" t="s">
        <v>22</v>
      </c>
      <c r="E20" s="7">
        <f>+'361'!E20+'362'!E20+'364'!E20</f>
        <v>560</v>
      </c>
      <c r="F20" s="7">
        <f>+'361'!F20+'362'!F20+'364'!F20</f>
        <v>560</v>
      </c>
      <c r="G20" s="7">
        <f>+'361'!G20+'362'!G20+'364'!G20</f>
        <v>560</v>
      </c>
      <c r="H20" s="7">
        <f>+'361'!H20+'362'!H20+'364'!H20</f>
        <v>560</v>
      </c>
      <c r="I20" s="7">
        <f>+'361'!I20+'362'!I20+'364'!I20</f>
        <v>560</v>
      </c>
      <c r="J20" s="7">
        <f>+'361'!J20+'362'!J20+'364'!J20</f>
        <v>560</v>
      </c>
      <c r="K20" s="7">
        <f>+'361'!K20+'362'!K20+'364'!K20</f>
        <v>560</v>
      </c>
      <c r="L20" s="7">
        <f>+'361'!L20+'362'!L20+'364'!L20</f>
        <v>560</v>
      </c>
      <c r="M20" s="7">
        <f>+'361'!M20+'362'!M20+'364'!M20</f>
        <v>560</v>
      </c>
      <c r="N20" s="7">
        <f>+'361'!N20+'362'!N20+'364'!N20</f>
        <v>560</v>
      </c>
      <c r="O20" s="7">
        <f>+'361'!O20+'362'!O20+'364'!O20</f>
        <v>560</v>
      </c>
      <c r="P20" s="7">
        <f>+'361'!P20+'362'!P20+'364'!P20</f>
        <v>560</v>
      </c>
      <c r="Q20" s="121">
        <f>SUM(E20:P20)</f>
        <v>6720</v>
      </c>
      <c r="R20" s="325">
        <v>11186</v>
      </c>
      <c r="S20" s="329">
        <f t="shared" si="0"/>
        <v>-0.39924906132665827</v>
      </c>
      <c r="U20" s="7" t="s">
        <v>569</v>
      </c>
    </row>
    <row r="21" spans="1:21" x14ac:dyDescent="0.35">
      <c r="A21" s="72" t="s">
        <v>134</v>
      </c>
      <c r="C21" s="7" t="s">
        <v>23</v>
      </c>
      <c r="E21" s="7">
        <f>+'361'!E21+'362'!E21+'364'!E21</f>
        <v>0</v>
      </c>
      <c r="F21" s="7">
        <f>+'361'!F21+'362'!F21+'364'!F21</f>
        <v>0</v>
      </c>
      <c r="G21" s="7">
        <f>+'361'!G21+'362'!G21+'364'!G21</f>
        <v>0</v>
      </c>
      <c r="H21" s="7">
        <f>+'361'!H21+'362'!H21+'364'!H21</f>
        <v>0</v>
      </c>
      <c r="I21" s="7">
        <f>+'361'!I21+'362'!I21+'364'!I21</f>
        <v>0</v>
      </c>
      <c r="J21" s="7">
        <f>+'361'!J21+'362'!J21+'364'!J21</f>
        <v>0</v>
      </c>
      <c r="K21" s="7">
        <f>+'361'!K21+'362'!K21+'364'!K21</f>
        <v>0</v>
      </c>
      <c r="L21" s="7">
        <f>+'361'!L21+'362'!L21+'364'!L21</f>
        <v>0</v>
      </c>
      <c r="M21" s="7">
        <f>+'361'!M21+'362'!M21+'364'!M21</f>
        <v>0</v>
      </c>
      <c r="N21" s="7">
        <f>+'361'!N21+'362'!N21+'364'!N21</f>
        <v>0</v>
      </c>
      <c r="O21" s="7">
        <f>+'361'!O21+'362'!O21+'364'!O21</f>
        <v>0</v>
      </c>
      <c r="P21" s="7">
        <f>+'361'!P21+'362'!P21+'364'!P21</f>
        <v>0</v>
      </c>
      <c r="Q21" s="121">
        <f>SUM(E21:P21)</f>
        <v>0</v>
      </c>
      <c r="R21" s="325">
        <v>0</v>
      </c>
      <c r="S21" s="329" t="str">
        <f>IFERROR(Q21/R21-1,"")</f>
        <v/>
      </c>
      <c r="U21" s="7" t="s">
        <v>570</v>
      </c>
    </row>
    <row r="22" spans="1:21" x14ac:dyDescent="0.35">
      <c r="A22" s="72"/>
      <c r="D22" s="14" t="s">
        <v>294</v>
      </c>
      <c r="E22" s="29">
        <f t="shared" ref="E22:R22" si="2">SUM(E18:E21)</f>
        <v>15932.1842</v>
      </c>
      <c r="F22" s="29">
        <f t="shared" si="2"/>
        <v>14739.985499999999</v>
      </c>
      <c r="G22" s="29">
        <f t="shared" si="2"/>
        <v>12989.7405</v>
      </c>
      <c r="H22" s="29">
        <f t="shared" si="2"/>
        <v>10192.5296</v>
      </c>
      <c r="I22" s="29">
        <f t="shared" si="2"/>
        <v>9687.6656000000003</v>
      </c>
      <c r="J22" s="29">
        <f t="shared" si="2"/>
        <v>10024.656499999999</v>
      </c>
      <c r="K22" s="29">
        <f t="shared" si="2"/>
        <v>10832.815999999999</v>
      </c>
      <c r="L22" s="29">
        <f t="shared" si="2"/>
        <v>10817.1248</v>
      </c>
      <c r="M22" s="29">
        <f t="shared" si="2"/>
        <v>9844.8665000000001</v>
      </c>
      <c r="N22" s="29">
        <f t="shared" si="2"/>
        <v>9395.9426000000003</v>
      </c>
      <c r="O22" s="29">
        <f t="shared" si="2"/>
        <v>10486.079600000001</v>
      </c>
      <c r="P22" s="29">
        <f t="shared" si="2"/>
        <v>13377.570800000001</v>
      </c>
      <c r="Q22" s="130">
        <f t="shared" si="2"/>
        <v>138321.16219999999</v>
      </c>
      <c r="R22" s="330">
        <f t="shared" si="2"/>
        <v>148621.27000000002</v>
      </c>
      <c r="S22" s="342">
        <f t="shared" si="0"/>
        <v>-6.9304399027138031E-2</v>
      </c>
    </row>
    <row r="23" spans="1:21" ht="16.5" thickBot="1" x14ac:dyDescent="0.4">
      <c r="A23" s="72"/>
      <c r="Q23" s="121"/>
      <c r="R23" s="325"/>
      <c r="S23" s="329"/>
    </row>
    <row r="24" spans="1:21" s="10" customFormat="1" ht="18" thickBot="1" x14ac:dyDescent="0.4">
      <c r="A24" s="253"/>
      <c r="B24" s="254" t="s">
        <v>25</v>
      </c>
      <c r="C24" s="255"/>
      <c r="D24" s="255"/>
      <c r="E24" s="255">
        <f t="shared" ref="E24:R24" si="3">+E15+E22</f>
        <v>149595.96911666667</v>
      </c>
      <c r="F24" s="255">
        <f t="shared" si="3"/>
        <v>148403.77375000002</v>
      </c>
      <c r="G24" s="255">
        <f t="shared" si="3"/>
        <v>146653.52541666664</v>
      </c>
      <c r="H24" s="255">
        <f t="shared" si="3"/>
        <v>129722.92451666665</v>
      </c>
      <c r="I24" s="255">
        <f t="shared" si="3"/>
        <v>129299.72385000001</v>
      </c>
      <c r="J24" s="255">
        <f t="shared" si="3"/>
        <v>129710.17308333333</v>
      </c>
      <c r="K24" s="255">
        <f t="shared" si="3"/>
        <v>123466.53258333332</v>
      </c>
      <c r="L24" s="255">
        <f t="shared" si="3"/>
        <v>128807.38138333334</v>
      </c>
      <c r="M24" s="255">
        <f t="shared" si="3"/>
        <v>128121.68308333334</v>
      </c>
      <c r="N24" s="255">
        <f t="shared" si="3"/>
        <v>111761.09759999999</v>
      </c>
      <c r="O24" s="255">
        <f t="shared" si="3"/>
        <v>114354.23126666667</v>
      </c>
      <c r="P24" s="255">
        <f t="shared" si="3"/>
        <v>121043.34746666667</v>
      </c>
      <c r="Q24" s="256">
        <f t="shared" si="3"/>
        <v>1560940.3631166664</v>
      </c>
      <c r="R24" s="333">
        <f t="shared" si="3"/>
        <v>1652598.6999999997</v>
      </c>
      <c r="S24" s="334">
        <f t="shared" si="0"/>
        <v>-5.5463154414518989E-2</v>
      </c>
    </row>
    <row r="25" spans="1:21" ht="18" x14ac:dyDescent="0.35">
      <c r="A25" s="72"/>
      <c r="Q25" s="123">
        <f>+'361'!Q24+'362'!Q24+'364'!Q24</f>
        <v>1560940.3631166667</v>
      </c>
      <c r="R25" s="331"/>
      <c r="S25" s="332"/>
    </row>
    <row r="26" spans="1:21" ht="18" x14ac:dyDescent="0.35">
      <c r="A26" s="72"/>
      <c r="B26" s="8" t="s">
        <v>26</v>
      </c>
      <c r="Q26" s="121"/>
      <c r="R26" s="325"/>
      <c r="S26" s="329"/>
    </row>
    <row r="27" spans="1:21" x14ac:dyDescent="0.35">
      <c r="A27" s="72" t="s">
        <v>100</v>
      </c>
      <c r="C27" s="7" t="s">
        <v>27</v>
      </c>
      <c r="E27" s="7">
        <f>+'361'!E27+'362'!E27+'364'!E27</f>
        <v>3931.6666666666661</v>
      </c>
      <c r="F27" s="7">
        <f>+'361'!F27+'362'!F27+'364'!F27</f>
        <v>3931.6666666666661</v>
      </c>
      <c r="G27" s="7">
        <f>+'361'!G27+'362'!G27+'364'!G27</f>
        <v>3931.6666666666661</v>
      </c>
      <c r="H27" s="7">
        <f>+'361'!H27+'362'!H27+'364'!H27</f>
        <v>3931.6666666666661</v>
      </c>
      <c r="I27" s="7">
        <f>+'361'!I27+'362'!I27+'364'!I27</f>
        <v>3931.6666666666661</v>
      </c>
      <c r="J27" s="7">
        <f>+'361'!J27+'362'!J27+'364'!J27</f>
        <v>3931.6666666666661</v>
      </c>
      <c r="K27" s="7">
        <f>+'361'!K27+'362'!K27+'364'!K27</f>
        <v>3931.6666666666661</v>
      </c>
      <c r="L27" s="7">
        <f>+'361'!L27+'362'!L27+'364'!L27</f>
        <v>3931.6666666666661</v>
      </c>
      <c r="M27" s="7">
        <f>+'361'!M27+'362'!M27+'364'!M27</f>
        <v>3931.6666666666661</v>
      </c>
      <c r="N27" s="7">
        <f>+'361'!N27+'362'!N27+'364'!N27</f>
        <v>3931.6666666666661</v>
      </c>
      <c r="O27" s="7">
        <f>+'361'!O27+'362'!O27+'364'!O27</f>
        <v>3931.6666666666661</v>
      </c>
      <c r="P27" s="7">
        <f>+'361'!P27+'362'!P27+'364'!P27</f>
        <v>3931.6666666666661</v>
      </c>
      <c r="Q27" s="121">
        <f>SUM(E27:P27)</f>
        <v>47179.999999999978</v>
      </c>
      <c r="R27" s="325">
        <v>30778.77</v>
      </c>
      <c r="S27" s="329">
        <f t="shared" si="0"/>
        <v>0.53287477049927534</v>
      </c>
      <c r="U27" s="11" t="s">
        <v>598</v>
      </c>
    </row>
    <row r="28" spans="1:21" x14ac:dyDescent="0.35">
      <c r="A28" s="72"/>
      <c r="Q28" s="121"/>
      <c r="R28" s="325"/>
      <c r="S28" s="329"/>
    </row>
    <row r="29" spans="1:21" x14ac:dyDescent="0.35">
      <c r="A29" s="72" t="s">
        <v>101</v>
      </c>
      <c r="C29" s="7" t="s">
        <v>20</v>
      </c>
      <c r="E29" s="7">
        <f>+'361'!E29+'362'!E29+'364'!E29</f>
        <v>17256</v>
      </c>
      <c r="F29" s="7">
        <f>+'361'!F29+'362'!F29+'364'!F29</f>
        <v>15367</v>
      </c>
      <c r="G29" s="7">
        <f>+'361'!G29+'362'!G29+'364'!G29</f>
        <v>12325</v>
      </c>
      <c r="H29" s="7">
        <f>+'361'!H29+'362'!H29+'364'!H29</f>
        <v>8167</v>
      </c>
      <c r="I29" s="7">
        <f>+'361'!I29+'362'!I29+'364'!I29</f>
        <v>7297</v>
      </c>
      <c r="J29" s="7">
        <f>+'361'!J29+'362'!J29+'364'!J29</f>
        <v>7928</v>
      </c>
      <c r="K29" s="7">
        <f>+'361'!K29+'362'!K29+'364'!K29</f>
        <v>9433</v>
      </c>
      <c r="L29" s="7">
        <f>+'361'!L29+'362'!L29+'364'!L29</f>
        <v>9482</v>
      </c>
      <c r="M29" s="7">
        <f>+'361'!M29+'362'!M29+'364'!M29</f>
        <v>7706</v>
      </c>
      <c r="N29" s="7">
        <f>+'361'!N29+'362'!N29+'364'!N29</f>
        <v>7659</v>
      </c>
      <c r="O29" s="7">
        <f>+'361'!O29+'362'!O29+'364'!O29</f>
        <v>9719</v>
      </c>
      <c r="P29" s="7">
        <f>+'361'!P29+'362'!P29+'364'!P29</f>
        <v>15544</v>
      </c>
      <c r="Q29" s="121">
        <f>SUM(E29:P29)</f>
        <v>127883</v>
      </c>
      <c r="R29" s="325">
        <v>125357.78000000001</v>
      </c>
      <c r="S29" s="329">
        <f t="shared" si="0"/>
        <v>2.0144102743363757E-2</v>
      </c>
      <c r="U29" s="11" t="s">
        <v>576</v>
      </c>
    </row>
    <row r="30" spans="1:21" x14ac:dyDescent="0.35">
      <c r="A30" s="72"/>
      <c r="Q30" s="121"/>
      <c r="R30" s="325"/>
      <c r="S30" s="329"/>
    </row>
    <row r="31" spans="1:21" x14ac:dyDescent="0.35">
      <c r="A31" s="72" t="s">
        <v>102</v>
      </c>
      <c r="C31" s="7" t="s">
        <v>28</v>
      </c>
      <c r="E31" s="7">
        <f>+'361'!E31+'362'!E31+'364'!E31</f>
        <v>4165.4800000000005</v>
      </c>
      <c r="F31" s="7">
        <f>+'361'!F31+'362'!F31+'364'!F31</f>
        <v>4018.1899999999996</v>
      </c>
      <c r="G31" s="7">
        <f>+'361'!G31+'362'!G31+'364'!G31</f>
        <v>4425.04</v>
      </c>
      <c r="H31" s="7">
        <f>+'361'!H31+'362'!H31+'364'!H31</f>
        <v>2943.9</v>
      </c>
      <c r="I31" s="7">
        <f>+'361'!I31+'362'!I31+'364'!I31</f>
        <v>3179.77</v>
      </c>
      <c r="J31" s="7">
        <f>+'361'!J31+'362'!J31+'364'!J31</f>
        <v>3185.95</v>
      </c>
      <c r="K31" s="7">
        <f>+'361'!K31+'362'!K31+'364'!K31</f>
        <v>3448.6000000000004</v>
      </c>
      <c r="L31" s="7">
        <f>+'361'!L31+'362'!L31+'364'!L31</f>
        <v>3597.95</v>
      </c>
      <c r="M31" s="7">
        <f>+'361'!M31+'362'!M31+'364'!M31</f>
        <v>3527.91</v>
      </c>
      <c r="N31" s="7">
        <f>+'361'!N31+'362'!N31+'364'!N31</f>
        <v>4161.3600000000006</v>
      </c>
      <c r="O31" s="7">
        <f>+'361'!O31+'362'!O31+'364'!O31</f>
        <v>3470.2299999999996</v>
      </c>
      <c r="P31" s="7">
        <f>+'361'!P31+'362'!P31+'364'!P31</f>
        <v>4417.83</v>
      </c>
      <c r="Q31" s="121">
        <f>SUM(E31:P31)</f>
        <v>44542.210000000006</v>
      </c>
      <c r="R31" s="325">
        <v>43939.16</v>
      </c>
      <c r="S31" s="329">
        <f t="shared" si="0"/>
        <v>1.3724659278875784E-2</v>
      </c>
      <c r="U31" s="11" t="s">
        <v>561</v>
      </c>
    </row>
    <row r="32" spans="1:21" x14ac:dyDescent="0.35">
      <c r="A32" s="72"/>
      <c r="Q32" s="121"/>
      <c r="R32" s="325"/>
      <c r="S32" s="329"/>
    </row>
    <row r="33" spans="1:21" x14ac:dyDescent="0.35">
      <c r="A33" s="72"/>
      <c r="D33" s="53" t="s">
        <v>29</v>
      </c>
      <c r="E33" s="47">
        <f>+'361'!E33+'362'!E33+'364'!E33</f>
        <v>5657</v>
      </c>
      <c r="F33" s="47">
        <f>+'361'!F33+'362'!F33+'364'!F33</f>
        <v>4982</v>
      </c>
      <c r="G33" s="47">
        <f>+'361'!G33+'362'!G33+'364'!G33</f>
        <v>3642</v>
      </c>
      <c r="H33" s="47">
        <f>+'361'!H33+'362'!H33+'364'!H33</f>
        <v>8029</v>
      </c>
      <c r="I33" s="47">
        <f>+'361'!I33+'362'!I33+'364'!I33</f>
        <v>4332</v>
      </c>
      <c r="J33" s="47">
        <f>+'361'!J33+'362'!J33+'364'!J33</f>
        <v>2832</v>
      </c>
      <c r="K33" s="47">
        <f>+'361'!K33+'362'!K33+'364'!K33</f>
        <v>6307</v>
      </c>
      <c r="L33" s="47">
        <f>+'361'!L33+'362'!L33+'364'!L33</f>
        <v>4332</v>
      </c>
      <c r="M33" s="47">
        <f>+'361'!M33+'362'!M33+'364'!M33</f>
        <v>2832</v>
      </c>
      <c r="N33" s="47">
        <f>+'361'!N33+'362'!N33+'364'!N33</f>
        <v>8839</v>
      </c>
      <c r="O33" s="47">
        <f>+'361'!O33+'362'!O33+'364'!O33</f>
        <v>4332</v>
      </c>
      <c r="P33" s="47">
        <f>+'361'!P33+'362'!P33+'364'!P33</f>
        <v>2832</v>
      </c>
      <c r="Q33" s="124">
        <f>SUM(E33:P33)</f>
        <v>58948</v>
      </c>
      <c r="R33" s="325"/>
      <c r="S33" s="329"/>
    </row>
    <row r="34" spans="1:21" x14ac:dyDescent="0.35">
      <c r="A34" s="72"/>
      <c r="D34" s="54" t="s">
        <v>30</v>
      </c>
      <c r="E34" s="7">
        <f>+'361'!E34+'362'!E34+'364'!E34</f>
        <v>6345</v>
      </c>
      <c r="F34" s="7">
        <f>+'361'!F34+'362'!F34+'364'!F34</f>
        <v>6270</v>
      </c>
      <c r="G34" s="7">
        <f>+'361'!G34+'362'!G34+'364'!G34</f>
        <v>5445</v>
      </c>
      <c r="H34" s="7">
        <f>+'361'!H34+'362'!H34+'364'!H34</f>
        <v>6645</v>
      </c>
      <c r="I34" s="7">
        <f>+'361'!I34+'362'!I34+'364'!I34</f>
        <v>15480</v>
      </c>
      <c r="J34" s="7">
        <f>+'361'!J34+'362'!J34+'364'!J34</f>
        <v>5345</v>
      </c>
      <c r="K34" s="7">
        <f>+'361'!K34+'362'!K34+'364'!K34</f>
        <v>6890</v>
      </c>
      <c r="L34" s="7">
        <f>+'361'!L34+'362'!L34+'364'!L34</f>
        <v>5070</v>
      </c>
      <c r="M34" s="7">
        <f>+'361'!M34+'362'!M34+'364'!M34</f>
        <v>9625</v>
      </c>
      <c r="N34" s="7">
        <f>+'361'!N34+'362'!N34+'364'!N34</f>
        <v>6845</v>
      </c>
      <c r="O34" s="7">
        <f>+'361'!O34+'362'!O34+'364'!O34</f>
        <v>6070</v>
      </c>
      <c r="P34" s="7">
        <f>+'361'!P34+'362'!P34+'364'!P34</f>
        <v>5170</v>
      </c>
      <c r="Q34" s="125">
        <f>SUM(E34:P34)</f>
        <v>85200</v>
      </c>
      <c r="R34" s="325"/>
      <c r="S34" s="329"/>
    </row>
    <row r="35" spans="1:21" x14ac:dyDescent="0.35">
      <c r="A35" s="72"/>
      <c r="D35" s="55" t="s">
        <v>31</v>
      </c>
      <c r="E35" s="16">
        <f>+'361'!E35+'362'!E35+'364'!E35</f>
        <v>0</v>
      </c>
      <c r="F35" s="16">
        <f>+'361'!F35+'362'!F35+'364'!F35</f>
        <v>4635</v>
      </c>
      <c r="G35" s="16">
        <f>+'361'!G35+'362'!G35+'364'!G35</f>
        <v>0</v>
      </c>
      <c r="H35" s="16">
        <f>+'361'!H35+'362'!H35+'364'!H35</f>
        <v>0</v>
      </c>
      <c r="I35" s="16">
        <f>+'361'!I35+'362'!I35+'364'!I35</f>
        <v>0</v>
      </c>
      <c r="J35" s="16">
        <f>+'361'!J35+'362'!J35+'364'!J35</f>
        <v>46350</v>
      </c>
      <c r="K35" s="16">
        <f>+'361'!K35+'362'!K35+'364'!K35</f>
        <v>0</v>
      </c>
      <c r="L35" s="16">
        <f>+'361'!L35+'362'!L35+'364'!L35</f>
        <v>0</v>
      </c>
      <c r="M35" s="16">
        <f>+'361'!M35+'362'!M35+'364'!M35</f>
        <v>0</v>
      </c>
      <c r="N35" s="16">
        <f>+'361'!N35+'362'!N35+'364'!N35</f>
        <v>4635</v>
      </c>
      <c r="O35" s="16">
        <f>+'361'!O35+'362'!O35+'364'!O35</f>
        <v>0</v>
      </c>
      <c r="P35" s="16">
        <f>+'361'!P35+'362'!P35+'364'!P35</f>
        <v>0</v>
      </c>
      <c r="Q35" s="126">
        <f>SUM(E35:P35)</f>
        <v>55620</v>
      </c>
      <c r="R35" s="325"/>
      <c r="S35" s="329"/>
      <c r="U35" s="11" t="s">
        <v>562</v>
      </c>
    </row>
    <row r="36" spans="1:21" x14ac:dyDescent="0.35">
      <c r="A36" s="72" t="s">
        <v>103</v>
      </c>
      <c r="C36" s="7" t="s">
        <v>32</v>
      </c>
      <c r="E36" s="16">
        <f t="shared" ref="E36:Q36" si="4">SUM(E33:E35)</f>
        <v>12002</v>
      </c>
      <c r="F36" s="16">
        <f t="shared" si="4"/>
        <v>15887</v>
      </c>
      <c r="G36" s="16">
        <f t="shared" si="4"/>
        <v>9087</v>
      </c>
      <c r="H36" s="16">
        <f t="shared" si="4"/>
        <v>14674</v>
      </c>
      <c r="I36" s="16">
        <f t="shared" si="4"/>
        <v>19812</v>
      </c>
      <c r="J36" s="16">
        <f t="shared" si="4"/>
        <v>54527</v>
      </c>
      <c r="K36" s="16">
        <f t="shared" si="4"/>
        <v>13197</v>
      </c>
      <c r="L36" s="16">
        <f t="shared" si="4"/>
        <v>9402</v>
      </c>
      <c r="M36" s="16">
        <f t="shared" si="4"/>
        <v>12457</v>
      </c>
      <c r="N36" s="16">
        <f t="shared" si="4"/>
        <v>20319</v>
      </c>
      <c r="O36" s="16">
        <f t="shared" si="4"/>
        <v>10402</v>
      </c>
      <c r="P36" s="16">
        <f t="shared" si="4"/>
        <v>8002</v>
      </c>
      <c r="Q36" s="128">
        <f t="shared" si="4"/>
        <v>199768</v>
      </c>
      <c r="R36" s="330">
        <v>124189.81000000001</v>
      </c>
      <c r="S36" s="342">
        <f t="shared" si="0"/>
        <v>0.6085699784869627</v>
      </c>
    </row>
    <row r="37" spans="1:21" x14ac:dyDescent="0.35">
      <c r="A37" s="72"/>
      <c r="Q37" s="121"/>
      <c r="R37" s="325"/>
      <c r="S37" s="329"/>
    </row>
    <row r="38" spans="1:21" x14ac:dyDescent="0.35">
      <c r="A38" s="72" t="s">
        <v>135</v>
      </c>
      <c r="B38" s="7" t="s">
        <v>33</v>
      </c>
      <c r="C38" s="7" t="s">
        <v>34</v>
      </c>
      <c r="E38" s="7">
        <f>+'361'!E38+'362'!E38+'364'!E38</f>
        <v>0</v>
      </c>
      <c r="F38" s="7">
        <f>+'361'!F38+'362'!F38+'364'!F38</f>
        <v>0</v>
      </c>
      <c r="G38" s="7">
        <f>+'361'!G38+'362'!G38+'364'!G38</f>
        <v>0</v>
      </c>
      <c r="H38" s="7">
        <f>+'361'!H38+'362'!H38+'364'!H38</f>
        <v>0</v>
      </c>
      <c r="I38" s="7">
        <f>+'361'!I38+'362'!I38+'364'!I38</f>
        <v>0</v>
      </c>
      <c r="J38" s="7">
        <f>+'361'!J38+'362'!J38+'364'!J38</f>
        <v>0</v>
      </c>
      <c r="K38" s="7">
        <f>+'361'!K38+'362'!K38+'364'!K38</f>
        <v>0</v>
      </c>
      <c r="L38" s="7">
        <f>+'361'!L38+'362'!L38+'364'!L38</f>
        <v>0</v>
      </c>
      <c r="M38" s="7">
        <f>+'361'!M38+'362'!M38+'364'!M38</f>
        <v>0</v>
      </c>
      <c r="N38" s="7">
        <f>+'361'!N38+'362'!N38+'364'!N38</f>
        <v>0</v>
      </c>
      <c r="O38" s="7">
        <f>+'361'!O38+'362'!O38+'364'!O38</f>
        <v>0</v>
      </c>
      <c r="P38" s="7">
        <f>+'361'!P38+'362'!P38+'364'!P38</f>
        <v>0</v>
      </c>
      <c r="Q38" s="121">
        <f>SUM(E38:P38)</f>
        <v>0</v>
      </c>
      <c r="R38" s="325"/>
      <c r="S38" s="329"/>
      <c r="U38" s="7" t="s">
        <v>571</v>
      </c>
    </row>
    <row r="39" spans="1:21" x14ac:dyDescent="0.35">
      <c r="A39" s="72"/>
      <c r="Q39" s="121"/>
      <c r="R39" s="325"/>
      <c r="S39" s="329"/>
    </row>
    <row r="40" spans="1:21" x14ac:dyDescent="0.35">
      <c r="A40" s="72"/>
      <c r="D40" s="53" t="s">
        <v>35</v>
      </c>
      <c r="E40" s="47">
        <f>+'361'!E40+'362'!E40+'364'!E40</f>
        <v>0</v>
      </c>
      <c r="F40" s="47">
        <f>+'361'!F40+'362'!F40+'364'!F40</f>
        <v>0</v>
      </c>
      <c r="G40" s="47">
        <f>+'361'!G40+'362'!G40+'364'!G40</f>
        <v>0</v>
      </c>
      <c r="H40" s="47">
        <f>+'361'!H40+'362'!H40+'364'!H40</f>
        <v>0</v>
      </c>
      <c r="I40" s="47">
        <f>+'361'!I40+'362'!I40+'364'!I40</f>
        <v>0</v>
      </c>
      <c r="J40" s="47">
        <f>+'361'!J40+'362'!J40+'364'!J40</f>
        <v>0</v>
      </c>
      <c r="K40" s="47">
        <f>+'361'!K40+'362'!K40+'364'!K40</f>
        <v>0</v>
      </c>
      <c r="L40" s="47">
        <f>+'361'!L40+'362'!L40+'364'!L40</f>
        <v>0</v>
      </c>
      <c r="M40" s="47">
        <f>+'361'!M40+'362'!M40+'364'!M40</f>
        <v>0</v>
      </c>
      <c r="N40" s="47">
        <f>+'361'!N40+'362'!N40+'364'!N40</f>
        <v>0</v>
      </c>
      <c r="O40" s="47">
        <f>+'361'!O40+'362'!O40+'364'!O40</f>
        <v>0</v>
      </c>
      <c r="P40" s="47">
        <f>+'361'!P40+'362'!P40+'364'!P40</f>
        <v>0</v>
      </c>
      <c r="Q40" s="124">
        <f>SUM(E40:P40)</f>
        <v>0</v>
      </c>
      <c r="R40" s="325"/>
      <c r="S40" s="329"/>
    </row>
    <row r="41" spans="1:21" x14ac:dyDescent="0.35">
      <c r="A41" s="72"/>
      <c r="D41" s="54" t="s">
        <v>36</v>
      </c>
      <c r="E41" s="7">
        <f>+'361'!E41+'362'!E41+'364'!E41</f>
        <v>0</v>
      </c>
      <c r="F41" s="7">
        <f>+'361'!F41+'362'!F41+'364'!F41</f>
        <v>0</v>
      </c>
      <c r="G41" s="7">
        <f>+'361'!G41+'362'!G41+'364'!G41</f>
        <v>0</v>
      </c>
      <c r="H41" s="7">
        <f>+'361'!H41+'362'!H41+'364'!H41</f>
        <v>0</v>
      </c>
      <c r="I41" s="7">
        <f>+'361'!I41+'362'!I41+'364'!I41</f>
        <v>0</v>
      </c>
      <c r="J41" s="7">
        <f>+'361'!J41+'362'!J41+'364'!J41</f>
        <v>0</v>
      </c>
      <c r="K41" s="7">
        <f>+'361'!K41+'362'!K41+'364'!K41</f>
        <v>0</v>
      </c>
      <c r="L41" s="7">
        <f>+'361'!L41+'362'!L41+'364'!L41</f>
        <v>0</v>
      </c>
      <c r="M41" s="7">
        <f>+'361'!M41+'362'!M41+'364'!M41</f>
        <v>0</v>
      </c>
      <c r="N41" s="7">
        <f>+'361'!N41+'362'!N41+'364'!N41</f>
        <v>0</v>
      </c>
      <c r="O41" s="7">
        <f>+'361'!O41+'362'!O41+'364'!O41</f>
        <v>0</v>
      </c>
      <c r="P41" s="7">
        <f>+'361'!P41+'362'!P41+'364'!P41</f>
        <v>0</v>
      </c>
      <c r="Q41" s="125">
        <f>SUM(E41:P41)</f>
        <v>0</v>
      </c>
      <c r="R41" s="325"/>
      <c r="S41" s="329"/>
    </row>
    <row r="42" spans="1:21" x14ac:dyDescent="0.35">
      <c r="A42" s="72"/>
      <c r="D42" s="55" t="s">
        <v>37</v>
      </c>
      <c r="E42" s="16">
        <f>+'361'!E42+'362'!E42+'364'!E42</f>
        <v>0</v>
      </c>
      <c r="F42" s="16">
        <f>+'361'!F42+'362'!F42+'364'!F42</f>
        <v>0</v>
      </c>
      <c r="G42" s="16">
        <f>+'361'!G42+'362'!G42+'364'!G42</f>
        <v>0</v>
      </c>
      <c r="H42" s="16">
        <f>+'361'!H42+'362'!H42+'364'!H42</f>
        <v>0</v>
      </c>
      <c r="I42" s="16">
        <f>+'361'!I42+'362'!I42+'364'!I42</f>
        <v>0</v>
      </c>
      <c r="J42" s="16">
        <f>+'361'!J42+'362'!J42+'364'!J42</f>
        <v>0</v>
      </c>
      <c r="K42" s="16">
        <f>+'361'!K42+'362'!K42+'364'!K42</f>
        <v>0</v>
      </c>
      <c r="L42" s="16">
        <f>+'361'!L42+'362'!L42+'364'!L42</f>
        <v>0</v>
      </c>
      <c r="M42" s="16">
        <f>+'361'!M42+'362'!M42+'364'!M42</f>
        <v>0</v>
      </c>
      <c r="N42" s="16">
        <f>+'361'!N42+'362'!N42+'364'!N42</f>
        <v>0</v>
      </c>
      <c r="O42" s="16">
        <f>+'361'!O42+'362'!O42+'364'!O42</f>
        <v>0</v>
      </c>
      <c r="P42" s="16">
        <f>+'361'!P42+'362'!P42+'364'!P42</f>
        <v>0</v>
      </c>
      <c r="Q42" s="126">
        <f>SUM(E42:P42)</f>
        <v>0</v>
      </c>
      <c r="R42" s="325"/>
      <c r="S42" s="329"/>
    </row>
    <row r="43" spans="1:21" x14ac:dyDescent="0.35">
      <c r="A43" s="72" t="s">
        <v>104</v>
      </c>
      <c r="C43" s="7" t="s">
        <v>38</v>
      </c>
      <c r="E43" s="52">
        <f t="shared" ref="E43:Q43" si="5">SUM(E40:E42)</f>
        <v>0</v>
      </c>
      <c r="F43" s="52">
        <f t="shared" si="5"/>
        <v>0</v>
      </c>
      <c r="G43" s="52">
        <f t="shared" si="5"/>
        <v>0</v>
      </c>
      <c r="H43" s="52">
        <f t="shared" si="5"/>
        <v>0</v>
      </c>
      <c r="I43" s="52">
        <f t="shared" si="5"/>
        <v>0</v>
      </c>
      <c r="J43" s="52">
        <f t="shared" si="5"/>
        <v>0</v>
      </c>
      <c r="K43" s="52">
        <f t="shared" si="5"/>
        <v>0</v>
      </c>
      <c r="L43" s="52">
        <f t="shared" si="5"/>
        <v>0</v>
      </c>
      <c r="M43" s="52">
        <f t="shared" si="5"/>
        <v>0</v>
      </c>
      <c r="N43" s="52">
        <f t="shared" si="5"/>
        <v>0</v>
      </c>
      <c r="O43" s="52">
        <f t="shared" si="5"/>
        <v>0</v>
      </c>
      <c r="P43" s="52">
        <f t="shared" si="5"/>
        <v>0</v>
      </c>
      <c r="Q43" s="127">
        <f t="shared" si="5"/>
        <v>0</v>
      </c>
      <c r="R43" s="330">
        <v>646.79</v>
      </c>
      <c r="S43" s="342">
        <f t="shared" si="0"/>
        <v>-1</v>
      </c>
      <c r="U43" s="7" t="s">
        <v>571</v>
      </c>
    </row>
    <row r="44" spans="1:21" x14ac:dyDescent="0.35">
      <c r="A44" s="72"/>
      <c r="Q44" s="121"/>
      <c r="R44" s="325"/>
      <c r="S44" s="329"/>
    </row>
    <row r="45" spans="1:21" x14ac:dyDescent="0.35">
      <c r="A45" s="72" t="s">
        <v>105</v>
      </c>
      <c r="C45" s="7" t="s">
        <v>39</v>
      </c>
      <c r="E45" s="7">
        <f>+'361'!E45+'362'!E45+'364'!E45</f>
        <v>0</v>
      </c>
      <c r="F45" s="7">
        <f>+'361'!F45+'362'!F45+'364'!F45</f>
        <v>0</v>
      </c>
      <c r="G45" s="7">
        <f>+'361'!G45+'362'!G45+'364'!G45</f>
        <v>0</v>
      </c>
      <c r="H45" s="7">
        <f>+'361'!H45+'362'!H45+'364'!H45</f>
        <v>0</v>
      </c>
      <c r="I45" s="7">
        <f>+'361'!I45+'362'!I45+'364'!I45</f>
        <v>0</v>
      </c>
      <c r="J45" s="7">
        <f>+'361'!J45+'362'!J45+'364'!J45</f>
        <v>0</v>
      </c>
      <c r="K45" s="7">
        <f>+'361'!K45+'362'!K45+'364'!K45</f>
        <v>0</v>
      </c>
      <c r="L45" s="7">
        <f>+'361'!L45+'362'!L45+'364'!L45</f>
        <v>0</v>
      </c>
      <c r="M45" s="7">
        <f>+'361'!M45+'362'!M45+'364'!M45</f>
        <v>0</v>
      </c>
      <c r="N45" s="7">
        <f>+'361'!N45+'362'!N45+'364'!N45</f>
        <v>0</v>
      </c>
      <c r="O45" s="7">
        <f>+'361'!O45+'362'!O45+'364'!O45</f>
        <v>0</v>
      </c>
      <c r="P45" s="7">
        <f>+'361'!P45+'362'!P45+'364'!P45</f>
        <v>0</v>
      </c>
      <c r="Q45" s="121">
        <f>SUM(E45:P45)</f>
        <v>0</v>
      </c>
      <c r="R45" s="325">
        <v>0</v>
      </c>
      <c r="S45" s="329" t="e">
        <f t="shared" si="0"/>
        <v>#DIV/0!</v>
      </c>
      <c r="U45" s="7" t="s">
        <v>571</v>
      </c>
    </row>
    <row r="46" spans="1:21" x14ac:dyDescent="0.35">
      <c r="A46" s="72"/>
      <c r="Q46" s="121"/>
      <c r="R46" s="325"/>
      <c r="S46" s="329"/>
    </row>
    <row r="47" spans="1:21" x14ac:dyDescent="0.35">
      <c r="A47" s="72"/>
      <c r="D47" s="53" t="s">
        <v>40</v>
      </c>
      <c r="E47" s="47">
        <f>+'361'!E47+'362'!E47+'364'!E47</f>
        <v>0</v>
      </c>
      <c r="F47" s="47">
        <f>+'361'!F47+'362'!F47+'364'!F47</f>
        <v>0</v>
      </c>
      <c r="G47" s="47">
        <f>+'361'!G47+'362'!G47+'364'!G47</f>
        <v>0</v>
      </c>
      <c r="H47" s="47">
        <f>+'361'!H47+'362'!H47+'364'!H47</f>
        <v>0</v>
      </c>
      <c r="I47" s="47">
        <f>+'361'!I47+'362'!I47+'364'!I47</f>
        <v>0</v>
      </c>
      <c r="J47" s="47">
        <f>+'361'!J47+'362'!J47+'364'!J47</f>
        <v>0</v>
      </c>
      <c r="K47" s="47">
        <f>+'361'!K47+'362'!K47+'364'!K47</f>
        <v>0</v>
      </c>
      <c r="L47" s="47">
        <f>+'361'!L47+'362'!L47+'364'!L47</f>
        <v>0</v>
      </c>
      <c r="M47" s="47">
        <f>+'361'!M47+'362'!M47+'364'!M47</f>
        <v>0</v>
      </c>
      <c r="N47" s="47">
        <f>+'361'!N47+'362'!N47+'364'!N47</f>
        <v>0</v>
      </c>
      <c r="O47" s="47">
        <f>+'361'!O47+'362'!O47+'364'!O47</f>
        <v>0</v>
      </c>
      <c r="P47" s="47">
        <f>+'361'!P47+'362'!P47+'364'!P47</f>
        <v>0</v>
      </c>
      <c r="Q47" s="124">
        <f>SUM(E47:P47)</f>
        <v>0</v>
      </c>
      <c r="R47" s="325"/>
      <c r="S47" s="329"/>
    </row>
    <row r="48" spans="1:21" x14ac:dyDescent="0.35">
      <c r="A48" s="72"/>
      <c r="D48" s="54" t="s">
        <v>41</v>
      </c>
      <c r="E48" s="7">
        <f>+'361'!E48+'362'!E48+'364'!E48</f>
        <v>0</v>
      </c>
      <c r="F48" s="7">
        <f>+'361'!F48+'362'!F48+'364'!F48</f>
        <v>0</v>
      </c>
      <c r="G48" s="7">
        <f>+'361'!G48+'362'!G48+'364'!G48</f>
        <v>0</v>
      </c>
      <c r="H48" s="7">
        <f>+'361'!H48+'362'!H48+'364'!H48</f>
        <v>0</v>
      </c>
      <c r="I48" s="7">
        <f>+'361'!I48+'362'!I48+'364'!I48</f>
        <v>0</v>
      </c>
      <c r="J48" s="7">
        <f>+'361'!J48+'362'!J48+'364'!J48</f>
        <v>0</v>
      </c>
      <c r="K48" s="7">
        <f>+'361'!K48+'362'!K48+'364'!K48</f>
        <v>0</v>
      </c>
      <c r="L48" s="7">
        <f>+'361'!L48+'362'!L48+'364'!L48</f>
        <v>0</v>
      </c>
      <c r="M48" s="7">
        <f>+'361'!M48+'362'!M48+'364'!M48</f>
        <v>0</v>
      </c>
      <c r="N48" s="7">
        <f>+'361'!N48+'362'!N48+'364'!N48</f>
        <v>0</v>
      </c>
      <c r="O48" s="7">
        <f>+'361'!O48+'362'!O48+'364'!O48</f>
        <v>0</v>
      </c>
      <c r="P48" s="7">
        <f>+'361'!P48+'362'!P48+'364'!P48</f>
        <v>0</v>
      </c>
      <c r="Q48" s="125">
        <f>SUM(E48:P48)</f>
        <v>0</v>
      </c>
      <c r="R48" s="325"/>
      <c r="S48" s="329"/>
    </row>
    <row r="49" spans="1:21" x14ac:dyDescent="0.35">
      <c r="A49" s="72"/>
      <c r="D49" s="55" t="s">
        <v>42</v>
      </c>
      <c r="E49" s="16">
        <f>+'361'!E49+'362'!E49+'364'!E49</f>
        <v>0</v>
      </c>
      <c r="F49" s="16">
        <f>+'361'!F49+'362'!F49+'364'!F49</f>
        <v>0</v>
      </c>
      <c r="G49" s="16">
        <f>+'361'!G49+'362'!G49+'364'!G49</f>
        <v>0</v>
      </c>
      <c r="H49" s="16">
        <f>+'361'!H49+'362'!H49+'364'!H49</f>
        <v>0</v>
      </c>
      <c r="I49" s="16">
        <f>+'361'!I49+'362'!I49+'364'!I49</f>
        <v>0</v>
      </c>
      <c r="J49" s="16">
        <f>+'361'!J49+'362'!J49+'364'!J49</f>
        <v>0</v>
      </c>
      <c r="K49" s="16">
        <f>+'361'!K49+'362'!K49+'364'!K49</f>
        <v>0</v>
      </c>
      <c r="L49" s="16">
        <f>+'361'!L49+'362'!L49+'364'!L49</f>
        <v>0</v>
      </c>
      <c r="M49" s="16">
        <f>+'361'!M49+'362'!M49+'364'!M49</f>
        <v>0</v>
      </c>
      <c r="N49" s="16">
        <f>+'361'!N49+'362'!N49+'364'!N49</f>
        <v>0</v>
      </c>
      <c r="O49" s="16">
        <f>+'361'!O49+'362'!O49+'364'!O49</f>
        <v>0</v>
      </c>
      <c r="P49" s="16">
        <f>+'361'!P49+'362'!P49+'364'!P49</f>
        <v>0</v>
      </c>
      <c r="Q49" s="126">
        <f>SUM(E49:P49)</f>
        <v>0</v>
      </c>
      <c r="R49" s="325"/>
      <c r="S49" s="329"/>
    </row>
    <row r="50" spans="1:21" x14ac:dyDescent="0.35">
      <c r="A50" s="72" t="s">
        <v>106</v>
      </c>
      <c r="C50" s="7" t="s">
        <v>43</v>
      </c>
      <c r="E50" s="52">
        <f t="shared" ref="E50:Q50" si="6">SUM(E47:E49)</f>
        <v>0</v>
      </c>
      <c r="F50" s="52">
        <f t="shared" si="6"/>
        <v>0</v>
      </c>
      <c r="G50" s="52">
        <f t="shared" si="6"/>
        <v>0</v>
      </c>
      <c r="H50" s="52">
        <f t="shared" si="6"/>
        <v>0</v>
      </c>
      <c r="I50" s="52">
        <f t="shared" si="6"/>
        <v>0</v>
      </c>
      <c r="J50" s="52">
        <f t="shared" si="6"/>
        <v>0</v>
      </c>
      <c r="K50" s="52">
        <f t="shared" si="6"/>
        <v>0</v>
      </c>
      <c r="L50" s="52">
        <f t="shared" si="6"/>
        <v>0</v>
      </c>
      <c r="M50" s="52">
        <f t="shared" si="6"/>
        <v>0</v>
      </c>
      <c r="N50" s="52">
        <f t="shared" si="6"/>
        <v>0</v>
      </c>
      <c r="O50" s="52">
        <f t="shared" si="6"/>
        <v>0</v>
      </c>
      <c r="P50" s="52">
        <f t="shared" si="6"/>
        <v>0</v>
      </c>
      <c r="Q50" s="127">
        <f t="shared" si="6"/>
        <v>0</v>
      </c>
      <c r="R50" s="330">
        <v>450</v>
      </c>
      <c r="S50" s="342">
        <f t="shared" si="0"/>
        <v>-1</v>
      </c>
      <c r="U50" s="7" t="s">
        <v>571</v>
      </c>
    </row>
    <row r="51" spans="1:21" x14ac:dyDescent="0.35">
      <c r="A51" s="72"/>
      <c r="Q51" s="121"/>
      <c r="R51" s="325"/>
      <c r="S51" s="329"/>
    </row>
    <row r="52" spans="1:21" x14ac:dyDescent="0.35">
      <c r="A52" s="72" t="s">
        <v>107</v>
      </c>
      <c r="C52" s="7" t="s">
        <v>44</v>
      </c>
      <c r="E52" s="7">
        <f>+'361'!E52+'362'!E52+'364'!E52</f>
        <v>0</v>
      </c>
      <c r="F52" s="7">
        <f>+'361'!F52+'362'!F52+'364'!F52</f>
        <v>0</v>
      </c>
      <c r="G52" s="7">
        <f>+'361'!G52+'362'!G52+'364'!G52</f>
        <v>0</v>
      </c>
      <c r="H52" s="7">
        <f>+'361'!H52+'362'!H52+'364'!H52</f>
        <v>0</v>
      </c>
      <c r="I52" s="7">
        <f>+'361'!I52+'362'!I52+'364'!I52</f>
        <v>0</v>
      </c>
      <c r="J52" s="7">
        <f>+'361'!J52+'362'!J52+'364'!J52</f>
        <v>0</v>
      </c>
      <c r="K52" s="7">
        <f>+'361'!K52+'362'!K52+'364'!K52</f>
        <v>0</v>
      </c>
      <c r="L52" s="7">
        <f>+'361'!L52+'362'!L52+'364'!L52</f>
        <v>0</v>
      </c>
      <c r="M52" s="7">
        <f>+'361'!M52+'362'!M52+'364'!M52</f>
        <v>0</v>
      </c>
      <c r="N52" s="7">
        <f>+'361'!N52+'362'!N52+'364'!N52</f>
        <v>0</v>
      </c>
      <c r="O52" s="7">
        <f>+'361'!O52+'362'!O52+'364'!O52</f>
        <v>0</v>
      </c>
      <c r="P52" s="7">
        <f>+'361'!P52+'362'!P52+'364'!P52</f>
        <v>0</v>
      </c>
      <c r="Q52" s="121">
        <f>SUM(E52:P52)</f>
        <v>0</v>
      </c>
      <c r="R52" s="325"/>
      <c r="S52" s="329" t="e">
        <f t="shared" si="0"/>
        <v>#DIV/0!</v>
      </c>
      <c r="U52" s="7" t="s">
        <v>571</v>
      </c>
    </row>
    <row r="53" spans="1:21" x14ac:dyDescent="0.35">
      <c r="A53" s="72"/>
      <c r="Q53" s="121"/>
      <c r="R53" s="325"/>
      <c r="S53" s="329"/>
    </row>
    <row r="54" spans="1:21" x14ac:dyDescent="0.35">
      <c r="A54" s="72" t="s">
        <v>108</v>
      </c>
      <c r="B54" s="7" t="s">
        <v>45</v>
      </c>
      <c r="C54" s="7" t="s">
        <v>46</v>
      </c>
      <c r="E54" s="7">
        <f>+'361'!E54+'362'!E54+'364'!E54</f>
        <v>5984</v>
      </c>
      <c r="F54" s="7">
        <f>+'361'!F54+'362'!F54+'364'!F54</f>
        <v>5936</v>
      </c>
      <c r="G54" s="7">
        <f>+'361'!G54+'362'!G54+'364'!G54</f>
        <v>5866</v>
      </c>
      <c r="H54" s="7">
        <f>+'361'!H54+'362'!H54+'364'!H54</f>
        <v>5188</v>
      </c>
      <c r="I54" s="7">
        <f>+'361'!I54+'362'!I54+'364'!I54</f>
        <v>5172</v>
      </c>
      <c r="J54" s="7">
        <f>+'361'!J54+'362'!J54+'364'!J54</f>
        <v>5188</v>
      </c>
      <c r="K54" s="7">
        <f>+'361'!K54+'362'!K54+'364'!K54</f>
        <v>4939</v>
      </c>
      <c r="L54" s="7">
        <f>+'361'!L54+'362'!L54+'364'!L54</f>
        <v>5153</v>
      </c>
      <c r="M54" s="7">
        <f>+'361'!M54+'362'!M54+'364'!M54</f>
        <v>5125</v>
      </c>
      <c r="N54" s="7">
        <f>+'361'!N54+'362'!N54+'364'!N54</f>
        <v>4470</v>
      </c>
      <c r="O54" s="7">
        <f>+'361'!O54+'362'!O54+'364'!O54</f>
        <v>4573</v>
      </c>
      <c r="P54" s="7">
        <f>+'361'!P54+'362'!P54+'364'!P54</f>
        <v>4842</v>
      </c>
      <c r="Q54" s="121">
        <f>SUM(E54:P54)</f>
        <v>62436</v>
      </c>
      <c r="R54" s="325">
        <v>66207.360000000001</v>
      </c>
      <c r="S54" s="329">
        <f t="shared" si="0"/>
        <v>-5.6962851260041192E-2</v>
      </c>
      <c r="U54" s="7" t="s">
        <v>572</v>
      </c>
    </row>
    <row r="55" spans="1:21" x14ac:dyDescent="0.35">
      <c r="A55" s="72"/>
      <c r="Q55" s="121"/>
      <c r="R55" s="325"/>
      <c r="S55" s="329"/>
    </row>
    <row r="56" spans="1:21" x14ac:dyDescent="0.35">
      <c r="A56" s="72" t="s">
        <v>109</v>
      </c>
      <c r="C56" s="7" t="s">
        <v>47</v>
      </c>
      <c r="E56" s="7">
        <f>+'361'!E56+'362'!E56+'364'!E56</f>
        <v>0</v>
      </c>
      <c r="F56" s="7">
        <f>+'361'!F56+'362'!F56+'364'!F56</f>
        <v>0</v>
      </c>
      <c r="G56" s="7">
        <f>+'361'!G56+'362'!G56+'364'!G56</f>
        <v>0</v>
      </c>
      <c r="H56" s="7">
        <f>+'361'!H56+'362'!H56+'364'!H56</f>
        <v>0</v>
      </c>
      <c r="I56" s="7">
        <f>+'361'!I56+'362'!I56+'364'!I56</f>
        <v>0</v>
      </c>
      <c r="J56" s="7">
        <f>+'361'!J56+'362'!J56+'364'!J56</f>
        <v>0</v>
      </c>
      <c r="K56" s="7">
        <f>+'361'!K56+'362'!K56+'364'!K56</f>
        <v>0</v>
      </c>
      <c r="L56" s="7">
        <f>+'361'!L56+'362'!L56+'364'!L56</f>
        <v>0</v>
      </c>
      <c r="M56" s="7">
        <f>+'361'!M56+'362'!M56+'364'!M56</f>
        <v>0</v>
      </c>
      <c r="N56" s="7">
        <f>+'361'!N56+'362'!N56+'364'!N56</f>
        <v>0</v>
      </c>
      <c r="O56" s="7">
        <f>+'361'!O56+'362'!O56+'364'!O56</f>
        <v>0</v>
      </c>
      <c r="P56" s="7">
        <f>+'361'!P56+'362'!P56+'364'!P56</f>
        <v>0</v>
      </c>
      <c r="Q56" s="121">
        <f>SUM(E56:P56)</f>
        <v>0</v>
      </c>
      <c r="R56" s="325">
        <v>497</v>
      </c>
      <c r="S56" s="329">
        <f t="shared" si="0"/>
        <v>-1</v>
      </c>
      <c r="U56" s="7" t="s">
        <v>571</v>
      </c>
    </row>
    <row r="57" spans="1:21" x14ac:dyDescent="0.35">
      <c r="A57" s="72"/>
      <c r="Q57" s="121"/>
      <c r="R57" s="325"/>
      <c r="S57" s="329"/>
    </row>
    <row r="58" spans="1:21" x14ac:dyDescent="0.35">
      <c r="A58" s="72" t="s">
        <v>110</v>
      </c>
      <c r="C58" s="7" t="s">
        <v>22</v>
      </c>
      <c r="E58" s="7">
        <f>+'361'!E58+'362'!E58+'364'!E58</f>
        <v>11425.05868455</v>
      </c>
      <c r="F58" s="7">
        <f>+'361'!F58+'362'!F58+'364'!F58</f>
        <v>11425.05868455</v>
      </c>
      <c r="G58" s="7">
        <f>+'361'!G58+'362'!G58+'364'!G58</f>
        <v>11425.05868455</v>
      </c>
      <c r="H58" s="7">
        <f>+'361'!H58+'362'!H58+'364'!H58</f>
        <v>11425.05868455</v>
      </c>
      <c r="I58" s="7">
        <f>+'361'!I58+'362'!I58+'364'!I58</f>
        <v>11425.05868455</v>
      </c>
      <c r="J58" s="7">
        <f>+'361'!J58+'362'!J58+'364'!J58</f>
        <v>11425.05868455</v>
      </c>
      <c r="K58" s="7">
        <f>+'361'!K58+'362'!K58+'364'!K58</f>
        <v>11425.05868455</v>
      </c>
      <c r="L58" s="7">
        <f>+'361'!L58+'362'!L58+'364'!L58</f>
        <v>11425.05868455</v>
      </c>
      <c r="M58" s="7">
        <f>+'361'!M58+'362'!M58+'364'!M58</f>
        <v>11425.05868455</v>
      </c>
      <c r="N58" s="7">
        <f>+'361'!N58+'362'!N58+'364'!N58</f>
        <v>11425.05868455</v>
      </c>
      <c r="O58" s="7">
        <f>+'361'!O58+'362'!O58+'364'!O58</f>
        <v>11425.05868455</v>
      </c>
      <c r="P58" s="7">
        <f>+'361'!P58+'362'!P58+'364'!P58</f>
        <v>11425.05868455</v>
      </c>
      <c r="Q58" s="121">
        <f>SUM(E58:P58)</f>
        <v>137100.70421459997</v>
      </c>
      <c r="R58" s="325">
        <v>337165.74</v>
      </c>
      <c r="S58" s="329">
        <f t="shared" si="0"/>
        <v>-0.59337296780331239</v>
      </c>
      <c r="U58" s="7" t="s">
        <v>573</v>
      </c>
    </row>
    <row r="59" spans="1:21" x14ac:dyDescent="0.35">
      <c r="A59" s="72"/>
      <c r="Q59" s="121"/>
      <c r="R59" s="325"/>
      <c r="S59" s="329"/>
    </row>
    <row r="60" spans="1:21" x14ac:dyDescent="0.35">
      <c r="A60" s="72"/>
      <c r="D60" s="53" t="s">
        <v>48</v>
      </c>
      <c r="E60" s="47">
        <f>+'361'!E60+'362'!E60+'364'!E60</f>
        <v>3800</v>
      </c>
      <c r="F60" s="47">
        <f>+'361'!F60+'362'!F60+'364'!F60</f>
        <v>3800</v>
      </c>
      <c r="G60" s="47">
        <f>+'361'!G60+'362'!G60+'364'!G60</f>
        <v>3800</v>
      </c>
      <c r="H60" s="47">
        <f>+'361'!H60+'362'!H60+'364'!H60</f>
        <v>3800</v>
      </c>
      <c r="I60" s="47">
        <f>+'361'!I60+'362'!I60+'364'!I60</f>
        <v>3800</v>
      </c>
      <c r="J60" s="47">
        <f>+'361'!J60+'362'!J60+'364'!J60</f>
        <v>3800</v>
      </c>
      <c r="K60" s="47">
        <f>+'361'!K60+'362'!K60+'364'!K60</f>
        <v>3800</v>
      </c>
      <c r="L60" s="47">
        <f>+'361'!L60+'362'!L60+'364'!L60</f>
        <v>3800</v>
      </c>
      <c r="M60" s="47">
        <f>+'361'!M60+'362'!M60+'364'!M60</f>
        <v>3800</v>
      </c>
      <c r="N60" s="47">
        <f>+'361'!N60+'362'!N60+'364'!N60</f>
        <v>3800</v>
      </c>
      <c r="O60" s="47">
        <f>+'361'!O60+'362'!O60+'364'!O60</f>
        <v>3876.0000000000005</v>
      </c>
      <c r="P60" s="47">
        <f>+'361'!P60+'362'!P60+'364'!P60</f>
        <v>3876.0000000000005</v>
      </c>
      <c r="Q60" s="124">
        <f>SUM(E60:P60)</f>
        <v>45752</v>
      </c>
      <c r="R60" s="325"/>
      <c r="S60" s="329"/>
    </row>
    <row r="61" spans="1:21" x14ac:dyDescent="0.35">
      <c r="A61" s="72"/>
      <c r="D61" s="54" t="s">
        <v>49</v>
      </c>
      <c r="E61" s="7">
        <f>+'361'!E61+'362'!E61+'364'!E61</f>
        <v>1167</v>
      </c>
      <c r="F61" s="7">
        <f>+'361'!F61+'362'!F61+'364'!F61</f>
        <v>1167</v>
      </c>
      <c r="G61" s="7">
        <f>+'361'!G61+'362'!G61+'364'!G61</f>
        <v>1167</v>
      </c>
      <c r="H61" s="7">
        <f>+'361'!H61+'362'!H61+'364'!H61</f>
        <v>1167</v>
      </c>
      <c r="I61" s="7">
        <f>+'361'!I61+'362'!I61+'364'!I61</f>
        <v>1167</v>
      </c>
      <c r="J61" s="7">
        <f>+'361'!J61+'362'!J61+'364'!J61</f>
        <v>1167</v>
      </c>
      <c r="K61" s="7">
        <f>+'361'!K61+'362'!K61+'364'!K61</f>
        <v>1167</v>
      </c>
      <c r="L61" s="7">
        <f>+'361'!L61+'362'!L61+'364'!L61</f>
        <v>1167</v>
      </c>
      <c r="M61" s="7">
        <f>+'361'!M61+'362'!M61+'364'!M61</f>
        <v>1167</v>
      </c>
      <c r="N61" s="7">
        <f>+'361'!N61+'362'!N61+'364'!N61</f>
        <v>1167</v>
      </c>
      <c r="O61" s="7">
        <f>+'361'!O61+'362'!O61+'364'!O61</f>
        <v>1190.3400000000001</v>
      </c>
      <c r="P61" s="7">
        <f>+'361'!P61+'362'!P61+'364'!P61</f>
        <v>1190.3400000000001</v>
      </c>
      <c r="Q61" s="125">
        <f>SUM(E61:P61)</f>
        <v>14050.68</v>
      </c>
      <c r="R61" s="325"/>
      <c r="S61" s="329"/>
    </row>
    <row r="62" spans="1:21" x14ac:dyDescent="0.35">
      <c r="A62" s="72"/>
      <c r="D62" s="55" t="s">
        <v>50</v>
      </c>
      <c r="E62" s="16">
        <f>+'361'!E62+'362'!E62+'364'!E62</f>
        <v>0</v>
      </c>
      <c r="F62" s="16">
        <f>+'361'!F62+'362'!F62+'364'!F62</f>
        <v>0</v>
      </c>
      <c r="G62" s="16">
        <f>+'361'!G62+'362'!G62+'364'!G62</f>
        <v>0</v>
      </c>
      <c r="H62" s="16">
        <f>+'361'!H62+'362'!H62+'364'!H62</f>
        <v>0</v>
      </c>
      <c r="I62" s="16">
        <f>+'361'!I62+'362'!I62+'364'!I62</f>
        <v>0</v>
      </c>
      <c r="J62" s="16">
        <f>+'361'!J62+'362'!J62+'364'!J62</f>
        <v>0</v>
      </c>
      <c r="K62" s="16">
        <f>+'361'!K62+'362'!K62+'364'!K62</f>
        <v>0</v>
      </c>
      <c r="L62" s="16">
        <f>+'361'!L62+'362'!L62+'364'!L62</f>
        <v>0</v>
      </c>
      <c r="M62" s="16">
        <f>+'361'!M62+'362'!M62+'364'!M62</f>
        <v>0</v>
      </c>
      <c r="N62" s="16">
        <f>+'361'!N62+'362'!N62+'364'!N62</f>
        <v>0</v>
      </c>
      <c r="O62" s="16">
        <f>+'361'!O62+'362'!O62+'364'!O62</f>
        <v>0</v>
      </c>
      <c r="P62" s="16">
        <f>+'361'!P62+'362'!P62+'364'!P62</f>
        <v>0</v>
      </c>
      <c r="Q62" s="126">
        <f>SUM(E62:P62)</f>
        <v>0</v>
      </c>
      <c r="R62" s="325"/>
      <c r="S62" s="329"/>
    </row>
    <row r="63" spans="1:21" x14ac:dyDescent="0.35">
      <c r="A63" s="72" t="s">
        <v>111</v>
      </c>
      <c r="C63" s="7" t="s">
        <v>23</v>
      </c>
      <c r="E63" s="16">
        <f t="shared" ref="E63:Q63" si="7">SUM(E60:E62)</f>
        <v>4967</v>
      </c>
      <c r="F63" s="16">
        <f t="shared" si="7"/>
        <v>4967</v>
      </c>
      <c r="G63" s="16">
        <f t="shared" si="7"/>
        <v>4967</v>
      </c>
      <c r="H63" s="16">
        <f t="shared" si="7"/>
        <v>4967</v>
      </c>
      <c r="I63" s="16">
        <f t="shared" si="7"/>
        <v>4967</v>
      </c>
      <c r="J63" s="16">
        <f t="shared" si="7"/>
        <v>4967</v>
      </c>
      <c r="K63" s="16">
        <f t="shared" si="7"/>
        <v>4967</v>
      </c>
      <c r="L63" s="16">
        <f t="shared" si="7"/>
        <v>4967</v>
      </c>
      <c r="M63" s="16">
        <f t="shared" si="7"/>
        <v>4967</v>
      </c>
      <c r="N63" s="16">
        <f t="shared" si="7"/>
        <v>4967</v>
      </c>
      <c r="O63" s="16">
        <f t="shared" si="7"/>
        <v>5066.34</v>
      </c>
      <c r="P63" s="16">
        <f t="shared" si="7"/>
        <v>5066.34</v>
      </c>
      <c r="Q63" s="128">
        <f t="shared" si="7"/>
        <v>59802.68</v>
      </c>
      <c r="R63" s="330">
        <v>58120</v>
      </c>
      <c r="S63" s="342">
        <f t="shared" si="0"/>
        <v>2.8951823812801036E-2</v>
      </c>
      <c r="U63" s="11" t="s">
        <v>561</v>
      </c>
    </row>
    <row r="64" spans="1:21" x14ac:dyDescent="0.35">
      <c r="A64" s="72"/>
      <c r="Q64" s="121"/>
      <c r="R64" s="325"/>
      <c r="S64" s="329"/>
    </row>
    <row r="65" spans="1:21" x14ac:dyDescent="0.35">
      <c r="A65" s="72"/>
      <c r="D65" s="53" t="s">
        <v>51</v>
      </c>
      <c r="E65" s="47">
        <f>+'361'!E65+'362'!E65+'364'!E65</f>
        <v>12052.296833916065</v>
      </c>
      <c r="F65" s="47">
        <f>+'361'!F65+'362'!F65+'364'!F65</f>
        <v>12052.296833916065</v>
      </c>
      <c r="G65" s="47">
        <f>+'361'!G65+'362'!G65+'364'!G65</f>
        <v>12052.296833916065</v>
      </c>
      <c r="H65" s="47">
        <f>+'361'!H65+'362'!H65+'364'!H65</f>
        <v>11029.815558205664</v>
      </c>
      <c r="I65" s="47">
        <f>+'361'!I65+'362'!I65+'364'!I65</f>
        <v>11029.815558205664</v>
      </c>
      <c r="J65" s="47">
        <f>+'361'!J65+'362'!J65+'364'!J65</f>
        <v>11029.815558205664</v>
      </c>
      <c r="K65" s="47">
        <f>+'361'!K65+'362'!K65+'364'!K65</f>
        <v>11029.815558205664</v>
      </c>
      <c r="L65" s="47">
        <f>+'361'!L65+'362'!L65+'364'!L65</f>
        <v>11029.815558205664</v>
      </c>
      <c r="M65" s="47">
        <f>+'361'!M65+'362'!M65+'364'!M65</f>
        <v>11029.815558205664</v>
      </c>
      <c r="N65" s="47">
        <f>+'361'!N65+'362'!N65+'364'!N65</f>
        <v>9500.1404043064649</v>
      </c>
      <c r="O65" s="47">
        <f>+'361'!O65+'362'!O65+'364'!O65</f>
        <v>9500.1404043064649</v>
      </c>
      <c r="P65" s="47">
        <f>+'361'!P65+'362'!P65+'364'!P65</f>
        <v>9381.2725046584637</v>
      </c>
      <c r="Q65" s="124">
        <f>SUM(E65:P65)</f>
        <v>130717.33716425359</v>
      </c>
      <c r="R65" s="325"/>
      <c r="S65" s="329"/>
      <c r="U65" s="11" t="s">
        <v>577</v>
      </c>
    </row>
    <row r="66" spans="1:21" x14ac:dyDescent="0.35">
      <c r="A66" s="72"/>
      <c r="D66" s="55" t="s">
        <v>52</v>
      </c>
      <c r="E66" s="16">
        <f>+'361'!E66+'362'!E66+'364'!E66</f>
        <v>416.26117694999994</v>
      </c>
      <c r="F66" s="16">
        <f>+'361'!F66+'362'!F66+'364'!F66</f>
        <v>416.26117694999994</v>
      </c>
      <c r="G66" s="16">
        <f>+'361'!G66+'362'!G66+'364'!G66</f>
        <v>416.26117694999994</v>
      </c>
      <c r="H66" s="16">
        <f>+'361'!H66+'362'!H66+'364'!H66</f>
        <v>473.40431828999999</v>
      </c>
      <c r="I66" s="16">
        <f>+'361'!I66+'362'!I66+'364'!I66</f>
        <v>473.40431828999999</v>
      </c>
      <c r="J66" s="16">
        <f>+'361'!J66+'362'!J66+'364'!J66</f>
        <v>473.40431828999999</v>
      </c>
      <c r="K66" s="16">
        <f>+'361'!K66+'362'!K66+'364'!K66</f>
        <v>473.40431828999999</v>
      </c>
      <c r="L66" s="16">
        <f>+'361'!L66+'362'!L66+'364'!L66</f>
        <v>473.40431828999999</v>
      </c>
      <c r="M66" s="16">
        <f>+'361'!M66+'362'!M66+'364'!M66</f>
        <v>473.40431828999999</v>
      </c>
      <c r="N66" s="16">
        <f>+'361'!N66+'362'!N66+'364'!N66</f>
        <v>558.89287010999999</v>
      </c>
      <c r="O66" s="16">
        <f>+'361'!O66+'362'!O66+'364'!O66</f>
        <v>558.89287010999999</v>
      </c>
      <c r="P66" s="16">
        <f>+'361'!P66+'362'!P66+'364'!P66</f>
        <v>565.48189341</v>
      </c>
      <c r="Q66" s="126">
        <f>SUM(E66:P66)</f>
        <v>5772.4770742200008</v>
      </c>
      <c r="R66" s="325"/>
      <c r="S66" s="329"/>
      <c r="U66" s="11" t="s">
        <v>564</v>
      </c>
    </row>
    <row r="67" spans="1:21" x14ac:dyDescent="0.35">
      <c r="A67" s="72" t="s">
        <v>112</v>
      </c>
      <c r="B67" s="7" t="s">
        <v>45</v>
      </c>
      <c r="C67" s="7" t="s">
        <v>51</v>
      </c>
      <c r="E67" s="16">
        <f>SUM(E65:E66)</f>
        <v>12468.558010866065</v>
      </c>
      <c r="F67" s="16">
        <f t="shared" ref="F67:Q67" si="8">SUM(F65:F66)</f>
        <v>12468.558010866065</v>
      </c>
      <c r="G67" s="16">
        <f t="shared" si="8"/>
        <v>12468.558010866065</v>
      </c>
      <c r="H67" s="16">
        <f t="shared" si="8"/>
        <v>11503.219876495665</v>
      </c>
      <c r="I67" s="16">
        <f t="shared" si="8"/>
        <v>11503.219876495665</v>
      </c>
      <c r="J67" s="16">
        <f t="shared" si="8"/>
        <v>11503.219876495665</v>
      </c>
      <c r="K67" s="16">
        <f t="shared" si="8"/>
        <v>11503.219876495665</v>
      </c>
      <c r="L67" s="16">
        <f t="shared" si="8"/>
        <v>11503.219876495665</v>
      </c>
      <c r="M67" s="16">
        <f t="shared" si="8"/>
        <v>11503.219876495665</v>
      </c>
      <c r="N67" s="16">
        <f t="shared" si="8"/>
        <v>10059.033274416464</v>
      </c>
      <c r="O67" s="16">
        <f t="shared" si="8"/>
        <v>10059.033274416464</v>
      </c>
      <c r="P67" s="16">
        <f t="shared" si="8"/>
        <v>9946.7543980684641</v>
      </c>
      <c r="Q67" s="128">
        <f t="shared" si="8"/>
        <v>136489.8142384736</v>
      </c>
      <c r="R67" s="330">
        <v>138915.12999999998</v>
      </c>
      <c r="S67" s="342">
        <f t="shared" si="0"/>
        <v>-1.7458974854116849E-2</v>
      </c>
      <c r="U67" s="11" t="s">
        <v>578</v>
      </c>
    </row>
    <row r="68" spans="1:21" x14ac:dyDescent="0.35">
      <c r="A68" s="72"/>
      <c r="Q68" s="121"/>
      <c r="R68" s="325"/>
      <c r="S68" s="329"/>
    </row>
    <row r="69" spans="1:21" x14ac:dyDescent="0.35">
      <c r="A69" s="72"/>
      <c r="C69" s="7" t="s">
        <v>346</v>
      </c>
      <c r="E69" s="7">
        <f>+'361'!E69+'362'!E69+'364'!E69</f>
        <v>41180</v>
      </c>
      <c r="F69" s="7">
        <f>+'361'!F69+'362'!F69+'364'!F69</f>
        <v>0</v>
      </c>
      <c r="G69" s="7">
        <f>+'361'!G69+'362'!G69+'364'!G69</f>
        <v>0</v>
      </c>
      <c r="H69" s="7">
        <f>+'361'!H69+'362'!H69+'364'!H69</f>
        <v>41180</v>
      </c>
      <c r="I69" s="7">
        <f>+'361'!I69+'362'!I69+'364'!I69</f>
        <v>0</v>
      </c>
      <c r="J69" s="7">
        <f>+'361'!J69+'362'!J69+'364'!J69</f>
        <v>0</v>
      </c>
      <c r="K69" s="7">
        <f>+'361'!K69+'362'!K69+'364'!K69</f>
        <v>41180</v>
      </c>
      <c r="L69" s="7">
        <f>+'361'!L69+'362'!L69+'364'!L69</f>
        <v>0</v>
      </c>
      <c r="M69" s="7">
        <f>+'361'!M69+'362'!M69+'364'!M69</f>
        <v>0</v>
      </c>
      <c r="N69" s="7">
        <f>+'361'!N69+'362'!N69+'364'!N69</f>
        <v>41180</v>
      </c>
      <c r="O69" s="7">
        <f>+'361'!O69+'362'!O69+'364'!O69</f>
        <v>0</v>
      </c>
      <c r="P69" s="7">
        <f>+'361'!P69+'362'!P69+'364'!P69</f>
        <v>0</v>
      </c>
      <c r="Q69" s="121">
        <f>SUM(E69:P69)</f>
        <v>164720</v>
      </c>
      <c r="R69" s="325">
        <v>199212</v>
      </c>
      <c r="S69" s="329">
        <f t="shared" si="0"/>
        <v>-0.17314218018994842</v>
      </c>
      <c r="U69" s="7" t="s">
        <v>579</v>
      </c>
    </row>
    <row r="70" spans="1:21" x14ac:dyDescent="0.35">
      <c r="A70" s="72"/>
      <c r="Q70" s="121"/>
      <c r="R70" s="325"/>
      <c r="S70" s="329"/>
    </row>
    <row r="71" spans="1:21" ht="18" x14ac:dyDescent="0.35">
      <c r="A71" s="72"/>
      <c r="C71" s="56" t="s">
        <v>53</v>
      </c>
      <c r="D71" s="57"/>
      <c r="E71" s="57">
        <f>+E27+E29+E31+E36+E38+E43+E45+E50+E52+E54+E56+E58+E63+E67+E69</f>
        <v>113379.76336208274</v>
      </c>
      <c r="F71" s="57">
        <f>+F27+F29+F31+F36+F38+F43+F45+F50+F52+F54+F56+F58+F63+F67+F69</f>
        <v>74000.473362082732</v>
      </c>
      <c r="G71" s="57">
        <f t="shared" ref="G71:P71" si="9">+G27+G29+G31+G36+G38+G43+G45+G50+G52+G54+G56+G58+G63+G67+G69</f>
        <v>64495.32336208273</v>
      </c>
      <c r="H71" s="57">
        <f t="shared" si="9"/>
        <v>103979.84522771233</v>
      </c>
      <c r="I71" s="57">
        <f t="shared" si="9"/>
        <v>67287.715227712339</v>
      </c>
      <c r="J71" s="57">
        <f t="shared" si="9"/>
        <v>102655.89522771233</v>
      </c>
      <c r="K71" s="57">
        <f t="shared" si="9"/>
        <v>104024.54522771233</v>
      </c>
      <c r="L71" s="57">
        <f t="shared" si="9"/>
        <v>59461.895227712324</v>
      </c>
      <c r="M71" s="57">
        <f t="shared" si="9"/>
        <v>60642.855227712331</v>
      </c>
      <c r="N71" s="57">
        <f t="shared" si="9"/>
        <v>108172.11862563313</v>
      </c>
      <c r="O71" s="57">
        <f t="shared" si="9"/>
        <v>58646.328625633134</v>
      </c>
      <c r="P71" s="57">
        <f t="shared" si="9"/>
        <v>63175.649749285127</v>
      </c>
      <c r="Q71" s="129">
        <f>+Q27+Q29+Q31+Q36+Q38+Q43+Q45+Q50+Q52+Q54+Q56+Q58+Q63+Q67+Q69</f>
        <v>979922.40845307359</v>
      </c>
      <c r="R71" s="335">
        <f>+R27+R29+R31+R36+R38+R43+R45+R50+R52+R54+R56+R58+R63+R67+R69</f>
        <v>1125479.54</v>
      </c>
      <c r="S71" s="349">
        <f t="shared" si="0"/>
        <v>-0.12932898944295912</v>
      </c>
    </row>
    <row r="72" spans="1:21" ht="18" x14ac:dyDescent="0.35">
      <c r="A72" s="72"/>
      <c r="Q72" s="123">
        <f>'361'!Q71+'362'!Q71+'364'!Q71</f>
        <v>979922.40845307347</v>
      </c>
      <c r="R72" s="331"/>
      <c r="S72" s="332"/>
    </row>
    <row r="73" spans="1:21" ht="18" x14ac:dyDescent="0.35">
      <c r="A73" s="72"/>
      <c r="B73" s="8" t="s">
        <v>54</v>
      </c>
      <c r="Q73" s="121"/>
      <c r="R73" s="325"/>
      <c r="S73" s="329"/>
    </row>
    <row r="74" spans="1:21" x14ac:dyDescent="0.35">
      <c r="A74" s="72"/>
      <c r="Q74" s="121"/>
      <c r="R74" s="325"/>
      <c r="S74" s="329"/>
    </row>
    <row r="75" spans="1:21" x14ac:dyDescent="0.35">
      <c r="A75" s="72" t="s">
        <v>136</v>
      </c>
      <c r="C75" s="7" t="s">
        <v>55</v>
      </c>
      <c r="E75" s="7">
        <f>+'361'!E75+'362'!E75+'364'!E75</f>
        <v>0</v>
      </c>
      <c r="F75" s="7">
        <f>+'361'!F75+'362'!F75+'364'!F75</f>
        <v>0</v>
      </c>
      <c r="G75" s="7">
        <f>+'361'!G75+'362'!G75+'364'!G75</f>
        <v>0</v>
      </c>
      <c r="H75" s="7">
        <f>+'361'!H75+'362'!H75+'364'!H75</f>
        <v>0</v>
      </c>
      <c r="I75" s="7">
        <f>+'361'!I75+'362'!I75+'364'!I75</f>
        <v>0</v>
      </c>
      <c r="J75" s="7">
        <f>+'361'!J75+'362'!J75+'364'!J75</f>
        <v>0</v>
      </c>
      <c r="K75" s="7">
        <f>+'361'!K75+'362'!K75+'364'!K75</f>
        <v>0</v>
      </c>
      <c r="L75" s="7">
        <f>+'361'!L75+'362'!L75+'364'!L75</f>
        <v>0</v>
      </c>
      <c r="M75" s="7">
        <f>+'361'!M75+'362'!M75+'364'!M75</f>
        <v>0</v>
      </c>
      <c r="N75" s="7">
        <f>+'361'!N75+'362'!N75+'364'!N75</f>
        <v>0</v>
      </c>
      <c r="O75" s="7">
        <f>+'361'!O75+'362'!O75+'364'!O75</f>
        <v>0</v>
      </c>
      <c r="P75" s="7">
        <f>+'361'!P75+'362'!P75+'364'!P75</f>
        <v>0</v>
      </c>
      <c r="Q75" s="121">
        <f>SUM(E75:P75)</f>
        <v>0</v>
      </c>
      <c r="R75" s="325"/>
      <c r="S75" s="329"/>
    </row>
    <row r="76" spans="1:21" x14ac:dyDescent="0.35">
      <c r="A76" s="72"/>
      <c r="Q76" s="121"/>
      <c r="R76" s="325"/>
      <c r="S76" s="329"/>
    </row>
    <row r="77" spans="1:21" x14ac:dyDescent="0.35">
      <c r="A77" s="72" t="s">
        <v>113</v>
      </c>
      <c r="D77" s="7" t="s">
        <v>56</v>
      </c>
      <c r="E77" s="7">
        <f>+'361'!E77+'362'!E77+'364'!E77</f>
        <v>4870.9166666666661</v>
      </c>
      <c r="F77" s="7">
        <f>+'361'!F77+'362'!F77+'364'!F77</f>
        <v>4870.9166666666661</v>
      </c>
      <c r="G77" s="7">
        <f>+'361'!G77+'362'!G77+'364'!G77</f>
        <v>4870.9166666666661</v>
      </c>
      <c r="H77" s="7">
        <f>+'361'!H77+'362'!H77+'364'!H77</f>
        <v>4870.9166666666661</v>
      </c>
      <c r="I77" s="7">
        <f>+'361'!I77+'362'!I77+'364'!I77</f>
        <v>4870.9166666666661</v>
      </c>
      <c r="J77" s="7">
        <f>+'361'!J77+'362'!J77+'364'!J77</f>
        <v>4870.9166666666661</v>
      </c>
      <c r="K77" s="7">
        <f>+'361'!K77+'362'!K77+'364'!K77</f>
        <v>4870.9166666666661</v>
      </c>
      <c r="L77" s="7">
        <f>+'361'!L77+'362'!L77+'364'!L77</f>
        <v>4870.9166666666661</v>
      </c>
      <c r="M77" s="7">
        <f>+'361'!M77+'362'!M77+'364'!M77</f>
        <v>4870.9166666666661</v>
      </c>
      <c r="N77" s="7">
        <f>+'361'!N77+'362'!N77+'364'!N77</f>
        <v>4870.9166666666661</v>
      </c>
      <c r="O77" s="7">
        <f>+'361'!O77+'362'!O77+'364'!O77</f>
        <v>4870.9166666666661</v>
      </c>
      <c r="P77" s="7">
        <f>+'361'!P77+'362'!P77+'364'!P77</f>
        <v>4870.9166666666661</v>
      </c>
      <c r="Q77" s="121">
        <f>SUM(E77:P77)</f>
        <v>58450.999999999978</v>
      </c>
      <c r="R77" s="325"/>
      <c r="S77" s="329"/>
      <c r="U77" s="11" t="s">
        <v>598</v>
      </c>
    </row>
    <row r="78" spans="1:21" x14ac:dyDescent="0.35">
      <c r="A78" s="72" t="s">
        <v>114</v>
      </c>
      <c r="D78" s="7" t="s">
        <v>57</v>
      </c>
      <c r="E78" s="7">
        <f>+'361'!E78+'362'!E78+'364'!E78</f>
        <v>1622.2499999999998</v>
      </c>
      <c r="F78" s="7">
        <f>+'361'!F78+'362'!F78+'364'!F78</f>
        <v>0</v>
      </c>
      <c r="G78" s="7">
        <f>+'361'!G78+'362'!G78+'364'!G78</f>
        <v>0</v>
      </c>
      <c r="H78" s="7">
        <f>+'361'!H78+'362'!H78+'364'!H78</f>
        <v>1622.2499999999998</v>
      </c>
      <c r="I78" s="7">
        <f>+'361'!I78+'362'!I78+'364'!I78</f>
        <v>0</v>
      </c>
      <c r="J78" s="7">
        <f>+'361'!J78+'362'!J78+'364'!J78</f>
        <v>0</v>
      </c>
      <c r="K78" s="7">
        <f>+'361'!K78+'362'!K78+'364'!K78</f>
        <v>1622.2499999999998</v>
      </c>
      <c r="L78" s="7">
        <f>+'361'!L78+'362'!L78+'364'!L78</f>
        <v>0</v>
      </c>
      <c r="M78" s="7">
        <f>+'361'!M78+'362'!M78+'364'!M78</f>
        <v>0</v>
      </c>
      <c r="N78" s="7">
        <f>+'361'!N78+'362'!N78+'364'!N78</f>
        <v>1622.2499999999998</v>
      </c>
      <c r="O78" s="7">
        <f>+'361'!O78+'362'!O78+'364'!O78</f>
        <v>0</v>
      </c>
      <c r="P78" s="7">
        <f>+'361'!P78+'362'!P78+'364'!P78</f>
        <v>0</v>
      </c>
      <c r="Q78" s="121">
        <f>SUM(E78:P78)</f>
        <v>6488.9999999999991</v>
      </c>
      <c r="R78" s="325"/>
      <c r="S78" s="329"/>
      <c r="U78" s="11" t="s">
        <v>566</v>
      </c>
    </row>
    <row r="79" spans="1:21" x14ac:dyDescent="0.35">
      <c r="A79" s="72"/>
      <c r="C79" s="7" t="s">
        <v>58</v>
      </c>
      <c r="E79" s="29">
        <f t="shared" ref="E79:Q79" si="10">SUM(E77:E78)</f>
        <v>6493.1666666666661</v>
      </c>
      <c r="F79" s="29">
        <f t="shared" ref="F79:P79" si="11">SUM(F77:F78)</f>
        <v>4870.9166666666661</v>
      </c>
      <c r="G79" s="29">
        <f t="shared" si="11"/>
        <v>4870.9166666666661</v>
      </c>
      <c r="H79" s="29">
        <f t="shared" si="11"/>
        <v>6493.1666666666661</v>
      </c>
      <c r="I79" s="29">
        <f t="shared" si="11"/>
        <v>4870.9166666666661</v>
      </c>
      <c r="J79" s="29">
        <f t="shared" si="11"/>
        <v>4870.9166666666661</v>
      </c>
      <c r="K79" s="29">
        <f t="shared" si="11"/>
        <v>6493.1666666666661</v>
      </c>
      <c r="L79" s="29">
        <f t="shared" si="11"/>
        <v>4870.9166666666661</v>
      </c>
      <c r="M79" s="29">
        <f t="shared" si="11"/>
        <v>4870.9166666666661</v>
      </c>
      <c r="N79" s="29">
        <f t="shared" si="11"/>
        <v>6493.1666666666661</v>
      </c>
      <c r="O79" s="29">
        <f t="shared" si="11"/>
        <v>4870.9166666666661</v>
      </c>
      <c r="P79" s="29">
        <f t="shared" si="11"/>
        <v>4870.9166666666661</v>
      </c>
      <c r="Q79" s="130">
        <f t="shared" si="10"/>
        <v>64939.999999999978</v>
      </c>
      <c r="R79" s="330">
        <v>61030.27</v>
      </c>
      <c r="S79" s="342">
        <f t="shared" ref="S79:S129" si="12">Q79/R79-1</f>
        <v>6.4062144899571738E-2</v>
      </c>
    </row>
    <row r="80" spans="1:21" x14ac:dyDescent="0.35">
      <c r="A80" s="72"/>
      <c r="Q80" s="121"/>
      <c r="R80" s="325"/>
      <c r="S80" s="329"/>
    </row>
    <row r="81" spans="1:21" x14ac:dyDescent="0.35">
      <c r="A81" s="72" t="s">
        <v>137</v>
      </c>
      <c r="D81" s="7" t="s">
        <v>59</v>
      </c>
      <c r="E81" s="7">
        <f>+'361'!E81+'362'!E81+'364'!E81</f>
        <v>0</v>
      </c>
      <c r="F81" s="7">
        <f>+'361'!F81+'362'!F81+'364'!F81</f>
        <v>0</v>
      </c>
      <c r="G81" s="7">
        <f>+'361'!G81+'362'!G81+'364'!G81</f>
        <v>0</v>
      </c>
      <c r="H81" s="7">
        <f>+'361'!H81+'362'!H81+'364'!H81</f>
        <v>0</v>
      </c>
      <c r="I81" s="7">
        <f>+'361'!I81+'362'!I81+'364'!I81</f>
        <v>0</v>
      </c>
      <c r="J81" s="7">
        <f>+'361'!J81+'362'!J81+'364'!J81</f>
        <v>0</v>
      </c>
      <c r="K81" s="7">
        <f>+'361'!K81+'362'!K81+'364'!K81</f>
        <v>0</v>
      </c>
      <c r="L81" s="7">
        <f>+'361'!L81+'362'!L81+'364'!L81</f>
        <v>0</v>
      </c>
      <c r="M81" s="7">
        <f>+'361'!M81+'362'!M81+'364'!M81</f>
        <v>0</v>
      </c>
      <c r="N81" s="7">
        <f>+'361'!N81+'362'!N81+'364'!N81</f>
        <v>0</v>
      </c>
      <c r="O81" s="7">
        <f>+'361'!O81+'362'!O81+'364'!O81</f>
        <v>0</v>
      </c>
      <c r="P81" s="7">
        <f>+'361'!P81+'362'!P81+'364'!P81</f>
        <v>0</v>
      </c>
      <c r="Q81" s="121">
        <f>SUM(E81:P81)</f>
        <v>0</v>
      </c>
      <c r="R81" s="325"/>
      <c r="S81" s="329"/>
    </row>
    <row r="82" spans="1:21" x14ac:dyDescent="0.35">
      <c r="A82" s="72" t="s">
        <v>138</v>
      </c>
      <c r="D82" s="7" t="s">
        <v>20</v>
      </c>
      <c r="E82" s="7">
        <f>+'361'!E82+'362'!E82+'364'!E82</f>
        <v>0</v>
      </c>
      <c r="F82" s="7">
        <f>+'361'!F82+'362'!F82+'364'!F82</f>
        <v>0</v>
      </c>
      <c r="G82" s="7">
        <f>+'361'!G82+'362'!G82+'364'!G82</f>
        <v>0</v>
      </c>
      <c r="H82" s="7">
        <f>+'361'!H82+'362'!H82+'364'!H82</f>
        <v>0</v>
      </c>
      <c r="I82" s="7">
        <f>+'361'!I82+'362'!I82+'364'!I82</f>
        <v>0</v>
      </c>
      <c r="J82" s="7">
        <f>+'361'!J82+'362'!J82+'364'!J82</f>
        <v>0</v>
      </c>
      <c r="K82" s="7">
        <f>+'361'!K82+'362'!K82+'364'!K82</f>
        <v>0</v>
      </c>
      <c r="L82" s="7">
        <f>+'361'!L82+'362'!L82+'364'!L82</f>
        <v>0</v>
      </c>
      <c r="M82" s="7">
        <f>+'361'!M82+'362'!M82+'364'!M82</f>
        <v>0</v>
      </c>
      <c r="N82" s="7">
        <f>+'361'!N82+'362'!N82+'364'!N82</f>
        <v>0</v>
      </c>
      <c r="O82" s="7">
        <f>+'361'!O82+'362'!O82+'364'!O82</f>
        <v>0</v>
      </c>
      <c r="P82" s="7">
        <f>+'361'!P82+'362'!P82+'364'!P82</f>
        <v>0</v>
      </c>
      <c r="Q82" s="121">
        <f>SUM(E82:P82)</f>
        <v>0</v>
      </c>
      <c r="R82" s="325"/>
      <c r="S82" s="329"/>
    </row>
    <row r="83" spans="1:21" x14ac:dyDescent="0.35">
      <c r="A83" s="72" t="s">
        <v>139</v>
      </c>
      <c r="D83" s="7" t="s">
        <v>28</v>
      </c>
      <c r="E83" s="7">
        <f>+'361'!E83+'362'!E83+'364'!E83</f>
        <v>0</v>
      </c>
      <c r="F83" s="7">
        <f>+'361'!F83+'362'!F83+'364'!F83</f>
        <v>0</v>
      </c>
      <c r="G83" s="7">
        <f>+'361'!G83+'362'!G83+'364'!G83</f>
        <v>0</v>
      </c>
      <c r="H83" s="7">
        <f>+'361'!H83+'362'!H83+'364'!H83</f>
        <v>0</v>
      </c>
      <c r="I83" s="7">
        <f>+'361'!I83+'362'!I83+'364'!I83</f>
        <v>0</v>
      </c>
      <c r="J83" s="7">
        <f>+'361'!J83+'362'!J83+'364'!J83</f>
        <v>0</v>
      </c>
      <c r="K83" s="7">
        <f>+'361'!K83+'362'!K83+'364'!K83</f>
        <v>0</v>
      </c>
      <c r="L83" s="7">
        <f>+'361'!L83+'362'!L83+'364'!L83</f>
        <v>0</v>
      </c>
      <c r="M83" s="7">
        <f>+'361'!M83+'362'!M83+'364'!M83</f>
        <v>0</v>
      </c>
      <c r="N83" s="7">
        <f>+'361'!N83+'362'!N83+'364'!N83</f>
        <v>0</v>
      </c>
      <c r="O83" s="7">
        <f>+'361'!O83+'362'!O83+'364'!O83</f>
        <v>0</v>
      </c>
      <c r="P83" s="7">
        <f>+'361'!P83+'362'!P83+'364'!P83</f>
        <v>0</v>
      </c>
      <c r="Q83" s="121">
        <f>SUM(E83:P83)</f>
        <v>0</v>
      </c>
      <c r="R83" s="325"/>
      <c r="S83" s="329"/>
    </row>
    <row r="84" spans="1:21" x14ac:dyDescent="0.35">
      <c r="A84" s="72"/>
      <c r="C84" s="7" t="s">
        <v>60</v>
      </c>
      <c r="E84" s="29">
        <f t="shared" ref="E84:Q84" si="13">SUM(E81:E83)</f>
        <v>0</v>
      </c>
      <c r="F84" s="29">
        <f t="shared" ref="F84:P84" si="14">SUM(F81:F83)</f>
        <v>0</v>
      </c>
      <c r="G84" s="29">
        <f t="shared" si="14"/>
        <v>0</v>
      </c>
      <c r="H84" s="29">
        <f t="shared" si="14"/>
        <v>0</v>
      </c>
      <c r="I84" s="29">
        <f t="shared" si="14"/>
        <v>0</v>
      </c>
      <c r="J84" s="29">
        <f t="shared" si="14"/>
        <v>0</v>
      </c>
      <c r="K84" s="29">
        <f t="shared" si="14"/>
        <v>0</v>
      </c>
      <c r="L84" s="29">
        <f t="shared" si="14"/>
        <v>0</v>
      </c>
      <c r="M84" s="29">
        <f t="shared" si="14"/>
        <v>0</v>
      </c>
      <c r="N84" s="29">
        <f t="shared" si="14"/>
        <v>0</v>
      </c>
      <c r="O84" s="29">
        <f t="shared" si="14"/>
        <v>0</v>
      </c>
      <c r="P84" s="29">
        <f t="shared" si="14"/>
        <v>0</v>
      </c>
      <c r="Q84" s="130">
        <f t="shared" si="13"/>
        <v>0</v>
      </c>
      <c r="R84" s="330">
        <v>164.23</v>
      </c>
      <c r="S84" s="342">
        <f t="shared" si="12"/>
        <v>-1</v>
      </c>
    </row>
    <row r="85" spans="1:21" x14ac:dyDescent="0.35">
      <c r="A85" s="72"/>
      <c r="Q85" s="121"/>
      <c r="R85" s="325"/>
      <c r="S85" s="329"/>
    </row>
    <row r="86" spans="1:21" x14ac:dyDescent="0.35">
      <c r="A86" s="72"/>
      <c r="D86" s="53" t="s">
        <v>30</v>
      </c>
      <c r="E86" s="47">
        <f>+'361'!E86+'362'!E86+'364'!E86</f>
        <v>2817.05</v>
      </c>
      <c r="F86" s="47">
        <f>+'361'!F86+'362'!F86+'364'!F86</f>
        <v>2817.05</v>
      </c>
      <c r="G86" s="47">
        <f>+'361'!G86+'362'!G86+'364'!G86</f>
        <v>2817.05</v>
      </c>
      <c r="H86" s="47">
        <f>+'361'!H86+'362'!H86+'364'!H86</f>
        <v>2817.05</v>
      </c>
      <c r="I86" s="47">
        <f>+'361'!I86+'362'!I86+'364'!I86</f>
        <v>2817.05</v>
      </c>
      <c r="J86" s="47">
        <f>+'361'!J86+'362'!J86+'364'!J86</f>
        <v>2817.05</v>
      </c>
      <c r="K86" s="47">
        <f>+'361'!K86+'362'!K86+'364'!K86</f>
        <v>2817.05</v>
      </c>
      <c r="L86" s="47">
        <f>+'361'!L86+'362'!L86+'364'!L86</f>
        <v>2817.05</v>
      </c>
      <c r="M86" s="47">
        <f>+'361'!M86+'362'!M86+'364'!M86</f>
        <v>2817.05</v>
      </c>
      <c r="N86" s="47">
        <f>+'361'!N86+'362'!N86+'364'!N86</f>
        <v>2817.05</v>
      </c>
      <c r="O86" s="47">
        <f>+'361'!O86+'362'!O86+'364'!O86</f>
        <v>2817.05</v>
      </c>
      <c r="P86" s="47">
        <f>+'361'!P86+'362'!P86+'364'!P86</f>
        <v>2817.05</v>
      </c>
      <c r="Q86" s="124">
        <f>SUM(E86:P86)</f>
        <v>33804.6</v>
      </c>
      <c r="R86" s="325"/>
      <c r="S86" s="329"/>
    </row>
    <row r="87" spans="1:21" x14ac:dyDescent="0.35">
      <c r="A87" s="72"/>
      <c r="D87" s="55" t="s">
        <v>31</v>
      </c>
      <c r="E87" s="16">
        <f>+'361'!E87+'362'!E87+'364'!E87</f>
        <v>0</v>
      </c>
      <c r="F87" s="16">
        <f>+'361'!F87+'362'!F87+'364'!F87</f>
        <v>0</v>
      </c>
      <c r="G87" s="16">
        <f>+'361'!G87+'362'!G87+'364'!G87</f>
        <v>0</v>
      </c>
      <c r="H87" s="16">
        <f>+'361'!H87+'362'!H87+'364'!H87</f>
        <v>0</v>
      </c>
      <c r="I87" s="16">
        <f>+'361'!I87+'362'!I87+'364'!I87</f>
        <v>0</v>
      </c>
      <c r="J87" s="16">
        <f>+'361'!J87+'362'!J87+'364'!J87</f>
        <v>0</v>
      </c>
      <c r="K87" s="16">
        <f>+'361'!K87+'362'!K87+'364'!K87</f>
        <v>0</v>
      </c>
      <c r="L87" s="16">
        <f>+'361'!L87+'362'!L87+'364'!L87</f>
        <v>0</v>
      </c>
      <c r="M87" s="16">
        <f>+'361'!M87+'362'!M87+'364'!M87</f>
        <v>0</v>
      </c>
      <c r="N87" s="16">
        <f>+'361'!N87+'362'!N87+'364'!N87</f>
        <v>0</v>
      </c>
      <c r="O87" s="16">
        <f>+'361'!O87+'362'!O87+'364'!O87</f>
        <v>0</v>
      </c>
      <c r="P87" s="16">
        <f>+'361'!P87+'362'!P87+'364'!P87</f>
        <v>0</v>
      </c>
      <c r="Q87" s="126">
        <f>SUM(E87:P87)</f>
        <v>0</v>
      </c>
      <c r="R87" s="325"/>
      <c r="S87" s="329"/>
    </row>
    <row r="88" spans="1:21" x14ac:dyDescent="0.35">
      <c r="A88" s="72" t="s">
        <v>115</v>
      </c>
      <c r="C88" s="7" t="s">
        <v>32</v>
      </c>
      <c r="E88" s="16">
        <f t="shared" ref="E88:Q88" si="15">SUM(E86:E87)</f>
        <v>2817.05</v>
      </c>
      <c r="F88" s="16">
        <f t="shared" ref="F88:P88" si="16">SUM(F86:F87)</f>
        <v>2817.05</v>
      </c>
      <c r="G88" s="16">
        <f t="shared" si="16"/>
        <v>2817.05</v>
      </c>
      <c r="H88" s="16">
        <f t="shared" si="16"/>
        <v>2817.05</v>
      </c>
      <c r="I88" s="16">
        <f t="shared" si="16"/>
        <v>2817.05</v>
      </c>
      <c r="J88" s="16">
        <f t="shared" si="16"/>
        <v>2817.05</v>
      </c>
      <c r="K88" s="16">
        <f t="shared" si="16"/>
        <v>2817.05</v>
      </c>
      <c r="L88" s="16">
        <f t="shared" si="16"/>
        <v>2817.05</v>
      </c>
      <c r="M88" s="16">
        <f t="shared" si="16"/>
        <v>2817.05</v>
      </c>
      <c r="N88" s="16">
        <f t="shared" si="16"/>
        <v>2817.05</v>
      </c>
      <c r="O88" s="16">
        <f t="shared" si="16"/>
        <v>2817.05</v>
      </c>
      <c r="P88" s="16">
        <f t="shared" si="16"/>
        <v>2817.05</v>
      </c>
      <c r="Q88" s="128">
        <f t="shared" si="15"/>
        <v>33804.6</v>
      </c>
      <c r="R88" s="330">
        <v>29353.9</v>
      </c>
      <c r="S88" s="342">
        <f t="shared" si="12"/>
        <v>0.15162210132214105</v>
      </c>
      <c r="U88" s="11" t="s">
        <v>561</v>
      </c>
    </row>
    <row r="89" spans="1:21" x14ac:dyDescent="0.35">
      <c r="A89" s="72"/>
      <c r="Q89" s="121"/>
      <c r="R89" s="325"/>
      <c r="S89" s="329"/>
    </row>
    <row r="90" spans="1:21" hidden="1" x14ac:dyDescent="0.35">
      <c r="A90" s="72" t="s">
        <v>140</v>
      </c>
      <c r="B90" s="7" t="s">
        <v>33</v>
      </c>
      <c r="C90" s="7" t="s">
        <v>61</v>
      </c>
      <c r="E90" s="7">
        <f>'361'!E90+'362'!E90+'364'!E90</f>
        <v>0</v>
      </c>
      <c r="F90" s="7">
        <f>'361'!F90+'362'!F90+'364'!F90</f>
        <v>0</v>
      </c>
      <c r="G90" s="7">
        <f>'361'!G90+'362'!G90+'364'!G90</f>
        <v>0</v>
      </c>
      <c r="H90" s="7">
        <f>'361'!H90+'362'!H90+'364'!H90</f>
        <v>0</v>
      </c>
      <c r="I90" s="7">
        <f>'361'!I90+'362'!I90+'364'!I90</f>
        <v>0</v>
      </c>
      <c r="J90" s="7">
        <f>'361'!J90+'362'!J90+'364'!J90</f>
        <v>0</v>
      </c>
      <c r="K90" s="7">
        <f>'361'!K90+'362'!K90+'364'!K90</f>
        <v>0</v>
      </c>
      <c r="L90" s="7">
        <f>'361'!L90+'362'!L90+'364'!L90</f>
        <v>0</v>
      </c>
      <c r="M90" s="7">
        <f>'361'!M90+'362'!M90+'364'!M90</f>
        <v>0</v>
      </c>
      <c r="N90" s="7">
        <f>'361'!N90+'362'!N90+'364'!N90</f>
        <v>0</v>
      </c>
      <c r="O90" s="7">
        <f>'361'!O90+'362'!O90+'364'!O90</f>
        <v>0</v>
      </c>
      <c r="P90" s="7">
        <f>'361'!P90+'362'!P90+'364'!P90</f>
        <v>0</v>
      </c>
      <c r="Q90" s="121">
        <f>SUM(E90:P90)</f>
        <v>0</v>
      </c>
      <c r="R90" s="325"/>
      <c r="S90" s="329" t="e">
        <f t="shared" si="12"/>
        <v>#DIV/0!</v>
      </c>
    </row>
    <row r="91" spans="1:21" hidden="1" x14ac:dyDescent="0.35">
      <c r="A91" s="72"/>
      <c r="Q91" s="121"/>
      <c r="R91" s="325"/>
      <c r="S91" s="329" t="e">
        <f t="shared" si="12"/>
        <v>#DIV/0!</v>
      </c>
    </row>
    <row r="92" spans="1:21" x14ac:dyDescent="0.35">
      <c r="A92" s="72" t="s">
        <v>116</v>
      </c>
      <c r="C92" s="7" t="s">
        <v>62</v>
      </c>
      <c r="E92" s="7">
        <f>+'361'!E92+'362'!E92+'364'!E92</f>
        <v>1250</v>
      </c>
      <c r="F92" s="7">
        <f>+'361'!F92+'362'!F92+'364'!F92</f>
        <v>1250</v>
      </c>
      <c r="G92" s="7">
        <f>+'361'!G92+'362'!G92+'364'!G92</f>
        <v>1250</v>
      </c>
      <c r="H92" s="7">
        <f>+'361'!H92+'362'!H92+'364'!H92</f>
        <v>1250</v>
      </c>
      <c r="I92" s="7">
        <f>+'361'!I92+'362'!I92+'364'!I92</f>
        <v>1250</v>
      </c>
      <c r="J92" s="7">
        <f>+'361'!J92+'362'!J92+'364'!J92</f>
        <v>1250</v>
      </c>
      <c r="K92" s="7">
        <f>+'361'!K92+'362'!K92+'364'!K92</f>
        <v>1250</v>
      </c>
      <c r="L92" s="7">
        <f>+'361'!L92+'362'!L92+'364'!L92</f>
        <v>1250</v>
      </c>
      <c r="M92" s="7">
        <f>+'361'!M92+'362'!M92+'364'!M92</f>
        <v>1250</v>
      </c>
      <c r="N92" s="7">
        <f>+'361'!N92+'362'!N92+'364'!N92</f>
        <v>1250</v>
      </c>
      <c r="O92" s="7">
        <f>+'361'!O92+'362'!O92+'364'!O92</f>
        <v>1250</v>
      </c>
      <c r="P92" s="7">
        <f>+'361'!P92+'362'!P92+'364'!P92</f>
        <v>1250</v>
      </c>
      <c r="Q92" s="121">
        <f>SUM(E92:P92)</f>
        <v>15000</v>
      </c>
      <c r="R92" s="325">
        <v>17558.14</v>
      </c>
      <c r="S92" s="329">
        <f t="shared" si="12"/>
        <v>-0.1456953868689963</v>
      </c>
      <c r="U92" s="11" t="s">
        <v>561</v>
      </c>
    </row>
    <row r="93" spans="1:21" x14ac:dyDescent="0.35">
      <c r="A93" s="72"/>
      <c r="Q93" s="121"/>
      <c r="R93" s="325"/>
      <c r="S93" s="329"/>
    </row>
    <row r="94" spans="1:21" x14ac:dyDescent="0.35">
      <c r="A94" s="72" t="s">
        <v>117</v>
      </c>
      <c r="C94" s="7" t="s">
        <v>63</v>
      </c>
      <c r="E94" s="7">
        <f>+'361'!E94+'362'!E94+'364'!E94</f>
        <v>0</v>
      </c>
      <c r="F94" s="7">
        <f>+'361'!F94+'362'!F94+'364'!F94</f>
        <v>0</v>
      </c>
      <c r="G94" s="7">
        <f>+'361'!G94+'362'!G94+'364'!G94</f>
        <v>0</v>
      </c>
      <c r="H94" s="7">
        <f>+'361'!H94+'362'!H94+'364'!H94</f>
        <v>3268.231634024999</v>
      </c>
      <c r="I94" s="7">
        <f>+'361'!I94+'362'!I94+'364'!I94</f>
        <v>0</v>
      </c>
      <c r="J94" s="7">
        <f>+'361'!J94+'362'!J94+'364'!J94</f>
        <v>0</v>
      </c>
      <c r="K94" s="7">
        <f>+'361'!K94+'362'!K94+'364'!K94</f>
        <v>0</v>
      </c>
      <c r="L94" s="7">
        <f>+'361'!L94+'362'!L94+'364'!L94</f>
        <v>0</v>
      </c>
      <c r="M94" s="7">
        <f>+'361'!M94+'362'!M94+'364'!M94</f>
        <v>0</v>
      </c>
      <c r="N94" s="7">
        <f>+'361'!N94+'362'!N94+'364'!N94</f>
        <v>0</v>
      </c>
      <c r="O94" s="7">
        <f>+'361'!O94+'362'!O94+'364'!O94</f>
        <v>0</v>
      </c>
      <c r="P94" s="7">
        <f>+'361'!P94+'362'!P94+'364'!P94</f>
        <v>0</v>
      </c>
      <c r="Q94" s="121">
        <f>SUM(E94:P94)</f>
        <v>3268.231634024999</v>
      </c>
      <c r="R94" s="325">
        <v>2989</v>
      </c>
      <c r="S94" s="329">
        <f t="shared" si="12"/>
        <v>9.3419750426563697E-2</v>
      </c>
      <c r="U94" s="11" t="s">
        <v>586</v>
      </c>
    </row>
    <row r="95" spans="1:21" x14ac:dyDescent="0.35">
      <c r="A95" s="72"/>
      <c r="Q95" s="121"/>
      <c r="R95" s="325"/>
      <c r="S95" s="329"/>
    </row>
    <row r="96" spans="1:21" x14ac:dyDescent="0.35">
      <c r="A96" s="72" t="s">
        <v>118</v>
      </c>
      <c r="C96" s="7" t="s">
        <v>64</v>
      </c>
      <c r="E96" s="7">
        <f>+'361'!E96+'362'!E96+'364'!E96</f>
        <v>2573.6666666666665</v>
      </c>
      <c r="F96" s="7">
        <f>+'361'!F96+'362'!F96+'364'!F96</f>
        <v>2573.6666666666665</v>
      </c>
      <c r="G96" s="7">
        <f>+'361'!G96+'362'!G96+'364'!G96</f>
        <v>2573.6666666666665</v>
      </c>
      <c r="H96" s="7">
        <f>+'361'!H96+'362'!H96+'364'!H96</f>
        <v>2573.6666666666665</v>
      </c>
      <c r="I96" s="7">
        <f>+'361'!I96+'362'!I96+'364'!I96</f>
        <v>2573.6666666666665</v>
      </c>
      <c r="J96" s="7">
        <f>+'361'!J96+'362'!J96+'364'!J96</f>
        <v>2573.6666666666665</v>
      </c>
      <c r="K96" s="7">
        <f>+'361'!K96+'362'!K96+'364'!K96</f>
        <v>2573.6666666666665</v>
      </c>
      <c r="L96" s="7">
        <f>+'361'!L96+'362'!L96+'364'!L96</f>
        <v>2573.6666666666665</v>
      </c>
      <c r="M96" s="7">
        <f>+'361'!M96+'362'!M96+'364'!M96</f>
        <v>2573.6666666666665</v>
      </c>
      <c r="N96" s="7">
        <f>+'361'!N96+'362'!N96+'364'!N96</f>
        <v>2573.6666666666665</v>
      </c>
      <c r="O96" s="7">
        <f>+'361'!O96+'362'!O96+'364'!O96</f>
        <v>2573.6666666666665</v>
      </c>
      <c r="P96" s="7">
        <f>+'361'!P96+'362'!P96+'364'!P96</f>
        <v>2573.6666666666665</v>
      </c>
      <c r="Q96" s="121">
        <f>SUM(E96:P96)</f>
        <v>30884.000000000004</v>
      </c>
      <c r="R96" s="325">
        <v>28370.800000000003</v>
      </c>
      <c r="S96" s="329">
        <f t="shared" si="12"/>
        <v>8.858403710857643E-2</v>
      </c>
      <c r="U96" s="11"/>
    </row>
    <row r="97" spans="1:21" x14ac:dyDescent="0.35">
      <c r="A97" s="72"/>
      <c r="Q97" s="121"/>
      <c r="R97" s="325"/>
      <c r="S97" s="329"/>
    </row>
    <row r="98" spans="1:21" x14ac:dyDescent="0.35">
      <c r="A98" s="72" t="s">
        <v>125</v>
      </c>
      <c r="D98" s="7" t="s">
        <v>65</v>
      </c>
      <c r="E98" s="7">
        <f>+'361'!E98+'362'!E98+'364'!E98</f>
        <v>159.65</v>
      </c>
      <c r="F98" s="7">
        <f>+'361'!F98+'362'!F98+'364'!F98</f>
        <v>159.65</v>
      </c>
      <c r="G98" s="7">
        <f>+'361'!G98+'362'!G98+'364'!G98</f>
        <v>159.65</v>
      </c>
      <c r="H98" s="7">
        <f>+'361'!H98+'362'!H98+'364'!H98</f>
        <v>159.65</v>
      </c>
      <c r="I98" s="7">
        <f>+'361'!I98+'362'!I98+'364'!I98</f>
        <v>159.65</v>
      </c>
      <c r="J98" s="7">
        <f>+'361'!J98+'362'!J98+'364'!J98</f>
        <v>159.65</v>
      </c>
      <c r="K98" s="7">
        <f>+'361'!K98+'362'!K98+'364'!K98</f>
        <v>159.65</v>
      </c>
      <c r="L98" s="7">
        <f>+'361'!L98+'362'!L98+'364'!L98</f>
        <v>159.65</v>
      </c>
      <c r="M98" s="7">
        <f>+'361'!M98+'362'!M98+'364'!M98</f>
        <v>159.65</v>
      </c>
      <c r="N98" s="7">
        <f>+'361'!N98+'362'!N98+'364'!N98</f>
        <v>159.65</v>
      </c>
      <c r="O98" s="7">
        <f>+'361'!O98+'362'!O98+'364'!O98</f>
        <v>159.65</v>
      </c>
      <c r="P98" s="7">
        <f>+'361'!P98+'362'!P98+'364'!P98</f>
        <v>159.65</v>
      </c>
      <c r="Q98" s="121">
        <f>SUM(E98:P98)</f>
        <v>1915.8000000000004</v>
      </c>
      <c r="R98" s="325"/>
      <c r="S98" s="329"/>
      <c r="U98" s="11" t="s">
        <v>561</v>
      </c>
    </row>
    <row r="99" spans="1:21" x14ac:dyDescent="0.35">
      <c r="A99" s="72" t="s">
        <v>141</v>
      </c>
      <c r="D99" s="7" t="s">
        <v>66</v>
      </c>
      <c r="E99" s="7">
        <f>+'361'!E99+'362'!E99+'364'!E99</f>
        <v>0</v>
      </c>
      <c r="F99" s="7">
        <f>+'361'!F99+'362'!F99+'364'!F99</f>
        <v>0</v>
      </c>
      <c r="G99" s="7">
        <f>+'361'!G99+'362'!G99+'364'!G99</f>
        <v>0</v>
      </c>
      <c r="H99" s="7">
        <f>+'361'!H99+'362'!H99+'364'!H99</f>
        <v>0</v>
      </c>
      <c r="I99" s="7">
        <f>+'361'!I99+'362'!I99+'364'!I99</f>
        <v>0</v>
      </c>
      <c r="J99" s="7">
        <f>+'361'!J99+'362'!J99+'364'!J99</f>
        <v>0</v>
      </c>
      <c r="K99" s="7">
        <f>+'361'!K99+'362'!K99+'364'!K99</f>
        <v>0</v>
      </c>
      <c r="L99" s="7">
        <f>+'361'!L99+'362'!L99+'364'!L99</f>
        <v>0</v>
      </c>
      <c r="M99" s="7">
        <f>+'361'!M99+'362'!M99+'364'!M99</f>
        <v>0</v>
      </c>
      <c r="N99" s="7">
        <f>+'361'!N99+'362'!N99+'364'!N99</f>
        <v>0</v>
      </c>
      <c r="O99" s="7">
        <f>+'361'!O99+'362'!O99+'364'!O99</f>
        <v>0</v>
      </c>
      <c r="P99" s="7">
        <f>+'361'!P99+'362'!P99+'364'!P99</f>
        <v>0</v>
      </c>
      <c r="Q99" s="121">
        <f>SUM(E99:P99)</f>
        <v>0</v>
      </c>
      <c r="R99" s="325"/>
      <c r="S99" s="329"/>
    </row>
    <row r="100" spans="1:21" x14ac:dyDescent="0.35">
      <c r="A100" s="72" t="s">
        <v>142</v>
      </c>
      <c r="D100" s="7" t="s">
        <v>67</v>
      </c>
      <c r="E100" s="7">
        <f>+'361'!E100+'362'!E100+'364'!E100</f>
        <v>0</v>
      </c>
      <c r="F100" s="7">
        <f>+'361'!F100+'362'!F100+'364'!F100</f>
        <v>0</v>
      </c>
      <c r="G100" s="7">
        <f>+'361'!G100+'362'!G100+'364'!G100</f>
        <v>0</v>
      </c>
      <c r="H100" s="7">
        <f>+'361'!H100+'362'!H100+'364'!H100</f>
        <v>0</v>
      </c>
      <c r="I100" s="7">
        <f>+'361'!I100+'362'!I100+'364'!I100</f>
        <v>0</v>
      </c>
      <c r="J100" s="7">
        <f>+'361'!J100+'362'!J100+'364'!J100</f>
        <v>0</v>
      </c>
      <c r="K100" s="7">
        <f>+'361'!K100+'362'!K100+'364'!K100</f>
        <v>0</v>
      </c>
      <c r="L100" s="7">
        <f>+'361'!L100+'362'!L100+'364'!L100</f>
        <v>0</v>
      </c>
      <c r="M100" s="7">
        <f>+'361'!M100+'362'!M100+'364'!M100</f>
        <v>0</v>
      </c>
      <c r="N100" s="7">
        <f>+'361'!N100+'362'!N100+'364'!N100</f>
        <v>0</v>
      </c>
      <c r="O100" s="7">
        <f>+'361'!O100+'362'!O100+'364'!O100</f>
        <v>0</v>
      </c>
      <c r="P100" s="7">
        <f>+'361'!P100+'362'!P100+'364'!P100</f>
        <v>0</v>
      </c>
      <c r="Q100" s="121">
        <f>SUM(E100:P100)</f>
        <v>0</v>
      </c>
      <c r="R100" s="325"/>
      <c r="S100" s="329"/>
    </row>
    <row r="101" spans="1:21" x14ac:dyDescent="0.35">
      <c r="A101" s="72" t="s">
        <v>126</v>
      </c>
      <c r="D101" s="7" t="s">
        <v>68</v>
      </c>
      <c r="E101" s="7">
        <f>+'361'!E101+'362'!E101+'364'!E101</f>
        <v>20.6</v>
      </c>
      <c r="F101" s="7">
        <f>+'361'!F101+'362'!F101+'364'!F101</f>
        <v>20.6</v>
      </c>
      <c r="G101" s="7">
        <f>+'361'!G101+'362'!G101+'364'!G101</f>
        <v>20.6</v>
      </c>
      <c r="H101" s="7">
        <f>+'361'!H101+'362'!H101+'364'!H101</f>
        <v>20.6</v>
      </c>
      <c r="I101" s="7">
        <f>+'361'!I101+'362'!I101+'364'!I101</f>
        <v>20.6</v>
      </c>
      <c r="J101" s="7">
        <f>+'361'!J101+'362'!J101+'364'!J101</f>
        <v>20.6</v>
      </c>
      <c r="K101" s="7">
        <f>+'361'!K101+'362'!K101+'364'!K101</f>
        <v>20.6</v>
      </c>
      <c r="L101" s="7">
        <f>+'361'!L101+'362'!L101+'364'!L101</f>
        <v>20.6</v>
      </c>
      <c r="M101" s="7">
        <f>+'361'!M101+'362'!M101+'364'!M101</f>
        <v>20.6</v>
      </c>
      <c r="N101" s="7">
        <f>+'361'!N101+'362'!N101+'364'!N101</f>
        <v>20.6</v>
      </c>
      <c r="O101" s="7">
        <f>+'361'!O101+'362'!O101+'364'!O101</f>
        <v>20.6</v>
      </c>
      <c r="P101" s="7">
        <f>+'361'!P101+'362'!P101+'364'!P101</f>
        <v>20.6</v>
      </c>
      <c r="Q101" s="121">
        <f>SUM(E101:P101)</f>
        <v>247.19999999999996</v>
      </c>
      <c r="R101" s="325"/>
      <c r="S101" s="329"/>
      <c r="U101" s="11" t="s">
        <v>561</v>
      </c>
    </row>
    <row r="102" spans="1:21" x14ac:dyDescent="0.35">
      <c r="A102" s="72" t="s">
        <v>119</v>
      </c>
      <c r="D102" s="7" t="s">
        <v>69</v>
      </c>
      <c r="E102" s="7">
        <f>+'361'!E102+'362'!E102+'364'!E102</f>
        <v>3543.2</v>
      </c>
      <c r="F102" s="7">
        <f>+'361'!F102+'362'!F102+'364'!F102</f>
        <v>3543.2</v>
      </c>
      <c r="G102" s="7">
        <f>+'361'!G102+'362'!G102+'364'!G102</f>
        <v>3543.2</v>
      </c>
      <c r="H102" s="7">
        <f>+'361'!H102+'362'!H102+'364'!H102</f>
        <v>3543.2</v>
      </c>
      <c r="I102" s="7">
        <f>+'361'!I102+'362'!I102+'364'!I102</f>
        <v>3543.2</v>
      </c>
      <c r="J102" s="7">
        <f>+'361'!J102+'362'!J102+'364'!J102</f>
        <v>3543.2</v>
      </c>
      <c r="K102" s="7">
        <f>+'361'!K102+'362'!K102+'364'!K102</f>
        <v>3543.2</v>
      </c>
      <c r="L102" s="7">
        <f>+'361'!L102+'362'!L102+'364'!L102</f>
        <v>3543.2</v>
      </c>
      <c r="M102" s="7">
        <f>+'361'!M102+'362'!M102+'364'!M102</f>
        <v>3543.2</v>
      </c>
      <c r="N102" s="7">
        <f>+'361'!N102+'362'!N102+'364'!N102</f>
        <v>3543.2</v>
      </c>
      <c r="O102" s="7">
        <f>+'361'!O102+'362'!O102+'364'!O102</f>
        <v>3543.2</v>
      </c>
      <c r="P102" s="7">
        <f>+'361'!P102+'362'!P102+'364'!P102</f>
        <v>3543.2</v>
      </c>
      <c r="Q102" s="121">
        <f>SUM(E102:P102)</f>
        <v>42518.399999999994</v>
      </c>
      <c r="R102" s="325"/>
      <c r="S102" s="329"/>
      <c r="U102" s="11" t="s">
        <v>561</v>
      </c>
    </row>
    <row r="103" spans="1:21" x14ac:dyDescent="0.35">
      <c r="A103" s="72"/>
      <c r="C103" s="7" t="s">
        <v>70</v>
      </c>
      <c r="E103" s="29">
        <f t="shared" ref="E103:Q103" si="17">SUM(E98:E102)</f>
        <v>3723.45</v>
      </c>
      <c r="F103" s="29">
        <f t="shared" ref="F103:P103" si="18">SUM(F98:F102)</f>
        <v>3723.45</v>
      </c>
      <c r="G103" s="29">
        <f t="shared" si="18"/>
        <v>3723.45</v>
      </c>
      <c r="H103" s="29">
        <f t="shared" si="18"/>
        <v>3723.45</v>
      </c>
      <c r="I103" s="29">
        <f t="shared" si="18"/>
        <v>3723.45</v>
      </c>
      <c r="J103" s="29">
        <f t="shared" si="18"/>
        <v>3723.45</v>
      </c>
      <c r="K103" s="29">
        <f t="shared" si="18"/>
        <v>3723.45</v>
      </c>
      <c r="L103" s="29">
        <f t="shared" si="18"/>
        <v>3723.45</v>
      </c>
      <c r="M103" s="29">
        <f t="shared" si="18"/>
        <v>3723.45</v>
      </c>
      <c r="N103" s="29">
        <f t="shared" si="18"/>
        <v>3723.45</v>
      </c>
      <c r="O103" s="29">
        <f t="shared" si="18"/>
        <v>3723.45</v>
      </c>
      <c r="P103" s="29">
        <f t="shared" si="18"/>
        <v>3723.45</v>
      </c>
      <c r="Q103" s="130">
        <f t="shared" si="17"/>
        <v>44681.399999999994</v>
      </c>
      <c r="R103" s="330">
        <v>45222.9</v>
      </c>
      <c r="S103" s="342">
        <f t="shared" si="12"/>
        <v>-1.1974022010972529E-2</v>
      </c>
    </row>
    <row r="104" spans="1:21" x14ac:dyDescent="0.35">
      <c r="A104" s="72"/>
      <c r="Q104" s="121"/>
      <c r="R104" s="325"/>
      <c r="S104" s="329"/>
    </row>
    <row r="105" spans="1:21" ht="18" x14ac:dyDescent="0.35">
      <c r="A105" s="72"/>
      <c r="C105" s="30" t="s">
        <v>71</v>
      </c>
      <c r="D105" s="57"/>
      <c r="E105" s="57">
        <f t="shared" ref="E105:R105" si="19">+E75+E79+E84+E88+E90+E92+E94+E96+E103</f>
        <v>16857.333333333332</v>
      </c>
      <c r="F105" s="57">
        <f t="shared" si="19"/>
        <v>15235.083333333332</v>
      </c>
      <c r="G105" s="57">
        <f t="shared" si="19"/>
        <v>15235.083333333332</v>
      </c>
      <c r="H105" s="57">
        <f t="shared" si="19"/>
        <v>20125.564967358336</v>
      </c>
      <c r="I105" s="57">
        <f t="shared" si="19"/>
        <v>15235.083333333332</v>
      </c>
      <c r="J105" s="57">
        <f t="shared" si="19"/>
        <v>15235.083333333332</v>
      </c>
      <c r="K105" s="57">
        <f t="shared" si="19"/>
        <v>16857.333333333332</v>
      </c>
      <c r="L105" s="57">
        <f t="shared" si="19"/>
        <v>15235.083333333332</v>
      </c>
      <c r="M105" s="57">
        <f t="shared" si="19"/>
        <v>15235.083333333332</v>
      </c>
      <c r="N105" s="57">
        <f t="shared" si="19"/>
        <v>16857.333333333332</v>
      </c>
      <c r="O105" s="57">
        <f t="shared" si="19"/>
        <v>15235.083333333332</v>
      </c>
      <c r="P105" s="57">
        <f t="shared" si="19"/>
        <v>15235.083333333332</v>
      </c>
      <c r="Q105" s="129">
        <f t="shared" si="19"/>
        <v>192578.23163402497</v>
      </c>
      <c r="R105" s="335">
        <f t="shared" si="19"/>
        <v>184689.24</v>
      </c>
      <c r="S105" s="349">
        <f t="shared" si="12"/>
        <v>4.2714949901927035E-2</v>
      </c>
    </row>
    <row r="106" spans="1:21" ht="18.5" thickBot="1" x14ac:dyDescent="0.4">
      <c r="A106" s="72"/>
      <c r="Q106" s="123"/>
      <c r="R106" s="331"/>
      <c r="S106" s="332"/>
    </row>
    <row r="107" spans="1:21" s="9" customFormat="1" ht="18" thickBot="1" x14ac:dyDescent="0.4">
      <c r="A107" s="253"/>
      <c r="B107" s="254" t="s">
        <v>72</v>
      </c>
      <c r="C107" s="255"/>
      <c r="D107" s="255"/>
      <c r="E107" s="255">
        <f t="shared" ref="E107:R107" si="20">+E71+E105</f>
        <v>130237.09669541607</v>
      </c>
      <c r="F107" s="255">
        <f t="shared" si="20"/>
        <v>89235.55669541606</v>
      </c>
      <c r="G107" s="255">
        <f t="shared" si="20"/>
        <v>79730.406695416066</v>
      </c>
      <c r="H107" s="255">
        <f t="shared" si="20"/>
        <v>124105.41019507067</v>
      </c>
      <c r="I107" s="255">
        <f t="shared" si="20"/>
        <v>82522.798561045667</v>
      </c>
      <c r="J107" s="255">
        <f t="shared" si="20"/>
        <v>117890.97856104566</v>
      </c>
      <c r="K107" s="255">
        <f t="shared" si="20"/>
        <v>120881.87856104565</v>
      </c>
      <c r="L107" s="255">
        <f t="shared" si="20"/>
        <v>74696.97856104566</v>
      </c>
      <c r="M107" s="255">
        <f t="shared" si="20"/>
        <v>75877.938561045667</v>
      </c>
      <c r="N107" s="255">
        <f t="shared" si="20"/>
        <v>125029.45195896646</v>
      </c>
      <c r="O107" s="255">
        <f t="shared" si="20"/>
        <v>73881.411958966462</v>
      </c>
      <c r="P107" s="255">
        <f t="shared" si="20"/>
        <v>78410.733082618463</v>
      </c>
      <c r="Q107" s="256">
        <f t="shared" si="20"/>
        <v>1172500.6400870986</v>
      </c>
      <c r="R107" s="333">
        <f t="shared" si="20"/>
        <v>1310168.78</v>
      </c>
      <c r="S107" s="334">
        <f t="shared" si="12"/>
        <v>-0.10507664509674963</v>
      </c>
    </row>
    <row r="108" spans="1:21" ht="18.5" thickBot="1" x14ac:dyDescent="0.4">
      <c r="A108" s="72"/>
      <c r="Q108" s="123"/>
      <c r="R108" s="331"/>
      <c r="S108" s="332"/>
    </row>
    <row r="109" spans="1:21" s="9" customFormat="1" ht="18" thickBot="1" x14ac:dyDescent="0.4">
      <c r="A109" s="253"/>
      <c r="B109" s="254" t="s">
        <v>73</v>
      </c>
      <c r="C109" s="255"/>
      <c r="D109" s="255"/>
      <c r="E109" s="255">
        <f t="shared" ref="E109:R109" si="21">+E24-E107</f>
        <v>19358.872421250606</v>
      </c>
      <c r="F109" s="255">
        <f t="shared" si="21"/>
        <v>59168.217054583962</v>
      </c>
      <c r="G109" s="255">
        <f t="shared" si="21"/>
        <v>66923.118721250576</v>
      </c>
      <c r="H109" s="255">
        <f t="shared" si="21"/>
        <v>5617.5143215959833</v>
      </c>
      <c r="I109" s="255">
        <f t="shared" si="21"/>
        <v>46776.925288954342</v>
      </c>
      <c r="J109" s="255">
        <f t="shared" si="21"/>
        <v>11819.194522287667</v>
      </c>
      <c r="K109" s="255">
        <f t="shared" si="21"/>
        <v>2584.6540222876647</v>
      </c>
      <c r="L109" s="255">
        <f t="shared" si="21"/>
        <v>54110.40282228768</v>
      </c>
      <c r="M109" s="255">
        <f t="shared" si="21"/>
        <v>52243.74452228767</v>
      </c>
      <c r="N109" s="255">
        <f t="shared" si="21"/>
        <v>-13268.354358966462</v>
      </c>
      <c r="O109" s="255">
        <f t="shared" si="21"/>
        <v>40472.819307700207</v>
      </c>
      <c r="P109" s="255">
        <f t="shared" si="21"/>
        <v>42632.614384048211</v>
      </c>
      <c r="Q109" s="256">
        <f t="shared" si="21"/>
        <v>388439.72302956786</v>
      </c>
      <c r="R109" s="333">
        <f t="shared" si="21"/>
        <v>342429.91999999969</v>
      </c>
      <c r="S109" s="334">
        <f t="shared" si="12"/>
        <v>0.13436268369764015</v>
      </c>
    </row>
    <row r="110" spans="1:21" ht="18" x14ac:dyDescent="0.35">
      <c r="A110" s="72"/>
      <c r="Q110" s="123"/>
      <c r="R110" s="331"/>
      <c r="S110" s="332"/>
    </row>
    <row r="111" spans="1:21" x14ac:dyDescent="0.35">
      <c r="A111" s="72" t="s">
        <v>120</v>
      </c>
      <c r="D111" s="7" t="s">
        <v>74</v>
      </c>
      <c r="E111" s="7">
        <f>+'361'!E111+'362'!E111+'364'!E111</f>
        <v>0</v>
      </c>
      <c r="F111" s="7">
        <f>+'361'!F111+'362'!F111+'364'!F111</f>
        <v>0</v>
      </c>
      <c r="G111" s="7">
        <f>+'361'!G111+'362'!G111+'364'!G111</f>
        <v>0</v>
      </c>
      <c r="H111" s="7">
        <f>+'361'!H111+'362'!H111+'364'!H111</f>
        <v>0</v>
      </c>
      <c r="I111" s="7">
        <f>+'361'!I111+'362'!I111+'364'!I111</f>
        <v>0</v>
      </c>
      <c r="J111" s="7">
        <f>+'361'!J111+'362'!J111+'364'!J111</f>
        <v>0</v>
      </c>
      <c r="K111" s="7">
        <f>+'361'!K111+'362'!K111+'364'!K111</f>
        <v>0</v>
      </c>
      <c r="L111" s="7">
        <f>+'361'!L111+'362'!L111+'364'!L111</f>
        <v>0</v>
      </c>
      <c r="M111" s="7">
        <f>+'361'!M111+'362'!M111+'364'!M111</f>
        <v>0</v>
      </c>
      <c r="N111" s="7">
        <f>+'361'!N111+'362'!N111+'364'!N111</f>
        <v>0</v>
      </c>
      <c r="O111" s="7">
        <f>+'361'!O111+'362'!O111+'364'!O111</f>
        <v>0</v>
      </c>
      <c r="P111" s="7">
        <f>+'361'!P111+'362'!P111+'364'!P111</f>
        <v>0</v>
      </c>
      <c r="Q111" s="121">
        <f>SUM(E111:P111)</f>
        <v>0</v>
      </c>
      <c r="R111" s="325"/>
      <c r="S111" s="329"/>
    </row>
    <row r="112" spans="1:21" x14ac:dyDescent="0.35">
      <c r="A112" s="72" t="s">
        <v>121</v>
      </c>
      <c r="D112" s="7" t="s">
        <v>75</v>
      </c>
      <c r="E112" s="7">
        <f>+'361'!E112+'362'!E112+'364'!E112</f>
        <v>0</v>
      </c>
      <c r="F112" s="7">
        <f>+'361'!F112+'362'!F112+'364'!F112</f>
        <v>0</v>
      </c>
      <c r="G112" s="7">
        <f>+'361'!G112+'362'!G112+'364'!G112</f>
        <v>0</v>
      </c>
      <c r="H112" s="7">
        <f>+'361'!H112+'362'!H112+'364'!H112</f>
        <v>0</v>
      </c>
      <c r="I112" s="7">
        <f>+'361'!I112+'362'!I112+'364'!I112</f>
        <v>0</v>
      </c>
      <c r="J112" s="7">
        <f>+'361'!J112+'362'!J112+'364'!J112</f>
        <v>0</v>
      </c>
      <c r="K112" s="7">
        <f>+'361'!K112+'362'!K112+'364'!K112</f>
        <v>0</v>
      </c>
      <c r="L112" s="7">
        <f>+'361'!L112+'362'!L112+'364'!L112</f>
        <v>0</v>
      </c>
      <c r="M112" s="7">
        <f>+'361'!M112+'362'!M112+'364'!M112</f>
        <v>0</v>
      </c>
      <c r="N112" s="7">
        <f>+'361'!N112+'362'!N112+'364'!N112</f>
        <v>0</v>
      </c>
      <c r="O112" s="7">
        <f>+'361'!O112+'362'!O112+'364'!O112</f>
        <v>0</v>
      </c>
      <c r="P112" s="7">
        <f>+'361'!P112+'362'!P112+'364'!P112</f>
        <v>0</v>
      </c>
      <c r="Q112" s="121">
        <f>SUM(E112:P112)</f>
        <v>0</v>
      </c>
      <c r="R112" s="325"/>
      <c r="S112" s="329"/>
    </row>
    <row r="113" spans="1:21" x14ac:dyDescent="0.35">
      <c r="A113" s="72" t="s">
        <v>122</v>
      </c>
      <c r="D113" s="7" t="s">
        <v>76</v>
      </c>
      <c r="E113" s="7">
        <f>+'361'!E113+'362'!E113+'364'!E113</f>
        <v>0</v>
      </c>
      <c r="F113" s="7">
        <f>+'361'!F113+'362'!F113+'364'!F113</f>
        <v>0</v>
      </c>
      <c r="G113" s="7">
        <f>+'361'!G113+'362'!G113+'364'!G113</f>
        <v>0</v>
      </c>
      <c r="H113" s="7">
        <f>+'361'!H113+'362'!H113+'364'!H113</f>
        <v>0</v>
      </c>
      <c r="I113" s="7">
        <f>+'361'!I113+'362'!I113+'364'!I113</f>
        <v>0</v>
      </c>
      <c r="J113" s="7">
        <f>+'361'!J113+'362'!J113+'364'!J113</f>
        <v>0</v>
      </c>
      <c r="K113" s="7">
        <f>+'361'!K113+'362'!K113+'364'!K113</f>
        <v>0</v>
      </c>
      <c r="L113" s="7">
        <f>+'361'!L113+'362'!L113+'364'!L113</f>
        <v>0</v>
      </c>
      <c r="M113" s="7">
        <f>+'361'!M113+'362'!M113+'364'!M113</f>
        <v>0</v>
      </c>
      <c r="N113" s="7">
        <f>+'361'!N113+'362'!N113+'364'!N113</f>
        <v>0</v>
      </c>
      <c r="O113" s="7">
        <f>+'361'!O113+'362'!O113+'364'!O113</f>
        <v>0</v>
      </c>
      <c r="P113" s="7">
        <f>+'361'!P113+'362'!P113+'364'!P113</f>
        <v>0</v>
      </c>
      <c r="Q113" s="121">
        <f>SUM(E113:P113)</f>
        <v>0</v>
      </c>
      <c r="R113" s="325"/>
      <c r="S113" s="329"/>
    </row>
    <row r="114" spans="1:21" x14ac:dyDescent="0.35">
      <c r="A114" s="72" t="s">
        <v>128</v>
      </c>
      <c r="D114" s="7" t="s">
        <v>77</v>
      </c>
      <c r="E114" s="7">
        <f>+'361'!E114+'362'!E114+'364'!E114</f>
        <v>0</v>
      </c>
      <c r="F114" s="7">
        <f>+'361'!F114+'362'!F114+'364'!F114</f>
        <v>0</v>
      </c>
      <c r="G114" s="7">
        <f>+'361'!G114+'362'!G114+'364'!G114</f>
        <v>0</v>
      </c>
      <c r="H114" s="7">
        <f>+'361'!H114+'362'!H114+'364'!H114</f>
        <v>0</v>
      </c>
      <c r="I114" s="7">
        <f>+'361'!I114+'362'!I114+'364'!I114</f>
        <v>0</v>
      </c>
      <c r="J114" s="7">
        <f>+'361'!J114+'362'!J114+'364'!J114</f>
        <v>0</v>
      </c>
      <c r="K114" s="7">
        <f>+'361'!K114+'362'!K114+'364'!K114</f>
        <v>0</v>
      </c>
      <c r="L114" s="7">
        <f>+'361'!L114+'362'!L114+'364'!L114</f>
        <v>0</v>
      </c>
      <c r="M114" s="7">
        <f>+'361'!M114+'362'!M114+'364'!M114</f>
        <v>0</v>
      </c>
      <c r="N114" s="7">
        <f>+'361'!N114+'362'!N114+'364'!N114</f>
        <v>0</v>
      </c>
      <c r="O114" s="7">
        <f>+'361'!O114+'362'!O114+'364'!O114</f>
        <v>0</v>
      </c>
      <c r="P114" s="7">
        <f>+'361'!P114+'362'!P114+'364'!P114</f>
        <v>0</v>
      </c>
      <c r="Q114" s="121">
        <f>SUM(E114:P114)</f>
        <v>0</v>
      </c>
      <c r="R114" s="325"/>
      <c r="S114" s="329"/>
    </row>
    <row r="115" spans="1:21" x14ac:dyDescent="0.35">
      <c r="A115" s="72"/>
      <c r="C115" s="7" t="s">
        <v>77</v>
      </c>
      <c r="E115" s="29">
        <f t="shared" ref="E115:Q115" si="22">SUM(E111:E114)</f>
        <v>0</v>
      </c>
      <c r="F115" s="29">
        <f t="shared" si="22"/>
        <v>0</v>
      </c>
      <c r="G115" s="29">
        <f t="shared" si="22"/>
        <v>0</v>
      </c>
      <c r="H115" s="29">
        <f t="shared" si="22"/>
        <v>0</v>
      </c>
      <c r="I115" s="29">
        <f t="shared" si="22"/>
        <v>0</v>
      </c>
      <c r="J115" s="29">
        <f t="shared" si="22"/>
        <v>0</v>
      </c>
      <c r="K115" s="29">
        <f t="shared" si="22"/>
        <v>0</v>
      </c>
      <c r="L115" s="29">
        <f t="shared" si="22"/>
        <v>0</v>
      </c>
      <c r="M115" s="29">
        <f t="shared" si="22"/>
        <v>0</v>
      </c>
      <c r="N115" s="29">
        <f t="shared" si="22"/>
        <v>0</v>
      </c>
      <c r="O115" s="29">
        <f t="shared" si="22"/>
        <v>0</v>
      </c>
      <c r="P115" s="29">
        <f t="shared" si="22"/>
        <v>0</v>
      </c>
      <c r="Q115" s="130">
        <f t="shared" si="22"/>
        <v>0</v>
      </c>
      <c r="R115" s="330"/>
      <c r="S115" s="342" t="e">
        <f t="shared" si="12"/>
        <v>#DIV/0!</v>
      </c>
    </row>
    <row r="116" spans="1:21" x14ac:dyDescent="0.35">
      <c r="A116" s="72"/>
      <c r="Q116" s="121"/>
      <c r="R116" s="325"/>
      <c r="S116" s="329"/>
    </row>
    <row r="117" spans="1:21" x14ac:dyDescent="0.35">
      <c r="A117" s="72" t="s">
        <v>123</v>
      </c>
      <c r="C117" s="7" t="s">
        <v>78</v>
      </c>
      <c r="E117" s="7">
        <f>+'361'!E117+'362'!E117+'364'!E117</f>
        <v>9576</v>
      </c>
      <c r="F117" s="7">
        <f>+'361'!F117+'362'!F117+'364'!F117</f>
        <v>0</v>
      </c>
      <c r="G117" s="7">
        <f>+'361'!G117+'362'!G117+'364'!G117</f>
        <v>0</v>
      </c>
      <c r="H117" s="7">
        <f>+'361'!H117+'362'!H117+'364'!H117</f>
        <v>0</v>
      </c>
      <c r="I117" s="7">
        <f>+'361'!I117+'362'!I117+'364'!I117</f>
        <v>0</v>
      </c>
      <c r="J117" s="7">
        <f>+'361'!J117+'362'!J117+'364'!J117</f>
        <v>0</v>
      </c>
      <c r="K117" s="7">
        <f>+'361'!K117+'362'!K117+'364'!K117</f>
        <v>2346</v>
      </c>
      <c r="L117" s="7">
        <f>+'361'!L117+'362'!L117+'364'!L117</f>
        <v>0</v>
      </c>
      <c r="M117" s="7">
        <f>+'361'!M117+'362'!M117+'364'!M117</f>
        <v>0</v>
      </c>
      <c r="N117" s="7">
        <f>+'361'!N117+'362'!N117+'364'!N117</f>
        <v>0</v>
      </c>
      <c r="O117" s="7">
        <f>+'361'!O117+'362'!O117+'364'!O117</f>
        <v>3006</v>
      </c>
      <c r="P117" s="7">
        <f>+'361'!P117+'362'!P117+'364'!P117</f>
        <v>0</v>
      </c>
      <c r="Q117" s="121">
        <f>SUM(E117:P117)</f>
        <v>14928</v>
      </c>
      <c r="R117" s="325">
        <v>12201.740000000224</v>
      </c>
      <c r="S117" s="329">
        <f t="shared" si="12"/>
        <v>0.22343206788537762</v>
      </c>
      <c r="U117" s="11" t="s">
        <v>566</v>
      </c>
    </row>
    <row r="118" spans="1:21" ht="18" x14ac:dyDescent="0.35">
      <c r="A118" s="72"/>
      <c r="Q118" s="121"/>
      <c r="R118" s="336"/>
      <c r="S118" s="337"/>
    </row>
    <row r="119" spans="1:21" ht="18" x14ac:dyDescent="0.35">
      <c r="A119" s="72" t="s">
        <v>124</v>
      </c>
      <c r="D119" s="7" t="s">
        <v>79</v>
      </c>
      <c r="E119" s="7">
        <f>+'361'!E119+'362'!E119+'364'!E119</f>
        <v>0</v>
      </c>
      <c r="F119" s="7">
        <f>+'361'!F119+'362'!F119+'364'!F119</f>
        <v>0</v>
      </c>
      <c r="G119" s="7">
        <f>+'361'!G119+'362'!G119+'364'!G119</f>
        <v>0</v>
      </c>
      <c r="H119" s="7">
        <f>+'361'!H119+'362'!H119+'364'!H119</f>
        <v>0</v>
      </c>
      <c r="I119" s="7">
        <f>+'361'!I119+'362'!I119+'364'!I119</f>
        <v>0</v>
      </c>
      <c r="J119" s="7">
        <f>+'361'!J119+'362'!J119+'364'!J119</f>
        <v>0</v>
      </c>
      <c r="K119" s="7">
        <f>+'361'!K119+'362'!K119+'364'!K119</f>
        <v>0</v>
      </c>
      <c r="L119" s="7">
        <f>+'361'!L119+'362'!L119+'364'!L119</f>
        <v>0</v>
      </c>
      <c r="M119" s="7">
        <f>+'361'!M119+'362'!M119+'364'!M119</f>
        <v>0</v>
      </c>
      <c r="N119" s="7">
        <f>+'361'!N119+'362'!N119+'364'!N119</f>
        <v>0</v>
      </c>
      <c r="O119" s="7">
        <f>+'361'!O119+'362'!O119+'364'!O119</f>
        <v>0</v>
      </c>
      <c r="P119" s="7">
        <f>+'361'!P119+'362'!P119+'364'!P119</f>
        <v>0</v>
      </c>
      <c r="Q119" s="121">
        <f>SUM(E119:P119)</f>
        <v>0</v>
      </c>
      <c r="R119" s="331"/>
      <c r="S119" s="332"/>
    </row>
    <row r="120" spans="1:21" x14ac:dyDescent="0.35">
      <c r="A120" s="72" t="s">
        <v>124</v>
      </c>
      <c r="D120" s="7" t="s">
        <v>80</v>
      </c>
      <c r="E120" s="7">
        <f>+'361'!E120+'362'!E120+'364'!E120</f>
        <v>10383.68</v>
      </c>
      <c r="F120" s="7">
        <f>+'361'!F120+'362'!F120+'364'!F120</f>
        <v>4539.5999999999995</v>
      </c>
      <c r="G120" s="7">
        <f>+'361'!G120+'362'!G120+'364'!G120</f>
        <v>0</v>
      </c>
      <c r="H120" s="7">
        <f>+'361'!H120+'362'!H120+'364'!H120</f>
        <v>0</v>
      </c>
      <c r="I120" s="7">
        <f>+'361'!I120+'362'!I120+'364'!I120</f>
        <v>0</v>
      </c>
      <c r="J120" s="7">
        <f>+'361'!J120+'362'!J120+'364'!J120</f>
        <v>652.65</v>
      </c>
      <c r="K120" s="7">
        <f>+'361'!K120+'362'!K120+'364'!K120</f>
        <v>648.94499999999994</v>
      </c>
      <c r="L120" s="7">
        <f>+'361'!L120+'362'!L120+'364'!L120</f>
        <v>900.72</v>
      </c>
      <c r="M120" s="7">
        <f>+'361'!M120+'362'!M120+'364'!M120</f>
        <v>0</v>
      </c>
      <c r="N120" s="7">
        <f>+'361'!N120+'362'!N120+'364'!N120</f>
        <v>0</v>
      </c>
      <c r="O120" s="7">
        <f>+'361'!O120+'362'!O120+'364'!O120</f>
        <v>1082.1599999999999</v>
      </c>
      <c r="P120" s="7">
        <f>+'361'!P120+'362'!P120+'364'!P120</f>
        <v>0</v>
      </c>
      <c r="Q120" s="121">
        <f>SUM(E120:P120)</f>
        <v>18207.754999999997</v>
      </c>
      <c r="R120" s="338"/>
      <c r="S120" s="339"/>
      <c r="U120" s="11" t="s">
        <v>566</v>
      </c>
    </row>
    <row r="121" spans="1:21" x14ac:dyDescent="0.35">
      <c r="A121" s="14"/>
      <c r="C121" s="7" t="s">
        <v>80</v>
      </c>
      <c r="E121" s="29">
        <f>SUM(E119:E120)</f>
        <v>10383.68</v>
      </c>
      <c r="F121" s="29">
        <f t="shared" ref="F121:P121" si="23">SUM(F119:F120)</f>
        <v>4539.5999999999995</v>
      </c>
      <c r="G121" s="29">
        <f t="shared" si="23"/>
        <v>0</v>
      </c>
      <c r="H121" s="29">
        <f t="shared" si="23"/>
        <v>0</v>
      </c>
      <c r="I121" s="29">
        <f t="shared" si="23"/>
        <v>0</v>
      </c>
      <c r="J121" s="29">
        <f t="shared" si="23"/>
        <v>652.65</v>
      </c>
      <c r="K121" s="29">
        <f t="shared" si="23"/>
        <v>648.94499999999994</v>
      </c>
      <c r="L121" s="29">
        <f t="shared" si="23"/>
        <v>900.72</v>
      </c>
      <c r="M121" s="29">
        <f t="shared" si="23"/>
        <v>0</v>
      </c>
      <c r="N121" s="29">
        <f t="shared" si="23"/>
        <v>0</v>
      </c>
      <c r="O121" s="29">
        <f t="shared" si="23"/>
        <v>1082.1599999999999</v>
      </c>
      <c r="P121" s="29">
        <f t="shared" si="23"/>
        <v>0</v>
      </c>
      <c r="Q121" s="130">
        <f t="shared" ref="Q121" si="24">SUM(Q119:Q120)</f>
        <v>18207.754999999997</v>
      </c>
      <c r="R121" s="330">
        <v>7060.5400000000373</v>
      </c>
      <c r="S121" s="342">
        <f t="shared" si="12"/>
        <v>1.5788048789469222</v>
      </c>
      <c r="U121" s="7" t="s">
        <v>481</v>
      </c>
    </row>
    <row r="122" spans="1:21" ht="18.5" thickBot="1" x14ac:dyDescent="0.4">
      <c r="A122" s="72"/>
      <c r="Q122" s="121"/>
      <c r="R122" s="340"/>
      <c r="S122" s="341"/>
    </row>
    <row r="123" spans="1:21" s="9" customFormat="1" ht="18" thickBot="1" x14ac:dyDescent="0.4">
      <c r="A123" s="253"/>
      <c r="B123" s="254" t="s">
        <v>81</v>
      </c>
      <c r="C123" s="255"/>
      <c r="D123" s="255"/>
      <c r="E123" s="255">
        <f>+E109-E115-E117-E121</f>
        <v>-600.80757874939445</v>
      </c>
      <c r="F123" s="255">
        <f t="shared" ref="F123:P123" si="25">+F109-F115-F117-F121</f>
        <v>54628.617054583963</v>
      </c>
      <c r="G123" s="255">
        <f t="shared" si="25"/>
        <v>66923.118721250576</v>
      </c>
      <c r="H123" s="255">
        <f t="shared" si="25"/>
        <v>5617.5143215959833</v>
      </c>
      <c r="I123" s="255">
        <f t="shared" si="25"/>
        <v>46776.925288954342</v>
      </c>
      <c r="J123" s="255">
        <f t="shared" si="25"/>
        <v>11166.544522287668</v>
      </c>
      <c r="K123" s="255">
        <f t="shared" si="25"/>
        <v>-410.29097771233523</v>
      </c>
      <c r="L123" s="255">
        <f t="shared" si="25"/>
        <v>53209.682822287679</v>
      </c>
      <c r="M123" s="255">
        <f t="shared" si="25"/>
        <v>52243.74452228767</v>
      </c>
      <c r="N123" s="255">
        <f t="shared" si="25"/>
        <v>-13268.354358966462</v>
      </c>
      <c r="O123" s="255">
        <f t="shared" si="25"/>
        <v>36384.659307700203</v>
      </c>
      <c r="P123" s="255">
        <f t="shared" si="25"/>
        <v>42632.614384048211</v>
      </c>
      <c r="Q123" s="257">
        <f>+Q109-Q115-Q117-Q121</f>
        <v>355303.96802956786</v>
      </c>
      <c r="R123" s="333">
        <f>+R109-R115-R117-R121</f>
        <v>323167.63999999943</v>
      </c>
      <c r="S123" s="334">
        <f t="shared" si="12"/>
        <v>9.9441664485864001E-2</v>
      </c>
    </row>
    <row r="124" spans="1:21" ht="18" x14ac:dyDescent="0.35">
      <c r="A124" s="72"/>
      <c r="Q124" s="123"/>
      <c r="R124" s="331"/>
      <c r="S124" s="332"/>
    </row>
    <row r="125" spans="1:21" x14ac:dyDescent="0.35">
      <c r="A125" s="72"/>
      <c r="B125" s="7" t="s">
        <v>82</v>
      </c>
      <c r="Q125" s="121"/>
      <c r="R125" s="325"/>
      <c r="S125" s="329"/>
    </row>
    <row r="126" spans="1:21" x14ac:dyDescent="0.35">
      <c r="A126" s="72" t="s">
        <v>127</v>
      </c>
      <c r="C126" s="7" t="s">
        <v>83</v>
      </c>
      <c r="E126" s="7">
        <f>'361'!E126+'362'!E126+'364'!E126</f>
        <v>23022</v>
      </c>
      <c r="F126" s="7">
        <f>'361'!F126+'362'!F126+'364'!F126</f>
        <v>23022</v>
      </c>
      <c r="G126" s="7">
        <f>'361'!G126+'362'!G126+'364'!G126</f>
        <v>23022</v>
      </c>
      <c r="H126" s="7">
        <f>'361'!H126+'362'!H126+'364'!H126</f>
        <v>23022</v>
      </c>
      <c r="I126" s="7">
        <f>'361'!I126+'362'!I126+'364'!I126</f>
        <v>23022</v>
      </c>
      <c r="J126" s="7">
        <f>'361'!J126+'362'!J126+'364'!J126</f>
        <v>23022</v>
      </c>
      <c r="K126" s="7">
        <f>'361'!K126+'362'!K126+'364'!K126</f>
        <v>23022</v>
      </c>
      <c r="L126" s="7">
        <f>'361'!L126+'362'!L126+'364'!L126</f>
        <v>23022</v>
      </c>
      <c r="M126" s="7">
        <f>'361'!M126+'362'!M126+'364'!M126</f>
        <v>23022</v>
      </c>
      <c r="N126" s="7">
        <f>'361'!N126+'362'!N126+'364'!N126</f>
        <v>23022</v>
      </c>
      <c r="O126" s="7">
        <f>'361'!O126+'362'!O126+'364'!O126</f>
        <v>23022</v>
      </c>
      <c r="P126" s="7">
        <f>'361'!P126+'362'!P126+'364'!P126</f>
        <v>23022</v>
      </c>
      <c r="Q126" s="121">
        <f>SUM(E126:P126)</f>
        <v>276264</v>
      </c>
      <c r="R126" s="325">
        <v>279671.63</v>
      </c>
      <c r="S126" s="329">
        <f t="shared" si="12"/>
        <v>-1.2184396393727925E-2</v>
      </c>
    </row>
    <row r="127" spans="1:21" x14ac:dyDescent="0.35">
      <c r="A127" s="72" t="s">
        <v>144</v>
      </c>
      <c r="C127" s="7" t="s">
        <v>84</v>
      </c>
      <c r="E127" s="7">
        <f>'361'!E127+'362'!E127+'364'!E127</f>
        <v>0</v>
      </c>
      <c r="F127" s="7">
        <f>'361'!F127+'362'!F127+'364'!F127</f>
        <v>0</v>
      </c>
      <c r="G127" s="7">
        <f>'361'!G127+'362'!G127+'364'!G127</f>
        <v>0</v>
      </c>
      <c r="H127" s="7">
        <f>'361'!H127+'362'!H127+'364'!H127</f>
        <v>0</v>
      </c>
      <c r="I127" s="7">
        <f>'361'!I127+'362'!I127+'364'!I127</f>
        <v>0</v>
      </c>
      <c r="J127" s="7">
        <f>'361'!J127+'362'!J127+'364'!J127</f>
        <v>0</v>
      </c>
      <c r="K127" s="7">
        <f>'361'!K127+'362'!K127+'364'!K127</f>
        <v>0</v>
      </c>
      <c r="L127" s="7">
        <f>'361'!L127+'362'!L127+'364'!L127</f>
        <v>0</v>
      </c>
      <c r="M127" s="7">
        <f>'361'!M127+'362'!M127+'364'!M127</f>
        <v>0</v>
      </c>
      <c r="N127" s="7">
        <f>'361'!N127+'362'!N127+'364'!N127</f>
        <v>0</v>
      </c>
      <c r="O127" s="7">
        <f>'361'!O127+'362'!O127+'364'!O127</f>
        <v>0</v>
      </c>
      <c r="P127" s="7">
        <f>'361'!P127+'362'!P127+'364'!P127</f>
        <v>0</v>
      </c>
      <c r="Q127" s="121">
        <f>SUM(E127:P127)</f>
        <v>0</v>
      </c>
      <c r="R127" s="325">
        <v>30472.930000000051</v>
      </c>
      <c r="S127" s="329">
        <f t="shared" si="12"/>
        <v>-1</v>
      </c>
    </row>
    <row r="128" spans="1:21" x14ac:dyDescent="0.35">
      <c r="A128" s="72" t="s">
        <v>145</v>
      </c>
      <c r="C128" s="7" t="s">
        <v>85</v>
      </c>
      <c r="Q128" s="121">
        <f>SUM(E128:P128)</f>
        <v>0</v>
      </c>
      <c r="R128" s="325"/>
      <c r="S128" s="329"/>
    </row>
    <row r="129" spans="1:21" x14ac:dyDescent="0.35">
      <c r="A129" s="72"/>
      <c r="C129" s="7" t="s">
        <v>86</v>
      </c>
      <c r="E129" s="29">
        <f t="shared" ref="E129:Q129" si="26">SUM(E126:E128)</f>
        <v>23022</v>
      </c>
      <c r="F129" s="29">
        <f t="shared" si="26"/>
        <v>23022</v>
      </c>
      <c r="G129" s="29">
        <f t="shared" si="26"/>
        <v>23022</v>
      </c>
      <c r="H129" s="29">
        <f t="shared" si="26"/>
        <v>23022</v>
      </c>
      <c r="I129" s="29">
        <f t="shared" si="26"/>
        <v>23022</v>
      </c>
      <c r="J129" s="29">
        <f t="shared" si="26"/>
        <v>23022</v>
      </c>
      <c r="K129" s="29">
        <f t="shared" si="26"/>
        <v>23022</v>
      </c>
      <c r="L129" s="29">
        <f t="shared" si="26"/>
        <v>23022</v>
      </c>
      <c r="M129" s="29">
        <f t="shared" si="26"/>
        <v>23022</v>
      </c>
      <c r="N129" s="29">
        <f t="shared" si="26"/>
        <v>23022</v>
      </c>
      <c r="O129" s="29">
        <f t="shared" si="26"/>
        <v>23022</v>
      </c>
      <c r="P129" s="29">
        <f t="shared" si="26"/>
        <v>23022</v>
      </c>
      <c r="Q129" s="130">
        <f t="shared" si="26"/>
        <v>276264</v>
      </c>
      <c r="R129" s="330">
        <f t="shared" ref="R129" si="27">SUM(R126:R128)</f>
        <v>310144.56000000006</v>
      </c>
      <c r="S129" s="342">
        <f t="shared" si="12"/>
        <v>-0.10924118739983724</v>
      </c>
    </row>
    <row r="130" spans="1:21" ht="18.5" thickBot="1" x14ac:dyDescent="0.4">
      <c r="A130" s="72"/>
      <c r="Q130" s="121"/>
      <c r="R130" s="331"/>
      <c r="S130" s="332"/>
    </row>
    <row r="131" spans="1:21" s="9" customFormat="1" ht="18" thickBot="1" x14ac:dyDescent="0.4">
      <c r="A131" s="253"/>
      <c r="B131" s="254" t="s">
        <v>87</v>
      </c>
      <c r="C131" s="255"/>
      <c r="D131" s="255"/>
      <c r="E131" s="255">
        <f t="shared" ref="E131:R131" si="28">+E123-E129</f>
        <v>-23622.807578749394</v>
      </c>
      <c r="F131" s="255">
        <f t="shared" si="28"/>
        <v>31606.617054583963</v>
      </c>
      <c r="G131" s="255">
        <f t="shared" si="28"/>
        <v>43901.118721250576</v>
      </c>
      <c r="H131" s="255">
        <f t="shared" si="28"/>
        <v>-17404.485678404017</v>
      </c>
      <c r="I131" s="255">
        <f t="shared" si="28"/>
        <v>23754.925288954342</v>
      </c>
      <c r="J131" s="255">
        <f t="shared" si="28"/>
        <v>-11855.455477712332</v>
      </c>
      <c r="K131" s="255">
        <f t="shared" si="28"/>
        <v>-23432.290977712335</v>
      </c>
      <c r="L131" s="255">
        <f t="shared" si="28"/>
        <v>30187.682822287679</v>
      </c>
      <c r="M131" s="255">
        <f t="shared" si="28"/>
        <v>29221.74452228767</v>
      </c>
      <c r="N131" s="255">
        <f t="shared" si="28"/>
        <v>-36290.354358966462</v>
      </c>
      <c r="O131" s="255">
        <f t="shared" si="28"/>
        <v>13362.659307700203</v>
      </c>
      <c r="P131" s="255">
        <f t="shared" si="28"/>
        <v>19610.614384048211</v>
      </c>
      <c r="Q131" s="257">
        <f t="shared" si="28"/>
        <v>79039.968029567855</v>
      </c>
      <c r="R131" s="333">
        <f t="shared" si="28"/>
        <v>13023.079999999376</v>
      </c>
      <c r="S131" s="334">
        <f>Q131/R131-1</f>
        <v>5.069222336772226</v>
      </c>
    </row>
    <row r="132" spans="1:21" ht="18" x14ac:dyDescent="0.35">
      <c r="A132" s="72"/>
      <c r="Q132" s="123"/>
      <c r="R132" s="331"/>
      <c r="S132" s="350"/>
    </row>
    <row r="133" spans="1:21" ht="18" x14ac:dyDescent="0.35">
      <c r="A133" s="72"/>
      <c r="Q133" s="123"/>
      <c r="R133" s="331"/>
      <c r="S133" s="350"/>
    </row>
    <row r="134" spans="1:21" ht="18" x14ac:dyDescent="0.35">
      <c r="A134" s="72"/>
      <c r="Q134" s="123"/>
      <c r="R134" s="331"/>
      <c r="S134" s="350"/>
    </row>
    <row r="135" spans="1:21" ht="18" x14ac:dyDescent="0.35">
      <c r="A135" s="72"/>
      <c r="Q135" s="123"/>
      <c r="R135" s="325"/>
      <c r="S135" s="326"/>
    </row>
    <row r="136" spans="1:21" ht="18" x14ac:dyDescent="0.35">
      <c r="A136" s="72"/>
      <c r="Q136" s="123"/>
      <c r="R136" s="351"/>
      <c r="S136" s="326"/>
    </row>
    <row r="137" spans="1:21" ht="18" x14ac:dyDescent="0.35">
      <c r="A137" s="72"/>
      <c r="Q137" s="123"/>
      <c r="R137" s="325"/>
      <c r="S137" s="326"/>
    </row>
    <row r="138" spans="1:21" ht="17.5" x14ac:dyDescent="0.35">
      <c r="A138" s="72"/>
      <c r="B138" s="9" t="s">
        <v>610</v>
      </c>
      <c r="Q138" s="121"/>
      <c r="R138" s="352"/>
      <c r="S138" s="353"/>
    </row>
    <row r="139" spans="1:21" ht="18" x14ac:dyDescent="0.35">
      <c r="A139" s="72"/>
      <c r="D139" s="316">
        <f>100775+40065.01</f>
        <v>140840.01</v>
      </c>
      <c r="Q139" s="317">
        <f>+D139</f>
        <v>140840.01</v>
      </c>
      <c r="R139" s="331"/>
      <c r="S139" s="350"/>
    </row>
    <row r="140" spans="1:21" ht="18.5" thickBot="1" x14ac:dyDescent="0.4">
      <c r="A140" s="74"/>
      <c r="D140" s="7" t="s">
        <v>289</v>
      </c>
      <c r="E140" s="16">
        <f>IF(T140=TRUE,0,-5000)</f>
        <v>-5000</v>
      </c>
      <c r="F140" s="16">
        <f>+E140</f>
        <v>-5000</v>
      </c>
      <c r="G140" s="16">
        <f t="shared" ref="G140:P140" si="29">+F140</f>
        <v>-5000</v>
      </c>
      <c r="H140" s="16">
        <f t="shared" si="29"/>
        <v>-5000</v>
      </c>
      <c r="I140" s="16">
        <f t="shared" si="29"/>
        <v>-5000</v>
      </c>
      <c r="J140" s="16">
        <f t="shared" si="29"/>
        <v>-5000</v>
      </c>
      <c r="K140" s="16">
        <f t="shared" si="29"/>
        <v>-5000</v>
      </c>
      <c r="L140" s="16">
        <f t="shared" si="29"/>
        <v>-5000</v>
      </c>
      <c r="M140" s="16">
        <f t="shared" si="29"/>
        <v>-5000</v>
      </c>
      <c r="N140" s="16">
        <f t="shared" si="29"/>
        <v>-5000</v>
      </c>
      <c r="O140" s="16">
        <f t="shared" si="29"/>
        <v>-5000</v>
      </c>
      <c r="P140" s="16">
        <f t="shared" si="29"/>
        <v>-5000</v>
      </c>
      <c r="Q140" s="282">
        <f>SUM(E140:P140)</f>
        <v>-60000</v>
      </c>
      <c r="R140" s="325"/>
      <c r="S140" s="326"/>
      <c r="T140" s="442" t="b">
        <v>0</v>
      </c>
      <c r="U140" s="443" t="s">
        <v>595</v>
      </c>
    </row>
    <row r="141" spans="1:21" s="9" customFormat="1" x14ac:dyDescent="0.35">
      <c r="A141" s="74"/>
      <c r="E141" s="9">
        <f>+E131+D139+E140</f>
        <v>112217.20242125061</v>
      </c>
      <c r="F141" s="9">
        <f>+E141+F131+F140</f>
        <v>138823.81947583458</v>
      </c>
      <c r="G141" s="9">
        <f t="shared" ref="G141:P141" si="30">+F141+G131+G140</f>
        <v>177724.93819708517</v>
      </c>
      <c r="H141" s="9">
        <f t="shared" si="30"/>
        <v>155320.45251868115</v>
      </c>
      <c r="I141" s="9">
        <f t="shared" si="30"/>
        <v>174075.37780763549</v>
      </c>
      <c r="J141" s="9">
        <f t="shared" si="30"/>
        <v>157219.92232992317</v>
      </c>
      <c r="K141" s="9">
        <f t="shared" si="30"/>
        <v>128787.63135221082</v>
      </c>
      <c r="L141" s="9">
        <f t="shared" si="30"/>
        <v>153975.31417449849</v>
      </c>
      <c r="M141" s="9">
        <f t="shared" si="30"/>
        <v>178197.05869678617</v>
      </c>
      <c r="N141" s="9">
        <f t="shared" si="30"/>
        <v>136906.70433781971</v>
      </c>
      <c r="O141" s="9">
        <f t="shared" si="30"/>
        <v>145269.36364551992</v>
      </c>
      <c r="P141" s="9">
        <f t="shared" si="30"/>
        <v>159879.97802956813</v>
      </c>
      <c r="Q141" s="283">
        <f>+Q131+Q139+Q140</f>
        <v>159879.97802956786</v>
      </c>
      <c r="R141" s="325"/>
      <c r="S141" s="326"/>
    </row>
    <row r="142" spans="1:21" ht="18" x14ac:dyDescent="0.35">
      <c r="A142" s="74"/>
      <c r="Q142" s="123"/>
      <c r="R142" s="325"/>
      <c r="S142" s="326"/>
    </row>
    <row r="143" spans="1:21" x14ac:dyDescent="0.35">
      <c r="A143" s="72"/>
      <c r="Q143" s="121"/>
      <c r="R143" s="325"/>
      <c r="S143" s="326"/>
    </row>
    <row r="144" spans="1:21" x14ac:dyDescent="0.35">
      <c r="A144" s="14"/>
      <c r="Q144" s="121"/>
      <c r="R144" s="325"/>
      <c r="S144" s="326"/>
    </row>
    <row r="145" spans="1:19" ht="18" x14ac:dyDescent="0.35">
      <c r="A145" s="49"/>
      <c r="D145" s="7" t="s">
        <v>471</v>
      </c>
      <c r="E145" s="16">
        <f>-E140</f>
        <v>5000</v>
      </c>
      <c r="F145" s="16">
        <f>+E145</f>
        <v>5000</v>
      </c>
      <c r="G145" s="16">
        <f t="shared" ref="G145:P145" si="31">+F145</f>
        <v>5000</v>
      </c>
      <c r="H145" s="16">
        <f t="shared" si="31"/>
        <v>5000</v>
      </c>
      <c r="I145" s="16">
        <f t="shared" si="31"/>
        <v>5000</v>
      </c>
      <c r="J145" s="16">
        <f t="shared" si="31"/>
        <v>5000</v>
      </c>
      <c r="K145" s="16">
        <f t="shared" si="31"/>
        <v>5000</v>
      </c>
      <c r="L145" s="16">
        <f t="shared" si="31"/>
        <v>5000</v>
      </c>
      <c r="M145" s="16">
        <f t="shared" si="31"/>
        <v>5000</v>
      </c>
      <c r="N145" s="16">
        <f t="shared" si="31"/>
        <v>5000</v>
      </c>
      <c r="O145" s="16">
        <f t="shared" si="31"/>
        <v>5000</v>
      </c>
      <c r="P145" s="16">
        <f t="shared" si="31"/>
        <v>5000</v>
      </c>
      <c r="Q145" s="131"/>
      <c r="R145" s="325"/>
      <c r="S145" s="326"/>
    </row>
    <row r="146" spans="1:19" ht="18" x14ac:dyDescent="0.35">
      <c r="A146" s="14"/>
      <c r="Q146" s="121"/>
      <c r="R146" s="331"/>
      <c r="S146" s="350"/>
    </row>
    <row r="147" spans="1:19" x14ac:dyDescent="0.35">
      <c r="A147" s="258"/>
      <c r="B147" s="9" t="s">
        <v>594</v>
      </c>
      <c r="C147" s="33"/>
      <c r="Q147" s="121"/>
      <c r="R147" s="325"/>
      <c r="S147" s="326"/>
    </row>
    <row r="148" spans="1:19" s="9" customFormat="1" x14ac:dyDescent="0.35">
      <c r="A148" s="258"/>
      <c r="C148" s="259"/>
      <c r="D148" s="441">
        <v>117089</v>
      </c>
      <c r="E148" s="9">
        <f t="shared" ref="E148:P148" si="32">+D148-E121+E145-E117</f>
        <v>102129.32</v>
      </c>
      <c r="F148" s="9">
        <f t="shared" si="32"/>
        <v>102589.72</v>
      </c>
      <c r="G148" s="9">
        <f t="shared" si="32"/>
        <v>107589.72</v>
      </c>
      <c r="H148" s="9">
        <f t="shared" si="32"/>
        <v>112589.72</v>
      </c>
      <c r="I148" s="9">
        <f t="shared" si="32"/>
        <v>117589.72</v>
      </c>
      <c r="J148" s="9">
        <f t="shared" si="32"/>
        <v>121937.07</v>
      </c>
      <c r="K148" s="9">
        <f t="shared" si="32"/>
        <v>123942.125</v>
      </c>
      <c r="L148" s="9">
        <f t="shared" si="32"/>
        <v>128041.405</v>
      </c>
      <c r="M148" s="9">
        <f t="shared" si="32"/>
        <v>133041.405</v>
      </c>
      <c r="N148" s="9">
        <f t="shared" si="32"/>
        <v>138041.405</v>
      </c>
      <c r="O148" s="9">
        <f t="shared" si="32"/>
        <v>138953.245</v>
      </c>
      <c r="P148" s="9">
        <f t="shared" si="32"/>
        <v>143953.245</v>
      </c>
      <c r="R148" s="7"/>
      <c r="S148" s="320"/>
    </row>
    <row r="149" spans="1:19" x14ac:dyDescent="0.35">
      <c r="A149" s="14"/>
      <c r="E149" s="444"/>
      <c r="Q149" s="444"/>
      <c r="R149" s="9"/>
      <c r="S149" s="343"/>
    </row>
    <row r="150" spans="1:19" x14ac:dyDescent="0.35">
      <c r="A150" s="50"/>
    </row>
    <row r="151" spans="1:19" x14ac:dyDescent="0.35">
      <c r="A151" s="50"/>
      <c r="B151" s="32" t="s">
        <v>287</v>
      </c>
      <c r="D151" s="36" t="s">
        <v>288</v>
      </c>
    </row>
    <row r="152" spans="1:19" x14ac:dyDescent="0.35">
      <c r="A152" s="50"/>
    </row>
    <row r="153" spans="1:19" x14ac:dyDescent="0.35">
      <c r="A153" s="50"/>
    </row>
    <row r="154" spans="1:19" x14ac:dyDescent="0.35">
      <c r="A154" s="50"/>
    </row>
    <row r="155" spans="1:19" x14ac:dyDescent="0.35">
      <c r="A155" s="50"/>
    </row>
    <row r="156" spans="1:19" x14ac:dyDescent="0.35">
      <c r="A156" s="50"/>
    </row>
    <row r="157" spans="1:19" x14ac:dyDescent="0.35">
      <c r="A157" s="50"/>
    </row>
    <row r="158" spans="1:19" x14ac:dyDescent="0.35">
      <c r="A158" s="50"/>
    </row>
    <row r="159" spans="1:19" x14ac:dyDescent="0.35">
      <c r="A159" s="50"/>
    </row>
    <row r="160" spans="1:19" x14ac:dyDescent="0.35">
      <c r="A160" s="50"/>
    </row>
    <row r="161" spans="1:1" x14ac:dyDescent="0.35">
      <c r="A161" s="50"/>
    </row>
    <row r="162" spans="1:1" x14ac:dyDescent="0.35">
      <c r="A162" s="50"/>
    </row>
    <row r="163" spans="1:1" x14ac:dyDescent="0.35">
      <c r="A163" s="50"/>
    </row>
    <row r="164" spans="1:1" x14ac:dyDescent="0.35">
      <c r="A164" s="50"/>
    </row>
    <row r="165" spans="1:1" x14ac:dyDescent="0.35">
      <c r="A165" s="50"/>
    </row>
    <row r="166" spans="1:1" x14ac:dyDescent="0.35">
      <c r="A166" s="50"/>
    </row>
    <row r="167" spans="1:1" x14ac:dyDescent="0.35">
      <c r="A167" s="50"/>
    </row>
    <row r="168" spans="1:1" x14ac:dyDescent="0.35">
      <c r="A168" s="50"/>
    </row>
    <row r="169" spans="1:1" x14ac:dyDescent="0.35">
      <c r="A169" s="50"/>
    </row>
    <row r="170" spans="1:1" x14ac:dyDescent="0.35">
      <c r="A170" s="50"/>
    </row>
    <row r="171" spans="1:1" x14ac:dyDescent="0.35">
      <c r="A171" s="50"/>
    </row>
    <row r="172" spans="1:1" x14ac:dyDescent="0.35">
      <c r="A172" s="50"/>
    </row>
    <row r="173" spans="1:1" x14ac:dyDescent="0.35">
      <c r="A173" s="50"/>
    </row>
    <row r="174" spans="1:1" x14ac:dyDescent="0.35">
      <c r="A174" s="50"/>
    </row>
    <row r="175" spans="1:1" x14ac:dyDescent="0.35">
      <c r="A175" s="50"/>
    </row>
    <row r="176" spans="1:1" x14ac:dyDescent="0.35">
      <c r="A176" s="50"/>
    </row>
    <row r="177" spans="1:1" x14ac:dyDescent="0.35">
      <c r="A177" s="50"/>
    </row>
    <row r="178" spans="1:1" x14ac:dyDescent="0.35">
      <c r="A178" s="50"/>
    </row>
    <row r="179" spans="1:1" x14ac:dyDescent="0.35">
      <c r="A179" s="50"/>
    </row>
    <row r="180" spans="1:1" x14ac:dyDescent="0.35">
      <c r="A180" s="50"/>
    </row>
    <row r="181" spans="1:1" x14ac:dyDescent="0.35">
      <c r="A181" s="50"/>
    </row>
    <row r="182" spans="1:1" x14ac:dyDescent="0.35">
      <c r="A182" s="50"/>
    </row>
    <row r="183" spans="1:1" x14ac:dyDescent="0.35">
      <c r="A183" s="50"/>
    </row>
    <row r="184" spans="1:1" x14ac:dyDescent="0.35">
      <c r="A184" s="50"/>
    </row>
    <row r="185" spans="1:1" x14ac:dyDescent="0.35">
      <c r="A185" s="50"/>
    </row>
    <row r="186" spans="1:1" x14ac:dyDescent="0.35">
      <c r="A186" s="50"/>
    </row>
    <row r="187" spans="1:1" x14ac:dyDescent="0.35">
      <c r="A187" s="50"/>
    </row>
    <row r="188" spans="1:1" x14ac:dyDescent="0.35">
      <c r="A188" s="50"/>
    </row>
    <row r="189" spans="1:1" x14ac:dyDescent="0.35">
      <c r="A189" s="50"/>
    </row>
    <row r="190" spans="1:1" x14ac:dyDescent="0.35">
      <c r="A190" s="50"/>
    </row>
    <row r="191" spans="1:1" x14ac:dyDescent="0.35">
      <c r="A191" s="50"/>
    </row>
    <row r="192" spans="1:1" x14ac:dyDescent="0.35">
      <c r="A192" s="50"/>
    </row>
    <row r="193" spans="1:1" x14ac:dyDescent="0.35">
      <c r="A193" s="50"/>
    </row>
    <row r="194" spans="1:1" x14ac:dyDescent="0.35">
      <c r="A194" s="50"/>
    </row>
    <row r="195" spans="1:1" x14ac:dyDescent="0.35">
      <c r="A195" s="50"/>
    </row>
    <row r="196" spans="1:1" x14ac:dyDescent="0.35">
      <c r="A196" s="50"/>
    </row>
    <row r="197" spans="1:1" x14ac:dyDescent="0.35">
      <c r="A197" s="50"/>
    </row>
    <row r="198" spans="1:1" x14ac:dyDescent="0.35">
      <c r="A198" s="50"/>
    </row>
    <row r="199" spans="1:1" x14ac:dyDescent="0.35">
      <c r="A199" s="50"/>
    </row>
    <row r="200" spans="1:1" x14ac:dyDescent="0.35">
      <c r="A200" s="50"/>
    </row>
    <row r="201" spans="1:1" x14ac:dyDescent="0.35">
      <c r="A201" s="50"/>
    </row>
    <row r="202" spans="1:1" x14ac:dyDescent="0.35">
      <c r="A202" s="50"/>
    </row>
    <row r="203" spans="1:1" x14ac:dyDescent="0.35">
      <c r="A203" s="50"/>
    </row>
    <row r="204" spans="1:1" x14ac:dyDescent="0.35">
      <c r="A204" s="50"/>
    </row>
    <row r="205" spans="1:1" x14ac:dyDescent="0.35">
      <c r="A205" s="50"/>
    </row>
    <row r="206" spans="1:1" x14ac:dyDescent="0.35">
      <c r="A206" s="50"/>
    </row>
    <row r="207" spans="1:1" x14ac:dyDescent="0.35">
      <c r="A207" s="50"/>
    </row>
    <row r="208" spans="1:1" x14ac:dyDescent="0.35">
      <c r="A208" s="50"/>
    </row>
    <row r="209" spans="1:1" x14ac:dyDescent="0.35">
      <c r="A209" s="50"/>
    </row>
    <row r="210" spans="1:1" x14ac:dyDescent="0.35">
      <c r="A210" s="50"/>
    </row>
    <row r="211" spans="1:1" x14ac:dyDescent="0.35">
      <c r="A211" s="50"/>
    </row>
    <row r="212" spans="1:1" x14ac:dyDescent="0.35">
      <c r="A212" s="50"/>
    </row>
    <row r="213" spans="1:1" x14ac:dyDescent="0.35">
      <c r="A213" s="50"/>
    </row>
    <row r="214" spans="1:1" x14ac:dyDescent="0.35">
      <c r="A214" s="50"/>
    </row>
    <row r="215" spans="1:1" x14ac:dyDescent="0.35">
      <c r="A215" s="50"/>
    </row>
    <row r="216" spans="1:1" x14ac:dyDescent="0.35">
      <c r="A216" s="50"/>
    </row>
    <row r="217" spans="1:1" x14ac:dyDescent="0.35">
      <c r="A217" s="50"/>
    </row>
    <row r="218" spans="1:1" x14ac:dyDescent="0.35">
      <c r="A218" s="50"/>
    </row>
    <row r="219" spans="1:1" x14ac:dyDescent="0.35">
      <c r="A219" s="50"/>
    </row>
    <row r="220" spans="1:1" x14ac:dyDescent="0.35">
      <c r="A220" s="50"/>
    </row>
    <row r="221" spans="1:1" x14ac:dyDescent="0.35">
      <c r="A221" s="50"/>
    </row>
    <row r="222" spans="1:1" x14ac:dyDescent="0.35">
      <c r="A222" s="50"/>
    </row>
    <row r="223" spans="1:1" x14ac:dyDescent="0.35">
      <c r="A223" s="50"/>
    </row>
    <row r="224" spans="1:1" x14ac:dyDescent="0.35">
      <c r="A224" s="50"/>
    </row>
    <row r="225" spans="1:1" x14ac:dyDescent="0.35">
      <c r="A225" s="50"/>
    </row>
    <row r="226" spans="1:1" x14ac:dyDescent="0.35">
      <c r="A226" s="50"/>
    </row>
    <row r="227" spans="1:1" x14ac:dyDescent="0.35">
      <c r="A227" s="50"/>
    </row>
    <row r="228" spans="1:1" x14ac:dyDescent="0.35">
      <c r="A228" s="50"/>
    </row>
    <row r="229" spans="1:1" x14ac:dyDescent="0.35">
      <c r="A229" s="50"/>
    </row>
    <row r="230" spans="1:1" x14ac:dyDescent="0.35">
      <c r="A230" s="50"/>
    </row>
    <row r="231" spans="1:1" x14ac:dyDescent="0.35">
      <c r="A231" s="50"/>
    </row>
    <row r="232" spans="1:1" x14ac:dyDescent="0.35">
      <c r="A232" s="50"/>
    </row>
    <row r="233" spans="1:1" x14ac:dyDescent="0.35">
      <c r="A233" s="50"/>
    </row>
    <row r="234" spans="1:1" x14ac:dyDescent="0.35">
      <c r="A234" s="50"/>
    </row>
    <row r="235" spans="1:1" x14ac:dyDescent="0.35">
      <c r="A235" s="50"/>
    </row>
    <row r="236" spans="1:1" x14ac:dyDescent="0.35">
      <c r="A236" s="50"/>
    </row>
    <row r="237" spans="1:1" x14ac:dyDescent="0.35">
      <c r="A237" s="50"/>
    </row>
    <row r="238" spans="1:1" x14ac:dyDescent="0.35">
      <c r="A238" s="50"/>
    </row>
    <row r="239" spans="1:1" x14ac:dyDescent="0.35">
      <c r="A239" s="50"/>
    </row>
    <row r="240" spans="1:1" x14ac:dyDescent="0.35">
      <c r="A240" s="35"/>
    </row>
    <row r="241" spans="1:1" x14ac:dyDescent="0.35">
      <c r="A241" s="35"/>
    </row>
    <row r="242" spans="1:1" x14ac:dyDescent="0.35">
      <c r="A242" s="35"/>
    </row>
    <row r="243" spans="1:1" x14ac:dyDescent="0.35">
      <c r="A243" s="35"/>
    </row>
    <row r="244" spans="1:1" x14ac:dyDescent="0.35">
      <c r="A244" s="35"/>
    </row>
    <row r="245" spans="1:1" x14ac:dyDescent="0.35">
      <c r="A245" s="35"/>
    </row>
    <row r="246" spans="1:1" x14ac:dyDescent="0.35">
      <c r="A246" s="35"/>
    </row>
    <row r="247" spans="1:1" x14ac:dyDescent="0.35">
      <c r="A247" s="35"/>
    </row>
    <row r="248" spans="1:1" x14ac:dyDescent="0.35">
      <c r="A248" s="35"/>
    </row>
    <row r="249" spans="1:1" x14ac:dyDescent="0.35">
      <c r="A249" s="35"/>
    </row>
    <row r="250" spans="1:1" x14ac:dyDescent="0.35">
      <c r="A250" s="35"/>
    </row>
    <row r="251" spans="1:1" x14ac:dyDescent="0.35">
      <c r="A251" s="35"/>
    </row>
    <row r="252" spans="1:1" x14ac:dyDescent="0.35">
      <c r="A252" s="35"/>
    </row>
    <row r="253" spans="1:1" x14ac:dyDescent="0.35">
      <c r="A253" s="35"/>
    </row>
    <row r="254" spans="1:1" x14ac:dyDescent="0.35">
      <c r="A254" s="35"/>
    </row>
    <row r="255" spans="1:1" x14ac:dyDescent="0.35">
      <c r="A255" s="35"/>
    </row>
    <row r="256" spans="1:1" x14ac:dyDescent="0.35">
      <c r="A256" s="35"/>
    </row>
    <row r="257" spans="1:17" x14ac:dyDescent="0.35">
      <c r="A257" s="35"/>
    </row>
    <row r="258" spans="1:17" x14ac:dyDescent="0.35">
      <c r="A258" s="35"/>
    </row>
    <row r="259" spans="1:17" x14ac:dyDescent="0.35">
      <c r="A259" s="35"/>
    </row>
    <row r="260" spans="1:17" x14ac:dyDescent="0.35">
      <c r="A260" s="35"/>
    </row>
    <row r="261" spans="1:17" x14ac:dyDescent="0.35">
      <c r="A261" s="35"/>
    </row>
    <row r="262" spans="1:17" x14ac:dyDescent="0.35">
      <c r="A262" s="35"/>
    </row>
    <row r="263" spans="1:17" x14ac:dyDescent="0.35">
      <c r="A263" s="35"/>
    </row>
    <row r="264" spans="1:17" x14ac:dyDescent="0.35">
      <c r="A264" s="35"/>
    </row>
    <row r="265" spans="1:17" x14ac:dyDescent="0.35">
      <c r="A265" s="35"/>
    </row>
    <row r="266" spans="1:17" x14ac:dyDescent="0.35">
      <c r="A266" s="35"/>
    </row>
    <row r="267" spans="1:17" x14ac:dyDescent="0.35">
      <c r="A267" s="35"/>
    </row>
    <row r="270" spans="1:17" hidden="1" x14ac:dyDescent="0.35"/>
    <row r="271" spans="1:17" ht="17.5" hidden="1" x14ac:dyDescent="0.5">
      <c r="D271" s="37" t="s">
        <v>157</v>
      </c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</row>
    <row r="272" spans="1:17" hidden="1" x14ac:dyDescent="0.35"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</row>
    <row r="273" spans="4:19" ht="17.5" hidden="1" x14ac:dyDescent="0.5">
      <c r="D273" s="38" t="s">
        <v>149</v>
      </c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</row>
    <row r="274" spans="4:19" hidden="1" x14ac:dyDescent="0.35">
      <c r="D274" s="11" t="s">
        <v>83</v>
      </c>
      <c r="E274" s="7" t="e">
        <f>+'361'!#REF!+'362'!#REF!+'364'!#REF!+#REF!+#REF!+#REF!+#REF!+#REF!</f>
        <v>#REF!</v>
      </c>
      <c r="F274" s="7" t="e">
        <f>+'361'!#REF!+'362'!#REF!+'364'!#REF!+#REF!+#REF!+#REF!+#REF!+#REF!</f>
        <v>#REF!</v>
      </c>
      <c r="G274" s="7" t="e">
        <f>+'361'!#REF!+'362'!#REF!+'364'!#REF!+#REF!+#REF!+#REF!+#REF!+#REF!</f>
        <v>#REF!</v>
      </c>
      <c r="H274" s="7" t="e">
        <f>+'361'!#REF!+'362'!#REF!+'364'!#REF!+#REF!+#REF!+#REF!+#REF!+#REF!</f>
        <v>#REF!</v>
      </c>
      <c r="I274" s="7" t="e">
        <f>+'361'!#REF!+'362'!#REF!+'364'!#REF!+#REF!+#REF!+#REF!+#REF!+#REF!</f>
        <v>#REF!</v>
      </c>
      <c r="J274" s="7" t="e">
        <f>+'361'!#REF!+'362'!#REF!+'364'!#REF!+#REF!+#REF!+#REF!+#REF!+#REF!</f>
        <v>#REF!</v>
      </c>
      <c r="K274" s="7" t="e">
        <f>+'361'!#REF!+'362'!#REF!+'364'!#REF!+#REF!+#REF!+#REF!+#REF!+#REF!</f>
        <v>#REF!</v>
      </c>
      <c r="L274" s="7" t="e">
        <f>+'361'!#REF!+'362'!#REF!+'364'!#REF!+#REF!+#REF!+#REF!+#REF!+#REF!</f>
        <v>#REF!</v>
      </c>
      <c r="M274" s="7" t="e">
        <f>+'361'!#REF!+'362'!#REF!+'364'!#REF!+#REF!+#REF!+#REF!+#REF!+#REF!</f>
        <v>#REF!</v>
      </c>
      <c r="N274" s="7" t="e">
        <f>+'361'!#REF!+'362'!#REF!+'364'!#REF!+#REF!+#REF!+#REF!+#REF!+#REF!</f>
        <v>#REF!</v>
      </c>
      <c r="O274" s="7" t="e">
        <f>+'361'!#REF!+'362'!#REF!+'364'!#REF!+#REF!+#REF!+#REF!+#REF!+#REF!</f>
        <v>#REF!</v>
      </c>
      <c r="P274" s="7" t="e">
        <f>+'361'!#REF!+'362'!#REF!+'364'!#REF!+#REF!+#REF!+#REF!+#REF!+#REF!</f>
        <v>#REF!</v>
      </c>
      <c r="Q274" s="11" t="e">
        <f>SUM(E274:P274)</f>
        <v>#REF!</v>
      </c>
    </row>
    <row r="275" spans="4:19" hidden="1" x14ac:dyDescent="0.35">
      <c r="D275" s="11" t="s">
        <v>150</v>
      </c>
      <c r="E275" s="7" t="e">
        <f>+'361'!#REF!+'362'!#REF!+'364'!#REF!+#REF!+#REF!+#REF!+#REF!+#REF!</f>
        <v>#REF!</v>
      </c>
      <c r="F275" s="7" t="e">
        <f>+'361'!#REF!+'362'!#REF!+'364'!#REF!+#REF!+#REF!+#REF!+#REF!+#REF!</f>
        <v>#REF!</v>
      </c>
      <c r="G275" s="7" t="e">
        <f>+'361'!#REF!+'362'!#REF!+'364'!#REF!+#REF!+#REF!+#REF!+#REF!+#REF!</f>
        <v>#REF!</v>
      </c>
      <c r="H275" s="7" t="e">
        <f>+'361'!#REF!+'362'!#REF!+'364'!#REF!+#REF!+#REF!+#REF!+#REF!+#REF!</f>
        <v>#REF!</v>
      </c>
      <c r="I275" s="7" t="e">
        <f>+'361'!#REF!+'362'!#REF!+'364'!#REF!+#REF!+#REF!+#REF!+#REF!+#REF!</f>
        <v>#REF!</v>
      </c>
      <c r="J275" s="7" t="e">
        <f>+'361'!#REF!+'362'!#REF!+'364'!#REF!+#REF!+#REF!+#REF!+#REF!+#REF!</f>
        <v>#REF!</v>
      </c>
      <c r="K275" s="7" t="e">
        <f>+'361'!#REF!+'362'!#REF!+'364'!#REF!+#REF!+#REF!+#REF!+#REF!+#REF!</f>
        <v>#REF!</v>
      </c>
      <c r="L275" s="7" t="e">
        <f>+'361'!#REF!+'362'!#REF!+'364'!#REF!+#REF!+#REF!+#REF!+#REF!+#REF!</f>
        <v>#REF!</v>
      </c>
      <c r="M275" s="7" t="e">
        <f>+'361'!#REF!+'362'!#REF!+'364'!#REF!+#REF!+#REF!+#REF!+#REF!+#REF!</f>
        <v>#REF!</v>
      </c>
      <c r="N275" s="7" t="e">
        <f>+'361'!#REF!+'362'!#REF!+'364'!#REF!+#REF!+#REF!+#REF!+#REF!+#REF!</f>
        <v>#REF!</v>
      </c>
      <c r="O275" s="7" t="e">
        <f>+'361'!#REF!+'362'!#REF!+'364'!#REF!+#REF!+#REF!+#REF!+#REF!+#REF!</f>
        <v>#REF!</v>
      </c>
      <c r="P275" s="7" t="e">
        <f>+'361'!#REF!+'362'!#REF!+'364'!#REF!+#REF!+#REF!+#REF!+#REF!+#REF!</f>
        <v>#REF!</v>
      </c>
      <c r="Q275" s="11" t="e">
        <f>SUM(E275:P275)</f>
        <v>#REF!</v>
      </c>
      <c r="R275" s="11"/>
      <c r="S275" s="344"/>
    </row>
    <row r="276" spans="4:19" hidden="1" x14ac:dyDescent="0.35">
      <c r="D276" s="11" t="s">
        <v>12</v>
      </c>
      <c r="E276" s="39" t="e">
        <f>SUM(E274:E275)</f>
        <v>#REF!</v>
      </c>
      <c r="F276" s="39" t="e">
        <f t="shared" ref="F276:Q276" si="33">SUM(F274:F275)</f>
        <v>#REF!</v>
      </c>
      <c r="G276" s="39" t="e">
        <f t="shared" si="33"/>
        <v>#REF!</v>
      </c>
      <c r="H276" s="39" t="e">
        <f t="shared" si="33"/>
        <v>#REF!</v>
      </c>
      <c r="I276" s="39" t="e">
        <f t="shared" si="33"/>
        <v>#REF!</v>
      </c>
      <c r="J276" s="39" t="e">
        <f t="shared" si="33"/>
        <v>#REF!</v>
      </c>
      <c r="K276" s="39" t="e">
        <f t="shared" si="33"/>
        <v>#REF!</v>
      </c>
      <c r="L276" s="39" t="e">
        <f t="shared" si="33"/>
        <v>#REF!</v>
      </c>
      <c r="M276" s="39" t="e">
        <f t="shared" si="33"/>
        <v>#REF!</v>
      </c>
      <c r="N276" s="39" t="e">
        <f t="shared" si="33"/>
        <v>#REF!</v>
      </c>
      <c r="O276" s="39" t="e">
        <f t="shared" si="33"/>
        <v>#REF!</v>
      </c>
      <c r="P276" s="39" t="e">
        <f t="shared" si="33"/>
        <v>#REF!</v>
      </c>
      <c r="Q276" s="39" t="e">
        <f t="shared" si="33"/>
        <v>#REF!</v>
      </c>
      <c r="R276" s="11"/>
      <c r="S276" s="344"/>
    </row>
    <row r="277" spans="4:19" hidden="1" x14ac:dyDescent="0.35"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344"/>
    </row>
    <row r="278" spans="4:19" ht="17.5" hidden="1" x14ac:dyDescent="0.5">
      <c r="D278" s="37" t="s">
        <v>151</v>
      </c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344"/>
    </row>
    <row r="279" spans="4:19" hidden="1" x14ac:dyDescent="0.35">
      <c r="D279" s="11" t="s">
        <v>83</v>
      </c>
      <c r="E279" s="7" t="e">
        <f>+'361'!#REF!+'362'!#REF!+'364'!#REF!+#REF!+#REF!+#REF!+#REF!+#REF!</f>
        <v>#REF!</v>
      </c>
      <c r="F279" s="7" t="e">
        <f>+'361'!#REF!+'362'!#REF!+'364'!#REF!+#REF!+#REF!+#REF!+#REF!+#REF!</f>
        <v>#REF!</v>
      </c>
      <c r="G279" s="7" t="e">
        <f>+'361'!#REF!+'362'!#REF!+'364'!#REF!+#REF!+#REF!+#REF!+#REF!+#REF!</f>
        <v>#REF!</v>
      </c>
      <c r="H279" s="7" t="e">
        <f>+'361'!#REF!+'362'!#REF!+'364'!#REF!+#REF!+#REF!+#REF!+#REF!+#REF!</f>
        <v>#REF!</v>
      </c>
      <c r="I279" s="7" t="e">
        <f>+'361'!#REF!+'362'!#REF!+'364'!#REF!+#REF!+#REF!+#REF!+#REF!+#REF!</f>
        <v>#REF!</v>
      </c>
      <c r="J279" s="7" t="e">
        <f>+'361'!#REF!+'362'!#REF!+'364'!#REF!+#REF!+#REF!+#REF!+#REF!+#REF!</f>
        <v>#REF!</v>
      </c>
      <c r="K279" s="7" t="e">
        <f>+'361'!#REF!+'362'!#REF!+'364'!#REF!+#REF!+#REF!+#REF!+#REF!+#REF!</f>
        <v>#REF!</v>
      </c>
      <c r="L279" s="7" t="e">
        <f>+'361'!#REF!+'362'!#REF!+'364'!#REF!+#REF!+#REF!+#REF!+#REF!+#REF!</f>
        <v>#REF!</v>
      </c>
      <c r="M279" s="7" t="e">
        <f>+'361'!#REF!+'362'!#REF!+'364'!#REF!+#REF!+#REF!+#REF!+#REF!+#REF!</f>
        <v>#REF!</v>
      </c>
      <c r="N279" s="7" t="e">
        <f>+'361'!#REF!+'362'!#REF!+'364'!#REF!+#REF!+#REF!+#REF!+#REF!+#REF!</f>
        <v>#REF!</v>
      </c>
      <c r="O279" s="7" t="e">
        <f>+'361'!#REF!+'362'!#REF!+'364'!#REF!+#REF!+#REF!+#REF!+#REF!+#REF!</f>
        <v>#REF!</v>
      </c>
      <c r="P279" s="7" t="e">
        <f>+'361'!#REF!+'362'!#REF!+'364'!#REF!+#REF!+#REF!+#REF!+#REF!+#REF!</f>
        <v>#REF!</v>
      </c>
      <c r="Q279" s="11" t="e">
        <f>SUM(E279:P279)</f>
        <v>#REF!</v>
      </c>
      <c r="R279" s="11"/>
      <c r="S279" s="344"/>
    </row>
    <row r="280" spans="4:19" hidden="1" x14ac:dyDescent="0.35">
      <c r="D280" s="11" t="s">
        <v>150</v>
      </c>
      <c r="E280" s="11">
        <f>ROUND(E316*$F$293,0)</f>
        <v>0</v>
      </c>
      <c r="F280" s="11">
        <f t="shared" ref="F280:P280" si="34">ROUND(F316*$F$293,0)</f>
        <v>0</v>
      </c>
      <c r="G280" s="11">
        <f t="shared" si="34"/>
        <v>0</v>
      </c>
      <c r="H280" s="11">
        <f t="shared" si="34"/>
        <v>0</v>
      </c>
      <c r="I280" s="11">
        <f t="shared" si="34"/>
        <v>0</v>
      </c>
      <c r="J280" s="11">
        <f t="shared" si="34"/>
        <v>0</v>
      </c>
      <c r="K280" s="11">
        <f t="shared" si="34"/>
        <v>0</v>
      </c>
      <c r="L280" s="11">
        <f t="shared" si="34"/>
        <v>0</v>
      </c>
      <c r="M280" s="11">
        <f t="shared" si="34"/>
        <v>0</v>
      </c>
      <c r="N280" s="11">
        <f t="shared" si="34"/>
        <v>0</v>
      </c>
      <c r="O280" s="11">
        <f t="shared" si="34"/>
        <v>0</v>
      </c>
      <c r="P280" s="11">
        <f t="shared" si="34"/>
        <v>0</v>
      </c>
      <c r="Q280" s="11">
        <f>SUM(E280:P280)</f>
        <v>0</v>
      </c>
      <c r="R280" s="11"/>
      <c r="S280" s="344"/>
    </row>
    <row r="281" spans="4:19" hidden="1" x14ac:dyDescent="0.35">
      <c r="D281" s="11" t="s">
        <v>12</v>
      </c>
      <c r="E281" s="39" t="e">
        <f>SUM(E279:E280)</f>
        <v>#REF!</v>
      </c>
      <c r="F281" s="39" t="e">
        <f t="shared" ref="F281:Q281" si="35">SUM(F279:F280)</f>
        <v>#REF!</v>
      </c>
      <c r="G281" s="39" t="e">
        <f t="shared" si="35"/>
        <v>#REF!</v>
      </c>
      <c r="H281" s="39" t="e">
        <f t="shared" si="35"/>
        <v>#REF!</v>
      </c>
      <c r="I281" s="39" t="e">
        <f t="shared" si="35"/>
        <v>#REF!</v>
      </c>
      <c r="J281" s="39" t="e">
        <f t="shared" si="35"/>
        <v>#REF!</v>
      </c>
      <c r="K281" s="39" t="e">
        <f t="shared" si="35"/>
        <v>#REF!</v>
      </c>
      <c r="L281" s="39" t="e">
        <f t="shared" si="35"/>
        <v>#REF!</v>
      </c>
      <c r="M281" s="39" t="e">
        <f t="shared" si="35"/>
        <v>#REF!</v>
      </c>
      <c r="N281" s="39" t="e">
        <f t="shared" si="35"/>
        <v>#REF!</v>
      </c>
      <c r="O281" s="39" t="e">
        <f t="shared" si="35"/>
        <v>#REF!</v>
      </c>
      <c r="P281" s="39" t="e">
        <f t="shared" si="35"/>
        <v>#REF!</v>
      </c>
      <c r="Q281" s="39" t="e">
        <f t="shared" si="35"/>
        <v>#REF!</v>
      </c>
      <c r="R281" s="11"/>
      <c r="S281" s="344"/>
    </row>
    <row r="282" spans="4:19" hidden="1" x14ac:dyDescent="0.35"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344"/>
    </row>
    <row r="283" spans="4:19" ht="17.5" hidden="1" x14ac:dyDescent="0.5">
      <c r="D283" s="37" t="s">
        <v>152</v>
      </c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344"/>
    </row>
    <row r="284" spans="4:19" hidden="1" x14ac:dyDescent="0.35">
      <c r="D284" s="11" t="s">
        <v>83</v>
      </c>
      <c r="E284" s="11" t="e">
        <f>+E274+E279</f>
        <v>#REF!</v>
      </c>
      <c r="F284" s="11" t="e">
        <f t="shared" ref="F284:P285" si="36">+F274+F279</f>
        <v>#REF!</v>
      </c>
      <c r="G284" s="11" t="e">
        <f t="shared" si="36"/>
        <v>#REF!</v>
      </c>
      <c r="H284" s="11" t="e">
        <f t="shared" si="36"/>
        <v>#REF!</v>
      </c>
      <c r="I284" s="11" t="e">
        <f t="shared" si="36"/>
        <v>#REF!</v>
      </c>
      <c r="J284" s="11" t="e">
        <f t="shared" si="36"/>
        <v>#REF!</v>
      </c>
      <c r="K284" s="11" t="e">
        <f t="shared" si="36"/>
        <v>#REF!</v>
      </c>
      <c r="L284" s="11" t="e">
        <f t="shared" si="36"/>
        <v>#REF!</v>
      </c>
      <c r="M284" s="11" t="e">
        <f t="shared" si="36"/>
        <v>#REF!</v>
      </c>
      <c r="N284" s="11" t="e">
        <f t="shared" si="36"/>
        <v>#REF!</v>
      </c>
      <c r="O284" s="11" t="e">
        <f t="shared" si="36"/>
        <v>#REF!</v>
      </c>
      <c r="P284" s="11" t="e">
        <f t="shared" si="36"/>
        <v>#REF!</v>
      </c>
      <c r="Q284" s="11" t="e">
        <f>SUM(E284:P284)</f>
        <v>#REF!</v>
      </c>
      <c r="R284" s="11"/>
      <c r="S284" s="344"/>
    </row>
    <row r="285" spans="4:19" hidden="1" x14ac:dyDescent="0.35">
      <c r="D285" s="11" t="s">
        <v>150</v>
      </c>
      <c r="E285" s="11" t="e">
        <f>+E275+E280</f>
        <v>#REF!</v>
      </c>
      <c r="F285" s="11" t="e">
        <f t="shared" si="36"/>
        <v>#REF!</v>
      </c>
      <c r="G285" s="11" t="e">
        <f t="shared" si="36"/>
        <v>#REF!</v>
      </c>
      <c r="H285" s="11" t="e">
        <f t="shared" si="36"/>
        <v>#REF!</v>
      </c>
      <c r="I285" s="11" t="e">
        <f t="shared" si="36"/>
        <v>#REF!</v>
      </c>
      <c r="J285" s="11" t="e">
        <f t="shared" si="36"/>
        <v>#REF!</v>
      </c>
      <c r="K285" s="11" t="e">
        <f t="shared" si="36"/>
        <v>#REF!</v>
      </c>
      <c r="L285" s="11" t="e">
        <f t="shared" si="36"/>
        <v>#REF!</v>
      </c>
      <c r="M285" s="11" t="e">
        <f t="shared" si="36"/>
        <v>#REF!</v>
      </c>
      <c r="N285" s="11" t="e">
        <f t="shared" si="36"/>
        <v>#REF!</v>
      </c>
      <c r="O285" s="11" t="e">
        <f t="shared" si="36"/>
        <v>#REF!</v>
      </c>
      <c r="P285" s="11" t="e">
        <f t="shared" si="36"/>
        <v>#REF!</v>
      </c>
      <c r="Q285" s="11" t="e">
        <f>SUM(E285:P285)</f>
        <v>#REF!</v>
      </c>
      <c r="R285" s="11"/>
      <c r="S285" s="344"/>
    </row>
    <row r="286" spans="4:19" hidden="1" x14ac:dyDescent="0.35">
      <c r="D286" s="11" t="s">
        <v>12</v>
      </c>
      <c r="E286" s="39" t="e">
        <f>SUM(E284:E285)</f>
        <v>#REF!</v>
      </c>
      <c r="F286" s="39" t="e">
        <f t="shared" ref="F286:Q286" si="37">SUM(F284:F285)</f>
        <v>#REF!</v>
      </c>
      <c r="G286" s="39" t="e">
        <f t="shared" si="37"/>
        <v>#REF!</v>
      </c>
      <c r="H286" s="39" t="e">
        <f t="shared" si="37"/>
        <v>#REF!</v>
      </c>
      <c r="I286" s="39" t="e">
        <f t="shared" si="37"/>
        <v>#REF!</v>
      </c>
      <c r="J286" s="39" t="e">
        <f t="shared" si="37"/>
        <v>#REF!</v>
      </c>
      <c r="K286" s="39" t="e">
        <f t="shared" si="37"/>
        <v>#REF!</v>
      </c>
      <c r="L286" s="39" t="e">
        <f t="shared" si="37"/>
        <v>#REF!</v>
      </c>
      <c r="M286" s="39" t="e">
        <f t="shared" si="37"/>
        <v>#REF!</v>
      </c>
      <c r="N286" s="39" t="e">
        <f t="shared" si="37"/>
        <v>#REF!</v>
      </c>
      <c r="O286" s="39" t="e">
        <f t="shared" si="37"/>
        <v>#REF!</v>
      </c>
      <c r="P286" s="39" t="e">
        <f t="shared" si="37"/>
        <v>#REF!</v>
      </c>
      <c r="Q286" s="39" t="e">
        <f t="shared" si="37"/>
        <v>#REF!</v>
      </c>
      <c r="R286" s="11"/>
      <c r="S286" s="344"/>
    </row>
    <row r="287" spans="4:19" hidden="1" x14ac:dyDescent="0.35"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344"/>
    </row>
    <row r="288" spans="4:19" hidden="1" x14ac:dyDescent="0.35"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344"/>
    </row>
    <row r="289" spans="4:19" hidden="1" x14ac:dyDescent="0.35"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344"/>
    </row>
    <row r="290" spans="4:19" hidden="1" x14ac:dyDescent="0.35"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344"/>
    </row>
    <row r="291" spans="4:19" hidden="1" x14ac:dyDescent="0.35"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344"/>
    </row>
    <row r="292" spans="4:19" ht="17.5" hidden="1" x14ac:dyDescent="0.5">
      <c r="D292" s="38" t="s">
        <v>153</v>
      </c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344"/>
    </row>
    <row r="293" spans="4:19" hidden="1" x14ac:dyDescent="0.35">
      <c r="D293" s="7" t="s">
        <v>91</v>
      </c>
      <c r="E293" s="7">
        <v>5100000</v>
      </c>
      <c r="F293" s="40">
        <f t="shared" ref="F293:F299" si="38">ROUND(E293/E$300,4)</f>
        <v>0.1275</v>
      </c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344"/>
    </row>
    <row r="294" spans="4:19" hidden="1" x14ac:dyDescent="0.35">
      <c r="D294" s="7" t="s">
        <v>92</v>
      </c>
      <c r="E294" s="7">
        <v>11400000</v>
      </c>
      <c r="F294" s="40">
        <f t="shared" si="38"/>
        <v>0.28499999999999998</v>
      </c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344"/>
    </row>
    <row r="295" spans="4:19" hidden="1" x14ac:dyDescent="0.35">
      <c r="D295" s="7" t="s">
        <v>93</v>
      </c>
      <c r="E295" s="7">
        <v>4900000</v>
      </c>
      <c r="F295" s="40">
        <f t="shared" si="38"/>
        <v>0.1225</v>
      </c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344"/>
    </row>
    <row r="296" spans="4:19" hidden="1" x14ac:dyDescent="0.35">
      <c r="D296" s="7" t="s">
        <v>94</v>
      </c>
      <c r="E296" s="7">
        <v>14700000</v>
      </c>
      <c r="F296" s="40">
        <f t="shared" si="38"/>
        <v>0.36749999999999999</v>
      </c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344"/>
    </row>
    <row r="297" spans="4:19" hidden="1" x14ac:dyDescent="0.35">
      <c r="D297" s="7" t="s">
        <v>154</v>
      </c>
      <c r="E297" s="7">
        <v>1277000</v>
      </c>
      <c r="F297" s="40">
        <f t="shared" si="38"/>
        <v>3.1899999999999998E-2</v>
      </c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344"/>
    </row>
    <row r="298" spans="4:19" hidden="1" x14ac:dyDescent="0.35">
      <c r="D298" s="7" t="s">
        <v>155</v>
      </c>
      <c r="E298" s="7">
        <v>1099000</v>
      </c>
      <c r="F298" s="40">
        <f t="shared" si="38"/>
        <v>2.75E-2</v>
      </c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344"/>
    </row>
    <row r="299" spans="4:19" hidden="1" x14ac:dyDescent="0.35">
      <c r="D299" s="7" t="s">
        <v>156</v>
      </c>
      <c r="E299" s="7">
        <v>1524000</v>
      </c>
      <c r="F299" s="40">
        <f t="shared" si="38"/>
        <v>3.8100000000000002E-2</v>
      </c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344"/>
    </row>
    <row r="300" spans="4:19" hidden="1" x14ac:dyDescent="0.35">
      <c r="D300" s="7" t="s">
        <v>12</v>
      </c>
      <c r="E300" s="29">
        <f>SUM(E293:E299)</f>
        <v>40000000</v>
      </c>
      <c r="F300" s="41">
        <f>SUM(F293:F299)</f>
        <v>0.99999999999999989</v>
      </c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344"/>
    </row>
    <row r="301" spans="4:19" hidden="1" x14ac:dyDescent="0.35"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344"/>
    </row>
    <row r="302" spans="4:19" hidden="1" x14ac:dyDescent="0.35"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344"/>
    </row>
    <row r="303" spans="4:19" hidden="1" x14ac:dyDescent="0.35"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344"/>
    </row>
    <row r="304" spans="4:19" hidden="1" x14ac:dyDescent="0.35"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344"/>
    </row>
    <row r="305" spans="4:19" hidden="1" x14ac:dyDescent="0.35"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344"/>
    </row>
    <row r="306" spans="4:19" hidden="1" x14ac:dyDescent="0.35"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344"/>
    </row>
    <row r="307" spans="4:19" ht="17.5" hidden="1" x14ac:dyDescent="0.5">
      <c r="D307" s="37" t="s">
        <v>157</v>
      </c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344"/>
    </row>
    <row r="308" spans="4:19" hidden="1" x14ac:dyDescent="0.35"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344"/>
    </row>
    <row r="309" spans="4:19" ht="17.5" hidden="1" x14ac:dyDescent="0.5">
      <c r="D309" s="38" t="s">
        <v>149</v>
      </c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344"/>
    </row>
    <row r="310" spans="4:19" hidden="1" x14ac:dyDescent="0.35">
      <c r="D310" s="11" t="s">
        <v>83</v>
      </c>
      <c r="E310" s="11">
        <v>0</v>
      </c>
      <c r="F310" s="11">
        <v>0</v>
      </c>
      <c r="G310" s="11">
        <v>108208</v>
      </c>
      <c r="H310" s="11">
        <v>108024</v>
      </c>
      <c r="I310" s="11">
        <v>107839</v>
      </c>
      <c r="J310" s="11">
        <v>107653</v>
      </c>
      <c r="K310" s="11">
        <v>107466</v>
      </c>
      <c r="L310" s="11">
        <v>107279</v>
      </c>
      <c r="M310" s="11">
        <v>107090</v>
      </c>
      <c r="N310" s="11">
        <v>106901</v>
      </c>
      <c r="O310" s="11">
        <v>106712</v>
      </c>
      <c r="P310" s="11">
        <v>106521</v>
      </c>
      <c r="Q310" s="11">
        <f>SUM(E310:P310)</f>
        <v>1073693</v>
      </c>
      <c r="R310" s="11"/>
      <c r="S310" s="344"/>
    </row>
    <row r="311" spans="4:19" hidden="1" x14ac:dyDescent="0.35">
      <c r="D311" s="11" t="s">
        <v>150</v>
      </c>
      <c r="E311" s="11">
        <v>0</v>
      </c>
      <c r="F311" s="11">
        <v>0</v>
      </c>
      <c r="G311" s="11">
        <v>45168</v>
      </c>
      <c r="H311" s="11">
        <v>45352</v>
      </c>
      <c r="I311" s="11">
        <v>45538</v>
      </c>
      <c r="J311" s="11">
        <v>45724</v>
      </c>
      <c r="K311" s="11">
        <v>45910</v>
      </c>
      <c r="L311" s="11">
        <v>46098</v>
      </c>
      <c r="M311" s="11">
        <v>46286</v>
      </c>
      <c r="N311" s="11">
        <v>46475</v>
      </c>
      <c r="O311" s="11">
        <v>46665</v>
      </c>
      <c r="P311" s="11">
        <v>46855</v>
      </c>
      <c r="Q311" s="11">
        <f>SUM(E311:P311)</f>
        <v>460071</v>
      </c>
      <c r="R311" s="11"/>
      <c r="S311" s="344"/>
    </row>
    <row r="312" spans="4:19" hidden="1" x14ac:dyDescent="0.35">
      <c r="D312" s="11" t="s">
        <v>12</v>
      </c>
      <c r="E312" s="39">
        <f>SUM(E310:E311)</f>
        <v>0</v>
      </c>
      <c r="F312" s="39">
        <f t="shared" ref="F312:Q312" si="39">SUM(F310:F311)</f>
        <v>0</v>
      </c>
      <c r="G312" s="39">
        <f t="shared" si="39"/>
        <v>153376</v>
      </c>
      <c r="H312" s="39">
        <f t="shared" si="39"/>
        <v>153376</v>
      </c>
      <c r="I312" s="39">
        <f t="shared" si="39"/>
        <v>153377</v>
      </c>
      <c r="J312" s="39">
        <f t="shared" si="39"/>
        <v>153377</v>
      </c>
      <c r="K312" s="39">
        <f t="shared" si="39"/>
        <v>153376</v>
      </c>
      <c r="L312" s="39">
        <f t="shared" si="39"/>
        <v>153377</v>
      </c>
      <c r="M312" s="39">
        <f t="shared" si="39"/>
        <v>153376</v>
      </c>
      <c r="N312" s="39">
        <f t="shared" si="39"/>
        <v>153376</v>
      </c>
      <c r="O312" s="39">
        <f t="shared" si="39"/>
        <v>153377</v>
      </c>
      <c r="P312" s="39">
        <f t="shared" si="39"/>
        <v>153376</v>
      </c>
      <c r="Q312" s="39">
        <f t="shared" si="39"/>
        <v>1533764</v>
      </c>
      <c r="R312" s="11"/>
      <c r="S312" s="344"/>
    </row>
    <row r="313" spans="4:19" hidden="1" x14ac:dyDescent="0.35"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344"/>
    </row>
    <row r="314" spans="4:19" ht="17.5" hidden="1" x14ac:dyDescent="0.5">
      <c r="D314" s="37" t="s">
        <v>151</v>
      </c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344"/>
    </row>
    <row r="315" spans="4:19" hidden="1" x14ac:dyDescent="0.35">
      <c r="D315" s="11" t="s">
        <v>83</v>
      </c>
      <c r="E315" s="11">
        <f>ROUND(26000000*4.6875%/360*10,0)+ROUND(26000000*4.7655%/360*21,0)</f>
        <v>106131</v>
      </c>
      <c r="F315" s="11">
        <f>ROUND(26000000*4.7655%/360*11,0)+ROUND(26000000*4.7655%/360*17,0)</f>
        <v>96369</v>
      </c>
      <c r="G315" s="11">
        <v>0</v>
      </c>
      <c r="H315" s="11">
        <v>0</v>
      </c>
      <c r="I315" s="11">
        <v>0</v>
      </c>
      <c r="J315" s="11">
        <v>0</v>
      </c>
      <c r="K315" s="11">
        <v>0</v>
      </c>
      <c r="L315" s="11">
        <v>0</v>
      </c>
      <c r="M315" s="11">
        <v>0</v>
      </c>
      <c r="N315" s="11">
        <v>0</v>
      </c>
      <c r="O315" s="11">
        <v>0</v>
      </c>
      <c r="P315" s="11">
        <v>0</v>
      </c>
      <c r="Q315" s="11">
        <f>SUM(E315:P315)</f>
        <v>202500</v>
      </c>
      <c r="R315" s="11"/>
      <c r="S315" s="344"/>
    </row>
    <row r="316" spans="4:19" hidden="1" x14ac:dyDescent="0.35">
      <c r="D316" s="11" t="s">
        <v>150</v>
      </c>
      <c r="E316" s="11">
        <v>0</v>
      </c>
      <c r="F316" s="11">
        <v>0</v>
      </c>
      <c r="G316" s="11">
        <v>0</v>
      </c>
      <c r="H316" s="11">
        <v>0</v>
      </c>
      <c r="I316" s="11">
        <v>0</v>
      </c>
      <c r="J316" s="11">
        <v>0</v>
      </c>
      <c r="K316" s="11">
        <v>0</v>
      </c>
      <c r="L316" s="11">
        <v>0</v>
      </c>
      <c r="M316" s="11">
        <v>0</v>
      </c>
      <c r="N316" s="11">
        <v>0</v>
      </c>
      <c r="O316" s="11">
        <v>0</v>
      </c>
      <c r="P316" s="11">
        <v>0</v>
      </c>
      <c r="Q316" s="11">
        <f>SUM(E316:P316)</f>
        <v>0</v>
      </c>
      <c r="R316" s="11"/>
      <c r="S316" s="344"/>
    </row>
    <row r="317" spans="4:19" hidden="1" x14ac:dyDescent="0.35">
      <c r="D317" s="11" t="s">
        <v>12</v>
      </c>
      <c r="E317" s="39">
        <f>SUM(E315:E316)</f>
        <v>106131</v>
      </c>
      <c r="F317" s="39">
        <f t="shared" ref="F317:Q317" si="40">SUM(F315:F316)</f>
        <v>96369</v>
      </c>
      <c r="G317" s="39">
        <f t="shared" si="40"/>
        <v>0</v>
      </c>
      <c r="H317" s="39">
        <f t="shared" si="40"/>
        <v>0</v>
      </c>
      <c r="I317" s="39">
        <f t="shared" si="40"/>
        <v>0</v>
      </c>
      <c r="J317" s="39">
        <f t="shared" si="40"/>
        <v>0</v>
      </c>
      <c r="K317" s="39">
        <f t="shared" si="40"/>
        <v>0</v>
      </c>
      <c r="L317" s="39">
        <f t="shared" si="40"/>
        <v>0</v>
      </c>
      <c r="M317" s="39">
        <f t="shared" si="40"/>
        <v>0</v>
      </c>
      <c r="N317" s="39">
        <f t="shared" si="40"/>
        <v>0</v>
      </c>
      <c r="O317" s="39">
        <f t="shared" si="40"/>
        <v>0</v>
      </c>
      <c r="P317" s="39">
        <f t="shared" si="40"/>
        <v>0</v>
      </c>
      <c r="Q317" s="39">
        <f t="shared" si="40"/>
        <v>202500</v>
      </c>
      <c r="R317" s="11"/>
      <c r="S317" s="344"/>
    </row>
    <row r="318" spans="4:19" hidden="1" x14ac:dyDescent="0.35"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344"/>
    </row>
    <row r="319" spans="4:19" ht="17.5" hidden="1" x14ac:dyDescent="0.5">
      <c r="D319" s="37" t="s">
        <v>152</v>
      </c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344"/>
    </row>
    <row r="320" spans="4:19" hidden="1" x14ac:dyDescent="0.35">
      <c r="D320" s="11" t="s">
        <v>83</v>
      </c>
      <c r="E320" s="11">
        <f>+E310+E315</f>
        <v>106131</v>
      </c>
      <c r="F320" s="11">
        <f t="shared" ref="F320:P321" si="41">+F310+F315</f>
        <v>96369</v>
      </c>
      <c r="G320" s="11">
        <f t="shared" si="41"/>
        <v>108208</v>
      </c>
      <c r="H320" s="11">
        <f t="shared" si="41"/>
        <v>108024</v>
      </c>
      <c r="I320" s="11">
        <f t="shared" si="41"/>
        <v>107839</v>
      </c>
      <c r="J320" s="11">
        <f t="shared" si="41"/>
        <v>107653</v>
      </c>
      <c r="K320" s="11">
        <f t="shared" si="41"/>
        <v>107466</v>
      </c>
      <c r="L320" s="11">
        <f t="shared" si="41"/>
        <v>107279</v>
      </c>
      <c r="M320" s="11">
        <f t="shared" si="41"/>
        <v>107090</v>
      </c>
      <c r="N320" s="11">
        <f t="shared" si="41"/>
        <v>106901</v>
      </c>
      <c r="O320" s="11">
        <f t="shared" si="41"/>
        <v>106712</v>
      </c>
      <c r="P320" s="11">
        <f t="shared" si="41"/>
        <v>106521</v>
      </c>
      <c r="Q320" s="11">
        <f>SUM(E320:P320)</f>
        <v>1276193</v>
      </c>
      <c r="R320" s="11"/>
      <c r="S320" s="344"/>
    </row>
    <row r="321" spans="1:19" hidden="1" x14ac:dyDescent="0.35">
      <c r="D321" s="11" t="s">
        <v>150</v>
      </c>
      <c r="E321" s="11">
        <f>+E311+E316</f>
        <v>0</v>
      </c>
      <c r="F321" s="11">
        <f t="shared" si="41"/>
        <v>0</v>
      </c>
      <c r="G321" s="11">
        <f t="shared" si="41"/>
        <v>45168</v>
      </c>
      <c r="H321" s="11">
        <f t="shared" si="41"/>
        <v>45352</v>
      </c>
      <c r="I321" s="11">
        <f t="shared" si="41"/>
        <v>45538</v>
      </c>
      <c r="J321" s="11">
        <f t="shared" si="41"/>
        <v>45724</v>
      </c>
      <c r="K321" s="11">
        <f t="shared" si="41"/>
        <v>45910</v>
      </c>
      <c r="L321" s="11">
        <f t="shared" si="41"/>
        <v>46098</v>
      </c>
      <c r="M321" s="11">
        <f t="shared" si="41"/>
        <v>46286</v>
      </c>
      <c r="N321" s="11">
        <f t="shared" si="41"/>
        <v>46475</v>
      </c>
      <c r="O321" s="11">
        <f t="shared" si="41"/>
        <v>46665</v>
      </c>
      <c r="P321" s="11">
        <f t="shared" si="41"/>
        <v>46855</v>
      </c>
      <c r="Q321" s="11">
        <f>SUM(E321:P321)</f>
        <v>460071</v>
      </c>
      <c r="R321" s="11"/>
      <c r="S321" s="344"/>
    </row>
    <row r="322" spans="1:19" hidden="1" x14ac:dyDescent="0.35">
      <c r="D322" s="11" t="s">
        <v>12</v>
      </c>
      <c r="E322" s="39">
        <f>SUM(E320:E321)</f>
        <v>106131</v>
      </c>
      <c r="F322" s="39">
        <f t="shared" ref="F322:Q322" si="42">SUM(F320:F321)</f>
        <v>96369</v>
      </c>
      <c r="G322" s="39">
        <f t="shared" si="42"/>
        <v>153376</v>
      </c>
      <c r="H322" s="39">
        <f t="shared" si="42"/>
        <v>153376</v>
      </c>
      <c r="I322" s="39">
        <f t="shared" si="42"/>
        <v>153377</v>
      </c>
      <c r="J322" s="39">
        <f t="shared" si="42"/>
        <v>153377</v>
      </c>
      <c r="K322" s="39">
        <f t="shared" si="42"/>
        <v>153376</v>
      </c>
      <c r="L322" s="39">
        <f t="shared" si="42"/>
        <v>153377</v>
      </c>
      <c r="M322" s="39">
        <f t="shared" si="42"/>
        <v>153376</v>
      </c>
      <c r="N322" s="39">
        <f t="shared" si="42"/>
        <v>153376</v>
      </c>
      <c r="O322" s="39">
        <f t="shared" si="42"/>
        <v>153377</v>
      </c>
      <c r="P322" s="39">
        <f t="shared" si="42"/>
        <v>153376</v>
      </c>
      <c r="Q322" s="39">
        <f t="shared" si="42"/>
        <v>1736264</v>
      </c>
      <c r="R322" s="11"/>
      <c r="S322" s="344"/>
    </row>
    <row r="323" spans="1:19" hidden="1" x14ac:dyDescent="0.35">
      <c r="R323" s="11"/>
      <c r="S323" s="344"/>
    </row>
    <row r="324" spans="1:19" hidden="1" x14ac:dyDescent="0.35">
      <c r="R324" s="11"/>
      <c r="S324" s="344"/>
    </row>
    <row r="325" spans="1:19" hidden="1" x14ac:dyDescent="0.35">
      <c r="R325" s="11"/>
      <c r="S325" s="344"/>
    </row>
    <row r="326" spans="1:19" hidden="1" x14ac:dyDescent="0.35">
      <c r="R326" s="11"/>
      <c r="S326" s="344"/>
    </row>
    <row r="327" spans="1:19" hidden="1" x14ac:dyDescent="0.35"/>
    <row r="328" spans="1:19" hidden="1" x14ac:dyDescent="0.35"/>
    <row r="329" spans="1:19" hidden="1" x14ac:dyDescent="0.35"/>
    <row r="330" spans="1:19" hidden="1" x14ac:dyDescent="0.35"/>
    <row r="331" spans="1:19" hidden="1" x14ac:dyDescent="0.35"/>
    <row r="332" spans="1:19" hidden="1" x14ac:dyDescent="0.35"/>
    <row r="333" spans="1:19" hidden="1" x14ac:dyDescent="0.3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</row>
    <row r="334" spans="1:19" ht="16.5" hidden="1" thickTop="1" x14ac:dyDescent="0.35">
      <c r="A334" s="42"/>
      <c r="B334" s="42"/>
      <c r="C334" s="42"/>
      <c r="D334" s="42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</row>
    <row r="335" spans="1:19" hidden="1" x14ac:dyDescent="0.35">
      <c r="A335" s="11"/>
      <c r="B335" s="11"/>
      <c r="C335" s="11"/>
      <c r="D335" s="44" t="s">
        <v>129</v>
      </c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</row>
    <row r="336" spans="1:19" hidden="1" x14ac:dyDescent="0.35">
      <c r="A336" s="11"/>
      <c r="B336" s="11"/>
      <c r="C336" s="11"/>
      <c r="D336" s="45" t="s">
        <v>95</v>
      </c>
      <c r="E336" s="11">
        <v>1</v>
      </c>
      <c r="F336" s="11">
        <v>2</v>
      </c>
      <c r="G336" s="11">
        <v>3</v>
      </c>
      <c r="H336" s="11">
        <v>4</v>
      </c>
      <c r="I336" s="11">
        <v>5</v>
      </c>
      <c r="J336" s="11">
        <v>6</v>
      </c>
      <c r="K336" s="11">
        <v>7</v>
      </c>
      <c r="L336" s="11">
        <v>8</v>
      </c>
      <c r="M336" s="11">
        <v>9</v>
      </c>
      <c r="N336" s="11">
        <v>10</v>
      </c>
      <c r="O336" s="11">
        <v>11</v>
      </c>
      <c r="P336" s="11">
        <v>12</v>
      </c>
      <c r="Q336" s="46" t="s">
        <v>12</v>
      </c>
    </row>
    <row r="337" spans="1:19" hidden="1" x14ac:dyDescent="0.35">
      <c r="A337" s="11"/>
      <c r="B337" s="11"/>
      <c r="C337" s="11"/>
      <c r="D337" s="45" t="s">
        <v>131</v>
      </c>
      <c r="E337" s="11">
        <f t="shared" ref="E337:P337" si="43">-E10-E11</f>
        <v>-133663.78491666669</v>
      </c>
      <c r="F337" s="11">
        <f t="shared" si="43"/>
        <v>-133663.78825000001</v>
      </c>
      <c r="G337" s="11">
        <f t="shared" si="43"/>
        <v>-133663.78491666666</v>
      </c>
      <c r="H337" s="11">
        <f t="shared" si="43"/>
        <v>-119530.39491666666</v>
      </c>
      <c r="I337" s="11">
        <f t="shared" si="43"/>
        <v>-119612.05825</v>
      </c>
      <c r="J337" s="11">
        <f t="shared" si="43"/>
        <v>-119685.51658333333</v>
      </c>
      <c r="K337" s="11">
        <f t="shared" si="43"/>
        <v>-112633.71658333333</v>
      </c>
      <c r="L337" s="11">
        <f t="shared" si="43"/>
        <v>-117990.25658333334</v>
      </c>
      <c r="M337" s="11">
        <f t="shared" si="43"/>
        <v>-118276.81658333333</v>
      </c>
      <c r="N337" s="11">
        <f t="shared" si="43"/>
        <v>-102365.155</v>
      </c>
      <c r="O337" s="11">
        <f t="shared" si="43"/>
        <v>-103868.15166666667</v>
      </c>
      <c r="P337" s="11">
        <f t="shared" si="43"/>
        <v>-107665.77666666667</v>
      </c>
      <c r="Q337" s="44">
        <f>SUM(E337:P337)</f>
        <v>-1422619.2009166668</v>
      </c>
      <c r="R337" s="11"/>
      <c r="S337" s="344"/>
    </row>
    <row r="338" spans="1:19" hidden="1" x14ac:dyDescent="0.35">
      <c r="A338" s="11"/>
      <c r="B338" s="11"/>
      <c r="C338" s="11"/>
      <c r="D338" s="45" t="s">
        <v>97</v>
      </c>
      <c r="E338" s="11">
        <f t="shared" ref="E338:P338" si="44">-E18</f>
        <v>-10302.1842</v>
      </c>
      <c r="F338" s="11">
        <f t="shared" si="44"/>
        <v>-9109.9854999999989</v>
      </c>
      <c r="G338" s="11">
        <f t="shared" si="44"/>
        <v>-7359.7404999999999</v>
      </c>
      <c r="H338" s="11">
        <f t="shared" si="44"/>
        <v>-4562.5295999999998</v>
      </c>
      <c r="I338" s="11">
        <f t="shared" si="44"/>
        <v>-4057.6655999999994</v>
      </c>
      <c r="J338" s="11">
        <f t="shared" si="44"/>
        <v>-4394.6564999999991</v>
      </c>
      <c r="K338" s="11">
        <f t="shared" si="44"/>
        <v>-5202.8159999999998</v>
      </c>
      <c r="L338" s="11">
        <f t="shared" si="44"/>
        <v>-5187.1247999999996</v>
      </c>
      <c r="M338" s="11">
        <f t="shared" si="44"/>
        <v>-4214.8665000000001</v>
      </c>
      <c r="N338" s="11">
        <f t="shared" si="44"/>
        <v>-3765.9426000000003</v>
      </c>
      <c r="O338" s="11">
        <f t="shared" si="44"/>
        <v>-4856.0796</v>
      </c>
      <c r="P338" s="11">
        <f t="shared" si="44"/>
        <v>-7747.5708000000004</v>
      </c>
      <c r="Q338" s="11">
        <f t="shared" ref="Q338:Q370" si="45">SUM(E338:P338)</f>
        <v>-70761.162199999992</v>
      </c>
      <c r="R338" s="11"/>
      <c r="S338" s="344"/>
    </row>
    <row r="339" spans="1:19" hidden="1" x14ac:dyDescent="0.35">
      <c r="A339" s="11"/>
      <c r="B339" s="11"/>
      <c r="C339" s="11"/>
      <c r="D339" s="45" t="s">
        <v>98</v>
      </c>
      <c r="E339" s="11">
        <f t="shared" ref="E339:P339" si="46">-E19</f>
        <v>-5070</v>
      </c>
      <c r="F339" s="11">
        <f t="shared" si="46"/>
        <v>-5070</v>
      </c>
      <c r="G339" s="11">
        <f t="shared" si="46"/>
        <v>-5070</v>
      </c>
      <c r="H339" s="11">
        <f t="shared" si="46"/>
        <v>-5070</v>
      </c>
      <c r="I339" s="11">
        <f t="shared" si="46"/>
        <v>-5070</v>
      </c>
      <c r="J339" s="11">
        <f t="shared" si="46"/>
        <v>-5070</v>
      </c>
      <c r="K339" s="11">
        <f t="shared" si="46"/>
        <v>-5070</v>
      </c>
      <c r="L339" s="11">
        <f t="shared" si="46"/>
        <v>-5070</v>
      </c>
      <c r="M339" s="11">
        <f t="shared" si="46"/>
        <v>-5070</v>
      </c>
      <c r="N339" s="11">
        <f t="shared" si="46"/>
        <v>-5070</v>
      </c>
      <c r="O339" s="11">
        <f t="shared" si="46"/>
        <v>-5070</v>
      </c>
      <c r="P339" s="11">
        <f t="shared" si="46"/>
        <v>-5070</v>
      </c>
      <c r="Q339" s="11">
        <f t="shared" si="45"/>
        <v>-60840</v>
      </c>
      <c r="R339" s="11"/>
      <c r="S339" s="344"/>
    </row>
    <row r="340" spans="1:19" hidden="1" x14ac:dyDescent="0.35">
      <c r="A340" s="11"/>
      <c r="B340" s="11"/>
      <c r="C340" s="11"/>
      <c r="D340" s="45" t="s">
        <v>99</v>
      </c>
      <c r="E340" s="11">
        <f t="shared" ref="E340:P340" si="47">-E20</f>
        <v>-560</v>
      </c>
      <c r="F340" s="11">
        <f t="shared" si="47"/>
        <v>-560</v>
      </c>
      <c r="G340" s="11">
        <f t="shared" si="47"/>
        <v>-560</v>
      </c>
      <c r="H340" s="11">
        <f t="shared" si="47"/>
        <v>-560</v>
      </c>
      <c r="I340" s="11">
        <f t="shared" si="47"/>
        <v>-560</v>
      </c>
      <c r="J340" s="11">
        <f t="shared" si="47"/>
        <v>-560</v>
      </c>
      <c r="K340" s="11">
        <f t="shared" si="47"/>
        <v>-560</v>
      </c>
      <c r="L340" s="11">
        <f t="shared" si="47"/>
        <v>-560</v>
      </c>
      <c r="M340" s="11">
        <f t="shared" si="47"/>
        <v>-560</v>
      </c>
      <c r="N340" s="11">
        <f t="shared" si="47"/>
        <v>-560</v>
      </c>
      <c r="O340" s="11">
        <f t="shared" si="47"/>
        <v>-560</v>
      </c>
      <c r="P340" s="11">
        <f t="shared" si="47"/>
        <v>-560</v>
      </c>
      <c r="Q340" s="11">
        <f t="shared" si="45"/>
        <v>-6720</v>
      </c>
      <c r="R340" s="46"/>
      <c r="S340" s="345"/>
    </row>
    <row r="341" spans="1:19" hidden="1" x14ac:dyDescent="0.35">
      <c r="A341" s="11"/>
      <c r="B341" s="11"/>
      <c r="C341" s="11"/>
      <c r="D341" s="45" t="s">
        <v>134</v>
      </c>
      <c r="E341" s="11">
        <f t="shared" ref="E341:P341" si="48">-E21</f>
        <v>0</v>
      </c>
      <c r="F341" s="11">
        <f t="shared" si="48"/>
        <v>0</v>
      </c>
      <c r="G341" s="11">
        <f t="shared" si="48"/>
        <v>0</v>
      </c>
      <c r="H341" s="11">
        <f t="shared" si="48"/>
        <v>0</v>
      </c>
      <c r="I341" s="11">
        <f t="shared" si="48"/>
        <v>0</v>
      </c>
      <c r="J341" s="11">
        <f t="shared" si="48"/>
        <v>0</v>
      </c>
      <c r="K341" s="11">
        <f t="shared" si="48"/>
        <v>0</v>
      </c>
      <c r="L341" s="11">
        <f t="shared" si="48"/>
        <v>0</v>
      </c>
      <c r="M341" s="11">
        <f t="shared" si="48"/>
        <v>0</v>
      </c>
      <c r="N341" s="11">
        <f t="shared" si="48"/>
        <v>0</v>
      </c>
      <c r="O341" s="11">
        <f t="shared" si="48"/>
        <v>0</v>
      </c>
      <c r="P341" s="11">
        <f t="shared" si="48"/>
        <v>0</v>
      </c>
      <c r="Q341" s="11">
        <f>SUM(E341:P341)</f>
        <v>0</v>
      </c>
      <c r="R341" s="44"/>
      <c r="S341" s="346"/>
    </row>
    <row r="342" spans="1:19" hidden="1" x14ac:dyDescent="0.35">
      <c r="A342" s="11"/>
      <c r="B342" s="11"/>
      <c r="C342" s="11"/>
      <c r="D342" s="45" t="s">
        <v>100</v>
      </c>
      <c r="E342" s="11">
        <f t="shared" ref="E342:P342" si="49">E27</f>
        <v>3931.6666666666661</v>
      </c>
      <c r="F342" s="11">
        <f t="shared" si="49"/>
        <v>3931.6666666666661</v>
      </c>
      <c r="G342" s="11">
        <f t="shared" si="49"/>
        <v>3931.6666666666661</v>
      </c>
      <c r="H342" s="11">
        <f t="shared" si="49"/>
        <v>3931.6666666666661</v>
      </c>
      <c r="I342" s="11">
        <f t="shared" si="49"/>
        <v>3931.6666666666661</v>
      </c>
      <c r="J342" s="11">
        <f t="shared" si="49"/>
        <v>3931.6666666666661</v>
      </c>
      <c r="K342" s="11">
        <f t="shared" si="49"/>
        <v>3931.6666666666661</v>
      </c>
      <c r="L342" s="11">
        <f t="shared" si="49"/>
        <v>3931.6666666666661</v>
      </c>
      <c r="M342" s="11">
        <f t="shared" si="49"/>
        <v>3931.6666666666661</v>
      </c>
      <c r="N342" s="11">
        <f t="shared" si="49"/>
        <v>3931.6666666666661</v>
      </c>
      <c r="O342" s="11">
        <f t="shared" si="49"/>
        <v>3931.6666666666661</v>
      </c>
      <c r="P342" s="11">
        <f t="shared" si="49"/>
        <v>3931.6666666666661</v>
      </c>
      <c r="Q342" s="11">
        <f t="shared" si="45"/>
        <v>47179.999999999978</v>
      </c>
      <c r="R342" s="11"/>
      <c r="S342" s="344"/>
    </row>
    <row r="343" spans="1:19" hidden="1" x14ac:dyDescent="0.35">
      <c r="A343" s="11"/>
      <c r="B343" s="11"/>
      <c r="C343" s="11"/>
      <c r="D343" s="45" t="s">
        <v>101</v>
      </c>
      <c r="E343" s="11">
        <f t="shared" ref="E343:P343" si="50">+E29</f>
        <v>17256</v>
      </c>
      <c r="F343" s="11">
        <f t="shared" si="50"/>
        <v>15367</v>
      </c>
      <c r="G343" s="11">
        <f t="shared" si="50"/>
        <v>12325</v>
      </c>
      <c r="H343" s="11">
        <f t="shared" si="50"/>
        <v>8167</v>
      </c>
      <c r="I343" s="11">
        <f t="shared" si="50"/>
        <v>7297</v>
      </c>
      <c r="J343" s="11">
        <f t="shared" si="50"/>
        <v>7928</v>
      </c>
      <c r="K343" s="11">
        <f t="shared" si="50"/>
        <v>9433</v>
      </c>
      <c r="L343" s="11">
        <f t="shared" si="50"/>
        <v>9482</v>
      </c>
      <c r="M343" s="11">
        <f t="shared" si="50"/>
        <v>7706</v>
      </c>
      <c r="N343" s="11">
        <f t="shared" si="50"/>
        <v>7659</v>
      </c>
      <c r="O343" s="11">
        <f t="shared" si="50"/>
        <v>9719</v>
      </c>
      <c r="P343" s="11">
        <f t="shared" si="50"/>
        <v>15544</v>
      </c>
      <c r="Q343" s="11">
        <f t="shared" si="45"/>
        <v>127883</v>
      </c>
      <c r="R343" s="11"/>
      <c r="S343" s="344"/>
    </row>
    <row r="344" spans="1:19" hidden="1" x14ac:dyDescent="0.35">
      <c r="A344" s="11"/>
      <c r="B344" s="11"/>
      <c r="C344" s="11"/>
      <c r="D344" s="45" t="s">
        <v>102</v>
      </c>
      <c r="E344" s="11">
        <f t="shared" ref="E344:P344" si="51">+E31</f>
        <v>4165.4800000000005</v>
      </c>
      <c r="F344" s="11">
        <f t="shared" si="51"/>
        <v>4018.1899999999996</v>
      </c>
      <c r="G344" s="11">
        <f t="shared" si="51"/>
        <v>4425.04</v>
      </c>
      <c r="H344" s="11">
        <f t="shared" si="51"/>
        <v>2943.9</v>
      </c>
      <c r="I344" s="11">
        <f t="shared" si="51"/>
        <v>3179.77</v>
      </c>
      <c r="J344" s="11">
        <f t="shared" si="51"/>
        <v>3185.95</v>
      </c>
      <c r="K344" s="11">
        <f t="shared" si="51"/>
        <v>3448.6000000000004</v>
      </c>
      <c r="L344" s="11">
        <f t="shared" si="51"/>
        <v>3597.95</v>
      </c>
      <c r="M344" s="11">
        <f t="shared" si="51"/>
        <v>3527.91</v>
      </c>
      <c r="N344" s="11">
        <f t="shared" si="51"/>
        <v>4161.3600000000006</v>
      </c>
      <c r="O344" s="11">
        <f t="shared" si="51"/>
        <v>3470.2299999999996</v>
      </c>
      <c r="P344" s="11">
        <f t="shared" si="51"/>
        <v>4417.83</v>
      </c>
      <c r="Q344" s="11">
        <f t="shared" si="45"/>
        <v>44542.210000000006</v>
      </c>
      <c r="R344" s="11"/>
      <c r="S344" s="344"/>
    </row>
    <row r="345" spans="1:19" hidden="1" x14ac:dyDescent="0.35">
      <c r="A345" s="11"/>
      <c r="B345" s="11"/>
      <c r="C345" s="11"/>
      <c r="D345" s="45" t="s">
        <v>103</v>
      </c>
      <c r="E345" s="11">
        <f t="shared" ref="E345:P345" si="52">+E36</f>
        <v>12002</v>
      </c>
      <c r="F345" s="11">
        <f t="shared" si="52"/>
        <v>15887</v>
      </c>
      <c r="G345" s="11">
        <f t="shared" si="52"/>
        <v>9087</v>
      </c>
      <c r="H345" s="11">
        <f t="shared" si="52"/>
        <v>14674</v>
      </c>
      <c r="I345" s="11">
        <f t="shared" si="52"/>
        <v>19812</v>
      </c>
      <c r="J345" s="11">
        <f t="shared" si="52"/>
        <v>54527</v>
      </c>
      <c r="K345" s="11">
        <f t="shared" si="52"/>
        <v>13197</v>
      </c>
      <c r="L345" s="11">
        <f t="shared" si="52"/>
        <v>9402</v>
      </c>
      <c r="M345" s="11">
        <f t="shared" si="52"/>
        <v>12457</v>
      </c>
      <c r="N345" s="11">
        <f t="shared" si="52"/>
        <v>20319</v>
      </c>
      <c r="O345" s="11">
        <f t="shared" si="52"/>
        <v>10402</v>
      </c>
      <c r="P345" s="11">
        <f t="shared" si="52"/>
        <v>8002</v>
      </c>
      <c r="Q345" s="11">
        <f t="shared" si="45"/>
        <v>199768</v>
      </c>
      <c r="R345" s="11"/>
      <c r="S345" s="344"/>
    </row>
    <row r="346" spans="1:19" hidden="1" x14ac:dyDescent="0.35">
      <c r="A346" s="11"/>
      <c r="B346" s="11"/>
      <c r="C346" s="11"/>
      <c r="D346" s="45" t="s">
        <v>104</v>
      </c>
      <c r="E346" s="11">
        <f t="shared" ref="E346:P346" si="53">+E43</f>
        <v>0</v>
      </c>
      <c r="F346" s="11">
        <f t="shared" si="53"/>
        <v>0</v>
      </c>
      <c r="G346" s="11">
        <f t="shared" si="53"/>
        <v>0</v>
      </c>
      <c r="H346" s="11">
        <f t="shared" si="53"/>
        <v>0</v>
      </c>
      <c r="I346" s="11">
        <f t="shared" si="53"/>
        <v>0</v>
      </c>
      <c r="J346" s="11">
        <f t="shared" si="53"/>
        <v>0</v>
      </c>
      <c r="K346" s="11">
        <f t="shared" si="53"/>
        <v>0</v>
      </c>
      <c r="L346" s="11">
        <f t="shared" si="53"/>
        <v>0</v>
      </c>
      <c r="M346" s="11">
        <f t="shared" si="53"/>
        <v>0</v>
      </c>
      <c r="N346" s="11">
        <f t="shared" si="53"/>
        <v>0</v>
      </c>
      <c r="O346" s="11">
        <f t="shared" si="53"/>
        <v>0</v>
      </c>
      <c r="P346" s="11">
        <f t="shared" si="53"/>
        <v>0</v>
      </c>
      <c r="Q346" s="11">
        <f t="shared" si="45"/>
        <v>0</v>
      </c>
      <c r="R346" s="11"/>
      <c r="S346" s="344"/>
    </row>
    <row r="347" spans="1:19" hidden="1" x14ac:dyDescent="0.35">
      <c r="A347" s="11"/>
      <c r="B347" s="11"/>
      <c r="C347" s="11"/>
      <c r="D347" s="45" t="s">
        <v>105</v>
      </c>
      <c r="E347" s="11">
        <f t="shared" ref="E347:P347" si="54">+E45</f>
        <v>0</v>
      </c>
      <c r="F347" s="11">
        <f t="shared" si="54"/>
        <v>0</v>
      </c>
      <c r="G347" s="11">
        <f t="shared" si="54"/>
        <v>0</v>
      </c>
      <c r="H347" s="11">
        <f t="shared" si="54"/>
        <v>0</v>
      </c>
      <c r="I347" s="11">
        <f t="shared" si="54"/>
        <v>0</v>
      </c>
      <c r="J347" s="11">
        <f t="shared" si="54"/>
        <v>0</v>
      </c>
      <c r="K347" s="11">
        <f t="shared" si="54"/>
        <v>0</v>
      </c>
      <c r="L347" s="11">
        <f t="shared" si="54"/>
        <v>0</v>
      </c>
      <c r="M347" s="11">
        <f t="shared" si="54"/>
        <v>0</v>
      </c>
      <c r="N347" s="11">
        <f t="shared" si="54"/>
        <v>0</v>
      </c>
      <c r="O347" s="11">
        <f t="shared" si="54"/>
        <v>0</v>
      </c>
      <c r="P347" s="11">
        <f t="shared" si="54"/>
        <v>0</v>
      </c>
      <c r="Q347" s="11">
        <f t="shared" si="45"/>
        <v>0</v>
      </c>
      <c r="R347" s="11"/>
      <c r="S347" s="344"/>
    </row>
    <row r="348" spans="1:19" hidden="1" x14ac:dyDescent="0.35">
      <c r="A348" s="11"/>
      <c r="B348" s="11"/>
      <c r="C348" s="11"/>
      <c r="D348" s="45" t="s">
        <v>106</v>
      </c>
      <c r="E348" s="11">
        <f t="shared" ref="E348:P348" si="55">+E50</f>
        <v>0</v>
      </c>
      <c r="F348" s="11">
        <f t="shared" si="55"/>
        <v>0</v>
      </c>
      <c r="G348" s="11">
        <f t="shared" si="55"/>
        <v>0</v>
      </c>
      <c r="H348" s="11">
        <f t="shared" si="55"/>
        <v>0</v>
      </c>
      <c r="I348" s="11">
        <f t="shared" si="55"/>
        <v>0</v>
      </c>
      <c r="J348" s="11">
        <f t="shared" si="55"/>
        <v>0</v>
      </c>
      <c r="K348" s="11">
        <f t="shared" si="55"/>
        <v>0</v>
      </c>
      <c r="L348" s="11">
        <f t="shared" si="55"/>
        <v>0</v>
      </c>
      <c r="M348" s="11">
        <f t="shared" si="55"/>
        <v>0</v>
      </c>
      <c r="N348" s="11">
        <f t="shared" si="55"/>
        <v>0</v>
      </c>
      <c r="O348" s="11">
        <f t="shared" si="55"/>
        <v>0</v>
      </c>
      <c r="P348" s="11">
        <f t="shared" si="55"/>
        <v>0</v>
      </c>
      <c r="Q348" s="11">
        <f t="shared" si="45"/>
        <v>0</v>
      </c>
      <c r="R348" s="11"/>
      <c r="S348" s="344"/>
    </row>
    <row r="349" spans="1:19" hidden="1" x14ac:dyDescent="0.35">
      <c r="A349" s="11"/>
      <c r="B349" s="11"/>
      <c r="C349" s="11"/>
      <c r="D349" s="45" t="s">
        <v>107</v>
      </c>
      <c r="E349" s="11">
        <f t="shared" ref="E349:P349" si="56">+E52</f>
        <v>0</v>
      </c>
      <c r="F349" s="11">
        <f t="shared" si="56"/>
        <v>0</v>
      </c>
      <c r="G349" s="11">
        <f t="shared" si="56"/>
        <v>0</v>
      </c>
      <c r="H349" s="11">
        <f t="shared" si="56"/>
        <v>0</v>
      </c>
      <c r="I349" s="11">
        <f t="shared" si="56"/>
        <v>0</v>
      </c>
      <c r="J349" s="11">
        <f t="shared" si="56"/>
        <v>0</v>
      </c>
      <c r="K349" s="11">
        <f t="shared" si="56"/>
        <v>0</v>
      </c>
      <c r="L349" s="11">
        <f t="shared" si="56"/>
        <v>0</v>
      </c>
      <c r="M349" s="11">
        <f t="shared" si="56"/>
        <v>0</v>
      </c>
      <c r="N349" s="11">
        <f t="shared" si="56"/>
        <v>0</v>
      </c>
      <c r="O349" s="11">
        <f t="shared" si="56"/>
        <v>0</v>
      </c>
      <c r="P349" s="11">
        <f t="shared" si="56"/>
        <v>0</v>
      </c>
      <c r="Q349" s="11">
        <f t="shared" si="45"/>
        <v>0</v>
      </c>
      <c r="R349" s="11"/>
      <c r="S349" s="344"/>
    </row>
    <row r="350" spans="1:19" hidden="1" x14ac:dyDescent="0.35">
      <c r="A350" s="11"/>
      <c r="B350" s="11"/>
      <c r="C350" s="11"/>
      <c r="D350" s="45" t="s">
        <v>108</v>
      </c>
      <c r="E350" s="11">
        <f t="shared" ref="E350:P350" si="57">+E54</f>
        <v>5984</v>
      </c>
      <c r="F350" s="11">
        <f t="shared" si="57"/>
        <v>5936</v>
      </c>
      <c r="G350" s="11">
        <f t="shared" si="57"/>
        <v>5866</v>
      </c>
      <c r="H350" s="11">
        <f t="shared" si="57"/>
        <v>5188</v>
      </c>
      <c r="I350" s="11">
        <f t="shared" si="57"/>
        <v>5172</v>
      </c>
      <c r="J350" s="11">
        <f t="shared" si="57"/>
        <v>5188</v>
      </c>
      <c r="K350" s="11">
        <f t="shared" si="57"/>
        <v>4939</v>
      </c>
      <c r="L350" s="11">
        <f t="shared" si="57"/>
        <v>5153</v>
      </c>
      <c r="M350" s="11">
        <f t="shared" si="57"/>
        <v>5125</v>
      </c>
      <c r="N350" s="11">
        <f t="shared" si="57"/>
        <v>4470</v>
      </c>
      <c r="O350" s="11">
        <f t="shared" si="57"/>
        <v>4573</v>
      </c>
      <c r="P350" s="11">
        <f t="shared" si="57"/>
        <v>4842</v>
      </c>
      <c r="Q350" s="11">
        <f t="shared" si="45"/>
        <v>62436</v>
      </c>
      <c r="R350" s="11"/>
      <c r="S350" s="344"/>
    </row>
    <row r="351" spans="1:19" hidden="1" x14ac:dyDescent="0.35">
      <c r="A351" s="11"/>
      <c r="B351" s="11"/>
      <c r="C351" s="11"/>
      <c r="D351" s="45" t="s">
        <v>109</v>
      </c>
      <c r="E351" s="11">
        <f t="shared" ref="E351:P351" si="58">+E56</f>
        <v>0</v>
      </c>
      <c r="F351" s="11">
        <f t="shared" si="58"/>
        <v>0</v>
      </c>
      <c r="G351" s="11">
        <f t="shared" si="58"/>
        <v>0</v>
      </c>
      <c r="H351" s="11">
        <f t="shared" si="58"/>
        <v>0</v>
      </c>
      <c r="I351" s="11">
        <f t="shared" si="58"/>
        <v>0</v>
      </c>
      <c r="J351" s="11">
        <f t="shared" si="58"/>
        <v>0</v>
      </c>
      <c r="K351" s="11">
        <f t="shared" si="58"/>
        <v>0</v>
      </c>
      <c r="L351" s="11">
        <f t="shared" si="58"/>
        <v>0</v>
      </c>
      <c r="M351" s="11">
        <f t="shared" si="58"/>
        <v>0</v>
      </c>
      <c r="N351" s="11">
        <f t="shared" si="58"/>
        <v>0</v>
      </c>
      <c r="O351" s="11">
        <f t="shared" si="58"/>
        <v>0</v>
      </c>
      <c r="P351" s="11">
        <f t="shared" si="58"/>
        <v>0</v>
      </c>
      <c r="Q351" s="11">
        <f t="shared" si="45"/>
        <v>0</v>
      </c>
      <c r="R351" s="11"/>
      <c r="S351" s="344"/>
    </row>
    <row r="352" spans="1:19" hidden="1" x14ac:dyDescent="0.35">
      <c r="A352" s="11"/>
      <c r="B352" s="11"/>
      <c r="C352" s="11"/>
      <c r="D352" s="45" t="s">
        <v>110</v>
      </c>
      <c r="E352" s="11">
        <f t="shared" ref="E352:P352" si="59">+E58</f>
        <v>11425.05868455</v>
      </c>
      <c r="F352" s="11">
        <f t="shared" si="59"/>
        <v>11425.05868455</v>
      </c>
      <c r="G352" s="11">
        <f t="shared" si="59"/>
        <v>11425.05868455</v>
      </c>
      <c r="H352" s="11">
        <f t="shared" si="59"/>
        <v>11425.05868455</v>
      </c>
      <c r="I352" s="11">
        <f t="shared" si="59"/>
        <v>11425.05868455</v>
      </c>
      <c r="J352" s="11">
        <f t="shared" si="59"/>
        <v>11425.05868455</v>
      </c>
      <c r="K352" s="11">
        <f t="shared" si="59"/>
        <v>11425.05868455</v>
      </c>
      <c r="L352" s="11">
        <f t="shared" si="59"/>
        <v>11425.05868455</v>
      </c>
      <c r="M352" s="11">
        <f t="shared" si="59"/>
        <v>11425.05868455</v>
      </c>
      <c r="N352" s="11">
        <f t="shared" si="59"/>
        <v>11425.05868455</v>
      </c>
      <c r="O352" s="11">
        <f t="shared" si="59"/>
        <v>11425.05868455</v>
      </c>
      <c r="P352" s="11">
        <f t="shared" si="59"/>
        <v>11425.05868455</v>
      </c>
      <c r="Q352" s="11">
        <f t="shared" si="45"/>
        <v>137100.70421459997</v>
      </c>
      <c r="R352" s="11"/>
      <c r="S352" s="344"/>
    </row>
    <row r="353" spans="4:19" hidden="1" x14ac:dyDescent="0.35">
      <c r="D353" s="45" t="s">
        <v>111</v>
      </c>
      <c r="E353" s="7">
        <f t="shared" ref="E353:P353" si="60">+E63</f>
        <v>4967</v>
      </c>
      <c r="F353" s="7">
        <f t="shared" si="60"/>
        <v>4967</v>
      </c>
      <c r="G353" s="7">
        <f t="shared" si="60"/>
        <v>4967</v>
      </c>
      <c r="H353" s="7">
        <f t="shared" si="60"/>
        <v>4967</v>
      </c>
      <c r="I353" s="7">
        <f t="shared" si="60"/>
        <v>4967</v>
      </c>
      <c r="J353" s="7">
        <f t="shared" si="60"/>
        <v>4967</v>
      </c>
      <c r="K353" s="7">
        <f t="shared" si="60"/>
        <v>4967</v>
      </c>
      <c r="L353" s="7">
        <f t="shared" si="60"/>
        <v>4967</v>
      </c>
      <c r="M353" s="7">
        <f t="shared" si="60"/>
        <v>4967</v>
      </c>
      <c r="N353" s="7">
        <f t="shared" si="60"/>
        <v>4967</v>
      </c>
      <c r="O353" s="7">
        <f t="shared" si="60"/>
        <v>5066.34</v>
      </c>
      <c r="P353" s="7">
        <f t="shared" si="60"/>
        <v>5066.34</v>
      </c>
      <c r="Q353" s="11">
        <f t="shared" si="45"/>
        <v>59802.679999999993</v>
      </c>
      <c r="R353" s="11"/>
      <c r="S353" s="344"/>
    </row>
    <row r="354" spans="4:19" hidden="1" x14ac:dyDescent="0.35">
      <c r="D354" s="45" t="s">
        <v>112</v>
      </c>
      <c r="E354" s="7">
        <f t="shared" ref="E354:P354" si="61">+E67</f>
        <v>12468.558010866065</v>
      </c>
      <c r="F354" s="7">
        <f t="shared" si="61"/>
        <v>12468.558010866065</v>
      </c>
      <c r="G354" s="7">
        <f t="shared" si="61"/>
        <v>12468.558010866065</v>
      </c>
      <c r="H354" s="7">
        <f t="shared" si="61"/>
        <v>11503.219876495665</v>
      </c>
      <c r="I354" s="7">
        <f t="shared" si="61"/>
        <v>11503.219876495665</v>
      </c>
      <c r="J354" s="7">
        <f t="shared" si="61"/>
        <v>11503.219876495665</v>
      </c>
      <c r="K354" s="7">
        <f t="shared" si="61"/>
        <v>11503.219876495665</v>
      </c>
      <c r="L354" s="7">
        <f t="shared" si="61"/>
        <v>11503.219876495665</v>
      </c>
      <c r="M354" s="7">
        <f t="shared" si="61"/>
        <v>11503.219876495665</v>
      </c>
      <c r="N354" s="7">
        <f t="shared" si="61"/>
        <v>10059.033274416464</v>
      </c>
      <c r="O354" s="7">
        <f t="shared" si="61"/>
        <v>10059.033274416464</v>
      </c>
      <c r="P354" s="7">
        <f t="shared" si="61"/>
        <v>9946.7543980684641</v>
      </c>
      <c r="Q354" s="11">
        <f t="shared" si="45"/>
        <v>136489.8142384736</v>
      </c>
      <c r="R354" s="11"/>
      <c r="S354" s="344"/>
    </row>
    <row r="355" spans="4:19" hidden="1" x14ac:dyDescent="0.35">
      <c r="D355" s="45" t="s">
        <v>113</v>
      </c>
      <c r="E355" s="7">
        <f t="shared" ref="E355:P355" si="62">+E77</f>
        <v>4870.9166666666661</v>
      </c>
      <c r="F355" s="7">
        <f t="shared" si="62"/>
        <v>4870.9166666666661</v>
      </c>
      <c r="G355" s="7">
        <f t="shared" si="62"/>
        <v>4870.9166666666661</v>
      </c>
      <c r="H355" s="7">
        <f t="shared" si="62"/>
        <v>4870.9166666666661</v>
      </c>
      <c r="I355" s="7">
        <f t="shared" si="62"/>
        <v>4870.9166666666661</v>
      </c>
      <c r="J355" s="7">
        <f t="shared" si="62"/>
        <v>4870.9166666666661</v>
      </c>
      <c r="K355" s="7">
        <f t="shared" si="62"/>
        <v>4870.9166666666661</v>
      </c>
      <c r="L355" s="7">
        <f t="shared" si="62"/>
        <v>4870.9166666666661</v>
      </c>
      <c r="M355" s="7">
        <f t="shared" si="62"/>
        <v>4870.9166666666661</v>
      </c>
      <c r="N355" s="7">
        <f t="shared" si="62"/>
        <v>4870.9166666666661</v>
      </c>
      <c r="O355" s="7">
        <f t="shared" si="62"/>
        <v>4870.9166666666661</v>
      </c>
      <c r="P355" s="7">
        <f t="shared" si="62"/>
        <v>4870.9166666666661</v>
      </c>
      <c r="Q355" s="11">
        <f t="shared" si="45"/>
        <v>58450.999999999978</v>
      </c>
      <c r="R355" s="11"/>
      <c r="S355" s="344"/>
    </row>
    <row r="356" spans="4:19" hidden="1" x14ac:dyDescent="0.35">
      <c r="D356" s="45" t="s">
        <v>114</v>
      </c>
      <c r="E356" s="7">
        <f t="shared" ref="E356:P356" si="63">+E78</f>
        <v>1622.2499999999998</v>
      </c>
      <c r="F356" s="7">
        <f t="shared" si="63"/>
        <v>0</v>
      </c>
      <c r="G356" s="7">
        <f t="shared" si="63"/>
        <v>0</v>
      </c>
      <c r="H356" s="7">
        <f t="shared" si="63"/>
        <v>1622.2499999999998</v>
      </c>
      <c r="I356" s="7">
        <f t="shared" si="63"/>
        <v>0</v>
      </c>
      <c r="J356" s="7">
        <f t="shared" si="63"/>
        <v>0</v>
      </c>
      <c r="K356" s="7">
        <f t="shared" si="63"/>
        <v>1622.2499999999998</v>
      </c>
      <c r="L356" s="7">
        <f t="shared" si="63"/>
        <v>0</v>
      </c>
      <c r="M356" s="7">
        <f t="shared" si="63"/>
        <v>0</v>
      </c>
      <c r="N356" s="7">
        <f t="shared" si="63"/>
        <v>1622.2499999999998</v>
      </c>
      <c r="O356" s="7">
        <f t="shared" si="63"/>
        <v>0</v>
      </c>
      <c r="P356" s="7">
        <f t="shared" si="63"/>
        <v>0</v>
      </c>
      <c r="Q356" s="11">
        <f t="shared" si="45"/>
        <v>6488.9999999999991</v>
      </c>
      <c r="R356" s="11"/>
      <c r="S356" s="344"/>
    </row>
    <row r="357" spans="4:19" hidden="1" x14ac:dyDescent="0.35">
      <c r="D357" s="45" t="s">
        <v>115</v>
      </c>
      <c r="E357" s="7">
        <f t="shared" ref="E357:P357" si="64">+E88</f>
        <v>2817.05</v>
      </c>
      <c r="F357" s="7">
        <f t="shared" si="64"/>
        <v>2817.05</v>
      </c>
      <c r="G357" s="7">
        <f t="shared" si="64"/>
        <v>2817.05</v>
      </c>
      <c r="H357" s="7">
        <f t="shared" si="64"/>
        <v>2817.05</v>
      </c>
      <c r="I357" s="7">
        <f t="shared" si="64"/>
        <v>2817.05</v>
      </c>
      <c r="J357" s="7">
        <f t="shared" si="64"/>
        <v>2817.05</v>
      </c>
      <c r="K357" s="7">
        <f t="shared" si="64"/>
        <v>2817.05</v>
      </c>
      <c r="L357" s="7">
        <f t="shared" si="64"/>
        <v>2817.05</v>
      </c>
      <c r="M357" s="7">
        <f t="shared" si="64"/>
        <v>2817.05</v>
      </c>
      <c r="N357" s="7">
        <f t="shared" si="64"/>
        <v>2817.05</v>
      </c>
      <c r="O357" s="7">
        <f t="shared" si="64"/>
        <v>2817.05</v>
      </c>
      <c r="P357" s="7">
        <f t="shared" si="64"/>
        <v>2817.05</v>
      </c>
      <c r="Q357" s="11">
        <f t="shared" si="45"/>
        <v>33804.6</v>
      </c>
      <c r="R357" s="11"/>
      <c r="S357" s="344"/>
    </row>
    <row r="358" spans="4:19" hidden="1" x14ac:dyDescent="0.35">
      <c r="D358" s="45" t="s">
        <v>116</v>
      </c>
      <c r="E358" s="7">
        <f t="shared" ref="E358:P358" si="65">+E92</f>
        <v>1250</v>
      </c>
      <c r="F358" s="7">
        <f t="shared" si="65"/>
        <v>1250</v>
      </c>
      <c r="G358" s="7">
        <f t="shared" si="65"/>
        <v>1250</v>
      </c>
      <c r="H358" s="7">
        <f t="shared" si="65"/>
        <v>1250</v>
      </c>
      <c r="I358" s="7">
        <f t="shared" si="65"/>
        <v>1250</v>
      </c>
      <c r="J358" s="7">
        <f t="shared" si="65"/>
        <v>1250</v>
      </c>
      <c r="K358" s="7">
        <f t="shared" si="65"/>
        <v>1250</v>
      </c>
      <c r="L358" s="7">
        <f t="shared" si="65"/>
        <v>1250</v>
      </c>
      <c r="M358" s="7">
        <f t="shared" si="65"/>
        <v>1250</v>
      </c>
      <c r="N358" s="7">
        <f t="shared" si="65"/>
        <v>1250</v>
      </c>
      <c r="O358" s="7">
        <f t="shared" si="65"/>
        <v>1250</v>
      </c>
      <c r="P358" s="7">
        <f t="shared" si="65"/>
        <v>1250</v>
      </c>
      <c r="Q358" s="11">
        <f t="shared" si="45"/>
        <v>15000</v>
      </c>
      <c r="R358" s="11"/>
      <c r="S358" s="344"/>
    </row>
    <row r="359" spans="4:19" hidden="1" x14ac:dyDescent="0.35">
      <c r="D359" s="45" t="s">
        <v>117</v>
      </c>
      <c r="E359" s="7">
        <f t="shared" ref="E359:P359" si="66">+E94</f>
        <v>0</v>
      </c>
      <c r="F359" s="7">
        <f t="shared" si="66"/>
        <v>0</v>
      </c>
      <c r="G359" s="7">
        <f t="shared" si="66"/>
        <v>0</v>
      </c>
      <c r="H359" s="7">
        <f t="shared" si="66"/>
        <v>3268.231634024999</v>
      </c>
      <c r="I359" s="7">
        <f t="shared" si="66"/>
        <v>0</v>
      </c>
      <c r="J359" s="7">
        <f t="shared" si="66"/>
        <v>0</v>
      </c>
      <c r="K359" s="7">
        <f t="shared" si="66"/>
        <v>0</v>
      </c>
      <c r="L359" s="7">
        <f t="shared" si="66"/>
        <v>0</v>
      </c>
      <c r="M359" s="7">
        <f t="shared" si="66"/>
        <v>0</v>
      </c>
      <c r="N359" s="7">
        <f t="shared" si="66"/>
        <v>0</v>
      </c>
      <c r="O359" s="7">
        <f t="shared" si="66"/>
        <v>0</v>
      </c>
      <c r="P359" s="7">
        <f t="shared" si="66"/>
        <v>0</v>
      </c>
      <c r="Q359" s="11">
        <f t="shared" si="45"/>
        <v>3268.231634024999</v>
      </c>
      <c r="R359" s="11"/>
      <c r="S359" s="344"/>
    </row>
    <row r="360" spans="4:19" hidden="1" x14ac:dyDescent="0.35">
      <c r="D360" s="45" t="s">
        <v>118</v>
      </c>
      <c r="E360" s="7">
        <f t="shared" ref="E360:P360" si="67">+E96</f>
        <v>2573.6666666666665</v>
      </c>
      <c r="F360" s="7">
        <f t="shared" si="67"/>
        <v>2573.6666666666665</v>
      </c>
      <c r="G360" s="7">
        <f t="shared" si="67"/>
        <v>2573.6666666666665</v>
      </c>
      <c r="H360" s="7">
        <f t="shared" si="67"/>
        <v>2573.6666666666665</v>
      </c>
      <c r="I360" s="7">
        <f t="shared" si="67"/>
        <v>2573.6666666666665</v>
      </c>
      <c r="J360" s="7">
        <f t="shared" si="67"/>
        <v>2573.6666666666665</v>
      </c>
      <c r="K360" s="7">
        <f t="shared" si="67"/>
        <v>2573.6666666666665</v>
      </c>
      <c r="L360" s="7">
        <f t="shared" si="67"/>
        <v>2573.6666666666665</v>
      </c>
      <c r="M360" s="7">
        <f t="shared" si="67"/>
        <v>2573.6666666666665</v>
      </c>
      <c r="N360" s="7">
        <f t="shared" si="67"/>
        <v>2573.6666666666665</v>
      </c>
      <c r="O360" s="7">
        <f t="shared" si="67"/>
        <v>2573.6666666666665</v>
      </c>
      <c r="P360" s="7">
        <f t="shared" si="67"/>
        <v>2573.6666666666665</v>
      </c>
      <c r="Q360" s="11">
        <f t="shared" si="45"/>
        <v>30884.000000000004</v>
      </c>
      <c r="R360" s="11"/>
      <c r="S360" s="344"/>
    </row>
    <row r="361" spans="4:19" hidden="1" x14ac:dyDescent="0.35">
      <c r="D361" s="45" t="s">
        <v>125</v>
      </c>
      <c r="E361" s="7">
        <f t="shared" ref="E361:P361" si="68">+E98</f>
        <v>159.65</v>
      </c>
      <c r="F361" s="7">
        <f t="shared" si="68"/>
        <v>159.65</v>
      </c>
      <c r="G361" s="7">
        <f t="shared" si="68"/>
        <v>159.65</v>
      </c>
      <c r="H361" s="7">
        <f t="shared" si="68"/>
        <v>159.65</v>
      </c>
      <c r="I361" s="7">
        <f t="shared" si="68"/>
        <v>159.65</v>
      </c>
      <c r="J361" s="7">
        <f t="shared" si="68"/>
        <v>159.65</v>
      </c>
      <c r="K361" s="7">
        <f t="shared" si="68"/>
        <v>159.65</v>
      </c>
      <c r="L361" s="7">
        <f t="shared" si="68"/>
        <v>159.65</v>
      </c>
      <c r="M361" s="7">
        <f t="shared" si="68"/>
        <v>159.65</v>
      </c>
      <c r="N361" s="7">
        <f t="shared" si="68"/>
        <v>159.65</v>
      </c>
      <c r="O361" s="7">
        <f t="shared" si="68"/>
        <v>159.65</v>
      </c>
      <c r="P361" s="7">
        <f t="shared" si="68"/>
        <v>159.65</v>
      </c>
      <c r="Q361" s="11">
        <f t="shared" si="45"/>
        <v>1915.8000000000004</v>
      </c>
      <c r="R361" s="11"/>
      <c r="S361" s="344"/>
    </row>
    <row r="362" spans="4:19" hidden="1" x14ac:dyDescent="0.35">
      <c r="D362" s="45" t="s">
        <v>126</v>
      </c>
      <c r="E362" s="7">
        <f t="shared" ref="E362:P362" si="69">+E101</f>
        <v>20.6</v>
      </c>
      <c r="F362" s="7">
        <f t="shared" si="69"/>
        <v>20.6</v>
      </c>
      <c r="G362" s="7">
        <f t="shared" si="69"/>
        <v>20.6</v>
      </c>
      <c r="H362" s="7">
        <f t="shared" si="69"/>
        <v>20.6</v>
      </c>
      <c r="I362" s="7">
        <f t="shared" si="69"/>
        <v>20.6</v>
      </c>
      <c r="J362" s="7">
        <f t="shared" si="69"/>
        <v>20.6</v>
      </c>
      <c r="K362" s="7">
        <f t="shared" si="69"/>
        <v>20.6</v>
      </c>
      <c r="L362" s="7">
        <f t="shared" si="69"/>
        <v>20.6</v>
      </c>
      <c r="M362" s="7">
        <f t="shared" si="69"/>
        <v>20.6</v>
      </c>
      <c r="N362" s="7">
        <f t="shared" si="69"/>
        <v>20.6</v>
      </c>
      <c r="O362" s="7">
        <f t="shared" si="69"/>
        <v>20.6</v>
      </c>
      <c r="P362" s="7">
        <f t="shared" si="69"/>
        <v>20.6</v>
      </c>
      <c r="Q362" s="11">
        <f t="shared" si="45"/>
        <v>247.19999999999996</v>
      </c>
      <c r="R362" s="11"/>
      <c r="S362" s="344"/>
    </row>
    <row r="363" spans="4:19" hidden="1" x14ac:dyDescent="0.35">
      <c r="D363" s="45" t="s">
        <v>119</v>
      </c>
      <c r="E363" s="7">
        <f t="shared" ref="E363:P363" si="70">+E102</f>
        <v>3543.2</v>
      </c>
      <c r="F363" s="7">
        <f t="shared" si="70"/>
        <v>3543.2</v>
      </c>
      <c r="G363" s="7">
        <f t="shared" si="70"/>
        <v>3543.2</v>
      </c>
      <c r="H363" s="7">
        <f t="shared" si="70"/>
        <v>3543.2</v>
      </c>
      <c r="I363" s="7">
        <f t="shared" si="70"/>
        <v>3543.2</v>
      </c>
      <c r="J363" s="7">
        <f t="shared" si="70"/>
        <v>3543.2</v>
      </c>
      <c r="K363" s="7">
        <f t="shared" si="70"/>
        <v>3543.2</v>
      </c>
      <c r="L363" s="7">
        <f t="shared" si="70"/>
        <v>3543.2</v>
      </c>
      <c r="M363" s="7">
        <f t="shared" si="70"/>
        <v>3543.2</v>
      </c>
      <c r="N363" s="7">
        <f t="shared" si="70"/>
        <v>3543.2</v>
      </c>
      <c r="O363" s="7">
        <f t="shared" si="70"/>
        <v>3543.2</v>
      </c>
      <c r="P363" s="7">
        <f t="shared" si="70"/>
        <v>3543.2</v>
      </c>
      <c r="Q363" s="11">
        <f t="shared" si="45"/>
        <v>42518.399999999994</v>
      </c>
      <c r="R363" s="11"/>
      <c r="S363" s="344"/>
    </row>
    <row r="364" spans="4:19" hidden="1" x14ac:dyDescent="0.35">
      <c r="D364" s="45" t="s">
        <v>120</v>
      </c>
      <c r="E364" s="7">
        <f t="shared" ref="E364:P364" si="71">+E111</f>
        <v>0</v>
      </c>
      <c r="F364" s="7">
        <f t="shared" si="71"/>
        <v>0</v>
      </c>
      <c r="G364" s="7">
        <f t="shared" si="71"/>
        <v>0</v>
      </c>
      <c r="H364" s="7">
        <f t="shared" si="71"/>
        <v>0</v>
      </c>
      <c r="I364" s="7">
        <f t="shared" si="71"/>
        <v>0</v>
      </c>
      <c r="J364" s="7">
        <f t="shared" si="71"/>
        <v>0</v>
      </c>
      <c r="K364" s="7">
        <f t="shared" si="71"/>
        <v>0</v>
      </c>
      <c r="L364" s="7">
        <f t="shared" si="71"/>
        <v>0</v>
      </c>
      <c r="M364" s="7">
        <f t="shared" si="71"/>
        <v>0</v>
      </c>
      <c r="N364" s="7">
        <f t="shared" si="71"/>
        <v>0</v>
      </c>
      <c r="O364" s="7">
        <f t="shared" si="71"/>
        <v>0</v>
      </c>
      <c r="P364" s="7">
        <f t="shared" si="71"/>
        <v>0</v>
      </c>
      <c r="Q364" s="11">
        <f t="shared" si="45"/>
        <v>0</v>
      </c>
      <c r="R364" s="11"/>
      <c r="S364" s="344"/>
    </row>
    <row r="365" spans="4:19" hidden="1" x14ac:dyDescent="0.35">
      <c r="D365" s="45" t="s">
        <v>121</v>
      </c>
      <c r="E365" s="7">
        <f t="shared" ref="E365:P365" si="72">+E112</f>
        <v>0</v>
      </c>
      <c r="F365" s="7">
        <f t="shared" si="72"/>
        <v>0</v>
      </c>
      <c r="G365" s="7">
        <f t="shared" si="72"/>
        <v>0</v>
      </c>
      <c r="H365" s="7">
        <f t="shared" si="72"/>
        <v>0</v>
      </c>
      <c r="I365" s="7">
        <f t="shared" si="72"/>
        <v>0</v>
      </c>
      <c r="J365" s="7">
        <f t="shared" si="72"/>
        <v>0</v>
      </c>
      <c r="K365" s="7">
        <f t="shared" si="72"/>
        <v>0</v>
      </c>
      <c r="L365" s="7">
        <f t="shared" si="72"/>
        <v>0</v>
      </c>
      <c r="M365" s="7">
        <f t="shared" si="72"/>
        <v>0</v>
      </c>
      <c r="N365" s="7">
        <f t="shared" si="72"/>
        <v>0</v>
      </c>
      <c r="O365" s="7">
        <f t="shared" si="72"/>
        <v>0</v>
      </c>
      <c r="P365" s="7">
        <f t="shared" si="72"/>
        <v>0</v>
      </c>
      <c r="Q365" s="11">
        <f t="shared" si="45"/>
        <v>0</v>
      </c>
      <c r="R365" s="11"/>
      <c r="S365" s="344"/>
    </row>
    <row r="366" spans="4:19" hidden="1" x14ac:dyDescent="0.35">
      <c r="D366" s="45" t="s">
        <v>122</v>
      </c>
      <c r="E366" s="7">
        <f t="shared" ref="E366:P366" si="73">+E113</f>
        <v>0</v>
      </c>
      <c r="F366" s="7">
        <f t="shared" si="73"/>
        <v>0</v>
      </c>
      <c r="G366" s="7">
        <f t="shared" si="73"/>
        <v>0</v>
      </c>
      <c r="H366" s="7">
        <f t="shared" si="73"/>
        <v>0</v>
      </c>
      <c r="I366" s="7">
        <f t="shared" si="73"/>
        <v>0</v>
      </c>
      <c r="J366" s="7">
        <f t="shared" si="73"/>
        <v>0</v>
      </c>
      <c r="K366" s="7">
        <f t="shared" si="73"/>
        <v>0</v>
      </c>
      <c r="L366" s="7">
        <f t="shared" si="73"/>
        <v>0</v>
      </c>
      <c r="M366" s="7">
        <f t="shared" si="73"/>
        <v>0</v>
      </c>
      <c r="N366" s="7">
        <f t="shared" si="73"/>
        <v>0</v>
      </c>
      <c r="O366" s="7">
        <f t="shared" si="73"/>
        <v>0</v>
      </c>
      <c r="P366" s="7">
        <f t="shared" si="73"/>
        <v>0</v>
      </c>
      <c r="Q366" s="11">
        <f t="shared" si="45"/>
        <v>0</v>
      </c>
      <c r="R366" s="11"/>
      <c r="S366" s="344"/>
    </row>
    <row r="367" spans="4:19" hidden="1" x14ac:dyDescent="0.35">
      <c r="D367" s="45" t="s">
        <v>123</v>
      </c>
      <c r="E367" s="7">
        <f t="shared" ref="E367:P367" si="74">+E117+E118</f>
        <v>9576</v>
      </c>
      <c r="F367" s="7">
        <f t="shared" si="74"/>
        <v>0</v>
      </c>
      <c r="G367" s="7">
        <f t="shared" si="74"/>
        <v>0</v>
      </c>
      <c r="H367" s="7">
        <f t="shared" si="74"/>
        <v>0</v>
      </c>
      <c r="I367" s="7">
        <f t="shared" si="74"/>
        <v>0</v>
      </c>
      <c r="J367" s="7">
        <f t="shared" si="74"/>
        <v>0</v>
      </c>
      <c r="K367" s="7">
        <f t="shared" si="74"/>
        <v>2346</v>
      </c>
      <c r="L367" s="7">
        <f t="shared" si="74"/>
        <v>0</v>
      </c>
      <c r="M367" s="7">
        <f t="shared" si="74"/>
        <v>0</v>
      </c>
      <c r="N367" s="7">
        <f t="shared" si="74"/>
        <v>0</v>
      </c>
      <c r="O367" s="7">
        <f t="shared" si="74"/>
        <v>3006</v>
      </c>
      <c r="P367" s="7">
        <f t="shared" si="74"/>
        <v>0</v>
      </c>
      <c r="Q367" s="11">
        <f t="shared" si="45"/>
        <v>14928</v>
      </c>
      <c r="R367" s="11"/>
      <c r="S367" s="344"/>
    </row>
    <row r="368" spans="4:19" hidden="1" x14ac:dyDescent="0.35">
      <c r="D368" s="45" t="s">
        <v>124</v>
      </c>
      <c r="E368" s="7">
        <f t="shared" ref="E368:P368" si="75">+E121</f>
        <v>10383.68</v>
      </c>
      <c r="F368" s="7">
        <f t="shared" si="75"/>
        <v>4539.5999999999995</v>
      </c>
      <c r="G368" s="7">
        <f t="shared" si="75"/>
        <v>0</v>
      </c>
      <c r="H368" s="7">
        <f t="shared" si="75"/>
        <v>0</v>
      </c>
      <c r="I368" s="7">
        <f t="shared" si="75"/>
        <v>0</v>
      </c>
      <c r="J368" s="7">
        <f t="shared" si="75"/>
        <v>652.65</v>
      </c>
      <c r="K368" s="7">
        <f t="shared" si="75"/>
        <v>648.94499999999994</v>
      </c>
      <c r="L368" s="7">
        <f t="shared" si="75"/>
        <v>900.72</v>
      </c>
      <c r="M368" s="7">
        <f t="shared" si="75"/>
        <v>0</v>
      </c>
      <c r="N368" s="7">
        <f t="shared" si="75"/>
        <v>0</v>
      </c>
      <c r="O368" s="7">
        <f t="shared" si="75"/>
        <v>1082.1599999999999</v>
      </c>
      <c r="P368" s="7">
        <f t="shared" si="75"/>
        <v>0</v>
      </c>
      <c r="Q368" s="11">
        <f t="shared" si="45"/>
        <v>18207.754999999997</v>
      </c>
      <c r="R368" s="11"/>
      <c r="S368" s="344"/>
    </row>
    <row r="369" spans="1:19" hidden="1" x14ac:dyDescent="0.35">
      <c r="D369" s="45" t="s">
        <v>127</v>
      </c>
      <c r="E369" s="7" t="e">
        <f>+#REF!</f>
        <v>#REF!</v>
      </c>
      <c r="F369" s="7" t="e">
        <f>+#REF!</f>
        <v>#REF!</v>
      </c>
      <c r="G369" s="7" t="e">
        <f>+#REF!</f>
        <v>#REF!</v>
      </c>
      <c r="H369" s="7" t="e">
        <f>+#REF!</f>
        <v>#REF!</v>
      </c>
      <c r="I369" s="7" t="e">
        <f>+#REF!</f>
        <v>#REF!</v>
      </c>
      <c r="J369" s="7" t="e">
        <f>+#REF!</f>
        <v>#REF!</v>
      </c>
      <c r="K369" s="7" t="e">
        <f>+#REF!</f>
        <v>#REF!</v>
      </c>
      <c r="L369" s="7" t="e">
        <f>+#REF!</f>
        <v>#REF!</v>
      </c>
      <c r="M369" s="7" t="e">
        <f>+#REF!</f>
        <v>#REF!</v>
      </c>
      <c r="N369" s="7" t="e">
        <f>+#REF!</f>
        <v>#REF!</v>
      </c>
      <c r="O369" s="7" t="e">
        <f>+#REF!</f>
        <v>#REF!</v>
      </c>
      <c r="P369" s="7" t="e">
        <f>+#REF!</f>
        <v>#REF!</v>
      </c>
      <c r="Q369" s="11" t="e">
        <f t="shared" si="45"/>
        <v>#REF!</v>
      </c>
      <c r="R369" s="11"/>
      <c r="S369" s="344"/>
    </row>
    <row r="370" spans="1:19" hidden="1" x14ac:dyDescent="0.35">
      <c r="D370" s="45" t="s">
        <v>144</v>
      </c>
      <c r="E370" s="7" t="e">
        <f>+#REF!</f>
        <v>#REF!</v>
      </c>
      <c r="F370" s="7" t="e">
        <f>+#REF!</f>
        <v>#REF!</v>
      </c>
      <c r="G370" s="7" t="e">
        <f>+#REF!</f>
        <v>#REF!</v>
      </c>
      <c r="H370" s="7" t="e">
        <f>+#REF!</f>
        <v>#REF!</v>
      </c>
      <c r="I370" s="7" t="e">
        <f>+#REF!</f>
        <v>#REF!</v>
      </c>
      <c r="J370" s="7" t="e">
        <f>+#REF!</f>
        <v>#REF!</v>
      </c>
      <c r="K370" s="7" t="e">
        <f>+#REF!</f>
        <v>#REF!</v>
      </c>
      <c r="L370" s="7" t="e">
        <f>+#REF!</f>
        <v>#REF!</v>
      </c>
      <c r="M370" s="7" t="e">
        <f>+#REF!</f>
        <v>#REF!</v>
      </c>
      <c r="N370" s="7" t="e">
        <f>+#REF!</f>
        <v>#REF!</v>
      </c>
      <c r="O370" s="7" t="e">
        <f>+#REF!</f>
        <v>#REF!</v>
      </c>
      <c r="P370" s="7" t="e">
        <f>+#REF!</f>
        <v>#REF!</v>
      </c>
      <c r="Q370" s="11" t="e">
        <f t="shared" si="45"/>
        <v>#REF!</v>
      </c>
      <c r="R370" s="11"/>
      <c r="S370" s="344"/>
    </row>
    <row r="371" spans="1:19" hidden="1" x14ac:dyDescent="0.35">
      <c r="D371" s="45"/>
      <c r="Q371" s="11"/>
      <c r="R371" s="11"/>
      <c r="S371" s="344"/>
    </row>
    <row r="372" spans="1:19" hidden="1" x14ac:dyDescent="0.35">
      <c r="E372" s="47" t="e">
        <f>SUM(E337:E371)</f>
        <v>#REF!</v>
      </c>
      <c r="F372" s="47" t="e">
        <f t="shared" ref="F372:Q372" si="76">SUM(F337:F371)</f>
        <v>#REF!</v>
      </c>
      <c r="G372" s="47" t="e">
        <f t="shared" si="76"/>
        <v>#REF!</v>
      </c>
      <c r="H372" s="47" t="e">
        <f t="shared" si="76"/>
        <v>#REF!</v>
      </c>
      <c r="I372" s="47" t="e">
        <f t="shared" si="76"/>
        <v>#REF!</v>
      </c>
      <c r="J372" s="47" t="e">
        <f t="shared" si="76"/>
        <v>#REF!</v>
      </c>
      <c r="K372" s="47" t="e">
        <f t="shared" si="76"/>
        <v>#REF!</v>
      </c>
      <c r="L372" s="47" t="e">
        <f t="shared" si="76"/>
        <v>#REF!</v>
      </c>
      <c r="M372" s="47" t="e">
        <f t="shared" si="76"/>
        <v>#REF!</v>
      </c>
      <c r="N372" s="47" t="e">
        <f t="shared" si="76"/>
        <v>#REF!</v>
      </c>
      <c r="O372" s="47" t="e">
        <f t="shared" si="76"/>
        <v>#REF!</v>
      </c>
      <c r="P372" s="47" t="e">
        <f t="shared" si="76"/>
        <v>#REF!</v>
      </c>
      <c r="Q372" s="47" t="e">
        <f t="shared" si="76"/>
        <v>#REF!</v>
      </c>
      <c r="R372" s="11"/>
      <c r="S372" s="344"/>
    </row>
    <row r="373" spans="1:19" hidden="1" x14ac:dyDescent="0.35">
      <c r="Q373" s="48" t="e">
        <f>+#REF!+Q372</f>
        <v>#REF!</v>
      </c>
      <c r="R373" s="11"/>
      <c r="S373" s="344"/>
    </row>
    <row r="374" spans="1:19" hidden="1" x14ac:dyDescent="0.35">
      <c r="R374" s="11"/>
      <c r="S374" s="344"/>
    </row>
    <row r="375" spans="1:19" hidden="1" x14ac:dyDescent="0.35">
      <c r="R375" s="11"/>
      <c r="S375" s="344"/>
    </row>
    <row r="376" spans="1:19" hidden="1" x14ac:dyDescent="0.3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</row>
    <row r="377" spans="1:19" ht="16.5" hidden="1" thickTop="1" x14ac:dyDescent="0.35">
      <c r="A377" s="42"/>
      <c r="B377" s="42"/>
      <c r="C377" s="42"/>
      <c r="D377" s="42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8"/>
      <c r="S377" s="347"/>
    </row>
    <row r="378" spans="1:19" hidden="1" x14ac:dyDescent="0.35"/>
    <row r="379" spans="1:19" hidden="1" x14ac:dyDescent="0.35">
      <c r="E379" s="12" t="s">
        <v>0</v>
      </c>
      <c r="F379" s="12" t="s">
        <v>1</v>
      </c>
      <c r="G379" s="12" t="s">
        <v>2</v>
      </c>
      <c r="H379" s="12" t="s">
        <v>3</v>
      </c>
      <c r="I379" s="12" t="s">
        <v>4</v>
      </c>
      <c r="J379" s="12" t="s">
        <v>5</v>
      </c>
      <c r="K379" s="12" t="s">
        <v>6</v>
      </c>
      <c r="L379" s="12" t="s">
        <v>7</v>
      </c>
      <c r="M379" s="12" t="s">
        <v>8</v>
      </c>
      <c r="N379" s="12" t="s">
        <v>9</v>
      </c>
      <c r="O379" s="12" t="s">
        <v>10</v>
      </c>
      <c r="P379" s="12" t="s">
        <v>11</v>
      </c>
    </row>
    <row r="380" spans="1:19" hidden="1" x14ac:dyDescent="0.35">
      <c r="R380" s="11"/>
      <c r="S380" s="344"/>
    </row>
    <row r="381" spans="1:19" hidden="1" x14ac:dyDescent="0.35">
      <c r="D381" s="7" t="s">
        <v>147</v>
      </c>
      <c r="E381" s="7" t="e">
        <f>+'361'!E184+'362'!E184+'364'!E184+#REF!+#REF!+#REF!+#REF!</f>
        <v>#REF!</v>
      </c>
      <c r="F381" s="7" t="e">
        <f>+'361'!F184+'362'!F184+'364'!F184+#REF!+#REF!+#REF!+#REF!</f>
        <v>#REF!</v>
      </c>
      <c r="G381" s="7" t="e">
        <f>+'361'!G184+'362'!G184+'364'!G184+#REF!+#REF!+#REF!+#REF!</f>
        <v>#REF!</v>
      </c>
      <c r="H381" s="7" t="e">
        <f>+'361'!H184+'362'!H184+'364'!H184+#REF!+#REF!+#REF!+#REF!</f>
        <v>#REF!</v>
      </c>
      <c r="I381" s="7" t="e">
        <f>+'361'!I184+'362'!I184+'364'!I184+#REF!+#REF!+#REF!+#REF!</f>
        <v>#REF!</v>
      </c>
      <c r="J381" s="7" t="e">
        <f>+'361'!J184+'362'!J184+'364'!J184+#REF!+#REF!+#REF!+#REF!</f>
        <v>#REF!</v>
      </c>
      <c r="K381" s="7" t="e">
        <f>+'361'!K184+'362'!K184+'364'!K184+#REF!+#REF!+#REF!+#REF!</f>
        <v>#REF!</v>
      </c>
      <c r="L381" s="7" t="e">
        <f>+'361'!L184+'362'!L184+'364'!L184+#REF!+#REF!+#REF!+#REF!</f>
        <v>#REF!</v>
      </c>
      <c r="M381" s="7" t="e">
        <f>+'361'!M184+'362'!M184+'364'!M184+#REF!+#REF!+#REF!+#REF!</f>
        <v>#REF!</v>
      </c>
      <c r="N381" s="7" t="e">
        <f>+'361'!N184+'362'!N184+'364'!N184+#REF!+#REF!+#REF!+#REF!</f>
        <v>#REF!</v>
      </c>
      <c r="O381" s="7" t="e">
        <f>+'361'!O184+'362'!O184+'364'!O184+#REF!+#REF!+#REF!+#REF!</f>
        <v>#REF!</v>
      </c>
      <c r="P381" s="7" t="e">
        <f>+'361'!P184+'362'!P184+'364'!P184+#REF!+#REF!+#REF!+#REF!</f>
        <v>#REF!</v>
      </c>
      <c r="R381" s="11"/>
      <c r="S381" s="344"/>
    </row>
    <row r="382" spans="1:19" hidden="1" x14ac:dyDescent="0.35"/>
    <row r="383" spans="1:19" hidden="1" x14ac:dyDescent="0.35">
      <c r="D383" s="7" t="s">
        <v>146</v>
      </c>
      <c r="E383" s="7" t="e">
        <f>+'361'!E186+'362'!E186+'364'!E186+#REF!+#REF!+#REF!+#REF!</f>
        <v>#REF!</v>
      </c>
      <c r="F383" s="7" t="e">
        <f>+'361'!F186+'362'!F186+'364'!F186+#REF!+#REF!+#REF!+#REF!</f>
        <v>#REF!</v>
      </c>
      <c r="G383" s="7" t="e">
        <f>+'361'!G186+'362'!G186+'364'!G186+#REF!+#REF!+#REF!+#REF!</f>
        <v>#REF!</v>
      </c>
      <c r="H383" s="7" t="e">
        <f>+'361'!H186+'362'!H186+'364'!H186+#REF!+#REF!+#REF!+#REF!</f>
        <v>#REF!</v>
      </c>
      <c r="I383" s="7" t="e">
        <f>+'361'!I186+'362'!I186+'364'!I186+#REF!+#REF!+#REF!+#REF!</f>
        <v>#REF!</v>
      </c>
      <c r="J383" s="7" t="e">
        <f>+'361'!J186+'362'!J186+'364'!J186+#REF!+#REF!+#REF!+#REF!</f>
        <v>#REF!</v>
      </c>
      <c r="K383" s="7" t="e">
        <f>+'361'!K186+'362'!K186+'364'!K186+#REF!+#REF!+#REF!+#REF!</f>
        <v>#REF!</v>
      </c>
      <c r="L383" s="7" t="e">
        <f>+'361'!L186+'362'!L186+'364'!L186+#REF!+#REF!+#REF!+#REF!</f>
        <v>#REF!</v>
      </c>
      <c r="M383" s="7" t="e">
        <f>+'361'!M186+'362'!M186+'364'!M186+#REF!+#REF!+#REF!+#REF!</f>
        <v>#REF!</v>
      </c>
      <c r="N383" s="7" t="e">
        <f>+'361'!N186+'362'!N186+'364'!N186+#REF!+#REF!+#REF!+#REF!</f>
        <v>#REF!</v>
      </c>
      <c r="O383" s="7" t="e">
        <f>+'361'!O186+'362'!O186+'364'!O186+#REF!+#REF!+#REF!+#REF!</f>
        <v>#REF!</v>
      </c>
      <c r="P383" s="7" t="e">
        <f>+'361'!P186+'362'!P186+'364'!P186+#REF!+#REF!+#REF!+#REF!</f>
        <v>#REF!</v>
      </c>
    </row>
    <row r="384" spans="1:19" hidden="1" x14ac:dyDescent="0.35"/>
    <row r="385" spans="4:16" hidden="1" x14ac:dyDescent="0.35">
      <c r="D385" s="7" t="s">
        <v>148</v>
      </c>
      <c r="E385" s="26" t="e">
        <f>E383/E381</f>
        <v>#REF!</v>
      </c>
      <c r="F385" s="26" t="e">
        <f t="shared" ref="F385:P385" si="77">F383/F381</f>
        <v>#REF!</v>
      </c>
      <c r="G385" s="26" t="e">
        <f t="shared" si="77"/>
        <v>#REF!</v>
      </c>
      <c r="H385" s="26" t="e">
        <f t="shared" si="77"/>
        <v>#REF!</v>
      </c>
      <c r="I385" s="26" t="e">
        <f t="shared" si="77"/>
        <v>#REF!</v>
      </c>
      <c r="J385" s="26" t="e">
        <f t="shared" si="77"/>
        <v>#REF!</v>
      </c>
      <c r="K385" s="26" t="e">
        <f t="shared" si="77"/>
        <v>#REF!</v>
      </c>
      <c r="L385" s="26" t="e">
        <f t="shared" si="77"/>
        <v>#REF!</v>
      </c>
      <c r="M385" s="26" t="e">
        <f t="shared" si="77"/>
        <v>#REF!</v>
      </c>
      <c r="N385" s="26" t="e">
        <f t="shared" si="77"/>
        <v>#REF!</v>
      </c>
      <c r="O385" s="26" t="e">
        <f t="shared" si="77"/>
        <v>#REF!</v>
      </c>
      <c r="P385" s="26" t="e">
        <f t="shared" si="77"/>
        <v>#REF!</v>
      </c>
    </row>
  </sheetData>
  <sheetProtection formatColumns="0" selectLockedCells="1"/>
  <mergeCells count="1">
    <mergeCell ref="B4:C4"/>
  </mergeCells>
  <printOptions horizontalCentered="1" verticalCentered="1"/>
  <pageMargins left="0.25" right="0.25" top="0" bottom="0" header="0.05" footer="0.25"/>
  <pageSetup scale="45" fitToHeight="0" orientation="landscape" r:id="rId1"/>
  <headerFooter>
    <oddHeader>&amp;R&amp;D</oddHeader>
    <oddFooter>Page &amp;P of &amp;N</oddFooter>
  </headerFooter>
  <rowBreaks count="1" manualBreakCount="1">
    <brk id="72" min="1" max="16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0"/>
    <pageSetUpPr fitToPage="1"/>
  </sheetPr>
  <dimension ref="A1:AB374"/>
  <sheetViews>
    <sheetView view="pageBreakPreview" topLeftCell="B109" zoomScale="160" zoomScaleNormal="59" zoomScaleSheetLayoutView="160" workbookViewId="0">
      <selection activeCell="H2" sqref="H2"/>
    </sheetView>
  </sheetViews>
  <sheetFormatPr defaultColWidth="10.81640625" defaultRowHeight="16" outlineLevelCol="1" x14ac:dyDescent="0.35"/>
  <cols>
    <col min="1" max="1" width="15.54296875" style="7" bestFit="1" customWidth="1"/>
    <col min="2" max="2" width="9" style="7" customWidth="1"/>
    <col min="3" max="3" width="2.81640625" style="7" customWidth="1"/>
    <col min="4" max="4" width="37.81640625" style="7" customWidth="1"/>
    <col min="5" max="5" width="14" style="7" customWidth="1"/>
    <col min="6" max="8" width="12.81640625" style="7" customWidth="1"/>
    <col min="9" max="9" width="13.81640625" style="7" customWidth="1"/>
    <col min="10" max="10" width="13.1796875" style="7" customWidth="1"/>
    <col min="11" max="16" width="12.81640625" style="7" customWidth="1"/>
    <col min="17" max="18" width="15.1796875" style="7" bestFit="1" customWidth="1"/>
    <col min="19" max="19" width="13.81640625" style="7" hidden="1" customWidth="1" outlineLevel="1"/>
    <col min="20" max="20" width="14.81640625" style="320" hidden="1" customWidth="1" outlineLevel="1"/>
    <col min="21" max="21" width="9.81640625" style="7" bestFit="1" customWidth="1" collapsed="1"/>
    <col min="22" max="27" width="10.81640625" style="7"/>
    <col min="28" max="28" width="14.54296875" style="7" bestFit="1" customWidth="1"/>
    <col min="29" max="16384" width="10.81640625" style="7"/>
  </cols>
  <sheetData>
    <row r="1" spans="1:22" s="21" customFormat="1" ht="29" x14ac:dyDescent="0.25">
      <c r="B1" s="224">
        <v>3610</v>
      </c>
      <c r="C1" s="224"/>
      <c r="J1" s="22" t="str">
        <f>+'JV III Consolidated'!J1</f>
        <v>Operating Budget</v>
      </c>
      <c r="Q1" s="23">
        <f>'JV III Consolidated'!Q1</f>
        <v>46023</v>
      </c>
      <c r="R1" s="23"/>
      <c r="S1" s="23"/>
      <c r="T1" s="319"/>
    </row>
    <row r="2" spans="1:22" ht="18" x14ac:dyDescent="0.35">
      <c r="J2" s="51" t="str">
        <f>'JV III Consolidated'!J2</f>
        <v>Lincoln JV III</v>
      </c>
    </row>
    <row r="3" spans="1:22" ht="18" x14ac:dyDescent="0.35">
      <c r="Q3" s="355">
        <f>Q1</f>
        <v>46023</v>
      </c>
      <c r="R3" s="356"/>
      <c r="S3" s="321" t="s">
        <v>479</v>
      </c>
      <c r="T3" s="322"/>
    </row>
    <row r="4" spans="1:22" s="12" customFormat="1" ht="18" x14ac:dyDescent="0.35">
      <c r="B4" s="225">
        <f>'Renew &amp; Vac - Rent, TI, LC'!A6</f>
        <v>41821</v>
      </c>
      <c r="C4" s="225"/>
      <c r="D4" s="14"/>
      <c r="E4" s="25" t="s">
        <v>0</v>
      </c>
      <c r="F4" s="25" t="s">
        <v>1</v>
      </c>
      <c r="G4" s="25" t="s">
        <v>2</v>
      </c>
      <c r="H4" s="25" t="s">
        <v>3</v>
      </c>
      <c r="I4" s="25" t="s">
        <v>4</v>
      </c>
      <c r="J4" s="25" t="s">
        <v>5</v>
      </c>
      <c r="K4" s="25" t="s">
        <v>6</v>
      </c>
      <c r="L4" s="25" t="s">
        <v>7</v>
      </c>
      <c r="M4" s="25" t="s">
        <v>8</v>
      </c>
      <c r="N4" s="25" t="s">
        <v>9</v>
      </c>
      <c r="O4" s="25" t="s">
        <v>10</v>
      </c>
      <c r="P4" s="25" t="s">
        <v>11</v>
      </c>
      <c r="Q4" s="120" t="s">
        <v>12</v>
      </c>
      <c r="R4" s="120" t="s">
        <v>338</v>
      </c>
      <c r="S4" s="323" t="s">
        <v>12</v>
      </c>
      <c r="T4" s="324" t="s">
        <v>480</v>
      </c>
      <c r="U4" s="262" t="s">
        <v>444</v>
      </c>
      <c r="V4" s="265" t="s">
        <v>303</v>
      </c>
    </row>
    <row r="5" spans="1:22" x14ac:dyDescent="0.35">
      <c r="Q5" s="121"/>
      <c r="R5" s="121"/>
      <c r="S5" s="325"/>
      <c r="T5" s="326"/>
      <c r="U5" s="11"/>
      <c r="V5" s="11"/>
    </row>
    <row r="6" spans="1:22" s="26" customFormat="1" x14ac:dyDescent="0.35">
      <c r="B6" s="27"/>
      <c r="D6" s="219" t="s">
        <v>13</v>
      </c>
      <c r="E6" s="220">
        <f>'Renew &amp; Vac - Rent, TI, LC'!AH9</f>
        <v>0.58979999999999999</v>
      </c>
      <c r="F6" s="220">
        <f>'Renew &amp; Vac - Rent, TI, LC'!AI9</f>
        <v>0.58979999999999999</v>
      </c>
      <c r="G6" s="220">
        <f>'Renew &amp; Vac - Rent, TI, LC'!AJ9</f>
        <v>0.58979999999999999</v>
      </c>
      <c r="H6" s="220">
        <f>'Renew &amp; Vac - Rent, TI, LC'!AK9</f>
        <v>0.58979999999999999</v>
      </c>
      <c r="I6" s="220">
        <f>'Renew &amp; Vac - Rent, TI, LC'!AL9</f>
        <v>0.58979999999999999</v>
      </c>
      <c r="J6" s="220">
        <f>'Renew &amp; Vac - Rent, TI, LC'!AM9</f>
        <v>0.58979999999999999</v>
      </c>
      <c r="K6" s="220">
        <f>'Renew &amp; Vac - Rent, TI, LC'!AN9</f>
        <v>0.58979999999999999</v>
      </c>
      <c r="L6" s="220">
        <f>'Renew &amp; Vac - Rent, TI, LC'!AO9</f>
        <v>0.58979999999999999</v>
      </c>
      <c r="M6" s="220">
        <f>'Renew &amp; Vac - Rent, TI, LC'!AP9</f>
        <v>0.58979999999999999</v>
      </c>
      <c r="N6" s="220">
        <f>'Renew &amp; Vac - Rent, TI, LC'!AQ9</f>
        <v>0.58979999999999999</v>
      </c>
      <c r="O6" s="220">
        <f>'Renew &amp; Vac - Rent, TI, LC'!AR9</f>
        <v>0.58979999999999999</v>
      </c>
      <c r="P6" s="220">
        <f>'Renew &amp; Vac - Rent, TI, LC'!AS9</f>
        <v>0.58979999999999999</v>
      </c>
      <c r="Q6" s="122"/>
      <c r="R6" s="122"/>
      <c r="S6" s="327"/>
      <c r="T6" s="348"/>
      <c r="U6" s="387"/>
      <c r="V6" s="387"/>
    </row>
    <row r="7" spans="1:22" s="26" customFormat="1" x14ac:dyDescent="0.35">
      <c r="B7" s="27"/>
      <c r="D7" s="219" t="s">
        <v>343</v>
      </c>
      <c r="E7" s="221">
        <f>$B$4*E6</f>
        <v>24666.025799999999</v>
      </c>
      <c r="F7" s="221">
        <f t="shared" ref="F7:P7" si="0">$B$4*F6</f>
        <v>24666.025799999999</v>
      </c>
      <c r="G7" s="221">
        <f t="shared" si="0"/>
        <v>24666.025799999999</v>
      </c>
      <c r="H7" s="221">
        <f t="shared" si="0"/>
        <v>24666.025799999999</v>
      </c>
      <c r="I7" s="221">
        <f t="shared" si="0"/>
        <v>24666.025799999999</v>
      </c>
      <c r="J7" s="221">
        <f t="shared" si="0"/>
        <v>24666.025799999999</v>
      </c>
      <c r="K7" s="221">
        <f t="shared" si="0"/>
        <v>24666.025799999999</v>
      </c>
      <c r="L7" s="221">
        <f t="shared" si="0"/>
        <v>24666.025799999999</v>
      </c>
      <c r="M7" s="221">
        <f t="shared" si="0"/>
        <v>24666.025799999999</v>
      </c>
      <c r="N7" s="221">
        <f t="shared" si="0"/>
        <v>24666.025799999999</v>
      </c>
      <c r="O7" s="221">
        <f t="shared" si="0"/>
        <v>24666.025799999999</v>
      </c>
      <c r="P7" s="221">
        <f t="shared" si="0"/>
        <v>24666.025799999999</v>
      </c>
      <c r="Q7" s="122"/>
      <c r="R7" s="122"/>
      <c r="S7" s="327"/>
      <c r="T7" s="348"/>
      <c r="U7" s="387"/>
      <c r="V7" s="387"/>
    </row>
    <row r="8" spans="1:22" ht="18" x14ac:dyDescent="0.35">
      <c r="B8" s="8" t="s">
        <v>14</v>
      </c>
      <c r="Q8" s="121"/>
      <c r="R8" s="121"/>
      <c r="S8" s="325"/>
      <c r="T8" s="357"/>
      <c r="U8" s="11"/>
      <c r="V8" s="11"/>
    </row>
    <row r="9" spans="1:22" x14ac:dyDescent="0.35">
      <c r="A9" s="72"/>
      <c r="Q9" s="121"/>
      <c r="R9" s="121"/>
      <c r="S9" s="325"/>
      <c r="T9" s="357"/>
      <c r="U9" s="11"/>
      <c r="V9" s="11"/>
    </row>
    <row r="10" spans="1:22" x14ac:dyDescent="0.35">
      <c r="A10" s="72" t="s">
        <v>131</v>
      </c>
      <c r="C10" s="7" t="s">
        <v>158</v>
      </c>
      <c r="E10" s="7">
        <f>SUMIFS('In Place Revenue'!$G:$G,'In Place Revenue'!$A:$A,$B$1,'In Place Revenue'!$H:$H,1)</f>
        <v>25265.129999999997</v>
      </c>
      <c r="F10" s="7">
        <f>SUMIFS('In Place Revenue'!$G:$G,'In Place Revenue'!$A:$A,$B$1,'In Place Revenue'!$H:$H,2)</f>
        <v>21061.799999999996</v>
      </c>
      <c r="G10" s="7">
        <f>SUMIFS('In Place Revenue'!$G:$G,'In Place Revenue'!$A:$A,$B$1,'In Place Revenue'!$H:$H,3)</f>
        <v>19266.299999999996</v>
      </c>
      <c r="H10" s="7">
        <f>SUMIFS('In Place Revenue'!$G:$G,'In Place Revenue'!$A:$A,$B$1,'In Place Revenue'!$H:$H,4)</f>
        <v>17241.88</v>
      </c>
      <c r="I10" s="7">
        <f>SUMIFS('In Place Revenue'!$G:$G,'In Place Revenue'!$A:$A,$B$1,'In Place Revenue'!$H:$H,5)</f>
        <v>15196.88</v>
      </c>
      <c r="J10" s="7">
        <f>SUMIFS('In Place Revenue'!$G:$G,'In Place Revenue'!$A:$A,$B$1,'In Place Revenue'!$H:$H,6)</f>
        <v>9190.630000000001</v>
      </c>
      <c r="K10" s="7">
        <f>SUMIFS('In Place Revenue'!$G:$G,'In Place Revenue'!$A:$A,$B$1,'In Place Revenue'!$H:$H,7)</f>
        <v>7388</v>
      </c>
      <c r="L10" s="7">
        <f>SUMIFS('In Place Revenue'!$G:$G,'In Place Revenue'!$A:$A,$B$1,'In Place Revenue'!$H:$H,8)</f>
        <v>6171.75</v>
      </c>
      <c r="M10" s="7">
        <f>SUMIFS('In Place Revenue'!$G:$G,'In Place Revenue'!$A:$A,$B$1,'In Place Revenue'!$H:$H,9)</f>
        <v>6171.75</v>
      </c>
      <c r="N10" s="7">
        <f>SUMIFS('In Place Revenue'!$G:$G,'In Place Revenue'!$A:$A,$B$1,'In Place Revenue'!$H:$H,10)</f>
        <v>4414.25</v>
      </c>
      <c r="O10" s="7">
        <f>SUMIFS('In Place Revenue'!$G:$G,'In Place Revenue'!$A:$A,$B$1,'In Place Revenue'!$H:$H,11)</f>
        <v>4414.25</v>
      </c>
      <c r="P10" s="7">
        <f>SUMIFS('In Place Revenue'!$G:$G,'In Place Revenue'!$A:$A,$B$1,'In Place Revenue'!$H:$H,12)</f>
        <v>4414.25</v>
      </c>
      <c r="Q10" s="121">
        <f>SUM(E10:P10)</f>
        <v>140196.87</v>
      </c>
      <c r="R10" s="358">
        <f>Q10/$B$4</f>
        <v>3.3523079314220126</v>
      </c>
      <c r="S10" s="325">
        <v>344588.27</v>
      </c>
      <c r="T10" s="348">
        <f>IFERROR((Q10+Q11)/S10-1,"-")</f>
        <v>0.166739860297624</v>
      </c>
      <c r="U10" s="11"/>
      <c r="V10" s="11" t="s">
        <v>589</v>
      </c>
    </row>
    <row r="11" spans="1:22" x14ac:dyDescent="0.35">
      <c r="A11" s="72" t="s">
        <v>131</v>
      </c>
      <c r="C11" s="7" t="s">
        <v>159</v>
      </c>
      <c r="E11" s="7">
        <f>'Renew &amp; Vac - Rent, TI, LC'!AH10</f>
        <v>9431.875</v>
      </c>
      <c r="F11" s="7">
        <f>'Renew &amp; Vac - Rent, TI, LC'!AI10</f>
        <v>13635.208333333334</v>
      </c>
      <c r="G11" s="7">
        <f>'Renew &amp; Vac - Rent, TI, LC'!AJ10</f>
        <v>15430.708333333334</v>
      </c>
      <c r="H11" s="7">
        <f>'Renew &amp; Vac - Rent, TI, LC'!AK10</f>
        <v>15430.708333333334</v>
      </c>
      <c r="I11" s="7">
        <f>'Renew &amp; Vac - Rent, TI, LC'!AL10</f>
        <v>17475.708333333332</v>
      </c>
      <c r="J11" s="7">
        <f>'Renew &amp; Vac - Rent, TI, LC'!AM10</f>
        <v>23605.291666666668</v>
      </c>
      <c r="K11" s="7">
        <f>'Renew &amp; Vac - Rent, TI, LC'!AN10</f>
        <v>25407.916666666668</v>
      </c>
      <c r="L11" s="7">
        <f>'Renew &amp; Vac - Rent, TI, LC'!AO10</f>
        <v>26658.916666666668</v>
      </c>
      <c r="M11" s="7">
        <f>'Renew &amp; Vac - Rent, TI, LC'!AP10</f>
        <v>26658.916666666668</v>
      </c>
      <c r="N11" s="7">
        <f>'Renew &amp; Vac - Rent, TI, LC'!AQ10</f>
        <v>28368.916666666668</v>
      </c>
      <c r="O11" s="7">
        <f>'Renew &amp; Vac - Rent, TI, LC'!AR10</f>
        <v>29871.916666666668</v>
      </c>
      <c r="P11" s="7">
        <f>'Renew &amp; Vac - Rent, TI, LC'!AS10</f>
        <v>29871.916666666668</v>
      </c>
      <c r="Q11" s="121">
        <f>SUM(E11:P11)</f>
        <v>261847.99999999997</v>
      </c>
      <c r="R11" s="358">
        <f t="shared" ref="R11:R71" si="1">Q11/$B$4</f>
        <v>6.2611606609119814</v>
      </c>
      <c r="S11" s="325"/>
      <c r="T11" s="348" t="str">
        <f t="shared" ref="T11" si="2">IFERROR(Q11/S11-1,"-")</f>
        <v>-</v>
      </c>
      <c r="U11" s="11"/>
      <c r="V11" s="11"/>
    </row>
    <row r="12" spans="1:22" hidden="1" x14ac:dyDescent="0.35">
      <c r="A12" s="72" t="s">
        <v>96</v>
      </c>
      <c r="C12" s="7" t="s">
        <v>15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21">
        <f>SUM(E12:P12)</f>
        <v>0</v>
      </c>
      <c r="R12" s="358">
        <f t="shared" si="1"/>
        <v>0</v>
      </c>
      <c r="S12" s="325"/>
      <c r="T12" s="348" t="e">
        <f t="shared" ref="T12" si="3">R12/S12-1</f>
        <v>#DIV/0!</v>
      </c>
      <c r="U12" s="11"/>
      <c r="V12" s="11"/>
    </row>
    <row r="13" spans="1:22" x14ac:dyDescent="0.35">
      <c r="A13" s="72" t="s">
        <v>132</v>
      </c>
      <c r="C13" s="7" t="s">
        <v>16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21">
        <f>SUM(E13:P13)</f>
        <v>0</v>
      </c>
      <c r="R13" s="358">
        <f t="shared" si="1"/>
        <v>0</v>
      </c>
      <c r="S13" s="325"/>
      <c r="T13" s="348" t="str">
        <f t="shared" ref="T13:T14" si="4">IFERROR(Q13/S13-1,"-")</f>
        <v>-</v>
      </c>
      <c r="U13" s="11"/>
      <c r="V13" s="11"/>
    </row>
    <row r="14" spans="1:22" x14ac:dyDescent="0.35">
      <c r="A14" s="72" t="s">
        <v>133</v>
      </c>
      <c r="C14" s="7" t="s">
        <v>17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21">
        <f>SUM(E14:P14)</f>
        <v>0</v>
      </c>
      <c r="R14" s="358">
        <f t="shared" si="1"/>
        <v>0</v>
      </c>
      <c r="S14" s="325"/>
      <c r="T14" s="348" t="str">
        <f t="shared" si="4"/>
        <v>-</v>
      </c>
      <c r="U14" s="11"/>
      <c r="V14" s="11"/>
    </row>
    <row r="15" spans="1:22" x14ac:dyDescent="0.35">
      <c r="A15" s="72"/>
      <c r="C15" s="7" t="s">
        <v>18</v>
      </c>
      <c r="D15" s="14"/>
      <c r="E15" s="29">
        <f t="shared" ref="E15:Q15" si="5">SUM(E10:E14)</f>
        <v>34697.004999999997</v>
      </c>
      <c r="F15" s="29">
        <f t="shared" si="5"/>
        <v>34697.008333333331</v>
      </c>
      <c r="G15" s="29">
        <f t="shared" si="5"/>
        <v>34697.008333333331</v>
      </c>
      <c r="H15" s="29">
        <f t="shared" si="5"/>
        <v>32672.588333333333</v>
      </c>
      <c r="I15" s="29">
        <f t="shared" si="5"/>
        <v>32672.588333333333</v>
      </c>
      <c r="J15" s="29">
        <f t="shared" si="5"/>
        <v>32795.921666666669</v>
      </c>
      <c r="K15" s="29">
        <f t="shared" si="5"/>
        <v>32795.916666666672</v>
      </c>
      <c r="L15" s="29">
        <f t="shared" si="5"/>
        <v>32830.666666666672</v>
      </c>
      <c r="M15" s="29">
        <f t="shared" si="5"/>
        <v>32830.666666666672</v>
      </c>
      <c r="N15" s="29">
        <f t="shared" si="5"/>
        <v>32783.166666666672</v>
      </c>
      <c r="O15" s="29">
        <f t="shared" si="5"/>
        <v>34286.166666666672</v>
      </c>
      <c r="P15" s="29">
        <f t="shared" si="5"/>
        <v>34286.166666666672</v>
      </c>
      <c r="Q15" s="130">
        <f t="shared" si="5"/>
        <v>402044.87</v>
      </c>
      <c r="R15" s="359">
        <f t="shared" si="1"/>
        <v>9.6134685923339944</v>
      </c>
      <c r="S15" s="330">
        <f>SUM(S10:S14)</f>
        <v>344588.27</v>
      </c>
      <c r="T15" s="360">
        <f>IFERROR(Q15/S15-1,"-")</f>
        <v>0.166739860297624</v>
      </c>
      <c r="U15" s="11"/>
      <c r="V15" s="11"/>
    </row>
    <row r="16" spans="1:22" ht="18" x14ac:dyDescent="0.35">
      <c r="A16" s="72"/>
      <c r="Q16" s="123"/>
      <c r="R16" s="361"/>
      <c r="S16" s="331"/>
      <c r="T16" s="362"/>
      <c r="U16" s="11"/>
      <c r="V16" s="11"/>
    </row>
    <row r="17" spans="1:28" ht="18" x14ac:dyDescent="0.35">
      <c r="A17" s="72"/>
      <c r="B17" s="8" t="s">
        <v>19</v>
      </c>
      <c r="Q17" s="121"/>
      <c r="R17" s="358"/>
      <c r="S17" s="325"/>
      <c r="T17" s="348"/>
      <c r="U17" s="11"/>
      <c r="V17" s="11"/>
    </row>
    <row r="18" spans="1:28" x14ac:dyDescent="0.35">
      <c r="A18" s="72" t="s">
        <v>97</v>
      </c>
      <c r="C18" s="7" t="s">
        <v>20</v>
      </c>
      <c r="E18" s="7">
        <f>E6*E29</f>
        <v>4529.0742</v>
      </c>
      <c r="F18" s="7">
        <f t="shared" ref="F18:P18" si="6">F6*F29</f>
        <v>3922.7597999999998</v>
      </c>
      <c r="G18" s="7">
        <f t="shared" si="6"/>
        <v>2932.4856</v>
      </c>
      <c r="H18" s="7">
        <f t="shared" si="6"/>
        <v>1787.6838</v>
      </c>
      <c r="I18" s="7">
        <f t="shared" si="6"/>
        <v>1485.1163999999999</v>
      </c>
      <c r="J18" s="7">
        <f t="shared" si="6"/>
        <v>1739.91</v>
      </c>
      <c r="K18" s="7">
        <f t="shared" si="6"/>
        <v>2132.127</v>
      </c>
      <c r="L18" s="7">
        <f t="shared" si="6"/>
        <v>2111.4839999999999</v>
      </c>
      <c r="M18" s="7">
        <f t="shared" si="6"/>
        <v>1602.4866</v>
      </c>
      <c r="N18" s="7">
        <f t="shared" si="6"/>
        <v>1672.0830000000001</v>
      </c>
      <c r="O18" s="7">
        <f t="shared" si="6"/>
        <v>2401.0758000000001</v>
      </c>
      <c r="P18" s="7">
        <f t="shared" si="6"/>
        <v>4106.7773999999999</v>
      </c>
      <c r="Q18" s="121">
        <f>SUM(E18:P18)</f>
        <v>30423.063599999998</v>
      </c>
      <c r="R18" s="358">
        <f t="shared" ref="R18" si="7">Q18/$B$4</f>
        <v>0.72745901819659975</v>
      </c>
      <c r="S18" s="325">
        <v>28439.420000000002</v>
      </c>
      <c r="T18" s="348">
        <f t="shared" ref="T18:T21" si="8">IFERROR(Q18/S18-1,"-")</f>
        <v>6.9749790959168445E-2</v>
      </c>
      <c r="U18" s="284" t="s">
        <v>304</v>
      </c>
      <c r="V18" s="285" t="str">
        <f>Q18/Q29*100&amp;"% Set to occupancy"</f>
        <v>58.98% Set to occupancy</v>
      </c>
    </row>
    <row r="19" spans="1:28" x14ac:dyDescent="0.35">
      <c r="A19" s="72" t="s">
        <v>98</v>
      </c>
      <c r="C19" s="7" t="s">
        <v>21</v>
      </c>
      <c r="E19" s="7">
        <f>+'Tenant Recoveries'!F21</f>
        <v>1670</v>
      </c>
      <c r="F19" s="7">
        <f t="shared" ref="F19:P19" si="9">+E19</f>
        <v>1670</v>
      </c>
      <c r="G19" s="7">
        <f t="shared" si="9"/>
        <v>1670</v>
      </c>
      <c r="H19" s="7">
        <f t="shared" si="9"/>
        <v>1670</v>
      </c>
      <c r="I19" s="7">
        <f t="shared" si="9"/>
        <v>1670</v>
      </c>
      <c r="J19" s="7">
        <f t="shared" si="9"/>
        <v>1670</v>
      </c>
      <c r="K19" s="7">
        <f t="shared" si="9"/>
        <v>1670</v>
      </c>
      <c r="L19" s="7">
        <f t="shared" si="9"/>
        <v>1670</v>
      </c>
      <c r="M19" s="7">
        <f t="shared" si="9"/>
        <v>1670</v>
      </c>
      <c r="N19" s="7">
        <f t="shared" si="9"/>
        <v>1670</v>
      </c>
      <c r="O19" s="7">
        <f t="shared" si="9"/>
        <v>1670</v>
      </c>
      <c r="P19" s="7">
        <f t="shared" si="9"/>
        <v>1670</v>
      </c>
      <c r="Q19" s="121">
        <f>SUM(E19:P19)</f>
        <v>20040</v>
      </c>
      <c r="R19" s="358">
        <f t="shared" si="1"/>
        <v>0.47918509839554291</v>
      </c>
      <c r="S19" s="325">
        <v>17594</v>
      </c>
      <c r="T19" s="348">
        <f t="shared" si="8"/>
        <v>0.13902466750028419</v>
      </c>
      <c r="U19" s="11"/>
      <c r="V19" s="285">
        <f>Q19/(Q71-Q63-Q58-Q29)</f>
        <v>9.1197906161194164E-2</v>
      </c>
    </row>
    <row r="20" spans="1:28" x14ac:dyDescent="0.35">
      <c r="A20" s="72" t="s">
        <v>99</v>
      </c>
      <c r="C20" s="7" t="s">
        <v>22</v>
      </c>
      <c r="E20" s="7">
        <f>+'Tenant Recoveries'!F22</f>
        <v>130</v>
      </c>
      <c r="F20" s="7">
        <f t="shared" ref="F20:P20" si="10">+E20</f>
        <v>130</v>
      </c>
      <c r="G20" s="7">
        <f t="shared" si="10"/>
        <v>130</v>
      </c>
      <c r="H20" s="7">
        <f t="shared" si="10"/>
        <v>130</v>
      </c>
      <c r="I20" s="7">
        <f t="shared" si="10"/>
        <v>130</v>
      </c>
      <c r="J20" s="7">
        <f t="shared" si="10"/>
        <v>130</v>
      </c>
      <c r="K20" s="7">
        <f t="shared" si="10"/>
        <v>130</v>
      </c>
      <c r="L20" s="7">
        <f t="shared" si="10"/>
        <v>130</v>
      </c>
      <c r="M20" s="7">
        <f t="shared" si="10"/>
        <v>130</v>
      </c>
      <c r="N20" s="7">
        <f t="shared" si="10"/>
        <v>130</v>
      </c>
      <c r="O20" s="7">
        <f t="shared" si="10"/>
        <v>130</v>
      </c>
      <c r="P20" s="7">
        <f t="shared" si="10"/>
        <v>130</v>
      </c>
      <c r="Q20" s="121">
        <f>SUM(E20:P20)</f>
        <v>1560</v>
      </c>
      <c r="R20" s="358">
        <f t="shared" si="1"/>
        <v>3.7301834006838668E-2</v>
      </c>
      <c r="S20" s="325">
        <v>3386</v>
      </c>
      <c r="T20" s="348">
        <f t="shared" si="8"/>
        <v>-0.53927938570584755</v>
      </c>
      <c r="U20" s="11"/>
      <c r="V20" s="285">
        <f>Q20/Q58</f>
        <v>3.8425745159305025E-2</v>
      </c>
    </row>
    <row r="21" spans="1:28" x14ac:dyDescent="0.35">
      <c r="A21" s="72" t="s">
        <v>134</v>
      </c>
      <c r="C21" s="7" t="s">
        <v>23</v>
      </c>
      <c r="Q21" s="121">
        <f>SUM(E21:P21)</f>
        <v>0</v>
      </c>
      <c r="R21" s="358">
        <f t="shared" si="1"/>
        <v>0</v>
      </c>
      <c r="S21" s="325"/>
      <c r="T21" s="363" t="str">
        <f t="shared" si="8"/>
        <v>-</v>
      </c>
      <c r="U21" s="11"/>
      <c r="V21" s="11"/>
    </row>
    <row r="22" spans="1:28" x14ac:dyDescent="0.35">
      <c r="A22" s="72"/>
      <c r="C22" s="7" t="s">
        <v>24</v>
      </c>
      <c r="D22" s="14"/>
      <c r="E22" s="29">
        <f t="shared" ref="E22:Q22" si="11">SUM(E18:E21)</f>
        <v>6329.0742</v>
      </c>
      <c r="F22" s="29">
        <f t="shared" si="11"/>
        <v>5722.7597999999998</v>
      </c>
      <c r="G22" s="29">
        <f t="shared" si="11"/>
        <v>4732.4856</v>
      </c>
      <c r="H22" s="29">
        <f t="shared" si="11"/>
        <v>3587.6837999999998</v>
      </c>
      <c r="I22" s="29">
        <f t="shared" si="11"/>
        <v>3285.1163999999999</v>
      </c>
      <c r="J22" s="29">
        <f t="shared" si="11"/>
        <v>3539.91</v>
      </c>
      <c r="K22" s="29">
        <f t="shared" si="11"/>
        <v>3932.127</v>
      </c>
      <c r="L22" s="29">
        <f t="shared" si="11"/>
        <v>3911.4839999999999</v>
      </c>
      <c r="M22" s="29">
        <f t="shared" si="11"/>
        <v>3402.4866000000002</v>
      </c>
      <c r="N22" s="29">
        <f t="shared" si="11"/>
        <v>3472.0830000000001</v>
      </c>
      <c r="O22" s="29">
        <f t="shared" si="11"/>
        <v>4201.0758000000005</v>
      </c>
      <c r="P22" s="29">
        <f t="shared" si="11"/>
        <v>5906.7773999999999</v>
      </c>
      <c r="Q22" s="130">
        <f t="shared" si="11"/>
        <v>52023.063599999994</v>
      </c>
      <c r="R22" s="359">
        <f t="shared" si="1"/>
        <v>1.2439459505989812</v>
      </c>
      <c r="S22" s="330">
        <f>SUM(S18:S21)</f>
        <v>49419.42</v>
      </c>
      <c r="T22" s="360">
        <f>IFERROR(Q22/S22-1,"-")</f>
        <v>5.2684624789202328E-2</v>
      </c>
      <c r="U22" s="11"/>
      <c r="V22" s="11"/>
    </row>
    <row r="23" spans="1:28" ht="16.5" thickBot="1" x14ac:dyDescent="0.4">
      <c r="A23" s="72"/>
      <c r="Q23" s="121"/>
      <c r="R23" s="358">
        <f t="shared" si="1"/>
        <v>0</v>
      </c>
      <c r="S23" s="325"/>
      <c r="T23" s="348"/>
      <c r="U23" s="11"/>
      <c r="V23" s="11"/>
    </row>
    <row r="24" spans="1:28" s="10" customFormat="1" ht="18" thickBot="1" x14ac:dyDescent="0.4">
      <c r="A24" s="253"/>
      <c r="B24" s="254" t="s">
        <v>25</v>
      </c>
      <c r="C24" s="255"/>
      <c r="D24" s="255"/>
      <c r="E24" s="255">
        <f t="shared" ref="E24:Q24" si="12">+E15+E22</f>
        <v>41026.0792</v>
      </c>
      <c r="F24" s="255">
        <f t="shared" si="12"/>
        <v>40419.768133333331</v>
      </c>
      <c r="G24" s="255">
        <f t="shared" si="12"/>
        <v>39429.493933333331</v>
      </c>
      <c r="H24" s="255">
        <f t="shared" si="12"/>
        <v>36260.272133333332</v>
      </c>
      <c r="I24" s="255">
        <f t="shared" si="12"/>
        <v>35957.704733333332</v>
      </c>
      <c r="J24" s="255">
        <f t="shared" si="12"/>
        <v>36335.831666666665</v>
      </c>
      <c r="K24" s="255">
        <f t="shared" si="12"/>
        <v>36728.043666666672</v>
      </c>
      <c r="L24" s="255">
        <f t="shared" si="12"/>
        <v>36742.150666666668</v>
      </c>
      <c r="M24" s="255">
        <f t="shared" si="12"/>
        <v>36233.153266666675</v>
      </c>
      <c r="N24" s="255">
        <f t="shared" si="12"/>
        <v>36255.24966666667</v>
      </c>
      <c r="O24" s="255">
        <f t="shared" si="12"/>
        <v>38487.24246666667</v>
      </c>
      <c r="P24" s="255">
        <f t="shared" si="12"/>
        <v>40192.944066666671</v>
      </c>
      <c r="Q24" s="364">
        <f t="shared" si="12"/>
        <v>454067.93359999999</v>
      </c>
      <c r="R24" s="365">
        <f t="shared" si="1"/>
        <v>10.857414542932975</v>
      </c>
      <c r="S24" s="333">
        <f>+S15+S22</f>
        <v>394007.69</v>
      </c>
      <c r="T24" s="366">
        <f t="shared" ref="T24" si="13">IFERROR(Q24/S24-1,"-")</f>
        <v>0.15243419132250935</v>
      </c>
      <c r="U24" s="388"/>
      <c r="V24" s="425" t="s">
        <v>587</v>
      </c>
      <c r="W24" s="426"/>
      <c r="X24" s="426"/>
      <c r="Y24" s="426"/>
      <c r="Z24" s="426"/>
    </row>
    <row r="25" spans="1:28" ht="18" x14ac:dyDescent="0.35">
      <c r="A25" s="72"/>
      <c r="Q25" s="123"/>
      <c r="R25" s="361"/>
      <c r="S25" s="331"/>
      <c r="T25" s="362"/>
      <c r="U25" s="11"/>
      <c r="V25" s="430" t="s">
        <v>590</v>
      </c>
      <c r="W25" s="431"/>
      <c r="X25" s="431"/>
      <c r="Y25" s="431"/>
      <c r="Z25" s="431">
        <f>1838+2394-1429</f>
        <v>2803</v>
      </c>
      <c r="AA25" s="431">
        <f>+Z25*18.5</f>
        <v>51855.5</v>
      </c>
      <c r="AB25" s="432">
        <f>+Q24-S24</f>
        <v>60060.243599999987</v>
      </c>
    </row>
    <row r="26" spans="1:28" ht="18" x14ac:dyDescent="0.35">
      <c r="A26" s="72"/>
      <c r="B26" s="8" t="s">
        <v>26</v>
      </c>
      <c r="Q26" s="121"/>
      <c r="R26" s="358"/>
      <c r="S26" s="325"/>
      <c r="T26" s="348"/>
      <c r="U26" s="11"/>
      <c r="V26" s="11"/>
    </row>
    <row r="27" spans="1:28" x14ac:dyDescent="0.35">
      <c r="A27" s="72" t="s">
        <v>100</v>
      </c>
      <c r="C27" s="7" t="s">
        <v>27</v>
      </c>
      <c r="E27" s="7">
        <f>'Allocated Expenses'!E4</f>
        <v>1179.5</v>
      </c>
      <c r="F27" s="7">
        <f>'Allocated Expenses'!F4</f>
        <v>1179.5</v>
      </c>
      <c r="G27" s="7">
        <f>'Allocated Expenses'!G4</f>
        <v>1179.5</v>
      </c>
      <c r="H27" s="7">
        <f>'Allocated Expenses'!H4</f>
        <v>1179.5</v>
      </c>
      <c r="I27" s="7">
        <f>'Allocated Expenses'!I4</f>
        <v>1179.5</v>
      </c>
      <c r="J27" s="7">
        <f>'Allocated Expenses'!J4</f>
        <v>1179.5</v>
      </c>
      <c r="K27" s="7">
        <f>'Allocated Expenses'!K4</f>
        <v>1179.5</v>
      </c>
      <c r="L27" s="7">
        <f>'Allocated Expenses'!L4</f>
        <v>1179.5</v>
      </c>
      <c r="M27" s="7">
        <f>'Allocated Expenses'!M4</f>
        <v>1179.5</v>
      </c>
      <c r="N27" s="7">
        <f>'Allocated Expenses'!N4</f>
        <v>1179.5</v>
      </c>
      <c r="O27" s="7">
        <f>'Allocated Expenses'!O4</f>
        <v>1179.5</v>
      </c>
      <c r="P27" s="7">
        <f>'Allocated Expenses'!P4</f>
        <v>1179.5</v>
      </c>
      <c r="Q27" s="121">
        <f>SUM(E27:P27)</f>
        <v>14154</v>
      </c>
      <c r="R27" s="358">
        <f t="shared" si="1"/>
        <v>0.33844240931589392</v>
      </c>
      <c r="S27" s="325">
        <v>8881.32</v>
      </c>
      <c r="T27" s="348">
        <f>IFERROR(Q27/S27-1,"-")</f>
        <v>0.59368202024023464</v>
      </c>
      <c r="U27" s="11"/>
      <c r="V27" s="11"/>
    </row>
    <row r="28" spans="1:28" x14ac:dyDescent="0.35">
      <c r="A28" s="72"/>
      <c r="Q28" s="121"/>
      <c r="R28" s="358"/>
      <c r="S28" s="325"/>
      <c r="T28" s="348"/>
      <c r="U28" s="11"/>
      <c r="V28" s="11"/>
    </row>
    <row r="29" spans="1:28" x14ac:dyDescent="0.35">
      <c r="A29" s="72" t="s">
        <v>101</v>
      </c>
      <c r="C29" s="7" t="s">
        <v>20</v>
      </c>
      <c r="E29" s="13">
        <v>7679</v>
      </c>
      <c r="F29" s="13">
        <v>6651</v>
      </c>
      <c r="G29" s="13">
        <v>4972</v>
      </c>
      <c r="H29" s="13">
        <v>3031</v>
      </c>
      <c r="I29" s="13">
        <v>2518</v>
      </c>
      <c r="J29" s="13">
        <v>2950</v>
      </c>
      <c r="K29" s="13">
        <v>3615</v>
      </c>
      <c r="L29" s="13">
        <v>3580</v>
      </c>
      <c r="M29" s="13">
        <v>2717</v>
      </c>
      <c r="N29" s="13">
        <v>2835</v>
      </c>
      <c r="O29" s="13">
        <v>4071</v>
      </c>
      <c r="P29" s="13">
        <v>6963</v>
      </c>
      <c r="Q29" s="121">
        <f>SUM(E29:P29)</f>
        <v>51582</v>
      </c>
      <c r="R29" s="358">
        <f t="shared" si="1"/>
        <v>1.2333994882953541</v>
      </c>
      <c r="S29" s="325">
        <v>49514.07</v>
      </c>
      <c r="T29" s="348">
        <f>IFERROR(Q29/S29-1,"-")</f>
        <v>4.1764492395797825E-2</v>
      </c>
      <c r="U29" s="11" t="s">
        <v>304</v>
      </c>
      <c r="V29" s="11" t="s">
        <v>513</v>
      </c>
    </row>
    <row r="30" spans="1:28" x14ac:dyDescent="0.35">
      <c r="A30" s="72"/>
      <c r="Q30" s="121"/>
      <c r="R30" s="358"/>
      <c r="S30" s="325"/>
      <c r="T30" s="348"/>
      <c r="U30" s="11"/>
      <c r="V30" s="11"/>
    </row>
    <row r="31" spans="1:28" x14ac:dyDescent="0.35">
      <c r="A31" s="72" t="s">
        <v>102</v>
      </c>
      <c r="C31" s="7" t="s">
        <v>28</v>
      </c>
      <c r="E31" s="7">
        <f>'Water Sewer'!D9</f>
        <v>1965.4</v>
      </c>
      <c r="F31" s="7">
        <f>'Water Sewer'!E9</f>
        <v>1938.62</v>
      </c>
      <c r="G31" s="7">
        <f>'Water Sewer'!F9</f>
        <v>1875.79</v>
      </c>
      <c r="H31" s="7">
        <f>'Water Sewer'!G9</f>
        <v>1798.54</v>
      </c>
      <c r="I31" s="7">
        <f>'Water Sewer'!H9</f>
        <v>1995.27</v>
      </c>
      <c r="J31" s="7">
        <f>'Water Sewer'!I9</f>
        <v>1897.42</v>
      </c>
      <c r="K31" s="7">
        <f>'Water Sewer'!J9</f>
        <v>1907.72</v>
      </c>
      <c r="L31" s="7">
        <f>'Water Sewer'!K9</f>
        <v>1988.06</v>
      </c>
      <c r="M31" s="7">
        <f>'Water Sewer'!L9</f>
        <v>1783.0900000000001</v>
      </c>
      <c r="N31" s="7">
        <f>'Water Sewer'!M9</f>
        <v>1900.51</v>
      </c>
      <c r="O31" s="7">
        <f>'Water Sewer'!N9</f>
        <v>2097.2399999999998</v>
      </c>
      <c r="P31" s="7">
        <f>'Water Sewer'!O9</f>
        <v>2011.75</v>
      </c>
      <c r="Q31" s="121">
        <f>SUM(E31:P31)</f>
        <v>23159.409999999996</v>
      </c>
      <c r="R31" s="358">
        <f t="shared" si="1"/>
        <v>0.55377465866430731</v>
      </c>
      <c r="S31" s="325">
        <v>23066.28</v>
      </c>
      <c r="T31" s="348">
        <f>IFERROR(Q31/S31-1,"-")</f>
        <v>4.0374954262238916E-3</v>
      </c>
      <c r="U31" s="11" t="s">
        <v>515</v>
      </c>
      <c r="V31" s="11" t="s">
        <v>561</v>
      </c>
    </row>
    <row r="32" spans="1:28" x14ac:dyDescent="0.35">
      <c r="A32" s="72"/>
      <c r="Q32" s="121"/>
      <c r="R32" s="358"/>
      <c r="S32" s="325"/>
      <c r="T32" s="348"/>
      <c r="U32" s="11"/>
      <c r="V32" s="11"/>
    </row>
    <row r="33" spans="1:22" x14ac:dyDescent="0.35">
      <c r="A33" s="72"/>
      <c r="D33" s="53" t="s">
        <v>29</v>
      </c>
      <c r="E33" s="47">
        <f>'Building Maint'!C13</f>
        <v>1960</v>
      </c>
      <c r="F33" s="47">
        <f>'Building Maint'!D13</f>
        <v>1660</v>
      </c>
      <c r="G33" s="47">
        <f>'Building Maint'!E13</f>
        <v>1820</v>
      </c>
      <c r="H33" s="47">
        <f>'Building Maint'!F13</f>
        <v>2610</v>
      </c>
      <c r="I33" s="47">
        <f>'Building Maint'!G13</f>
        <v>1010</v>
      </c>
      <c r="J33" s="47">
        <f>'Building Maint'!H13</f>
        <v>1010</v>
      </c>
      <c r="K33" s="47">
        <f>'Building Maint'!I13</f>
        <v>2610</v>
      </c>
      <c r="L33" s="47">
        <f>'Building Maint'!J13</f>
        <v>1010</v>
      </c>
      <c r="M33" s="47">
        <f>'Building Maint'!K13</f>
        <v>1010</v>
      </c>
      <c r="N33" s="47">
        <f>'Building Maint'!L13</f>
        <v>3420</v>
      </c>
      <c r="O33" s="47">
        <f>'Building Maint'!M13</f>
        <v>1010</v>
      </c>
      <c r="P33" s="47">
        <f>'Building Maint'!N13</f>
        <v>1010</v>
      </c>
      <c r="Q33" s="367">
        <f>SUM(E33:P33)</f>
        <v>20140</v>
      </c>
      <c r="R33" s="368">
        <f t="shared" si="1"/>
        <v>0.48157624160110951</v>
      </c>
      <c r="S33" s="325"/>
      <c r="T33" s="348"/>
      <c r="U33" s="11"/>
      <c r="V33" s="11"/>
    </row>
    <row r="34" spans="1:22" x14ac:dyDescent="0.35">
      <c r="A34" s="72"/>
      <c r="D34" s="54" t="s">
        <v>30</v>
      </c>
      <c r="E34" s="7">
        <f>'Building Maint'!C6</f>
        <v>2115</v>
      </c>
      <c r="F34" s="7">
        <f>'Building Maint'!D6</f>
        <v>2040</v>
      </c>
      <c r="G34" s="7">
        <f>'Building Maint'!E6</f>
        <v>1815</v>
      </c>
      <c r="H34" s="7">
        <f>'Building Maint'!F6</f>
        <v>2215</v>
      </c>
      <c r="I34" s="7">
        <f>'Building Maint'!G6</f>
        <v>4290</v>
      </c>
      <c r="J34" s="7">
        <f>'Building Maint'!H6</f>
        <v>1690</v>
      </c>
      <c r="K34" s="7">
        <f>'Building Maint'!I6</f>
        <v>2385</v>
      </c>
      <c r="L34" s="7">
        <f>'Building Maint'!J6</f>
        <v>1690</v>
      </c>
      <c r="M34" s="7">
        <f>'Building Maint'!K6</f>
        <v>4015</v>
      </c>
      <c r="N34" s="7">
        <f>'Building Maint'!L6</f>
        <v>2115</v>
      </c>
      <c r="O34" s="7">
        <f>'Building Maint'!M6</f>
        <v>2190</v>
      </c>
      <c r="P34" s="7">
        <f>'Building Maint'!N6</f>
        <v>1690</v>
      </c>
      <c r="Q34" s="121">
        <f>SUM(E34:P34)</f>
        <v>28250</v>
      </c>
      <c r="R34" s="369">
        <f t="shared" si="1"/>
        <v>0.67549795557255921</v>
      </c>
      <c r="S34" s="325"/>
      <c r="T34" s="348"/>
      <c r="U34" s="11"/>
      <c r="V34" s="11"/>
    </row>
    <row r="35" spans="1:22" x14ac:dyDescent="0.35">
      <c r="A35" s="72"/>
      <c r="D35" s="55" t="s">
        <v>31</v>
      </c>
      <c r="E35" s="15"/>
      <c r="F35" s="15">
        <f>1.03*1500</f>
        <v>1545</v>
      </c>
      <c r="G35" s="15"/>
      <c r="H35" s="15"/>
      <c r="I35" s="15"/>
      <c r="J35" s="15">
        <f>1.03*15000</f>
        <v>15450</v>
      </c>
      <c r="K35" s="15"/>
      <c r="L35" s="15"/>
      <c r="M35" s="15"/>
      <c r="N35" s="15">
        <f>1.03*1500</f>
        <v>1545</v>
      </c>
      <c r="O35" s="15"/>
      <c r="P35" s="15"/>
      <c r="Q35" s="128">
        <f>SUM(E35:P35)</f>
        <v>18540</v>
      </c>
      <c r="R35" s="370">
        <f t="shared" si="1"/>
        <v>0.44331795031204418</v>
      </c>
      <c r="S35" s="325"/>
      <c r="T35" s="348"/>
      <c r="U35" s="11"/>
      <c r="V35" s="11" t="s">
        <v>449</v>
      </c>
    </row>
    <row r="36" spans="1:22" x14ac:dyDescent="0.35">
      <c r="A36" s="72" t="s">
        <v>103</v>
      </c>
      <c r="C36" s="7" t="s">
        <v>32</v>
      </c>
      <c r="E36" s="16">
        <f t="shared" ref="E36:Q36" si="14">SUM(E33:E35)</f>
        <v>4075</v>
      </c>
      <c r="F36" s="16">
        <f t="shared" si="14"/>
        <v>5245</v>
      </c>
      <c r="G36" s="16">
        <f t="shared" si="14"/>
        <v>3635</v>
      </c>
      <c r="H36" s="16">
        <f t="shared" si="14"/>
        <v>4825</v>
      </c>
      <c r="I36" s="16">
        <f t="shared" si="14"/>
        <v>5300</v>
      </c>
      <c r="J36" s="16">
        <f t="shared" si="14"/>
        <v>18150</v>
      </c>
      <c r="K36" s="16">
        <f t="shared" si="14"/>
        <v>4995</v>
      </c>
      <c r="L36" s="16">
        <f t="shared" si="14"/>
        <v>2700</v>
      </c>
      <c r="M36" s="16">
        <f t="shared" si="14"/>
        <v>5025</v>
      </c>
      <c r="N36" s="16">
        <f t="shared" si="14"/>
        <v>7080</v>
      </c>
      <c r="O36" s="16">
        <f t="shared" si="14"/>
        <v>3200</v>
      </c>
      <c r="P36" s="16">
        <f>SUM(P33:P35)</f>
        <v>2700</v>
      </c>
      <c r="Q36" s="128">
        <f t="shared" si="14"/>
        <v>66930</v>
      </c>
      <c r="R36" s="371">
        <f t="shared" si="1"/>
        <v>1.600392147485713</v>
      </c>
      <c r="S36" s="330">
        <v>40295.410000000003</v>
      </c>
      <c r="T36" s="360">
        <f>IFERROR(Q36/S36-1,"-")</f>
        <v>0.66098322364755679</v>
      </c>
      <c r="U36" s="11"/>
      <c r="V36" s="11"/>
    </row>
    <row r="37" spans="1:22" x14ac:dyDescent="0.35">
      <c r="A37" s="72"/>
      <c r="Q37" s="121"/>
      <c r="R37" s="358"/>
      <c r="S37" s="325"/>
      <c r="T37" s="348"/>
      <c r="U37" s="11"/>
      <c r="V37" s="11"/>
    </row>
    <row r="38" spans="1:22" hidden="1" x14ac:dyDescent="0.35">
      <c r="A38" s="72" t="s">
        <v>271</v>
      </c>
      <c r="B38" s="7" t="s">
        <v>33</v>
      </c>
      <c r="C38" s="7" t="s">
        <v>34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21">
        <f>SUM(E38:P38)</f>
        <v>0</v>
      </c>
      <c r="R38" s="358">
        <f t="shared" si="1"/>
        <v>0</v>
      </c>
      <c r="S38" s="325"/>
      <c r="T38" s="348"/>
      <c r="U38" s="11"/>
      <c r="V38" s="11"/>
    </row>
    <row r="39" spans="1:22" hidden="1" x14ac:dyDescent="0.35">
      <c r="A39" s="72"/>
      <c r="Q39" s="121"/>
      <c r="R39" s="358"/>
      <c r="S39" s="325"/>
      <c r="T39" s="348"/>
      <c r="U39" s="11"/>
      <c r="V39" s="11"/>
    </row>
    <row r="40" spans="1:22" x14ac:dyDescent="0.35">
      <c r="A40" s="72"/>
      <c r="D40" s="53" t="s">
        <v>35</v>
      </c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367">
        <f>SUM(E40:P40)</f>
        <v>0</v>
      </c>
      <c r="R40" s="368">
        <f t="shared" si="1"/>
        <v>0</v>
      </c>
      <c r="S40" s="325"/>
      <c r="T40" s="348"/>
      <c r="U40" s="11"/>
      <c r="V40" s="11"/>
    </row>
    <row r="41" spans="1:22" x14ac:dyDescent="0.35">
      <c r="A41" s="72"/>
      <c r="D41" s="54" t="s">
        <v>36</v>
      </c>
      <c r="E41" s="7">
        <f>'Parking Lot Maint'!C6</f>
        <v>0</v>
      </c>
      <c r="F41" s="7">
        <f>'Parking Lot Maint'!D6</f>
        <v>0</v>
      </c>
      <c r="G41" s="7">
        <f>'Parking Lot Maint'!E6</f>
        <v>0</v>
      </c>
      <c r="H41" s="7">
        <f>'Parking Lot Maint'!F6</f>
        <v>0</v>
      </c>
      <c r="I41" s="7">
        <f>'Parking Lot Maint'!G6</f>
        <v>0</v>
      </c>
      <c r="J41" s="7">
        <f>'Parking Lot Maint'!H6</f>
        <v>0</v>
      </c>
      <c r="K41" s="7">
        <f>'Parking Lot Maint'!I6</f>
        <v>0</v>
      </c>
      <c r="L41" s="7">
        <f>'Parking Lot Maint'!J6</f>
        <v>0</v>
      </c>
      <c r="M41" s="7">
        <f>'Parking Lot Maint'!K6</f>
        <v>0</v>
      </c>
      <c r="N41" s="7">
        <f>'Parking Lot Maint'!L6</f>
        <v>0</v>
      </c>
      <c r="O41" s="7">
        <f>'Parking Lot Maint'!M6</f>
        <v>0</v>
      </c>
      <c r="P41" s="7">
        <f>'Parking Lot Maint'!N6</f>
        <v>0</v>
      </c>
      <c r="Q41" s="121">
        <f>SUM(E41:P41)</f>
        <v>0</v>
      </c>
      <c r="R41" s="369">
        <f t="shared" si="1"/>
        <v>0</v>
      </c>
      <c r="S41" s="325"/>
      <c r="T41" s="348"/>
      <c r="U41" s="11"/>
      <c r="V41" s="11"/>
    </row>
    <row r="42" spans="1:22" x14ac:dyDescent="0.35">
      <c r="A42" s="72"/>
      <c r="D42" s="55" t="s">
        <v>37</v>
      </c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28">
        <f>SUM(E42:P42)</f>
        <v>0</v>
      </c>
      <c r="R42" s="370">
        <f t="shared" si="1"/>
        <v>0</v>
      </c>
      <c r="S42" s="325"/>
      <c r="T42" s="348"/>
      <c r="U42" s="11"/>
      <c r="V42" s="11"/>
    </row>
    <row r="43" spans="1:22" x14ac:dyDescent="0.35">
      <c r="A43" s="72" t="s">
        <v>135</v>
      </c>
      <c r="C43" s="7" t="s">
        <v>38</v>
      </c>
      <c r="E43" s="52">
        <f t="shared" ref="E43:P43" si="15">SUM(E40:E42)</f>
        <v>0</v>
      </c>
      <c r="F43" s="52">
        <f t="shared" si="15"/>
        <v>0</v>
      </c>
      <c r="G43" s="52">
        <f t="shared" si="15"/>
        <v>0</v>
      </c>
      <c r="H43" s="52">
        <f t="shared" si="15"/>
        <v>0</v>
      </c>
      <c r="I43" s="52">
        <f t="shared" si="15"/>
        <v>0</v>
      </c>
      <c r="J43" s="52">
        <f t="shared" si="15"/>
        <v>0</v>
      </c>
      <c r="K43" s="52">
        <f t="shared" si="15"/>
        <v>0</v>
      </c>
      <c r="L43" s="52">
        <f t="shared" si="15"/>
        <v>0</v>
      </c>
      <c r="M43" s="52">
        <f t="shared" si="15"/>
        <v>0</v>
      </c>
      <c r="N43" s="52">
        <f t="shared" si="15"/>
        <v>0</v>
      </c>
      <c r="O43" s="52">
        <f t="shared" si="15"/>
        <v>0</v>
      </c>
      <c r="P43" s="52">
        <f t="shared" si="15"/>
        <v>0</v>
      </c>
      <c r="Q43" s="127">
        <f>SUM(Q40:Q42)</f>
        <v>0</v>
      </c>
      <c r="R43" s="372">
        <f t="shared" si="1"/>
        <v>0</v>
      </c>
      <c r="S43" s="330">
        <v>114</v>
      </c>
      <c r="T43" s="360">
        <f>IFERROR(Q43/S43-1,"-")</f>
        <v>-1</v>
      </c>
      <c r="U43" s="11"/>
      <c r="V43" s="11"/>
    </row>
    <row r="44" spans="1:22" x14ac:dyDescent="0.35">
      <c r="A44" s="72"/>
      <c r="Q44" s="121"/>
      <c r="R44" s="358"/>
      <c r="S44" s="325"/>
      <c r="T44" s="348"/>
      <c r="U44" s="11"/>
      <c r="V44" s="11"/>
    </row>
    <row r="45" spans="1:22" x14ac:dyDescent="0.35">
      <c r="A45" s="72" t="s">
        <v>105</v>
      </c>
      <c r="C45" s="7" t="s">
        <v>39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21">
        <f>SUM(E45:P45)</f>
        <v>0</v>
      </c>
      <c r="R45" s="358">
        <f t="shared" si="1"/>
        <v>0</v>
      </c>
      <c r="S45" s="325"/>
      <c r="T45" s="348" t="str">
        <f>IFERROR(Q45/S45-1,"-")</f>
        <v>-</v>
      </c>
      <c r="U45" s="11"/>
      <c r="V45" s="11"/>
    </row>
    <row r="46" spans="1:22" x14ac:dyDescent="0.35">
      <c r="A46" s="72"/>
      <c r="Q46" s="121"/>
      <c r="R46" s="358"/>
      <c r="S46" s="325"/>
      <c r="T46" s="348"/>
      <c r="U46" s="11"/>
      <c r="V46" s="11"/>
    </row>
    <row r="47" spans="1:22" x14ac:dyDescent="0.35">
      <c r="A47" s="72"/>
      <c r="D47" s="53" t="s">
        <v>40</v>
      </c>
      <c r="E47" s="76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367">
        <f>SUM(E47:P47)</f>
        <v>0</v>
      </c>
      <c r="R47" s="368">
        <f t="shared" si="1"/>
        <v>0</v>
      </c>
      <c r="S47" s="325"/>
      <c r="T47" s="348"/>
      <c r="U47" s="11"/>
      <c r="V47" s="11"/>
    </row>
    <row r="48" spans="1:22" x14ac:dyDescent="0.35">
      <c r="A48" s="72"/>
      <c r="D48" s="54" t="s">
        <v>41</v>
      </c>
      <c r="E48" s="7">
        <f>Landscaping!C6</f>
        <v>0</v>
      </c>
      <c r="F48" s="7">
        <f>Landscaping!D6</f>
        <v>0</v>
      </c>
      <c r="G48" s="7">
        <f>Landscaping!E6</f>
        <v>0</v>
      </c>
      <c r="H48" s="7">
        <f>Landscaping!F6</f>
        <v>0</v>
      </c>
      <c r="I48" s="7">
        <f>Landscaping!G6</f>
        <v>0</v>
      </c>
      <c r="J48" s="7">
        <f>Landscaping!H6</f>
        <v>0</v>
      </c>
      <c r="K48" s="7">
        <f>Landscaping!I6</f>
        <v>0</v>
      </c>
      <c r="L48" s="7">
        <f>Landscaping!J6</f>
        <v>0</v>
      </c>
      <c r="M48" s="7">
        <f>Landscaping!K6</f>
        <v>0</v>
      </c>
      <c r="N48" s="7">
        <f>Landscaping!L6</f>
        <v>0</v>
      </c>
      <c r="O48" s="7">
        <f>Landscaping!M6</f>
        <v>0</v>
      </c>
      <c r="P48" s="7">
        <f>Landscaping!N6</f>
        <v>0</v>
      </c>
      <c r="Q48" s="121">
        <f>SUM(E48:P48)</f>
        <v>0</v>
      </c>
      <c r="R48" s="369">
        <f t="shared" si="1"/>
        <v>0</v>
      </c>
      <c r="S48" s="325"/>
      <c r="T48" s="348"/>
      <c r="U48" s="11"/>
      <c r="V48" s="11"/>
    </row>
    <row r="49" spans="1:22" x14ac:dyDescent="0.35">
      <c r="A49" s="72"/>
      <c r="D49" s="55" t="s">
        <v>42</v>
      </c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28">
        <f>SUM(G49:P49)</f>
        <v>0</v>
      </c>
      <c r="R49" s="370">
        <f t="shared" si="1"/>
        <v>0</v>
      </c>
      <c r="S49" s="325"/>
      <c r="T49" s="348"/>
      <c r="U49" s="11"/>
      <c r="V49" s="11"/>
    </row>
    <row r="50" spans="1:22" x14ac:dyDescent="0.35">
      <c r="A50" s="72" t="s">
        <v>106</v>
      </c>
      <c r="C50" s="7" t="s">
        <v>43</v>
      </c>
      <c r="E50" s="52">
        <f>SUM(E47:E49)</f>
        <v>0</v>
      </c>
      <c r="F50" s="52">
        <f>SUM(F47:F49)</f>
        <v>0</v>
      </c>
      <c r="G50" s="52">
        <f>SUM(G47:G49)</f>
        <v>0</v>
      </c>
      <c r="H50" s="52">
        <f t="shared" ref="H50:N50" si="16">SUM(H47:H49)</f>
        <v>0</v>
      </c>
      <c r="I50" s="52">
        <f t="shared" si="16"/>
        <v>0</v>
      </c>
      <c r="J50" s="52">
        <f t="shared" si="16"/>
        <v>0</v>
      </c>
      <c r="K50" s="52">
        <f t="shared" si="16"/>
        <v>0</v>
      </c>
      <c r="L50" s="52">
        <f t="shared" si="16"/>
        <v>0</v>
      </c>
      <c r="M50" s="52">
        <f t="shared" si="16"/>
        <v>0</v>
      </c>
      <c r="N50" s="52">
        <f t="shared" si="16"/>
        <v>0</v>
      </c>
      <c r="O50" s="52">
        <f>SUM(O47:O49)</f>
        <v>0</v>
      </c>
      <c r="P50" s="52">
        <f>SUM(P47:P49)</f>
        <v>0</v>
      </c>
      <c r="Q50" s="127">
        <f>SUM(Q47:Q49)</f>
        <v>0</v>
      </c>
      <c r="R50" s="372">
        <f t="shared" si="1"/>
        <v>0</v>
      </c>
      <c r="S50" s="330">
        <v>135</v>
      </c>
      <c r="T50" s="360">
        <f>IFERROR(Q50/S50-1,"-")</f>
        <v>-1</v>
      </c>
      <c r="U50" s="11"/>
      <c r="V50" s="11"/>
    </row>
    <row r="51" spans="1:22" x14ac:dyDescent="0.35">
      <c r="A51" s="72"/>
      <c r="Q51" s="121"/>
      <c r="R51" s="358"/>
      <c r="S51" s="325"/>
      <c r="T51" s="348"/>
      <c r="U51" s="11"/>
      <c r="V51" s="11"/>
    </row>
    <row r="52" spans="1:22" x14ac:dyDescent="0.35">
      <c r="A52" s="72" t="s">
        <v>107</v>
      </c>
      <c r="C52" s="7" t="s">
        <v>44</v>
      </c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21">
        <f>SUM(E52:P52)</f>
        <v>0</v>
      </c>
      <c r="R52" s="358">
        <f t="shared" si="1"/>
        <v>0</v>
      </c>
      <c r="S52" s="325"/>
      <c r="T52" s="348" t="str">
        <f>IFERROR(Q52/S52-1,"-")</f>
        <v>-</v>
      </c>
      <c r="U52" s="11"/>
      <c r="V52" s="11"/>
    </row>
    <row r="53" spans="1:22" x14ac:dyDescent="0.35">
      <c r="A53" s="72"/>
      <c r="Q53" s="121"/>
      <c r="R53" s="358"/>
      <c r="S53" s="325"/>
      <c r="T53" s="348"/>
      <c r="U53" s="11"/>
      <c r="V53" s="11"/>
    </row>
    <row r="54" spans="1:22" x14ac:dyDescent="0.35">
      <c r="A54" s="72" t="s">
        <v>108</v>
      </c>
      <c r="B54" s="7" t="s">
        <v>45</v>
      </c>
      <c r="C54" s="7" t="s">
        <v>46</v>
      </c>
      <c r="E54" s="7">
        <f>ROUND(E$24*0.04,0)</f>
        <v>1641</v>
      </c>
      <c r="F54" s="7">
        <f t="shared" ref="F54:O54" si="17">ROUND(F$24*0.04,0)</f>
        <v>1617</v>
      </c>
      <c r="G54" s="7">
        <f t="shared" si="17"/>
        <v>1577</v>
      </c>
      <c r="H54" s="7">
        <f t="shared" si="17"/>
        <v>1450</v>
      </c>
      <c r="I54" s="7">
        <f t="shared" si="17"/>
        <v>1438</v>
      </c>
      <c r="J54" s="7">
        <f t="shared" si="17"/>
        <v>1453</v>
      </c>
      <c r="K54" s="7">
        <f t="shared" si="17"/>
        <v>1469</v>
      </c>
      <c r="L54" s="7">
        <f t="shared" si="17"/>
        <v>1470</v>
      </c>
      <c r="M54" s="7">
        <f t="shared" si="17"/>
        <v>1449</v>
      </c>
      <c r="N54" s="7">
        <f t="shared" si="17"/>
        <v>1450</v>
      </c>
      <c r="O54" s="7">
        <f t="shared" si="17"/>
        <v>1539</v>
      </c>
      <c r="P54" s="7">
        <f>ROUND(P$24*0.04,0)</f>
        <v>1608</v>
      </c>
      <c r="Q54" s="121">
        <f>SUM(E54:P54)</f>
        <v>18161</v>
      </c>
      <c r="R54" s="358">
        <f t="shared" si="1"/>
        <v>0.43425551756294684</v>
      </c>
      <c r="S54" s="325">
        <v>16077.88</v>
      </c>
      <c r="T54" s="348">
        <f>IFERROR(Q54/S54-1,"-")</f>
        <v>0.12956434554804486</v>
      </c>
      <c r="U54" s="11"/>
      <c r="V54" s="11"/>
    </row>
    <row r="55" spans="1:22" x14ac:dyDescent="0.35">
      <c r="A55" s="72"/>
      <c r="Q55" s="121"/>
      <c r="R55" s="358"/>
      <c r="S55" s="325"/>
      <c r="T55" s="348"/>
      <c r="U55" s="11"/>
      <c r="V55" s="11"/>
    </row>
    <row r="56" spans="1:22" x14ac:dyDescent="0.35">
      <c r="A56" s="72" t="s">
        <v>109</v>
      </c>
      <c r="C56" s="7" t="s">
        <v>47</v>
      </c>
      <c r="E56" s="7">
        <f>Trash!C6</f>
        <v>0</v>
      </c>
      <c r="F56" s="7">
        <f>Trash!D6</f>
        <v>0</v>
      </c>
      <c r="G56" s="7">
        <f>Trash!E6</f>
        <v>0</v>
      </c>
      <c r="H56" s="7">
        <f>Trash!F6</f>
        <v>0</v>
      </c>
      <c r="I56" s="7">
        <f>Trash!G6</f>
        <v>0</v>
      </c>
      <c r="J56" s="7">
        <f>Trash!H6</f>
        <v>0</v>
      </c>
      <c r="K56" s="7">
        <f>Trash!I6</f>
        <v>0</v>
      </c>
      <c r="L56" s="7">
        <f>Trash!J6</f>
        <v>0</v>
      </c>
      <c r="M56" s="7">
        <f>Trash!K6</f>
        <v>0</v>
      </c>
      <c r="N56" s="7">
        <f>Trash!L6</f>
        <v>0</v>
      </c>
      <c r="O56" s="7">
        <f>Trash!M6</f>
        <v>0</v>
      </c>
      <c r="P56" s="7">
        <f>Trash!N6</f>
        <v>0</v>
      </c>
      <c r="Q56" s="121">
        <f>SUM(E56:P56)</f>
        <v>0</v>
      </c>
      <c r="R56" s="358">
        <f t="shared" si="1"/>
        <v>0</v>
      </c>
      <c r="S56" s="325">
        <v>263</v>
      </c>
      <c r="T56" s="348">
        <f>IFERROR(Q56/S56-1,"-")</f>
        <v>-1</v>
      </c>
      <c r="U56" s="11"/>
      <c r="V56" s="11"/>
    </row>
    <row r="57" spans="1:22" x14ac:dyDescent="0.35">
      <c r="A57" s="72"/>
      <c r="Q57" s="121"/>
      <c r="R57" s="358"/>
      <c r="S57" s="325"/>
      <c r="T57" s="348"/>
      <c r="U57" s="11"/>
      <c r="V57" s="11"/>
    </row>
    <row r="58" spans="1:22" x14ac:dyDescent="0.35">
      <c r="A58" s="72" t="s">
        <v>110</v>
      </c>
      <c r="C58" s="7" t="s">
        <v>22</v>
      </c>
      <c r="E58" s="7">
        <f>+'INS RET'!E32</f>
        <v>3383.1484454249999</v>
      </c>
      <c r="F58" s="7">
        <f>+'INS RET'!F32</f>
        <v>3383.1484454249999</v>
      </c>
      <c r="G58" s="7">
        <f>+'INS RET'!G32</f>
        <v>3383.1484454249999</v>
      </c>
      <c r="H58" s="7">
        <f>+'INS RET'!H32</f>
        <v>3383.1484454249999</v>
      </c>
      <c r="I58" s="7">
        <f>+'INS RET'!I32</f>
        <v>3383.1484454249999</v>
      </c>
      <c r="J58" s="7">
        <f>+'INS RET'!J32</f>
        <v>3383.1484454249999</v>
      </c>
      <c r="K58" s="7">
        <f>+'INS RET'!K32</f>
        <v>3383.1484454249999</v>
      </c>
      <c r="L58" s="7">
        <f>+'INS RET'!L32</f>
        <v>3383.1484454249999</v>
      </c>
      <c r="M58" s="7">
        <f>+'INS RET'!M32</f>
        <v>3383.1484454249999</v>
      </c>
      <c r="N58" s="7">
        <f>+'INS RET'!N32</f>
        <v>3383.1484454249999</v>
      </c>
      <c r="O58" s="7">
        <f>+'INS RET'!O32</f>
        <v>3383.1484454249999</v>
      </c>
      <c r="P58" s="7">
        <f>+'INS RET'!P32</f>
        <v>3383.1484454249999</v>
      </c>
      <c r="Q58" s="121">
        <f>SUM(E58:P58)</f>
        <v>40597.781345099997</v>
      </c>
      <c r="R58" s="358">
        <f t="shared" si="1"/>
        <v>0.97075109024413564</v>
      </c>
      <c r="S58" s="325">
        <v>102499.12</v>
      </c>
      <c r="T58" s="348">
        <f>IFERROR(Q58/S58-1,"-")</f>
        <v>-0.60392068395221343</v>
      </c>
      <c r="U58" s="11"/>
      <c r="V58" s="11"/>
    </row>
    <row r="59" spans="1:22" x14ac:dyDescent="0.35">
      <c r="A59" s="72"/>
      <c r="Q59" s="121"/>
      <c r="R59" s="358"/>
      <c r="S59" s="325"/>
      <c r="T59" s="348"/>
      <c r="U59" s="11"/>
      <c r="V59" s="11"/>
    </row>
    <row r="60" spans="1:22" x14ac:dyDescent="0.35">
      <c r="A60" s="72"/>
      <c r="D60" s="53" t="s">
        <v>48</v>
      </c>
      <c r="E60" s="47">
        <f>+'INS RET'!E6+'INS RET'!E7</f>
        <v>1142</v>
      </c>
      <c r="F60" s="47">
        <f>+'INS RET'!F6+'INS RET'!F7</f>
        <v>1142</v>
      </c>
      <c r="G60" s="47">
        <f>+'INS RET'!G6+'INS RET'!G7</f>
        <v>1142</v>
      </c>
      <c r="H60" s="47">
        <f>+'INS RET'!H6+'INS RET'!H7</f>
        <v>1142</v>
      </c>
      <c r="I60" s="47">
        <f>+'INS RET'!I6+'INS RET'!I7</f>
        <v>1142</v>
      </c>
      <c r="J60" s="47">
        <f>+'INS RET'!J6+'INS RET'!J7</f>
        <v>1142</v>
      </c>
      <c r="K60" s="47">
        <f>+'INS RET'!K6+'INS RET'!K7</f>
        <v>1142</v>
      </c>
      <c r="L60" s="47">
        <f>+'INS RET'!L6+'INS RET'!L7</f>
        <v>1142</v>
      </c>
      <c r="M60" s="47">
        <f>+'INS RET'!M6+'INS RET'!M7</f>
        <v>1142</v>
      </c>
      <c r="N60" s="47">
        <f>+'INS RET'!N6+'INS RET'!N7</f>
        <v>1142</v>
      </c>
      <c r="O60" s="47">
        <f>+'INS RET'!O6+'INS RET'!O7</f>
        <v>1164.8400000000001</v>
      </c>
      <c r="P60" s="47">
        <f>+'INS RET'!P6+'INS RET'!P7</f>
        <v>1164.8400000000001</v>
      </c>
      <c r="Q60" s="367">
        <f>SUM(E60:P60)</f>
        <v>13749.68</v>
      </c>
      <c r="R60" s="368">
        <f t="shared" si="1"/>
        <v>0.32877453910714716</v>
      </c>
      <c r="S60" s="325"/>
      <c r="T60" s="348"/>
      <c r="U60" s="11"/>
      <c r="V60" s="11"/>
    </row>
    <row r="61" spans="1:22" x14ac:dyDescent="0.35">
      <c r="A61" s="72"/>
      <c r="D61" s="54" t="s">
        <v>49</v>
      </c>
      <c r="E61" s="7">
        <f>+'INS RET'!E9</f>
        <v>347</v>
      </c>
      <c r="F61" s="7">
        <f>+'INS RET'!F9</f>
        <v>347</v>
      </c>
      <c r="G61" s="7">
        <f>+'INS RET'!G9</f>
        <v>347</v>
      </c>
      <c r="H61" s="7">
        <f>+'INS RET'!H9</f>
        <v>347</v>
      </c>
      <c r="I61" s="7">
        <f>+'INS RET'!I9</f>
        <v>347</v>
      </c>
      <c r="J61" s="7">
        <f>+'INS RET'!J9</f>
        <v>347</v>
      </c>
      <c r="K61" s="7">
        <f>+'INS RET'!K9</f>
        <v>347</v>
      </c>
      <c r="L61" s="7">
        <f>+'INS RET'!L9</f>
        <v>347</v>
      </c>
      <c r="M61" s="7">
        <f>+'INS RET'!M9</f>
        <v>347</v>
      </c>
      <c r="N61" s="7">
        <f>+'INS RET'!N9</f>
        <v>347</v>
      </c>
      <c r="O61" s="7">
        <f>+'INS RET'!O9</f>
        <v>353.94</v>
      </c>
      <c r="P61" s="7">
        <f>+'INS RET'!P9</f>
        <v>353.94</v>
      </c>
      <c r="Q61" s="121">
        <f>SUM(E61:P61)</f>
        <v>4177.88</v>
      </c>
      <c r="R61" s="369">
        <f t="shared" si="1"/>
        <v>9.9899093756725094E-2</v>
      </c>
      <c r="S61" s="325"/>
      <c r="T61" s="348"/>
      <c r="U61" s="11"/>
      <c r="V61" s="11"/>
    </row>
    <row r="62" spans="1:22" x14ac:dyDescent="0.35">
      <c r="A62" s="72"/>
      <c r="D62" s="55" t="s">
        <v>50</v>
      </c>
      <c r="E62" s="16">
        <f>+'INS RET'!E10</f>
        <v>0</v>
      </c>
      <c r="F62" s="16">
        <f>+'INS RET'!F10</f>
        <v>0</v>
      </c>
      <c r="G62" s="16">
        <f>+'INS RET'!G10</f>
        <v>0</v>
      </c>
      <c r="H62" s="16">
        <f>+'INS RET'!H10</f>
        <v>0</v>
      </c>
      <c r="I62" s="16">
        <f>+'INS RET'!I10</f>
        <v>0</v>
      </c>
      <c r="J62" s="16">
        <f>+'INS RET'!J10</f>
        <v>0</v>
      </c>
      <c r="K62" s="16">
        <f>+'INS RET'!K10</f>
        <v>0</v>
      </c>
      <c r="L62" s="16">
        <f>+'INS RET'!L10</f>
        <v>0</v>
      </c>
      <c r="M62" s="16">
        <f>+'INS RET'!M10</f>
        <v>0</v>
      </c>
      <c r="N62" s="16">
        <f>+'INS RET'!N10</f>
        <v>0</v>
      </c>
      <c r="O62" s="16">
        <f>+'INS RET'!O10</f>
        <v>0</v>
      </c>
      <c r="P62" s="16">
        <f>+'INS RET'!P10</f>
        <v>0</v>
      </c>
      <c r="Q62" s="128">
        <f>SUM(E62:P62)</f>
        <v>0</v>
      </c>
      <c r="R62" s="370">
        <f t="shared" si="1"/>
        <v>0</v>
      </c>
      <c r="S62" s="325"/>
      <c r="T62" s="348"/>
      <c r="U62" s="11"/>
      <c r="V62" s="11"/>
    </row>
    <row r="63" spans="1:22" x14ac:dyDescent="0.35">
      <c r="A63" s="72" t="s">
        <v>111</v>
      </c>
      <c r="C63" s="7" t="s">
        <v>23</v>
      </c>
      <c r="E63" s="16">
        <f t="shared" ref="E63:Q63" si="18">SUM(E60:E62)</f>
        <v>1489</v>
      </c>
      <c r="F63" s="16">
        <f t="shared" si="18"/>
        <v>1489</v>
      </c>
      <c r="G63" s="16">
        <f t="shared" si="18"/>
        <v>1489</v>
      </c>
      <c r="H63" s="16">
        <f t="shared" si="18"/>
        <v>1489</v>
      </c>
      <c r="I63" s="16">
        <f t="shared" si="18"/>
        <v>1489</v>
      </c>
      <c r="J63" s="16">
        <f t="shared" si="18"/>
        <v>1489</v>
      </c>
      <c r="K63" s="16">
        <f t="shared" si="18"/>
        <v>1489</v>
      </c>
      <c r="L63" s="16">
        <f t="shared" si="18"/>
        <v>1489</v>
      </c>
      <c r="M63" s="16">
        <f t="shared" si="18"/>
        <v>1489</v>
      </c>
      <c r="N63" s="16">
        <f t="shared" si="18"/>
        <v>1489</v>
      </c>
      <c r="O63" s="16">
        <f t="shared" si="18"/>
        <v>1518.7800000000002</v>
      </c>
      <c r="P63" s="16">
        <f t="shared" si="18"/>
        <v>1518.7800000000002</v>
      </c>
      <c r="Q63" s="128">
        <f t="shared" si="18"/>
        <v>17927.560000000001</v>
      </c>
      <c r="R63" s="371">
        <f t="shared" si="1"/>
        <v>0.42867363286387222</v>
      </c>
      <c r="S63" s="330">
        <v>17560</v>
      </c>
      <c r="T63" s="360">
        <f>IFERROR(Q63/S63-1,"-")</f>
        <v>2.0931662870159462E-2</v>
      </c>
      <c r="U63" s="11"/>
      <c r="V63" s="11"/>
    </row>
    <row r="64" spans="1:22" x14ac:dyDescent="0.35">
      <c r="A64" s="72"/>
      <c r="Q64" s="121"/>
      <c r="R64" s="358"/>
      <c r="S64" s="325"/>
      <c r="T64" s="348"/>
      <c r="U64" s="11"/>
      <c r="V64" s="11"/>
    </row>
    <row r="65" spans="1:22" x14ac:dyDescent="0.35">
      <c r="A65" s="72"/>
      <c r="D65" s="53" t="s">
        <v>51</v>
      </c>
      <c r="E65" s="47">
        <f>'Allocated Expenses'!E11+'Allocated Expenses'!E18</f>
        <v>3860.9342498262845</v>
      </c>
      <c r="F65" s="47">
        <f>'Allocated Expenses'!F11+'Allocated Expenses'!F18</f>
        <v>3860.9342498262845</v>
      </c>
      <c r="G65" s="47">
        <f>'Allocated Expenses'!G11+'Allocated Expenses'!G18</f>
        <v>3860.9342498262845</v>
      </c>
      <c r="H65" s="47">
        <f>'Allocated Expenses'!H11+'Allocated Expenses'!H18</f>
        <v>3860.9342498262845</v>
      </c>
      <c r="I65" s="47">
        <f>'Allocated Expenses'!I11+'Allocated Expenses'!I18</f>
        <v>3860.9342498262845</v>
      </c>
      <c r="J65" s="47">
        <f>'Allocated Expenses'!J11+'Allocated Expenses'!J18</f>
        <v>3860.9342498262845</v>
      </c>
      <c r="K65" s="47">
        <f>'Allocated Expenses'!K11+'Allocated Expenses'!K18</f>
        <v>3860.9342498262845</v>
      </c>
      <c r="L65" s="47">
        <f>'Allocated Expenses'!L11+'Allocated Expenses'!L18</f>
        <v>3860.9342498262845</v>
      </c>
      <c r="M65" s="47">
        <f>'Allocated Expenses'!M11+'Allocated Expenses'!M18</f>
        <v>3860.9342498262845</v>
      </c>
      <c r="N65" s="47">
        <f>'Allocated Expenses'!N11+'Allocated Expenses'!N18</f>
        <v>3860.9342498262845</v>
      </c>
      <c r="O65" s="47">
        <f>'Allocated Expenses'!O11+'Allocated Expenses'!O18</f>
        <v>3860.9342498262845</v>
      </c>
      <c r="P65" s="47">
        <f>'Allocated Expenses'!P11+'Allocated Expenses'!P18</f>
        <v>3860.9342498262845</v>
      </c>
      <c r="Q65" s="367">
        <f>SUM(E65:P65)</f>
        <v>46331.210997915412</v>
      </c>
      <c r="R65" s="368">
        <f t="shared" si="1"/>
        <v>1.1078456038333711</v>
      </c>
      <c r="S65" s="325"/>
      <c r="T65" s="348"/>
      <c r="U65" s="284" t="s">
        <v>304</v>
      </c>
      <c r="V65" s="11" t="s">
        <v>563</v>
      </c>
    </row>
    <row r="66" spans="1:22" x14ac:dyDescent="0.35">
      <c r="A66" s="72"/>
      <c r="D66" s="55" t="s">
        <v>52</v>
      </c>
      <c r="E66" s="16">
        <f>'Allocated Expenses'!E27</f>
        <v>132.52217569500002</v>
      </c>
      <c r="F66" s="16">
        <f>'Allocated Expenses'!F27</f>
        <v>132.52217569500002</v>
      </c>
      <c r="G66" s="16">
        <f>'Allocated Expenses'!G27</f>
        <v>132.52217569500002</v>
      </c>
      <c r="H66" s="16">
        <f>'Allocated Expenses'!H27</f>
        <v>132.52217569500002</v>
      </c>
      <c r="I66" s="16">
        <f>'Allocated Expenses'!I27</f>
        <v>132.52217569500002</v>
      </c>
      <c r="J66" s="16">
        <f>'Allocated Expenses'!J27</f>
        <v>132.52217569500002</v>
      </c>
      <c r="K66" s="16">
        <f>'Allocated Expenses'!K27</f>
        <v>132.52217569500002</v>
      </c>
      <c r="L66" s="16">
        <f>'Allocated Expenses'!L27</f>
        <v>132.52217569500002</v>
      </c>
      <c r="M66" s="16">
        <f>'Allocated Expenses'!M27</f>
        <v>132.52217569500002</v>
      </c>
      <c r="N66" s="16">
        <f>'Allocated Expenses'!N27</f>
        <v>132.52217569500002</v>
      </c>
      <c r="O66" s="16">
        <f>'Allocated Expenses'!O27</f>
        <v>132.52217569500002</v>
      </c>
      <c r="P66" s="16">
        <f>'Allocated Expenses'!P27</f>
        <v>132.52217569500002</v>
      </c>
      <c r="Q66" s="128">
        <f>SUM(E66:P66)</f>
        <v>1590.2661083400001</v>
      </c>
      <c r="R66" s="370">
        <f t="shared" si="1"/>
        <v>3.8025540000000004E-2</v>
      </c>
      <c r="S66" s="325"/>
      <c r="T66" s="348"/>
      <c r="U66" s="284" t="s">
        <v>304</v>
      </c>
      <c r="V66" s="11" t="s">
        <v>564</v>
      </c>
    </row>
    <row r="67" spans="1:22" x14ac:dyDescent="0.35">
      <c r="A67" s="72" t="s">
        <v>112</v>
      </c>
      <c r="B67" s="7" t="s">
        <v>45</v>
      </c>
      <c r="C67" s="7" t="s">
        <v>51</v>
      </c>
      <c r="E67" s="16">
        <f>SUM(E65:E66)</f>
        <v>3993.4564255212845</v>
      </c>
      <c r="F67" s="16">
        <f t="shared" ref="F67:Q67" si="19">SUM(F65:F66)</f>
        <v>3993.4564255212845</v>
      </c>
      <c r="G67" s="16">
        <f t="shared" si="19"/>
        <v>3993.4564255212845</v>
      </c>
      <c r="H67" s="16">
        <f t="shared" si="19"/>
        <v>3993.4564255212845</v>
      </c>
      <c r="I67" s="16">
        <f t="shared" si="19"/>
        <v>3993.4564255212845</v>
      </c>
      <c r="J67" s="16">
        <f t="shared" si="19"/>
        <v>3993.4564255212845</v>
      </c>
      <c r="K67" s="16">
        <f t="shared" si="19"/>
        <v>3993.4564255212845</v>
      </c>
      <c r="L67" s="16">
        <f t="shared" si="19"/>
        <v>3993.4564255212845</v>
      </c>
      <c r="M67" s="16">
        <f t="shared" si="19"/>
        <v>3993.4564255212845</v>
      </c>
      <c r="N67" s="16">
        <f t="shared" si="19"/>
        <v>3993.4564255212845</v>
      </c>
      <c r="O67" s="16">
        <f t="shared" si="19"/>
        <v>3993.4564255212845</v>
      </c>
      <c r="P67" s="16">
        <f t="shared" si="19"/>
        <v>3993.4564255212845</v>
      </c>
      <c r="Q67" s="128">
        <f t="shared" si="19"/>
        <v>47921.477106255414</v>
      </c>
      <c r="R67" s="371">
        <f t="shared" si="1"/>
        <v>1.1458711438333711</v>
      </c>
      <c r="S67" s="330">
        <v>43298.700000000004</v>
      </c>
      <c r="T67" s="360">
        <f>IFERROR(Q67/S67-1,"-")</f>
        <v>0.10676480139716449</v>
      </c>
      <c r="U67" s="11"/>
      <c r="V67" s="11"/>
    </row>
    <row r="68" spans="1:22" x14ac:dyDescent="0.35">
      <c r="A68" s="72"/>
      <c r="Q68" s="121"/>
      <c r="R68" s="358"/>
      <c r="S68" s="325"/>
      <c r="T68" s="348"/>
      <c r="U68" s="11"/>
      <c r="V68" s="11"/>
    </row>
    <row r="69" spans="1:22" x14ac:dyDescent="0.35">
      <c r="A69" s="72" t="s">
        <v>268</v>
      </c>
      <c r="C69" s="7" t="s">
        <v>346</v>
      </c>
      <c r="E69" s="7">
        <f>'Allocated Expenses'!E34</f>
        <v>12354</v>
      </c>
      <c r="F69" s="7">
        <f>'Allocated Expenses'!F34</f>
        <v>0</v>
      </c>
      <c r="G69" s="7">
        <f>'Allocated Expenses'!G34</f>
        <v>0</v>
      </c>
      <c r="H69" s="7">
        <f>'Allocated Expenses'!H34</f>
        <v>12354</v>
      </c>
      <c r="I69" s="7">
        <f>'Allocated Expenses'!I34</f>
        <v>0</v>
      </c>
      <c r="J69" s="7">
        <f>'Allocated Expenses'!J34</f>
        <v>0</v>
      </c>
      <c r="K69" s="7">
        <f>'Allocated Expenses'!K34</f>
        <v>12354</v>
      </c>
      <c r="L69" s="7">
        <f>'Allocated Expenses'!L34</f>
        <v>0</v>
      </c>
      <c r="M69" s="7">
        <f>'Allocated Expenses'!M34</f>
        <v>0</v>
      </c>
      <c r="N69" s="7">
        <f>'Allocated Expenses'!N34</f>
        <v>12354</v>
      </c>
      <c r="O69" s="7">
        <f>'Allocated Expenses'!O34</f>
        <v>0</v>
      </c>
      <c r="P69" s="7">
        <f>'Allocated Expenses'!P34</f>
        <v>0</v>
      </c>
      <c r="Q69" s="121">
        <f>SUM(E69:P69)</f>
        <v>49416</v>
      </c>
      <c r="R69" s="358">
        <f t="shared" si="1"/>
        <v>1.1816073264627818</v>
      </c>
      <c r="S69" s="325">
        <v>61044</v>
      </c>
      <c r="T69" s="348">
        <f>IFERROR(Q69/S69-1,"-")</f>
        <v>-0.19048555140554357</v>
      </c>
      <c r="U69" s="11"/>
      <c r="V69" s="11"/>
    </row>
    <row r="70" spans="1:22" x14ac:dyDescent="0.35">
      <c r="A70" s="72"/>
      <c r="Q70" s="121"/>
      <c r="R70" s="358"/>
      <c r="S70" s="325"/>
      <c r="T70" s="348"/>
      <c r="U70" s="11"/>
      <c r="V70" s="11"/>
    </row>
    <row r="71" spans="1:22" ht="18" x14ac:dyDescent="0.35">
      <c r="A71" s="72"/>
      <c r="C71" s="56" t="s">
        <v>53</v>
      </c>
      <c r="D71" s="57"/>
      <c r="E71" s="57">
        <f t="shared" ref="E71:P71" si="20">+E27+E29+E31+E36+E38+E43+E45+E50+E52+E54+E56+E58+E63+E67+E69</f>
        <v>37759.504870946286</v>
      </c>
      <c r="F71" s="57">
        <f>+F27+F29+F31+F36+F38+F43+F45+F50+F52+F54+F56+F58+F63+F67+F69</f>
        <v>25496.72487094628</v>
      </c>
      <c r="G71" s="57">
        <f t="shared" si="20"/>
        <v>22104.894870946286</v>
      </c>
      <c r="H71" s="57">
        <f t="shared" si="20"/>
        <v>33503.644870946286</v>
      </c>
      <c r="I71" s="57">
        <f t="shared" si="20"/>
        <v>21296.374870946282</v>
      </c>
      <c r="J71" s="57">
        <f>+J27+J29+J31+J36+J38+J43+J45+J50+J52+J54+J56+J58+J63+J67+J69</f>
        <v>34495.524870946283</v>
      </c>
      <c r="K71" s="57">
        <f t="shared" si="20"/>
        <v>34385.824870946286</v>
      </c>
      <c r="L71" s="57">
        <f t="shared" si="20"/>
        <v>19783.164870946282</v>
      </c>
      <c r="M71" s="57">
        <f t="shared" si="20"/>
        <v>21019.194870946281</v>
      </c>
      <c r="N71" s="57">
        <f t="shared" si="20"/>
        <v>35664.614870946287</v>
      </c>
      <c r="O71" s="57">
        <f t="shared" si="20"/>
        <v>20982.124870946282</v>
      </c>
      <c r="P71" s="57">
        <f t="shared" si="20"/>
        <v>23357.634870946284</v>
      </c>
      <c r="Q71" s="129">
        <f>+Q27+Q29+Q31+Q36+Q38+Q43+Q45+Q50+Q52+Q54+Q56+Q58+Q63+Q67+Q69</f>
        <v>329849.22845135542</v>
      </c>
      <c r="R71" s="373">
        <f t="shared" si="1"/>
        <v>7.8871674147283759</v>
      </c>
      <c r="S71" s="335">
        <f>+S27+S29+S31+S36+S38+S43+S45+S50+S52+S54+S56+S58+S63+S67+S69</f>
        <v>362748.77999999997</v>
      </c>
      <c r="T71" s="374">
        <f>IFERROR(Q71/S71-1,"-")</f>
        <v>-9.06951404458054E-2</v>
      </c>
      <c r="U71" s="11"/>
      <c r="V71" s="11">
        <f>Q71-Q29-Q58</f>
        <v>237669.44710625542</v>
      </c>
    </row>
    <row r="72" spans="1:22" ht="18" x14ac:dyDescent="0.35">
      <c r="A72" s="72"/>
      <c r="Q72" s="123"/>
      <c r="R72" s="361"/>
      <c r="S72" s="331"/>
      <c r="T72" s="362"/>
      <c r="U72" s="11"/>
      <c r="V72" s="11"/>
    </row>
    <row r="73" spans="1:22" ht="18" x14ac:dyDescent="0.35">
      <c r="A73" s="72"/>
      <c r="B73" s="8" t="s">
        <v>54</v>
      </c>
      <c r="Q73" s="121"/>
      <c r="R73" s="358"/>
      <c r="S73" s="325"/>
      <c r="T73" s="348"/>
      <c r="U73" s="11"/>
      <c r="V73" s="11"/>
    </row>
    <row r="74" spans="1:22" x14ac:dyDescent="0.35">
      <c r="A74" s="72"/>
      <c r="Q74" s="121"/>
      <c r="R74" s="358"/>
      <c r="S74" s="325"/>
      <c r="T74" s="348"/>
      <c r="U74" s="11"/>
      <c r="V74" s="11"/>
    </row>
    <row r="75" spans="1:22" x14ac:dyDescent="0.35">
      <c r="A75" s="72" t="s">
        <v>143</v>
      </c>
      <c r="C75" s="7" t="s">
        <v>55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13">
        <v>0</v>
      </c>
      <c r="Q75" s="121">
        <f>SUM(E75:P75)</f>
        <v>0</v>
      </c>
      <c r="R75" s="358">
        <f t="shared" ref="R75:R131" si="21">Q75/$B$4</f>
        <v>0</v>
      </c>
      <c r="S75" s="325"/>
      <c r="T75" s="348" t="str">
        <f>IFERROR(Q75/S75-1,"-")</f>
        <v>-</v>
      </c>
      <c r="U75" s="11"/>
      <c r="V75" s="11"/>
    </row>
    <row r="76" spans="1:22" x14ac:dyDescent="0.35">
      <c r="A76" s="72"/>
      <c r="Q76" s="121"/>
      <c r="R76" s="358"/>
      <c r="S76" s="325"/>
      <c r="T76" s="348"/>
      <c r="U76" s="11"/>
      <c r="V76" s="11"/>
    </row>
    <row r="77" spans="1:22" x14ac:dyDescent="0.35">
      <c r="A77" s="72" t="s">
        <v>113</v>
      </c>
      <c r="D77" s="7" t="s">
        <v>56</v>
      </c>
      <c r="E77" s="7">
        <f>'Allocated Expenses'!E41</f>
        <v>1461.2749999999999</v>
      </c>
      <c r="F77" s="7">
        <f>'Allocated Expenses'!F41</f>
        <v>1461.2749999999999</v>
      </c>
      <c r="G77" s="7">
        <f>'Allocated Expenses'!G41</f>
        <v>1461.2749999999999</v>
      </c>
      <c r="H77" s="7">
        <f>'Allocated Expenses'!H41</f>
        <v>1461.2749999999999</v>
      </c>
      <c r="I77" s="7">
        <f>'Allocated Expenses'!I41</f>
        <v>1461.2749999999999</v>
      </c>
      <c r="J77" s="7">
        <f>'Allocated Expenses'!J41</f>
        <v>1461.2749999999999</v>
      </c>
      <c r="K77" s="7">
        <f>'Allocated Expenses'!K41</f>
        <v>1461.2749999999999</v>
      </c>
      <c r="L77" s="7">
        <f>'Allocated Expenses'!L41</f>
        <v>1461.2749999999999</v>
      </c>
      <c r="M77" s="7">
        <f>'Allocated Expenses'!M41</f>
        <v>1461.2749999999999</v>
      </c>
      <c r="N77" s="7">
        <f>'Allocated Expenses'!N41</f>
        <v>1461.2749999999999</v>
      </c>
      <c r="O77" s="7">
        <f>'Allocated Expenses'!O41</f>
        <v>1461.2749999999999</v>
      </c>
      <c r="P77" s="7">
        <f>'Allocated Expenses'!P41</f>
        <v>1461.2749999999999</v>
      </c>
      <c r="Q77" s="121">
        <f>SUM(E77:P77)</f>
        <v>17535.3</v>
      </c>
      <c r="R77" s="358">
        <f t="shared" si="21"/>
        <v>0.41929413452571673</v>
      </c>
      <c r="S77" s="325"/>
      <c r="T77" s="348"/>
      <c r="U77" s="11"/>
      <c r="V77" s="11"/>
    </row>
    <row r="78" spans="1:22" x14ac:dyDescent="0.35">
      <c r="A78" s="72" t="s">
        <v>114</v>
      </c>
      <c r="D78" s="7" t="s">
        <v>57</v>
      </c>
      <c r="E78" s="7">
        <f>'Allocated Expenses'!E48</f>
        <v>486.67499999999995</v>
      </c>
      <c r="F78" s="7">
        <f>'Allocated Expenses'!F48</f>
        <v>0</v>
      </c>
      <c r="G78" s="7">
        <f>'Allocated Expenses'!G48</f>
        <v>0</v>
      </c>
      <c r="H78" s="7">
        <f>'Allocated Expenses'!H48</f>
        <v>486.67499999999995</v>
      </c>
      <c r="I78" s="7">
        <f>'Allocated Expenses'!I48</f>
        <v>0</v>
      </c>
      <c r="J78" s="7">
        <f>'Allocated Expenses'!J48</f>
        <v>0</v>
      </c>
      <c r="K78" s="7">
        <f>'Allocated Expenses'!K48</f>
        <v>486.67499999999995</v>
      </c>
      <c r="L78" s="7">
        <f>'Allocated Expenses'!L48</f>
        <v>0</v>
      </c>
      <c r="M78" s="7">
        <f>'Allocated Expenses'!M48</f>
        <v>0</v>
      </c>
      <c r="N78" s="7">
        <f>'Allocated Expenses'!N48</f>
        <v>486.67499999999995</v>
      </c>
      <c r="O78" s="7">
        <f>'Allocated Expenses'!O48</f>
        <v>0</v>
      </c>
      <c r="P78" s="7">
        <f>'Allocated Expenses'!P48</f>
        <v>0</v>
      </c>
      <c r="Q78" s="121">
        <f>SUM(E78:P78)</f>
        <v>1946.6999999999998</v>
      </c>
      <c r="R78" s="358">
        <f t="shared" si="21"/>
        <v>4.6548384782764636E-2</v>
      </c>
      <c r="S78" s="325"/>
      <c r="T78" s="348"/>
      <c r="U78" s="11"/>
      <c r="V78" s="11"/>
    </row>
    <row r="79" spans="1:22" x14ac:dyDescent="0.35">
      <c r="A79" s="72"/>
      <c r="C79" s="7" t="s">
        <v>58</v>
      </c>
      <c r="E79" s="29">
        <f t="shared" ref="E79:Q79" si="22">SUM(E77:E78)</f>
        <v>1947.9499999999998</v>
      </c>
      <c r="F79" s="29">
        <f t="shared" si="22"/>
        <v>1461.2749999999999</v>
      </c>
      <c r="G79" s="29">
        <f t="shared" si="22"/>
        <v>1461.2749999999999</v>
      </c>
      <c r="H79" s="29">
        <f t="shared" si="22"/>
        <v>1947.9499999999998</v>
      </c>
      <c r="I79" s="29">
        <f t="shared" si="22"/>
        <v>1461.2749999999999</v>
      </c>
      <c r="J79" s="29">
        <f t="shared" si="22"/>
        <v>1461.2749999999999</v>
      </c>
      <c r="K79" s="29">
        <f t="shared" si="22"/>
        <v>1947.9499999999998</v>
      </c>
      <c r="L79" s="29">
        <f t="shared" si="22"/>
        <v>1461.2749999999999</v>
      </c>
      <c r="M79" s="29">
        <f t="shared" si="22"/>
        <v>1461.2749999999999</v>
      </c>
      <c r="N79" s="29">
        <f t="shared" si="22"/>
        <v>1947.9499999999998</v>
      </c>
      <c r="O79" s="29">
        <f t="shared" si="22"/>
        <v>1461.2749999999999</v>
      </c>
      <c r="P79" s="29">
        <f t="shared" si="22"/>
        <v>1461.2749999999999</v>
      </c>
      <c r="Q79" s="130">
        <f t="shared" si="22"/>
        <v>19482</v>
      </c>
      <c r="R79" s="359">
        <f t="shared" si="21"/>
        <v>0.46584251930848136</v>
      </c>
      <c r="S79" s="330">
        <v>18591.78</v>
      </c>
      <c r="T79" s="360">
        <f>IFERROR(Q79/S79-1,"-")</f>
        <v>4.7882451276854754E-2</v>
      </c>
      <c r="U79" s="11"/>
      <c r="V79" s="11"/>
    </row>
    <row r="80" spans="1:22" x14ac:dyDescent="0.35">
      <c r="A80" s="72"/>
      <c r="Q80" s="121"/>
      <c r="R80" s="358"/>
      <c r="S80" s="325"/>
      <c r="T80" s="348"/>
      <c r="U80" s="11"/>
      <c r="V80" s="11"/>
    </row>
    <row r="81" spans="1:22" x14ac:dyDescent="0.35">
      <c r="A81" s="72" t="s">
        <v>137</v>
      </c>
      <c r="D81" s="7" t="s">
        <v>59</v>
      </c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21">
        <f>SUM(E81:P81)</f>
        <v>0</v>
      </c>
      <c r="R81" s="358">
        <f t="shared" si="21"/>
        <v>0</v>
      </c>
      <c r="S81" s="325"/>
      <c r="T81" s="348"/>
      <c r="U81" s="11"/>
      <c r="V81" s="11"/>
    </row>
    <row r="82" spans="1:22" x14ac:dyDescent="0.35">
      <c r="A82" s="72" t="s">
        <v>138</v>
      </c>
      <c r="D82" s="7" t="s">
        <v>20</v>
      </c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21">
        <f>SUM(E82:P82)</f>
        <v>0</v>
      </c>
      <c r="R82" s="358">
        <f t="shared" si="21"/>
        <v>0</v>
      </c>
      <c r="S82" s="325"/>
      <c r="T82" s="348"/>
      <c r="U82" s="11"/>
      <c r="V82" s="11"/>
    </row>
    <row r="83" spans="1:22" x14ac:dyDescent="0.35">
      <c r="A83" s="72" t="s">
        <v>139</v>
      </c>
      <c r="D83" s="7" t="s">
        <v>28</v>
      </c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21">
        <f>SUM(E83:P83)</f>
        <v>0</v>
      </c>
      <c r="R83" s="358">
        <f t="shared" si="21"/>
        <v>0</v>
      </c>
      <c r="S83" s="325"/>
      <c r="T83" s="348"/>
      <c r="U83" s="11"/>
      <c r="V83" s="11"/>
    </row>
    <row r="84" spans="1:22" x14ac:dyDescent="0.35">
      <c r="A84" s="72"/>
      <c r="C84" s="7" t="s">
        <v>60</v>
      </c>
      <c r="E84" s="29">
        <f t="shared" ref="E84:Q84" si="23">SUM(E81:E83)</f>
        <v>0</v>
      </c>
      <c r="F84" s="29">
        <f t="shared" si="23"/>
        <v>0</v>
      </c>
      <c r="G84" s="29">
        <f t="shared" si="23"/>
        <v>0</v>
      </c>
      <c r="H84" s="29">
        <f t="shared" si="23"/>
        <v>0</v>
      </c>
      <c r="I84" s="29">
        <f t="shared" si="23"/>
        <v>0</v>
      </c>
      <c r="J84" s="29">
        <f t="shared" si="23"/>
        <v>0</v>
      </c>
      <c r="K84" s="29">
        <f t="shared" si="23"/>
        <v>0</v>
      </c>
      <c r="L84" s="29">
        <f t="shared" si="23"/>
        <v>0</v>
      </c>
      <c r="M84" s="29">
        <f t="shared" si="23"/>
        <v>0</v>
      </c>
      <c r="N84" s="29">
        <f t="shared" si="23"/>
        <v>0</v>
      </c>
      <c r="O84" s="29">
        <f t="shared" si="23"/>
        <v>0</v>
      </c>
      <c r="P84" s="29">
        <f t="shared" si="23"/>
        <v>0</v>
      </c>
      <c r="Q84" s="130">
        <f t="shared" si="23"/>
        <v>0</v>
      </c>
      <c r="R84" s="359">
        <f t="shared" si="21"/>
        <v>0</v>
      </c>
      <c r="S84" s="330">
        <v>72.3</v>
      </c>
      <c r="T84" s="360">
        <f>IFERROR(Q84/S84-1,"-")</f>
        <v>-1</v>
      </c>
      <c r="U84" s="11"/>
      <c r="V84" s="11"/>
    </row>
    <row r="85" spans="1:22" x14ac:dyDescent="0.35">
      <c r="A85" s="72"/>
      <c r="Q85" s="121"/>
      <c r="R85" s="358"/>
      <c r="S85" s="325"/>
      <c r="T85" s="348"/>
      <c r="U85" s="11"/>
      <c r="V85" s="11"/>
    </row>
    <row r="86" spans="1:22" x14ac:dyDescent="0.35">
      <c r="A86" s="72"/>
      <c r="D86" s="53" t="s">
        <v>30</v>
      </c>
      <c r="E86" s="76">
        <f>1.03*910</f>
        <v>937.30000000000007</v>
      </c>
      <c r="F86" s="76">
        <f t="shared" ref="F86:P86" si="24">1.03*910</f>
        <v>937.30000000000007</v>
      </c>
      <c r="G86" s="76">
        <f t="shared" si="24"/>
        <v>937.30000000000007</v>
      </c>
      <c r="H86" s="76">
        <f t="shared" si="24"/>
        <v>937.30000000000007</v>
      </c>
      <c r="I86" s="76">
        <f t="shared" si="24"/>
        <v>937.30000000000007</v>
      </c>
      <c r="J86" s="76">
        <f t="shared" si="24"/>
        <v>937.30000000000007</v>
      </c>
      <c r="K86" s="76">
        <f t="shared" si="24"/>
        <v>937.30000000000007</v>
      </c>
      <c r="L86" s="76">
        <f t="shared" si="24"/>
        <v>937.30000000000007</v>
      </c>
      <c r="M86" s="76">
        <f t="shared" si="24"/>
        <v>937.30000000000007</v>
      </c>
      <c r="N86" s="76">
        <f t="shared" si="24"/>
        <v>937.30000000000007</v>
      </c>
      <c r="O86" s="76">
        <f t="shared" si="24"/>
        <v>937.30000000000007</v>
      </c>
      <c r="P86" s="76">
        <f t="shared" si="24"/>
        <v>937.30000000000007</v>
      </c>
      <c r="Q86" s="367">
        <f>SUM(E86:P86)</f>
        <v>11247.599999999999</v>
      </c>
      <c r="R86" s="368">
        <f t="shared" si="21"/>
        <v>0.26894622318930678</v>
      </c>
      <c r="S86" s="325"/>
      <c r="T86" s="348"/>
      <c r="U86" s="11"/>
      <c r="V86" s="11"/>
    </row>
    <row r="87" spans="1:22" x14ac:dyDescent="0.35">
      <c r="A87" s="72"/>
      <c r="D87" s="55" t="s">
        <v>31</v>
      </c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28">
        <f>SUM(E87:P87)</f>
        <v>0</v>
      </c>
      <c r="R87" s="370">
        <f t="shared" si="21"/>
        <v>0</v>
      </c>
      <c r="S87" s="325"/>
      <c r="T87" s="348"/>
      <c r="U87" s="11"/>
      <c r="V87" s="11"/>
    </row>
    <row r="88" spans="1:22" x14ac:dyDescent="0.35">
      <c r="A88" s="72" t="s">
        <v>115</v>
      </c>
      <c r="C88" s="7" t="s">
        <v>32</v>
      </c>
      <c r="E88" s="16">
        <f t="shared" ref="E88:Q88" si="25">SUM(E86:E87)</f>
        <v>937.30000000000007</v>
      </c>
      <c r="F88" s="16">
        <f t="shared" si="25"/>
        <v>937.30000000000007</v>
      </c>
      <c r="G88" s="16">
        <f t="shared" si="25"/>
        <v>937.30000000000007</v>
      </c>
      <c r="H88" s="16">
        <f t="shared" si="25"/>
        <v>937.30000000000007</v>
      </c>
      <c r="I88" s="16">
        <f t="shared" si="25"/>
        <v>937.30000000000007</v>
      </c>
      <c r="J88" s="16">
        <f t="shared" si="25"/>
        <v>937.30000000000007</v>
      </c>
      <c r="K88" s="16">
        <f t="shared" si="25"/>
        <v>937.30000000000007</v>
      </c>
      <c r="L88" s="16">
        <f t="shared" si="25"/>
        <v>937.30000000000007</v>
      </c>
      <c r="M88" s="16">
        <f t="shared" si="25"/>
        <v>937.30000000000007</v>
      </c>
      <c r="N88" s="16">
        <f t="shared" si="25"/>
        <v>937.30000000000007</v>
      </c>
      <c r="O88" s="16">
        <f t="shared" si="25"/>
        <v>937.30000000000007</v>
      </c>
      <c r="P88" s="16">
        <f t="shared" si="25"/>
        <v>937.30000000000007</v>
      </c>
      <c r="Q88" s="128">
        <f t="shared" si="25"/>
        <v>11247.599999999999</v>
      </c>
      <c r="R88" s="371">
        <f t="shared" si="21"/>
        <v>0.26894622318930678</v>
      </c>
      <c r="S88" s="330">
        <v>18810.980000000003</v>
      </c>
      <c r="T88" s="360">
        <f>IFERROR(Q88/S88-1,"-")</f>
        <v>-0.40207261928937266</v>
      </c>
      <c r="U88" s="11"/>
      <c r="V88" s="11"/>
    </row>
    <row r="89" spans="1:22" x14ac:dyDescent="0.35">
      <c r="A89" s="72"/>
      <c r="Q89" s="121"/>
      <c r="R89" s="358"/>
      <c r="S89" s="325"/>
      <c r="T89" s="348"/>
      <c r="U89" s="11"/>
      <c r="V89" s="11"/>
    </row>
    <row r="90" spans="1:22" s="60" customFormat="1" hidden="1" x14ac:dyDescent="0.35">
      <c r="A90" s="73" t="s">
        <v>140</v>
      </c>
      <c r="B90" s="60" t="s">
        <v>33</v>
      </c>
      <c r="C90" s="60" t="s">
        <v>61</v>
      </c>
      <c r="Q90" s="60">
        <f>SUM(E90:P90)</f>
        <v>0</v>
      </c>
      <c r="R90" s="375">
        <f t="shared" si="21"/>
        <v>0</v>
      </c>
      <c r="S90" s="325"/>
      <c r="T90" s="348" t="e">
        <f t="shared" ref="T90:T91" si="26">R90/S90-1</f>
        <v>#DIV/0!</v>
      </c>
      <c r="U90" s="389"/>
      <c r="V90" s="389"/>
    </row>
    <row r="91" spans="1:22" hidden="1" x14ac:dyDescent="0.35">
      <c r="A91" s="72"/>
      <c r="Q91" s="121"/>
      <c r="R91" s="358"/>
      <c r="S91" s="325"/>
      <c r="T91" s="348" t="e">
        <f t="shared" si="26"/>
        <v>#DIV/0!</v>
      </c>
      <c r="U91" s="11"/>
      <c r="V91" s="11"/>
    </row>
    <row r="92" spans="1:22" x14ac:dyDescent="0.35">
      <c r="A92" s="72" t="s">
        <v>116</v>
      </c>
      <c r="C92" s="7" t="s">
        <v>62</v>
      </c>
      <c r="E92" s="7">
        <f>'Allocated Expenses'!E55</f>
        <v>375</v>
      </c>
      <c r="F92" s="7">
        <f>'Allocated Expenses'!F55</f>
        <v>375</v>
      </c>
      <c r="G92" s="7">
        <f>'Allocated Expenses'!G55</f>
        <v>375</v>
      </c>
      <c r="H92" s="7">
        <f>'Allocated Expenses'!H55</f>
        <v>375</v>
      </c>
      <c r="I92" s="7">
        <f>'Allocated Expenses'!I55</f>
        <v>375</v>
      </c>
      <c r="J92" s="7">
        <f>'Allocated Expenses'!J55</f>
        <v>375</v>
      </c>
      <c r="K92" s="7">
        <f>'Allocated Expenses'!K55</f>
        <v>375</v>
      </c>
      <c r="L92" s="7">
        <f>'Allocated Expenses'!L55</f>
        <v>375</v>
      </c>
      <c r="M92" s="7">
        <f>'Allocated Expenses'!M55</f>
        <v>375</v>
      </c>
      <c r="N92" s="7">
        <f>'Allocated Expenses'!N55</f>
        <v>375</v>
      </c>
      <c r="O92" s="7">
        <f>'Allocated Expenses'!O55</f>
        <v>375</v>
      </c>
      <c r="P92" s="7">
        <f>'Allocated Expenses'!P55</f>
        <v>375</v>
      </c>
      <c r="Q92" s="121">
        <f>SUM(E92:P92)</f>
        <v>4500</v>
      </c>
      <c r="R92" s="358">
        <f t="shared" si="21"/>
        <v>0.10760144425049616</v>
      </c>
      <c r="S92" s="325">
        <v>7647.6</v>
      </c>
      <c r="T92" s="348">
        <f>IFERROR(Q92/S92-1,"-")</f>
        <v>-0.41158010356190178</v>
      </c>
      <c r="U92" s="11"/>
      <c r="V92" s="11"/>
    </row>
    <row r="93" spans="1:22" x14ac:dyDescent="0.35">
      <c r="A93" s="72"/>
      <c r="Q93" s="121"/>
      <c r="R93" s="358"/>
      <c r="S93" s="325"/>
      <c r="T93" s="348"/>
      <c r="U93" s="11"/>
      <c r="V93" s="11"/>
    </row>
    <row r="94" spans="1:22" x14ac:dyDescent="0.35">
      <c r="A94" s="72" t="s">
        <v>117</v>
      </c>
      <c r="C94" s="7" t="s">
        <v>63</v>
      </c>
      <c r="E94" s="7">
        <f>'Allocated Expenses'!E62</f>
        <v>0</v>
      </c>
      <c r="F94" s="7">
        <f>'Allocated Expenses'!F62</f>
        <v>0</v>
      </c>
      <c r="G94" s="7">
        <f>'Allocated Expenses'!G62</f>
        <v>0</v>
      </c>
      <c r="H94" s="7">
        <f>'Allocated Expenses'!H62</f>
        <v>950.70844450766936</v>
      </c>
      <c r="I94" s="7">
        <f>'Allocated Expenses'!I62</f>
        <v>0</v>
      </c>
      <c r="J94" s="7">
        <f>'Allocated Expenses'!J62</f>
        <v>0</v>
      </c>
      <c r="K94" s="7">
        <f>'Allocated Expenses'!K62</f>
        <v>0</v>
      </c>
      <c r="L94" s="7">
        <f>'Allocated Expenses'!L62</f>
        <v>0</v>
      </c>
      <c r="M94" s="7">
        <f>'Allocated Expenses'!M62</f>
        <v>0</v>
      </c>
      <c r="N94" s="7">
        <f>'Allocated Expenses'!N62</f>
        <v>0</v>
      </c>
      <c r="O94" s="7">
        <f>'Allocated Expenses'!O62</f>
        <v>0</v>
      </c>
      <c r="P94" s="7">
        <f>'Allocated Expenses'!P62</f>
        <v>0</v>
      </c>
      <c r="Q94" s="121">
        <f>SUM(E94:P94)</f>
        <v>950.70844450766936</v>
      </c>
      <c r="R94" s="358">
        <f t="shared" si="21"/>
        <v>2.273280037559287E-2</v>
      </c>
      <c r="S94" s="325">
        <v>996</v>
      </c>
      <c r="T94" s="348">
        <f>IFERROR(Q94/S94-1,"-")</f>
        <v>-4.5473449289488599E-2</v>
      </c>
      <c r="U94" s="11"/>
      <c r="V94" s="11"/>
    </row>
    <row r="95" spans="1:22" x14ac:dyDescent="0.35">
      <c r="A95" s="72"/>
      <c r="Q95" s="121"/>
      <c r="R95" s="358"/>
      <c r="S95" s="325"/>
      <c r="T95" s="348"/>
      <c r="U95" s="11"/>
      <c r="V95" s="11"/>
    </row>
    <row r="96" spans="1:22" x14ac:dyDescent="0.35">
      <c r="A96" s="72" t="s">
        <v>118</v>
      </c>
      <c r="C96" s="7" t="s">
        <v>64</v>
      </c>
      <c r="E96" s="7">
        <f>'Allocated Expenses'!E69</f>
        <v>772.09999999999991</v>
      </c>
      <c r="F96" s="7">
        <f>'Allocated Expenses'!F69</f>
        <v>772.09999999999991</v>
      </c>
      <c r="G96" s="7">
        <f>'Allocated Expenses'!G69</f>
        <v>772.09999999999991</v>
      </c>
      <c r="H96" s="7">
        <f>'Allocated Expenses'!H69</f>
        <v>772.09999999999991</v>
      </c>
      <c r="I96" s="7">
        <f>'Allocated Expenses'!I69</f>
        <v>772.09999999999991</v>
      </c>
      <c r="J96" s="7">
        <f>'Allocated Expenses'!J69</f>
        <v>772.09999999999991</v>
      </c>
      <c r="K96" s="7">
        <f>'Allocated Expenses'!K69</f>
        <v>772.09999999999991</v>
      </c>
      <c r="L96" s="7">
        <f>'Allocated Expenses'!L69</f>
        <v>772.09999999999991</v>
      </c>
      <c r="M96" s="7">
        <f>'Allocated Expenses'!M69</f>
        <v>772.09999999999991</v>
      </c>
      <c r="N96" s="7">
        <f>'Allocated Expenses'!N69</f>
        <v>772.09999999999991</v>
      </c>
      <c r="O96" s="7">
        <f>'Allocated Expenses'!O69</f>
        <v>772.09999999999991</v>
      </c>
      <c r="P96" s="7">
        <f>'Allocated Expenses'!P69</f>
        <v>772.09999999999991</v>
      </c>
      <c r="Q96" s="121">
        <f>SUM(E96:P96)</f>
        <v>9265.2000000000007</v>
      </c>
      <c r="R96" s="358">
        <f t="shared" si="21"/>
        <v>0.22154420028215491</v>
      </c>
      <c r="S96" s="325">
        <v>8453.4999999999982</v>
      </c>
      <c r="T96" s="348">
        <f>IFERROR(Q96/S96-1,"-")</f>
        <v>9.6019400248418041E-2</v>
      </c>
      <c r="U96" s="11"/>
      <c r="V96" s="11"/>
    </row>
    <row r="97" spans="1:22" x14ac:dyDescent="0.35">
      <c r="A97" s="72"/>
      <c r="Q97" s="121"/>
      <c r="R97" s="358"/>
      <c r="S97" s="325"/>
      <c r="T97" s="348"/>
      <c r="U97" s="11"/>
      <c r="V97" s="11"/>
    </row>
    <row r="98" spans="1:22" x14ac:dyDescent="0.35">
      <c r="A98" s="72" t="s">
        <v>125</v>
      </c>
      <c r="D98" s="7" t="s">
        <v>65</v>
      </c>
      <c r="E98" s="7">
        <f>'Allocated Expenses'!E76</f>
        <v>47.895000000000003</v>
      </c>
      <c r="F98" s="7">
        <f>'Allocated Expenses'!F76</f>
        <v>47.895000000000003</v>
      </c>
      <c r="G98" s="7">
        <f>'Allocated Expenses'!G76</f>
        <v>47.895000000000003</v>
      </c>
      <c r="H98" s="7">
        <f>'Allocated Expenses'!H76</f>
        <v>47.895000000000003</v>
      </c>
      <c r="I98" s="7">
        <f>'Allocated Expenses'!I76</f>
        <v>47.895000000000003</v>
      </c>
      <c r="J98" s="7">
        <f>'Allocated Expenses'!J76</f>
        <v>47.895000000000003</v>
      </c>
      <c r="K98" s="7">
        <f>'Allocated Expenses'!K76</f>
        <v>47.895000000000003</v>
      </c>
      <c r="L98" s="7">
        <f>'Allocated Expenses'!L76</f>
        <v>47.895000000000003</v>
      </c>
      <c r="M98" s="7">
        <f>'Allocated Expenses'!M76</f>
        <v>47.895000000000003</v>
      </c>
      <c r="N98" s="7">
        <f>'Allocated Expenses'!N76</f>
        <v>47.895000000000003</v>
      </c>
      <c r="O98" s="7">
        <f>'Allocated Expenses'!O76</f>
        <v>47.895000000000003</v>
      </c>
      <c r="P98" s="7">
        <f>'Allocated Expenses'!P76</f>
        <v>47.895000000000003</v>
      </c>
      <c r="Q98" s="121">
        <f>SUM(E98:P98)</f>
        <v>574.7399999999999</v>
      </c>
      <c r="R98" s="358">
        <f t="shared" si="21"/>
        <v>1.3742856459673367E-2</v>
      </c>
      <c r="S98" s="325"/>
      <c r="T98" s="348"/>
      <c r="U98" s="11"/>
      <c r="V98" s="11"/>
    </row>
    <row r="99" spans="1:22" x14ac:dyDescent="0.35">
      <c r="A99" s="72" t="s">
        <v>141</v>
      </c>
      <c r="D99" s="7" t="s">
        <v>66</v>
      </c>
      <c r="E99" s="7">
        <f>'Allocated Expenses'!E83</f>
        <v>0</v>
      </c>
      <c r="F99" s="7">
        <f>'Allocated Expenses'!F83</f>
        <v>0</v>
      </c>
      <c r="G99" s="7">
        <f>'Allocated Expenses'!G83</f>
        <v>0</v>
      </c>
      <c r="H99" s="7">
        <f>'Allocated Expenses'!H83</f>
        <v>0</v>
      </c>
      <c r="I99" s="7">
        <f>'Allocated Expenses'!I83</f>
        <v>0</v>
      </c>
      <c r="J99" s="7">
        <f>'Allocated Expenses'!J83</f>
        <v>0</v>
      </c>
      <c r="K99" s="7">
        <f>'Allocated Expenses'!K83</f>
        <v>0</v>
      </c>
      <c r="L99" s="7">
        <f>'Allocated Expenses'!L83</f>
        <v>0</v>
      </c>
      <c r="M99" s="7">
        <f>'Allocated Expenses'!M83</f>
        <v>0</v>
      </c>
      <c r="N99" s="7">
        <f>'Allocated Expenses'!N83</f>
        <v>0</v>
      </c>
      <c r="O99" s="7">
        <f>'Allocated Expenses'!O83</f>
        <v>0</v>
      </c>
      <c r="P99" s="7">
        <f>'Allocated Expenses'!P83</f>
        <v>0</v>
      </c>
      <c r="Q99" s="121">
        <f>SUM(E99:P99)</f>
        <v>0</v>
      </c>
      <c r="R99" s="358">
        <f t="shared" si="21"/>
        <v>0</v>
      </c>
      <c r="S99" s="325"/>
      <c r="T99" s="348"/>
      <c r="U99" s="11"/>
      <c r="V99" s="11"/>
    </row>
    <row r="100" spans="1:22" x14ac:dyDescent="0.35">
      <c r="A100" s="72" t="s">
        <v>142</v>
      </c>
      <c r="D100" s="7" t="s">
        <v>67</v>
      </c>
      <c r="E100" s="7">
        <f>'Allocated Expenses'!E90</f>
        <v>0</v>
      </c>
      <c r="F100" s="7">
        <f>'Allocated Expenses'!F90</f>
        <v>0</v>
      </c>
      <c r="G100" s="7">
        <f>'Allocated Expenses'!G90</f>
        <v>0</v>
      </c>
      <c r="H100" s="7">
        <f>'Allocated Expenses'!H90</f>
        <v>0</v>
      </c>
      <c r="I100" s="7">
        <f>'Allocated Expenses'!I90</f>
        <v>0</v>
      </c>
      <c r="J100" s="7">
        <f>'Allocated Expenses'!J90</f>
        <v>0</v>
      </c>
      <c r="K100" s="7">
        <f>'Allocated Expenses'!K90</f>
        <v>0</v>
      </c>
      <c r="L100" s="7">
        <f>'Allocated Expenses'!L90</f>
        <v>0</v>
      </c>
      <c r="M100" s="7">
        <f>'Allocated Expenses'!M90</f>
        <v>0</v>
      </c>
      <c r="N100" s="7">
        <f>'Allocated Expenses'!N90</f>
        <v>0</v>
      </c>
      <c r="O100" s="7">
        <f>'Allocated Expenses'!O90</f>
        <v>0</v>
      </c>
      <c r="P100" s="7">
        <f>'Allocated Expenses'!P90</f>
        <v>0</v>
      </c>
      <c r="Q100" s="121">
        <f>SUM(E100:P100)</f>
        <v>0</v>
      </c>
      <c r="R100" s="358">
        <f t="shared" si="21"/>
        <v>0</v>
      </c>
      <c r="S100" s="325"/>
      <c r="T100" s="348"/>
      <c r="U100" s="11"/>
      <c r="V100" s="11"/>
    </row>
    <row r="101" spans="1:22" x14ac:dyDescent="0.35">
      <c r="A101" s="72" t="s">
        <v>126</v>
      </c>
      <c r="D101" s="7" t="s">
        <v>68</v>
      </c>
      <c r="E101" s="7">
        <f>'Allocated Expenses'!E97</f>
        <v>6.18</v>
      </c>
      <c r="F101" s="7">
        <f>'Allocated Expenses'!F97</f>
        <v>6.18</v>
      </c>
      <c r="G101" s="7">
        <f>'Allocated Expenses'!G97</f>
        <v>6.18</v>
      </c>
      <c r="H101" s="7">
        <f>'Allocated Expenses'!H97</f>
        <v>6.18</v>
      </c>
      <c r="I101" s="7">
        <f>'Allocated Expenses'!I97</f>
        <v>6.18</v>
      </c>
      <c r="J101" s="7">
        <f>'Allocated Expenses'!J97</f>
        <v>6.18</v>
      </c>
      <c r="K101" s="7">
        <f>'Allocated Expenses'!K97</f>
        <v>6.18</v>
      </c>
      <c r="L101" s="7">
        <f>'Allocated Expenses'!L97</f>
        <v>6.18</v>
      </c>
      <c r="M101" s="7">
        <f>'Allocated Expenses'!M97</f>
        <v>6.18</v>
      </c>
      <c r="N101" s="7">
        <f>'Allocated Expenses'!N97</f>
        <v>6.18</v>
      </c>
      <c r="O101" s="7">
        <f>'Allocated Expenses'!O97</f>
        <v>6.18</v>
      </c>
      <c r="P101" s="7">
        <f>'Allocated Expenses'!P97</f>
        <v>6.18</v>
      </c>
      <c r="Q101" s="121">
        <f>SUM(E101:P101)</f>
        <v>74.16</v>
      </c>
      <c r="R101" s="358">
        <f t="shared" si="21"/>
        <v>1.7732718012481766E-3</v>
      </c>
      <c r="S101" s="325"/>
      <c r="T101" s="348"/>
      <c r="U101" s="11"/>
      <c r="V101" s="11" t="s">
        <v>442</v>
      </c>
    </row>
    <row r="102" spans="1:22" x14ac:dyDescent="0.35">
      <c r="A102" s="72" t="s">
        <v>119</v>
      </c>
      <c r="D102" s="7" t="s">
        <v>69</v>
      </c>
      <c r="E102" s="7">
        <f>'Allocated Expenses'!E104</f>
        <v>1062.96</v>
      </c>
      <c r="F102" s="7">
        <f>'Allocated Expenses'!F104</f>
        <v>1062.96</v>
      </c>
      <c r="G102" s="7">
        <f>'Allocated Expenses'!G104</f>
        <v>1062.96</v>
      </c>
      <c r="H102" s="7">
        <f>'Allocated Expenses'!H104</f>
        <v>1062.96</v>
      </c>
      <c r="I102" s="7">
        <f>'Allocated Expenses'!I104</f>
        <v>1062.96</v>
      </c>
      <c r="J102" s="7">
        <f>'Allocated Expenses'!J104</f>
        <v>1062.96</v>
      </c>
      <c r="K102" s="7">
        <f>'Allocated Expenses'!K104</f>
        <v>1062.96</v>
      </c>
      <c r="L102" s="7">
        <f>'Allocated Expenses'!L104</f>
        <v>1062.96</v>
      </c>
      <c r="M102" s="7">
        <f>'Allocated Expenses'!M104</f>
        <v>1062.96</v>
      </c>
      <c r="N102" s="7">
        <f>'Allocated Expenses'!N104</f>
        <v>1062.96</v>
      </c>
      <c r="O102" s="7">
        <f>'Allocated Expenses'!O104</f>
        <v>1062.96</v>
      </c>
      <c r="P102" s="7">
        <f>'Allocated Expenses'!P104</f>
        <v>1062.96</v>
      </c>
      <c r="Q102" s="121">
        <f>SUM(E102:P102)</f>
        <v>12755.519999999997</v>
      </c>
      <c r="R102" s="358">
        <f t="shared" si="21"/>
        <v>0.30500274981468634</v>
      </c>
      <c r="S102" s="325"/>
      <c r="T102" s="348"/>
      <c r="U102" s="11"/>
      <c r="V102" s="11"/>
    </row>
    <row r="103" spans="1:22" x14ac:dyDescent="0.35">
      <c r="A103" s="72"/>
      <c r="C103" s="7" t="s">
        <v>70</v>
      </c>
      <c r="E103" s="29">
        <f>SUM(E98:E102)</f>
        <v>1117.0350000000001</v>
      </c>
      <c r="F103" s="29">
        <f t="shared" ref="F103:Q103" si="27">SUM(F98:F102)</f>
        <v>1117.0350000000001</v>
      </c>
      <c r="G103" s="29">
        <f t="shared" si="27"/>
        <v>1117.0350000000001</v>
      </c>
      <c r="H103" s="29">
        <f t="shared" si="27"/>
        <v>1117.0350000000001</v>
      </c>
      <c r="I103" s="29">
        <f t="shared" si="27"/>
        <v>1117.0350000000001</v>
      </c>
      <c r="J103" s="29">
        <f t="shared" si="27"/>
        <v>1117.0350000000001</v>
      </c>
      <c r="K103" s="29">
        <f t="shared" si="27"/>
        <v>1117.0350000000001</v>
      </c>
      <c r="L103" s="29">
        <f t="shared" si="27"/>
        <v>1117.0350000000001</v>
      </c>
      <c r="M103" s="29">
        <f t="shared" si="27"/>
        <v>1117.0350000000001</v>
      </c>
      <c r="N103" s="29">
        <f t="shared" si="27"/>
        <v>1117.0350000000001</v>
      </c>
      <c r="O103" s="29">
        <f t="shared" si="27"/>
        <v>1117.0350000000001</v>
      </c>
      <c r="P103" s="29">
        <f t="shared" si="27"/>
        <v>1117.0350000000001</v>
      </c>
      <c r="Q103" s="130">
        <f t="shared" si="27"/>
        <v>13404.419999999996</v>
      </c>
      <c r="R103" s="359">
        <f t="shared" si="21"/>
        <v>0.32051887807560786</v>
      </c>
      <c r="S103" s="330">
        <v>14517.93</v>
      </c>
      <c r="T103" s="360">
        <f>IFERROR(Q103/S103-1,"-")</f>
        <v>-7.6698950883493988E-2</v>
      </c>
      <c r="U103" s="11"/>
      <c r="V103" s="11"/>
    </row>
    <row r="104" spans="1:22" x14ac:dyDescent="0.35">
      <c r="A104" s="72"/>
      <c r="Q104" s="121"/>
      <c r="R104" s="358"/>
      <c r="S104" s="325"/>
      <c r="T104" s="348"/>
      <c r="U104" s="11"/>
      <c r="V104" s="11"/>
    </row>
    <row r="105" spans="1:22" ht="18" x14ac:dyDescent="0.35">
      <c r="A105" s="72"/>
      <c r="C105" s="30" t="s">
        <v>71</v>
      </c>
      <c r="D105" s="57"/>
      <c r="E105" s="57">
        <f t="shared" ref="E105:P105" si="28">+E75+E79+E84+E88+E90+E92+E94+E96+E103</f>
        <v>5149.3850000000002</v>
      </c>
      <c r="F105" s="57">
        <f t="shared" si="28"/>
        <v>4662.71</v>
      </c>
      <c r="G105" s="57">
        <f t="shared" si="28"/>
        <v>4662.71</v>
      </c>
      <c r="H105" s="57">
        <f t="shared" si="28"/>
        <v>6100.0934445076691</v>
      </c>
      <c r="I105" s="57">
        <f t="shared" si="28"/>
        <v>4662.71</v>
      </c>
      <c r="J105" s="57">
        <f t="shared" si="28"/>
        <v>4662.71</v>
      </c>
      <c r="K105" s="57">
        <f t="shared" si="28"/>
        <v>5149.3850000000002</v>
      </c>
      <c r="L105" s="57">
        <f t="shared" si="28"/>
        <v>4662.71</v>
      </c>
      <c r="M105" s="57">
        <f t="shared" si="28"/>
        <v>4662.71</v>
      </c>
      <c r="N105" s="57">
        <f t="shared" si="28"/>
        <v>5149.3850000000002</v>
      </c>
      <c r="O105" s="57">
        <f t="shared" si="28"/>
        <v>4662.71</v>
      </c>
      <c r="P105" s="57">
        <f t="shared" si="28"/>
        <v>4662.71</v>
      </c>
      <c r="Q105" s="129">
        <f>+Q75+Q79+Q84+Q88+Q90+Q92+Q94+Q96+Q103</f>
        <v>58849.928444507663</v>
      </c>
      <c r="R105" s="373">
        <f t="shared" si="21"/>
        <v>1.4071860654816399</v>
      </c>
      <c r="S105" s="335">
        <f t="shared" ref="S105" si="29">+S75+S79+S84+S88+S90+S92+S94+S96+S103</f>
        <v>69090.09</v>
      </c>
      <c r="T105" s="374">
        <f>IFERROR(Q105/S105-1,"-")</f>
        <v>-0.14821462174231259</v>
      </c>
      <c r="U105" s="11"/>
      <c r="V105" s="11"/>
    </row>
    <row r="106" spans="1:22" ht="18.5" thickBot="1" x14ac:dyDescent="0.4">
      <c r="A106" s="72"/>
      <c r="Q106" s="123"/>
      <c r="R106" s="361"/>
      <c r="S106" s="331"/>
      <c r="T106" s="362"/>
      <c r="U106" s="11"/>
      <c r="V106" s="11"/>
    </row>
    <row r="107" spans="1:22" s="9" customFormat="1" ht="18" thickBot="1" x14ac:dyDescent="0.4">
      <c r="A107" s="253"/>
      <c r="B107" s="254" t="s">
        <v>72</v>
      </c>
      <c r="C107" s="255"/>
      <c r="D107" s="255"/>
      <c r="E107" s="255">
        <f t="shared" ref="E107:Q107" si="30">+E71+E105</f>
        <v>42908.889870946288</v>
      </c>
      <c r="F107" s="255">
        <f t="shared" si="30"/>
        <v>30159.434870946279</v>
      </c>
      <c r="G107" s="255">
        <f t="shared" si="30"/>
        <v>26767.604870946285</v>
      </c>
      <c r="H107" s="255">
        <f t="shared" si="30"/>
        <v>39603.738315453957</v>
      </c>
      <c r="I107" s="255">
        <f t="shared" si="30"/>
        <v>25959.084870946281</v>
      </c>
      <c r="J107" s="255">
        <f t="shared" si="30"/>
        <v>39158.234870946282</v>
      </c>
      <c r="K107" s="255">
        <f t="shared" si="30"/>
        <v>39535.209870946288</v>
      </c>
      <c r="L107" s="255">
        <f t="shared" si="30"/>
        <v>24445.874870946282</v>
      </c>
      <c r="M107" s="255">
        <f t="shared" si="30"/>
        <v>25681.90487094628</v>
      </c>
      <c r="N107" s="255">
        <f t="shared" si="30"/>
        <v>40813.999870946289</v>
      </c>
      <c r="O107" s="255">
        <f t="shared" si="30"/>
        <v>25644.834870946281</v>
      </c>
      <c r="P107" s="255">
        <f t="shared" si="30"/>
        <v>28020.344870946283</v>
      </c>
      <c r="Q107" s="364">
        <f t="shared" si="30"/>
        <v>388699.15689586307</v>
      </c>
      <c r="R107" s="365">
        <f t="shared" si="21"/>
        <v>9.294353480210015</v>
      </c>
      <c r="S107" s="333">
        <f>+S71+S105</f>
        <v>431838.87</v>
      </c>
      <c r="T107" s="366">
        <f t="shared" ref="T107" si="31">IFERROR(Q107/S107-1,"-")</f>
        <v>-9.9897707457730522E-2</v>
      </c>
      <c r="U107" s="44"/>
      <c r="V107" s="44"/>
    </row>
    <row r="108" spans="1:22" ht="18.5" thickBot="1" x14ac:dyDescent="0.4">
      <c r="A108" s="72"/>
      <c r="Q108" s="123"/>
      <c r="R108" s="361"/>
      <c r="S108" s="331"/>
      <c r="T108" s="362"/>
      <c r="U108" s="11"/>
      <c r="V108" s="11"/>
    </row>
    <row r="109" spans="1:22" s="9" customFormat="1" ht="18" thickBot="1" x14ac:dyDescent="0.4">
      <c r="A109" s="253"/>
      <c r="B109" s="254" t="s">
        <v>73</v>
      </c>
      <c r="C109" s="255"/>
      <c r="D109" s="255"/>
      <c r="E109" s="255">
        <f t="shared" ref="E109:Q109" si="32">+E24-E107</f>
        <v>-1882.8106709462882</v>
      </c>
      <c r="F109" s="255">
        <f t="shared" si="32"/>
        <v>10260.333262387052</v>
      </c>
      <c r="G109" s="255">
        <f t="shared" si="32"/>
        <v>12661.889062387047</v>
      </c>
      <c r="H109" s="255">
        <f t="shared" si="32"/>
        <v>-3343.4661821206246</v>
      </c>
      <c r="I109" s="255">
        <f t="shared" si="32"/>
        <v>9998.6198623870514</v>
      </c>
      <c r="J109" s="255">
        <f t="shared" si="32"/>
        <v>-2822.4032042796171</v>
      </c>
      <c r="K109" s="255">
        <f t="shared" si="32"/>
        <v>-2807.1662042796161</v>
      </c>
      <c r="L109" s="255">
        <f t="shared" si="32"/>
        <v>12296.275795720387</v>
      </c>
      <c r="M109" s="255">
        <f t="shared" si="32"/>
        <v>10551.248395720395</v>
      </c>
      <c r="N109" s="255">
        <f t="shared" si="32"/>
        <v>-4558.7502042796186</v>
      </c>
      <c r="O109" s="255">
        <f t="shared" si="32"/>
        <v>12842.40759572039</v>
      </c>
      <c r="P109" s="255">
        <f t="shared" si="32"/>
        <v>12172.599195720388</v>
      </c>
      <c r="Q109" s="364">
        <f t="shared" si="32"/>
        <v>65368.776704136922</v>
      </c>
      <c r="R109" s="365">
        <f t="shared" si="21"/>
        <v>1.5630610627229602</v>
      </c>
      <c r="S109" s="333">
        <f>+S24-S107</f>
        <v>-37831.179999999993</v>
      </c>
      <c r="T109" s="366">
        <f t="shared" ref="T109" si="33">IFERROR(Q109/S109-1,"-")</f>
        <v>-2.7279074219767114</v>
      </c>
      <c r="U109" s="44"/>
      <c r="V109" s="44"/>
    </row>
    <row r="110" spans="1:22" ht="18" x14ac:dyDescent="0.35">
      <c r="A110" s="72"/>
      <c r="Q110" s="123"/>
      <c r="R110" s="361"/>
      <c r="S110" s="331"/>
      <c r="T110" s="362"/>
      <c r="U110" s="11"/>
      <c r="V110" s="11"/>
    </row>
    <row r="111" spans="1:22" x14ac:dyDescent="0.35">
      <c r="A111" s="72" t="s">
        <v>120</v>
      </c>
      <c r="D111" s="7" t="s">
        <v>74</v>
      </c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21">
        <f>SUM(E111:P111)</f>
        <v>0</v>
      </c>
      <c r="R111" s="358">
        <f t="shared" si="21"/>
        <v>0</v>
      </c>
      <c r="S111" s="325"/>
      <c r="T111" s="348"/>
      <c r="U111" s="11"/>
      <c r="V111" s="11"/>
    </row>
    <row r="112" spans="1:22" x14ac:dyDescent="0.35">
      <c r="A112" s="72" t="s">
        <v>121</v>
      </c>
      <c r="D112" s="7" t="s">
        <v>75</v>
      </c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21">
        <f>SUM(E112:P112)</f>
        <v>0</v>
      </c>
      <c r="R112" s="358">
        <f t="shared" si="21"/>
        <v>0</v>
      </c>
      <c r="S112" s="325"/>
      <c r="T112" s="348"/>
      <c r="U112" s="11"/>
      <c r="V112" s="11"/>
    </row>
    <row r="113" spans="1:22" x14ac:dyDescent="0.35">
      <c r="A113" s="72" t="s">
        <v>122</v>
      </c>
      <c r="D113" s="7" t="s">
        <v>76</v>
      </c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21">
        <f>SUM(E113:P113)</f>
        <v>0</v>
      </c>
      <c r="R113" s="358">
        <f t="shared" si="21"/>
        <v>0</v>
      </c>
      <c r="S113" s="325"/>
      <c r="T113" s="348"/>
      <c r="U113" s="11"/>
      <c r="V113" s="11"/>
    </row>
    <row r="114" spans="1:22" x14ac:dyDescent="0.35">
      <c r="A114" s="72" t="s">
        <v>130</v>
      </c>
      <c r="D114" s="7" t="s">
        <v>77</v>
      </c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21">
        <f>SUM(E114:P114)</f>
        <v>0</v>
      </c>
      <c r="R114" s="358">
        <f t="shared" si="21"/>
        <v>0</v>
      </c>
      <c r="S114" s="325"/>
      <c r="T114" s="348"/>
      <c r="U114" s="11"/>
      <c r="V114" s="11"/>
    </row>
    <row r="115" spans="1:22" x14ac:dyDescent="0.35">
      <c r="A115" s="72"/>
      <c r="C115" s="7" t="s">
        <v>77</v>
      </c>
      <c r="E115" s="29">
        <f t="shared" ref="E115:Q115" si="34">SUM(E111:E114)</f>
        <v>0</v>
      </c>
      <c r="F115" s="29">
        <f t="shared" si="34"/>
        <v>0</v>
      </c>
      <c r="G115" s="29">
        <f t="shared" si="34"/>
        <v>0</v>
      </c>
      <c r="H115" s="29">
        <f t="shared" si="34"/>
        <v>0</v>
      </c>
      <c r="I115" s="29">
        <f t="shared" si="34"/>
        <v>0</v>
      </c>
      <c r="J115" s="29">
        <f t="shared" si="34"/>
        <v>0</v>
      </c>
      <c r="K115" s="29">
        <f t="shared" si="34"/>
        <v>0</v>
      </c>
      <c r="L115" s="29">
        <f t="shared" si="34"/>
        <v>0</v>
      </c>
      <c r="M115" s="29">
        <f t="shared" si="34"/>
        <v>0</v>
      </c>
      <c r="N115" s="29">
        <f t="shared" si="34"/>
        <v>0</v>
      </c>
      <c r="O115" s="29">
        <f t="shared" si="34"/>
        <v>0</v>
      </c>
      <c r="P115" s="29">
        <f t="shared" si="34"/>
        <v>0</v>
      </c>
      <c r="Q115" s="130">
        <f t="shared" si="34"/>
        <v>0</v>
      </c>
      <c r="R115" s="359">
        <f t="shared" si="21"/>
        <v>0</v>
      </c>
      <c r="S115" s="330"/>
      <c r="T115" s="360" t="str">
        <f>IFERROR(Q115/S115-1,"-")</f>
        <v>-</v>
      </c>
      <c r="U115" s="11"/>
      <c r="V115" s="11"/>
    </row>
    <row r="116" spans="1:22" x14ac:dyDescent="0.35">
      <c r="A116" s="72"/>
      <c r="Q116" s="121"/>
      <c r="R116" s="358"/>
      <c r="S116" s="325"/>
      <c r="T116" s="348"/>
      <c r="U116" s="11"/>
      <c r="V116" s="11"/>
    </row>
    <row r="117" spans="1:22" x14ac:dyDescent="0.35">
      <c r="A117" s="72" t="s">
        <v>123</v>
      </c>
      <c r="C117" s="7" t="s">
        <v>78</v>
      </c>
      <c r="E117" s="7">
        <f>'Renew &amp; Vac - Rent, TI, LC'!AH11</f>
        <v>9576</v>
      </c>
      <c r="F117" s="7">
        <f>'Renew &amp; Vac - Rent, TI, LC'!AI11</f>
        <v>0</v>
      </c>
      <c r="G117" s="7">
        <f>'Renew &amp; Vac - Rent, TI, LC'!AJ11</f>
        <v>0</v>
      </c>
      <c r="H117" s="7">
        <f>'Renew &amp; Vac - Rent, TI, LC'!AK11</f>
        <v>0</v>
      </c>
      <c r="I117" s="7">
        <f>'Renew &amp; Vac - Rent, TI, LC'!AL11</f>
        <v>0</v>
      </c>
      <c r="J117" s="7">
        <f>'Renew &amp; Vac - Rent, TI, LC'!AM11</f>
        <v>0</v>
      </c>
      <c r="K117" s="7">
        <f>'Renew &amp; Vac - Rent, TI, LC'!AN11</f>
        <v>0</v>
      </c>
      <c r="L117" s="7">
        <f>'Renew &amp; Vac - Rent, TI, LC'!AO11</f>
        <v>0</v>
      </c>
      <c r="M117" s="7">
        <f>'Renew &amp; Vac - Rent, TI, LC'!AP11</f>
        <v>0</v>
      </c>
      <c r="N117" s="7">
        <f>'Renew &amp; Vac - Rent, TI, LC'!AQ11</f>
        <v>0</v>
      </c>
      <c r="O117" s="7">
        <f>'Renew &amp; Vac - Rent, TI, LC'!AR11</f>
        <v>3006</v>
      </c>
      <c r="P117" s="7">
        <f>'Renew &amp; Vac - Rent, TI, LC'!AS11</f>
        <v>0</v>
      </c>
      <c r="Q117" s="121">
        <f>SUM(E117:P117)</f>
        <v>12582</v>
      </c>
      <c r="R117" s="358">
        <f t="shared" si="21"/>
        <v>0.30085363812438726</v>
      </c>
      <c r="S117" s="325">
        <v>1633.9299999999348</v>
      </c>
      <c r="T117" s="348">
        <f>IFERROR(Q117/S117-1,"-")</f>
        <v>6.7004522837578735</v>
      </c>
      <c r="U117" s="11"/>
      <c r="V117" s="11"/>
    </row>
    <row r="118" spans="1:22" ht="18" x14ac:dyDescent="0.35">
      <c r="A118" s="72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376"/>
      <c r="R118" s="377"/>
      <c r="S118" s="336"/>
      <c r="T118" s="378"/>
      <c r="U118" s="11"/>
      <c r="V118" s="11"/>
    </row>
    <row r="119" spans="1:22" ht="18" x14ac:dyDescent="0.35">
      <c r="A119" s="72"/>
      <c r="D119" s="7" t="s">
        <v>79</v>
      </c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23">
        <f>SUM(E119:P119)</f>
        <v>0</v>
      </c>
      <c r="R119" s="361">
        <f t="shared" si="21"/>
        <v>0</v>
      </c>
      <c r="S119" s="331"/>
      <c r="T119" s="362"/>
      <c r="U119" s="11"/>
      <c r="V119" s="11"/>
    </row>
    <row r="120" spans="1:22" x14ac:dyDescent="0.35">
      <c r="A120" s="72"/>
      <c r="B120" s="9"/>
      <c r="D120" s="7" t="s">
        <v>80</v>
      </c>
      <c r="E120" s="16">
        <f>'Renew &amp; Vac - Rent, TI, LC'!AH12</f>
        <v>10383.68</v>
      </c>
      <c r="F120" s="16">
        <f>'Renew &amp; Vac - Rent, TI, LC'!AI12</f>
        <v>4539.5999999999995</v>
      </c>
      <c r="G120" s="16">
        <f>'Renew &amp; Vac - Rent, TI, LC'!AJ12</f>
        <v>0</v>
      </c>
      <c r="H120" s="16">
        <f>'Renew &amp; Vac - Rent, TI, LC'!AK12</f>
        <v>0</v>
      </c>
      <c r="I120" s="16">
        <f>'Renew &amp; Vac - Rent, TI, LC'!AL12</f>
        <v>0</v>
      </c>
      <c r="J120" s="16">
        <f>'Renew &amp; Vac - Rent, TI, LC'!AM12</f>
        <v>652.65</v>
      </c>
      <c r="K120" s="16">
        <f>'Renew &amp; Vac - Rent, TI, LC'!AN12</f>
        <v>648.94499999999994</v>
      </c>
      <c r="L120" s="16">
        <f>'Renew &amp; Vac - Rent, TI, LC'!AO12</f>
        <v>900.72</v>
      </c>
      <c r="M120" s="16">
        <f>'Renew &amp; Vac - Rent, TI, LC'!AP12</f>
        <v>0</v>
      </c>
      <c r="N120" s="16">
        <f>'Renew &amp; Vac - Rent, TI, LC'!AQ12</f>
        <v>0</v>
      </c>
      <c r="O120" s="16">
        <f>'Renew &amp; Vac - Rent, TI, LC'!AR12</f>
        <v>1082.1599999999999</v>
      </c>
      <c r="P120" s="16">
        <f>'Renew &amp; Vac - Rent, TI, LC'!AS12</f>
        <v>0</v>
      </c>
      <c r="Q120" s="128">
        <f>SUM(E120:P120)</f>
        <v>18207.754999999997</v>
      </c>
      <c r="R120" s="371">
        <f t="shared" si="21"/>
        <v>0.43537349656870944</v>
      </c>
      <c r="S120" s="338"/>
      <c r="T120" s="363"/>
      <c r="U120" s="11"/>
      <c r="V120" s="11"/>
    </row>
    <row r="121" spans="1:22" x14ac:dyDescent="0.35">
      <c r="A121" s="72" t="s">
        <v>124</v>
      </c>
      <c r="C121" s="7" t="s">
        <v>80</v>
      </c>
      <c r="D121" s="31"/>
      <c r="E121" s="7">
        <f t="shared" ref="E121:Q121" si="35">SUM(E119:E120)</f>
        <v>10383.68</v>
      </c>
      <c r="F121" s="7">
        <f t="shared" si="35"/>
        <v>4539.5999999999995</v>
      </c>
      <c r="G121" s="7">
        <f t="shared" si="35"/>
        <v>0</v>
      </c>
      <c r="H121" s="7">
        <f t="shared" si="35"/>
        <v>0</v>
      </c>
      <c r="I121" s="7">
        <f t="shared" si="35"/>
        <v>0</v>
      </c>
      <c r="J121" s="7">
        <f t="shared" si="35"/>
        <v>652.65</v>
      </c>
      <c r="K121" s="7">
        <f t="shared" si="35"/>
        <v>648.94499999999994</v>
      </c>
      <c r="L121" s="7">
        <f t="shared" si="35"/>
        <v>900.72</v>
      </c>
      <c r="M121" s="7">
        <f t="shared" si="35"/>
        <v>0</v>
      </c>
      <c r="N121" s="7">
        <f t="shared" si="35"/>
        <v>0</v>
      </c>
      <c r="O121" s="7">
        <f t="shared" si="35"/>
        <v>1082.1599999999999</v>
      </c>
      <c r="P121" s="7">
        <f t="shared" si="35"/>
        <v>0</v>
      </c>
      <c r="Q121" s="121">
        <f t="shared" si="35"/>
        <v>18207.754999999997</v>
      </c>
      <c r="R121" s="358">
        <f t="shared" si="21"/>
        <v>0.43537349656870944</v>
      </c>
      <c r="S121" s="325">
        <v>4645.539999999979</v>
      </c>
      <c r="T121" s="348">
        <f>IFERROR(Q121/S121-1,"-")</f>
        <v>2.9194054943020791</v>
      </c>
      <c r="U121" s="11"/>
      <c r="V121" s="11" t="s">
        <v>482</v>
      </c>
    </row>
    <row r="122" spans="1:22" s="9" customFormat="1" ht="18.5" thickBot="1" x14ac:dyDescent="0.4">
      <c r="A122" s="74"/>
      <c r="Q122" s="379"/>
      <c r="R122" s="380"/>
      <c r="S122" s="340"/>
      <c r="T122" s="381"/>
      <c r="U122" s="44"/>
      <c r="V122" s="44"/>
    </row>
    <row r="123" spans="1:22" s="9" customFormat="1" ht="18" thickBot="1" x14ac:dyDescent="0.4">
      <c r="A123" s="253"/>
      <c r="B123" s="254" t="s">
        <v>81</v>
      </c>
      <c r="C123" s="255"/>
      <c r="D123" s="255"/>
      <c r="E123" s="255">
        <f t="shared" ref="E123:Q123" si="36">+E109-E115-E117-E121</f>
        <v>-21842.490670946288</v>
      </c>
      <c r="F123" s="255">
        <f t="shared" si="36"/>
        <v>5720.7332623870525</v>
      </c>
      <c r="G123" s="255">
        <f t="shared" si="36"/>
        <v>12661.889062387047</v>
      </c>
      <c r="H123" s="255">
        <f t="shared" si="36"/>
        <v>-3343.4661821206246</v>
      </c>
      <c r="I123" s="255">
        <f t="shared" si="36"/>
        <v>9998.6198623870514</v>
      </c>
      <c r="J123" s="255">
        <f t="shared" si="36"/>
        <v>-3475.0532042796171</v>
      </c>
      <c r="K123" s="255">
        <f t="shared" si="36"/>
        <v>-3456.1112042796158</v>
      </c>
      <c r="L123" s="255">
        <f t="shared" si="36"/>
        <v>11395.555795720387</v>
      </c>
      <c r="M123" s="255">
        <f t="shared" si="36"/>
        <v>10551.248395720395</v>
      </c>
      <c r="N123" s="255">
        <f t="shared" si="36"/>
        <v>-4558.7502042796186</v>
      </c>
      <c r="O123" s="255">
        <f t="shared" si="36"/>
        <v>8754.2475957203897</v>
      </c>
      <c r="P123" s="255">
        <f t="shared" si="36"/>
        <v>12172.599195720388</v>
      </c>
      <c r="Q123" s="364">
        <f t="shared" si="36"/>
        <v>34579.021704136925</v>
      </c>
      <c r="R123" s="365">
        <f t="shared" si="21"/>
        <v>0.82683392802986355</v>
      </c>
      <c r="S123" s="333">
        <f>+S109-S115-S117-S121</f>
        <v>-44110.649999999907</v>
      </c>
      <c r="T123" s="366">
        <f t="shared" ref="T123" si="37">IFERROR(Q123/S123-1,"-")</f>
        <v>-1.7839154876234424</v>
      </c>
      <c r="U123" s="44"/>
      <c r="V123" s="44"/>
    </row>
    <row r="124" spans="1:22" ht="18" x14ac:dyDescent="0.35">
      <c r="A124" s="72"/>
      <c r="Q124" s="121"/>
      <c r="R124" s="358"/>
      <c r="S124" s="331"/>
      <c r="T124" s="362"/>
      <c r="U124" s="11"/>
      <c r="V124" s="11"/>
    </row>
    <row r="125" spans="1:22" x14ac:dyDescent="0.35">
      <c r="A125" s="72"/>
      <c r="B125" s="7" t="s">
        <v>82</v>
      </c>
      <c r="Q125" s="121"/>
      <c r="R125" s="358"/>
      <c r="S125" s="325"/>
      <c r="T125" s="348"/>
      <c r="U125" s="11"/>
      <c r="V125" s="11"/>
    </row>
    <row r="126" spans="1:22" x14ac:dyDescent="0.35">
      <c r="A126" s="72" t="s">
        <v>127</v>
      </c>
      <c r="C126" s="7" t="s">
        <v>83</v>
      </c>
      <c r="E126" s="7">
        <f>'Allocated Expenses'!E112</f>
        <v>6906.5999999999995</v>
      </c>
      <c r="F126" s="7">
        <f>'Allocated Expenses'!F112</f>
        <v>6906.5999999999995</v>
      </c>
      <c r="G126" s="7">
        <f>'Allocated Expenses'!G112</f>
        <v>6906.5999999999995</v>
      </c>
      <c r="H126" s="7">
        <f>'Allocated Expenses'!H112</f>
        <v>6906.5999999999995</v>
      </c>
      <c r="I126" s="7">
        <f>'Allocated Expenses'!I112</f>
        <v>6906.5999999999995</v>
      </c>
      <c r="J126" s="7">
        <f>'Allocated Expenses'!J112</f>
        <v>6906.5999999999995</v>
      </c>
      <c r="K126" s="7">
        <f>'Allocated Expenses'!K112</f>
        <v>6906.5999999999995</v>
      </c>
      <c r="L126" s="7">
        <f>'Allocated Expenses'!L112</f>
        <v>6906.5999999999995</v>
      </c>
      <c r="M126" s="7">
        <f>'Allocated Expenses'!M112</f>
        <v>6906.5999999999995</v>
      </c>
      <c r="N126" s="7">
        <f>'Allocated Expenses'!N112</f>
        <v>6906.5999999999995</v>
      </c>
      <c r="O126" s="7">
        <f>'Allocated Expenses'!O112</f>
        <v>6906.5999999999995</v>
      </c>
      <c r="P126" s="7">
        <f>'Allocated Expenses'!P112</f>
        <v>6906.5999999999995</v>
      </c>
      <c r="Q126" s="121">
        <f>SUM(E126:P126)</f>
        <v>82879.200000000012</v>
      </c>
      <c r="R126" s="358">
        <f t="shared" si="21"/>
        <v>1.9817603596279385</v>
      </c>
      <c r="S126" s="325">
        <v>83901</v>
      </c>
      <c r="T126" s="348">
        <f t="shared" ref="T126:T127" si="38">IFERROR(Q126/S126-1,"-")</f>
        <v>-1.2178639110379974E-2</v>
      </c>
      <c r="U126" s="11"/>
      <c r="V126" s="11"/>
    </row>
    <row r="127" spans="1:22" x14ac:dyDescent="0.35">
      <c r="A127" s="72" t="s">
        <v>144</v>
      </c>
      <c r="C127" s="7" t="s">
        <v>84</v>
      </c>
      <c r="E127" s="7">
        <f>+'Allocated Expenses'!E124</f>
        <v>0</v>
      </c>
      <c r="F127" s="7">
        <f>+'Allocated Expenses'!F124</f>
        <v>0</v>
      </c>
      <c r="G127" s="7">
        <f>+'Allocated Expenses'!G124</f>
        <v>0</v>
      </c>
      <c r="H127" s="7">
        <f>+'Allocated Expenses'!H124</f>
        <v>0</v>
      </c>
      <c r="I127" s="7">
        <f>+'Allocated Expenses'!I124</f>
        <v>0</v>
      </c>
      <c r="J127" s="7">
        <f>+'Allocated Expenses'!J124</f>
        <v>0</v>
      </c>
      <c r="K127" s="7">
        <f>+'Allocated Expenses'!K124</f>
        <v>0</v>
      </c>
      <c r="L127" s="7">
        <f>+'Allocated Expenses'!L124</f>
        <v>0</v>
      </c>
      <c r="M127" s="7">
        <f>+'Allocated Expenses'!M124</f>
        <v>0</v>
      </c>
      <c r="N127" s="7">
        <f>+'Allocated Expenses'!N124</f>
        <v>0</v>
      </c>
      <c r="O127" s="7">
        <f>+'Allocated Expenses'!O124</f>
        <v>0</v>
      </c>
      <c r="P127" s="7">
        <f>+'Allocated Expenses'!P124</f>
        <v>0</v>
      </c>
      <c r="Q127" s="121">
        <f>SUM(E127:P127)</f>
        <v>0</v>
      </c>
      <c r="R127" s="358">
        <f t="shared" si="21"/>
        <v>0</v>
      </c>
      <c r="S127" s="325">
        <v>9141.8699999999953</v>
      </c>
      <c r="T127" s="348">
        <f t="shared" si="38"/>
        <v>-1</v>
      </c>
      <c r="U127" s="11"/>
      <c r="V127" s="11"/>
    </row>
    <row r="128" spans="1:22" x14ac:dyDescent="0.35">
      <c r="A128" s="72" t="s">
        <v>145</v>
      </c>
      <c r="C128" s="7" t="s">
        <v>85</v>
      </c>
      <c r="Q128" s="121">
        <f>SUM(E128:P128)</f>
        <v>0</v>
      </c>
      <c r="R128" s="358">
        <f t="shared" si="21"/>
        <v>0</v>
      </c>
      <c r="S128" s="325"/>
      <c r="T128" s="348" t="str">
        <f>IFERROR(Q128/S128-1,"-")</f>
        <v>-</v>
      </c>
      <c r="U128" s="11"/>
      <c r="V128" s="11"/>
    </row>
    <row r="129" spans="1:22" x14ac:dyDescent="0.35">
      <c r="A129" s="72"/>
      <c r="C129" s="7" t="s">
        <v>86</v>
      </c>
      <c r="E129" s="29">
        <f t="shared" ref="E129:Q129" si="39">SUM(E126:E128)</f>
        <v>6906.5999999999995</v>
      </c>
      <c r="F129" s="29">
        <f t="shared" si="39"/>
        <v>6906.5999999999995</v>
      </c>
      <c r="G129" s="29">
        <f t="shared" si="39"/>
        <v>6906.5999999999995</v>
      </c>
      <c r="H129" s="29">
        <f t="shared" si="39"/>
        <v>6906.5999999999995</v>
      </c>
      <c r="I129" s="29">
        <f t="shared" si="39"/>
        <v>6906.5999999999995</v>
      </c>
      <c r="J129" s="29">
        <f t="shared" si="39"/>
        <v>6906.5999999999995</v>
      </c>
      <c r="K129" s="29">
        <f t="shared" si="39"/>
        <v>6906.5999999999995</v>
      </c>
      <c r="L129" s="29">
        <f t="shared" si="39"/>
        <v>6906.5999999999995</v>
      </c>
      <c r="M129" s="29">
        <f t="shared" si="39"/>
        <v>6906.5999999999995</v>
      </c>
      <c r="N129" s="29">
        <f t="shared" si="39"/>
        <v>6906.5999999999995</v>
      </c>
      <c r="O129" s="29">
        <f t="shared" si="39"/>
        <v>6906.5999999999995</v>
      </c>
      <c r="P129" s="29">
        <f t="shared" si="39"/>
        <v>6906.5999999999995</v>
      </c>
      <c r="Q129" s="130">
        <f t="shared" si="39"/>
        <v>82879.200000000012</v>
      </c>
      <c r="R129" s="359">
        <f t="shared" si="21"/>
        <v>1.9817603596279385</v>
      </c>
      <c r="S129" s="330">
        <f t="shared" ref="S129" si="40">SUM(S126:S128)</f>
        <v>93042.87</v>
      </c>
      <c r="T129" s="360">
        <f>IFERROR(Q129/S129-1,"-")</f>
        <v>-0.10923641972780918</v>
      </c>
      <c r="U129" s="11"/>
      <c r="V129" s="11"/>
    </row>
    <row r="130" spans="1:22" ht="18.5" thickBot="1" x14ac:dyDescent="0.4">
      <c r="A130" s="72"/>
      <c r="Q130" s="121"/>
      <c r="R130" s="358"/>
      <c r="S130" s="331"/>
      <c r="T130" s="362"/>
      <c r="U130" s="11"/>
      <c r="V130" s="11"/>
    </row>
    <row r="131" spans="1:22" s="9" customFormat="1" ht="18" thickBot="1" x14ac:dyDescent="0.4">
      <c r="A131" s="253"/>
      <c r="B131" s="254" t="s">
        <v>87</v>
      </c>
      <c r="C131" s="255"/>
      <c r="D131" s="255"/>
      <c r="E131" s="255">
        <f t="shared" ref="E131:Q131" si="41">+E123-E129</f>
        <v>-28749.090670946287</v>
      </c>
      <c r="F131" s="255">
        <f t="shared" si="41"/>
        <v>-1185.866737612947</v>
      </c>
      <c r="G131" s="255">
        <f t="shared" si="41"/>
        <v>5755.2890623870471</v>
      </c>
      <c r="H131" s="255">
        <f t="shared" si="41"/>
        <v>-10250.066182120623</v>
      </c>
      <c r="I131" s="255">
        <f t="shared" si="41"/>
        <v>3092.0198623870519</v>
      </c>
      <c r="J131" s="255">
        <f t="shared" si="41"/>
        <v>-10381.653204279617</v>
      </c>
      <c r="K131" s="255">
        <f t="shared" si="41"/>
        <v>-10362.711204279614</v>
      </c>
      <c r="L131" s="255">
        <f t="shared" si="41"/>
        <v>4488.9557957203879</v>
      </c>
      <c r="M131" s="255">
        <f t="shared" si="41"/>
        <v>3644.6483957203955</v>
      </c>
      <c r="N131" s="255">
        <f t="shared" si="41"/>
        <v>-11465.350204279617</v>
      </c>
      <c r="O131" s="255">
        <f t="shared" si="41"/>
        <v>1847.6475957203902</v>
      </c>
      <c r="P131" s="255">
        <f t="shared" si="41"/>
        <v>5265.9991957203883</v>
      </c>
      <c r="Q131" s="364">
        <f t="shared" si="41"/>
        <v>-48300.178295863087</v>
      </c>
      <c r="R131" s="365">
        <f t="shared" si="21"/>
        <v>-1.1549264315980747</v>
      </c>
      <c r="S131" s="333">
        <f>+S123-S129</f>
        <v>-137153.5199999999</v>
      </c>
      <c r="T131" s="366">
        <f t="shared" ref="T131" si="42">IFERROR(Q131/S131-1,"-")</f>
        <v>-0.647838580476366</v>
      </c>
      <c r="U131" s="44"/>
      <c r="V131" s="44"/>
    </row>
    <row r="132" spans="1:22" ht="18" x14ac:dyDescent="0.35">
      <c r="A132" s="75"/>
      <c r="B132" s="9"/>
      <c r="C132" s="33"/>
      <c r="S132" s="383"/>
      <c r="T132" s="384"/>
    </row>
    <row r="133" spans="1:22" x14ac:dyDescent="0.35">
      <c r="A133" s="50"/>
    </row>
    <row r="134" spans="1:22" ht="17.5" x14ac:dyDescent="0.35">
      <c r="A134" s="50"/>
      <c r="S134" s="10"/>
      <c r="T134" s="386"/>
    </row>
    <row r="135" spans="1:22" ht="18" x14ac:dyDescent="0.35">
      <c r="A135" s="50"/>
      <c r="D135" s="8" t="str">
        <f>"Budget Import - "&amp;B1</f>
        <v>Budget Import - 3610</v>
      </c>
      <c r="E135" s="456">
        <v>5</v>
      </c>
      <c r="F135" s="457">
        <f>E135+1</f>
        <v>6</v>
      </c>
      <c r="G135" s="457">
        <f t="shared" ref="G135:P135" si="43">F135+1</f>
        <v>7</v>
      </c>
      <c r="H135" s="457">
        <f t="shared" si="43"/>
        <v>8</v>
      </c>
      <c r="I135" s="457">
        <f t="shared" si="43"/>
        <v>9</v>
      </c>
      <c r="J135" s="457">
        <f t="shared" si="43"/>
        <v>10</v>
      </c>
      <c r="K135" s="457">
        <f t="shared" si="43"/>
        <v>11</v>
      </c>
      <c r="L135" s="457">
        <f t="shared" si="43"/>
        <v>12</v>
      </c>
      <c r="M135" s="457">
        <f t="shared" si="43"/>
        <v>13</v>
      </c>
      <c r="N135" s="457">
        <f t="shared" si="43"/>
        <v>14</v>
      </c>
      <c r="O135" s="457">
        <f t="shared" si="43"/>
        <v>15</v>
      </c>
      <c r="P135" s="457">
        <f t="shared" si="43"/>
        <v>16</v>
      </c>
      <c r="Q135" s="457" t="s">
        <v>609</v>
      </c>
      <c r="S135" s="383"/>
      <c r="T135" s="384"/>
    </row>
    <row r="136" spans="1:22" ht="16.5" thickBot="1" x14ac:dyDescent="0.4">
      <c r="A136" s="50"/>
      <c r="D136" s="7" t="s">
        <v>95</v>
      </c>
      <c r="E136" s="7">
        <v>1</v>
      </c>
      <c r="F136" s="7">
        <v>2</v>
      </c>
      <c r="G136" s="7">
        <v>3</v>
      </c>
      <c r="H136" s="7">
        <v>4</v>
      </c>
      <c r="I136" s="7">
        <v>5</v>
      </c>
      <c r="J136" s="7">
        <v>6</v>
      </c>
      <c r="K136" s="7">
        <v>7</v>
      </c>
      <c r="L136" s="7">
        <v>8</v>
      </c>
      <c r="M136" s="7">
        <v>9</v>
      </c>
      <c r="N136" s="7">
        <v>10</v>
      </c>
      <c r="O136" s="7">
        <v>11</v>
      </c>
      <c r="P136" s="7">
        <v>12</v>
      </c>
      <c r="Q136" s="14" t="s">
        <v>12</v>
      </c>
    </row>
    <row r="137" spans="1:22" x14ac:dyDescent="0.35">
      <c r="A137" s="419" t="str">
        <f>VLOOKUP($D137,$A$10:$D$130,3,FALSE)</f>
        <v>Rental Income - In Place</v>
      </c>
      <c r="D137" s="63" t="s">
        <v>131</v>
      </c>
      <c r="E137" s="64">
        <f>-(VLOOKUP($D137,$A$10:$P$131,E$135,FALSE)+E11)</f>
        <v>-34697.004999999997</v>
      </c>
      <c r="F137" s="64">
        <f t="shared" ref="F137:P137" si="44">-(VLOOKUP($D137,$A$10:$P$131,F$135,FALSE)+F11)</f>
        <v>-34697.008333333331</v>
      </c>
      <c r="G137" s="64">
        <f t="shared" si="44"/>
        <v>-34697.008333333331</v>
      </c>
      <c r="H137" s="64">
        <f t="shared" si="44"/>
        <v>-32672.588333333333</v>
      </c>
      <c r="I137" s="64">
        <f t="shared" si="44"/>
        <v>-32672.588333333333</v>
      </c>
      <c r="J137" s="64">
        <f t="shared" si="44"/>
        <v>-32795.921666666669</v>
      </c>
      <c r="K137" s="64">
        <f t="shared" si="44"/>
        <v>-32795.916666666672</v>
      </c>
      <c r="L137" s="64">
        <f t="shared" si="44"/>
        <v>-32830.666666666672</v>
      </c>
      <c r="M137" s="64">
        <f t="shared" si="44"/>
        <v>-32830.666666666672</v>
      </c>
      <c r="N137" s="64">
        <f t="shared" si="44"/>
        <v>-32783.166666666672</v>
      </c>
      <c r="O137" s="64">
        <f t="shared" si="44"/>
        <v>-34286.166666666672</v>
      </c>
      <c r="P137" s="65">
        <f t="shared" si="44"/>
        <v>-34286.166666666672</v>
      </c>
      <c r="Q137" s="14">
        <f>SUM(E137:P137)</f>
        <v>-402044.87000000005</v>
      </c>
      <c r="R137" s="14"/>
    </row>
    <row r="138" spans="1:22" x14ac:dyDescent="0.35">
      <c r="A138" s="419" t="str">
        <f t="shared" ref="A138:A171" si="45">VLOOKUP($D138,$A$10:$D$130,3,FALSE)</f>
        <v>Electric</v>
      </c>
      <c r="D138" s="66" t="s">
        <v>97</v>
      </c>
      <c r="E138" s="67">
        <f t="shared" ref="E138:P140" si="46">-VLOOKUP($D138,$A$10:$P$131,E$135,FALSE)</f>
        <v>-4529.0742</v>
      </c>
      <c r="F138" s="67">
        <f t="shared" si="46"/>
        <v>-3922.7597999999998</v>
      </c>
      <c r="G138" s="67">
        <f t="shared" si="46"/>
        <v>-2932.4856</v>
      </c>
      <c r="H138" s="67">
        <f t="shared" si="46"/>
        <v>-1787.6838</v>
      </c>
      <c r="I138" s="67">
        <f t="shared" si="46"/>
        <v>-1485.1163999999999</v>
      </c>
      <c r="J138" s="67">
        <f t="shared" si="46"/>
        <v>-1739.91</v>
      </c>
      <c r="K138" s="67">
        <f t="shared" si="46"/>
        <v>-2132.127</v>
      </c>
      <c r="L138" s="67">
        <f t="shared" si="46"/>
        <v>-2111.4839999999999</v>
      </c>
      <c r="M138" s="67">
        <f t="shared" si="46"/>
        <v>-1602.4866</v>
      </c>
      <c r="N138" s="67">
        <f t="shared" si="46"/>
        <v>-1672.0830000000001</v>
      </c>
      <c r="O138" s="67">
        <f t="shared" si="46"/>
        <v>-2401.0758000000001</v>
      </c>
      <c r="P138" s="68">
        <f t="shared" si="46"/>
        <v>-4106.7773999999999</v>
      </c>
      <c r="Q138" s="14">
        <f t="shared" ref="Q138:Q171" si="47">SUM(E138:P138)</f>
        <v>-30423.063599999998</v>
      </c>
      <c r="R138" s="14"/>
    </row>
    <row r="139" spans="1:22" x14ac:dyDescent="0.35">
      <c r="A139" s="419" t="str">
        <f t="shared" si="45"/>
        <v>Common Area Maintenance</v>
      </c>
      <c r="D139" s="66" t="s">
        <v>98</v>
      </c>
      <c r="E139" s="67">
        <f t="shared" si="46"/>
        <v>-1670</v>
      </c>
      <c r="F139" s="67">
        <f t="shared" si="46"/>
        <v>-1670</v>
      </c>
      <c r="G139" s="67">
        <f t="shared" si="46"/>
        <v>-1670</v>
      </c>
      <c r="H139" s="67">
        <f t="shared" si="46"/>
        <v>-1670</v>
      </c>
      <c r="I139" s="67">
        <f t="shared" si="46"/>
        <v>-1670</v>
      </c>
      <c r="J139" s="67">
        <f t="shared" si="46"/>
        <v>-1670</v>
      </c>
      <c r="K139" s="67">
        <f t="shared" si="46"/>
        <v>-1670</v>
      </c>
      <c r="L139" s="67">
        <f t="shared" si="46"/>
        <v>-1670</v>
      </c>
      <c r="M139" s="67">
        <f t="shared" si="46"/>
        <v>-1670</v>
      </c>
      <c r="N139" s="67">
        <f t="shared" si="46"/>
        <v>-1670</v>
      </c>
      <c r="O139" s="67">
        <f t="shared" si="46"/>
        <v>-1670</v>
      </c>
      <c r="P139" s="68">
        <f t="shared" si="46"/>
        <v>-1670</v>
      </c>
      <c r="Q139" s="14">
        <f t="shared" si="47"/>
        <v>-20040</v>
      </c>
      <c r="R139" s="14"/>
    </row>
    <row r="140" spans="1:22" x14ac:dyDescent="0.35">
      <c r="A140" s="419" t="str">
        <f t="shared" si="45"/>
        <v>Real Estate Taxes</v>
      </c>
      <c r="D140" s="66" t="s">
        <v>99</v>
      </c>
      <c r="E140" s="67">
        <f t="shared" si="46"/>
        <v>-130</v>
      </c>
      <c r="F140" s="67">
        <f t="shared" si="46"/>
        <v>-130</v>
      </c>
      <c r="G140" s="67">
        <f t="shared" si="46"/>
        <v>-130</v>
      </c>
      <c r="H140" s="67">
        <f t="shared" si="46"/>
        <v>-130</v>
      </c>
      <c r="I140" s="67">
        <f t="shared" si="46"/>
        <v>-130</v>
      </c>
      <c r="J140" s="67">
        <f t="shared" si="46"/>
        <v>-130</v>
      </c>
      <c r="K140" s="67">
        <f t="shared" si="46"/>
        <v>-130</v>
      </c>
      <c r="L140" s="67">
        <f t="shared" si="46"/>
        <v>-130</v>
      </c>
      <c r="M140" s="67">
        <f t="shared" si="46"/>
        <v>-130</v>
      </c>
      <c r="N140" s="67">
        <f t="shared" si="46"/>
        <v>-130</v>
      </c>
      <c r="O140" s="67">
        <f t="shared" si="46"/>
        <v>-130</v>
      </c>
      <c r="P140" s="68">
        <f t="shared" si="46"/>
        <v>-130</v>
      </c>
      <c r="Q140" s="14">
        <f t="shared" si="47"/>
        <v>-1560</v>
      </c>
      <c r="R140" s="14"/>
    </row>
    <row r="141" spans="1:22" x14ac:dyDescent="0.35">
      <c r="A141" s="419" t="str">
        <f t="shared" si="45"/>
        <v>Insurance</v>
      </c>
      <c r="D141" s="66" t="s">
        <v>134</v>
      </c>
      <c r="E141" s="67">
        <f>-VLOOKUP($D141,$A$10:$P$131,E$135,FALSE)</f>
        <v>0</v>
      </c>
      <c r="F141" s="67">
        <f t="shared" ref="F141:P141" si="48">-VLOOKUP($D141,$A$10:$P$131,F$135,FALSE)</f>
        <v>0</v>
      </c>
      <c r="G141" s="67">
        <f t="shared" si="48"/>
        <v>0</v>
      </c>
      <c r="H141" s="67">
        <f t="shared" si="48"/>
        <v>0</v>
      </c>
      <c r="I141" s="67">
        <f t="shared" si="48"/>
        <v>0</v>
      </c>
      <c r="J141" s="67">
        <f t="shared" si="48"/>
        <v>0</v>
      </c>
      <c r="K141" s="67">
        <f t="shared" si="48"/>
        <v>0</v>
      </c>
      <c r="L141" s="67">
        <f t="shared" si="48"/>
        <v>0</v>
      </c>
      <c r="M141" s="67">
        <f t="shared" si="48"/>
        <v>0</v>
      </c>
      <c r="N141" s="67">
        <f t="shared" si="48"/>
        <v>0</v>
      </c>
      <c r="O141" s="67">
        <f t="shared" si="48"/>
        <v>0</v>
      </c>
      <c r="P141" s="68">
        <f t="shared" si="48"/>
        <v>0</v>
      </c>
      <c r="Q141" s="14">
        <f t="shared" si="47"/>
        <v>0</v>
      </c>
      <c r="R141" s="14"/>
    </row>
    <row r="142" spans="1:22" ht="18" x14ac:dyDescent="0.35">
      <c r="A142" s="419" t="str">
        <f t="shared" si="45"/>
        <v>Maintenance Salaries</v>
      </c>
      <c r="D142" s="66" t="s">
        <v>100</v>
      </c>
      <c r="E142" s="67">
        <f>VLOOKUP($D142,$A$10:$P$131,E$135,FALSE)</f>
        <v>1179.5</v>
      </c>
      <c r="F142" s="67">
        <f t="shared" ref="F142:P157" si="49">VLOOKUP($D142,$A$10:$P$131,F$135,FALSE)</f>
        <v>1179.5</v>
      </c>
      <c r="G142" s="67">
        <f t="shared" si="49"/>
        <v>1179.5</v>
      </c>
      <c r="H142" s="67">
        <f t="shared" si="49"/>
        <v>1179.5</v>
      </c>
      <c r="I142" s="67">
        <f t="shared" si="49"/>
        <v>1179.5</v>
      </c>
      <c r="J142" s="67">
        <f t="shared" si="49"/>
        <v>1179.5</v>
      </c>
      <c r="K142" s="67">
        <f t="shared" si="49"/>
        <v>1179.5</v>
      </c>
      <c r="L142" s="67">
        <f t="shared" si="49"/>
        <v>1179.5</v>
      </c>
      <c r="M142" s="67">
        <f t="shared" si="49"/>
        <v>1179.5</v>
      </c>
      <c r="N142" s="67">
        <f t="shared" si="49"/>
        <v>1179.5</v>
      </c>
      <c r="O142" s="67">
        <f t="shared" si="49"/>
        <v>1179.5</v>
      </c>
      <c r="P142" s="68">
        <f t="shared" si="49"/>
        <v>1179.5</v>
      </c>
      <c r="Q142" s="14">
        <f t="shared" si="47"/>
        <v>14154</v>
      </c>
      <c r="R142" s="14"/>
      <c r="S142" s="383"/>
      <c r="T142" s="384"/>
    </row>
    <row r="143" spans="1:22" x14ac:dyDescent="0.35">
      <c r="A143" s="419" t="str">
        <f t="shared" si="45"/>
        <v>Electric</v>
      </c>
      <c r="D143" s="66" t="s">
        <v>101</v>
      </c>
      <c r="E143" s="67">
        <f t="shared" ref="E143:P171" si="50">VLOOKUP($D143,$A$10:$P$131,E$135,FALSE)</f>
        <v>7679</v>
      </c>
      <c r="F143" s="67">
        <f t="shared" si="49"/>
        <v>6651</v>
      </c>
      <c r="G143" s="67">
        <f t="shared" si="49"/>
        <v>4972</v>
      </c>
      <c r="H143" s="67">
        <f t="shared" si="49"/>
        <v>3031</v>
      </c>
      <c r="I143" s="67">
        <f t="shared" si="49"/>
        <v>2518</v>
      </c>
      <c r="J143" s="67">
        <f t="shared" si="49"/>
        <v>2950</v>
      </c>
      <c r="K143" s="67">
        <f t="shared" si="49"/>
        <v>3615</v>
      </c>
      <c r="L143" s="67">
        <f t="shared" si="49"/>
        <v>3580</v>
      </c>
      <c r="M143" s="67">
        <f t="shared" si="49"/>
        <v>2717</v>
      </c>
      <c r="N143" s="67">
        <f t="shared" si="49"/>
        <v>2835</v>
      </c>
      <c r="O143" s="67">
        <f t="shared" si="49"/>
        <v>4071</v>
      </c>
      <c r="P143" s="68">
        <f t="shared" si="49"/>
        <v>6963</v>
      </c>
      <c r="Q143" s="14">
        <f t="shared" si="47"/>
        <v>51582</v>
      </c>
      <c r="R143" s="14"/>
    </row>
    <row r="144" spans="1:22" x14ac:dyDescent="0.35">
      <c r="A144" s="419" t="str">
        <f t="shared" si="45"/>
        <v>Water &amp; Sewer</v>
      </c>
      <c r="D144" s="66" t="s">
        <v>102</v>
      </c>
      <c r="E144" s="67">
        <f t="shared" si="50"/>
        <v>1965.4</v>
      </c>
      <c r="F144" s="67">
        <f t="shared" si="49"/>
        <v>1938.62</v>
      </c>
      <c r="G144" s="67">
        <f t="shared" si="49"/>
        <v>1875.79</v>
      </c>
      <c r="H144" s="67">
        <f t="shared" si="49"/>
        <v>1798.54</v>
      </c>
      <c r="I144" s="67">
        <f t="shared" si="49"/>
        <v>1995.27</v>
      </c>
      <c r="J144" s="67">
        <f t="shared" si="49"/>
        <v>1897.42</v>
      </c>
      <c r="K144" s="67">
        <f t="shared" si="49"/>
        <v>1907.72</v>
      </c>
      <c r="L144" s="67">
        <f t="shared" si="49"/>
        <v>1988.06</v>
      </c>
      <c r="M144" s="67">
        <f t="shared" si="49"/>
        <v>1783.0900000000001</v>
      </c>
      <c r="N144" s="67">
        <f t="shared" si="49"/>
        <v>1900.51</v>
      </c>
      <c r="O144" s="67">
        <f t="shared" si="49"/>
        <v>2097.2399999999998</v>
      </c>
      <c r="P144" s="68">
        <f t="shared" si="49"/>
        <v>2011.75</v>
      </c>
      <c r="Q144" s="14">
        <f t="shared" si="47"/>
        <v>23159.409999999996</v>
      </c>
      <c r="R144" s="14"/>
    </row>
    <row r="145" spans="1:20" x14ac:dyDescent="0.35">
      <c r="A145" s="419" t="str">
        <f t="shared" si="45"/>
        <v>Building Maintenance</v>
      </c>
      <c r="D145" s="66" t="s">
        <v>103</v>
      </c>
      <c r="E145" s="67">
        <f t="shared" si="50"/>
        <v>4075</v>
      </c>
      <c r="F145" s="67">
        <f t="shared" si="49"/>
        <v>5245</v>
      </c>
      <c r="G145" s="67">
        <f t="shared" si="49"/>
        <v>3635</v>
      </c>
      <c r="H145" s="67">
        <f t="shared" si="49"/>
        <v>4825</v>
      </c>
      <c r="I145" s="67">
        <f t="shared" si="49"/>
        <v>5300</v>
      </c>
      <c r="J145" s="67">
        <f t="shared" si="49"/>
        <v>18150</v>
      </c>
      <c r="K145" s="67">
        <f t="shared" si="49"/>
        <v>4995</v>
      </c>
      <c r="L145" s="67">
        <f t="shared" si="49"/>
        <v>2700</v>
      </c>
      <c r="M145" s="67">
        <f t="shared" si="49"/>
        <v>5025</v>
      </c>
      <c r="N145" s="67">
        <f t="shared" si="49"/>
        <v>7080</v>
      </c>
      <c r="O145" s="67">
        <f t="shared" si="49"/>
        <v>3200</v>
      </c>
      <c r="P145" s="68">
        <f t="shared" si="49"/>
        <v>2700</v>
      </c>
      <c r="Q145" s="14">
        <f t="shared" si="47"/>
        <v>66930</v>
      </c>
      <c r="R145" s="14"/>
      <c r="S145" s="9"/>
      <c r="T145" s="343"/>
    </row>
    <row r="146" spans="1:20" x14ac:dyDescent="0.35">
      <c r="A146" s="419" t="str">
        <f t="shared" si="45"/>
        <v>Parking Lot Maintenance</v>
      </c>
      <c r="D146" s="66" t="s">
        <v>135</v>
      </c>
      <c r="E146" s="67">
        <f t="shared" si="50"/>
        <v>0</v>
      </c>
      <c r="F146" s="67">
        <f t="shared" si="49"/>
        <v>0</v>
      </c>
      <c r="G146" s="67">
        <f t="shared" si="49"/>
        <v>0</v>
      </c>
      <c r="H146" s="67">
        <f t="shared" si="49"/>
        <v>0</v>
      </c>
      <c r="I146" s="67">
        <f t="shared" si="49"/>
        <v>0</v>
      </c>
      <c r="J146" s="67">
        <f t="shared" si="49"/>
        <v>0</v>
      </c>
      <c r="K146" s="67">
        <f t="shared" si="49"/>
        <v>0</v>
      </c>
      <c r="L146" s="67">
        <f t="shared" si="49"/>
        <v>0</v>
      </c>
      <c r="M146" s="67">
        <f t="shared" si="49"/>
        <v>0</v>
      </c>
      <c r="N146" s="67">
        <f t="shared" si="49"/>
        <v>0</v>
      </c>
      <c r="O146" s="67">
        <f t="shared" si="49"/>
        <v>0</v>
      </c>
      <c r="P146" s="68">
        <f t="shared" si="49"/>
        <v>0</v>
      </c>
      <c r="Q146" s="14">
        <f t="shared" si="47"/>
        <v>0</v>
      </c>
      <c r="R146" s="14"/>
    </row>
    <row r="147" spans="1:20" x14ac:dyDescent="0.35">
      <c r="A147" s="419" t="str">
        <f t="shared" si="45"/>
        <v>Snow Removal</v>
      </c>
      <c r="D147" s="66" t="s">
        <v>105</v>
      </c>
      <c r="E147" s="67">
        <f t="shared" si="50"/>
        <v>0</v>
      </c>
      <c r="F147" s="67">
        <f t="shared" si="49"/>
        <v>0</v>
      </c>
      <c r="G147" s="67">
        <f t="shared" si="49"/>
        <v>0</v>
      </c>
      <c r="H147" s="67">
        <f t="shared" si="49"/>
        <v>0</v>
      </c>
      <c r="I147" s="67">
        <f t="shared" si="49"/>
        <v>0</v>
      </c>
      <c r="J147" s="67">
        <f t="shared" si="49"/>
        <v>0</v>
      </c>
      <c r="K147" s="67">
        <f t="shared" si="49"/>
        <v>0</v>
      </c>
      <c r="L147" s="67">
        <f t="shared" si="49"/>
        <v>0</v>
      </c>
      <c r="M147" s="67">
        <f t="shared" si="49"/>
        <v>0</v>
      </c>
      <c r="N147" s="67">
        <f t="shared" si="49"/>
        <v>0</v>
      </c>
      <c r="O147" s="67">
        <f t="shared" si="49"/>
        <v>0</v>
      </c>
      <c r="P147" s="68">
        <f t="shared" si="49"/>
        <v>0</v>
      </c>
      <c r="Q147" s="14">
        <f t="shared" si="47"/>
        <v>0</v>
      </c>
      <c r="R147" s="14"/>
    </row>
    <row r="148" spans="1:20" x14ac:dyDescent="0.35">
      <c r="A148" s="419" t="str">
        <f t="shared" si="45"/>
        <v>Landscaping</v>
      </c>
      <c r="D148" s="66" t="s">
        <v>106</v>
      </c>
      <c r="E148" s="67">
        <f t="shared" si="50"/>
        <v>0</v>
      </c>
      <c r="F148" s="67">
        <f t="shared" si="49"/>
        <v>0</v>
      </c>
      <c r="G148" s="67">
        <f t="shared" si="49"/>
        <v>0</v>
      </c>
      <c r="H148" s="67">
        <f t="shared" si="49"/>
        <v>0</v>
      </c>
      <c r="I148" s="67">
        <f t="shared" si="49"/>
        <v>0</v>
      </c>
      <c r="J148" s="67">
        <f t="shared" si="49"/>
        <v>0</v>
      </c>
      <c r="K148" s="67">
        <f t="shared" si="49"/>
        <v>0</v>
      </c>
      <c r="L148" s="67">
        <f t="shared" si="49"/>
        <v>0</v>
      </c>
      <c r="M148" s="67">
        <f t="shared" si="49"/>
        <v>0</v>
      </c>
      <c r="N148" s="67">
        <f t="shared" si="49"/>
        <v>0</v>
      </c>
      <c r="O148" s="67">
        <f t="shared" si="49"/>
        <v>0</v>
      </c>
      <c r="P148" s="68">
        <f t="shared" si="49"/>
        <v>0</v>
      </c>
      <c r="Q148" s="14">
        <f t="shared" si="47"/>
        <v>0</v>
      </c>
      <c r="R148" s="14"/>
    </row>
    <row r="149" spans="1:20" x14ac:dyDescent="0.35">
      <c r="A149" s="419" t="str">
        <f t="shared" si="45"/>
        <v>Security</v>
      </c>
      <c r="D149" s="66" t="s">
        <v>107</v>
      </c>
      <c r="E149" s="67">
        <f t="shared" si="50"/>
        <v>0</v>
      </c>
      <c r="F149" s="67">
        <f t="shared" si="49"/>
        <v>0</v>
      </c>
      <c r="G149" s="67">
        <f t="shared" si="49"/>
        <v>0</v>
      </c>
      <c r="H149" s="67">
        <f t="shared" si="49"/>
        <v>0</v>
      </c>
      <c r="I149" s="67">
        <f t="shared" si="49"/>
        <v>0</v>
      </c>
      <c r="J149" s="67">
        <f t="shared" si="49"/>
        <v>0</v>
      </c>
      <c r="K149" s="67">
        <f t="shared" si="49"/>
        <v>0</v>
      </c>
      <c r="L149" s="67">
        <f t="shared" si="49"/>
        <v>0</v>
      </c>
      <c r="M149" s="67">
        <f t="shared" si="49"/>
        <v>0</v>
      </c>
      <c r="N149" s="67">
        <f t="shared" si="49"/>
        <v>0</v>
      </c>
      <c r="O149" s="67">
        <f t="shared" si="49"/>
        <v>0</v>
      </c>
      <c r="P149" s="68">
        <f t="shared" si="49"/>
        <v>0</v>
      </c>
      <c r="Q149" s="14">
        <f t="shared" si="47"/>
        <v>0</v>
      </c>
      <c r="R149" s="14"/>
    </row>
    <row r="150" spans="1:20" x14ac:dyDescent="0.35">
      <c r="A150" s="419" t="str">
        <f t="shared" si="45"/>
        <v>Management Fee</v>
      </c>
      <c r="D150" s="66" t="s">
        <v>108</v>
      </c>
      <c r="E150" s="67">
        <f t="shared" si="50"/>
        <v>1641</v>
      </c>
      <c r="F150" s="67">
        <f t="shared" si="49"/>
        <v>1617</v>
      </c>
      <c r="G150" s="67">
        <f t="shared" si="49"/>
        <v>1577</v>
      </c>
      <c r="H150" s="67">
        <f t="shared" si="49"/>
        <v>1450</v>
      </c>
      <c r="I150" s="67">
        <f t="shared" si="49"/>
        <v>1438</v>
      </c>
      <c r="J150" s="67">
        <f t="shared" si="49"/>
        <v>1453</v>
      </c>
      <c r="K150" s="67">
        <f t="shared" si="49"/>
        <v>1469</v>
      </c>
      <c r="L150" s="67">
        <f t="shared" si="49"/>
        <v>1470</v>
      </c>
      <c r="M150" s="67">
        <f t="shared" si="49"/>
        <v>1449</v>
      </c>
      <c r="N150" s="67">
        <f t="shared" si="49"/>
        <v>1450</v>
      </c>
      <c r="O150" s="67">
        <f t="shared" si="49"/>
        <v>1539</v>
      </c>
      <c r="P150" s="68">
        <f t="shared" si="49"/>
        <v>1608</v>
      </c>
      <c r="Q150" s="14">
        <f t="shared" si="47"/>
        <v>18161</v>
      </c>
      <c r="R150" s="14"/>
    </row>
    <row r="151" spans="1:20" x14ac:dyDescent="0.35">
      <c r="A151" s="419" t="str">
        <f t="shared" si="45"/>
        <v>Trash Removal</v>
      </c>
      <c r="D151" s="66" t="s">
        <v>109</v>
      </c>
      <c r="E151" s="67">
        <f t="shared" si="50"/>
        <v>0</v>
      </c>
      <c r="F151" s="67">
        <f t="shared" si="49"/>
        <v>0</v>
      </c>
      <c r="G151" s="67">
        <f t="shared" si="49"/>
        <v>0</v>
      </c>
      <c r="H151" s="67">
        <f t="shared" si="49"/>
        <v>0</v>
      </c>
      <c r="I151" s="67">
        <f t="shared" si="49"/>
        <v>0</v>
      </c>
      <c r="J151" s="67">
        <f t="shared" si="49"/>
        <v>0</v>
      </c>
      <c r="K151" s="67">
        <f t="shared" si="49"/>
        <v>0</v>
      </c>
      <c r="L151" s="67">
        <f t="shared" si="49"/>
        <v>0</v>
      </c>
      <c r="M151" s="67">
        <f t="shared" si="49"/>
        <v>0</v>
      </c>
      <c r="N151" s="67">
        <f t="shared" si="49"/>
        <v>0</v>
      </c>
      <c r="O151" s="67">
        <f t="shared" si="49"/>
        <v>0</v>
      </c>
      <c r="P151" s="68">
        <f t="shared" si="49"/>
        <v>0</v>
      </c>
      <c r="Q151" s="14">
        <f t="shared" si="47"/>
        <v>0</v>
      </c>
      <c r="R151" s="14"/>
    </row>
    <row r="152" spans="1:20" x14ac:dyDescent="0.35">
      <c r="A152" s="419" t="str">
        <f t="shared" si="45"/>
        <v>Real Estate Taxes</v>
      </c>
      <c r="D152" s="66" t="s">
        <v>110</v>
      </c>
      <c r="E152" s="67">
        <f t="shared" si="50"/>
        <v>3383.1484454249999</v>
      </c>
      <c r="F152" s="67">
        <f t="shared" si="49"/>
        <v>3383.1484454249999</v>
      </c>
      <c r="G152" s="67">
        <f t="shared" si="49"/>
        <v>3383.1484454249999</v>
      </c>
      <c r="H152" s="67">
        <f t="shared" si="49"/>
        <v>3383.1484454249999</v>
      </c>
      <c r="I152" s="67">
        <f t="shared" si="49"/>
        <v>3383.1484454249999</v>
      </c>
      <c r="J152" s="67">
        <f t="shared" si="49"/>
        <v>3383.1484454249999</v>
      </c>
      <c r="K152" s="67">
        <f t="shared" si="49"/>
        <v>3383.1484454249999</v>
      </c>
      <c r="L152" s="67">
        <f t="shared" si="49"/>
        <v>3383.1484454249999</v>
      </c>
      <c r="M152" s="67">
        <f t="shared" si="49"/>
        <v>3383.1484454249999</v>
      </c>
      <c r="N152" s="67">
        <f t="shared" si="49"/>
        <v>3383.1484454249999</v>
      </c>
      <c r="O152" s="67">
        <f t="shared" si="49"/>
        <v>3383.1484454249999</v>
      </c>
      <c r="P152" s="68">
        <f t="shared" si="49"/>
        <v>3383.1484454249999</v>
      </c>
      <c r="Q152" s="14">
        <f t="shared" si="47"/>
        <v>40597.781345099997</v>
      </c>
      <c r="R152" s="14"/>
    </row>
    <row r="153" spans="1:20" x14ac:dyDescent="0.35">
      <c r="A153" s="419" t="str">
        <f t="shared" si="45"/>
        <v>Insurance</v>
      </c>
      <c r="D153" s="66" t="s">
        <v>111</v>
      </c>
      <c r="E153" s="67">
        <f t="shared" si="50"/>
        <v>1489</v>
      </c>
      <c r="F153" s="67">
        <f t="shared" si="49"/>
        <v>1489</v>
      </c>
      <c r="G153" s="67">
        <f t="shared" si="49"/>
        <v>1489</v>
      </c>
      <c r="H153" s="67">
        <f t="shared" si="49"/>
        <v>1489</v>
      </c>
      <c r="I153" s="67">
        <f t="shared" si="49"/>
        <v>1489</v>
      </c>
      <c r="J153" s="67">
        <f t="shared" si="49"/>
        <v>1489</v>
      </c>
      <c r="K153" s="67">
        <f t="shared" si="49"/>
        <v>1489</v>
      </c>
      <c r="L153" s="67">
        <f t="shared" si="49"/>
        <v>1489</v>
      </c>
      <c r="M153" s="67">
        <f t="shared" si="49"/>
        <v>1489</v>
      </c>
      <c r="N153" s="67">
        <f t="shared" si="49"/>
        <v>1489</v>
      </c>
      <c r="O153" s="67">
        <f t="shared" si="49"/>
        <v>1518.7800000000002</v>
      </c>
      <c r="P153" s="68">
        <f t="shared" si="49"/>
        <v>1518.7800000000002</v>
      </c>
      <c r="Q153" s="14">
        <f t="shared" si="47"/>
        <v>17927.559999999998</v>
      </c>
      <c r="R153" s="14"/>
    </row>
    <row r="154" spans="1:20" x14ac:dyDescent="0.35">
      <c r="A154" s="419" t="str">
        <f t="shared" si="45"/>
        <v>Cleaning &amp; Supplies</v>
      </c>
      <c r="D154" s="66" t="s">
        <v>112</v>
      </c>
      <c r="E154" s="67">
        <f t="shared" si="50"/>
        <v>3993.4564255212845</v>
      </c>
      <c r="F154" s="67">
        <f t="shared" si="49"/>
        <v>3993.4564255212845</v>
      </c>
      <c r="G154" s="67">
        <f t="shared" si="49"/>
        <v>3993.4564255212845</v>
      </c>
      <c r="H154" s="67">
        <f t="shared" si="49"/>
        <v>3993.4564255212845</v>
      </c>
      <c r="I154" s="67">
        <f t="shared" si="49"/>
        <v>3993.4564255212845</v>
      </c>
      <c r="J154" s="67">
        <f t="shared" si="49"/>
        <v>3993.4564255212845</v>
      </c>
      <c r="K154" s="67">
        <f t="shared" si="49"/>
        <v>3993.4564255212845</v>
      </c>
      <c r="L154" s="67">
        <f t="shared" si="49"/>
        <v>3993.4564255212845</v>
      </c>
      <c r="M154" s="67">
        <f t="shared" si="49"/>
        <v>3993.4564255212845</v>
      </c>
      <c r="N154" s="67">
        <f t="shared" si="49"/>
        <v>3993.4564255212845</v>
      </c>
      <c r="O154" s="67">
        <f t="shared" si="49"/>
        <v>3993.4564255212845</v>
      </c>
      <c r="P154" s="68">
        <f t="shared" si="49"/>
        <v>3993.4564255212845</v>
      </c>
      <c r="Q154" s="14">
        <f t="shared" si="47"/>
        <v>47921.477106255399</v>
      </c>
      <c r="R154" s="14"/>
    </row>
    <row r="155" spans="1:20" x14ac:dyDescent="0.35">
      <c r="A155" s="419" t="str">
        <f t="shared" si="45"/>
        <v>Other - Condo Fee</v>
      </c>
      <c r="D155" s="66" t="s">
        <v>268</v>
      </c>
      <c r="E155" s="67">
        <f t="shared" si="50"/>
        <v>12354</v>
      </c>
      <c r="F155" s="67">
        <f t="shared" si="49"/>
        <v>0</v>
      </c>
      <c r="G155" s="67">
        <f t="shared" si="49"/>
        <v>0</v>
      </c>
      <c r="H155" s="67">
        <f t="shared" si="49"/>
        <v>12354</v>
      </c>
      <c r="I155" s="67">
        <f t="shared" si="49"/>
        <v>0</v>
      </c>
      <c r="J155" s="67">
        <f t="shared" si="49"/>
        <v>0</v>
      </c>
      <c r="K155" s="67">
        <f t="shared" si="49"/>
        <v>12354</v>
      </c>
      <c r="L155" s="67">
        <f t="shared" si="49"/>
        <v>0</v>
      </c>
      <c r="M155" s="67">
        <f t="shared" si="49"/>
        <v>0</v>
      </c>
      <c r="N155" s="67">
        <f t="shared" si="49"/>
        <v>12354</v>
      </c>
      <c r="O155" s="67">
        <f t="shared" si="49"/>
        <v>0</v>
      </c>
      <c r="P155" s="68">
        <f t="shared" si="49"/>
        <v>0</v>
      </c>
      <c r="Q155" s="14">
        <f t="shared" si="47"/>
        <v>49416</v>
      </c>
      <c r="R155" s="14"/>
    </row>
    <row r="156" spans="1:20" x14ac:dyDescent="0.35">
      <c r="A156" s="419" t="str">
        <f>VLOOKUP($D156,$A$10:$D$130,4,FALSE)</f>
        <v>Salaries &amp; Wages</v>
      </c>
      <c r="D156" s="66" t="s">
        <v>113</v>
      </c>
      <c r="E156" s="67">
        <f t="shared" si="50"/>
        <v>1461.2749999999999</v>
      </c>
      <c r="F156" s="67">
        <f t="shared" si="49"/>
        <v>1461.2749999999999</v>
      </c>
      <c r="G156" s="67">
        <f t="shared" si="49"/>
        <v>1461.2749999999999</v>
      </c>
      <c r="H156" s="67">
        <f t="shared" si="49"/>
        <v>1461.2749999999999</v>
      </c>
      <c r="I156" s="67">
        <f t="shared" si="49"/>
        <v>1461.2749999999999</v>
      </c>
      <c r="J156" s="67">
        <f t="shared" si="49"/>
        <v>1461.2749999999999</v>
      </c>
      <c r="K156" s="67">
        <f t="shared" si="49"/>
        <v>1461.2749999999999</v>
      </c>
      <c r="L156" s="67">
        <f t="shared" si="49"/>
        <v>1461.2749999999999</v>
      </c>
      <c r="M156" s="67">
        <f t="shared" si="49"/>
        <v>1461.2749999999999</v>
      </c>
      <c r="N156" s="67">
        <f t="shared" si="49"/>
        <v>1461.2749999999999</v>
      </c>
      <c r="O156" s="67">
        <f t="shared" si="49"/>
        <v>1461.2749999999999</v>
      </c>
      <c r="P156" s="68">
        <f t="shared" si="49"/>
        <v>1461.2749999999999</v>
      </c>
      <c r="Q156" s="14">
        <f t="shared" si="47"/>
        <v>17535.3</v>
      </c>
      <c r="R156" s="14"/>
    </row>
    <row r="157" spans="1:20" x14ac:dyDescent="0.35">
      <c r="A157" s="419" t="str">
        <f>VLOOKUP($D157,$A$10:$D$130,4,FALSE)</f>
        <v>Commissions-Internal Broker</v>
      </c>
      <c r="D157" s="66" t="s">
        <v>114</v>
      </c>
      <c r="E157" s="67">
        <f t="shared" si="50"/>
        <v>486.67499999999995</v>
      </c>
      <c r="F157" s="67">
        <f t="shared" si="49"/>
        <v>0</v>
      </c>
      <c r="G157" s="67">
        <f t="shared" si="49"/>
        <v>0</v>
      </c>
      <c r="H157" s="67">
        <f t="shared" si="49"/>
        <v>486.67499999999995</v>
      </c>
      <c r="I157" s="67">
        <f t="shared" si="49"/>
        <v>0</v>
      </c>
      <c r="J157" s="67">
        <f t="shared" si="49"/>
        <v>0</v>
      </c>
      <c r="K157" s="67">
        <f t="shared" si="49"/>
        <v>486.67499999999995</v>
      </c>
      <c r="L157" s="67">
        <f t="shared" si="49"/>
        <v>0</v>
      </c>
      <c r="M157" s="67">
        <f t="shared" si="49"/>
        <v>0</v>
      </c>
      <c r="N157" s="67">
        <f t="shared" si="49"/>
        <v>486.67499999999995</v>
      </c>
      <c r="O157" s="67">
        <f t="shared" si="49"/>
        <v>0</v>
      </c>
      <c r="P157" s="68">
        <f t="shared" si="49"/>
        <v>0</v>
      </c>
      <c r="Q157" s="14">
        <f t="shared" si="47"/>
        <v>1946.6999999999998</v>
      </c>
      <c r="R157" s="14"/>
    </row>
    <row r="158" spans="1:20" x14ac:dyDescent="0.35">
      <c r="A158" s="419" t="str">
        <f t="shared" si="45"/>
        <v>Building Maintenance</v>
      </c>
      <c r="D158" s="66" t="s">
        <v>115</v>
      </c>
      <c r="E158" s="67">
        <f t="shared" si="50"/>
        <v>937.30000000000007</v>
      </c>
      <c r="F158" s="67">
        <f t="shared" si="50"/>
        <v>937.30000000000007</v>
      </c>
      <c r="G158" s="67">
        <f t="shared" si="50"/>
        <v>937.30000000000007</v>
      </c>
      <c r="H158" s="67">
        <f t="shared" si="50"/>
        <v>937.30000000000007</v>
      </c>
      <c r="I158" s="67">
        <f t="shared" si="50"/>
        <v>937.30000000000007</v>
      </c>
      <c r="J158" s="67">
        <f t="shared" si="50"/>
        <v>937.30000000000007</v>
      </c>
      <c r="K158" s="67">
        <f t="shared" si="50"/>
        <v>937.30000000000007</v>
      </c>
      <c r="L158" s="67">
        <f t="shared" si="50"/>
        <v>937.30000000000007</v>
      </c>
      <c r="M158" s="67">
        <f t="shared" si="50"/>
        <v>937.30000000000007</v>
      </c>
      <c r="N158" s="67">
        <f t="shared" si="50"/>
        <v>937.30000000000007</v>
      </c>
      <c r="O158" s="67">
        <f t="shared" si="50"/>
        <v>937.30000000000007</v>
      </c>
      <c r="P158" s="68">
        <f t="shared" si="50"/>
        <v>937.30000000000007</v>
      </c>
      <c r="Q158" s="14">
        <f t="shared" si="47"/>
        <v>11247.599999999999</v>
      </c>
      <c r="R158" s="14"/>
    </row>
    <row r="159" spans="1:20" x14ac:dyDescent="0.35">
      <c r="A159" s="419" t="str">
        <f t="shared" si="45"/>
        <v>Marketing</v>
      </c>
      <c r="D159" s="66" t="s">
        <v>116</v>
      </c>
      <c r="E159" s="67">
        <f t="shared" si="50"/>
        <v>375</v>
      </c>
      <c r="F159" s="67">
        <f t="shared" si="50"/>
        <v>375</v>
      </c>
      <c r="G159" s="67">
        <f t="shared" si="50"/>
        <v>375</v>
      </c>
      <c r="H159" s="67">
        <f t="shared" si="50"/>
        <v>375</v>
      </c>
      <c r="I159" s="67">
        <f t="shared" si="50"/>
        <v>375</v>
      </c>
      <c r="J159" s="67">
        <f t="shared" si="50"/>
        <v>375</v>
      </c>
      <c r="K159" s="67">
        <f t="shared" si="50"/>
        <v>375</v>
      </c>
      <c r="L159" s="67">
        <f t="shared" si="50"/>
        <v>375</v>
      </c>
      <c r="M159" s="67">
        <f t="shared" si="50"/>
        <v>375</v>
      </c>
      <c r="N159" s="67">
        <f t="shared" si="50"/>
        <v>375</v>
      </c>
      <c r="O159" s="67">
        <f t="shared" si="50"/>
        <v>375</v>
      </c>
      <c r="P159" s="68">
        <f t="shared" si="50"/>
        <v>375</v>
      </c>
      <c r="Q159" s="14">
        <f t="shared" si="47"/>
        <v>4500</v>
      </c>
      <c r="R159" s="14"/>
    </row>
    <row r="160" spans="1:20" x14ac:dyDescent="0.35">
      <c r="A160" s="419" t="str">
        <f t="shared" si="45"/>
        <v>Business Taxes</v>
      </c>
      <c r="D160" s="66" t="s">
        <v>117</v>
      </c>
      <c r="E160" s="67">
        <f t="shared" si="50"/>
        <v>0</v>
      </c>
      <c r="F160" s="67">
        <f t="shared" si="50"/>
        <v>0</v>
      </c>
      <c r="G160" s="67">
        <f t="shared" si="50"/>
        <v>0</v>
      </c>
      <c r="H160" s="67">
        <f t="shared" si="50"/>
        <v>950.70844450766936</v>
      </c>
      <c r="I160" s="67">
        <f t="shared" si="50"/>
        <v>0</v>
      </c>
      <c r="J160" s="67">
        <f t="shared" si="50"/>
        <v>0</v>
      </c>
      <c r="K160" s="67">
        <f t="shared" si="50"/>
        <v>0</v>
      </c>
      <c r="L160" s="67">
        <f t="shared" si="50"/>
        <v>0</v>
      </c>
      <c r="M160" s="67">
        <f t="shared" si="50"/>
        <v>0</v>
      </c>
      <c r="N160" s="67">
        <f t="shared" si="50"/>
        <v>0</v>
      </c>
      <c r="O160" s="67">
        <f t="shared" si="50"/>
        <v>0</v>
      </c>
      <c r="P160" s="68">
        <f t="shared" si="50"/>
        <v>0</v>
      </c>
      <c r="Q160" s="14">
        <f t="shared" si="47"/>
        <v>950.70844450766936</v>
      </c>
      <c r="R160" s="14"/>
    </row>
    <row r="161" spans="1:18" x14ac:dyDescent="0.35">
      <c r="A161" s="419" t="str">
        <f t="shared" si="45"/>
        <v>Legal &amp; Accounting</v>
      </c>
      <c r="D161" s="66" t="s">
        <v>118</v>
      </c>
      <c r="E161" s="67">
        <f t="shared" si="50"/>
        <v>772.09999999999991</v>
      </c>
      <c r="F161" s="67">
        <f t="shared" si="50"/>
        <v>772.09999999999991</v>
      </c>
      <c r="G161" s="67">
        <f t="shared" si="50"/>
        <v>772.09999999999991</v>
      </c>
      <c r="H161" s="67">
        <f t="shared" si="50"/>
        <v>772.09999999999991</v>
      </c>
      <c r="I161" s="67">
        <f t="shared" si="50"/>
        <v>772.09999999999991</v>
      </c>
      <c r="J161" s="67">
        <f t="shared" si="50"/>
        <v>772.09999999999991</v>
      </c>
      <c r="K161" s="67">
        <f t="shared" si="50"/>
        <v>772.09999999999991</v>
      </c>
      <c r="L161" s="67">
        <f t="shared" si="50"/>
        <v>772.09999999999991</v>
      </c>
      <c r="M161" s="67">
        <f t="shared" si="50"/>
        <v>772.09999999999991</v>
      </c>
      <c r="N161" s="67">
        <f t="shared" si="50"/>
        <v>772.09999999999991</v>
      </c>
      <c r="O161" s="67">
        <f t="shared" si="50"/>
        <v>772.09999999999991</v>
      </c>
      <c r="P161" s="68">
        <f t="shared" si="50"/>
        <v>772.09999999999991</v>
      </c>
      <c r="Q161" s="14">
        <f t="shared" si="47"/>
        <v>9265.2000000000007</v>
      </c>
      <c r="R161" s="14"/>
    </row>
    <row r="162" spans="1:18" x14ac:dyDescent="0.35">
      <c r="A162" s="419" t="str">
        <f>VLOOKUP($D162,$A$10:$D$130,4,FALSE)</f>
        <v>Bank Fees</v>
      </c>
      <c r="D162" s="66" t="s">
        <v>125</v>
      </c>
      <c r="E162" s="67">
        <f t="shared" si="50"/>
        <v>47.895000000000003</v>
      </c>
      <c r="F162" s="67">
        <f t="shared" si="50"/>
        <v>47.895000000000003</v>
      </c>
      <c r="G162" s="67">
        <f t="shared" si="50"/>
        <v>47.895000000000003</v>
      </c>
      <c r="H162" s="67">
        <f t="shared" si="50"/>
        <v>47.895000000000003</v>
      </c>
      <c r="I162" s="67">
        <f t="shared" si="50"/>
        <v>47.895000000000003</v>
      </c>
      <c r="J162" s="67">
        <f t="shared" si="50"/>
        <v>47.895000000000003</v>
      </c>
      <c r="K162" s="67">
        <f t="shared" si="50"/>
        <v>47.895000000000003</v>
      </c>
      <c r="L162" s="67">
        <f t="shared" si="50"/>
        <v>47.895000000000003</v>
      </c>
      <c r="M162" s="67">
        <f t="shared" si="50"/>
        <v>47.895000000000003</v>
      </c>
      <c r="N162" s="67">
        <f t="shared" si="50"/>
        <v>47.895000000000003</v>
      </c>
      <c r="O162" s="67">
        <f t="shared" si="50"/>
        <v>47.895000000000003</v>
      </c>
      <c r="P162" s="68">
        <f t="shared" si="50"/>
        <v>47.895000000000003</v>
      </c>
      <c r="Q162" s="14">
        <f t="shared" si="47"/>
        <v>574.7399999999999</v>
      </c>
      <c r="R162" s="14"/>
    </row>
    <row r="163" spans="1:18" x14ac:dyDescent="0.35">
      <c r="A163" s="419" t="str">
        <f t="shared" ref="A163:A167" si="51">VLOOKUP($D163,$A$10:$D$130,4,FALSE)</f>
        <v>Other G&amp;A Expense</v>
      </c>
      <c r="D163" s="66" t="s">
        <v>126</v>
      </c>
      <c r="E163" s="67">
        <f t="shared" si="50"/>
        <v>6.18</v>
      </c>
      <c r="F163" s="67">
        <f t="shared" si="50"/>
        <v>6.18</v>
      </c>
      <c r="G163" s="67">
        <f t="shared" si="50"/>
        <v>6.18</v>
      </c>
      <c r="H163" s="67">
        <f t="shared" si="50"/>
        <v>6.18</v>
      </c>
      <c r="I163" s="67">
        <f t="shared" si="50"/>
        <v>6.18</v>
      </c>
      <c r="J163" s="67">
        <f t="shared" si="50"/>
        <v>6.18</v>
      </c>
      <c r="K163" s="67">
        <f t="shared" si="50"/>
        <v>6.18</v>
      </c>
      <c r="L163" s="67">
        <f t="shared" si="50"/>
        <v>6.18</v>
      </c>
      <c r="M163" s="67">
        <f t="shared" si="50"/>
        <v>6.18</v>
      </c>
      <c r="N163" s="67">
        <f t="shared" si="50"/>
        <v>6.18</v>
      </c>
      <c r="O163" s="67">
        <f t="shared" si="50"/>
        <v>6.18</v>
      </c>
      <c r="P163" s="68">
        <f t="shared" si="50"/>
        <v>6.18</v>
      </c>
      <c r="Q163" s="14">
        <f t="shared" si="47"/>
        <v>74.16</v>
      </c>
      <c r="R163" s="14"/>
    </row>
    <row r="164" spans="1:18" x14ac:dyDescent="0.35">
      <c r="A164" s="419" t="str">
        <f t="shared" si="51"/>
        <v>Other G&amp;A-allocated from LIK</v>
      </c>
      <c r="D164" s="66" t="s">
        <v>119</v>
      </c>
      <c r="E164" s="67">
        <f t="shared" si="50"/>
        <v>1062.96</v>
      </c>
      <c r="F164" s="67">
        <f t="shared" si="50"/>
        <v>1062.96</v>
      </c>
      <c r="G164" s="67">
        <f t="shared" si="50"/>
        <v>1062.96</v>
      </c>
      <c r="H164" s="67">
        <f t="shared" si="50"/>
        <v>1062.96</v>
      </c>
      <c r="I164" s="67">
        <f t="shared" si="50"/>
        <v>1062.96</v>
      </c>
      <c r="J164" s="67">
        <f t="shared" si="50"/>
        <v>1062.96</v>
      </c>
      <c r="K164" s="67">
        <f t="shared" si="50"/>
        <v>1062.96</v>
      </c>
      <c r="L164" s="67">
        <f t="shared" si="50"/>
        <v>1062.96</v>
      </c>
      <c r="M164" s="67">
        <f t="shared" si="50"/>
        <v>1062.96</v>
      </c>
      <c r="N164" s="67">
        <f t="shared" si="50"/>
        <v>1062.96</v>
      </c>
      <c r="O164" s="67">
        <f t="shared" si="50"/>
        <v>1062.96</v>
      </c>
      <c r="P164" s="68">
        <f t="shared" si="50"/>
        <v>1062.96</v>
      </c>
      <c r="Q164" s="14">
        <f t="shared" si="47"/>
        <v>12755.519999999997</v>
      </c>
      <c r="R164" s="14"/>
    </row>
    <row r="165" spans="1:18" x14ac:dyDescent="0.35">
      <c r="A165" s="419" t="str">
        <f t="shared" si="51"/>
        <v>Land Improvements</v>
      </c>
      <c r="D165" s="66" t="s">
        <v>120</v>
      </c>
      <c r="E165" s="67">
        <f t="shared" si="50"/>
        <v>0</v>
      </c>
      <c r="F165" s="67">
        <f t="shared" si="50"/>
        <v>0</v>
      </c>
      <c r="G165" s="67">
        <f t="shared" si="50"/>
        <v>0</v>
      </c>
      <c r="H165" s="67">
        <f t="shared" si="50"/>
        <v>0</v>
      </c>
      <c r="I165" s="67">
        <f t="shared" si="50"/>
        <v>0</v>
      </c>
      <c r="J165" s="67">
        <f t="shared" si="50"/>
        <v>0</v>
      </c>
      <c r="K165" s="67">
        <f t="shared" si="50"/>
        <v>0</v>
      </c>
      <c r="L165" s="67">
        <f t="shared" si="50"/>
        <v>0</v>
      </c>
      <c r="M165" s="67">
        <f t="shared" si="50"/>
        <v>0</v>
      </c>
      <c r="N165" s="67">
        <f t="shared" si="50"/>
        <v>0</v>
      </c>
      <c r="O165" s="67">
        <f t="shared" si="50"/>
        <v>0</v>
      </c>
      <c r="P165" s="68">
        <f t="shared" si="50"/>
        <v>0</v>
      </c>
      <c r="Q165" s="14">
        <f t="shared" si="47"/>
        <v>0</v>
      </c>
      <c r="R165" s="14"/>
    </row>
    <row r="166" spans="1:18" x14ac:dyDescent="0.35">
      <c r="A166" s="419" t="str">
        <f t="shared" si="51"/>
        <v>Buildings</v>
      </c>
      <c r="D166" s="66" t="s">
        <v>121</v>
      </c>
      <c r="E166" s="67">
        <f t="shared" si="50"/>
        <v>0</v>
      </c>
      <c r="F166" s="67">
        <f t="shared" si="50"/>
        <v>0</v>
      </c>
      <c r="G166" s="67">
        <f t="shared" si="50"/>
        <v>0</v>
      </c>
      <c r="H166" s="67">
        <f t="shared" si="50"/>
        <v>0</v>
      </c>
      <c r="I166" s="67">
        <f t="shared" si="50"/>
        <v>0</v>
      </c>
      <c r="J166" s="67">
        <f t="shared" si="50"/>
        <v>0</v>
      </c>
      <c r="K166" s="67">
        <f t="shared" si="50"/>
        <v>0</v>
      </c>
      <c r="L166" s="67">
        <f t="shared" si="50"/>
        <v>0</v>
      </c>
      <c r="M166" s="67">
        <f t="shared" si="50"/>
        <v>0</v>
      </c>
      <c r="N166" s="67">
        <f t="shared" si="50"/>
        <v>0</v>
      </c>
      <c r="O166" s="67">
        <f t="shared" si="50"/>
        <v>0</v>
      </c>
      <c r="P166" s="68">
        <f t="shared" si="50"/>
        <v>0</v>
      </c>
      <c r="Q166" s="14">
        <f t="shared" si="47"/>
        <v>0</v>
      </c>
      <c r="R166" s="14"/>
    </row>
    <row r="167" spans="1:18" x14ac:dyDescent="0.35">
      <c r="A167" s="419" t="str">
        <f t="shared" si="51"/>
        <v>Equipment</v>
      </c>
      <c r="D167" s="66" t="s">
        <v>122</v>
      </c>
      <c r="E167" s="67">
        <f t="shared" si="50"/>
        <v>0</v>
      </c>
      <c r="F167" s="67">
        <f t="shared" si="50"/>
        <v>0</v>
      </c>
      <c r="G167" s="67">
        <f t="shared" si="50"/>
        <v>0</v>
      </c>
      <c r="H167" s="67">
        <f t="shared" si="50"/>
        <v>0</v>
      </c>
      <c r="I167" s="67">
        <f t="shared" si="50"/>
        <v>0</v>
      </c>
      <c r="J167" s="67">
        <f t="shared" si="50"/>
        <v>0</v>
      </c>
      <c r="K167" s="67">
        <f t="shared" si="50"/>
        <v>0</v>
      </c>
      <c r="L167" s="67">
        <f t="shared" si="50"/>
        <v>0</v>
      </c>
      <c r="M167" s="67">
        <f t="shared" si="50"/>
        <v>0</v>
      </c>
      <c r="N167" s="67">
        <f t="shared" si="50"/>
        <v>0</v>
      </c>
      <c r="O167" s="67">
        <f t="shared" si="50"/>
        <v>0</v>
      </c>
      <c r="P167" s="68">
        <f t="shared" si="50"/>
        <v>0</v>
      </c>
      <c r="Q167" s="14">
        <f t="shared" si="47"/>
        <v>0</v>
      </c>
      <c r="R167" s="14"/>
    </row>
    <row r="168" spans="1:18" x14ac:dyDescent="0.35">
      <c r="A168" s="419" t="str">
        <f t="shared" si="45"/>
        <v>Tenant Improvements</v>
      </c>
      <c r="D168" s="66" t="s">
        <v>123</v>
      </c>
      <c r="E168" s="67">
        <f t="shared" si="50"/>
        <v>9576</v>
      </c>
      <c r="F168" s="67">
        <f t="shared" si="50"/>
        <v>0</v>
      </c>
      <c r="G168" s="67">
        <f t="shared" si="50"/>
        <v>0</v>
      </c>
      <c r="H168" s="67">
        <f t="shared" si="50"/>
        <v>0</v>
      </c>
      <c r="I168" s="67">
        <f t="shared" si="50"/>
        <v>0</v>
      </c>
      <c r="J168" s="67">
        <f t="shared" si="50"/>
        <v>0</v>
      </c>
      <c r="K168" s="67">
        <f t="shared" si="50"/>
        <v>0</v>
      </c>
      <c r="L168" s="67">
        <f t="shared" si="50"/>
        <v>0</v>
      </c>
      <c r="M168" s="67">
        <f t="shared" si="50"/>
        <v>0</v>
      </c>
      <c r="N168" s="67">
        <f t="shared" si="50"/>
        <v>0</v>
      </c>
      <c r="O168" s="67">
        <f t="shared" si="50"/>
        <v>3006</v>
      </c>
      <c r="P168" s="68">
        <f t="shared" si="50"/>
        <v>0</v>
      </c>
      <c r="Q168" s="14">
        <f t="shared" si="47"/>
        <v>12582</v>
      </c>
      <c r="R168" s="14"/>
    </row>
    <row r="169" spans="1:18" x14ac:dyDescent="0.35">
      <c r="A169" s="419" t="str">
        <f>VLOOKUP($D169,$A$10:$D$130,3,FALSE)</f>
        <v>Outside Leasing Commissions</v>
      </c>
      <c r="D169" s="66" t="s">
        <v>124</v>
      </c>
      <c r="E169" s="67">
        <f t="shared" si="50"/>
        <v>10383.68</v>
      </c>
      <c r="F169" s="67">
        <f t="shared" si="50"/>
        <v>4539.5999999999995</v>
      </c>
      <c r="G169" s="67">
        <f t="shared" si="50"/>
        <v>0</v>
      </c>
      <c r="H169" s="67">
        <f t="shared" si="50"/>
        <v>0</v>
      </c>
      <c r="I169" s="67">
        <f t="shared" si="50"/>
        <v>0</v>
      </c>
      <c r="J169" s="67">
        <f t="shared" si="50"/>
        <v>652.65</v>
      </c>
      <c r="K169" s="67">
        <f t="shared" si="50"/>
        <v>648.94499999999994</v>
      </c>
      <c r="L169" s="67">
        <f t="shared" si="50"/>
        <v>900.72</v>
      </c>
      <c r="M169" s="67">
        <f t="shared" si="50"/>
        <v>0</v>
      </c>
      <c r="N169" s="67">
        <f t="shared" si="50"/>
        <v>0</v>
      </c>
      <c r="O169" s="67">
        <f t="shared" si="50"/>
        <v>1082.1599999999999</v>
      </c>
      <c r="P169" s="68">
        <f t="shared" si="50"/>
        <v>0</v>
      </c>
      <c r="Q169" s="14">
        <f t="shared" si="47"/>
        <v>18207.754999999997</v>
      </c>
      <c r="R169" s="14"/>
    </row>
    <row r="170" spans="1:18" x14ac:dyDescent="0.35">
      <c r="A170" s="419" t="str">
        <f t="shared" si="45"/>
        <v>Interest</v>
      </c>
      <c r="D170" s="66" t="s">
        <v>127</v>
      </c>
      <c r="E170" s="67">
        <f t="shared" si="50"/>
        <v>6906.5999999999995</v>
      </c>
      <c r="F170" s="67">
        <f t="shared" si="50"/>
        <v>6906.5999999999995</v>
      </c>
      <c r="G170" s="67">
        <f t="shared" si="50"/>
        <v>6906.5999999999995</v>
      </c>
      <c r="H170" s="67">
        <f t="shared" si="50"/>
        <v>6906.5999999999995</v>
      </c>
      <c r="I170" s="67">
        <f t="shared" si="50"/>
        <v>6906.5999999999995</v>
      </c>
      <c r="J170" s="67">
        <f t="shared" si="50"/>
        <v>6906.5999999999995</v>
      </c>
      <c r="K170" s="67">
        <f t="shared" si="50"/>
        <v>6906.5999999999995</v>
      </c>
      <c r="L170" s="67">
        <f t="shared" si="50"/>
        <v>6906.5999999999995</v>
      </c>
      <c r="M170" s="67">
        <f t="shared" si="50"/>
        <v>6906.5999999999995</v>
      </c>
      <c r="N170" s="67">
        <f t="shared" si="50"/>
        <v>6906.5999999999995</v>
      </c>
      <c r="O170" s="67">
        <f t="shared" si="50"/>
        <v>6906.5999999999995</v>
      </c>
      <c r="P170" s="68">
        <f t="shared" si="50"/>
        <v>6906.5999999999995</v>
      </c>
      <c r="Q170" s="14">
        <f t="shared" si="47"/>
        <v>82879.200000000012</v>
      </c>
      <c r="R170" s="14"/>
    </row>
    <row r="171" spans="1:18" ht="16.5" thickBot="1" x14ac:dyDescent="0.4">
      <c r="A171" s="419" t="str">
        <f t="shared" si="45"/>
        <v>Mortgage Amortization</v>
      </c>
      <c r="D171" s="69" t="s">
        <v>144</v>
      </c>
      <c r="E171" s="70">
        <f t="shared" si="50"/>
        <v>0</v>
      </c>
      <c r="F171" s="70">
        <f t="shared" si="50"/>
        <v>0</v>
      </c>
      <c r="G171" s="70">
        <f t="shared" si="50"/>
        <v>0</v>
      </c>
      <c r="H171" s="70">
        <f t="shared" si="50"/>
        <v>0</v>
      </c>
      <c r="I171" s="70">
        <f t="shared" si="50"/>
        <v>0</v>
      </c>
      <c r="J171" s="70">
        <f t="shared" si="50"/>
        <v>0</v>
      </c>
      <c r="K171" s="70">
        <f t="shared" si="50"/>
        <v>0</v>
      </c>
      <c r="L171" s="70">
        <f t="shared" si="50"/>
        <v>0</v>
      </c>
      <c r="M171" s="70">
        <f t="shared" si="50"/>
        <v>0</v>
      </c>
      <c r="N171" s="70">
        <f t="shared" si="50"/>
        <v>0</v>
      </c>
      <c r="O171" s="70">
        <f t="shared" si="50"/>
        <v>0</v>
      </c>
      <c r="P171" s="71">
        <f t="shared" si="50"/>
        <v>0</v>
      </c>
      <c r="Q171" s="14">
        <f t="shared" si="47"/>
        <v>0</v>
      </c>
      <c r="R171" s="14"/>
    </row>
    <row r="172" spans="1:18" x14ac:dyDescent="0.35">
      <c r="D172" s="7" t="s">
        <v>12</v>
      </c>
      <c r="E172" s="7">
        <f t="shared" ref="E172:Q172" si="52">SUM(E137:E171)</f>
        <v>28749.090670946283</v>
      </c>
      <c r="F172" s="7">
        <f t="shared" si="52"/>
        <v>1185.8667376129506</v>
      </c>
      <c r="G172" s="7">
        <f t="shared" si="52"/>
        <v>-5755.2890623870471</v>
      </c>
      <c r="H172" s="7">
        <f t="shared" si="52"/>
        <v>10250.066182120619</v>
      </c>
      <c r="I172" s="7">
        <f t="shared" si="52"/>
        <v>-3092.0198623870483</v>
      </c>
      <c r="J172" s="7">
        <f t="shared" si="52"/>
        <v>10381.65320427961</v>
      </c>
      <c r="K172" s="7">
        <f t="shared" si="52"/>
        <v>10362.711204279611</v>
      </c>
      <c r="L172" s="7">
        <f t="shared" si="52"/>
        <v>-4488.9557957203879</v>
      </c>
      <c r="M172" s="7">
        <f t="shared" si="52"/>
        <v>-3644.6483957203845</v>
      </c>
      <c r="N172" s="7">
        <f t="shared" si="52"/>
        <v>11465.35020427961</v>
      </c>
      <c r="O172" s="7">
        <f t="shared" si="52"/>
        <v>-1847.6475957203902</v>
      </c>
      <c r="P172" s="7">
        <f t="shared" si="52"/>
        <v>-5265.9991957203883</v>
      </c>
      <c r="Q172" s="7">
        <f t="shared" si="52"/>
        <v>48300.178295863006</v>
      </c>
    </row>
    <row r="173" spans="1:18" x14ac:dyDescent="0.35">
      <c r="E173" s="32">
        <f>E131+E172</f>
        <v>0</v>
      </c>
      <c r="F173" s="32">
        <f t="shared" ref="F173:Q173" si="53">F131+F172</f>
        <v>3.637978807091713E-12</v>
      </c>
      <c r="G173" s="32">
        <f t="shared" si="53"/>
        <v>0</v>
      </c>
      <c r="H173" s="32">
        <f t="shared" si="53"/>
        <v>0</v>
      </c>
      <c r="I173" s="32">
        <f t="shared" si="53"/>
        <v>3.637978807091713E-12</v>
      </c>
      <c r="J173" s="32">
        <f t="shared" si="53"/>
        <v>0</v>
      </c>
      <c r="K173" s="32">
        <f t="shared" si="53"/>
        <v>0</v>
      </c>
      <c r="L173" s="32">
        <f t="shared" si="53"/>
        <v>0</v>
      </c>
      <c r="M173" s="32">
        <f t="shared" si="53"/>
        <v>1.0913936421275139E-11</v>
      </c>
      <c r="N173" s="32">
        <f t="shared" si="53"/>
        <v>0</v>
      </c>
      <c r="O173" s="32">
        <f t="shared" si="53"/>
        <v>0</v>
      </c>
      <c r="P173" s="32">
        <f t="shared" si="53"/>
        <v>0</v>
      </c>
      <c r="Q173" s="32">
        <f t="shared" si="53"/>
        <v>-8.0035533756017685E-11</v>
      </c>
    </row>
    <row r="175" spans="1:18" hidden="1" x14ac:dyDescent="0.35"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</row>
    <row r="176" spans="1:18" ht="17.5" hidden="1" x14ac:dyDescent="0.5">
      <c r="D176" s="37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</row>
    <row r="177" spans="4:18" hidden="1" x14ac:dyDescent="0.35"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</row>
    <row r="178" spans="4:18" ht="17.5" hidden="1" x14ac:dyDescent="0.5">
      <c r="D178" s="38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</row>
    <row r="179" spans="4:18" hidden="1" x14ac:dyDescent="0.35">
      <c r="D179" s="11"/>
    </row>
    <row r="180" spans="4:18" hidden="1" x14ac:dyDescent="0.35">
      <c r="D180" s="11"/>
    </row>
    <row r="181" spans="4:18" hidden="1" x14ac:dyDescent="0.35">
      <c r="D181" s="11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29"/>
      <c r="R181" s="29"/>
    </row>
    <row r="182" spans="4:18" hidden="1" x14ac:dyDescent="0.35">
      <c r="D182" s="11"/>
      <c r="E182" s="11" t="s">
        <v>0</v>
      </c>
      <c r="F182" s="11" t="s">
        <v>1</v>
      </c>
      <c r="G182" s="11" t="s">
        <v>2</v>
      </c>
      <c r="H182" s="11" t="s">
        <v>3</v>
      </c>
      <c r="I182" s="11" t="s">
        <v>4</v>
      </c>
      <c r="J182" s="11" t="s">
        <v>5</v>
      </c>
      <c r="K182" s="11" t="s">
        <v>6</v>
      </c>
      <c r="L182" s="11" t="s">
        <v>7</v>
      </c>
      <c r="M182" s="11" t="s">
        <v>8</v>
      </c>
      <c r="N182" s="11" t="s">
        <v>9</v>
      </c>
      <c r="O182" s="11" t="s">
        <v>10</v>
      </c>
      <c r="P182" s="11" t="s">
        <v>11</v>
      </c>
    </row>
    <row r="183" spans="4:18" ht="17.5" hidden="1" x14ac:dyDescent="0.5">
      <c r="D183" s="37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</row>
    <row r="184" spans="4:18" hidden="1" x14ac:dyDescent="0.35">
      <c r="D184" s="11" t="s">
        <v>147</v>
      </c>
      <c r="E184" s="7">
        <v>54008</v>
      </c>
      <c r="F184" s="7">
        <v>54008</v>
      </c>
      <c r="G184" s="7">
        <v>54008</v>
      </c>
      <c r="H184" s="7">
        <v>54008</v>
      </c>
      <c r="I184" s="7">
        <v>54008</v>
      </c>
      <c r="J184" s="7">
        <v>54008</v>
      </c>
      <c r="K184" s="7">
        <v>54008</v>
      </c>
      <c r="L184" s="7">
        <v>54008</v>
      </c>
      <c r="M184" s="7">
        <v>54008</v>
      </c>
      <c r="N184" s="7">
        <v>54008</v>
      </c>
      <c r="O184" s="7">
        <v>54008</v>
      </c>
      <c r="P184" s="7">
        <v>54008</v>
      </c>
    </row>
    <row r="185" spans="4:18" hidden="1" x14ac:dyDescent="0.35"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</row>
    <row r="186" spans="4:18" hidden="1" x14ac:dyDescent="0.35">
      <c r="D186" s="11" t="s">
        <v>146</v>
      </c>
      <c r="E186" s="39">
        <v>41069</v>
      </c>
      <c r="F186" s="39">
        <v>41069</v>
      </c>
      <c r="G186" s="39">
        <v>41069</v>
      </c>
      <c r="H186" s="39">
        <v>41069</v>
      </c>
      <c r="I186" s="39">
        <v>41069</v>
      </c>
      <c r="J186" s="39">
        <v>41069</v>
      </c>
      <c r="K186" s="39">
        <v>41069</v>
      </c>
      <c r="L186" s="39">
        <v>44709</v>
      </c>
      <c r="M186" s="39">
        <v>47586</v>
      </c>
      <c r="N186" s="39">
        <v>47586</v>
      </c>
      <c r="O186" s="39">
        <v>47586</v>
      </c>
      <c r="P186" s="39">
        <v>47586</v>
      </c>
      <c r="Q186" s="29"/>
      <c r="R186" s="29"/>
    </row>
    <row r="187" spans="4:18" hidden="1" x14ac:dyDescent="0.35"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</row>
    <row r="188" spans="4:18" ht="17.5" hidden="1" x14ac:dyDescent="0.5">
      <c r="D188" s="37" t="s">
        <v>148</v>
      </c>
      <c r="E188" s="11">
        <f>E186/E184</f>
        <v>0.76042438157310033</v>
      </c>
      <c r="F188" s="11">
        <f t="shared" ref="F188:P188" si="54">F186/F184</f>
        <v>0.76042438157310033</v>
      </c>
      <c r="G188" s="11">
        <f t="shared" si="54"/>
        <v>0.76042438157310033</v>
      </c>
      <c r="H188" s="11">
        <f t="shared" si="54"/>
        <v>0.76042438157310033</v>
      </c>
      <c r="I188" s="11">
        <f t="shared" si="54"/>
        <v>0.76042438157310033</v>
      </c>
      <c r="J188" s="11">
        <f t="shared" si="54"/>
        <v>0.76042438157310033</v>
      </c>
      <c r="K188" s="11">
        <f t="shared" si="54"/>
        <v>0.76042438157310033</v>
      </c>
      <c r="L188" s="11">
        <f t="shared" si="54"/>
        <v>0.82782180417715889</v>
      </c>
      <c r="M188" s="11">
        <f t="shared" si="54"/>
        <v>0.88109169011998223</v>
      </c>
      <c r="N188" s="11">
        <f t="shared" si="54"/>
        <v>0.88109169011998223</v>
      </c>
      <c r="O188" s="11">
        <f t="shared" si="54"/>
        <v>0.88109169011998223</v>
      </c>
      <c r="P188" s="11">
        <f t="shared" si="54"/>
        <v>0.88109169011998223</v>
      </c>
    </row>
    <row r="189" spans="4:18" hidden="1" x14ac:dyDescent="0.35"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</row>
    <row r="190" spans="4:18" hidden="1" x14ac:dyDescent="0.35"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</row>
    <row r="191" spans="4:18" hidden="1" x14ac:dyDescent="0.35">
      <c r="D191" s="11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29"/>
      <c r="R191" s="29"/>
    </row>
    <row r="192" spans="4:18" hidden="1" x14ac:dyDescent="0.35"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</row>
    <row r="193" spans="4:16" hidden="1" x14ac:dyDescent="0.35"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</row>
    <row r="194" spans="4:16" hidden="1" x14ac:dyDescent="0.35"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</row>
    <row r="195" spans="4:16" hidden="1" x14ac:dyDescent="0.35"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</row>
    <row r="196" spans="4:16" hidden="1" x14ac:dyDescent="0.35"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</row>
    <row r="197" spans="4:16" ht="17.5" hidden="1" x14ac:dyDescent="0.5">
      <c r="D197" s="38"/>
      <c r="G197" s="11"/>
      <c r="H197" s="11"/>
      <c r="I197" s="11"/>
      <c r="J197" s="11"/>
      <c r="K197" s="11"/>
      <c r="L197" s="11"/>
      <c r="M197" s="11"/>
      <c r="N197" s="11"/>
      <c r="O197" s="11"/>
      <c r="P197" s="11"/>
    </row>
    <row r="198" spans="4:16" hidden="1" x14ac:dyDescent="0.35">
      <c r="F198" s="40"/>
      <c r="G198" s="11"/>
      <c r="H198" s="11"/>
      <c r="I198" s="11"/>
      <c r="J198" s="11"/>
      <c r="K198" s="11"/>
      <c r="L198" s="11"/>
      <c r="M198" s="11"/>
      <c r="N198" s="11"/>
      <c r="O198" s="11"/>
      <c r="P198" s="11"/>
    </row>
    <row r="199" spans="4:16" hidden="1" x14ac:dyDescent="0.35">
      <c r="F199" s="40"/>
      <c r="G199" s="11"/>
      <c r="H199" s="11"/>
      <c r="I199" s="11"/>
      <c r="J199" s="11"/>
      <c r="K199" s="11"/>
      <c r="L199" s="11"/>
      <c r="M199" s="11"/>
      <c r="N199" s="11"/>
      <c r="O199" s="11"/>
      <c r="P199" s="11"/>
    </row>
    <row r="200" spans="4:16" hidden="1" x14ac:dyDescent="0.35">
      <c r="F200" s="40"/>
      <c r="G200" s="11"/>
      <c r="H200" s="11"/>
      <c r="I200" s="11"/>
      <c r="J200" s="11"/>
      <c r="K200" s="11"/>
      <c r="L200" s="11"/>
      <c r="M200" s="11"/>
      <c r="N200" s="11"/>
      <c r="O200" s="11"/>
      <c r="P200" s="11"/>
    </row>
    <row r="201" spans="4:16" hidden="1" x14ac:dyDescent="0.35">
      <c r="F201" s="40"/>
      <c r="G201" s="11"/>
      <c r="H201" s="11"/>
      <c r="I201" s="11"/>
      <c r="J201" s="11"/>
      <c r="K201" s="11"/>
      <c r="L201" s="11"/>
      <c r="M201" s="11"/>
      <c r="N201" s="11"/>
      <c r="O201" s="11"/>
      <c r="P201" s="11"/>
    </row>
    <row r="202" spans="4:16" hidden="1" x14ac:dyDescent="0.35">
      <c r="F202" s="40"/>
      <c r="G202" s="11"/>
      <c r="H202" s="11"/>
      <c r="I202" s="11"/>
      <c r="J202" s="11"/>
      <c r="K202" s="11"/>
      <c r="L202" s="11"/>
      <c r="M202" s="11"/>
      <c r="N202" s="11"/>
      <c r="O202" s="11"/>
      <c r="P202" s="11"/>
    </row>
    <row r="203" spans="4:16" hidden="1" x14ac:dyDescent="0.35">
      <c r="F203" s="40"/>
      <c r="G203" s="11"/>
      <c r="H203" s="11"/>
      <c r="I203" s="11"/>
      <c r="J203" s="11"/>
      <c r="K203" s="11"/>
      <c r="L203" s="11"/>
      <c r="M203" s="11"/>
      <c r="N203" s="11"/>
      <c r="O203" s="11"/>
      <c r="P203" s="11"/>
    </row>
    <row r="204" spans="4:16" hidden="1" x14ac:dyDescent="0.35">
      <c r="F204" s="40"/>
      <c r="G204" s="11"/>
      <c r="H204" s="11"/>
      <c r="I204" s="11"/>
      <c r="J204" s="11"/>
      <c r="K204" s="11"/>
      <c r="L204" s="11"/>
      <c r="M204" s="11"/>
      <c r="N204" s="11"/>
      <c r="O204" s="11"/>
      <c r="P204" s="11"/>
    </row>
    <row r="205" spans="4:16" hidden="1" x14ac:dyDescent="0.35">
      <c r="E205" s="29"/>
      <c r="F205" s="41"/>
      <c r="G205" s="11"/>
      <c r="H205" s="11"/>
      <c r="I205" s="11"/>
      <c r="J205" s="11"/>
      <c r="K205" s="11"/>
      <c r="L205" s="11"/>
      <c r="M205" s="11"/>
      <c r="N205" s="11"/>
      <c r="O205" s="11"/>
      <c r="P205" s="11"/>
    </row>
    <row r="206" spans="4:16" hidden="1" x14ac:dyDescent="0.35"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</row>
    <row r="207" spans="4:16" hidden="1" x14ac:dyDescent="0.35"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</row>
    <row r="208" spans="4:16" hidden="1" x14ac:dyDescent="0.35"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</row>
    <row r="209" spans="4:18" hidden="1" x14ac:dyDescent="0.35"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</row>
    <row r="210" spans="4:18" hidden="1" x14ac:dyDescent="0.35"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</row>
    <row r="211" spans="4:18" hidden="1" x14ac:dyDescent="0.35"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</row>
    <row r="212" spans="4:18" ht="17.5" hidden="1" x14ac:dyDescent="0.5">
      <c r="D212" s="37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</row>
    <row r="213" spans="4:18" hidden="1" x14ac:dyDescent="0.35"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</row>
    <row r="214" spans="4:18" ht="17.5" hidden="1" x14ac:dyDescent="0.5">
      <c r="D214" s="38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</row>
    <row r="215" spans="4:18" hidden="1" x14ac:dyDescent="0.35"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</row>
    <row r="216" spans="4:18" hidden="1" x14ac:dyDescent="0.35"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</row>
    <row r="217" spans="4:18" hidden="1" x14ac:dyDescent="0.35">
      <c r="D217" s="11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29"/>
      <c r="R217" s="29"/>
    </row>
    <row r="218" spans="4:18" hidden="1" x14ac:dyDescent="0.35"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</row>
    <row r="219" spans="4:18" ht="17.5" hidden="1" x14ac:dyDescent="0.5">
      <c r="D219" s="37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</row>
    <row r="220" spans="4:18" hidden="1" x14ac:dyDescent="0.35"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</row>
    <row r="221" spans="4:18" hidden="1" x14ac:dyDescent="0.35"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</row>
    <row r="222" spans="4:18" hidden="1" x14ac:dyDescent="0.35">
      <c r="D222" s="11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29"/>
      <c r="R222" s="29"/>
    </row>
    <row r="223" spans="4:18" hidden="1" x14ac:dyDescent="0.35"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</row>
    <row r="224" spans="4:18" ht="17.5" hidden="1" x14ac:dyDescent="0.5">
      <c r="D224" s="37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</row>
    <row r="225" spans="1:18" hidden="1" x14ac:dyDescent="0.35"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</row>
    <row r="226" spans="1:18" hidden="1" x14ac:dyDescent="0.35"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</row>
    <row r="227" spans="1:18" hidden="1" x14ac:dyDescent="0.35">
      <c r="D227" s="11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29"/>
      <c r="R227" s="29"/>
    </row>
    <row r="228" spans="1:18" hidden="1" x14ac:dyDescent="0.35"/>
    <row r="229" spans="1:18" hidden="1" x14ac:dyDescent="0.35"/>
    <row r="230" spans="1:18" hidden="1" x14ac:dyDescent="0.35"/>
    <row r="231" spans="1:18" hidden="1" x14ac:dyDescent="0.35"/>
    <row r="232" spans="1:18" hidden="1" x14ac:dyDescent="0.35"/>
    <row r="233" spans="1:18" hidden="1" x14ac:dyDescent="0.35"/>
    <row r="234" spans="1:18" hidden="1" x14ac:dyDescent="0.35"/>
    <row r="235" spans="1:18" hidden="1" x14ac:dyDescent="0.35"/>
    <row r="236" spans="1:18" hidden="1" x14ac:dyDescent="0.35"/>
    <row r="237" spans="1:18" hidden="1" x14ac:dyDescent="0.35"/>
    <row r="238" spans="1:18" hidden="1" x14ac:dyDescent="0.3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</row>
    <row r="239" spans="1:18" ht="16.5" hidden="1" thickTop="1" x14ac:dyDescent="0.35">
      <c r="A239" s="42"/>
      <c r="B239" s="42"/>
      <c r="C239" s="42"/>
      <c r="D239" s="42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2"/>
      <c r="R239" s="42"/>
    </row>
    <row r="240" spans="1:18" hidden="1" x14ac:dyDescent="0.35">
      <c r="A240" s="11"/>
      <c r="B240" s="11"/>
      <c r="C240" s="11"/>
      <c r="D240" s="44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</row>
    <row r="241" spans="1:18" hidden="1" x14ac:dyDescent="0.35">
      <c r="A241" s="11"/>
      <c r="B241" s="11"/>
      <c r="C241" s="11"/>
      <c r="D241" s="45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4"/>
      <c r="R241" s="14"/>
    </row>
    <row r="242" spans="1:18" hidden="1" x14ac:dyDescent="0.35">
      <c r="A242" s="11"/>
      <c r="B242" s="11"/>
      <c r="C242" s="11"/>
      <c r="D242" s="45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9"/>
      <c r="R242" s="9"/>
    </row>
    <row r="243" spans="1:18" hidden="1" x14ac:dyDescent="0.35">
      <c r="A243" s="11"/>
      <c r="B243" s="11"/>
      <c r="C243" s="11"/>
      <c r="D243" s="45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</row>
    <row r="244" spans="1:18" hidden="1" x14ac:dyDescent="0.35">
      <c r="A244" s="11"/>
      <c r="B244" s="11"/>
      <c r="C244" s="11"/>
      <c r="D244" s="45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</row>
    <row r="245" spans="1:18" hidden="1" x14ac:dyDescent="0.35">
      <c r="A245" s="11"/>
      <c r="B245" s="11"/>
      <c r="C245" s="11"/>
      <c r="D245" s="45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</row>
    <row r="246" spans="1:18" hidden="1" x14ac:dyDescent="0.35">
      <c r="A246" s="11"/>
      <c r="B246" s="11"/>
      <c r="C246" s="11"/>
      <c r="D246" s="45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</row>
    <row r="247" spans="1:18" hidden="1" x14ac:dyDescent="0.35">
      <c r="A247" s="11"/>
      <c r="B247" s="11"/>
      <c r="C247" s="11"/>
      <c r="D247" s="45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</row>
    <row r="248" spans="1:18" hidden="1" x14ac:dyDescent="0.35">
      <c r="A248" s="11"/>
      <c r="B248" s="11"/>
      <c r="C248" s="11"/>
      <c r="D248" s="45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</row>
    <row r="249" spans="1:18" hidden="1" x14ac:dyDescent="0.35">
      <c r="A249" s="11"/>
      <c r="B249" s="11"/>
      <c r="C249" s="11"/>
      <c r="D249" s="45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</row>
    <row r="250" spans="1:18" hidden="1" x14ac:dyDescent="0.35">
      <c r="A250" s="11"/>
      <c r="B250" s="11"/>
      <c r="C250" s="11"/>
      <c r="D250" s="45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</row>
    <row r="251" spans="1:18" hidden="1" x14ac:dyDescent="0.35">
      <c r="A251" s="11"/>
      <c r="B251" s="11"/>
      <c r="C251" s="11"/>
      <c r="D251" s="45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</row>
    <row r="252" spans="1:18" hidden="1" x14ac:dyDescent="0.35">
      <c r="A252" s="11"/>
      <c r="B252" s="11"/>
      <c r="C252" s="11"/>
      <c r="D252" s="45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</row>
    <row r="253" spans="1:18" hidden="1" x14ac:dyDescent="0.35">
      <c r="A253" s="11"/>
      <c r="B253" s="11"/>
      <c r="C253" s="11"/>
      <c r="D253" s="45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</row>
    <row r="254" spans="1:18" hidden="1" x14ac:dyDescent="0.35">
      <c r="A254" s="11"/>
      <c r="B254" s="11"/>
      <c r="C254" s="11"/>
      <c r="D254" s="45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</row>
    <row r="255" spans="1:18" hidden="1" x14ac:dyDescent="0.35">
      <c r="A255" s="11"/>
      <c r="B255" s="11"/>
      <c r="C255" s="11"/>
      <c r="D255" s="45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</row>
    <row r="256" spans="1:18" hidden="1" x14ac:dyDescent="0.35">
      <c r="A256" s="11"/>
      <c r="B256" s="11"/>
      <c r="C256" s="11"/>
      <c r="D256" s="45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</row>
    <row r="257" spans="1:16" hidden="1" x14ac:dyDescent="0.35">
      <c r="A257" s="11"/>
      <c r="B257" s="11"/>
      <c r="C257" s="11"/>
      <c r="D257" s="45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</row>
    <row r="258" spans="1:16" hidden="1" x14ac:dyDescent="0.35">
      <c r="D258" s="45"/>
    </row>
    <row r="259" spans="1:16" hidden="1" x14ac:dyDescent="0.35">
      <c r="D259" s="45"/>
    </row>
    <row r="260" spans="1:16" hidden="1" x14ac:dyDescent="0.35">
      <c r="D260" s="45"/>
    </row>
    <row r="261" spans="1:16" hidden="1" x14ac:dyDescent="0.35">
      <c r="D261" s="45"/>
    </row>
    <row r="262" spans="1:16" hidden="1" x14ac:dyDescent="0.35">
      <c r="D262" s="45"/>
    </row>
    <row r="263" spans="1:16" hidden="1" x14ac:dyDescent="0.35">
      <c r="D263" s="45"/>
    </row>
    <row r="264" spans="1:16" hidden="1" x14ac:dyDescent="0.35">
      <c r="D264" s="45"/>
    </row>
    <row r="265" spans="1:16" hidden="1" x14ac:dyDescent="0.35">
      <c r="D265" s="45"/>
    </row>
    <row r="266" spans="1:16" hidden="1" x14ac:dyDescent="0.35">
      <c r="D266" s="45"/>
    </row>
    <row r="267" spans="1:16" hidden="1" x14ac:dyDescent="0.35">
      <c r="D267" s="45"/>
    </row>
    <row r="268" spans="1:16" hidden="1" x14ac:dyDescent="0.35">
      <c r="D268" s="45"/>
    </row>
    <row r="269" spans="1:16" hidden="1" x14ac:dyDescent="0.35">
      <c r="D269" s="45"/>
    </row>
    <row r="270" spans="1:16" hidden="1" x14ac:dyDescent="0.35">
      <c r="D270" s="45"/>
    </row>
    <row r="271" spans="1:16" hidden="1" x14ac:dyDescent="0.35">
      <c r="D271" s="45"/>
    </row>
    <row r="272" spans="1:16" hidden="1" x14ac:dyDescent="0.35">
      <c r="D272" s="45"/>
    </row>
    <row r="273" spans="1:18" hidden="1" x14ac:dyDescent="0.35">
      <c r="D273" s="45"/>
    </row>
    <row r="274" spans="1:18" hidden="1" x14ac:dyDescent="0.35">
      <c r="D274" s="45"/>
    </row>
    <row r="275" spans="1:18" hidden="1" x14ac:dyDescent="0.35">
      <c r="D275" s="45"/>
    </row>
    <row r="276" spans="1:18" hidden="1" x14ac:dyDescent="0.35">
      <c r="D276" s="45"/>
    </row>
    <row r="277" spans="1:18" hidden="1" x14ac:dyDescent="0.35"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</row>
    <row r="278" spans="1:18" hidden="1" x14ac:dyDescent="0.35">
      <c r="Q278" s="48"/>
      <c r="R278" s="48"/>
    </row>
    <row r="279" spans="1:18" hidden="1" x14ac:dyDescent="0.35"/>
    <row r="280" spans="1:18" hidden="1" x14ac:dyDescent="0.35"/>
    <row r="281" spans="1:18" hidden="1" x14ac:dyDescent="0.3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</row>
    <row r="282" spans="1:18" ht="16.5" hidden="1" thickTop="1" x14ac:dyDescent="0.35">
      <c r="A282" s="42"/>
      <c r="B282" s="42"/>
      <c r="C282" s="42"/>
      <c r="D282" s="42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2"/>
      <c r="R282" s="42"/>
    </row>
    <row r="283" spans="1:18" hidden="1" x14ac:dyDescent="0.35"/>
    <row r="284" spans="1:18" hidden="1" x14ac:dyDescent="0.35"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</row>
    <row r="285" spans="1:18" hidden="1" x14ac:dyDescent="0.35"/>
    <row r="286" spans="1:18" hidden="1" x14ac:dyDescent="0.35"/>
    <row r="287" spans="1:18" hidden="1" x14ac:dyDescent="0.35"/>
    <row r="288" spans="1:18" hidden="1" x14ac:dyDescent="0.35"/>
    <row r="289" spans="5:16" hidden="1" x14ac:dyDescent="0.35"/>
    <row r="290" spans="5:16" hidden="1" x14ac:dyDescent="0.35"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</row>
    <row r="337" spans="19:20" x14ac:dyDescent="0.35">
      <c r="S337" s="14"/>
      <c r="T337" s="385"/>
    </row>
    <row r="338" spans="19:20" x14ac:dyDescent="0.35">
      <c r="S338" s="9"/>
      <c r="T338" s="343"/>
    </row>
    <row r="374" spans="19:20" x14ac:dyDescent="0.35">
      <c r="S374" s="48"/>
      <c r="T374" s="347"/>
    </row>
  </sheetData>
  <sheetProtection formatColumns="0" selectLockedCells="1"/>
  <phoneticPr fontId="0" type="noConversion"/>
  <conditionalFormatting sqref="E173:Q173">
    <cfRule type="cellIs" dxfId="25" priority="1" operator="between">
      <formula>-1</formula>
      <formula>1</formula>
    </cfRule>
  </conditionalFormatting>
  <dataValidations disablePrompts="1" count="1">
    <dataValidation operator="notEqual" showInputMessage="1" showErrorMessage="1" sqref="E18:P18" xr:uid="{610B814A-5C08-428F-9469-7A25BDFEE26D}"/>
  </dataValidations>
  <printOptions horizontalCentered="1" verticalCentered="1"/>
  <pageMargins left="0.25" right="0.25" top="0" bottom="0" header="0.05" footer="0.25"/>
  <pageSetup scale="45" fitToHeight="0" orientation="landscape" r:id="rId1"/>
  <headerFooter>
    <oddHeader>&amp;R&amp;D</oddHeader>
    <oddFooter>Page &amp;P of &amp;N</oddFooter>
  </headerFooter>
  <rowBreaks count="1" manualBreakCount="1">
    <brk id="72" min="1" max="17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0"/>
    <pageSetUpPr fitToPage="1"/>
  </sheetPr>
  <dimension ref="A1:W311"/>
  <sheetViews>
    <sheetView view="pageBreakPreview" topLeftCell="A59" zoomScale="160" zoomScaleNormal="100" zoomScaleSheetLayoutView="160" workbookViewId="0">
      <selection activeCell="H2" sqref="H2"/>
    </sheetView>
  </sheetViews>
  <sheetFormatPr defaultColWidth="10.81640625" defaultRowHeight="16" outlineLevelCol="1" x14ac:dyDescent="0.35"/>
  <cols>
    <col min="1" max="1" width="15.54296875" style="7" bestFit="1" customWidth="1"/>
    <col min="2" max="2" width="9" style="7" customWidth="1"/>
    <col min="3" max="3" width="2.81640625" style="7" customWidth="1"/>
    <col min="4" max="4" width="37.81640625" style="7" customWidth="1"/>
    <col min="5" max="5" width="14" style="7" customWidth="1"/>
    <col min="6" max="8" width="12.81640625" style="7" customWidth="1"/>
    <col min="9" max="9" width="13.81640625" style="7" customWidth="1"/>
    <col min="10" max="10" width="13.1796875" style="7" customWidth="1"/>
    <col min="11" max="16" width="12.81640625" style="7" customWidth="1"/>
    <col min="17" max="18" width="15.1796875" style="7" bestFit="1" customWidth="1"/>
    <col min="19" max="19" width="14.1796875" style="7" hidden="1" customWidth="1" outlineLevel="1"/>
    <col min="20" max="20" width="12.81640625" style="320" hidden="1" customWidth="1" outlineLevel="1"/>
    <col min="21" max="21" width="10.81640625" style="24" collapsed="1"/>
    <col min="22" max="22" width="99.54296875" style="85" bestFit="1" customWidth="1"/>
    <col min="23" max="16384" width="10.81640625" style="7"/>
  </cols>
  <sheetData>
    <row r="1" spans="1:23" s="21" customFormat="1" ht="29" x14ac:dyDescent="0.25">
      <c r="B1" s="224">
        <v>3620</v>
      </c>
      <c r="C1" s="224"/>
      <c r="J1" s="22" t="str">
        <f>+'JV III Consolidated'!J1</f>
        <v>Operating Budget</v>
      </c>
      <c r="Q1" s="23">
        <f>'JV III Consolidated'!Q1</f>
        <v>46023</v>
      </c>
      <c r="R1" s="23"/>
      <c r="S1" s="23"/>
      <c r="T1" s="319"/>
      <c r="U1" s="261"/>
      <c r="V1" s="264"/>
    </row>
    <row r="2" spans="1:23" ht="18" x14ac:dyDescent="0.35">
      <c r="J2" s="51" t="str">
        <f>+'JV III Consolidated'!J2</f>
        <v>Lincoln JV III</v>
      </c>
    </row>
    <row r="3" spans="1:23" ht="18" x14ac:dyDescent="0.35">
      <c r="Q3" s="355">
        <f>Q1</f>
        <v>46023</v>
      </c>
      <c r="R3" s="356"/>
      <c r="S3" s="321" t="s">
        <v>479</v>
      </c>
      <c r="T3" s="322"/>
    </row>
    <row r="4" spans="1:23" s="12" customFormat="1" ht="18" x14ac:dyDescent="0.35">
      <c r="B4" s="225">
        <f>'Renew &amp; Vac - Rent, TI, LC'!A28</f>
        <v>49020</v>
      </c>
      <c r="C4" s="225"/>
      <c r="D4" s="14"/>
      <c r="E4" s="25" t="s">
        <v>0</v>
      </c>
      <c r="F4" s="25" t="s">
        <v>1</v>
      </c>
      <c r="G4" s="25" t="s">
        <v>2</v>
      </c>
      <c r="H4" s="25" t="s">
        <v>3</v>
      </c>
      <c r="I4" s="25" t="s">
        <v>4</v>
      </c>
      <c r="J4" s="25" t="s">
        <v>5</v>
      </c>
      <c r="K4" s="25" t="s">
        <v>6</v>
      </c>
      <c r="L4" s="25" t="s">
        <v>7</v>
      </c>
      <c r="M4" s="25" t="s">
        <v>8</v>
      </c>
      <c r="N4" s="25" t="s">
        <v>9</v>
      </c>
      <c r="O4" s="25" t="s">
        <v>10</v>
      </c>
      <c r="P4" s="25" t="s">
        <v>11</v>
      </c>
      <c r="Q4" s="120" t="s">
        <v>12</v>
      </c>
      <c r="R4" s="120" t="s">
        <v>338</v>
      </c>
      <c r="S4" s="323" t="s">
        <v>12</v>
      </c>
      <c r="T4" s="324" t="s">
        <v>480</v>
      </c>
      <c r="U4" s="262" t="s">
        <v>444</v>
      </c>
      <c r="V4" s="265" t="s">
        <v>303</v>
      </c>
      <c r="W4" s="25"/>
    </row>
    <row r="5" spans="1:23" x14ac:dyDescent="0.35">
      <c r="Q5" s="121"/>
      <c r="R5" s="121"/>
      <c r="S5" s="325"/>
      <c r="T5" s="326"/>
      <c r="U5" s="390"/>
      <c r="V5" s="391"/>
    </row>
    <row r="6" spans="1:23" s="26" customFormat="1" x14ac:dyDescent="0.35">
      <c r="B6" s="27"/>
      <c r="D6" s="219" t="s">
        <v>13</v>
      </c>
      <c r="E6" s="220">
        <f>'Renew &amp; Vac - Rent, TI, LC'!AH31</f>
        <v>0.42659999999999998</v>
      </c>
      <c r="F6" s="220">
        <f>'Renew &amp; Vac - Rent, TI, LC'!AI31</f>
        <v>0.42659999999999998</v>
      </c>
      <c r="G6" s="220">
        <f>'Renew &amp; Vac - Rent, TI, LC'!AJ31</f>
        <v>0.42659999999999998</v>
      </c>
      <c r="H6" s="220">
        <f>'Renew &amp; Vac - Rent, TI, LC'!AK31</f>
        <v>0.42659999999999998</v>
      </c>
      <c r="I6" s="220">
        <f>'Renew &amp; Vac - Rent, TI, LC'!AL31</f>
        <v>0.42659999999999998</v>
      </c>
      <c r="J6" s="220">
        <f>'Renew &amp; Vac - Rent, TI, LC'!AM31</f>
        <v>0.42659999999999998</v>
      </c>
      <c r="K6" s="220">
        <f>'Renew &amp; Vac - Rent, TI, LC'!AN31</f>
        <v>0.42659999999999998</v>
      </c>
      <c r="L6" s="220">
        <f>'Renew &amp; Vac - Rent, TI, LC'!AO31</f>
        <v>0.42659999999999998</v>
      </c>
      <c r="M6" s="220">
        <f>'Renew &amp; Vac - Rent, TI, LC'!AP31</f>
        <v>0.42659999999999998</v>
      </c>
      <c r="N6" s="220">
        <f>'Renew &amp; Vac - Rent, TI, LC'!AQ31</f>
        <v>0.42659999999999998</v>
      </c>
      <c r="O6" s="220">
        <f>'Renew &amp; Vac - Rent, TI, LC'!AR31</f>
        <v>0.42659999999999998</v>
      </c>
      <c r="P6" s="220">
        <f>'Renew &amp; Vac - Rent, TI, LC'!AS31</f>
        <v>0.40920000000000001</v>
      </c>
      <c r="Q6" s="122"/>
      <c r="R6" s="122"/>
      <c r="S6" s="327"/>
      <c r="T6" s="348"/>
      <c r="U6" s="392"/>
      <c r="V6" s="393"/>
    </row>
    <row r="7" spans="1:23" s="26" customFormat="1" x14ac:dyDescent="0.35">
      <c r="B7" s="27"/>
      <c r="D7" s="219" t="s">
        <v>343</v>
      </c>
      <c r="E7" s="221">
        <f>$B$4*E6</f>
        <v>20911.932000000001</v>
      </c>
      <c r="F7" s="221">
        <f t="shared" ref="F7:P7" si="0">$B$4*F6</f>
        <v>20911.932000000001</v>
      </c>
      <c r="G7" s="221">
        <f t="shared" si="0"/>
        <v>20911.932000000001</v>
      </c>
      <c r="H7" s="221">
        <f t="shared" si="0"/>
        <v>20911.932000000001</v>
      </c>
      <c r="I7" s="221">
        <f t="shared" si="0"/>
        <v>20911.932000000001</v>
      </c>
      <c r="J7" s="221">
        <f t="shared" si="0"/>
        <v>20911.932000000001</v>
      </c>
      <c r="K7" s="221">
        <f t="shared" si="0"/>
        <v>20911.932000000001</v>
      </c>
      <c r="L7" s="221">
        <f t="shared" si="0"/>
        <v>20911.932000000001</v>
      </c>
      <c r="M7" s="221">
        <f t="shared" si="0"/>
        <v>20911.932000000001</v>
      </c>
      <c r="N7" s="221">
        <f t="shared" si="0"/>
        <v>20911.932000000001</v>
      </c>
      <c r="O7" s="221">
        <f t="shared" si="0"/>
        <v>20911.932000000001</v>
      </c>
      <c r="P7" s="221">
        <f t="shared" si="0"/>
        <v>20058.984</v>
      </c>
      <c r="Q7" s="122"/>
      <c r="R7" s="122"/>
      <c r="S7" s="327"/>
      <c r="T7" s="348"/>
      <c r="U7" s="392"/>
      <c r="V7" s="393"/>
    </row>
    <row r="8" spans="1:23" ht="18" x14ac:dyDescent="0.35">
      <c r="B8" s="8" t="s">
        <v>14</v>
      </c>
      <c r="Q8" s="121"/>
      <c r="R8" s="121"/>
      <c r="S8" s="325"/>
      <c r="T8" s="357"/>
      <c r="U8" s="390"/>
      <c r="V8" s="391"/>
    </row>
    <row r="9" spans="1:23" x14ac:dyDescent="0.35">
      <c r="A9" s="72"/>
      <c r="Q9" s="121"/>
      <c r="R9" s="121"/>
      <c r="S9" s="325"/>
      <c r="T9" s="357"/>
      <c r="U9" s="390"/>
      <c r="V9" s="391"/>
    </row>
    <row r="10" spans="1:23" x14ac:dyDescent="0.35">
      <c r="A10" s="72" t="s">
        <v>131</v>
      </c>
      <c r="C10" s="7" t="s">
        <v>158</v>
      </c>
      <c r="E10" s="7">
        <f>SUMIFS('In Place Revenue'!$G:$G,'In Place Revenue'!$A:$A,$B$1,'In Place Revenue'!$H:$H,1)</f>
        <v>30972.100000000006</v>
      </c>
      <c r="F10" s="7">
        <f>SUMIFS('In Place Revenue'!$G:$G,'In Place Revenue'!$A:$A,$B$1,'In Place Revenue'!$H:$H,2)</f>
        <v>30972.100000000006</v>
      </c>
      <c r="G10" s="7">
        <f>SUMIFS('In Place Revenue'!$G:$G,'In Place Revenue'!$A:$A,$B$1,'In Place Revenue'!$H:$H,3)</f>
        <v>30972.100000000006</v>
      </c>
      <c r="H10" s="7">
        <f>SUMIFS('In Place Revenue'!$G:$G,'In Place Revenue'!$A:$A,$B$1,'In Place Revenue'!$H:$H,4)</f>
        <v>26791.430000000004</v>
      </c>
      <c r="I10" s="7">
        <f>SUMIFS('In Place Revenue'!$G:$G,'In Place Revenue'!$A:$A,$B$1,'In Place Revenue'!$H:$H,5)</f>
        <v>25362.260000000002</v>
      </c>
      <c r="J10" s="7">
        <f>SUMIFS('In Place Revenue'!$G:$G,'In Place Revenue'!$A:$A,$B$1,'In Place Revenue'!$H:$H,6)</f>
        <v>23467.010000000002</v>
      </c>
      <c r="K10" s="7">
        <f>SUMIFS('In Place Revenue'!$G:$G,'In Place Revenue'!$A:$A,$B$1,'In Place Revenue'!$H:$H,7)</f>
        <v>23467.010000000002</v>
      </c>
      <c r="L10" s="7">
        <f>SUMIFS('In Place Revenue'!$G:$G,'In Place Revenue'!$A:$A,$B$1,'In Place Revenue'!$H:$H,8)</f>
        <v>23485.55</v>
      </c>
      <c r="M10" s="7">
        <f>SUMIFS('In Place Revenue'!$G:$G,'In Place Revenue'!$A:$A,$B$1,'In Place Revenue'!$H:$H,9)</f>
        <v>23772.11</v>
      </c>
      <c r="N10" s="7">
        <f>SUMIFS('In Place Revenue'!$G:$G,'In Place Revenue'!$A:$A,$B$1,'In Place Revenue'!$H:$H,10)</f>
        <v>23772.11</v>
      </c>
      <c r="O10" s="7">
        <f>SUMIFS('In Place Revenue'!$G:$G,'In Place Revenue'!$A:$A,$B$1,'In Place Revenue'!$H:$H,11)</f>
        <v>23772.11</v>
      </c>
      <c r="P10" s="7">
        <f>SUMIFS('In Place Revenue'!$G:$G,'In Place Revenue'!$A:$A,$B$1,'In Place Revenue'!$H:$H,12)</f>
        <v>23772.11</v>
      </c>
      <c r="Q10" s="121">
        <f>SUM(E10:P10)</f>
        <v>310578</v>
      </c>
      <c r="R10" s="358">
        <f>Q10/$B$4</f>
        <v>6.3357405140758871</v>
      </c>
      <c r="S10" s="325">
        <v>403669.53</v>
      </c>
      <c r="T10" s="348">
        <f>IFERROR((Q10+Q11)/S10-1,"-")</f>
        <v>7.2897170778944975E-3</v>
      </c>
      <c r="U10" s="390" t="s">
        <v>304</v>
      </c>
      <c r="V10" s="391" t="s">
        <v>443</v>
      </c>
    </row>
    <row r="11" spans="1:23" x14ac:dyDescent="0.35">
      <c r="A11" s="72" t="s">
        <v>131</v>
      </c>
      <c r="C11" s="7" t="s">
        <v>159</v>
      </c>
      <c r="E11" s="7">
        <f>'Renew &amp; Vac - Rent, TI, LC'!AH32</f>
        <v>2962.875</v>
      </c>
      <c r="F11" s="7">
        <f>'Renew &amp; Vac - Rent, TI, LC'!AI32</f>
        <v>2962.875</v>
      </c>
      <c r="G11" s="7">
        <f>'Renew &amp; Vac - Rent, TI, LC'!AJ32</f>
        <v>2962.875</v>
      </c>
      <c r="H11" s="7">
        <f>'Renew &amp; Vac - Rent, TI, LC'!AK32</f>
        <v>7058.958333333333</v>
      </c>
      <c r="I11" s="7">
        <f>'Renew &amp; Vac - Rent, TI, LC'!AL32</f>
        <v>8569.7916666666661</v>
      </c>
      <c r="J11" s="7">
        <f>'Renew &amp; Vac - Rent, TI, LC'!AM32</f>
        <v>10415.166666666666</v>
      </c>
      <c r="K11" s="7">
        <f>'Renew &amp; Vac - Rent, TI, LC'!AN32</f>
        <v>10415.166666666666</v>
      </c>
      <c r="L11" s="7">
        <f>'Renew &amp; Vac - Rent, TI, LC'!AO32</f>
        <v>10415.166666666666</v>
      </c>
      <c r="M11" s="7">
        <f>'Renew &amp; Vac - Rent, TI, LC'!AP32</f>
        <v>10415.166666666666</v>
      </c>
      <c r="N11" s="7">
        <f>'Renew &amp; Vac - Rent, TI, LC'!AQ32</f>
        <v>10415.166666666666</v>
      </c>
      <c r="O11" s="7">
        <f>'Renew &amp; Vac - Rent, TI, LC'!AR32</f>
        <v>10415.166666666666</v>
      </c>
      <c r="P11" s="7">
        <f>'Renew &amp; Vac - Rent, TI, LC'!AS32</f>
        <v>9025.7916666666661</v>
      </c>
      <c r="Q11" s="121">
        <f>SUM(E11:P11)</f>
        <v>96034.166666666672</v>
      </c>
      <c r="R11" s="358">
        <f t="shared" ref="R11:R73" si="1">Q11/$B$4</f>
        <v>1.9590813273493812</v>
      </c>
      <c r="S11" s="325"/>
      <c r="T11" s="348" t="str">
        <f t="shared" ref="T11" si="2">IFERROR(Q11/S11-1,"-")</f>
        <v>-</v>
      </c>
      <c r="U11" s="390"/>
      <c r="V11" s="391"/>
    </row>
    <row r="12" spans="1:23" hidden="1" x14ac:dyDescent="0.35">
      <c r="A12" s="72" t="s">
        <v>96</v>
      </c>
      <c r="C12" s="7" t="s">
        <v>321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21">
        <f>SUM(E12:P12)</f>
        <v>0</v>
      </c>
      <c r="R12" s="358">
        <f t="shared" si="1"/>
        <v>0</v>
      </c>
      <c r="S12" s="325"/>
      <c r="T12" s="348" t="e">
        <f t="shared" ref="T12" si="3">R12/S12-1</f>
        <v>#DIV/0!</v>
      </c>
      <c r="U12" s="390"/>
      <c r="V12" s="391"/>
      <c r="W12" s="7">
        <f t="shared" ref="W12" si="4">G12-H12</f>
        <v>0</v>
      </c>
    </row>
    <row r="13" spans="1:23" x14ac:dyDescent="0.35">
      <c r="A13" s="72" t="s">
        <v>132</v>
      </c>
      <c r="C13" s="7" t="s">
        <v>16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21">
        <f>SUM(E13:P13)</f>
        <v>0</v>
      </c>
      <c r="R13" s="358">
        <f t="shared" si="1"/>
        <v>0</v>
      </c>
      <c r="S13" s="325"/>
      <c r="T13" s="348" t="str">
        <f t="shared" ref="T13:T14" si="5">IFERROR(Q13/S13-1,"-")</f>
        <v>-</v>
      </c>
      <c r="U13" s="390"/>
      <c r="V13" s="391"/>
    </row>
    <row r="14" spans="1:23" x14ac:dyDescent="0.35">
      <c r="A14" s="72" t="s">
        <v>133</v>
      </c>
      <c r="C14" s="7" t="s">
        <v>17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21">
        <f>SUM(E14:P14)</f>
        <v>0</v>
      </c>
      <c r="R14" s="358">
        <f t="shared" si="1"/>
        <v>0</v>
      </c>
      <c r="S14" s="325"/>
      <c r="T14" s="348" t="str">
        <f t="shared" si="5"/>
        <v>-</v>
      </c>
      <c r="U14" s="390"/>
      <c r="V14" s="391"/>
    </row>
    <row r="15" spans="1:23" x14ac:dyDescent="0.35">
      <c r="A15" s="72"/>
      <c r="C15" s="7" t="s">
        <v>18</v>
      </c>
      <c r="D15" s="14"/>
      <c r="E15" s="29">
        <f t="shared" ref="E15:Q15" si="6">SUM(E10:E14)</f>
        <v>33934.975000000006</v>
      </c>
      <c r="F15" s="29">
        <f t="shared" si="6"/>
        <v>33934.975000000006</v>
      </c>
      <c r="G15" s="29">
        <f t="shared" si="6"/>
        <v>33934.975000000006</v>
      </c>
      <c r="H15" s="29">
        <f t="shared" si="6"/>
        <v>33850.388333333336</v>
      </c>
      <c r="I15" s="29">
        <f t="shared" si="6"/>
        <v>33932.051666666666</v>
      </c>
      <c r="J15" s="29">
        <f t="shared" si="6"/>
        <v>33882.176666666666</v>
      </c>
      <c r="K15" s="29">
        <f>SUM(K10:K14)</f>
        <v>33882.176666666666</v>
      </c>
      <c r="L15" s="29">
        <f t="shared" si="6"/>
        <v>33900.716666666667</v>
      </c>
      <c r="M15" s="29">
        <f t="shared" si="6"/>
        <v>34187.276666666665</v>
      </c>
      <c r="N15" s="29">
        <f t="shared" si="6"/>
        <v>34187.276666666665</v>
      </c>
      <c r="O15" s="29">
        <f t="shared" si="6"/>
        <v>34187.276666666665</v>
      </c>
      <c r="P15" s="29">
        <f t="shared" si="6"/>
        <v>32797.901666666665</v>
      </c>
      <c r="Q15" s="130">
        <f t="shared" si="6"/>
        <v>406612.16666666669</v>
      </c>
      <c r="R15" s="359">
        <f t="shared" si="1"/>
        <v>8.2948218414252697</v>
      </c>
      <c r="S15" s="330">
        <f>SUM(S10:S14)</f>
        <v>403669.53</v>
      </c>
      <c r="T15" s="360">
        <f>IFERROR(Q15/S15-1,"-")</f>
        <v>7.2897170778944975E-3</v>
      </c>
      <c r="U15" s="390"/>
      <c r="V15" s="391"/>
    </row>
    <row r="16" spans="1:23" ht="18" x14ac:dyDescent="0.35">
      <c r="A16" s="72"/>
      <c r="Q16" s="123"/>
      <c r="R16" s="361"/>
      <c r="S16" s="331"/>
      <c r="T16" s="362"/>
      <c r="U16" s="390"/>
      <c r="V16" s="391"/>
    </row>
    <row r="17" spans="1:22" ht="18" x14ac:dyDescent="0.35">
      <c r="A17" s="72"/>
      <c r="B17" s="8" t="s">
        <v>19</v>
      </c>
      <c r="Q17" s="121"/>
      <c r="R17" s="358"/>
      <c r="S17" s="325"/>
      <c r="T17" s="348"/>
      <c r="U17" s="390"/>
      <c r="V17" s="391"/>
    </row>
    <row r="18" spans="1:22" x14ac:dyDescent="0.35">
      <c r="A18" s="72" t="s">
        <v>97</v>
      </c>
      <c r="C18" s="7" t="s">
        <v>20</v>
      </c>
      <c r="E18" s="7">
        <f>E6*E29</f>
        <v>2270.7918</v>
      </c>
      <c r="F18" s="7">
        <f t="shared" ref="F18:P18" si="7">F6*F29</f>
        <v>2138.5457999999999</v>
      </c>
      <c r="G18" s="7">
        <f t="shared" si="7"/>
        <v>1749.06</v>
      </c>
      <c r="H18" s="7">
        <f t="shared" si="7"/>
        <v>1174.8563999999999</v>
      </c>
      <c r="I18" s="7">
        <f t="shared" si="7"/>
        <v>1109.5865999999999</v>
      </c>
      <c r="J18" s="7">
        <f t="shared" si="7"/>
        <v>1199.1725999999999</v>
      </c>
      <c r="K18" s="7">
        <f t="shared" si="7"/>
        <v>1457.2655999999999</v>
      </c>
      <c r="L18" s="7">
        <f t="shared" si="7"/>
        <v>1546.8516</v>
      </c>
      <c r="M18" s="7">
        <f t="shared" si="7"/>
        <v>1285.7723999999998</v>
      </c>
      <c r="N18" s="7">
        <f t="shared" si="7"/>
        <v>1220.076</v>
      </c>
      <c r="O18" s="7">
        <f t="shared" si="7"/>
        <v>1347.2028</v>
      </c>
      <c r="P18" s="7">
        <f t="shared" si="7"/>
        <v>2027.586</v>
      </c>
      <c r="Q18" s="121">
        <f>SUM(E18:P18)</f>
        <v>18526.767599999999</v>
      </c>
      <c r="R18" s="358">
        <f t="shared" ref="R18" si="8">Q18/$B$4</f>
        <v>0.37794303549571601</v>
      </c>
      <c r="S18" s="325">
        <v>24752.02</v>
      </c>
      <c r="T18" s="348">
        <f t="shared" ref="T18:T21" si="9">IFERROR(Q18/S18-1,"-")</f>
        <v>-0.25150482263669793</v>
      </c>
      <c r="U18" s="284" t="s">
        <v>304</v>
      </c>
      <c r="V18" s="285" t="str">
        <f>Q18/Q29*100&amp;"% Set to occupancy"</f>
        <v>42.4623950860627% Set to occupancy</v>
      </c>
    </row>
    <row r="19" spans="1:22" x14ac:dyDescent="0.35">
      <c r="A19" s="72" t="s">
        <v>98</v>
      </c>
      <c r="C19" s="7" t="s">
        <v>21</v>
      </c>
      <c r="E19" s="7">
        <f>+'Tenant Recoveries'!G21</f>
        <v>1900</v>
      </c>
      <c r="F19" s="7">
        <f>+E19</f>
        <v>1900</v>
      </c>
      <c r="G19" s="7">
        <f t="shared" ref="G19:P20" si="10">+F19</f>
        <v>1900</v>
      </c>
      <c r="H19" s="7">
        <f t="shared" si="10"/>
        <v>1900</v>
      </c>
      <c r="I19" s="7">
        <f t="shared" si="10"/>
        <v>1900</v>
      </c>
      <c r="J19" s="7">
        <f t="shared" si="10"/>
        <v>1900</v>
      </c>
      <c r="K19" s="7">
        <f t="shared" si="10"/>
        <v>1900</v>
      </c>
      <c r="L19" s="7">
        <f t="shared" si="10"/>
        <v>1900</v>
      </c>
      <c r="M19" s="7">
        <f t="shared" si="10"/>
        <v>1900</v>
      </c>
      <c r="N19" s="7">
        <f t="shared" si="10"/>
        <v>1900</v>
      </c>
      <c r="O19" s="7">
        <f t="shared" si="10"/>
        <v>1900</v>
      </c>
      <c r="P19" s="7">
        <f t="shared" si="10"/>
        <v>1900</v>
      </c>
      <c r="Q19" s="121">
        <f>SUM(E19:P19)</f>
        <v>22800</v>
      </c>
      <c r="R19" s="358">
        <f t="shared" si="1"/>
        <v>0.46511627906976744</v>
      </c>
      <c r="S19" s="325">
        <v>20384</v>
      </c>
      <c r="T19" s="348">
        <f t="shared" si="9"/>
        <v>0.11852433281004715</v>
      </c>
      <c r="U19" s="390"/>
      <c r="V19" s="285">
        <f>Q19/(Q71-Q63-Q58-Q29)</f>
        <v>0.11547063750289657</v>
      </c>
    </row>
    <row r="20" spans="1:22" x14ac:dyDescent="0.35">
      <c r="A20" s="72" t="s">
        <v>99</v>
      </c>
      <c r="C20" s="7" t="s">
        <v>22</v>
      </c>
      <c r="E20" s="7">
        <f>+'Tenant Recoveries'!G22</f>
        <v>200</v>
      </c>
      <c r="F20" s="7">
        <f>+E20</f>
        <v>200</v>
      </c>
      <c r="G20" s="7">
        <f t="shared" si="10"/>
        <v>200</v>
      </c>
      <c r="H20" s="7">
        <f t="shared" si="10"/>
        <v>200</v>
      </c>
      <c r="I20" s="7">
        <f t="shared" si="10"/>
        <v>200</v>
      </c>
      <c r="J20" s="7">
        <f t="shared" si="10"/>
        <v>200</v>
      </c>
      <c r="K20" s="7">
        <f t="shared" si="10"/>
        <v>200</v>
      </c>
      <c r="L20" s="7">
        <f t="shared" si="10"/>
        <v>200</v>
      </c>
      <c r="M20" s="7">
        <f t="shared" si="10"/>
        <v>200</v>
      </c>
      <c r="N20" s="7">
        <f t="shared" si="10"/>
        <v>200</v>
      </c>
      <c r="O20" s="7">
        <f t="shared" si="10"/>
        <v>200</v>
      </c>
      <c r="P20" s="7">
        <f t="shared" si="10"/>
        <v>200</v>
      </c>
      <c r="Q20" s="121">
        <f>SUM(E20:P20)</f>
        <v>2400</v>
      </c>
      <c r="R20" s="358">
        <f t="shared" si="1"/>
        <v>4.8959608323133418E-2</v>
      </c>
      <c r="S20" s="325">
        <v>2760</v>
      </c>
      <c r="T20" s="348">
        <f t="shared" si="9"/>
        <v>-0.13043478260869568</v>
      </c>
      <c r="U20" s="390"/>
      <c r="V20" s="285">
        <f>Q20/Q58</f>
        <v>5.6345443623019381E-2</v>
      </c>
    </row>
    <row r="21" spans="1:22" x14ac:dyDescent="0.35">
      <c r="A21" s="72" t="s">
        <v>134</v>
      </c>
      <c r="C21" s="7" t="s">
        <v>23</v>
      </c>
      <c r="Q21" s="121">
        <f>SUM(E21:P21)</f>
        <v>0</v>
      </c>
      <c r="R21" s="358">
        <f t="shared" si="1"/>
        <v>0</v>
      </c>
      <c r="S21" s="325"/>
      <c r="T21" s="363" t="str">
        <f t="shared" si="9"/>
        <v>-</v>
      </c>
      <c r="U21" s="390"/>
      <c r="V21" s="391"/>
    </row>
    <row r="22" spans="1:22" x14ac:dyDescent="0.35">
      <c r="A22" s="72"/>
      <c r="C22" s="7" t="s">
        <v>24</v>
      </c>
      <c r="D22" s="14"/>
      <c r="E22" s="29">
        <f t="shared" ref="E22:Q22" si="11">SUM(E18:E21)</f>
        <v>4370.7918</v>
      </c>
      <c r="F22" s="29">
        <f t="shared" si="11"/>
        <v>4238.5457999999999</v>
      </c>
      <c r="G22" s="29">
        <f t="shared" si="11"/>
        <v>3849.06</v>
      </c>
      <c r="H22" s="29">
        <f t="shared" si="11"/>
        <v>3274.8563999999997</v>
      </c>
      <c r="I22" s="29">
        <f t="shared" si="11"/>
        <v>3209.5865999999996</v>
      </c>
      <c r="J22" s="29">
        <f t="shared" si="11"/>
        <v>3299.1725999999999</v>
      </c>
      <c r="K22" s="29">
        <f t="shared" si="11"/>
        <v>3557.2655999999997</v>
      </c>
      <c r="L22" s="29">
        <f t="shared" si="11"/>
        <v>3646.8516</v>
      </c>
      <c r="M22" s="29">
        <f t="shared" si="11"/>
        <v>3385.7723999999998</v>
      </c>
      <c r="N22" s="29">
        <f t="shared" si="11"/>
        <v>3320.076</v>
      </c>
      <c r="O22" s="29">
        <f t="shared" si="11"/>
        <v>3447.2028</v>
      </c>
      <c r="P22" s="29">
        <f t="shared" si="11"/>
        <v>4127.5860000000002</v>
      </c>
      <c r="Q22" s="130">
        <f t="shared" si="11"/>
        <v>43726.767599999999</v>
      </c>
      <c r="R22" s="359">
        <f t="shared" si="1"/>
        <v>0.89201892288861684</v>
      </c>
      <c r="S22" s="330">
        <f>SUM(S18:S21)</f>
        <v>47896.020000000004</v>
      </c>
      <c r="T22" s="360">
        <f>IFERROR(Q22/S22-1,"-")</f>
        <v>-8.7047992714217259E-2</v>
      </c>
      <c r="U22" s="390"/>
      <c r="V22" s="391"/>
    </row>
    <row r="23" spans="1:22" ht="16.5" thickBot="1" x14ac:dyDescent="0.4">
      <c r="A23" s="72"/>
      <c r="Q23" s="121"/>
      <c r="R23" s="358">
        <f t="shared" si="1"/>
        <v>0</v>
      </c>
      <c r="S23" s="325"/>
      <c r="T23" s="348"/>
      <c r="U23" s="390"/>
      <c r="V23" s="391"/>
    </row>
    <row r="24" spans="1:22" s="10" customFormat="1" ht="18" thickBot="1" x14ac:dyDescent="0.4">
      <c r="A24" s="253"/>
      <c r="B24" s="254" t="s">
        <v>25</v>
      </c>
      <c r="C24" s="255"/>
      <c r="D24" s="255"/>
      <c r="E24" s="255">
        <f t="shared" ref="E24:Q24" si="12">+E15+E22</f>
        <v>38305.766800000005</v>
      </c>
      <c r="F24" s="255">
        <f t="shared" si="12"/>
        <v>38173.520800000006</v>
      </c>
      <c r="G24" s="255">
        <f t="shared" si="12"/>
        <v>37784.035000000003</v>
      </c>
      <c r="H24" s="255">
        <f t="shared" si="12"/>
        <v>37125.244733333333</v>
      </c>
      <c r="I24" s="255">
        <f t="shared" si="12"/>
        <v>37141.638266666669</v>
      </c>
      <c r="J24" s="255">
        <f t="shared" si="12"/>
        <v>37181.349266666664</v>
      </c>
      <c r="K24" s="255">
        <f t="shared" si="12"/>
        <v>37439.442266666665</v>
      </c>
      <c r="L24" s="255">
        <f t="shared" si="12"/>
        <v>37547.568266666669</v>
      </c>
      <c r="M24" s="255">
        <f t="shared" si="12"/>
        <v>37573.049066666666</v>
      </c>
      <c r="N24" s="255">
        <f t="shared" si="12"/>
        <v>37507.352666666666</v>
      </c>
      <c r="O24" s="255">
        <f t="shared" si="12"/>
        <v>37634.479466666664</v>
      </c>
      <c r="P24" s="255">
        <f t="shared" si="12"/>
        <v>36925.487666666668</v>
      </c>
      <c r="Q24" s="364">
        <f t="shared" si="12"/>
        <v>450338.93426666671</v>
      </c>
      <c r="R24" s="365">
        <f t="shared" si="1"/>
        <v>9.186840764313887</v>
      </c>
      <c r="S24" s="333">
        <f>+S15+S22</f>
        <v>451565.55000000005</v>
      </c>
      <c r="T24" s="366">
        <f t="shared" ref="T24" si="13">IFERROR(Q24/S24-1,"-")</f>
        <v>-2.7163625155491866E-3</v>
      </c>
      <c r="U24" s="394"/>
      <c r="V24" s="437"/>
    </row>
    <row r="25" spans="1:22" ht="18" x14ac:dyDescent="0.35">
      <c r="A25" s="72"/>
      <c r="Q25" s="123"/>
      <c r="R25" s="361"/>
      <c r="S25" s="331"/>
      <c r="T25" s="362"/>
      <c r="U25" s="390"/>
      <c r="V25" s="391"/>
    </row>
    <row r="26" spans="1:22" ht="18" x14ac:dyDescent="0.35">
      <c r="A26" s="72"/>
      <c r="B26" s="8" t="s">
        <v>26</v>
      </c>
      <c r="Q26" s="121"/>
      <c r="R26" s="358"/>
      <c r="S26" s="325"/>
      <c r="T26" s="348"/>
      <c r="U26" s="390"/>
      <c r="V26" s="391"/>
    </row>
    <row r="27" spans="1:22" x14ac:dyDescent="0.35">
      <c r="A27" s="72" t="s">
        <v>100</v>
      </c>
      <c r="C27" s="7" t="s">
        <v>27</v>
      </c>
      <c r="E27" s="7">
        <f>'Allocated Expenses'!E5</f>
        <v>1376.0833333333333</v>
      </c>
      <c r="F27" s="7">
        <f>'Allocated Expenses'!F5</f>
        <v>1376.0833333333333</v>
      </c>
      <c r="G27" s="7">
        <f>'Allocated Expenses'!G5</f>
        <v>1376.0833333333333</v>
      </c>
      <c r="H27" s="7">
        <f>'Allocated Expenses'!H5</f>
        <v>1376.0833333333333</v>
      </c>
      <c r="I27" s="7">
        <f>'Allocated Expenses'!I5</f>
        <v>1376.0833333333333</v>
      </c>
      <c r="J27" s="7">
        <f>'Allocated Expenses'!J5</f>
        <v>1376.0833333333333</v>
      </c>
      <c r="K27" s="7">
        <f>'Allocated Expenses'!K5</f>
        <v>1376.0833333333333</v>
      </c>
      <c r="L27" s="7">
        <f>'Allocated Expenses'!L5</f>
        <v>1376.0833333333333</v>
      </c>
      <c r="M27" s="7">
        <f>'Allocated Expenses'!M5</f>
        <v>1376.0833333333333</v>
      </c>
      <c r="N27" s="7">
        <f>'Allocated Expenses'!N5</f>
        <v>1376.0833333333333</v>
      </c>
      <c r="O27" s="7">
        <f>'Allocated Expenses'!O5</f>
        <v>1376.0833333333333</v>
      </c>
      <c r="P27" s="7">
        <f>'Allocated Expenses'!P5</f>
        <v>1376.0833333333333</v>
      </c>
      <c r="Q27" s="121">
        <f>SUM(E27:P27)</f>
        <v>16513.000000000004</v>
      </c>
      <c r="R27" s="358">
        <f t="shared" si="1"/>
        <v>0.3368625050999593</v>
      </c>
      <c r="S27" s="325">
        <v>10684.65</v>
      </c>
      <c r="T27" s="348">
        <f>IFERROR(Q27/S27-1,"-")</f>
        <v>0.54548815356609759</v>
      </c>
      <c r="U27" s="390"/>
      <c r="V27" s="391"/>
    </row>
    <row r="28" spans="1:22" x14ac:dyDescent="0.35">
      <c r="A28" s="72"/>
      <c r="Q28" s="121"/>
      <c r="R28" s="358"/>
      <c r="S28" s="325"/>
      <c r="T28" s="348"/>
      <c r="U28" s="390"/>
      <c r="V28" s="391"/>
    </row>
    <row r="29" spans="1:22" x14ac:dyDescent="0.35">
      <c r="A29" s="72" t="s">
        <v>101</v>
      </c>
      <c r="C29" s="7" t="s">
        <v>20</v>
      </c>
      <c r="E29" s="13">
        <v>5323</v>
      </c>
      <c r="F29" s="13">
        <v>5013</v>
      </c>
      <c r="G29" s="13">
        <v>4100</v>
      </c>
      <c r="H29" s="13">
        <v>2754</v>
      </c>
      <c r="I29" s="13">
        <v>2601</v>
      </c>
      <c r="J29" s="13">
        <v>2811</v>
      </c>
      <c r="K29" s="13">
        <v>3416</v>
      </c>
      <c r="L29" s="13">
        <v>3626</v>
      </c>
      <c r="M29" s="13">
        <v>3014</v>
      </c>
      <c r="N29" s="13">
        <v>2860</v>
      </c>
      <c r="O29" s="13">
        <v>3158</v>
      </c>
      <c r="P29" s="13">
        <v>4955</v>
      </c>
      <c r="Q29" s="121">
        <f>SUM(E29:P29)</f>
        <v>43631</v>
      </c>
      <c r="R29" s="358">
        <f t="shared" si="1"/>
        <v>0.89006527947776415</v>
      </c>
      <c r="S29" s="325">
        <v>41563.409999999996</v>
      </c>
      <c r="T29" s="348">
        <f>IFERROR(Q29/S29-1,"-")</f>
        <v>4.97454371525341E-2</v>
      </c>
      <c r="U29" s="390" t="s">
        <v>304</v>
      </c>
      <c r="V29" s="11" t="s">
        <v>513</v>
      </c>
    </row>
    <row r="30" spans="1:22" x14ac:dyDescent="0.35">
      <c r="A30" s="72"/>
      <c r="Q30" s="121"/>
      <c r="R30" s="358"/>
      <c r="S30" s="325"/>
      <c r="T30" s="348"/>
      <c r="U30" s="390"/>
      <c r="V30" s="391"/>
    </row>
    <row r="31" spans="1:22" x14ac:dyDescent="0.35">
      <c r="A31" s="72" t="s">
        <v>102</v>
      </c>
      <c r="C31" s="7" t="s">
        <v>28</v>
      </c>
      <c r="E31" s="7">
        <f>'Water Sewer'!D14</f>
        <v>1320.46</v>
      </c>
      <c r="F31" s="7">
        <f>'Water Sewer'!E14</f>
        <v>1207.1600000000001</v>
      </c>
      <c r="G31" s="7">
        <f>'Water Sewer'!F14</f>
        <v>1658.3000000000002</v>
      </c>
      <c r="H31" s="7">
        <f>'Water Sewer'!G14</f>
        <v>259.56</v>
      </c>
      <c r="I31" s="7">
        <f>'Water Sewer'!H14</f>
        <v>259.56</v>
      </c>
      <c r="J31" s="7">
        <f>'Water Sewer'!I14</f>
        <v>445.99</v>
      </c>
      <c r="K31" s="7">
        <f>'Water Sewer'!J14</f>
        <v>616.97</v>
      </c>
      <c r="L31" s="7">
        <f>'Water Sewer'!K14</f>
        <v>697.31</v>
      </c>
      <c r="M31" s="7">
        <f>'Water Sewer'!L14</f>
        <v>762.2</v>
      </c>
      <c r="N31" s="7">
        <f>'Water Sewer'!M14</f>
        <v>1326.64</v>
      </c>
      <c r="O31" s="7">
        <f>'Water Sewer'!N14</f>
        <v>253.38</v>
      </c>
      <c r="P31" s="7">
        <f>'Water Sewer'!O14</f>
        <v>1413.16</v>
      </c>
      <c r="Q31" s="121">
        <f>SUM(E31:P31)</f>
        <v>10220.69</v>
      </c>
      <c r="R31" s="358">
        <f t="shared" si="1"/>
        <v>0.20850040799673603</v>
      </c>
      <c r="S31" s="325">
        <v>9618.34</v>
      </c>
      <c r="T31" s="348">
        <f>IFERROR(Q31/S31-1,"-")</f>
        <v>6.2625151533424628E-2</v>
      </c>
      <c r="U31" s="390"/>
      <c r="V31" s="391" t="s">
        <v>561</v>
      </c>
    </row>
    <row r="32" spans="1:22" x14ac:dyDescent="0.35">
      <c r="A32" s="72"/>
      <c r="Q32" s="121"/>
      <c r="R32" s="358"/>
      <c r="S32" s="325"/>
      <c r="T32" s="348"/>
      <c r="U32" s="390"/>
      <c r="V32" s="391"/>
    </row>
    <row r="33" spans="1:22" x14ac:dyDescent="0.35">
      <c r="A33" s="72"/>
      <c r="D33" s="53" t="s">
        <v>29</v>
      </c>
      <c r="E33" s="47">
        <f>'Building Maint'!C14</f>
        <v>1931</v>
      </c>
      <c r="F33" s="47">
        <f>'Building Maint'!D14</f>
        <v>1756</v>
      </c>
      <c r="G33" s="47">
        <f>'Building Maint'!E14</f>
        <v>1006</v>
      </c>
      <c r="H33" s="47">
        <f>'Building Maint'!F14</f>
        <v>2792</v>
      </c>
      <c r="I33" s="47">
        <f>'Building Maint'!G14</f>
        <v>1756</v>
      </c>
      <c r="J33" s="47">
        <f>'Building Maint'!H14</f>
        <v>1006</v>
      </c>
      <c r="K33" s="47">
        <f>'Building Maint'!I14</f>
        <v>1931</v>
      </c>
      <c r="L33" s="47">
        <f>'Building Maint'!J14</f>
        <v>1756</v>
      </c>
      <c r="M33" s="47">
        <f>'Building Maint'!K14</f>
        <v>1006</v>
      </c>
      <c r="N33" s="47">
        <f>'Building Maint'!L14</f>
        <v>2792</v>
      </c>
      <c r="O33" s="47">
        <f>'Building Maint'!M14</f>
        <v>1756</v>
      </c>
      <c r="P33" s="47">
        <f>'Building Maint'!N14</f>
        <v>1006</v>
      </c>
      <c r="Q33" s="367">
        <f>SUM(E33:P33)</f>
        <v>20494</v>
      </c>
      <c r="R33" s="368">
        <f t="shared" si="1"/>
        <v>0.41807425540595677</v>
      </c>
      <c r="S33" s="325"/>
      <c r="T33" s="348"/>
      <c r="U33" s="390"/>
      <c r="V33" s="391"/>
    </row>
    <row r="34" spans="1:22" x14ac:dyDescent="0.35">
      <c r="A34" s="72"/>
      <c r="D34" s="54" t="s">
        <v>30</v>
      </c>
      <c r="E34" s="7">
        <f>'Building Maint'!C7</f>
        <v>2115</v>
      </c>
      <c r="F34" s="7">
        <f>'Building Maint'!D7</f>
        <v>2090</v>
      </c>
      <c r="G34" s="7">
        <f>'Building Maint'!E7</f>
        <v>1815</v>
      </c>
      <c r="H34" s="7">
        <f>'Building Maint'!F7</f>
        <v>2215</v>
      </c>
      <c r="I34" s="7">
        <f>'Building Maint'!G7</f>
        <v>4290</v>
      </c>
      <c r="J34" s="7">
        <f>'Building Maint'!H7</f>
        <v>1965</v>
      </c>
      <c r="K34" s="7">
        <f>'Building Maint'!I7</f>
        <v>2115</v>
      </c>
      <c r="L34" s="7">
        <f>'Building Maint'!J7</f>
        <v>1690</v>
      </c>
      <c r="M34" s="7">
        <f>'Building Maint'!K7</f>
        <v>3795</v>
      </c>
      <c r="N34" s="7">
        <f>'Building Maint'!L7</f>
        <v>2115</v>
      </c>
      <c r="O34" s="7">
        <f>'Building Maint'!M7</f>
        <v>2190</v>
      </c>
      <c r="P34" s="7">
        <f>'Building Maint'!N7</f>
        <v>1790</v>
      </c>
      <c r="Q34" s="121">
        <f>SUM(E34:P34)</f>
        <v>28185</v>
      </c>
      <c r="R34" s="369">
        <f t="shared" si="1"/>
        <v>0.57496940024479803</v>
      </c>
      <c r="S34" s="325"/>
      <c r="T34" s="348"/>
      <c r="U34" s="390"/>
      <c r="V34" s="391"/>
    </row>
    <row r="35" spans="1:22" x14ac:dyDescent="0.35">
      <c r="A35" s="72"/>
      <c r="D35" s="55" t="s">
        <v>31</v>
      </c>
      <c r="E35" s="15"/>
      <c r="F35" s="15">
        <f>1.03*1500</f>
        <v>1545</v>
      </c>
      <c r="G35" s="15"/>
      <c r="H35" s="15"/>
      <c r="I35" s="15"/>
      <c r="J35" s="15">
        <f>1.03*15000</f>
        <v>15450</v>
      </c>
      <c r="K35" s="15"/>
      <c r="L35" s="15"/>
      <c r="M35" s="15"/>
      <c r="N35" s="15">
        <f>1.03*1500</f>
        <v>1545</v>
      </c>
      <c r="O35" s="15"/>
      <c r="P35" s="15"/>
      <c r="Q35" s="128">
        <f>SUM(E35:P35)</f>
        <v>18540</v>
      </c>
      <c r="R35" s="370">
        <f t="shared" si="1"/>
        <v>0.37821297429620565</v>
      </c>
      <c r="S35" s="325"/>
      <c r="T35" s="348"/>
      <c r="U35" s="390"/>
      <c r="V35" s="391"/>
    </row>
    <row r="36" spans="1:22" x14ac:dyDescent="0.35">
      <c r="A36" s="72" t="s">
        <v>103</v>
      </c>
      <c r="C36" s="7" t="s">
        <v>32</v>
      </c>
      <c r="E36" s="16">
        <f t="shared" ref="E36:Q36" si="14">SUM(E33:E35)</f>
        <v>4046</v>
      </c>
      <c r="F36" s="16">
        <f t="shared" si="14"/>
        <v>5391</v>
      </c>
      <c r="G36" s="16">
        <f t="shared" si="14"/>
        <v>2821</v>
      </c>
      <c r="H36" s="16">
        <f t="shared" si="14"/>
        <v>5007</v>
      </c>
      <c r="I36" s="16">
        <f t="shared" si="14"/>
        <v>6046</v>
      </c>
      <c r="J36" s="16">
        <f t="shared" si="14"/>
        <v>18421</v>
      </c>
      <c r="K36" s="16">
        <f t="shared" si="14"/>
        <v>4046</v>
      </c>
      <c r="L36" s="16">
        <f t="shared" si="14"/>
        <v>3446</v>
      </c>
      <c r="M36" s="16">
        <f t="shared" si="14"/>
        <v>4801</v>
      </c>
      <c r="N36" s="16">
        <f>SUM(N33:N35)</f>
        <v>6452</v>
      </c>
      <c r="O36" s="16">
        <f t="shared" si="14"/>
        <v>3946</v>
      </c>
      <c r="P36" s="16">
        <f t="shared" si="14"/>
        <v>2796</v>
      </c>
      <c r="Q36" s="128">
        <f t="shared" si="14"/>
        <v>67219</v>
      </c>
      <c r="R36" s="371">
        <f t="shared" si="1"/>
        <v>1.3712566299469604</v>
      </c>
      <c r="S36" s="330">
        <v>42613.279999999999</v>
      </c>
      <c r="T36" s="360">
        <f>IFERROR(Q36/S36-1,"-")</f>
        <v>0.57741905809644312</v>
      </c>
      <c r="U36" s="390"/>
      <c r="V36" s="391"/>
    </row>
    <row r="37" spans="1:22" x14ac:dyDescent="0.35">
      <c r="A37" s="72"/>
      <c r="Q37" s="121"/>
      <c r="R37" s="358"/>
      <c r="S37" s="325"/>
      <c r="T37" s="348"/>
      <c r="U37" s="390"/>
      <c r="V37" s="391"/>
    </row>
    <row r="38" spans="1:22" hidden="1" x14ac:dyDescent="0.35">
      <c r="A38" s="72" t="s">
        <v>271</v>
      </c>
      <c r="B38" s="7" t="s">
        <v>33</v>
      </c>
      <c r="C38" s="7" t="s">
        <v>34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21">
        <f>SUM(E38:P38)</f>
        <v>0</v>
      </c>
      <c r="R38" s="358">
        <f t="shared" si="1"/>
        <v>0</v>
      </c>
      <c r="S38" s="325"/>
      <c r="T38" s="348"/>
      <c r="U38" s="390"/>
      <c r="V38" s="391"/>
    </row>
    <row r="39" spans="1:22" hidden="1" x14ac:dyDescent="0.35">
      <c r="A39" s="72"/>
      <c r="Q39" s="121"/>
      <c r="R39" s="358"/>
      <c r="S39" s="325"/>
      <c r="T39" s="348"/>
      <c r="U39" s="390"/>
      <c r="V39" s="391"/>
    </row>
    <row r="40" spans="1:22" x14ac:dyDescent="0.35">
      <c r="A40" s="72"/>
      <c r="D40" s="53" t="s">
        <v>35</v>
      </c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367">
        <f>SUM(E40:P40)</f>
        <v>0</v>
      </c>
      <c r="R40" s="368">
        <f t="shared" si="1"/>
        <v>0</v>
      </c>
      <c r="S40" s="325"/>
      <c r="T40" s="348"/>
      <c r="U40" s="390"/>
      <c r="V40" s="391"/>
    </row>
    <row r="41" spans="1:22" x14ac:dyDescent="0.35">
      <c r="A41" s="72"/>
      <c r="D41" s="54" t="s">
        <v>36</v>
      </c>
      <c r="E41" s="7">
        <f>'Parking Lot Maint'!C7</f>
        <v>0</v>
      </c>
      <c r="F41" s="7">
        <f>'Parking Lot Maint'!D7</f>
        <v>0</v>
      </c>
      <c r="G41" s="7">
        <f>'Parking Lot Maint'!E7</f>
        <v>0</v>
      </c>
      <c r="H41" s="7">
        <f>'Parking Lot Maint'!F7</f>
        <v>0</v>
      </c>
      <c r="I41" s="7">
        <f>'Parking Lot Maint'!G7</f>
        <v>0</v>
      </c>
      <c r="J41" s="7">
        <f>'Parking Lot Maint'!H7</f>
        <v>0</v>
      </c>
      <c r="K41" s="7">
        <f>'Parking Lot Maint'!I7</f>
        <v>0</v>
      </c>
      <c r="L41" s="7">
        <f>'Parking Lot Maint'!J7</f>
        <v>0</v>
      </c>
      <c r="M41" s="7">
        <f>'Parking Lot Maint'!K7</f>
        <v>0</v>
      </c>
      <c r="N41" s="7">
        <f>'Parking Lot Maint'!L7</f>
        <v>0</v>
      </c>
      <c r="O41" s="7">
        <f>'Parking Lot Maint'!M7</f>
        <v>0</v>
      </c>
      <c r="P41" s="7">
        <f>'Parking Lot Maint'!N7</f>
        <v>0</v>
      </c>
      <c r="Q41" s="121">
        <f>SUM(E41:P41)</f>
        <v>0</v>
      </c>
      <c r="R41" s="369">
        <f t="shared" si="1"/>
        <v>0</v>
      </c>
      <c r="S41" s="325"/>
      <c r="T41" s="348"/>
      <c r="U41" s="390"/>
      <c r="V41" s="391"/>
    </row>
    <row r="42" spans="1:22" x14ac:dyDescent="0.35">
      <c r="A42" s="72"/>
      <c r="D42" s="55" t="s">
        <v>37</v>
      </c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28">
        <f>SUM(E42:P42)</f>
        <v>0</v>
      </c>
      <c r="R42" s="370">
        <f t="shared" si="1"/>
        <v>0</v>
      </c>
      <c r="S42" s="325"/>
      <c r="T42" s="348"/>
      <c r="U42" s="390"/>
      <c r="V42" s="391"/>
    </row>
    <row r="43" spans="1:22" x14ac:dyDescent="0.35">
      <c r="A43" s="72" t="s">
        <v>135</v>
      </c>
      <c r="C43" s="7" t="s">
        <v>38</v>
      </c>
      <c r="E43" s="52">
        <f t="shared" ref="E43:Q43" si="15">SUM(E40:E42)</f>
        <v>0</v>
      </c>
      <c r="F43" s="52">
        <f t="shared" si="15"/>
        <v>0</v>
      </c>
      <c r="G43" s="52">
        <f t="shared" si="15"/>
        <v>0</v>
      </c>
      <c r="H43" s="52">
        <f t="shared" si="15"/>
        <v>0</v>
      </c>
      <c r="I43" s="52">
        <f t="shared" si="15"/>
        <v>0</v>
      </c>
      <c r="J43" s="52">
        <f t="shared" si="15"/>
        <v>0</v>
      </c>
      <c r="K43" s="52">
        <f t="shared" si="15"/>
        <v>0</v>
      </c>
      <c r="L43" s="52">
        <f t="shared" si="15"/>
        <v>0</v>
      </c>
      <c r="M43" s="52">
        <f>SUM(M40:M42)</f>
        <v>0</v>
      </c>
      <c r="N43" s="52">
        <f t="shared" si="15"/>
        <v>0</v>
      </c>
      <c r="O43" s="52">
        <f t="shared" si="15"/>
        <v>0</v>
      </c>
      <c r="P43" s="52">
        <f t="shared" si="15"/>
        <v>0</v>
      </c>
      <c r="Q43" s="127">
        <f t="shared" si="15"/>
        <v>0</v>
      </c>
      <c r="R43" s="372">
        <f t="shared" si="1"/>
        <v>0</v>
      </c>
      <c r="S43" s="330">
        <v>400</v>
      </c>
      <c r="T43" s="360">
        <f>IFERROR(Q43/S43-1,"-")</f>
        <v>-1</v>
      </c>
      <c r="U43" s="390"/>
      <c r="V43" s="391"/>
    </row>
    <row r="44" spans="1:22" x14ac:dyDescent="0.35">
      <c r="A44" s="72"/>
      <c r="Q44" s="121"/>
      <c r="R44" s="358"/>
      <c r="S44" s="325"/>
      <c r="T44" s="348"/>
      <c r="U44" s="390"/>
      <c r="V44" s="391"/>
    </row>
    <row r="45" spans="1:22" x14ac:dyDescent="0.35">
      <c r="A45" s="72" t="s">
        <v>105</v>
      </c>
      <c r="C45" s="7" t="s">
        <v>39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21">
        <f>SUM(E45:P45)</f>
        <v>0</v>
      </c>
      <c r="R45" s="358">
        <f t="shared" si="1"/>
        <v>0</v>
      </c>
      <c r="S45" s="325"/>
      <c r="T45" s="348" t="str">
        <f>IFERROR(Q45/S45-1,"-")</f>
        <v>-</v>
      </c>
      <c r="U45" s="390"/>
      <c r="V45" s="391"/>
    </row>
    <row r="46" spans="1:22" x14ac:dyDescent="0.35">
      <c r="A46" s="72"/>
      <c r="Q46" s="121">
        <f>SUM(E46:P46)</f>
        <v>0</v>
      </c>
      <c r="R46" s="358"/>
      <c r="S46" s="325"/>
      <c r="T46" s="348"/>
      <c r="U46" s="390"/>
      <c r="V46" s="391"/>
    </row>
    <row r="47" spans="1:22" x14ac:dyDescent="0.35">
      <c r="A47" s="72"/>
      <c r="D47" s="53" t="s">
        <v>40</v>
      </c>
      <c r="E47" s="76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367">
        <f>SUM(E47:P47)</f>
        <v>0</v>
      </c>
      <c r="R47" s="368">
        <f t="shared" si="1"/>
        <v>0</v>
      </c>
      <c r="S47" s="325"/>
      <c r="T47" s="348"/>
      <c r="U47" s="390"/>
      <c r="V47" s="391"/>
    </row>
    <row r="48" spans="1:22" x14ac:dyDescent="0.35">
      <c r="A48" s="72"/>
      <c r="D48" s="54" t="s">
        <v>41</v>
      </c>
      <c r="E48" s="7">
        <f>Landscaping!C7</f>
        <v>0</v>
      </c>
      <c r="F48" s="7">
        <f>Landscaping!D7</f>
        <v>0</v>
      </c>
      <c r="G48" s="7">
        <f>Landscaping!E7</f>
        <v>0</v>
      </c>
      <c r="H48" s="7">
        <f>Landscaping!F7</f>
        <v>0</v>
      </c>
      <c r="I48" s="7">
        <f>Landscaping!G7</f>
        <v>0</v>
      </c>
      <c r="J48" s="7">
        <f>Landscaping!H7</f>
        <v>0</v>
      </c>
      <c r="K48" s="7">
        <f>Landscaping!I7</f>
        <v>0</v>
      </c>
      <c r="L48" s="7">
        <f>Landscaping!J7</f>
        <v>0</v>
      </c>
      <c r="M48" s="7">
        <f>Landscaping!K7</f>
        <v>0</v>
      </c>
      <c r="N48" s="7">
        <f>Landscaping!L7</f>
        <v>0</v>
      </c>
      <c r="O48" s="7">
        <f>Landscaping!M7</f>
        <v>0</v>
      </c>
      <c r="P48" s="7">
        <f>Landscaping!N7</f>
        <v>0</v>
      </c>
      <c r="Q48" s="121">
        <f>SUM(E48:P48)</f>
        <v>0</v>
      </c>
      <c r="R48" s="369">
        <f t="shared" si="1"/>
        <v>0</v>
      </c>
      <c r="S48" s="325"/>
      <c r="T48" s="348"/>
      <c r="U48" s="390"/>
      <c r="V48" s="391"/>
    </row>
    <row r="49" spans="1:22" x14ac:dyDescent="0.35">
      <c r="A49" s="72"/>
      <c r="D49" s="55" t="s">
        <v>42</v>
      </c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28">
        <f>SUM(E49:P49)</f>
        <v>0</v>
      </c>
      <c r="R49" s="370">
        <f t="shared" si="1"/>
        <v>0</v>
      </c>
      <c r="S49" s="325"/>
      <c r="T49" s="348"/>
      <c r="U49" s="390"/>
      <c r="V49" s="391"/>
    </row>
    <row r="50" spans="1:22" x14ac:dyDescent="0.35">
      <c r="A50" s="72" t="s">
        <v>106</v>
      </c>
      <c r="C50" s="7" t="s">
        <v>43</v>
      </c>
      <c r="E50" s="52">
        <f>SUM(E47:E49)</f>
        <v>0</v>
      </c>
      <c r="F50" s="52">
        <f>SUM(F47:F49)</f>
        <v>0</v>
      </c>
      <c r="G50" s="52">
        <f>SUM(G47:G49)</f>
        <v>0</v>
      </c>
      <c r="H50" s="52">
        <f t="shared" ref="H50:K50" si="16">SUM(H47:H49)</f>
        <v>0</v>
      </c>
      <c r="I50" s="52">
        <f t="shared" si="16"/>
        <v>0</v>
      </c>
      <c r="J50" s="52">
        <f t="shared" si="16"/>
        <v>0</v>
      </c>
      <c r="K50" s="52">
        <f t="shared" si="16"/>
        <v>0</v>
      </c>
      <c r="L50" s="52">
        <f t="shared" ref="L50:Q50" si="17">SUM(L47:L49)</f>
        <v>0</v>
      </c>
      <c r="M50" s="52">
        <f t="shared" si="17"/>
        <v>0</v>
      </c>
      <c r="N50" s="52">
        <f t="shared" si="17"/>
        <v>0</v>
      </c>
      <c r="O50" s="52">
        <f t="shared" si="17"/>
        <v>0</v>
      </c>
      <c r="P50" s="52">
        <f t="shared" si="17"/>
        <v>0</v>
      </c>
      <c r="Q50" s="127">
        <f t="shared" si="17"/>
        <v>0</v>
      </c>
      <c r="R50" s="372">
        <f t="shared" si="1"/>
        <v>0</v>
      </c>
      <c r="S50" s="330">
        <v>158</v>
      </c>
      <c r="T50" s="360">
        <f>IFERROR(Q50/S50-1,"-")</f>
        <v>-1</v>
      </c>
      <c r="U50" s="390"/>
      <c r="V50" s="391"/>
    </row>
    <row r="51" spans="1:22" x14ac:dyDescent="0.35">
      <c r="A51" s="72"/>
      <c r="Q51" s="121"/>
      <c r="R51" s="358"/>
      <c r="S51" s="325"/>
      <c r="T51" s="348"/>
      <c r="U51" s="390"/>
      <c r="V51" s="391"/>
    </row>
    <row r="52" spans="1:22" x14ac:dyDescent="0.35">
      <c r="A52" s="72" t="s">
        <v>107</v>
      </c>
      <c r="C52" s="7" t="s">
        <v>44</v>
      </c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21">
        <f>SUM(E52:P52)</f>
        <v>0</v>
      </c>
      <c r="R52" s="358">
        <f t="shared" si="1"/>
        <v>0</v>
      </c>
      <c r="S52" s="325"/>
      <c r="T52" s="348" t="str">
        <f>IFERROR(Q52/S52-1,"-")</f>
        <v>-</v>
      </c>
      <c r="U52" s="390"/>
      <c r="V52" s="391"/>
    </row>
    <row r="53" spans="1:22" x14ac:dyDescent="0.35">
      <c r="A53" s="72"/>
      <c r="Q53" s="121"/>
      <c r="R53" s="358"/>
      <c r="S53" s="325"/>
      <c r="T53" s="348"/>
      <c r="U53" s="390"/>
      <c r="V53" s="391"/>
    </row>
    <row r="54" spans="1:22" x14ac:dyDescent="0.35">
      <c r="A54" s="72" t="s">
        <v>108</v>
      </c>
      <c r="B54" s="7" t="s">
        <v>45</v>
      </c>
      <c r="C54" s="7" t="s">
        <v>46</v>
      </c>
      <c r="E54" s="7">
        <f t="shared" ref="E54:P54" si="18">ROUND(E$24*0.04,0)</f>
        <v>1532</v>
      </c>
      <c r="F54" s="7">
        <f t="shared" si="18"/>
        <v>1527</v>
      </c>
      <c r="G54" s="7">
        <f t="shared" si="18"/>
        <v>1511</v>
      </c>
      <c r="H54" s="7">
        <f t="shared" si="18"/>
        <v>1485</v>
      </c>
      <c r="I54" s="7">
        <f t="shared" si="18"/>
        <v>1486</v>
      </c>
      <c r="J54" s="7">
        <f t="shared" si="18"/>
        <v>1487</v>
      </c>
      <c r="K54" s="7">
        <f t="shared" si="18"/>
        <v>1498</v>
      </c>
      <c r="L54" s="7">
        <f t="shared" si="18"/>
        <v>1502</v>
      </c>
      <c r="M54" s="7">
        <f t="shared" si="18"/>
        <v>1503</v>
      </c>
      <c r="N54" s="7">
        <f t="shared" si="18"/>
        <v>1500</v>
      </c>
      <c r="O54" s="7">
        <f t="shared" si="18"/>
        <v>1505</v>
      </c>
      <c r="P54" s="7">
        <f t="shared" si="18"/>
        <v>1477</v>
      </c>
      <c r="Q54" s="121">
        <f>SUM(E54:P54)</f>
        <v>18013</v>
      </c>
      <c r="R54" s="358">
        <f t="shared" si="1"/>
        <v>0.36746226030191759</v>
      </c>
      <c r="S54" s="325">
        <v>18733.060399999998</v>
      </c>
      <c r="T54" s="348">
        <f>IFERROR(Q54/S54-1,"-")</f>
        <v>-3.8437947918002702E-2</v>
      </c>
      <c r="U54" s="390"/>
      <c r="V54" s="391"/>
    </row>
    <row r="55" spans="1:22" x14ac:dyDescent="0.35">
      <c r="A55" s="72"/>
      <c r="Q55" s="121"/>
      <c r="R55" s="358"/>
      <c r="S55" s="325"/>
      <c r="T55" s="348"/>
      <c r="U55" s="390"/>
      <c r="V55" s="391"/>
    </row>
    <row r="56" spans="1:22" x14ac:dyDescent="0.35">
      <c r="A56" s="72" t="s">
        <v>109</v>
      </c>
      <c r="C56" s="7" t="s">
        <v>47</v>
      </c>
      <c r="E56" s="7">
        <f>Trash!C7</f>
        <v>0</v>
      </c>
      <c r="F56" s="7">
        <f>Trash!D7</f>
        <v>0</v>
      </c>
      <c r="G56" s="7">
        <f>Trash!E7</f>
        <v>0</v>
      </c>
      <c r="H56" s="7">
        <f>Trash!F7</f>
        <v>0</v>
      </c>
      <c r="I56" s="7">
        <f>Trash!G7</f>
        <v>0</v>
      </c>
      <c r="J56" s="7">
        <f>Trash!H7</f>
        <v>0</v>
      </c>
      <c r="K56" s="7">
        <f>Trash!I7</f>
        <v>0</v>
      </c>
      <c r="L56" s="7">
        <f>Trash!J7</f>
        <v>0</v>
      </c>
      <c r="M56" s="7">
        <f>Trash!K7</f>
        <v>0</v>
      </c>
      <c r="N56" s="7">
        <f>Trash!L7</f>
        <v>0</v>
      </c>
      <c r="O56" s="7">
        <f>Trash!M7</f>
        <v>0</v>
      </c>
      <c r="P56" s="7">
        <f>Trash!N7</f>
        <v>0</v>
      </c>
      <c r="Q56" s="121">
        <f>SUM(E56:P56)</f>
        <v>0</v>
      </c>
      <c r="R56" s="358">
        <f t="shared" si="1"/>
        <v>0</v>
      </c>
      <c r="S56" s="325">
        <v>43</v>
      </c>
      <c r="T56" s="348">
        <f>IFERROR(Q56/S56-1,"-")</f>
        <v>-1</v>
      </c>
      <c r="U56" s="390"/>
      <c r="V56" s="391"/>
    </row>
    <row r="57" spans="1:22" x14ac:dyDescent="0.35">
      <c r="A57" s="72"/>
      <c r="Q57" s="121"/>
      <c r="R57" s="358"/>
      <c r="S57" s="325"/>
      <c r="T57" s="348"/>
      <c r="U57" s="390"/>
      <c r="V57" s="391"/>
    </row>
    <row r="58" spans="1:22" x14ac:dyDescent="0.35">
      <c r="A58" s="72" t="s">
        <v>110</v>
      </c>
      <c r="C58" s="7" t="s">
        <v>22</v>
      </c>
      <c r="E58" s="7">
        <f>+'INS RET'!E33</f>
        <v>3549.5327952000002</v>
      </c>
      <c r="F58" s="7">
        <f>+'INS RET'!F33</f>
        <v>3549.5327952000002</v>
      </c>
      <c r="G58" s="7">
        <f>+'INS RET'!G33</f>
        <v>3549.5327952000002</v>
      </c>
      <c r="H58" s="7">
        <f>+'INS RET'!H33</f>
        <v>3549.5327952000002</v>
      </c>
      <c r="I58" s="7">
        <f>+'INS RET'!I33</f>
        <v>3549.5327952000002</v>
      </c>
      <c r="J58" s="7">
        <f>+'INS RET'!J33</f>
        <v>3549.5327952000002</v>
      </c>
      <c r="K58" s="7">
        <f>+'INS RET'!K33</f>
        <v>3549.5327952000002</v>
      </c>
      <c r="L58" s="7">
        <f>+'INS RET'!L33</f>
        <v>3549.5327952000002</v>
      </c>
      <c r="M58" s="7">
        <f>+'INS RET'!M33</f>
        <v>3549.5327952000002</v>
      </c>
      <c r="N58" s="7">
        <f>+'INS RET'!N33</f>
        <v>3549.5327952000002</v>
      </c>
      <c r="O58" s="7">
        <f>+'INS RET'!O33</f>
        <v>3549.5327952000002</v>
      </c>
      <c r="P58" s="7">
        <f>+'INS RET'!P33</f>
        <v>3549.5327952000002</v>
      </c>
      <c r="Q58" s="121">
        <f>SUM(E58:P58)</f>
        <v>42594.393542400001</v>
      </c>
      <c r="R58" s="358">
        <f t="shared" si="1"/>
        <v>0.8689186769155447</v>
      </c>
      <c r="S58" s="325">
        <v>115339.37</v>
      </c>
      <c r="T58" s="348">
        <f>IFERROR(Q58/S58-1,"-")</f>
        <v>-0.63070377840281244</v>
      </c>
      <c r="U58" s="390"/>
      <c r="V58" s="391"/>
    </row>
    <row r="59" spans="1:22" x14ac:dyDescent="0.35">
      <c r="A59" s="72"/>
      <c r="Q59" s="121"/>
      <c r="R59" s="358"/>
      <c r="S59" s="325"/>
      <c r="T59" s="348"/>
      <c r="U59" s="390"/>
      <c r="V59" s="391"/>
    </row>
    <row r="60" spans="1:22" x14ac:dyDescent="0.35">
      <c r="A60" s="72"/>
      <c r="D60" s="53" t="s">
        <v>48</v>
      </c>
      <c r="E60" s="47">
        <f>+'INS RET'!E13+'INS RET'!E14</f>
        <v>1338</v>
      </c>
      <c r="F60" s="47">
        <f>+'INS RET'!F13+'INS RET'!F14</f>
        <v>1338</v>
      </c>
      <c r="G60" s="47">
        <f>+'INS RET'!G13+'INS RET'!G14</f>
        <v>1338</v>
      </c>
      <c r="H60" s="47">
        <f>+'INS RET'!H13+'INS RET'!H14</f>
        <v>1338</v>
      </c>
      <c r="I60" s="47">
        <f>+'INS RET'!I13+'INS RET'!I14</f>
        <v>1338</v>
      </c>
      <c r="J60" s="47">
        <f>+'INS RET'!J13+'INS RET'!J14</f>
        <v>1338</v>
      </c>
      <c r="K60" s="47">
        <f>+'INS RET'!K13+'INS RET'!K14</f>
        <v>1338</v>
      </c>
      <c r="L60" s="47">
        <f>+'INS RET'!L13+'INS RET'!L14</f>
        <v>1338</v>
      </c>
      <c r="M60" s="47">
        <f>+'INS RET'!M13+'INS RET'!M14</f>
        <v>1338</v>
      </c>
      <c r="N60" s="47">
        <f>+'INS RET'!N13+'INS RET'!N14</f>
        <v>1338</v>
      </c>
      <c r="O60" s="47">
        <f>+'INS RET'!O13+'INS RET'!O14</f>
        <v>1364.76</v>
      </c>
      <c r="P60" s="47">
        <f>+'INS RET'!P13+'INS RET'!P14</f>
        <v>1364.76</v>
      </c>
      <c r="Q60" s="367">
        <f>SUM(E60:P60)</f>
        <v>16109.52</v>
      </c>
      <c r="R60" s="368">
        <f t="shared" si="1"/>
        <v>0.32863157894736844</v>
      </c>
      <c r="S60" s="325"/>
      <c r="T60" s="348"/>
      <c r="U60" s="390"/>
      <c r="V60" s="391"/>
    </row>
    <row r="61" spans="1:22" x14ac:dyDescent="0.35">
      <c r="A61" s="72"/>
      <c r="D61" s="54" t="s">
        <v>49</v>
      </c>
      <c r="E61" s="7">
        <f>+'INS RET'!E16</f>
        <v>403</v>
      </c>
      <c r="F61" s="7">
        <f>+'INS RET'!F16</f>
        <v>403</v>
      </c>
      <c r="G61" s="7">
        <f>+'INS RET'!G16</f>
        <v>403</v>
      </c>
      <c r="H61" s="7">
        <f>+'INS RET'!H16</f>
        <v>403</v>
      </c>
      <c r="I61" s="7">
        <f>+'INS RET'!I16</f>
        <v>403</v>
      </c>
      <c r="J61" s="7">
        <f>+'INS RET'!J16</f>
        <v>403</v>
      </c>
      <c r="K61" s="7">
        <f>+'INS RET'!K16</f>
        <v>403</v>
      </c>
      <c r="L61" s="7">
        <f>+'INS RET'!L16</f>
        <v>403</v>
      </c>
      <c r="M61" s="7">
        <f>+'INS RET'!M16</f>
        <v>403</v>
      </c>
      <c r="N61" s="7">
        <f>+'INS RET'!N16</f>
        <v>403</v>
      </c>
      <c r="O61" s="7">
        <f>+'INS RET'!O16</f>
        <v>411.06</v>
      </c>
      <c r="P61" s="7">
        <f>+'INS RET'!P16</f>
        <v>411.06</v>
      </c>
      <c r="Q61" s="121">
        <f>SUM(E61:P61)</f>
        <v>4852.1200000000008</v>
      </c>
      <c r="R61" s="369">
        <f t="shared" si="1"/>
        <v>9.8982456140350894E-2</v>
      </c>
      <c r="S61" s="325"/>
      <c r="T61" s="348"/>
      <c r="U61" s="390"/>
      <c r="V61" s="391"/>
    </row>
    <row r="62" spans="1:22" x14ac:dyDescent="0.35">
      <c r="A62" s="72"/>
      <c r="D62" s="55" t="s">
        <v>50</v>
      </c>
      <c r="E62" s="16">
        <f>+'INS RET'!E17</f>
        <v>0</v>
      </c>
      <c r="F62" s="16">
        <f>+'INS RET'!F17</f>
        <v>0</v>
      </c>
      <c r="G62" s="16">
        <f>+'INS RET'!G17</f>
        <v>0</v>
      </c>
      <c r="H62" s="16">
        <f>+'INS RET'!H17</f>
        <v>0</v>
      </c>
      <c r="I62" s="16">
        <f>+'INS RET'!I17</f>
        <v>0</v>
      </c>
      <c r="J62" s="16">
        <f>+'INS RET'!J17</f>
        <v>0</v>
      </c>
      <c r="K62" s="16">
        <f>+'INS RET'!K17</f>
        <v>0</v>
      </c>
      <c r="L62" s="16">
        <f>+'INS RET'!L17</f>
        <v>0</v>
      </c>
      <c r="M62" s="16">
        <f>+'INS RET'!M17</f>
        <v>0</v>
      </c>
      <c r="N62" s="16">
        <f>+'INS RET'!N17</f>
        <v>0</v>
      </c>
      <c r="O62" s="16">
        <f>+'INS RET'!O17</f>
        <v>0</v>
      </c>
      <c r="P62" s="16">
        <f>+'INS RET'!P17</f>
        <v>0</v>
      </c>
      <c r="Q62" s="128">
        <f>SUM(E62:P62)</f>
        <v>0</v>
      </c>
      <c r="R62" s="370">
        <f t="shared" si="1"/>
        <v>0</v>
      </c>
      <c r="S62" s="325"/>
      <c r="T62" s="348"/>
      <c r="U62" s="390"/>
      <c r="V62" s="391"/>
    </row>
    <row r="63" spans="1:22" x14ac:dyDescent="0.35">
      <c r="A63" s="72" t="s">
        <v>111</v>
      </c>
      <c r="C63" s="7" t="s">
        <v>23</v>
      </c>
      <c r="E63" s="16">
        <f t="shared" ref="E63:Q63" si="19">SUM(E60:E62)</f>
        <v>1741</v>
      </c>
      <c r="F63" s="16">
        <f t="shared" si="19"/>
        <v>1741</v>
      </c>
      <c r="G63" s="16">
        <f t="shared" si="19"/>
        <v>1741</v>
      </c>
      <c r="H63" s="16">
        <f t="shared" si="19"/>
        <v>1741</v>
      </c>
      <c r="I63" s="16">
        <f t="shared" si="19"/>
        <v>1741</v>
      </c>
      <c r="J63" s="16">
        <f t="shared" si="19"/>
        <v>1741</v>
      </c>
      <c r="K63" s="16">
        <f t="shared" si="19"/>
        <v>1741</v>
      </c>
      <c r="L63" s="16">
        <f t="shared" si="19"/>
        <v>1741</v>
      </c>
      <c r="M63" s="16">
        <f t="shared" si="19"/>
        <v>1741</v>
      </c>
      <c r="N63" s="16">
        <f t="shared" si="19"/>
        <v>1741</v>
      </c>
      <c r="O63" s="16">
        <f t="shared" si="19"/>
        <v>1775.82</v>
      </c>
      <c r="P63" s="16">
        <f t="shared" si="19"/>
        <v>1775.82</v>
      </c>
      <c r="Q63" s="128">
        <f t="shared" si="19"/>
        <v>20961.64</v>
      </c>
      <c r="R63" s="371">
        <f t="shared" si="1"/>
        <v>0.42761403508771928</v>
      </c>
      <c r="S63" s="330">
        <v>20160</v>
      </c>
      <c r="T63" s="360">
        <f>IFERROR(Q63/S63-1,"-")</f>
        <v>3.9763888888888932E-2</v>
      </c>
      <c r="U63" s="390"/>
      <c r="V63" s="391"/>
    </row>
    <row r="64" spans="1:22" x14ac:dyDescent="0.35">
      <c r="A64" s="72"/>
      <c r="Q64" s="121"/>
      <c r="R64" s="358"/>
      <c r="S64" s="325"/>
      <c r="T64" s="348"/>
      <c r="U64" s="390"/>
      <c r="V64" s="391"/>
    </row>
    <row r="65" spans="1:22" x14ac:dyDescent="0.35">
      <c r="A65" s="72"/>
      <c r="D65" s="53" t="s">
        <v>51</v>
      </c>
      <c r="E65" s="47">
        <f>'Allocated Expenses'!E12+'Allocated Expenses'!E19</f>
        <v>2111.8137477953205</v>
      </c>
      <c r="F65" s="47">
        <f>'Allocated Expenses'!F12+'Allocated Expenses'!F19</f>
        <v>2111.8137477953205</v>
      </c>
      <c r="G65" s="47">
        <f>'Allocated Expenses'!G12+'Allocated Expenses'!G19</f>
        <v>2111.8137477953205</v>
      </c>
      <c r="H65" s="47">
        <f>'Allocated Expenses'!H12+'Allocated Expenses'!H19</f>
        <v>2111.8137477953205</v>
      </c>
      <c r="I65" s="47">
        <f>'Allocated Expenses'!I12+'Allocated Expenses'!I19</f>
        <v>2111.8137477953205</v>
      </c>
      <c r="J65" s="47">
        <f>'Allocated Expenses'!J12+'Allocated Expenses'!J19</f>
        <v>2111.8137477953205</v>
      </c>
      <c r="K65" s="47">
        <f>'Allocated Expenses'!K12+'Allocated Expenses'!K19</f>
        <v>2111.8137477953205</v>
      </c>
      <c r="L65" s="47">
        <f>'Allocated Expenses'!L12+'Allocated Expenses'!L19</f>
        <v>2111.8137477953205</v>
      </c>
      <c r="M65" s="47">
        <f>'Allocated Expenses'!M12+'Allocated Expenses'!M19</f>
        <v>2111.8137477953205</v>
      </c>
      <c r="N65" s="47">
        <f>'Allocated Expenses'!N12+'Allocated Expenses'!N19</f>
        <v>2111.8137477953205</v>
      </c>
      <c r="O65" s="47">
        <f>'Allocated Expenses'!O12+'Allocated Expenses'!O19</f>
        <v>2111.8137477953205</v>
      </c>
      <c r="P65" s="47">
        <f>'Allocated Expenses'!P12+'Allocated Expenses'!P19</f>
        <v>1992.9458481473209</v>
      </c>
      <c r="Q65" s="367">
        <f>SUM(E65:P65)</f>
        <v>25222.897073895845</v>
      </c>
      <c r="R65" s="368">
        <f t="shared" si="1"/>
        <v>0.51454298396360354</v>
      </c>
      <c r="S65" s="325"/>
      <c r="T65" s="348"/>
      <c r="U65" s="284" t="s">
        <v>304</v>
      </c>
      <c r="V65" s="11" t="s">
        <v>565</v>
      </c>
    </row>
    <row r="66" spans="1:22" x14ac:dyDescent="0.35">
      <c r="A66" s="72"/>
      <c r="D66" s="55" t="s">
        <v>52</v>
      </c>
      <c r="E66" s="16">
        <f>'Allocated Expenses'!E28</f>
        <v>217.13482529999999</v>
      </c>
      <c r="F66" s="16">
        <f>'Allocated Expenses'!F28</f>
        <v>217.13482529999999</v>
      </c>
      <c r="G66" s="16">
        <f>'Allocated Expenses'!G28</f>
        <v>217.13482529999999</v>
      </c>
      <c r="H66" s="16">
        <f>'Allocated Expenses'!H28</f>
        <v>217.13482529999999</v>
      </c>
      <c r="I66" s="16">
        <f>'Allocated Expenses'!I28</f>
        <v>217.13482529999999</v>
      </c>
      <c r="J66" s="16">
        <f>'Allocated Expenses'!J28</f>
        <v>217.13482529999999</v>
      </c>
      <c r="K66" s="16">
        <f>'Allocated Expenses'!K28</f>
        <v>217.13482529999999</v>
      </c>
      <c r="L66" s="16">
        <f>'Allocated Expenses'!L28</f>
        <v>217.13482529999999</v>
      </c>
      <c r="M66" s="16">
        <f>'Allocated Expenses'!M28</f>
        <v>217.13482529999999</v>
      </c>
      <c r="N66" s="16">
        <f>'Allocated Expenses'!N28</f>
        <v>217.13482529999999</v>
      </c>
      <c r="O66" s="16">
        <f>'Allocated Expenses'!O28</f>
        <v>217.13482529999999</v>
      </c>
      <c r="P66" s="16">
        <f>'Allocated Expenses'!P28</f>
        <v>223.7238486</v>
      </c>
      <c r="Q66" s="128">
        <f>SUM(E66:P66)</f>
        <v>2612.2069269000008</v>
      </c>
      <c r="R66" s="370">
        <f t="shared" si="1"/>
        <v>5.3288595000000015E-2</v>
      </c>
      <c r="S66" s="325"/>
      <c r="T66" s="348"/>
      <c r="U66" s="284" t="s">
        <v>304</v>
      </c>
      <c r="V66" s="11" t="s">
        <v>564</v>
      </c>
    </row>
    <row r="67" spans="1:22" x14ac:dyDescent="0.35">
      <c r="A67" s="72" t="s">
        <v>112</v>
      </c>
      <c r="B67" s="7" t="s">
        <v>45</v>
      </c>
      <c r="C67" s="7" t="s">
        <v>51</v>
      </c>
      <c r="E67" s="16">
        <f t="shared" ref="E67:P67" si="20">SUM(E65:E66)</f>
        <v>2328.9485730953206</v>
      </c>
      <c r="F67" s="16">
        <f t="shared" si="20"/>
        <v>2328.9485730953206</v>
      </c>
      <c r="G67" s="16">
        <f t="shared" si="20"/>
        <v>2328.9485730953206</v>
      </c>
      <c r="H67" s="16">
        <f t="shared" si="20"/>
        <v>2328.9485730953206</v>
      </c>
      <c r="I67" s="16">
        <f t="shared" si="20"/>
        <v>2328.9485730953206</v>
      </c>
      <c r="J67" s="16">
        <f t="shared" si="20"/>
        <v>2328.9485730953206</v>
      </c>
      <c r="K67" s="16">
        <f t="shared" si="20"/>
        <v>2328.9485730953206</v>
      </c>
      <c r="L67" s="16">
        <f t="shared" si="20"/>
        <v>2328.9485730953206</v>
      </c>
      <c r="M67" s="16">
        <f t="shared" si="20"/>
        <v>2328.9485730953206</v>
      </c>
      <c r="N67" s="16">
        <f t="shared" si="20"/>
        <v>2328.9485730953206</v>
      </c>
      <c r="O67" s="16">
        <f t="shared" si="20"/>
        <v>2328.9485730953206</v>
      </c>
      <c r="P67" s="16">
        <f t="shared" si="20"/>
        <v>2216.6696967473208</v>
      </c>
      <c r="Q67" s="128">
        <f>SUM(Q65:Q66)</f>
        <v>27835.104000795847</v>
      </c>
      <c r="R67" s="371">
        <f t="shared" si="1"/>
        <v>0.56783157896360359</v>
      </c>
      <c r="S67" s="330">
        <v>32620.57</v>
      </c>
      <c r="T67" s="360">
        <f>IFERROR(Q67/S67-1,"-")</f>
        <v>-0.14670087000944965</v>
      </c>
      <c r="U67" s="390"/>
      <c r="V67" s="391"/>
    </row>
    <row r="68" spans="1:22" x14ac:dyDescent="0.35">
      <c r="A68" s="72"/>
      <c r="Q68" s="121"/>
      <c r="R68" s="358"/>
      <c r="S68" s="325"/>
      <c r="T68" s="348"/>
      <c r="U68" s="390"/>
      <c r="V68" s="391"/>
    </row>
    <row r="69" spans="1:22" x14ac:dyDescent="0.35">
      <c r="A69" s="72" t="s">
        <v>268</v>
      </c>
      <c r="B69" s="7" t="s">
        <v>33</v>
      </c>
      <c r="C69" s="7" t="s">
        <v>346</v>
      </c>
      <c r="E69" s="7">
        <f>'Allocated Expenses'!E35</f>
        <v>14412.999999999998</v>
      </c>
      <c r="F69" s="7">
        <f>'Allocated Expenses'!F35</f>
        <v>0</v>
      </c>
      <c r="G69" s="7">
        <f>'Allocated Expenses'!G35</f>
        <v>0</v>
      </c>
      <c r="H69" s="7">
        <f>'Allocated Expenses'!H35</f>
        <v>14412.999999999998</v>
      </c>
      <c r="I69" s="7">
        <f>'Allocated Expenses'!I35</f>
        <v>0</v>
      </c>
      <c r="J69" s="7">
        <f>'Allocated Expenses'!J35</f>
        <v>0</v>
      </c>
      <c r="K69" s="7">
        <f>'Allocated Expenses'!K35</f>
        <v>14412.999999999998</v>
      </c>
      <c r="L69" s="7">
        <f>'Allocated Expenses'!L35</f>
        <v>0</v>
      </c>
      <c r="M69" s="7">
        <f>'Allocated Expenses'!M35</f>
        <v>0</v>
      </c>
      <c r="N69" s="7">
        <f>'Allocated Expenses'!N35</f>
        <v>14412.999999999998</v>
      </c>
      <c r="O69" s="7">
        <f>'Allocated Expenses'!O35</f>
        <v>0</v>
      </c>
      <c r="P69" s="7">
        <f>'Allocated Expenses'!P35</f>
        <v>0</v>
      </c>
      <c r="Q69" s="121">
        <f>SUM(E69:P69)</f>
        <v>57651.999999999993</v>
      </c>
      <c r="R69" s="358">
        <f t="shared" si="1"/>
        <v>1.1760913912688697</v>
      </c>
      <c r="S69" s="325">
        <v>69084</v>
      </c>
      <c r="T69" s="348">
        <f>IFERROR(Q69/S69-1,"-")</f>
        <v>-0.16547970586532346</v>
      </c>
      <c r="U69" s="390"/>
      <c r="V69" s="391"/>
    </row>
    <row r="70" spans="1:22" x14ac:dyDescent="0.35">
      <c r="A70" s="72"/>
      <c r="Q70" s="121"/>
      <c r="R70" s="358"/>
      <c r="S70" s="325"/>
      <c r="T70" s="348"/>
      <c r="U70" s="390"/>
      <c r="V70" s="391"/>
    </row>
    <row r="71" spans="1:22" ht="18" x14ac:dyDescent="0.35">
      <c r="A71" s="72"/>
      <c r="C71" s="56" t="s">
        <v>53</v>
      </c>
      <c r="D71" s="57"/>
      <c r="E71" s="57">
        <f t="shared" ref="E71:S71" si="21">+E27+E29+E31+E36+E38+E43+E45+E50+E52+E54+E56+E58+E63+E67+E69</f>
        <v>35630.024701628652</v>
      </c>
      <c r="F71" s="57">
        <f t="shared" si="21"/>
        <v>22133.724701628653</v>
      </c>
      <c r="G71" s="57">
        <f t="shared" si="21"/>
        <v>19085.864701628652</v>
      </c>
      <c r="H71" s="57">
        <f t="shared" si="21"/>
        <v>32914.124701628651</v>
      </c>
      <c r="I71" s="57">
        <f t="shared" si="21"/>
        <v>19388.124701628654</v>
      </c>
      <c r="J71" s="57">
        <f t="shared" si="21"/>
        <v>32160.554701628655</v>
      </c>
      <c r="K71" s="57">
        <f t="shared" si="21"/>
        <v>32985.534701628654</v>
      </c>
      <c r="L71" s="57">
        <f t="shared" si="21"/>
        <v>18266.874701628654</v>
      </c>
      <c r="M71" s="57">
        <f t="shared" si="21"/>
        <v>19075.764701628654</v>
      </c>
      <c r="N71" s="57">
        <f t="shared" si="21"/>
        <v>35547.204701628652</v>
      </c>
      <c r="O71" s="57">
        <f t="shared" si="21"/>
        <v>17892.764701628654</v>
      </c>
      <c r="P71" s="57">
        <f t="shared" si="21"/>
        <v>19559.265825280654</v>
      </c>
      <c r="Q71" s="129">
        <f t="shared" si="21"/>
        <v>304639.8275431958</v>
      </c>
      <c r="R71" s="373">
        <f t="shared" si="1"/>
        <v>6.2146027650590741</v>
      </c>
      <c r="S71" s="335">
        <f t="shared" si="21"/>
        <v>361017.68040000001</v>
      </c>
      <c r="T71" s="374">
        <f>IFERROR(Q71/S71-1,"-")</f>
        <v>-0.15616368925294388</v>
      </c>
      <c r="U71" s="390"/>
      <c r="V71" s="11">
        <f>Q71-Q29-Q58</f>
        <v>218414.43400079579</v>
      </c>
    </row>
    <row r="72" spans="1:22" ht="18" x14ac:dyDescent="0.35">
      <c r="A72" s="72"/>
      <c r="Q72" s="123"/>
      <c r="R72" s="361"/>
      <c r="S72" s="331"/>
      <c r="T72" s="362"/>
      <c r="U72" s="390"/>
      <c r="V72" s="391"/>
    </row>
    <row r="73" spans="1:22" ht="18" x14ac:dyDescent="0.35">
      <c r="A73" s="72"/>
      <c r="B73" s="8" t="s">
        <v>54</v>
      </c>
      <c r="Q73" s="121"/>
      <c r="R73" s="358">
        <f t="shared" si="1"/>
        <v>0</v>
      </c>
      <c r="S73" s="325"/>
      <c r="T73" s="348"/>
      <c r="U73" s="390"/>
      <c r="V73" s="391"/>
    </row>
    <row r="74" spans="1:22" x14ac:dyDescent="0.35">
      <c r="A74" s="72"/>
      <c r="Q74" s="121"/>
      <c r="R74" s="358"/>
      <c r="S74" s="325"/>
      <c r="T74" s="348"/>
      <c r="U74" s="390"/>
      <c r="V74" s="391"/>
    </row>
    <row r="75" spans="1:22" x14ac:dyDescent="0.35">
      <c r="A75" s="72" t="s">
        <v>136</v>
      </c>
      <c r="C75" s="7" t="s">
        <v>55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13">
        <v>0</v>
      </c>
      <c r="Q75" s="121">
        <f>SUM(E75:P75)</f>
        <v>0</v>
      </c>
      <c r="R75" s="358">
        <f t="shared" ref="R75:R131" si="22">Q75/$B$4</f>
        <v>0</v>
      </c>
      <c r="S75" s="325"/>
      <c r="T75" s="348" t="str">
        <f>IFERROR(Q75/S75-1,"-")</f>
        <v>-</v>
      </c>
      <c r="U75" s="390"/>
      <c r="V75" s="391"/>
    </row>
    <row r="76" spans="1:22" x14ac:dyDescent="0.35">
      <c r="A76" s="72"/>
      <c r="Q76" s="121"/>
      <c r="R76" s="358"/>
      <c r="S76" s="325"/>
      <c r="T76" s="348"/>
      <c r="U76" s="390"/>
      <c r="V76" s="391"/>
    </row>
    <row r="77" spans="1:22" x14ac:dyDescent="0.35">
      <c r="A77" s="72" t="s">
        <v>113</v>
      </c>
      <c r="D77" s="7" t="s">
        <v>56</v>
      </c>
      <c r="E77" s="7">
        <f>'Allocated Expenses'!E42</f>
        <v>1704.8208333333332</v>
      </c>
      <c r="F77" s="7">
        <f>'Allocated Expenses'!F42</f>
        <v>1704.8208333333332</v>
      </c>
      <c r="G77" s="7">
        <f>'Allocated Expenses'!G42</f>
        <v>1704.8208333333332</v>
      </c>
      <c r="H77" s="7">
        <f>'Allocated Expenses'!H42</f>
        <v>1704.8208333333332</v>
      </c>
      <c r="I77" s="7">
        <f>'Allocated Expenses'!I42</f>
        <v>1704.8208333333332</v>
      </c>
      <c r="J77" s="7">
        <f>'Allocated Expenses'!J42</f>
        <v>1704.8208333333332</v>
      </c>
      <c r="K77" s="7">
        <f>'Allocated Expenses'!K42</f>
        <v>1704.8208333333332</v>
      </c>
      <c r="L77" s="7">
        <f>'Allocated Expenses'!L42</f>
        <v>1704.8208333333332</v>
      </c>
      <c r="M77" s="7">
        <f>'Allocated Expenses'!M42</f>
        <v>1704.8208333333332</v>
      </c>
      <c r="N77" s="7">
        <f>'Allocated Expenses'!N42</f>
        <v>1704.8208333333332</v>
      </c>
      <c r="O77" s="7">
        <f>'Allocated Expenses'!O42</f>
        <v>1704.8208333333332</v>
      </c>
      <c r="P77" s="7">
        <f>'Allocated Expenses'!P42</f>
        <v>1704.8208333333332</v>
      </c>
      <c r="Q77" s="121">
        <f>SUM(E77:P77)</f>
        <v>20457.849999999999</v>
      </c>
      <c r="R77" s="358">
        <f t="shared" si="22"/>
        <v>0.41733680130558953</v>
      </c>
      <c r="S77" s="325"/>
      <c r="T77" s="348"/>
      <c r="U77" s="390"/>
      <c r="V77" s="391"/>
    </row>
    <row r="78" spans="1:22" x14ac:dyDescent="0.35">
      <c r="A78" s="72" t="s">
        <v>114</v>
      </c>
      <c r="D78" s="7" t="s">
        <v>57</v>
      </c>
      <c r="E78" s="7">
        <f>'Allocated Expenses'!E49</f>
        <v>567.78749999999991</v>
      </c>
      <c r="F78" s="7">
        <f>'Allocated Expenses'!F49</f>
        <v>0</v>
      </c>
      <c r="G78" s="7">
        <f>'Allocated Expenses'!G49</f>
        <v>0</v>
      </c>
      <c r="H78" s="7">
        <f>'Allocated Expenses'!H49</f>
        <v>567.78749999999991</v>
      </c>
      <c r="I78" s="7">
        <f>'Allocated Expenses'!I49</f>
        <v>0</v>
      </c>
      <c r="J78" s="7">
        <f>'Allocated Expenses'!J49</f>
        <v>0</v>
      </c>
      <c r="K78" s="7">
        <f>'Allocated Expenses'!K49</f>
        <v>567.78749999999991</v>
      </c>
      <c r="L78" s="7">
        <f>'Allocated Expenses'!L49</f>
        <v>0</v>
      </c>
      <c r="M78" s="7">
        <f>'Allocated Expenses'!M49</f>
        <v>0</v>
      </c>
      <c r="N78" s="7">
        <f>'Allocated Expenses'!N49</f>
        <v>567.78749999999991</v>
      </c>
      <c r="O78" s="7">
        <f>'Allocated Expenses'!O49</f>
        <v>0</v>
      </c>
      <c r="P78" s="7">
        <f>'Allocated Expenses'!P49</f>
        <v>0</v>
      </c>
      <c r="Q78" s="121">
        <f>SUM(E78:P78)</f>
        <v>2271.1499999999996</v>
      </c>
      <c r="R78" s="358">
        <f t="shared" si="22"/>
        <v>4.633108935128518E-2</v>
      </c>
      <c r="S78" s="325"/>
      <c r="T78" s="348"/>
      <c r="U78" s="390"/>
      <c r="V78" s="391"/>
    </row>
    <row r="79" spans="1:22" x14ac:dyDescent="0.35">
      <c r="A79" s="72"/>
      <c r="C79" s="7" t="s">
        <v>58</v>
      </c>
      <c r="E79" s="29">
        <f t="shared" ref="E79:Q79" si="23">SUM(E77:E78)</f>
        <v>2272.6083333333331</v>
      </c>
      <c r="F79" s="29">
        <f t="shared" si="23"/>
        <v>1704.8208333333332</v>
      </c>
      <c r="G79" s="29">
        <f t="shared" si="23"/>
        <v>1704.8208333333332</v>
      </c>
      <c r="H79" s="29">
        <f t="shared" si="23"/>
        <v>2272.6083333333331</v>
      </c>
      <c r="I79" s="29">
        <f t="shared" si="23"/>
        <v>1704.8208333333332</v>
      </c>
      <c r="J79" s="29">
        <f t="shared" si="23"/>
        <v>1704.8208333333332</v>
      </c>
      <c r="K79" s="29">
        <f t="shared" si="23"/>
        <v>2272.6083333333331</v>
      </c>
      <c r="L79" s="29">
        <f t="shared" si="23"/>
        <v>1704.8208333333332</v>
      </c>
      <c r="M79" s="29">
        <f t="shared" si="23"/>
        <v>1704.8208333333332</v>
      </c>
      <c r="N79" s="29">
        <f t="shared" si="23"/>
        <v>2272.6083333333331</v>
      </c>
      <c r="O79" s="29">
        <f t="shared" si="23"/>
        <v>1704.8208333333332</v>
      </c>
      <c r="P79" s="29">
        <f t="shared" si="23"/>
        <v>1704.8208333333332</v>
      </c>
      <c r="Q79" s="130">
        <f t="shared" si="23"/>
        <v>22729</v>
      </c>
      <c r="R79" s="359">
        <f t="shared" si="22"/>
        <v>0.46366789065687475</v>
      </c>
      <c r="S79" s="330">
        <v>19801</v>
      </c>
      <c r="T79" s="360">
        <f>IFERROR(Q79/S79-1,"-")</f>
        <v>0.14787131963032163</v>
      </c>
      <c r="U79" s="390"/>
      <c r="V79" s="391"/>
    </row>
    <row r="80" spans="1:22" x14ac:dyDescent="0.35">
      <c r="A80" s="72"/>
      <c r="Q80" s="121"/>
      <c r="R80" s="358"/>
      <c r="S80" s="325"/>
      <c r="T80" s="348"/>
      <c r="U80" s="390"/>
      <c r="V80" s="391"/>
    </row>
    <row r="81" spans="1:22" x14ac:dyDescent="0.35">
      <c r="A81" s="72" t="s">
        <v>137</v>
      </c>
      <c r="D81" s="7" t="s">
        <v>59</v>
      </c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21">
        <f>SUM(E81:P81)</f>
        <v>0</v>
      </c>
      <c r="R81" s="358">
        <f t="shared" si="22"/>
        <v>0</v>
      </c>
      <c r="S81" s="325"/>
      <c r="T81" s="348"/>
      <c r="U81" s="390"/>
      <c r="V81" s="391"/>
    </row>
    <row r="82" spans="1:22" x14ac:dyDescent="0.35">
      <c r="A82" s="72" t="s">
        <v>138</v>
      </c>
      <c r="D82" s="7" t="s">
        <v>20</v>
      </c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21">
        <f>SUM(E82:P82)</f>
        <v>0</v>
      </c>
      <c r="R82" s="358">
        <f t="shared" si="22"/>
        <v>0</v>
      </c>
      <c r="S82" s="325"/>
      <c r="T82" s="348"/>
      <c r="U82" s="390"/>
      <c r="V82" s="391"/>
    </row>
    <row r="83" spans="1:22" x14ac:dyDescent="0.35">
      <c r="A83" s="72" t="s">
        <v>139</v>
      </c>
      <c r="D83" s="7" t="s">
        <v>28</v>
      </c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21">
        <f>SUM(E83:P83)</f>
        <v>0</v>
      </c>
      <c r="R83" s="358">
        <f t="shared" si="22"/>
        <v>0</v>
      </c>
      <c r="S83" s="325"/>
      <c r="T83" s="348"/>
      <c r="U83" s="390"/>
      <c r="V83" s="391"/>
    </row>
    <row r="84" spans="1:22" x14ac:dyDescent="0.35">
      <c r="A84" s="72"/>
      <c r="C84" s="7" t="s">
        <v>60</v>
      </c>
      <c r="E84" s="29">
        <f t="shared" ref="E84:Q84" si="24">SUM(E81:E83)</f>
        <v>0</v>
      </c>
      <c r="F84" s="29">
        <f t="shared" si="24"/>
        <v>0</v>
      </c>
      <c r="G84" s="29">
        <f t="shared" si="24"/>
        <v>0</v>
      </c>
      <c r="H84" s="29">
        <f t="shared" si="24"/>
        <v>0</v>
      </c>
      <c r="I84" s="29">
        <f t="shared" si="24"/>
        <v>0</v>
      </c>
      <c r="J84" s="29">
        <f t="shared" si="24"/>
        <v>0</v>
      </c>
      <c r="K84" s="29">
        <f t="shared" si="24"/>
        <v>0</v>
      </c>
      <c r="L84" s="29">
        <f t="shared" si="24"/>
        <v>0</v>
      </c>
      <c r="M84" s="29">
        <f t="shared" si="24"/>
        <v>0</v>
      </c>
      <c r="N84" s="29">
        <f t="shared" si="24"/>
        <v>0</v>
      </c>
      <c r="O84" s="29">
        <f t="shared" si="24"/>
        <v>0</v>
      </c>
      <c r="P84" s="29">
        <f t="shared" si="24"/>
        <v>0</v>
      </c>
      <c r="Q84" s="130">
        <f t="shared" si="24"/>
        <v>0</v>
      </c>
      <c r="R84" s="359">
        <f t="shared" si="22"/>
        <v>0</v>
      </c>
      <c r="S84" s="330">
        <v>52.52</v>
      </c>
      <c r="T84" s="360">
        <f>IFERROR(Q84/S84-1,"-")</f>
        <v>-1</v>
      </c>
      <c r="U84" s="390"/>
      <c r="V84" s="391"/>
    </row>
    <row r="85" spans="1:22" x14ac:dyDescent="0.35">
      <c r="A85" s="72"/>
      <c r="Q85" s="121"/>
      <c r="R85" s="358"/>
      <c r="S85" s="325"/>
      <c r="T85" s="348"/>
      <c r="U85" s="390"/>
      <c r="V85" s="391"/>
    </row>
    <row r="86" spans="1:22" x14ac:dyDescent="0.35">
      <c r="A86" s="72"/>
      <c r="D86" s="53" t="s">
        <v>30</v>
      </c>
      <c r="E86" s="76">
        <f>1.03*910</f>
        <v>937.30000000000007</v>
      </c>
      <c r="F86" s="76">
        <f t="shared" ref="F86:P86" si="25">1.03*910</f>
        <v>937.30000000000007</v>
      </c>
      <c r="G86" s="76">
        <f t="shared" si="25"/>
        <v>937.30000000000007</v>
      </c>
      <c r="H86" s="76">
        <f t="shared" si="25"/>
        <v>937.30000000000007</v>
      </c>
      <c r="I86" s="76">
        <f t="shared" si="25"/>
        <v>937.30000000000007</v>
      </c>
      <c r="J86" s="76">
        <f t="shared" si="25"/>
        <v>937.30000000000007</v>
      </c>
      <c r="K86" s="76">
        <f t="shared" si="25"/>
        <v>937.30000000000007</v>
      </c>
      <c r="L86" s="76">
        <f t="shared" si="25"/>
        <v>937.30000000000007</v>
      </c>
      <c r="M86" s="76">
        <f t="shared" si="25"/>
        <v>937.30000000000007</v>
      </c>
      <c r="N86" s="76">
        <f t="shared" si="25"/>
        <v>937.30000000000007</v>
      </c>
      <c r="O86" s="76">
        <f t="shared" si="25"/>
        <v>937.30000000000007</v>
      </c>
      <c r="P86" s="76">
        <f t="shared" si="25"/>
        <v>937.30000000000007</v>
      </c>
      <c r="Q86" s="367">
        <f>SUM(E86:P86)</f>
        <v>11247.599999999999</v>
      </c>
      <c r="R86" s="368">
        <f t="shared" si="22"/>
        <v>0.22944920440636471</v>
      </c>
      <c r="S86" s="325"/>
      <c r="T86" s="348"/>
      <c r="U86" s="390"/>
      <c r="V86" s="391"/>
    </row>
    <row r="87" spans="1:22" x14ac:dyDescent="0.35">
      <c r="A87" s="72"/>
      <c r="D87" s="55" t="s">
        <v>31</v>
      </c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28">
        <f>SUM(E87:P87)</f>
        <v>0</v>
      </c>
      <c r="R87" s="370">
        <f t="shared" si="22"/>
        <v>0</v>
      </c>
      <c r="S87" s="325"/>
      <c r="T87" s="348"/>
      <c r="U87" s="390"/>
      <c r="V87" s="391"/>
    </row>
    <row r="88" spans="1:22" x14ac:dyDescent="0.35">
      <c r="A88" s="72" t="s">
        <v>115</v>
      </c>
      <c r="C88" s="7" t="s">
        <v>32</v>
      </c>
      <c r="E88" s="16">
        <f t="shared" ref="E88:Q88" si="26">SUM(E86:E87)</f>
        <v>937.30000000000007</v>
      </c>
      <c r="F88" s="16">
        <f t="shared" si="26"/>
        <v>937.30000000000007</v>
      </c>
      <c r="G88" s="16">
        <f t="shared" si="26"/>
        <v>937.30000000000007</v>
      </c>
      <c r="H88" s="16">
        <f t="shared" si="26"/>
        <v>937.30000000000007</v>
      </c>
      <c r="I88" s="16">
        <f t="shared" si="26"/>
        <v>937.30000000000007</v>
      </c>
      <c r="J88" s="16">
        <f t="shared" si="26"/>
        <v>937.30000000000007</v>
      </c>
      <c r="K88" s="16">
        <f t="shared" si="26"/>
        <v>937.30000000000007</v>
      </c>
      <c r="L88" s="16">
        <f t="shared" si="26"/>
        <v>937.30000000000007</v>
      </c>
      <c r="M88" s="16">
        <f t="shared" si="26"/>
        <v>937.30000000000007</v>
      </c>
      <c r="N88" s="16">
        <f t="shared" si="26"/>
        <v>937.30000000000007</v>
      </c>
      <c r="O88" s="16">
        <f t="shared" si="26"/>
        <v>937.30000000000007</v>
      </c>
      <c r="P88" s="16">
        <f t="shared" si="26"/>
        <v>937.30000000000007</v>
      </c>
      <c r="Q88" s="128">
        <f t="shared" si="26"/>
        <v>11247.599999999999</v>
      </c>
      <c r="R88" s="371">
        <f t="shared" si="22"/>
        <v>0.22944920440636471</v>
      </c>
      <c r="S88" s="330">
        <v>4319</v>
      </c>
      <c r="T88" s="360">
        <f>IFERROR(Q88/S88-1,"-")</f>
        <v>1.6042139384116689</v>
      </c>
      <c r="U88" s="390"/>
      <c r="V88" s="391"/>
    </row>
    <row r="89" spans="1:22" x14ac:dyDescent="0.35">
      <c r="A89" s="72"/>
      <c r="Q89" s="121"/>
      <c r="R89" s="358"/>
      <c r="S89" s="325"/>
      <c r="T89" s="348"/>
      <c r="U89" s="390"/>
      <c r="V89" s="391"/>
    </row>
    <row r="90" spans="1:22" s="60" customFormat="1" hidden="1" x14ac:dyDescent="0.35">
      <c r="A90" s="73" t="s">
        <v>140</v>
      </c>
      <c r="B90" s="60" t="s">
        <v>33</v>
      </c>
      <c r="C90" s="60" t="s">
        <v>61</v>
      </c>
      <c r="Q90" s="60">
        <f>SUM(E90:P90)</f>
        <v>0</v>
      </c>
      <c r="R90" s="375">
        <f t="shared" si="22"/>
        <v>0</v>
      </c>
      <c r="S90" s="325"/>
      <c r="T90" s="348" t="e">
        <f t="shared" ref="T90:T91" si="27">R90/S90-1</f>
        <v>#DIV/0!</v>
      </c>
      <c r="U90" s="395"/>
      <c r="V90" s="396"/>
    </row>
    <row r="91" spans="1:22" hidden="1" x14ac:dyDescent="0.35">
      <c r="A91" s="72"/>
      <c r="Q91" s="121"/>
      <c r="R91" s="358"/>
      <c r="S91" s="325"/>
      <c r="T91" s="348" t="e">
        <f t="shared" si="27"/>
        <v>#DIV/0!</v>
      </c>
      <c r="U91" s="390"/>
      <c r="V91" s="391"/>
    </row>
    <row r="92" spans="1:22" x14ac:dyDescent="0.35">
      <c r="A92" s="72" t="s">
        <v>116</v>
      </c>
      <c r="C92" s="7" t="s">
        <v>62</v>
      </c>
      <c r="E92" s="7">
        <f>'Allocated Expenses'!E56</f>
        <v>437.5</v>
      </c>
      <c r="F92" s="7">
        <f>'Allocated Expenses'!F56</f>
        <v>437.5</v>
      </c>
      <c r="G92" s="7">
        <f>'Allocated Expenses'!G56</f>
        <v>437.5</v>
      </c>
      <c r="H92" s="7">
        <f>'Allocated Expenses'!H56</f>
        <v>437.5</v>
      </c>
      <c r="I92" s="7">
        <f>'Allocated Expenses'!I56</f>
        <v>437.5</v>
      </c>
      <c r="J92" s="7">
        <f>'Allocated Expenses'!J56</f>
        <v>437.5</v>
      </c>
      <c r="K92" s="7">
        <f>'Allocated Expenses'!K56</f>
        <v>437.5</v>
      </c>
      <c r="L92" s="7">
        <f>'Allocated Expenses'!L56</f>
        <v>437.5</v>
      </c>
      <c r="M92" s="7">
        <f>'Allocated Expenses'!M56</f>
        <v>437.5</v>
      </c>
      <c r="N92" s="7">
        <f>'Allocated Expenses'!N56</f>
        <v>437.5</v>
      </c>
      <c r="O92" s="7">
        <f>'Allocated Expenses'!O56</f>
        <v>437.5</v>
      </c>
      <c r="P92" s="7">
        <f>'Allocated Expenses'!P56</f>
        <v>437.5</v>
      </c>
      <c r="Q92" s="121">
        <f>SUM(E92:P92)</f>
        <v>5250</v>
      </c>
      <c r="R92" s="358">
        <f t="shared" si="22"/>
        <v>0.10709914320685435</v>
      </c>
      <c r="S92" s="325">
        <v>4965.74</v>
      </c>
      <c r="T92" s="348">
        <f>IFERROR(Q92/S92-1,"-")</f>
        <v>5.7244237515456042E-2</v>
      </c>
      <c r="U92" s="390"/>
      <c r="V92" s="391"/>
    </row>
    <row r="93" spans="1:22" x14ac:dyDescent="0.35">
      <c r="A93" s="72"/>
      <c r="Q93" s="121"/>
      <c r="R93" s="358"/>
      <c r="S93" s="325"/>
      <c r="T93" s="348"/>
      <c r="U93" s="390"/>
      <c r="V93" s="391"/>
    </row>
    <row r="94" spans="1:22" x14ac:dyDescent="0.35">
      <c r="A94" s="72" t="s">
        <v>117</v>
      </c>
      <c r="C94" s="7" t="s">
        <v>63</v>
      </c>
      <c r="E94" s="7">
        <f>'Allocated Expenses'!E63</f>
        <v>0</v>
      </c>
      <c r="F94" s="7">
        <f>'Allocated Expenses'!F63</f>
        <v>0</v>
      </c>
      <c r="G94" s="7">
        <f>'Allocated Expenses'!G63</f>
        <v>0</v>
      </c>
      <c r="H94" s="7">
        <f>'Allocated Expenses'!H63</f>
        <v>942.90082169745256</v>
      </c>
      <c r="I94" s="7">
        <f>'Allocated Expenses'!I63</f>
        <v>0</v>
      </c>
      <c r="J94" s="7">
        <f>'Allocated Expenses'!J63</f>
        <v>0</v>
      </c>
      <c r="K94" s="7">
        <f>'Allocated Expenses'!K63</f>
        <v>0</v>
      </c>
      <c r="L94" s="7">
        <f>'Allocated Expenses'!L63</f>
        <v>0</v>
      </c>
      <c r="M94" s="7">
        <f>'Allocated Expenses'!M63</f>
        <v>0</v>
      </c>
      <c r="N94" s="7">
        <f>'Allocated Expenses'!N63</f>
        <v>0</v>
      </c>
      <c r="O94" s="7">
        <f>'Allocated Expenses'!O63</f>
        <v>0</v>
      </c>
      <c r="P94" s="7">
        <f>'Allocated Expenses'!P63</f>
        <v>0</v>
      </c>
      <c r="Q94" s="121">
        <f>SUM(E94:P94)</f>
        <v>942.90082169745256</v>
      </c>
      <c r="R94" s="358">
        <f t="shared" si="22"/>
        <v>1.9235022882444972E-2</v>
      </c>
      <c r="S94" s="325">
        <v>996</v>
      </c>
      <c r="T94" s="348">
        <f>IFERROR(Q94/S94-1,"-")</f>
        <v>-5.3312428014605895E-2</v>
      </c>
      <c r="U94" s="390"/>
      <c r="V94" s="391"/>
    </row>
    <row r="95" spans="1:22" x14ac:dyDescent="0.35">
      <c r="A95" s="72"/>
      <c r="Q95" s="121"/>
      <c r="R95" s="358"/>
      <c r="S95" s="325"/>
      <c r="T95" s="348"/>
      <c r="U95" s="390"/>
      <c r="V95" s="391"/>
    </row>
    <row r="96" spans="1:22" x14ac:dyDescent="0.35">
      <c r="A96" s="72" t="s">
        <v>118</v>
      </c>
      <c r="C96" s="7" t="s">
        <v>64</v>
      </c>
      <c r="E96" s="7">
        <f>'Allocated Expenses'!E70</f>
        <v>900.7833333333333</v>
      </c>
      <c r="F96" s="7">
        <f>'Allocated Expenses'!F70</f>
        <v>900.7833333333333</v>
      </c>
      <c r="G96" s="7">
        <f>'Allocated Expenses'!G70</f>
        <v>900.7833333333333</v>
      </c>
      <c r="H96" s="7">
        <f>'Allocated Expenses'!H70</f>
        <v>900.7833333333333</v>
      </c>
      <c r="I96" s="7">
        <f>'Allocated Expenses'!I70</f>
        <v>900.7833333333333</v>
      </c>
      <c r="J96" s="7">
        <f>'Allocated Expenses'!J70</f>
        <v>900.7833333333333</v>
      </c>
      <c r="K96" s="7">
        <f>'Allocated Expenses'!K70</f>
        <v>900.7833333333333</v>
      </c>
      <c r="L96" s="7">
        <f>'Allocated Expenses'!L70</f>
        <v>900.7833333333333</v>
      </c>
      <c r="M96" s="7">
        <f>'Allocated Expenses'!M70</f>
        <v>900.7833333333333</v>
      </c>
      <c r="N96" s="7">
        <f>'Allocated Expenses'!N70</f>
        <v>900.7833333333333</v>
      </c>
      <c r="O96" s="7">
        <f>'Allocated Expenses'!O70</f>
        <v>900.7833333333333</v>
      </c>
      <c r="P96" s="7">
        <f>'Allocated Expenses'!P70</f>
        <v>900.7833333333333</v>
      </c>
      <c r="Q96" s="121">
        <f>SUM(E96:P96)</f>
        <v>10809.399999999996</v>
      </c>
      <c r="R96" s="358">
        <f t="shared" si="22"/>
        <v>0.22050999592003256</v>
      </c>
      <c r="S96" s="325">
        <v>10082</v>
      </c>
      <c r="T96" s="348">
        <f>IFERROR(Q96/S96-1,"-")</f>
        <v>7.2148383257289783E-2</v>
      </c>
      <c r="U96" s="390"/>
      <c r="V96" s="391"/>
    </row>
    <row r="97" spans="1:22" x14ac:dyDescent="0.35">
      <c r="A97" s="72"/>
      <c r="Q97" s="121"/>
      <c r="R97" s="358"/>
      <c r="S97" s="325"/>
      <c r="T97" s="348"/>
      <c r="U97" s="390"/>
      <c r="V97" s="391"/>
    </row>
    <row r="98" spans="1:22" x14ac:dyDescent="0.35">
      <c r="A98" s="72" t="s">
        <v>125</v>
      </c>
      <c r="D98" s="7" t="s">
        <v>65</v>
      </c>
      <c r="E98" s="7">
        <f>'Allocated Expenses'!E77</f>
        <v>55.877499999999998</v>
      </c>
      <c r="F98" s="7">
        <f>'Allocated Expenses'!F77</f>
        <v>55.877499999999998</v>
      </c>
      <c r="G98" s="7">
        <f>'Allocated Expenses'!G77</f>
        <v>55.877499999999998</v>
      </c>
      <c r="H98" s="7">
        <f>'Allocated Expenses'!H77</f>
        <v>55.877499999999998</v>
      </c>
      <c r="I98" s="7">
        <f>'Allocated Expenses'!I77</f>
        <v>55.877499999999998</v>
      </c>
      <c r="J98" s="7">
        <f>'Allocated Expenses'!J77</f>
        <v>55.877499999999998</v>
      </c>
      <c r="K98" s="7">
        <f>'Allocated Expenses'!K77</f>
        <v>55.877499999999998</v>
      </c>
      <c r="L98" s="7">
        <f>'Allocated Expenses'!L77</f>
        <v>55.877499999999998</v>
      </c>
      <c r="M98" s="7">
        <f>'Allocated Expenses'!M77</f>
        <v>55.877499999999998</v>
      </c>
      <c r="N98" s="7">
        <f>'Allocated Expenses'!N77</f>
        <v>55.877499999999998</v>
      </c>
      <c r="O98" s="7">
        <f>'Allocated Expenses'!O77</f>
        <v>55.877499999999998</v>
      </c>
      <c r="P98" s="7">
        <f>'Allocated Expenses'!P77</f>
        <v>55.877499999999998</v>
      </c>
      <c r="Q98" s="121">
        <f>SUM(E98:P98)</f>
        <v>670.53</v>
      </c>
      <c r="R98" s="358">
        <f t="shared" si="22"/>
        <v>1.3678702570379436E-2</v>
      </c>
      <c r="S98" s="325"/>
      <c r="T98" s="348"/>
      <c r="U98" s="390"/>
      <c r="V98" s="391"/>
    </row>
    <row r="99" spans="1:22" x14ac:dyDescent="0.35">
      <c r="A99" s="72" t="s">
        <v>141</v>
      </c>
      <c r="D99" s="7" t="s">
        <v>66</v>
      </c>
      <c r="E99" s="7">
        <f>'Allocated Expenses'!E84</f>
        <v>0</v>
      </c>
      <c r="F99" s="7">
        <f>'Allocated Expenses'!F84</f>
        <v>0</v>
      </c>
      <c r="G99" s="7">
        <f>'Allocated Expenses'!G84</f>
        <v>0</v>
      </c>
      <c r="H99" s="7">
        <f>'Allocated Expenses'!H84</f>
        <v>0</v>
      </c>
      <c r="I99" s="7">
        <f>'Allocated Expenses'!I84</f>
        <v>0</v>
      </c>
      <c r="J99" s="7">
        <f>'Allocated Expenses'!J84</f>
        <v>0</v>
      </c>
      <c r="K99" s="7">
        <f>'Allocated Expenses'!K84</f>
        <v>0</v>
      </c>
      <c r="L99" s="7">
        <f>'Allocated Expenses'!L84</f>
        <v>0</v>
      </c>
      <c r="M99" s="7">
        <f>'Allocated Expenses'!M84</f>
        <v>0</v>
      </c>
      <c r="N99" s="7">
        <f>'Allocated Expenses'!N84</f>
        <v>0</v>
      </c>
      <c r="O99" s="7">
        <f>'Allocated Expenses'!O84</f>
        <v>0</v>
      </c>
      <c r="P99" s="7">
        <f>'Allocated Expenses'!P84</f>
        <v>0</v>
      </c>
      <c r="Q99" s="121">
        <f>SUM(E99:P99)</f>
        <v>0</v>
      </c>
      <c r="R99" s="358">
        <f t="shared" si="22"/>
        <v>0</v>
      </c>
      <c r="S99" s="325"/>
      <c r="T99" s="348"/>
      <c r="U99" s="390"/>
      <c r="V99" s="391"/>
    </row>
    <row r="100" spans="1:22" x14ac:dyDescent="0.35">
      <c r="A100" s="72" t="s">
        <v>142</v>
      </c>
      <c r="D100" s="7" t="s">
        <v>67</v>
      </c>
      <c r="E100" s="7">
        <f>'Allocated Expenses'!E91</f>
        <v>0</v>
      </c>
      <c r="F100" s="7">
        <f>'Allocated Expenses'!F91</f>
        <v>0</v>
      </c>
      <c r="G100" s="7">
        <f>'Allocated Expenses'!G91</f>
        <v>0</v>
      </c>
      <c r="H100" s="7">
        <f>'Allocated Expenses'!H91</f>
        <v>0</v>
      </c>
      <c r="I100" s="7">
        <f>'Allocated Expenses'!I91</f>
        <v>0</v>
      </c>
      <c r="J100" s="7">
        <f>'Allocated Expenses'!J91</f>
        <v>0</v>
      </c>
      <c r="K100" s="7">
        <f>'Allocated Expenses'!K91</f>
        <v>0</v>
      </c>
      <c r="L100" s="7">
        <f>'Allocated Expenses'!L91</f>
        <v>0</v>
      </c>
      <c r="M100" s="7">
        <f>'Allocated Expenses'!M91</f>
        <v>0</v>
      </c>
      <c r="N100" s="7">
        <f>'Allocated Expenses'!N91</f>
        <v>0</v>
      </c>
      <c r="O100" s="7">
        <f>'Allocated Expenses'!O91</f>
        <v>0</v>
      </c>
      <c r="P100" s="7">
        <f>'Allocated Expenses'!P91</f>
        <v>0</v>
      </c>
      <c r="Q100" s="121">
        <f>SUM(E100:P100)</f>
        <v>0</v>
      </c>
      <c r="R100" s="358">
        <f t="shared" si="22"/>
        <v>0</v>
      </c>
      <c r="S100" s="325"/>
      <c r="T100" s="348"/>
      <c r="U100" s="390"/>
      <c r="V100" s="391"/>
    </row>
    <row r="101" spans="1:22" x14ac:dyDescent="0.35">
      <c r="A101" s="72" t="s">
        <v>126</v>
      </c>
      <c r="D101" s="7" t="s">
        <v>68</v>
      </c>
      <c r="E101" s="7">
        <f>'Allocated Expenses'!E98</f>
        <v>7.21</v>
      </c>
      <c r="F101" s="7">
        <f>'Allocated Expenses'!F98</f>
        <v>7.21</v>
      </c>
      <c r="G101" s="7">
        <f>'Allocated Expenses'!G98</f>
        <v>7.21</v>
      </c>
      <c r="H101" s="7">
        <f>'Allocated Expenses'!H98</f>
        <v>7.21</v>
      </c>
      <c r="I101" s="7">
        <f>'Allocated Expenses'!I98</f>
        <v>7.21</v>
      </c>
      <c r="J101" s="7">
        <f>'Allocated Expenses'!J98</f>
        <v>7.21</v>
      </c>
      <c r="K101" s="7">
        <f>'Allocated Expenses'!K98</f>
        <v>7.21</v>
      </c>
      <c r="L101" s="7">
        <f>'Allocated Expenses'!L98</f>
        <v>7.21</v>
      </c>
      <c r="M101" s="7">
        <f>'Allocated Expenses'!M98</f>
        <v>7.21</v>
      </c>
      <c r="N101" s="7">
        <f>'Allocated Expenses'!N98</f>
        <v>7.21</v>
      </c>
      <c r="O101" s="7">
        <f>'Allocated Expenses'!O98</f>
        <v>7.21</v>
      </c>
      <c r="P101" s="7">
        <f>'Allocated Expenses'!P98</f>
        <v>7.21</v>
      </c>
      <c r="Q101" s="121">
        <f>SUM(E101:P101)</f>
        <v>86.519999999999982</v>
      </c>
      <c r="R101" s="358">
        <f t="shared" si="22"/>
        <v>1.7649938800489593E-3</v>
      </c>
      <c r="S101" s="325"/>
      <c r="T101" s="348"/>
      <c r="U101" s="390"/>
      <c r="V101" s="391"/>
    </row>
    <row r="102" spans="1:22" x14ac:dyDescent="0.35">
      <c r="A102" s="72" t="s">
        <v>119</v>
      </c>
      <c r="D102" s="7" t="s">
        <v>69</v>
      </c>
      <c r="E102" s="7">
        <f>'Allocated Expenses'!E105</f>
        <v>1240.1199999999999</v>
      </c>
      <c r="F102" s="7">
        <f>'Allocated Expenses'!F105</f>
        <v>1240.1199999999999</v>
      </c>
      <c r="G102" s="7">
        <f>'Allocated Expenses'!G105</f>
        <v>1240.1199999999999</v>
      </c>
      <c r="H102" s="7">
        <f>'Allocated Expenses'!H105</f>
        <v>1240.1199999999999</v>
      </c>
      <c r="I102" s="7">
        <f>'Allocated Expenses'!I105</f>
        <v>1240.1199999999999</v>
      </c>
      <c r="J102" s="7">
        <f>'Allocated Expenses'!J105</f>
        <v>1240.1199999999999</v>
      </c>
      <c r="K102" s="7">
        <f>'Allocated Expenses'!K105</f>
        <v>1240.1199999999999</v>
      </c>
      <c r="L102" s="7">
        <f>'Allocated Expenses'!L105</f>
        <v>1240.1199999999999</v>
      </c>
      <c r="M102" s="7">
        <f>'Allocated Expenses'!M105</f>
        <v>1240.1199999999999</v>
      </c>
      <c r="N102" s="7">
        <f>'Allocated Expenses'!N105</f>
        <v>1240.1199999999999</v>
      </c>
      <c r="O102" s="7">
        <f>'Allocated Expenses'!O105</f>
        <v>1240.1199999999999</v>
      </c>
      <c r="P102" s="7">
        <f>'Allocated Expenses'!P105</f>
        <v>1240.1199999999999</v>
      </c>
      <c r="Q102" s="121">
        <f>SUM(E102:P102)</f>
        <v>14881.439999999995</v>
      </c>
      <c r="R102" s="358">
        <f t="shared" si="22"/>
        <v>0.30357894736842095</v>
      </c>
      <c r="S102" s="325"/>
      <c r="T102" s="348"/>
      <c r="U102" s="390"/>
      <c r="V102" s="391"/>
    </row>
    <row r="103" spans="1:22" x14ac:dyDescent="0.35">
      <c r="A103" s="72"/>
      <c r="C103" s="7" t="s">
        <v>70</v>
      </c>
      <c r="E103" s="29">
        <f t="shared" ref="E103:Q103" si="28">SUM(E98:E102)</f>
        <v>1303.2075</v>
      </c>
      <c r="F103" s="29">
        <f t="shared" si="28"/>
        <v>1303.2075</v>
      </c>
      <c r="G103" s="29">
        <f t="shared" si="28"/>
        <v>1303.2075</v>
      </c>
      <c r="H103" s="29">
        <f t="shared" si="28"/>
        <v>1303.2075</v>
      </c>
      <c r="I103" s="29">
        <f t="shared" si="28"/>
        <v>1303.2075</v>
      </c>
      <c r="J103" s="29">
        <f t="shared" si="28"/>
        <v>1303.2075</v>
      </c>
      <c r="K103" s="29">
        <f t="shared" si="28"/>
        <v>1303.2075</v>
      </c>
      <c r="L103" s="29">
        <f t="shared" si="28"/>
        <v>1303.2075</v>
      </c>
      <c r="M103" s="29">
        <f t="shared" si="28"/>
        <v>1303.2075</v>
      </c>
      <c r="N103" s="29">
        <f t="shared" si="28"/>
        <v>1303.2075</v>
      </c>
      <c r="O103" s="29">
        <f t="shared" si="28"/>
        <v>1303.2075</v>
      </c>
      <c r="P103" s="29">
        <f t="shared" si="28"/>
        <v>1303.2075</v>
      </c>
      <c r="Q103" s="130">
        <f t="shared" si="28"/>
        <v>15638.489999999994</v>
      </c>
      <c r="R103" s="359">
        <f t="shared" si="22"/>
        <v>0.31902264381884932</v>
      </c>
      <c r="S103" s="330">
        <v>13710</v>
      </c>
      <c r="T103" s="360">
        <f>IFERROR(Q103/S103-1,"-")</f>
        <v>0.1406630196936538</v>
      </c>
      <c r="U103" s="390"/>
      <c r="V103" s="391"/>
    </row>
    <row r="104" spans="1:22" x14ac:dyDescent="0.35">
      <c r="A104" s="72"/>
      <c r="Q104" s="121"/>
      <c r="R104" s="358"/>
      <c r="S104" s="325"/>
      <c r="T104" s="348"/>
      <c r="U104" s="390"/>
      <c r="V104" s="391"/>
    </row>
    <row r="105" spans="1:22" ht="18" x14ac:dyDescent="0.35">
      <c r="A105" s="72"/>
      <c r="C105" s="30" t="s">
        <v>71</v>
      </c>
      <c r="D105" s="57"/>
      <c r="E105" s="57">
        <f t="shared" ref="E105:P105" si="29">+E75+E79+E84+E88+E90+E92+E94+E96+E103</f>
        <v>5851.3991666666661</v>
      </c>
      <c r="F105" s="57">
        <f t="shared" si="29"/>
        <v>5283.6116666666667</v>
      </c>
      <c r="G105" s="57">
        <f t="shared" si="29"/>
        <v>5283.6116666666667</v>
      </c>
      <c r="H105" s="57">
        <f t="shared" si="29"/>
        <v>6794.2999883641187</v>
      </c>
      <c r="I105" s="57">
        <f t="shared" si="29"/>
        <v>5283.6116666666667</v>
      </c>
      <c r="J105" s="57">
        <f t="shared" si="29"/>
        <v>5283.6116666666667</v>
      </c>
      <c r="K105" s="57">
        <f t="shared" si="29"/>
        <v>5851.3991666666661</v>
      </c>
      <c r="L105" s="57">
        <f t="shared" si="29"/>
        <v>5283.6116666666667</v>
      </c>
      <c r="M105" s="57">
        <f t="shared" si="29"/>
        <v>5283.6116666666667</v>
      </c>
      <c r="N105" s="57">
        <f t="shared" si="29"/>
        <v>5851.3991666666661</v>
      </c>
      <c r="O105" s="57">
        <f t="shared" si="29"/>
        <v>5283.6116666666667</v>
      </c>
      <c r="P105" s="57">
        <f t="shared" si="29"/>
        <v>5283.6116666666667</v>
      </c>
      <c r="Q105" s="129">
        <f>+Q75+Q79+Q84+Q88+Q90+Q92+Q94+Q96+Q103</f>
        <v>66617.390821697438</v>
      </c>
      <c r="R105" s="373">
        <f t="shared" si="22"/>
        <v>1.3589839008914206</v>
      </c>
      <c r="S105" s="335">
        <f t="shared" ref="S105" si="30">+S75+S79+S84+S88+S90+S92+S94+S96+S103</f>
        <v>53926.26</v>
      </c>
      <c r="T105" s="374">
        <f>IFERROR(Q105/S105-1,"-")</f>
        <v>0.23534231414708606</v>
      </c>
      <c r="U105" s="390"/>
      <c r="V105" s="391"/>
    </row>
    <row r="106" spans="1:22" ht="18.5" thickBot="1" x14ac:dyDescent="0.4">
      <c r="A106" s="72"/>
      <c r="Q106" s="123"/>
      <c r="R106" s="361"/>
      <c r="S106" s="331"/>
      <c r="T106" s="362"/>
      <c r="U106" s="390"/>
      <c r="V106" s="391"/>
    </row>
    <row r="107" spans="1:22" s="9" customFormat="1" ht="18" thickBot="1" x14ac:dyDescent="0.4">
      <c r="A107" s="253"/>
      <c r="B107" s="254" t="s">
        <v>72</v>
      </c>
      <c r="C107" s="255"/>
      <c r="D107" s="255"/>
      <c r="E107" s="255">
        <f t="shared" ref="E107:Q107" si="31">+E71+E105</f>
        <v>41481.423868295315</v>
      </c>
      <c r="F107" s="255">
        <f t="shared" si="31"/>
        <v>27417.33636829532</v>
      </c>
      <c r="G107" s="255">
        <f t="shared" si="31"/>
        <v>24369.47636829532</v>
      </c>
      <c r="H107" s="255">
        <f t="shared" si="31"/>
        <v>39708.424689992768</v>
      </c>
      <c r="I107" s="255">
        <f t="shared" si="31"/>
        <v>24671.736368295322</v>
      </c>
      <c r="J107" s="255">
        <f t="shared" si="31"/>
        <v>37444.166368295322</v>
      </c>
      <c r="K107" s="255">
        <f t="shared" si="31"/>
        <v>38836.933868295324</v>
      </c>
      <c r="L107" s="255">
        <f t="shared" si="31"/>
        <v>23550.486368295322</v>
      </c>
      <c r="M107" s="255">
        <f t="shared" si="31"/>
        <v>24359.376368295321</v>
      </c>
      <c r="N107" s="255">
        <f t="shared" si="31"/>
        <v>41398.603868295322</v>
      </c>
      <c r="O107" s="255">
        <f t="shared" si="31"/>
        <v>23176.376368295321</v>
      </c>
      <c r="P107" s="255">
        <f t="shared" si="31"/>
        <v>24842.877491947322</v>
      </c>
      <c r="Q107" s="364">
        <f t="shared" si="31"/>
        <v>371257.21836489323</v>
      </c>
      <c r="R107" s="365">
        <f t="shared" si="22"/>
        <v>7.5735866659504945</v>
      </c>
      <c r="S107" s="333">
        <f>+S71+S105</f>
        <v>414943.94040000002</v>
      </c>
      <c r="T107" s="366">
        <f t="shared" ref="T107" si="32">IFERROR(Q107/S107-1,"-")</f>
        <v>-0.10528343176428467</v>
      </c>
      <c r="U107" s="397"/>
      <c r="V107" s="398"/>
    </row>
    <row r="108" spans="1:22" ht="18.5" thickBot="1" x14ac:dyDescent="0.4">
      <c r="A108" s="72"/>
      <c r="Q108" s="123"/>
      <c r="R108" s="361"/>
      <c r="S108" s="331"/>
      <c r="T108" s="362"/>
      <c r="U108" s="390"/>
      <c r="V108" s="391"/>
    </row>
    <row r="109" spans="1:22" s="9" customFormat="1" ht="18" thickBot="1" x14ac:dyDescent="0.4">
      <c r="A109" s="253"/>
      <c r="B109" s="254" t="s">
        <v>73</v>
      </c>
      <c r="C109" s="255"/>
      <c r="D109" s="255"/>
      <c r="E109" s="255">
        <f t="shared" ref="E109:Q109" si="33">+E24-E107</f>
        <v>-3175.6570682953097</v>
      </c>
      <c r="F109" s="255">
        <f t="shared" si="33"/>
        <v>10756.184431704685</v>
      </c>
      <c r="G109" s="255">
        <f t="shared" si="33"/>
        <v>13414.558631704684</v>
      </c>
      <c r="H109" s="255">
        <f t="shared" si="33"/>
        <v>-2583.1799566594345</v>
      </c>
      <c r="I109" s="255">
        <f t="shared" si="33"/>
        <v>12469.901898371347</v>
      </c>
      <c r="J109" s="255">
        <f t="shared" si="33"/>
        <v>-262.81710162865784</v>
      </c>
      <c r="K109" s="255">
        <f t="shared" si="33"/>
        <v>-1397.4916016286588</v>
      </c>
      <c r="L109" s="255">
        <f t="shared" si="33"/>
        <v>13997.081898371347</v>
      </c>
      <c r="M109" s="255">
        <f t="shared" si="33"/>
        <v>13213.672698371345</v>
      </c>
      <c r="N109" s="255">
        <f t="shared" si="33"/>
        <v>-3891.2512016286564</v>
      </c>
      <c r="O109" s="255">
        <f t="shared" si="33"/>
        <v>14458.103098371343</v>
      </c>
      <c r="P109" s="255">
        <f t="shared" si="33"/>
        <v>12082.610174719346</v>
      </c>
      <c r="Q109" s="364">
        <f t="shared" si="33"/>
        <v>79081.715901773481</v>
      </c>
      <c r="R109" s="365">
        <f t="shared" si="22"/>
        <v>1.6132540983633921</v>
      </c>
      <c r="S109" s="333">
        <f>+S24-S107</f>
        <v>36621.609600000025</v>
      </c>
      <c r="T109" s="366">
        <f t="shared" ref="T109" si="34">IFERROR(Q109/S109-1,"-")</f>
        <v>1.1594276375490997</v>
      </c>
      <c r="U109" s="397"/>
      <c r="V109" s="398"/>
    </row>
    <row r="110" spans="1:22" ht="18" x14ac:dyDescent="0.35">
      <c r="A110" s="72"/>
      <c r="Q110" s="123"/>
      <c r="R110" s="361"/>
      <c r="S110" s="331"/>
      <c r="T110" s="362"/>
      <c r="U110" s="390"/>
      <c r="V110" s="391"/>
    </row>
    <row r="111" spans="1:22" x14ac:dyDescent="0.35">
      <c r="A111" s="72" t="s">
        <v>120</v>
      </c>
      <c r="D111" s="7" t="s">
        <v>74</v>
      </c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21">
        <f>SUM(E111:P111)</f>
        <v>0</v>
      </c>
      <c r="R111" s="358">
        <f t="shared" si="22"/>
        <v>0</v>
      </c>
      <c r="S111" s="325"/>
      <c r="T111" s="348"/>
      <c r="U111" s="390"/>
      <c r="V111" s="391"/>
    </row>
    <row r="112" spans="1:22" x14ac:dyDescent="0.35">
      <c r="A112" s="72" t="s">
        <v>121</v>
      </c>
      <c r="D112" s="7" t="s">
        <v>75</v>
      </c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21">
        <f>SUM(E112:P112)</f>
        <v>0</v>
      </c>
      <c r="R112" s="358">
        <f t="shared" si="22"/>
        <v>0</v>
      </c>
      <c r="S112" s="325"/>
      <c r="T112" s="348"/>
      <c r="U112" s="390"/>
      <c r="V112" s="391"/>
    </row>
    <row r="113" spans="1:22" x14ac:dyDescent="0.35">
      <c r="A113" s="72" t="s">
        <v>122</v>
      </c>
      <c r="D113" s="7" t="s">
        <v>76</v>
      </c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21">
        <f>SUM(E113:P113)</f>
        <v>0</v>
      </c>
      <c r="R113" s="358">
        <f t="shared" si="22"/>
        <v>0</v>
      </c>
      <c r="S113" s="325"/>
      <c r="T113" s="348"/>
      <c r="U113" s="390"/>
      <c r="V113" s="391"/>
    </row>
    <row r="114" spans="1:22" x14ac:dyDescent="0.35">
      <c r="A114" s="72" t="s">
        <v>128</v>
      </c>
      <c r="D114" s="7" t="s">
        <v>77</v>
      </c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21">
        <f>SUM(E114:P114)</f>
        <v>0</v>
      </c>
      <c r="R114" s="358">
        <f t="shared" si="22"/>
        <v>0</v>
      </c>
      <c r="S114" s="325"/>
      <c r="T114" s="348"/>
      <c r="U114" s="390"/>
      <c r="V114" s="391"/>
    </row>
    <row r="115" spans="1:22" x14ac:dyDescent="0.35">
      <c r="A115" s="72"/>
      <c r="C115" s="7" t="s">
        <v>77</v>
      </c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130">
        <f>SUM(Q111:Q114)</f>
        <v>0</v>
      </c>
      <c r="R115" s="359">
        <f t="shared" si="22"/>
        <v>0</v>
      </c>
      <c r="S115" s="330"/>
      <c r="T115" s="360" t="str">
        <f>IFERROR(Q115/S115-1,"-")</f>
        <v>-</v>
      </c>
      <c r="U115" s="390"/>
      <c r="V115" s="391"/>
    </row>
    <row r="116" spans="1:22" x14ac:dyDescent="0.35">
      <c r="A116" s="72"/>
      <c r="Q116" s="121"/>
      <c r="R116" s="358"/>
      <c r="S116" s="325"/>
      <c r="T116" s="348"/>
      <c r="U116" s="390"/>
      <c r="V116" s="391"/>
    </row>
    <row r="117" spans="1:22" x14ac:dyDescent="0.35">
      <c r="A117" s="72" t="s">
        <v>123</v>
      </c>
      <c r="C117" s="7" t="s">
        <v>78</v>
      </c>
      <c r="E117" s="7">
        <f>'Renew &amp; Vac - Rent, TI, LC'!AH33</f>
        <v>0</v>
      </c>
      <c r="F117" s="7">
        <f>'Renew &amp; Vac - Rent, TI, LC'!AI33</f>
        <v>0</v>
      </c>
      <c r="G117" s="7">
        <f>'Renew &amp; Vac - Rent, TI, LC'!AJ33</f>
        <v>0</v>
      </c>
      <c r="H117" s="7">
        <f>'Renew &amp; Vac - Rent, TI, LC'!AK33</f>
        <v>0</v>
      </c>
      <c r="I117" s="7">
        <f>'Renew &amp; Vac - Rent, TI, LC'!AL33</f>
        <v>0</v>
      </c>
      <c r="J117" s="7">
        <f>'Renew &amp; Vac - Rent, TI, LC'!AM33</f>
        <v>0</v>
      </c>
      <c r="K117" s="7">
        <f>'Renew &amp; Vac - Rent, TI, LC'!AN33</f>
        <v>0</v>
      </c>
      <c r="L117" s="7">
        <f>'Renew &amp; Vac - Rent, TI, LC'!AO33</f>
        <v>0</v>
      </c>
      <c r="M117" s="7">
        <f>'Renew &amp; Vac - Rent, TI, LC'!AP33</f>
        <v>0</v>
      </c>
      <c r="N117" s="7">
        <f>'Renew &amp; Vac - Rent, TI, LC'!AQ33</f>
        <v>0</v>
      </c>
      <c r="O117" s="7">
        <f>'Renew &amp; Vac - Rent, TI, LC'!AR33</f>
        <v>0</v>
      </c>
      <c r="P117" s="7">
        <f>'Renew &amp; Vac - Rent, TI, LC'!AS33</f>
        <v>0</v>
      </c>
      <c r="Q117" s="121">
        <f>SUM(E117:P117)</f>
        <v>0</v>
      </c>
      <c r="R117" s="358">
        <f t="shared" si="22"/>
        <v>0</v>
      </c>
      <c r="S117" s="325"/>
      <c r="T117" s="348" t="str">
        <f>IFERROR(Q117/S117-1,"-")</f>
        <v>-</v>
      </c>
      <c r="U117" s="390"/>
      <c r="V117" s="391"/>
    </row>
    <row r="118" spans="1:22" ht="18" x14ac:dyDescent="0.35">
      <c r="A118" s="72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376"/>
      <c r="R118" s="377"/>
      <c r="S118" s="336"/>
      <c r="T118" s="378"/>
      <c r="U118" s="390"/>
      <c r="V118" s="391"/>
    </row>
    <row r="119" spans="1:22" ht="18" x14ac:dyDescent="0.35">
      <c r="A119" s="72" t="s">
        <v>124</v>
      </c>
      <c r="D119" s="7" t="s">
        <v>79</v>
      </c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23">
        <f>SUM(E119:P119)</f>
        <v>0</v>
      </c>
      <c r="R119" s="361">
        <f t="shared" si="22"/>
        <v>0</v>
      </c>
      <c r="S119" s="331"/>
      <c r="T119" s="362"/>
      <c r="U119" s="390"/>
      <c r="V119" s="391"/>
    </row>
    <row r="120" spans="1:22" x14ac:dyDescent="0.35">
      <c r="A120" s="72" t="s">
        <v>124</v>
      </c>
      <c r="B120" s="9"/>
      <c r="D120" s="7" t="s">
        <v>80</v>
      </c>
      <c r="E120" s="16">
        <f>'Renew &amp; Vac - Rent, TI, LC'!AH34</f>
        <v>0</v>
      </c>
      <c r="F120" s="16">
        <f>'Renew &amp; Vac - Rent, TI, LC'!AI34</f>
        <v>0</v>
      </c>
      <c r="G120" s="16">
        <f>'Renew &amp; Vac - Rent, TI, LC'!AJ34</f>
        <v>0</v>
      </c>
      <c r="H120" s="16">
        <f>'Renew &amp; Vac - Rent, TI, LC'!AK34</f>
        <v>0</v>
      </c>
      <c r="I120" s="16">
        <f>'Renew &amp; Vac - Rent, TI, LC'!AL34</f>
        <v>0</v>
      </c>
      <c r="J120" s="16">
        <f>'Renew &amp; Vac - Rent, TI, LC'!AM34</f>
        <v>0</v>
      </c>
      <c r="K120" s="16">
        <f>'Renew &amp; Vac - Rent, TI, LC'!AN34</f>
        <v>0</v>
      </c>
      <c r="L120" s="16">
        <f>'Renew &amp; Vac - Rent, TI, LC'!AO34</f>
        <v>0</v>
      </c>
      <c r="M120" s="16">
        <f>'Renew &amp; Vac - Rent, TI, LC'!AP34</f>
        <v>0</v>
      </c>
      <c r="N120" s="16">
        <f>'Renew &amp; Vac - Rent, TI, LC'!AQ34</f>
        <v>0</v>
      </c>
      <c r="O120" s="16">
        <f>'Renew &amp; Vac - Rent, TI, LC'!AR34</f>
        <v>0</v>
      </c>
      <c r="P120" s="16">
        <f>'Renew &amp; Vac - Rent, TI, LC'!AS34</f>
        <v>0</v>
      </c>
      <c r="Q120" s="128">
        <f>SUM(E120:P120)</f>
        <v>0</v>
      </c>
      <c r="R120" s="371">
        <f t="shared" si="22"/>
        <v>0</v>
      </c>
      <c r="S120" s="338"/>
      <c r="T120" s="363"/>
      <c r="U120" s="390"/>
      <c r="V120" s="391"/>
    </row>
    <row r="121" spans="1:22" x14ac:dyDescent="0.35">
      <c r="A121" s="72"/>
      <c r="C121" s="7" t="s">
        <v>80</v>
      </c>
      <c r="D121" s="31"/>
      <c r="E121" s="7">
        <f t="shared" ref="E121:Q121" si="35">SUM(E119:E120)</f>
        <v>0</v>
      </c>
      <c r="F121" s="7">
        <f t="shared" si="35"/>
        <v>0</v>
      </c>
      <c r="G121" s="7">
        <f t="shared" si="35"/>
        <v>0</v>
      </c>
      <c r="H121" s="7">
        <f t="shared" si="35"/>
        <v>0</v>
      </c>
      <c r="I121" s="7">
        <f t="shared" si="35"/>
        <v>0</v>
      </c>
      <c r="J121" s="7">
        <f t="shared" si="35"/>
        <v>0</v>
      </c>
      <c r="K121" s="7">
        <f t="shared" si="35"/>
        <v>0</v>
      </c>
      <c r="L121" s="7">
        <f t="shared" si="35"/>
        <v>0</v>
      </c>
      <c r="M121" s="7">
        <f t="shared" si="35"/>
        <v>0</v>
      </c>
      <c r="N121" s="7">
        <f t="shared" si="35"/>
        <v>0</v>
      </c>
      <c r="O121" s="7">
        <f t="shared" si="35"/>
        <v>0</v>
      </c>
      <c r="P121" s="7">
        <f t="shared" si="35"/>
        <v>0</v>
      </c>
      <c r="Q121" s="121">
        <f t="shared" si="35"/>
        <v>0</v>
      </c>
      <c r="R121" s="358">
        <f t="shared" si="22"/>
        <v>0</v>
      </c>
      <c r="S121" s="325">
        <v>1050</v>
      </c>
      <c r="T121" s="348">
        <f>IFERROR(Q121/S121-1,"-")</f>
        <v>-1</v>
      </c>
      <c r="U121" s="390"/>
      <c r="V121" s="391" t="s">
        <v>483</v>
      </c>
    </row>
    <row r="122" spans="1:22" s="9" customFormat="1" ht="18.5" thickBot="1" x14ac:dyDescent="0.4">
      <c r="A122" s="74"/>
      <c r="Q122" s="379"/>
      <c r="R122" s="380"/>
      <c r="S122" s="340"/>
      <c r="T122" s="381"/>
      <c r="U122" s="397"/>
      <c r="V122" s="398"/>
    </row>
    <row r="123" spans="1:22" s="9" customFormat="1" ht="18" thickBot="1" x14ac:dyDescent="0.4">
      <c r="A123" s="253"/>
      <c r="B123" s="254" t="s">
        <v>81</v>
      </c>
      <c r="C123" s="255"/>
      <c r="D123" s="255"/>
      <c r="E123" s="255">
        <f t="shared" ref="E123:Q123" si="36">+E109-E115-E117-E121</f>
        <v>-3175.6570682953097</v>
      </c>
      <c r="F123" s="255">
        <f t="shared" si="36"/>
        <v>10756.184431704685</v>
      </c>
      <c r="G123" s="255">
        <f t="shared" si="36"/>
        <v>13414.558631704684</v>
      </c>
      <c r="H123" s="255">
        <f t="shared" si="36"/>
        <v>-2583.1799566594345</v>
      </c>
      <c r="I123" s="255">
        <f t="shared" si="36"/>
        <v>12469.901898371347</v>
      </c>
      <c r="J123" s="255">
        <f t="shared" si="36"/>
        <v>-262.81710162865784</v>
      </c>
      <c r="K123" s="255">
        <f t="shared" si="36"/>
        <v>-1397.4916016286588</v>
      </c>
      <c r="L123" s="255">
        <f t="shared" si="36"/>
        <v>13997.081898371347</v>
      </c>
      <c r="M123" s="255">
        <f t="shared" si="36"/>
        <v>13213.672698371345</v>
      </c>
      <c r="N123" s="255">
        <f t="shared" si="36"/>
        <v>-3891.2512016286564</v>
      </c>
      <c r="O123" s="255">
        <f t="shared" si="36"/>
        <v>14458.103098371343</v>
      </c>
      <c r="P123" s="255">
        <f t="shared" si="36"/>
        <v>12082.610174719346</v>
      </c>
      <c r="Q123" s="364">
        <f t="shared" si="36"/>
        <v>79081.715901773481</v>
      </c>
      <c r="R123" s="382">
        <f t="shared" si="22"/>
        <v>1.6132540983633921</v>
      </c>
      <c r="S123" s="333">
        <f>+S109-S115-S117-S121</f>
        <v>35571.609600000025</v>
      </c>
      <c r="T123" s="366">
        <f t="shared" ref="T123" si="37">IFERROR(Q123/S123-1,"-")</f>
        <v>1.2231694542653875</v>
      </c>
      <c r="U123" s="397"/>
      <c r="V123" s="398"/>
    </row>
    <row r="124" spans="1:22" ht="18" x14ac:dyDescent="0.35">
      <c r="A124" s="72"/>
      <c r="Q124" s="121"/>
      <c r="R124" s="358"/>
      <c r="S124" s="331"/>
      <c r="T124" s="362"/>
      <c r="U124" s="390"/>
      <c r="V124" s="391"/>
    </row>
    <row r="125" spans="1:22" x14ac:dyDescent="0.35">
      <c r="A125" s="72"/>
      <c r="B125" s="7" t="s">
        <v>82</v>
      </c>
      <c r="Q125" s="121"/>
      <c r="R125" s="358"/>
      <c r="S125" s="325"/>
      <c r="T125" s="348"/>
      <c r="U125" s="390"/>
      <c r="V125" s="391"/>
    </row>
    <row r="126" spans="1:22" x14ac:dyDescent="0.35">
      <c r="A126" s="72" t="s">
        <v>127</v>
      </c>
      <c r="C126" s="7" t="s">
        <v>83</v>
      </c>
      <c r="E126" s="7">
        <f>'Allocated Expenses'!E113</f>
        <v>8057.7</v>
      </c>
      <c r="F126" s="7">
        <f>'Allocated Expenses'!F113</f>
        <v>8057.7</v>
      </c>
      <c r="G126" s="7">
        <f>'Allocated Expenses'!G113</f>
        <v>8057.7</v>
      </c>
      <c r="H126" s="7">
        <f>'Allocated Expenses'!H113</f>
        <v>8057.7</v>
      </c>
      <c r="I126" s="7">
        <f>'Allocated Expenses'!I113</f>
        <v>8057.7</v>
      </c>
      <c r="J126" s="7">
        <f>'Allocated Expenses'!J113</f>
        <v>8057.7</v>
      </c>
      <c r="K126" s="7">
        <f>'Allocated Expenses'!K113</f>
        <v>8057.7</v>
      </c>
      <c r="L126" s="7">
        <f>'Allocated Expenses'!L113</f>
        <v>8057.7</v>
      </c>
      <c r="M126" s="7">
        <f>'Allocated Expenses'!M113</f>
        <v>8057.7</v>
      </c>
      <c r="N126" s="7">
        <f>'Allocated Expenses'!N113</f>
        <v>8057.7</v>
      </c>
      <c r="O126" s="7">
        <f>'Allocated Expenses'!O113</f>
        <v>8057.7</v>
      </c>
      <c r="P126" s="7">
        <f>'Allocated Expenses'!P113</f>
        <v>8057.7</v>
      </c>
      <c r="Q126" s="121">
        <f>SUM(E126:P126)</f>
        <v>96692.39999999998</v>
      </c>
      <c r="R126" s="358">
        <f t="shared" si="22"/>
        <v>1.9725091799265602</v>
      </c>
      <c r="S126" s="325">
        <v>98167</v>
      </c>
      <c r="T126" s="348">
        <f t="shared" ref="T126:T127" si="38">IFERROR(Q126/S126-1,"-")</f>
        <v>-1.5021341183901082E-2</v>
      </c>
      <c r="U126" s="390"/>
      <c r="V126" s="391"/>
    </row>
    <row r="127" spans="1:22" x14ac:dyDescent="0.35">
      <c r="A127" s="72" t="s">
        <v>144</v>
      </c>
      <c r="C127" s="7" t="s">
        <v>84</v>
      </c>
      <c r="E127" s="7">
        <f>+'Allocated Expenses'!E125</f>
        <v>0</v>
      </c>
      <c r="F127" s="7">
        <f>+'Allocated Expenses'!F125</f>
        <v>0</v>
      </c>
      <c r="G127" s="7">
        <f>+'Allocated Expenses'!G125</f>
        <v>0</v>
      </c>
      <c r="H127" s="7">
        <f>+'Allocated Expenses'!H125</f>
        <v>0</v>
      </c>
      <c r="I127" s="7">
        <f>+'Allocated Expenses'!I125</f>
        <v>0</v>
      </c>
      <c r="J127" s="7">
        <f>+'Allocated Expenses'!J125</f>
        <v>0</v>
      </c>
      <c r="K127" s="7">
        <f>+'Allocated Expenses'!K125</f>
        <v>0</v>
      </c>
      <c r="L127" s="7">
        <f>+'Allocated Expenses'!L125</f>
        <v>0</v>
      </c>
      <c r="M127" s="7">
        <f>+'Allocated Expenses'!M125</f>
        <v>0</v>
      </c>
      <c r="N127" s="7">
        <f>+'Allocated Expenses'!N125</f>
        <v>0</v>
      </c>
      <c r="O127" s="7">
        <f>+'Allocated Expenses'!O125</f>
        <v>0</v>
      </c>
      <c r="P127" s="7">
        <f>+'Allocated Expenses'!P125</f>
        <v>0</v>
      </c>
      <c r="Q127" s="121">
        <f>SUM(E127:P127)</f>
        <v>0</v>
      </c>
      <c r="R127" s="358">
        <f t="shared" si="22"/>
        <v>0</v>
      </c>
      <c r="S127" s="325">
        <v>10696.010000000009</v>
      </c>
      <c r="T127" s="348">
        <f t="shared" si="38"/>
        <v>-1</v>
      </c>
      <c r="U127" s="390"/>
      <c r="V127" s="391"/>
    </row>
    <row r="128" spans="1:22" x14ac:dyDescent="0.35">
      <c r="A128" s="72" t="s">
        <v>145</v>
      </c>
      <c r="C128" s="7" t="s">
        <v>85</v>
      </c>
      <c r="Q128" s="121">
        <f>SUM(E128:P128)</f>
        <v>0</v>
      </c>
      <c r="R128" s="358">
        <f t="shared" si="22"/>
        <v>0</v>
      </c>
      <c r="S128" s="325"/>
      <c r="T128" s="348" t="str">
        <f>IFERROR(Q128/S128-1,"-")</f>
        <v>-</v>
      </c>
      <c r="U128" s="390"/>
      <c r="V128" s="391"/>
    </row>
    <row r="129" spans="1:22" x14ac:dyDescent="0.35">
      <c r="A129" s="72"/>
      <c r="C129" s="7" t="s">
        <v>86</v>
      </c>
      <c r="E129" s="29">
        <f t="shared" ref="E129:Q129" si="39">SUM(E126:E128)</f>
        <v>8057.7</v>
      </c>
      <c r="F129" s="29">
        <f t="shared" si="39"/>
        <v>8057.7</v>
      </c>
      <c r="G129" s="29">
        <f t="shared" si="39"/>
        <v>8057.7</v>
      </c>
      <c r="H129" s="29">
        <f t="shared" si="39"/>
        <v>8057.7</v>
      </c>
      <c r="I129" s="29">
        <f t="shared" si="39"/>
        <v>8057.7</v>
      </c>
      <c r="J129" s="29">
        <f t="shared" si="39"/>
        <v>8057.7</v>
      </c>
      <c r="K129" s="29">
        <f t="shared" si="39"/>
        <v>8057.7</v>
      </c>
      <c r="L129" s="29">
        <f t="shared" si="39"/>
        <v>8057.7</v>
      </c>
      <c r="M129" s="29">
        <f t="shared" si="39"/>
        <v>8057.7</v>
      </c>
      <c r="N129" s="29">
        <f t="shared" si="39"/>
        <v>8057.7</v>
      </c>
      <c r="O129" s="29">
        <f t="shared" si="39"/>
        <v>8057.7</v>
      </c>
      <c r="P129" s="29">
        <f t="shared" si="39"/>
        <v>8057.7</v>
      </c>
      <c r="Q129" s="130">
        <f t="shared" si="39"/>
        <v>96692.39999999998</v>
      </c>
      <c r="R129" s="359">
        <f t="shared" si="22"/>
        <v>1.9725091799265602</v>
      </c>
      <c r="S129" s="330">
        <f t="shared" ref="S129" si="40">SUM(S126:S128)</f>
        <v>108863.01000000001</v>
      </c>
      <c r="T129" s="360">
        <f>IFERROR(Q129/S129-1,"-")</f>
        <v>-0.11179747831701536</v>
      </c>
      <c r="U129" s="390"/>
      <c r="V129" s="391"/>
    </row>
    <row r="130" spans="1:22" ht="18.5" thickBot="1" x14ac:dyDescent="0.4">
      <c r="A130" s="72"/>
      <c r="Q130" s="121"/>
      <c r="R130" s="358"/>
      <c r="S130" s="331"/>
      <c r="T130" s="362"/>
      <c r="U130" s="390"/>
      <c r="V130" s="391"/>
    </row>
    <row r="131" spans="1:22" s="9" customFormat="1" ht="18" thickBot="1" x14ac:dyDescent="0.4">
      <c r="A131" s="253"/>
      <c r="B131" s="254" t="s">
        <v>87</v>
      </c>
      <c r="C131" s="255"/>
      <c r="D131" s="255"/>
      <c r="E131" s="255">
        <f t="shared" ref="E131:Q131" si="41">+E123-E129</f>
        <v>-11233.35706829531</v>
      </c>
      <c r="F131" s="255">
        <f t="shared" si="41"/>
        <v>2698.4844317046854</v>
      </c>
      <c r="G131" s="255">
        <f t="shared" si="41"/>
        <v>5356.8586317046838</v>
      </c>
      <c r="H131" s="255">
        <f t="shared" si="41"/>
        <v>-10640.879956659435</v>
      </c>
      <c r="I131" s="255">
        <f t="shared" si="41"/>
        <v>4412.2018983713469</v>
      </c>
      <c r="J131" s="255">
        <f t="shared" si="41"/>
        <v>-8320.5171016286586</v>
      </c>
      <c r="K131" s="255">
        <f t="shared" si="41"/>
        <v>-9455.1916016286596</v>
      </c>
      <c r="L131" s="255">
        <f t="shared" si="41"/>
        <v>5939.3818983713472</v>
      </c>
      <c r="M131" s="255">
        <f t="shared" si="41"/>
        <v>5155.9726983713454</v>
      </c>
      <c r="N131" s="255">
        <f t="shared" si="41"/>
        <v>-11948.951201628657</v>
      </c>
      <c r="O131" s="255">
        <f t="shared" si="41"/>
        <v>6400.4030983713428</v>
      </c>
      <c r="P131" s="255">
        <f t="shared" si="41"/>
        <v>4024.9101747193463</v>
      </c>
      <c r="Q131" s="364">
        <f t="shared" si="41"/>
        <v>-17610.684098226498</v>
      </c>
      <c r="R131" s="382">
        <f t="shared" si="22"/>
        <v>-0.35925508156316804</v>
      </c>
      <c r="S131" s="333">
        <f>+S123-S129</f>
        <v>-73291.400399999984</v>
      </c>
      <c r="T131" s="366">
        <f t="shared" ref="T131" si="42">IFERROR(Q131/S131-1,"-")</f>
        <v>-0.75971691082291692</v>
      </c>
      <c r="U131" s="397"/>
      <c r="V131" s="398"/>
    </row>
    <row r="132" spans="1:22" ht="18" x14ac:dyDescent="0.35">
      <c r="A132" s="75"/>
      <c r="B132" s="9"/>
      <c r="C132" s="33"/>
      <c r="S132" s="383"/>
      <c r="T132" s="384"/>
    </row>
    <row r="133" spans="1:22" s="9" customFormat="1" ht="17.5" x14ac:dyDescent="0.3">
      <c r="A133" s="75"/>
      <c r="C133" s="33"/>
      <c r="D133" s="34"/>
      <c r="S133" s="383"/>
      <c r="T133" s="384"/>
      <c r="U133" s="263"/>
      <c r="V133" s="33"/>
    </row>
    <row r="134" spans="1:22" ht="18" x14ac:dyDescent="0.35">
      <c r="A134" s="72"/>
      <c r="S134" s="383"/>
      <c r="T134" s="384"/>
    </row>
    <row r="135" spans="1:22" ht="18" x14ac:dyDescent="0.35">
      <c r="A135" s="50"/>
      <c r="D135" s="8" t="str">
        <f>"Budget Import - "&amp;B1</f>
        <v>Budget Import - 3620</v>
      </c>
      <c r="E135" s="456">
        <v>5</v>
      </c>
      <c r="F135" s="457">
        <f>E135+1</f>
        <v>6</v>
      </c>
      <c r="G135" s="457">
        <f t="shared" ref="G135:P135" si="43">F135+1</f>
        <v>7</v>
      </c>
      <c r="H135" s="457">
        <f t="shared" si="43"/>
        <v>8</v>
      </c>
      <c r="I135" s="457">
        <f t="shared" si="43"/>
        <v>9</v>
      </c>
      <c r="J135" s="457">
        <f t="shared" si="43"/>
        <v>10</v>
      </c>
      <c r="K135" s="457">
        <f t="shared" si="43"/>
        <v>11</v>
      </c>
      <c r="L135" s="457">
        <f t="shared" si="43"/>
        <v>12</v>
      </c>
      <c r="M135" s="457">
        <f t="shared" si="43"/>
        <v>13</v>
      </c>
      <c r="N135" s="457">
        <f t="shared" si="43"/>
        <v>14</v>
      </c>
      <c r="O135" s="457">
        <f t="shared" si="43"/>
        <v>15</v>
      </c>
      <c r="P135" s="457">
        <f t="shared" si="43"/>
        <v>16</v>
      </c>
      <c r="Q135" s="457" t="s">
        <v>609</v>
      </c>
    </row>
    <row r="136" spans="1:22" ht="16.5" thickBot="1" x14ac:dyDescent="0.4">
      <c r="A136" s="50"/>
      <c r="D136" s="7" t="s">
        <v>95</v>
      </c>
      <c r="E136" s="7">
        <v>1</v>
      </c>
      <c r="F136" s="7">
        <v>2</v>
      </c>
      <c r="G136" s="7">
        <v>3</v>
      </c>
      <c r="H136" s="7">
        <v>4</v>
      </c>
      <c r="I136" s="7">
        <v>5</v>
      </c>
      <c r="J136" s="7">
        <v>6</v>
      </c>
      <c r="K136" s="7">
        <v>7</v>
      </c>
      <c r="L136" s="7">
        <v>8</v>
      </c>
      <c r="M136" s="7">
        <v>9</v>
      </c>
      <c r="N136" s="7">
        <v>10</v>
      </c>
      <c r="O136" s="7">
        <v>11</v>
      </c>
      <c r="P136" s="7">
        <v>12</v>
      </c>
      <c r="Q136" s="14" t="s">
        <v>12</v>
      </c>
    </row>
    <row r="137" spans="1:22" x14ac:dyDescent="0.35">
      <c r="A137" s="419" t="str">
        <f>VLOOKUP($D137,$A$10:$D$130,3,FALSE)</f>
        <v>Rental Income - In Place</v>
      </c>
      <c r="D137" s="63" t="s">
        <v>131</v>
      </c>
      <c r="E137" s="64">
        <f>-(VLOOKUP($D137,$A$10:$P$131,E$135,FALSE)+E11)</f>
        <v>-33934.975000000006</v>
      </c>
      <c r="F137" s="64">
        <f t="shared" ref="F137:P137" si="44">-(VLOOKUP($D137,$A$10:$P$131,F$135,FALSE)+F11)</f>
        <v>-33934.975000000006</v>
      </c>
      <c r="G137" s="64">
        <f t="shared" si="44"/>
        <v>-33934.975000000006</v>
      </c>
      <c r="H137" s="64">
        <f t="shared" si="44"/>
        <v>-33850.388333333336</v>
      </c>
      <c r="I137" s="64">
        <f t="shared" si="44"/>
        <v>-33932.051666666666</v>
      </c>
      <c r="J137" s="64">
        <f t="shared" si="44"/>
        <v>-33882.176666666666</v>
      </c>
      <c r="K137" s="64">
        <f t="shared" si="44"/>
        <v>-33882.176666666666</v>
      </c>
      <c r="L137" s="64">
        <f t="shared" si="44"/>
        <v>-33900.716666666667</v>
      </c>
      <c r="M137" s="64">
        <f t="shared" si="44"/>
        <v>-34187.276666666665</v>
      </c>
      <c r="N137" s="64">
        <f t="shared" si="44"/>
        <v>-34187.276666666665</v>
      </c>
      <c r="O137" s="64">
        <f t="shared" si="44"/>
        <v>-34187.276666666665</v>
      </c>
      <c r="P137" s="65">
        <f t="shared" si="44"/>
        <v>-32797.901666666665</v>
      </c>
      <c r="Q137" s="7">
        <f>SUM(E137:P137)</f>
        <v>-406612.16666666669</v>
      </c>
      <c r="R137" s="14"/>
    </row>
    <row r="138" spans="1:22" x14ac:dyDescent="0.35">
      <c r="A138" s="419" t="str">
        <f t="shared" ref="A138:A171" si="45">VLOOKUP($D138,$A$10:$D$130,3,FALSE)</f>
        <v>Electric</v>
      </c>
      <c r="D138" s="66" t="s">
        <v>97</v>
      </c>
      <c r="E138" s="67">
        <f t="shared" ref="E138:P140" si="46">-VLOOKUP($D138,$A$10:$P$131,E$135,FALSE)</f>
        <v>-2270.7918</v>
      </c>
      <c r="F138" s="67">
        <f t="shared" si="46"/>
        <v>-2138.5457999999999</v>
      </c>
      <c r="G138" s="67">
        <f t="shared" si="46"/>
        <v>-1749.06</v>
      </c>
      <c r="H138" s="67">
        <f t="shared" si="46"/>
        <v>-1174.8563999999999</v>
      </c>
      <c r="I138" s="67">
        <f t="shared" si="46"/>
        <v>-1109.5865999999999</v>
      </c>
      <c r="J138" s="67">
        <f t="shared" si="46"/>
        <v>-1199.1725999999999</v>
      </c>
      <c r="K138" s="67">
        <f t="shared" si="46"/>
        <v>-1457.2655999999999</v>
      </c>
      <c r="L138" s="67">
        <f t="shared" si="46"/>
        <v>-1546.8516</v>
      </c>
      <c r="M138" s="67">
        <f t="shared" si="46"/>
        <v>-1285.7723999999998</v>
      </c>
      <c r="N138" s="67">
        <f t="shared" si="46"/>
        <v>-1220.076</v>
      </c>
      <c r="O138" s="67">
        <f t="shared" si="46"/>
        <v>-1347.2028</v>
      </c>
      <c r="P138" s="68">
        <f t="shared" si="46"/>
        <v>-2027.586</v>
      </c>
      <c r="Q138" s="7">
        <f t="shared" ref="Q138:Q171" si="47">SUM(E138:P138)</f>
        <v>-18526.767599999999</v>
      </c>
      <c r="R138" s="14"/>
    </row>
    <row r="139" spans="1:22" x14ac:dyDescent="0.35">
      <c r="A139" s="419" t="str">
        <f t="shared" si="45"/>
        <v>Common Area Maintenance</v>
      </c>
      <c r="D139" s="66" t="s">
        <v>98</v>
      </c>
      <c r="E139" s="67">
        <f t="shared" si="46"/>
        <v>-1900</v>
      </c>
      <c r="F139" s="67">
        <f t="shared" si="46"/>
        <v>-1900</v>
      </c>
      <c r="G139" s="67">
        <f t="shared" si="46"/>
        <v>-1900</v>
      </c>
      <c r="H139" s="67">
        <f t="shared" si="46"/>
        <v>-1900</v>
      </c>
      <c r="I139" s="67">
        <f t="shared" si="46"/>
        <v>-1900</v>
      </c>
      <c r="J139" s="67">
        <f t="shared" si="46"/>
        <v>-1900</v>
      </c>
      <c r="K139" s="67">
        <f t="shared" si="46"/>
        <v>-1900</v>
      </c>
      <c r="L139" s="67">
        <f t="shared" si="46"/>
        <v>-1900</v>
      </c>
      <c r="M139" s="67">
        <f t="shared" si="46"/>
        <v>-1900</v>
      </c>
      <c r="N139" s="67">
        <f t="shared" si="46"/>
        <v>-1900</v>
      </c>
      <c r="O139" s="67">
        <f t="shared" si="46"/>
        <v>-1900</v>
      </c>
      <c r="P139" s="68">
        <f t="shared" si="46"/>
        <v>-1900</v>
      </c>
      <c r="Q139" s="7">
        <f t="shared" si="47"/>
        <v>-22800</v>
      </c>
      <c r="R139" s="14"/>
    </row>
    <row r="140" spans="1:22" x14ac:dyDescent="0.35">
      <c r="A140" s="419" t="str">
        <f t="shared" si="45"/>
        <v>Real Estate Taxes</v>
      </c>
      <c r="D140" s="66" t="s">
        <v>99</v>
      </c>
      <c r="E140" s="67">
        <f t="shared" si="46"/>
        <v>-200</v>
      </c>
      <c r="F140" s="67">
        <f t="shared" si="46"/>
        <v>-200</v>
      </c>
      <c r="G140" s="67">
        <f t="shared" si="46"/>
        <v>-200</v>
      </c>
      <c r="H140" s="67">
        <f t="shared" si="46"/>
        <v>-200</v>
      </c>
      <c r="I140" s="67">
        <f t="shared" si="46"/>
        <v>-200</v>
      </c>
      <c r="J140" s="67">
        <f t="shared" si="46"/>
        <v>-200</v>
      </c>
      <c r="K140" s="67">
        <f t="shared" si="46"/>
        <v>-200</v>
      </c>
      <c r="L140" s="67">
        <f t="shared" si="46"/>
        <v>-200</v>
      </c>
      <c r="M140" s="67">
        <f t="shared" si="46"/>
        <v>-200</v>
      </c>
      <c r="N140" s="67">
        <f t="shared" si="46"/>
        <v>-200</v>
      </c>
      <c r="O140" s="67">
        <f t="shared" si="46"/>
        <v>-200</v>
      </c>
      <c r="P140" s="68">
        <f t="shared" si="46"/>
        <v>-200</v>
      </c>
      <c r="Q140" s="7">
        <f t="shared" si="47"/>
        <v>-2400</v>
      </c>
      <c r="R140" s="14"/>
    </row>
    <row r="141" spans="1:22" x14ac:dyDescent="0.35">
      <c r="A141" s="419" t="str">
        <f t="shared" si="45"/>
        <v>Insurance</v>
      </c>
      <c r="D141" s="66" t="s">
        <v>134</v>
      </c>
      <c r="E141" s="67">
        <f>-VLOOKUP($D141,$A$10:$P$131,E$135,FALSE)</f>
        <v>0</v>
      </c>
      <c r="F141" s="67">
        <f t="shared" ref="F141:P141" si="48">-VLOOKUP($D141,$A$10:$P$131,F$135,FALSE)</f>
        <v>0</v>
      </c>
      <c r="G141" s="67">
        <f t="shared" si="48"/>
        <v>0</v>
      </c>
      <c r="H141" s="67">
        <f t="shared" si="48"/>
        <v>0</v>
      </c>
      <c r="I141" s="67">
        <f t="shared" si="48"/>
        <v>0</v>
      </c>
      <c r="J141" s="67">
        <f t="shared" si="48"/>
        <v>0</v>
      </c>
      <c r="K141" s="67">
        <f t="shared" si="48"/>
        <v>0</v>
      </c>
      <c r="L141" s="67">
        <f t="shared" si="48"/>
        <v>0</v>
      </c>
      <c r="M141" s="67">
        <f t="shared" si="48"/>
        <v>0</v>
      </c>
      <c r="N141" s="67">
        <f t="shared" si="48"/>
        <v>0</v>
      </c>
      <c r="O141" s="67">
        <f t="shared" si="48"/>
        <v>0</v>
      </c>
      <c r="P141" s="68">
        <f t="shared" si="48"/>
        <v>0</v>
      </c>
      <c r="Q141" s="7">
        <f>SUM(E141:P141)</f>
        <v>0</v>
      </c>
      <c r="R141" s="14"/>
    </row>
    <row r="142" spans="1:22" x14ac:dyDescent="0.35">
      <c r="A142" s="419" t="str">
        <f t="shared" si="45"/>
        <v>Maintenance Salaries</v>
      </c>
      <c r="D142" s="66" t="s">
        <v>100</v>
      </c>
      <c r="E142" s="67">
        <f>VLOOKUP($D142,$A$10:$P$131,E$135,FALSE)</f>
        <v>1376.0833333333333</v>
      </c>
      <c r="F142" s="67">
        <f t="shared" ref="F142:P157" si="49">VLOOKUP($D142,$A$10:$P$131,F$135,FALSE)</f>
        <v>1376.0833333333333</v>
      </c>
      <c r="G142" s="67">
        <f t="shared" si="49"/>
        <v>1376.0833333333333</v>
      </c>
      <c r="H142" s="67">
        <f t="shared" si="49"/>
        <v>1376.0833333333333</v>
      </c>
      <c r="I142" s="67">
        <f t="shared" si="49"/>
        <v>1376.0833333333333</v>
      </c>
      <c r="J142" s="67">
        <f t="shared" si="49"/>
        <v>1376.0833333333333</v>
      </c>
      <c r="K142" s="67">
        <f t="shared" si="49"/>
        <v>1376.0833333333333</v>
      </c>
      <c r="L142" s="67">
        <f t="shared" si="49"/>
        <v>1376.0833333333333</v>
      </c>
      <c r="M142" s="67">
        <f t="shared" si="49"/>
        <v>1376.0833333333333</v>
      </c>
      <c r="N142" s="67">
        <f t="shared" si="49"/>
        <v>1376.0833333333333</v>
      </c>
      <c r="O142" s="67">
        <f t="shared" si="49"/>
        <v>1376.0833333333333</v>
      </c>
      <c r="P142" s="68">
        <f t="shared" si="49"/>
        <v>1376.0833333333333</v>
      </c>
      <c r="Q142" s="7">
        <f t="shared" si="47"/>
        <v>16513.000000000004</v>
      </c>
      <c r="R142" s="14"/>
    </row>
    <row r="143" spans="1:22" x14ac:dyDescent="0.35">
      <c r="A143" s="419" t="str">
        <f t="shared" si="45"/>
        <v>Electric</v>
      </c>
      <c r="D143" s="66" t="s">
        <v>101</v>
      </c>
      <c r="E143" s="67">
        <f t="shared" ref="E143:P171" si="50">VLOOKUP($D143,$A$10:$P$131,E$135,FALSE)</f>
        <v>5323</v>
      </c>
      <c r="F143" s="67">
        <f t="shared" si="49"/>
        <v>5013</v>
      </c>
      <c r="G143" s="67">
        <f t="shared" si="49"/>
        <v>4100</v>
      </c>
      <c r="H143" s="67">
        <f t="shared" si="49"/>
        <v>2754</v>
      </c>
      <c r="I143" s="67">
        <f t="shared" si="49"/>
        <v>2601</v>
      </c>
      <c r="J143" s="67">
        <f t="shared" si="49"/>
        <v>2811</v>
      </c>
      <c r="K143" s="67">
        <f t="shared" si="49"/>
        <v>3416</v>
      </c>
      <c r="L143" s="67">
        <f t="shared" si="49"/>
        <v>3626</v>
      </c>
      <c r="M143" s="67">
        <f t="shared" si="49"/>
        <v>3014</v>
      </c>
      <c r="N143" s="67">
        <f t="shared" si="49"/>
        <v>2860</v>
      </c>
      <c r="O143" s="67">
        <f t="shared" si="49"/>
        <v>3158</v>
      </c>
      <c r="P143" s="68">
        <f t="shared" si="49"/>
        <v>4955</v>
      </c>
      <c r="Q143" s="7">
        <f t="shared" si="47"/>
        <v>43631</v>
      </c>
      <c r="R143" s="14"/>
    </row>
    <row r="144" spans="1:22" x14ac:dyDescent="0.35">
      <c r="A144" s="419" t="str">
        <f t="shared" si="45"/>
        <v>Water &amp; Sewer</v>
      </c>
      <c r="D144" s="66" t="s">
        <v>102</v>
      </c>
      <c r="E144" s="67">
        <f t="shared" si="50"/>
        <v>1320.46</v>
      </c>
      <c r="F144" s="67">
        <f t="shared" si="49"/>
        <v>1207.1600000000001</v>
      </c>
      <c r="G144" s="67">
        <f t="shared" si="49"/>
        <v>1658.3000000000002</v>
      </c>
      <c r="H144" s="67">
        <f t="shared" si="49"/>
        <v>259.56</v>
      </c>
      <c r="I144" s="67">
        <f t="shared" si="49"/>
        <v>259.56</v>
      </c>
      <c r="J144" s="67">
        <f t="shared" si="49"/>
        <v>445.99</v>
      </c>
      <c r="K144" s="67">
        <f t="shared" si="49"/>
        <v>616.97</v>
      </c>
      <c r="L144" s="67">
        <f t="shared" si="49"/>
        <v>697.31</v>
      </c>
      <c r="M144" s="67">
        <f t="shared" si="49"/>
        <v>762.2</v>
      </c>
      <c r="N144" s="67">
        <f t="shared" si="49"/>
        <v>1326.64</v>
      </c>
      <c r="O144" s="67">
        <f t="shared" si="49"/>
        <v>253.38</v>
      </c>
      <c r="P144" s="68">
        <f t="shared" si="49"/>
        <v>1413.16</v>
      </c>
      <c r="Q144" s="7">
        <f t="shared" si="47"/>
        <v>10220.69</v>
      </c>
      <c r="R144" s="14"/>
    </row>
    <row r="145" spans="1:18" x14ac:dyDescent="0.35">
      <c r="A145" s="419" t="str">
        <f t="shared" si="45"/>
        <v>Building Maintenance</v>
      </c>
      <c r="D145" s="66" t="s">
        <v>103</v>
      </c>
      <c r="E145" s="67">
        <f t="shared" si="50"/>
        <v>4046</v>
      </c>
      <c r="F145" s="67">
        <f t="shared" si="49"/>
        <v>5391</v>
      </c>
      <c r="G145" s="67">
        <f t="shared" si="49"/>
        <v>2821</v>
      </c>
      <c r="H145" s="67">
        <f t="shared" si="49"/>
        <v>5007</v>
      </c>
      <c r="I145" s="67">
        <f t="shared" si="49"/>
        <v>6046</v>
      </c>
      <c r="J145" s="67">
        <f t="shared" si="49"/>
        <v>18421</v>
      </c>
      <c r="K145" s="67">
        <f t="shared" si="49"/>
        <v>4046</v>
      </c>
      <c r="L145" s="67">
        <f t="shared" si="49"/>
        <v>3446</v>
      </c>
      <c r="M145" s="67">
        <f t="shared" si="49"/>
        <v>4801</v>
      </c>
      <c r="N145" s="67">
        <f t="shared" si="49"/>
        <v>6452</v>
      </c>
      <c r="O145" s="67">
        <f t="shared" si="49"/>
        <v>3946</v>
      </c>
      <c r="P145" s="68">
        <f t="shared" si="49"/>
        <v>2796</v>
      </c>
      <c r="Q145" s="7">
        <f t="shared" si="47"/>
        <v>67219</v>
      </c>
      <c r="R145" s="14"/>
    </row>
    <row r="146" spans="1:18" x14ac:dyDescent="0.35">
      <c r="A146" s="419" t="str">
        <f t="shared" si="45"/>
        <v>Parking Lot Maintenance</v>
      </c>
      <c r="D146" s="66" t="s">
        <v>135</v>
      </c>
      <c r="E146" s="67">
        <f t="shared" si="50"/>
        <v>0</v>
      </c>
      <c r="F146" s="67">
        <f t="shared" si="49"/>
        <v>0</v>
      </c>
      <c r="G146" s="67">
        <f t="shared" si="49"/>
        <v>0</v>
      </c>
      <c r="H146" s="67">
        <f t="shared" si="49"/>
        <v>0</v>
      </c>
      <c r="I146" s="67">
        <f t="shared" si="49"/>
        <v>0</v>
      </c>
      <c r="J146" s="67">
        <f t="shared" si="49"/>
        <v>0</v>
      </c>
      <c r="K146" s="67">
        <f t="shared" si="49"/>
        <v>0</v>
      </c>
      <c r="L146" s="67">
        <f t="shared" si="49"/>
        <v>0</v>
      </c>
      <c r="M146" s="67">
        <f t="shared" si="49"/>
        <v>0</v>
      </c>
      <c r="N146" s="67">
        <f t="shared" si="49"/>
        <v>0</v>
      </c>
      <c r="O146" s="67">
        <f t="shared" si="49"/>
        <v>0</v>
      </c>
      <c r="P146" s="68">
        <f t="shared" si="49"/>
        <v>0</v>
      </c>
      <c r="Q146" s="7">
        <f t="shared" si="47"/>
        <v>0</v>
      </c>
      <c r="R146" s="14"/>
    </row>
    <row r="147" spans="1:18" x14ac:dyDescent="0.35">
      <c r="A147" s="419" t="str">
        <f t="shared" si="45"/>
        <v>Snow Removal</v>
      </c>
      <c r="D147" s="66" t="s">
        <v>105</v>
      </c>
      <c r="E147" s="67">
        <f t="shared" si="50"/>
        <v>0</v>
      </c>
      <c r="F147" s="67">
        <f t="shared" si="49"/>
        <v>0</v>
      </c>
      <c r="G147" s="67">
        <f t="shared" si="49"/>
        <v>0</v>
      </c>
      <c r="H147" s="67">
        <f t="shared" si="49"/>
        <v>0</v>
      </c>
      <c r="I147" s="67">
        <f t="shared" si="49"/>
        <v>0</v>
      </c>
      <c r="J147" s="67">
        <f t="shared" si="49"/>
        <v>0</v>
      </c>
      <c r="K147" s="67">
        <f t="shared" si="49"/>
        <v>0</v>
      </c>
      <c r="L147" s="67">
        <f t="shared" si="49"/>
        <v>0</v>
      </c>
      <c r="M147" s="67">
        <f t="shared" si="49"/>
        <v>0</v>
      </c>
      <c r="N147" s="67">
        <f t="shared" si="49"/>
        <v>0</v>
      </c>
      <c r="O147" s="67">
        <f t="shared" si="49"/>
        <v>0</v>
      </c>
      <c r="P147" s="68">
        <f t="shared" si="49"/>
        <v>0</v>
      </c>
      <c r="Q147" s="7">
        <f t="shared" si="47"/>
        <v>0</v>
      </c>
      <c r="R147" s="14"/>
    </row>
    <row r="148" spans="1:18" x14ac:dyDescent="0.35">
      <c r="A148" s="419" t="str">
        <f t="shared" si="45"/>
        <v>Landscaping</v>
      </c>
      <c r="D148" s="66" t="s">
        <v>106</v>
      </c>
      <c r="E148" s="67">
        <f t="shared" si="50"/>
        <v>0</v>
      </c>
      <c r="F148" s="67">
        <f t="shared" si="49"/>
        <v>0</v>
      </c>
      <c r="G148" s="67">
        <f t="shared" si="49"/>
        <v>0</v>
      </c>
      <c r="H148" s="67">
        <f t="shared" si="49"/>
        <v>0</v>
      </c>
      <c r="I148" s="67">
        <f t="shared" si="49"/>
        <v>0</v>
      </c>
      <c r="J148" s="67">
        <f t="shared" si="49"/>
        <v>0</v>
      </c>
      <c r="K148" s="67">
        <f t="shared" si="49"/>
        <v>0</v>
      </c>
      <c r="L148" s="67">
        <f t="shared" si="49"/>
        <v>0</v>
      </c>
      <c r="M148" s="67">
        <f t="shared" si="49"/>
        <v>0</v>
      </c>
      <c r="N148" s="67">
        <f t="shared" si="49"/>
        <v>0</v>
      </c>
      <c r="O148" s="67">
        <f t="shared" si="49"/>
        <v>0</v>
      </c>
      <c r="P148" s="68">
        <f t="shared" si="49"/>
        <v>0</v>
      </c>
      <c r="Q148" s="7">
        <f t="shared" si="47"/>
        <v>0</v>
      </c>
      <c r="R148" s="14"/>
    </row>
    <row r="149" spans="1:18" x14ac:dyDescent="0.35">
      <c r="A149" s="419" t="str">
        <f t="shared" si="45"/>
        <v>Security</v>
      </c>
      <c r="D149" s="66" t="s">
        <v>107</v>
      </c>
      <c r="E149" s="67">
        <f t="shared" si="50"/>
        <v>0</v>
      </c>
      <c r="F149" s="67">
        <f t="shared" si="49"/>
        <v>0</v>
      </c>
      <c r="G149" s="67">
        <f t="shared" si="49"/>
        <v>0</v>
      </c>
      <c r="H149" s="67">
        <f t="shared" si="49"/>
        <v>0</v>
      </c>
      <c r="I149" s="67">
        <f t="shared" si="49"/>
        <v>0</v>
      </c>
      <c r="J149" s="67">
        <f t="shared" si="49"/>
        <v>0</v>
      </c>
      <c r="K149" s="67">
        <f t="shared" si="49"/>
        <v>0</v>
      </c>
      <c r="L149" s="67">
        <f t="shared" si="49"/>
        <v>0</v>
      </c>
      <c r="M149" s="67">
        <f t="shared" si="49"/>
        <v>0</v>
      </c>
      <c r="N149" s="67">
        <f t="shared" si="49"/>
        <v>0</v>
      </c>
      <c r="O149" s="67">
        <f t="shared" si="49"/>
        <v>0</v>
      </c>
      <c r="P149" s="68">
        <f t="shared" si="49"/>
        <v>0</v>
      </c>
      <c r="Q149" s="7">
        <f t="shared" si="47"/>
        <v>0</v>
      </c>
      <c r="R149" s="14"/>
    </row>
    <row r="150" spans="1:18" x14ac:dyDescent="0.35">
      <c r="A150" s="419" t="str">
        <f t="shared" si="45"/>
        <v>Management Fee</v>
      </c>
      <c r="D150" s="66" t="s">
        <v>108</v>
      </c>
      <c r="E150" s="67">
        <f t="shared" si="50"/>
        <v>1532</v>
      </c>
      <c r="F150" s="67">
        <f t="shared" si="49"/>
        <v>1527</v>
      </c>
      <c r="G150" s="67">
        <f t="shared" si="49"/>
        <v>1511</v>
      </c>
      <c r="H150" s="67">
        <f t="shared" si="49"/>
        <v>1485</v>
      </c>
      <c r="I150" s="67">
        <f t="shared" si="49"/>
        <v>1486</v>
      </c>
      <c r="J150" s="67">
        <f t="shared" si="49"/>
        <v>1487</v>
      </c>
      <c r="K150" s="67">
        <f t="shared" si="49"/>
        <v>1498</v>
      </c>
      <c r="L150" s="67">
        <f t="shared" si="49"/>
        <v>1502</v>
      </c>
      <c r="M150" s="67">
        <f t="shared" si="49"/>
        <v>1503</v>
      </c>
      <c r="N150" s="67">
        <f t="shared" si="49"/>
        <v>1500</v>
      </c>
      <c r="O150" s="67">
        <f t="shared" si="49"/>
        <v>1505</v>
      </c>
      <c r="P150" s="68">
        <f t="shared" si="49"/>
        <v>1477</v>
      </c>
      <c r="Q150" s="7">
        <f t="shared" si="47"/>
        <v>18013</v>
      </c>
      <c r="R150" s="14"/>
    </row>
    <row r="151" spans="1:18" x14ac:dyDescent="0.35">
      <c r="A151" s="419" t="str">
        <f t="shared" si="45"/>
        <v>Trash Removal</v>
      </c>
      <c r="D151" s="66" t="s">
        <v>109</v>
      </c>
      <c r="E151" s="67">
        <f t="shared" si="50"/>
        <v>0</v>
      </c>
      <c r="F151" s="67">
        <f t="shared" si="49"/>
        <v>0</v>
      </c>
      <c r="G151" s="67">
        <f t="shared" si="49"/>
        <v>0</v>
      </c>
      <c r="H151" s="67">
        <f t="shared" si="49"/>
        <v>0</v>
      </c>
      <c r="I151" s="67">
        <f t="shared" si="49"/>
        <v>0</v>
      </c>
      <c r="J151" s="67">
        <f t="shared" si="49"/>
        <v>0</v>
      </c>
      <c r="K151" s="67">
        <f t="shared" si="49"/>
        <v>0</v>
      </c>
      <c r="L151" s="67">
        <f t="shared" si="49"/>
        <v>0</v>
      </c>
      <c r="M151" s="67">
        <f t="shared" si="49"/>
        <v>0</v>
      </c>
      <c r="N151" s="67">
        <f t="shared" si="49"/>
        <v>0</v>
      </c>
      <c r="O151" s="67">
        <f t="shared" si="49"/>
        <v>0</v>
      </c>
      <c r="P151" s="68">
        <f t="shared" si="49"/>
        <v>0</v>
      </c>
      <c r="Q151" s="7">
        <f t="shared" si="47"/>
        <v>0</v>
      </c>
      <c r="R151" s="14"/>
    </row>
    <row r="152" spans="1:18" x14ac:dyDescent="0.35">
      <c r="A152" s="419" t="str">
        <f t="shared" si="45"/>
        <v>Real Estate Taxes</v>
      </c>
      <c r="D152" s="66" t="s">
        <v>110</v>
      </c>
      <c r="E152" s="67">
        <f t="shared" si="50"/>
        <v>3549.5327952000002</v>
      </c>
      <c r="F152" s="67">
        <f t="shared" si="49"/>
        <v>3549.5327952000002</v>
      </c>
      <c r="G152" s="67">
        <f t="shared" si="49"/>
        <v>3549.5327952000002</v>
      </c>
      <c r="H152" s="67">
        <f t="shared" si="49"/>
        <v>3549.5327952000002</v>
      </c>
      <c r="I152" s="67">
        <f t="shared" si="49"/>
        <v>3549.5327952000002</v>
      </c>
      <c r="J152" s="67">
        <f t="shared" si="49"/>
        <v>3549.5327952000002</v>
      </c>
      <c r="K152" s="67">
        <f t="shared" si="49"/>
        <v>3549.5327952000002</v>
      </c>
      <c r="L152" s="67">
        <f t="shared" si="49"/>
        <v>3549.5327952000002</v>
      </c>
      <c r="M152" s="67">
        <f t="shared" si="49"/>
        <v>3549.5327952000002</v>
      </c>
      <c r="N152" s="67">
        <f t="shared" si="49"/>
        <v>3549.5327952000002</v>
      </c>
      <c r="O152" s="67">
        <f t="shared" si="49"/>
        <v>3549.5327952000002</v>
      </c>
      <c r="P152" s="68">
        <f t="shared" si="49"/>
        <v>3549.5327952000002</v>
      </c>
      <c r="Q152" s="7">
        <f t="shared" si="47"/>
        <v>42594.393542400001</v>
      </c>
      <c r="R152" s="14"/>
    </row>
    <row r="153" spans="1:18" x14ac:dyDescent="0.35">
      <c r="A153" s="419" t="str">
        <f t="shared" si="45"/>
        <v>Insurance</v>
      </c>
      <c r="D153" s="66" t="s">
        <v>111</v>
      </c>
      <c r="E153" s="67">
        <f t="shared" si="50"/>
        <v>1741</v>
      </c>
      <c r="F153" s="67">
        <f t="shared" si="49"/>
        <v>1741</v>
      </c>
      <c r="G153" s="67">
        <f t="shared" si="49"/>
        <v>1741</v>
      </c>
      <c r="H153" s="67">
        <f t="shared" si="49"/>
        <v>1741</v>
      </c>
      <c r="I153" s="67">
        <f t="shared" si="49"/>
        <v>1741</v>
      </c>
      <c r="J153" s="67">
        <f t="shared" si="49"/>
        <v>1741</v>
      </c>
      <c r="K153" s="67">
        <f t="shared" si="49"/>
        <v>1741</v>
      </c>
      <c r="L153" s="67">
        <f t="shared" si="49"/>
        <v>1741</v>
      </c>
      <c r="M153" s="67">
        <f t="shared" si="49"/>
        <v>1741</v>
      </c>
      <c r="N153" s="67">
        <f t="shared" si="49"/>
        <v>1741</v>
      </c>
      <c r="O153" s="67">
        <f t="shared" si="49"/>
        <v>1775.82</v>
      </c>
      <c r="P153" s="68">
        <f t="shared" si="49"/>
        <v>1775.82</v>
      </c>
      <c r="Q153" s="7">
        <f t="shared" si="47"/>
        <v>20961.64</v>
      </c>
      <c r="R153" s="14"/>
    </row>
    <row r="154" spans="1:18" x14ac:dyDescent="0.35">
      <c r="A154" s="419" t="str">
        <f t="shared" si="45"/>
        <v>Cleaning &amp; Supplies</v>
      </c>
      <c r="D154" s="66" t="s">
        <v>112</v>
      </c>
      <c r="E154" s="67">
        <f t="shared" si="50"/>
        <v>2328.9485730953206</v>
      </c>
      <c r="F154" s="67">
        <f t="shared" si="49"/>
        <v>2328.9485730953206</v>
      </c>
      <c r="G154" s="67">
        <f t="shared" si="49"/>
        <v>2328.9485730953206</v>
      </c>
      <c r="H154" s="67">
        <f t="shared" si="49"/>
        <v>2328.9485730953206</v>
      </c>
      <c r="I154" s="67">
        <f t="shared" si="49"/>
        <v>2328.9485730953206</v>
      </c>
      <c r="J154" s="67">
        <f t="shared" si="49"/>
        <v>2328.9485730953206</v>
      </c>
      <c r="K154" s="67">
        <f t="shared" si="49"/>
        <v>2328.9485730953206</v>
      </c>
      <c r="L154" s="67">
        <f t="shared" si="49"/>
        <v>2328.9485730953206</v>
      </c>
      <c r="M154" s="67">
        <f t="shared" si="49"/>
        <v>2328.9485730953206</v>
      </c>
      <c r="N154" s="67">
        <f t="shared" si="49"/>
        <v>2328.9485730953206</v>
      </c>
      <c r="O154" s="67">
        <f t="shared" si="49"/>
        <v>2328.9485730953206</v>
      </c>
      <c r="P154" s="68">
        <f t="shared" si="49"/>
        <v>2216.6696967473208</v>
      </c>
      <c r="Q154" s="7">
        <f t="shared" si="47"/>
        <v>27835.104000795847</v>
      </c>
      <c r="R154" s="14"/>
    </row>
    <row r="155" spans="1:18" x14ac:dyDescent="0.35">
      <c r="A155" s="419" t="str">
        <f t="shared" si="45"/>
        <v>Other - Condo Fee</v>
      </c>
      <c r="D155" s="66" t="s">
        <v>268</v>
      </c>
      <c r="E155" s="67">
        <f t="shared" si="50"/>
        <v>14412.999999999998</v>
      </c>
      <c r="F155" s="67">
        <f t="shared" si="49"/>
        <v>0</v>
      </c>
      <c r="G155" s="67">
        <f t="shared" si="49"/>
        <v>0</v>
      </c>
      <c r="H155" s="67">
        <f t="shared" si="49"/>
        <v>14412.999999999998</v>
      </c>
      <c r="I155" s="67">
        <f t="shared" si="49"/>
        <v>0</v>
      </c>
      <c r="J155" s="67">
        <f t="shared" si="49"/>
        <v>0</v>
      </c>
      <c r="K155" s="67">
        <f t="shared" si="49"/>
        <v>14412.999999999998</v>
      </c>
      <c r="L155" s="67">
        <f t="shared" si="49"/>
        <v>0</v>
      </c>
      <c r="M155" s="67">
        <f t="shared" si="49"/>
        <v>0</v>
      </c>
      <c r="N155" s="67">
        <f t="shared" si="49"/>
        <v>14412.999999999998</v>
      </c>
      <c r="O155" s="67">
        <f t="shared" si="49"/>
        <v>0</v>
      </c>
      <c r="P155" s="68">
        <f t="shared" si="49"/>
        <v>0</v>
      </c>
      <c r="Q155" s="7">
        <f t="shared" ref="Q155" si="51">SUM(E155:P155)</f>
        <v>57651.999999999993</v>
      </c>
      <c r="R155" s="14"/>
    </row>
    <row r="156" spans="1:18" x14ac:dyDescent="0.35">
      <c r="A156" s="419" t="str">
        <f>VLOOKUP($D156,$A$10:$D$130,4,FALSE)</f>
        <v>Salaries &amp; Wages</v>
      </c>
      <c r="D156" s="66" t="s">
        <v>113</v>
      </c>
      <c r="E156" s="67">
        <f t="shared" si="50"/>
        <v>1704.8208333333332</v>
      </c>
      <c r="F156" s="67">
        <f t="shared" si="49"/>
        <v>1704.8208333333332</v>
      </c>
      <c r="G156" s="67">
        <f t="shared" si="49"/>
        <v>1704.8208333333332</v>
      </c>
      <c r="H156" s="67">
        <f t="shared" si="49"/>
        <v>1704.8208333333332</v>
      </c>
      <c r="I156" s="67">
        <f t="shared" si="49"/>
        <v>1704.8208333333332</v>
      </c>
      <c r="J156" s="67">
        <f t="shared" si="49"/>
        <v>1704.8208333333332</v>
      </c>
      <c r="K156" s="67">
        <f t="shared" si="49"/>
        <v>1704.8208333333332</v>
      </c>
      <c r="L156" s="67">
        <f t="shared" si="49"/>
        <v>1704.8208333333332</v>
      </c>
      <c r="M156" s="67">
        <f t="shared" si="49"/>
        <v>1704.8208333333332</v>
      </c>
      <c r="N156" s="67">
        <f t="shared" si="49"/>
        <v>1704.8208333333332</v>
      </c>
      <c r="O156" s="67">
        <f t="shared" si="49"/>
        <v>1704.8208333333332</v>
      </c>
      <c r="P156" s="68">
        <f t="shared" si="49"/>
        <v>1704.8208333333332</v>
      </c>
      <c r="Q156" s="7">
        <f t="shared" si="47"/>
        <v>20457.849999999999</v>
      </c>
      <c r="R156" s="14"/>
    </row>
    <row r="157" spans="1:18" x14ac:dyDescent="0.35">
      <c r="A157" s="419" t="str">
        <f>VLOOKUP($D157,$A$10:$D$130,4,FALSE)</f>
        <v>Commissions-Internal Broker</v>
      </c>
      <c r="D157" s="66" t="s">
        <v>114</v>
      </c>
      <c r="E157" s="67">
        <f t="shared" si="50"/>
        <v>567.78749999999991</v>
      </c>
      <c r="F157" s="67">
        <f t="shared" si="49"/>
        <v>0</v>
      </c>
      <c r="G157" s="67">
        <f t="shared" si="49"/>
        <v>0</v>
      </c>
      <c r="H157" s="67">
        <f t="shared" si="49"/>
        <v>567.78749999999991</v>
      </c>
      <c r="I157" s="67">
        <f t="shared" si="49"/>
        <v>0</v>
      </c>
      <c r="J157" s="67">
        <f t="shared" si="49"/>
        <v>0</v>
      </c>
      <c r="K157" s="67">
        <f t="shared" si="49"/>
        <v>567.78749999999991</v>
      </c>
      <c r="L157" s="67">
        <f t="shared" si="49"/>
        <v>0</v>
      </c>
      <c r="M157" s="67">
        <f t="shared" si="49"/>
        <v>0</v>
      </c>
      <c r="N157" s="67">
        <f t="shared" si="49"/>
        <v>567.78749999999991</v>
      </c>
      <c r="O157" s="67">
        <f t="shared" si="49"/>
        <v>0</v>
      </c>
      <c r="P157" s="68">
        <f t="shared" si="49"/>
        <v>0</v>
      </c>
      <c r="Q157" s="7">
        <f t="shared" si="47"/>
        <v>2271.1499999999996</v>
      </c>
      <c r="R157" s="14"/>
    </row>
    <row r="158" spans="1:18" x14ac:dyDescent="0.35">
      <c r="A158" s="419" t="str">
        <f>VLOOKUP($D158,$A$10:$D$130,3,FALSE)</f>
        <v>Building Maintenance</v>
      </c>
      <c r="D158" s="66" t="s">
        <v>115</v>
      </c>
      <c r="E158" s="67">
        <f t="shared" si="50"/>
        <v>937.30000000000007</v>
      </c>
      <c r="F158" s="67">
        <f t="shared" si="50"/>
        <v>937.30000000000007</v>
      </c>
      <c r="G158" s="67">
        <f t="shared" si="50"/>
        <v>937.30000000000007</v>
      </c>
      <c r="H158" s="67">
        <f t="shared" si="50"/>
        <v>937.30000000000007</v>
      </c>
      <c r="I158" s="67">
        <f t="shared" si="50"/>
        <v>937.30000000000007</v>
      </c>
      <c r="J158" s="67">
        <f t="shared" si="50"/>
        <v>937.30000000000007</v>
      </c>
      <c r="K158" s="67">
        <f t="shared" si="50"/>
        <v>937.30000000000007</v>
      </c>
      <c r="L158" s="67">
        <f t="shared" si="50"/>
        <v>937.30000000000007</v>
      </c>
      <c r="M158" s="67">
        <f t="shared" si="50"/>
        <v>937.30000000000007</v>
      </c>
      <c r="N158" s="67">
        <f t="shared" si="50"/>
        <v>937.30000000000007</v>
      </c>
      <c r="O158" s="67">
        <f t="shared" si="50"/>
        <v>937.30000000000007</v>
      </c>
      <c r="P158" s="68">
        <f t="shared" si="50"/>
        <v>937.30000000000007</v>
      </c>
      <c r="Q158" s="7">
        <f t="shared" si="47"/>
        <v>11247.599999999999</v>
      </c>
      <c r="R158" s="14"/>
    </row>
    <row r="159" spans="1:18" x14ac:dyDescent="0.35">
      <c r="A159" s="419" t="str">
        <f t="shared" si="45"/>
        <v>Marketing</v>
      </c>
      <c r="D159" s="66" t="s">
        <v>116</v>
      </c>
      <c r="E159" s="67">
        <f t="shared" si="50"/>
        <v>437.5</v>
      </c>
      <c r="F159" s="67">
        <f t="shared" si="50"/>
        <v>437.5</v>
      </c>
      <c r="G159" s="67">
        <f t="shared" si="50"/>
        <v>437.5</v>
      </c>
      <c r="H159" s="67">
        <f t="shared" si="50"/>
        <v>437.5</v>
      </c>
      <c r="I159" s="67">
        <f t="shared" si="50"/>
        <v>437.5</v>
      </c>
      <c r="J159" s="67">
        <f t="shared" si="50"/>
        <v>437.5</v>
      </c>
      <c r="K159" s="67">
        <f t="shared" si="50"/>
        <v>437.5</v>
      </c>
      <c r="L159" s="67">
        <f t="shared" si="50"/>
        <v>437.5</v>
      </c>
      <c r="M159" s="67">
        <f t="shared" si="50"/>
        <v>437.5</v>
      </c>
      <c r="N159" s="67">
        <f t="shared" si="50"/>
        <v>437.5</v>
      </c>
      <c r="O159" s="67">
        <f t="shared" si="50"/>
        <v>437.5</v>
      </c>
      <c r="P159" s="68">
        <f t="shared" si="50"/>
        <v>437.5</v>
      </c>
      <c r="Q159" s="7">
        <f t="shared" si="47"/>
        <v>5250</v>
      </c>
      <c r="R159" s="14"/>
    </row>
    <row r="160" spans="1:18" x14ac:dyDescent="0.35">
      <c r="A160" s="419" t="str">
        <f t="shared" si="45"/>
        <v>Business Taxes</v>
      </c>
      <c r="D160" s="66" t="s">
        <v>117</v>
      </c>
      <c r="E160" s="67">
        <f t="shared" si="50"/>
        <v>0</v>
      </c>
      <c r="F160" s="67">
        <f t="shared" si="50"/>
        <v>0</v>
      </c>
      <c r="G160" s="67">
        <f t="shared" si="50"/>
        <v>0</v>
      </c>
      <c r="H160" s="67">
        <f t="shared" si="50"/>
        <v>942.90082169745256</v>
      </c>
      <c r="I160" s="67">
        <f t="shared" si="50"/>
        <v>0</v>
      </c>
      <c r="J160" s="67">
        <f t="shared" si="50"/>
        <v>0</v>
      </c>
      <c r="K160" s="67">
        <f t="shared" si="50"/>
        <v>0</v>
      </c>
      <c r="L160" s="67">
        <f t="shared" si="50"/>
        <v>0</v>
      </c>
      <c r="M160" s="67">
        <f t="shared" si="50"/>
        <v>0</v>
      </c>
      <c r="N160" s="67">
        <f t="shared" si="50"/>
        <v>0</v>
      </c>
      <c r="O160" s="67">
        <f t="shared" si="50"/>
        <v>0</v>
      </c>
      <c r="P160" s="68">
        <f t="shared" si="50"/>
        <v>0</v>
      </c>
      <c r="Q160" s="7">
        <f t="shared" si="47"/>
        <v>942.90082169745256</v>
      </c>
      <c r="R160" s="14"/>
    </row>
    <row r="161" spans="1:18" x14ac:dyDescent="0.35">
      <c r="A161" s="419" t="str">
        <f t="shared" si="45"/>
        <v>Legal &amp; Accounting</v>
      </c>
      <c r="D161" s="66" t="s">
        <v>118</v>
      </c>
      <c r="E161" s="67">
        <f t="shared" si="50"/>
        <v>900.7833333333333</v>
      </c>
      <c r="F161" s="67">
        <f t="shared" si="50"/>
        <v>900.7833333333333</v>
      </c>
      <c r="G161" s="67">
        <f t="shared" si="50"/>
        <v>900.7833333333333</v>
      </c>
      <c r="H161" s="67">
        <f t="shared" si="50"/>
        <v>900.7833333333333</v>
      </c>
      <c r="I161" s="67">
        <f t="shared" si="50"/>
        <v>900.7833333333333</v>
      </c>
      <c r="J161" s="67">
        <f t="shared" si="50"/>
        <v>900.7833333333333</v>
      </c>
      <c r="K161" s="67">
        <f t="shared" si="50"/>
        <v>900.7833333333333</v>
      </c>
      <c r="L161" s="67">
        <f t="shared" si="50"/>
        <v>900.7833333333333</v>
      </c>
      <c r="M161" s="67">
        <f t="shared" si="50"/>
        <v>900.7833333333333</v>
      </c>
      <c r="N161" s="67">
        <f t="shared" si="50"/>
        <v>900.7833333333333</v>
      </c>
      <c r="O161" s="67">
        <f t="shared" si="50"/>
        <v>900.7833333333333</v>
      </c>
      <c r="P161" s="68">
        <f t="shared" si="50"/>
        <v>900.7833333333333</v>
      </c>
      <c r="Q161" s="7">
        <f t="shared" si="47"/>
        <v>10809.399999999996</v>
      </c>
      <c r="R161" s="14"/>
    </row>
    <row r="162" spans="1:18" x14ac:dyDescent="0.35">
      <c r="A162" s="419" t="str">
        <f>VLOOKUP($D162,$A$10:$D$130,4,FALSE)</f>
        <v>Bank Fees</v>
      </c>
      <c r="D162" s="66" t="s">
        <v>125</v>
      </c>
      <c r="E162" s="67">
        <f t="shared" si="50"/>
        <v>55.877499999999998</v>
      </c>
      <c r="F162" s="67">
        <f t="shared" si="50"/>
        <v>55.877499999999998</v>
      </c>
      <c r="G162" s="67">
        <f t="shared" si="50"/>
        <v>55.877499999999998</v>
      </c>
      <c r="H162" s="67">
        <f t="shared" si="50"/>
        <v>55.877499999999998</v>
      </c>
      <c r="I162" s="67">
        <f t="shared" si="50"/>
        <v>55.877499999999998</v>
      </c>
      <c r="J162" s="67">
        <f t="shared" si="50"/>
        <v>55.877499999999998</v>
      </c>
      <c r="K162" s="67">
        <f t="shared" si="50"/>
        <v>55.877499999999998</v>
      </c>
      <c r="L162" s="67">
        <f t="shared" si="50"/>
        <v>55.877499999999998</v>
      </c>
      <c r="M162" s="67">
        <f t="shared" si="50"/>
        <v>55.877499999999998</v>
      </c>
      <c r="N162" s="67">
        <f t="shared" si="50"/>
        <v>55.877499999999998</v>
      </c>
      <c r="O162" s="67">
        <f t="shared" si="50"/>
        <v>55.877499999999998</v>
      </c>
      <c r="P162" s="68">
        <f t="shared" si="50"/>
        <v>55.877499999999998</v>
      </c>
      <c r="Q162" s="7">
        <f t="shared" si="47"/>
        <v>670.53</v>
      </c>
      <c r="R162" s="14"/>
    </row>
    <row r="163" spans="1:18" x14ac:dyDescent="0.35">
      <c r="A163" s="419" t="str">
        <f>VLOOKUP($D163,$A$10:$D$130,4,FALSE)</f>
        <v>Other G&amp;A Expense</v>
      </c>
      <c r="D163" s="66" t="s">
        <v>126</v>
      </c>
      <c r="E163" s="67">
        <f t="shared" si="50"/>
        <v>7.21</v>
      </c>
      <c r="F163" s="67">
        <f t="shared" si="50"/>
        <v>7.21</v>
      </c>
      <c r="G163" s="67">
        <f t="shared" si="50"/>
        <v>7.21</v>
      </c>
      <c r="H163" s="67">
        <f t="shared" si="50"/>
        <v>7.21</v>
      </c>
      <c r="I163" s="67">
        <f t="shared" si="50"/>
        <v>7.21</v>
      </c>
      <c r="J163" s="67">
        <f t="shared" si="50"/>
        <v>7.21</v>
      </c>
      <c r="K163" s="67">
        <f t="shared" si="50"/>
        <v>7.21</v>
      </c>
      <c r="L163" s="67">
        <f t="shared" si="50"/>
        <v>7.21</v>
      </c>
      <c r="M163" s="67">
        <f t="shared" si="50"/>
        <v>7.21</v>
      </c>
      <c r="N163" s="67">
        <f t="shared" si="50"/>
        <v>7.21</v>
      </c>
      <c r="O163" s="67">
        <f t="shared" si="50"/>
        <v>7.21</v>
      </c>
      <c r="P163" s="68">
        <f t="shared" si="50"/>
        <v>7.21</v>
      </c>
      <c r="Q163" s="7">
        <f t="shared" si="47"/>
        <v>86.519999999999982</v>
      </c>
      <c r="R163" s="14"/>
    </row>
    <row r="164" spans="1:18" x14ac:dyDescent="0.35">
      <c r="A164" s="419" t="str">
        <f t="shared" ref="A164:A167" si="52">VLOOKUP($D164,$A$10:$D$130,4,FALSE)</f>
        <v>Other G&amp;A-allocated from LIK</v>
      </c>
      <c r="D164" s="66" t="s">
        <v>119</v>
      </c>
      <c r="E164" s="67">
        <f t="shared" si="50"/>
        <v>1240.1199999999999</v>
      </c>
      <c r="F164" s="67">
        <f t="shared" si="50"/>
        <v>1240.1199999999999</v>
      </c>
      <c r="G164" s="67">
        <f t="shared" si="50"/>
        <v>1240.1199999999999</v>
      </c>
      <c r="H164" s="67">
        <f t="shared" si="50"/>
        <v>1240.1199999999999</v>
      </c>
      <c r="I164" s="67">
        <f t="shared" si="50"/>
        <v>1240.1199999999999</v>
      </c>
      <c r="J164" s="67">
        <f t="shared" si="50"/>
        <v>1240.1199999999999</v>
      </c>
      <c r="K164" s="67">
        <f t="shared" si="50"/>
        <v>1240.1199999999999</v>
      </c>
      <c r="L164" s="67">
        <f t="shared" si="50"/>
        <v>1240.1199999999999</v>
      </c>
      <c r="M164" s="67">
        <f t="shared" si="50"/>
        <v>1240.1199999999999</v>
      </c>
      <c r="N164" s="67">
        <f t="shared" si="50"/>
        <v>1240.1199999999999</v>
      </c>
      <c r="O164" s="67">
        <f t="shared" si="50"/>
        <v>1240.1199999999999</v>
      </c>
      <c r="P164" s="68">
        <f t="shared" si="50"/>
        <v>1240.1199999999999</v>
      </c>
      <c r="Q164" s="7">
        <f t="shared" si="47"/>
        <v>14881.439999999995</v>
      </c>
      <c r="R164" s="14"/>
    </row>
    <row r="165" spans="1:18" x14ac:dyDescent="0.35">
      <c r="A165" s="419" t="str">
        <f t="shared" si="52"/>
        <v>Land Improvements</v>
      </c>
      <c r="D165" s="66" t="s">
        <v>120</v>
      </c>
      <c r="E165" s="67">
        <f t="shared" si="50"/>
        <v>0</v>
      </c>
      <c r="F165" s="67">
        <f t="shared" si="50"/>
        <v>0</v>
      </c>
      <c r="G165" s="67">
        <f t="shared" si="50"/>
        <v>0</v>
      </c>
      <c r="H165" s="67">
        <f t="shared" si="50"/>
        <v>0</v>
      </c>
      <c r="I165" s="67">
        <f t="shared" si="50"/>
        <v>0</v>
      </c>
      <c r="J165" s="67">
        <f t="shared" si="50"/>
        <v>0</v>
      </c>
      <c r="K165" s="67">
        <f t="shared" si="50"/>
        <v>0</v>
      </c>
      <c r="L165" s="67">
        <f t="shared" si="50"/>
        <v>0</v>
      </c>
      <c r="M165" s="67">
        <f t="shared" si="50"/>
        <v>0</v>
      </c>
      <c r="N165" s="67">
        <f t="shared" si="50"/>
        <v>0</v>
      </c>
      <c r="O165" s="67">
        <f t="shared" si="50"/>
        <v>0</v>
      </c>
      <c r="P165" s="68">
        <f t="shared" si="50"/>
        <v>0</v>
      </c>
      <c r="Q165" s="7">
        <f t="shared" si="47"/>
        <v>0</v>
      </c>
      <c r="R165" s="14"/>
    </row>
    <row r="166" spans="1:18" x14ac:dyDescent="0.35">
      <c r="A166" s="419" t="str">
        <f t="shared" si="52"/>
        <v>Buildings</v>
      </c>
      <c r="D166" s="66" t="s">
        <v>121</v>
      </c>
      <c r="E166" s="67">
        <f t="shared" si="50"/>
        <v>0</v>
      </c>
      <c r="F166" s="67">
        <f t="shared" si="50"/>
        <v>0</v>
      </c>
      <c r="G166" s="67">
        <f t="shared" si="50"/>
        <v>0</v>
      </c>
      <c r="H166" s="67">
        <f t="shared" si="50"/>
        <v>0</v>
      </c>
      <c r="I166" s="67">
        <f t="shared" si="50"/>
        <v>0</v>
      </c>
      <c r="J166" s="67">
        <f t="shared" si="50"/>
        <v>0</v>
      </c>
      <c r="K166" s="67">
        <f t="shared" si="50"/>
        <v>0</v>
      </c>
      <c r="L166" s="67">
        <f t="shared" si="50"/>
        <v>0</v>
      </c>
      <c r="M166" s="67">
        <f t="shared" si="50"/>
        <v>0</v>
      </c>
      <c r="N166" s="67">
        <f t="shared" si="50"/>
        <v>0</v>
      </c>
      <c r="O166" s="67">
        <f t="shared" si="50"/>
        <v>0</v>
      </c>
      <c r="P166" s="68">
        <f t="shared" si="50"/>
        <v>0</v>
      </c>
      <c r="Q166" s="7">
        <f t="shared" si="47"/>
        <v>0</v>
      </c>
      <c r="R166" s="14"/>
    </row>
    <row r="167" spans="1:18" x14ac:dyDescent="0.35">
      <c r="A167" s="419" t="str">
        <f t="shared" si="52"/>
        <v>Equipment</v>
      </c>
      <c r="D167" s="66" t="s">
        <v>122</v>
      </c>
      <c r="E167" s="67">
        <f t="shared" si="50"/>
        <v>0</v>
      </c>
      <c r="F167" s="67">
        <f t="shared" si="50"/>
        <v>0</v>
      </c>
      <c r="G167" s="67">
        <f t="shared" si="50"/>
        <v>0</v>
      </c>
      <c r="H167" s="67">
        <f t="shared" si="50"/>
        <v>0</v>
      </c>
      <c r="I167" s="67">
        <f t="shared" si="50"/>
        <v>0</v>
      </c>
      <c r="J167" s="67">
        <f t="shared" si="50"/>
        <v>0</v>
      </c>
      <c r="K167" s="67">
        <f t="shared" si="50"/>
        <v>0</v>
      </c>
      <c r="L167" s="67">
        <f t="shared" si="50"/>
        <v>0</v>
      </c>
      <c r="M167" s="67">
        <f t="shared" si="50"/>
        <v>0</v>
      </c>
      <c r="N167" s="67">
        <f t="shared" si="50"/>
        <v>0</v>
      </c>
      <c r="O167" s="67">
        <f t="shared" si="50"/>
        <v>0</v>
      </c>
      <c r="P167" s="68">
        <f t="shared" si="50"/>
        <v>0</v>
      </c>
      <c r="Q167" s="7">
        <f t="shared" si="47"/>
        <v>0</v>
      </c>
      <c r="R167" s="14"/>
    </row>
    <row r="168" spans="1:18" x14ac:dyDescent="0.35">
      <c r="A168" s="419" t="str">
        <f>VLOOKUP($D168,$A$10:$D$130,3,FALSE)</f>
        <v>Tenant Improvements</v>
      </c>
      <c r="D168" s="66" t="s">
        <v>123</v>
      </c>
      <c r="E168" s="67">
        <f t="shared" si="50"/>
        <v>0</v>
      </c>
      <c r="F168" s="67">
        <f t="shared" si="50"/>
        <v>0</v>
      </c>
      <c r="G168" s="67">
        <f t="shared" si="50"/>
        <v>0</v>
      </c>
      <c r="H168" s="67">
        <f t="shared" si="50"/>
        <v>0</v>
      </c>
      <c r="I168" s="67">
        <f t="shared" si="50"/>
        <v>0</v>
      </c>
      <c r="J168" s="67">
        <f t="shared" si="50"/>
        <v>0</v>
      </c>
      <c r="K168" s="67">
        <f t="shared" si="50"/>
        <v>0</v>
      </c>
      <c r="L168" s="67">
        <f t="shared" si="50"/>
        <v>0</v>
      </c>
      <c r="M168" s="67">
        <f t="shared" si="50"/>
        <v>0</v>
      </c>
      <c r="N168" s="67">
        <f t="shared" si="50"/>
        <v>0</v>
      </c>
      <c r="O168" s="67">
        <f t="shared" si="50"/>
        <v>0</v>
      </c>
      <c r="P168" s="68">
        <f t="shared" si="50"/>
        <v>0</v>
      </c>
      <c r="Q168" s="7">
        <f t="shared" si="47"/>
        <v>0</v>
      </c>
      <c r="R168" s="14"/>
    </row>
    <row r="169" spans="1:18" x14ac:dyDescent="0.35">
      <c r="A169" s="419" t="str">
        <f>VLOOKUP($D169,$A$10:$D$130,4,FALSE)</f>
        <v>Deferred Marketing</v>
      </c>
      <c r="D169" s="66" t="s">
        <v>124</v>
      </c>
      <c r="E169" s="67">
        <f t="shared" si="50"/>
        <v>0</v>
      </c>
      <c r="F169" s="67">
        <f t="shared" si="50"/>
        <v>0</v>
      </c>
      <c r="G169" s="67">
        <f t="shared" si="50"/>
        <v>0</v>
      </c>
      <c r="H169" s="67">
        <f t="shared" si="50"/>
        <v>0</v>
      </c>
      <c r="I169" s="67">
        <f t="shared" si="50"/>
        <v>0</v>
      </c>
      <c r="J169" s="67">
        <f t="shared" si="50"/>
        <v>0</v>
      </c>
      <c r="K169" s="67">
        <f t="shared" si="50"/>
        <v>0</v>
      </c>
      <c r="L169" s="67">
        <f t="shared" si="50"/>
        <v>0</v>
      </c>
      <c r="M169" s="67">
        <f t="shared" si="50"/>
        <v>0</v>
      </c>
      <c r="N169" s="67">
        <f t="shared" si="50"/>
        <v>0</v>
      </c>
      <c r="O169" s="67">
        <f t="shared" si="50"/>
        <v>0</v>
      </c>
      <c r="P169" s="68">
        <f t="shared" si="50"/>
        <v>0</v>
      </c>
      <c r="Q169" s="7">
        <f t="shared" si="47"/>
        <v>0</v>
      </c>
      <c r="R169" s="14"/>
    </row>
    <row r="170" spans="1:18" x14ac:dyDescent="0.35">
      <c r="A170" s="419" t="str">
        <f>VLOOKUP($D170,$A$10:$D$130,3,FALSE)</f>
        <v>Interest</v>
      </c>
      <c r="D170" s="66" t="s">
        <v>127</v>
      </c>
      <c r="E170" s="67">
        <f t="shared" si="50"/>
        <v>8057.7</v>
      </c>
      <c r="F170" s="67">
        <f t="shared" si="50"/>
        <v>8057.7</v>
      </c>
      <c r="G170" s="67">
        <f t="shared" si="50"/>
        <v>8057.7</v>
      </c>
      <c r="H170" s="67">
        <f t="shared" si="50"/>
        <v>8057.7</v>
      </c>
      <c r="I170" s="67">
        <f t="shared" si="50"/>
        <v>8057.7</v>
      </c>
      <c r="J170" s="67">
        <f t="shared" si="50"/>
        <v>8057.7</v>
      </c>
      <c r="K170" s="67">
        <f t="shared" si="50"/>
        <v>8057.7</v>
      </c>
      <c r="L170" s="67">
        <f t="shared" si="50"/>
        <v>8057.7</v>
      </c>
      <c r="M170" s="67">
        <f t="shared" si="50"/>
        <v>8057.7</v>
      </c>
      <c r="N170" s="67">
        <f t="shared" si="50"/>
        <v>8057.7</v>
      </c>
      <c r="O170" s="67">
        <f t="shared" si="50"/>
        <v>8057.7</v>
      </c>
      <c r="P170" s="68">
        <f t="shared" si="50"/>
        <v>8057.7</v>
      </c>
      <c r="Q170" s="7">
        <f t="shared" si="47"/>
        <v>96692.39999999998</v>
      </c>
      <c r="R170" s="14"/>
    </row>
    <row r="171" spans="1:18" ht="16.5" thickBot="1" x14ac:dyDescent="0.4">
      <c r="A171" s="419" t="str">
        <f t="shared" si="45"/>
        <v>Mortgage Amortization</v>
      </c>
      <c r="D171" s="69" t="s">
        <v>144</v>
      </c>
      <c r="E171" s="70">
        <f t="shared" si="50"/>
        <v>0</v>
      </c>
      <c r="F171" s="70">
        <f t="shared" si="50"/>
        <v>0</v>
      </c>
      <c r="G171" s="70">
        <f t="shared" si="50"/>
        <v>0</v>
      </c>
      <c r="H171" s="70">
        <f t="shared" si="50"/>
        <v>0</v>
      </c>
      <c r="I171" s="70">
        <f t="shared" si="50"/>
        <v>0</v>
      </c>
      <c r="J171" s="70">
        <f t="shared" si="50"/>
        <v>0</v>
      </c>
      <c r="K171" s="70">
        <f t="shared" si="50"/>
        <v>0</v>
      </c>
      <c r="L171" s="70">
        <f t="shared" si="50"/>
        <v>0</v>
      </c>
      <c r="M171" s="70">
        <f t="shared" si="50"/>
        <v>0</v>
      </c>
      <c r="N171" s="70">
        <f t="shared" si="50"/>
        <v>0</v>
      </c>
      <c r="O171" s="70">
        <f t="shared" si="50"/>
        <v>0</v>
      </c>
      <c r="P171" s="71">
        <f t="shared" si="50"/>
        <v>0</v>
      </c>
      <c r="Q171" s="7">
        <f t="shared" si="47"/>
        <v>0</v>
      </c>
      <c r="R171" s="14"/>
    </row>
    <row r="172" spans="1:18" x14ac:dyDescent="0.35">
      <c r="A172" s="419"/>
      <c r="D172" s="7" t="s">
        <v>12</v>
      </c>
      <c r="E172" s="7">
        <f t="shared" ref="E172:Q172" si="53">SUM(E137:E171)</f>
        <v>11233.357068295316</v>
      </c>
      <c r="F172" s="7">
        <f t="shared" si="53"/>
        <v>-2698.4844317046854</v>
      </c>
      <c r="G172" s="7">
        <f t="shared" si="53"/>
        <v>-5356.8586317046838</v>
      </c>
      <c r="H172" s="7">
        <f t="shared" si="53"/>
        <v>10640.879956659443</v>
      </c>
      <c r="I172" s="7">
        <f t="shared" si="53"/>
        <v>-4412.2018983713506</v>
      </c>
      <c r="J172" s="7">
        <f t="shared" si="53"/>
        <v>8320.5171016286604</v>
      </c>
      <c r="K172" s="7">
        <f t="shared" si="53"/>
        <v>9455.1916016286577</v>
      </c>
      <c r="L172" s="7">
        <f t="shared" si="53"/>
        <v>-5939.3818983713472</v>
      </c>
      <c r="M172" s="7">
        <f t="shared" si="53"/>
        <v>-5155.9726983713454</v>
      </c>
      <c r="N172" s="7">
        <f t="shared" si="53"/>
        <v>11948.951201628655</v>
      </c>
      <c r="O172" s="7">
        <f t="shared" si="53"/>
        <v>-6400.4030983713428</v>
      </c>
      <c r="P172" s="7">
        <f t="shared" si="53"/>
        <v>-4024.9101747193463</v>
      </c>
      <c r="Q172" s="7">
        <f t="shared" si="53"/>
        <v>17610.684098226557</v>
      </c>
    </row>
    <row r="173" spans="1:18" x14ac:dyDescent="0.35">
      <c r="E173" s="32">
        <f>E131+E172</f>
        <v>0</v>
      </c>
      <c r="F173" s="32">
        <f t="shared" ref="F173:Q173" si="54">F131+F172</f>
        <v>0</v>
      </c>
      <c r="G173" s="32">
        <f t="shared" si="54"/>
        <v>0</v>
      </c>
      <c r="H173" s="32">
        <f t="shared" si="54"/>
        <v>0</v>
      </c>
      <c r="I173" s="32">
        <f t="shared" si="54"/>
        <v>0</v>
      </c>
      <c r="J173" s="32">
        <f t="shared" si="54"/>
        <v>0</v>
      </c>
      <c r="K173" s="32">
        <f t="shared" si="54"/>
        <v>0</v>
      </c>
      <c r="L173" s="32">
        <f t="shared" si="54"/>
        <v>0</v>
      </c>
      <c r="M173" s="32">
        <f t="shared" si="54"/>
        <v>0</v>
      </c>
      <c r="N173" s="32">
        <f t="shared" si="54"/>
        <v>0</v>
      </c>
      <c r="O173" s="32">
        <f t="shared" si="54"/>
        <v>0</v>
      </c>
      <c r="P173" s="32">
        <f t="shared" si="54"/>
        <v>0</v>
      </c>
      <c r="Q173" s="32">
        <f t="shared" si="54"/>
        <v>5.8207660913467407E-11</v>
      </c>
    </row>
    <row r="174" spans="1:18" hidden="1" x14ac:dyDescent="0.35"/>
    <row r="175" spans="1:18" ht="17.5" hidden="1" x14ac:dyDescent="0.5">
      <c r="D175" s="37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</row>
    <row r="176" spans="1:18" hidden="1" x14ac:dyDescent="0.35"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</row>
    <row r="177" spans="4:18" ht="17.5" hidden="1" x14ac:dyDescent="0.5">
      <c r="D177" s="38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</row>
    <row r="178" spans="4:18" hidden="1" x14ac:dyDescent="0.35"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</row>
    <row r="179" spans="4:18" hidden="1" x14ac:dyDescent="0.35">
      <c r="D179" s="11"/>
    </row>
    <row r="180" spans="4:18" hidden="1" x14ac:dyDescent="0.35">
      <c r="D180" s="11"/>
    </row>
    <row r="181" spans="4:18" hidden="1" x14ac:dyDescent="0.35">
      <c r="D181" s="11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29"/>
      <c r="R181" s="29"/>
    </row>
    <row r="182" spans="4:18" ht="17.5" hidden="1" x14ac:dyDescent="0.5">
      <c r="D182" s="37"/>
      <c r="E182" s="11" t="s">
        <v>0</v>
      </c>
      <c r="F182" s="11" t="s">
        <v>1</v>
      </c>
      <c r="G182" s="11" t="s">
        <v>2</v>
      </c>
      <c r="H182" s="11" t="s">
        <v>3</v>
      </c>
      <c r="I182" s="11" t="s">
        <v>4</v>
      </c>
      <c r="J182" s="11" t="s">
        <v>5</v>
      </c>
      <c r="K182" s="11" t="s">
        <v>6</v>
      </c>
      <c r="L182" s="11" t="s">
        <v>7</v>
      </c>
      <c r="M182" s="11" t="s">
        <v>8</v>
      </c>
      <c r="N182" s="11" t="s">
        <v>9</v>
      </c>
      <c r="O182" s="11" t="s">
        <v>10</v>
      </c>
      <c r="P182" s="11" t="s">
        <v>11</v>
      </c>
    </row>
    <row r="183" spans="4:18" hidden="1" x14ac:dyDescent="0.35"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</row>
    <row r="184" spans="4:18" hidden="1" x14ac:dyDescent="0.35">
      <c r="D184" s="11" t="s">
        <v>147</v>
      </c>
      <c r="E184" s="7">
        <v>54008</v>
      </c>
      <c r="F184" s="7">
        <v>54008</v>
      </c>
      <c r="G184" s="7">
        <v>54008</v>
      </c>
      <c r="H184" s="7">
        <v>54008</v>
      </c>
      <c r="I184" s="7">
        <v>54008</v>
      </c>
      <c r="J184" s="7">
        <v>54008</v>
      </c>
      <c r="K184" s="7">
        <v>54008</v>
      </c>
      <c r="L184" s="7">
        <v>54008</v>
      </c>
      <c r="M184" s="7">
        <v>54008</v>
      </c>
      <c r="N184" s="7">
        <v>54008</v>
      </c>
      <c r="O184" s="7">
        <v>54008</v>
      </c>
      <c r="P184" s="7">
        <v>54008</v>
      </c>
    </row>
    <row r="185" spans="4:18" hidden="1" x14ac:dyDescent="0.35"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</row>
    <row r="186" spans="4:18" hidden="1" x14ac:dyDescent="0.35">
      <c r="D186" s="11" t="s">
        <v>146</v>
      </c>
      <c r="E186" s="39">
        <v>41069</v>
      </c>
      <c r="F186" s="39">
        <v>41069</v>
      </c>
      <c r="G186" s="39">
        <v>41069</v>
      </c>
      <c r="H186" s="39">
        <v>41069</v>
      </c>
      <c r="I186" s="39">
        <v>41069</v>
      </c>
      <c r="J186" s="39">
        <v>41069</v>
      </c>
      <c r="K186" s="39">
        <v>41069</v>
      </c>
      <c r="L186" s="39">
        <v>44709</v>
      </c>
      <c r="M186" s="39">
        <v>47586</v>
      </c>
      <c r="N186" s="39">
        <v>47586</v>
      </c>
      <c r="O186" s="39">
        <v>47586</v>
      </c>
      <c r="P186" s="39">
        <v>47586</v>
      </c>
      <c r="Q186" s="29"/>
      <c r="R186" s="29"/>
    </row>
    <row r="187" spans="4:18" ht="17.5" hidden="1" x14ac:dyDescent="0.5">
      <c r="D187" s="37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</row>
    <row r="188" spans="4:18" hidden="1" x14ac:dyDescent="0.35">
      <c r="D188" s="11" t="s">
        <v>148</v>
      </c>
      <c r="E188" s="11">
        <f>E186/E184</f>
        <v>0.76042438157310033</v>
      </c>
      <c r="F188" s="11">
        <f t="shared" ref="F188:P188" si="55">F186/F184</f>
        <v>0.76042438157310033</v>
      </c>
      <c r="G188" s="11">
        <f t="shared" si="55"/>
        <v>0.76042438157310033</v>
      </c>
      <c r="H188" s="11">
        <f t="shared" si="55"/>
        <v>0.76042438157310033</v>
      </c>
      <c r="I188" s="11">
        <f t="shared" si="55"/>
        <v>0.76042438157310033</v>
      </c>
      <c r="J188" s="11">
        <f t="shared" si="55"/>
        <v>0.76042438157310033</v>
      </c>
      <c r="K188" s="11">
        <f t="shared" si="55"/>
        <v>0.76042438157310033</v>
      </c>
      <c r="L188" s="11">
        <f t="shared" si="55"/>
        <v>0.82782180417715889</v>
      </c>
      <c r="M188" s="11">
        <f t="shared" si="55"/>
        <v>0.88109169011998223</v>
      </c>
      <c r="N188" s="11">
        <f t="shared" si="55"/>
        <v>0.88109169011998223</v>
      </c>
      <c r="O188" s="11">
        <f t="shared" si="55"/>
        <v>0.88109169011998223</v>
      </c>
      <c r="P188" s="11">
        <f t="shared" si="55"/>
        <v>0.88109169011998223</v>
      </c>
    </row>
    <row r="189" spans="4:18" hidden="1" x14ac:dyDescent="0.35"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</row>
    <row r="190" spans="4:18" hidden="1" x14ac:dyDescent="0.35"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</row>
    <row r="191" spans="4:18" hidden="1" x14ac:dyDescent="0.35">
      <c r="D191" s="11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29"/>
      <c r="R191" s="29"/>
    </row>
    <row r="192" spans="4:18" hidden="1" x14ac:dyDescent="0.35"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</row>
    <row r="193" spans="4:16" hidden="1" x14ac:dyDescent="0.35"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</row>
    <row r="194" spans="4:16" hidden="1" x14ac:dyDescent="0.35"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</row>
    <row r="195" spans="4:16" hidden="1" x14ac:dyDescent="0.35"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</row>
    <row r="196" spans="4:16" ht="17.5" hidden="1" x14ac:dyDescent="0.5">
      <c r="D196" s="38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</row>
    <row r="197" spans="4:16" hidden="1" x14ac:dyDescent="0.35">
      <c r="G197" s="11"/>
      <c r="H197" s="11"/>
      <c r="I197" s="11"/>
      <c r="J197" s="11"/>
      <c r="K197" s="11"/>
      <c r="L197" s="11"/>
      <c r="M197" s="11"/>
      <c r="N197" s="11"/>
      <c r="O197" s="11"/>
      <c r="P197" s="11"/>
    </row>
    <row r="198" spans="4:16" hidden="1" x14ac:dyDescent="0.35">
      <c r="F198" s="40"/>
      <c r="G198" s="11"/>
      <c r="H198" s="11"/>
      <c r="I198" s="11"/>
      <c r="J198" s="11"/>
      <c r="K198" s="11"/>
      <c r="L198" s="11"/>
      <c r="M198" s="11"/>
      <c r="N198" s="11"/>
      <c r="O198" s="11"/>
      <c r="P198" s="11"/>
    </row>
    <row r="199" spans="4:16" hidden="1" x14ac:dyDescent="0.35">
      <c r="F199" s="40"/>
      <c r="G199" s="11"/>
      <c r="H199" s="11"/>
      <c r="I199" s="11"/>
      <c r="J199" s="11"/>
      <c r="K199" s="11"/>
      <c r="L199" s="11"/>
      <c r="M199" s="11"/>
      <c r="N199" s="11"/>
      <c r="O199" s="11"/>
      <c r="P199" s="11"/>
    </row>
    <row r="200" spans="4:16" hidden="1" x14ac:dyDescent="0.35">
      <c r="F200" s="40"/>
      <c r="G200" s="11"/>
      <c r="H200" s="11"/>
      <c r="I200" s="11"/>
      <c r="J200" s="11"/>
      <c r="K200" s="11"/>
      <c r="L200" s="11"/>
      <c r="M200" s="11"/>
      <c r="N200" s="11"/>
      <c r="O200" s="11"/>
      <c r="P200" s="11"/>
    </row>
    <row r="201" spans="4:16" hidden="1" x14ac:dyDescent="0.35">
      <c r="F201" s="40"/>
      <c r="G201" s="11"/>
      <c r="H201" s="11"/>
      <c r="I201" s="11"/>
      <c r="J201" s="11"/>
      <c r="K201" s="11"/>
      <c r="L201" s="11"/>
      <c r="M201" s="11"/>
      <c r="N201" s="11"/>
      <c r="O201" s="11"/>
      <c r="P201" s="11"/>
    </row>
    <row r="202" spans="4:16" hidden="1" x14ac:dyDescent="0.35">
      <c r="F202" s="40"/>
      <c r="G202" s="11"/>
      <c r="H202" s="11"/>
      <c r="I202" s="11"/>
      <c r="J202" s="11"/>
      <c r="K202" s="11"/>
      <c r="L202" s="11"/>
      <c r="M202" s="11"/>
      <c r="N202" s="11"/>
      <c r="O202" s="11"/>
      <c r="P202" s="11"/>
    </row>
    <row r="203" spans="4:16" hidden="1" x14ac:dyDescent="0.35">
      <c r="F203" s="40"/>
      <c r="G203" s="11"/>
      <c r="H203" s="11"/>
      <c r="I203" s="11"/>
      <c r="J203" s="11"/>
      <c r="K203" s="11"/>
      <c r="L203" s="11"/>
      <c r="M203" s="11"/>
      <c r="N203" s="11"/>
      <c r="O203" s="11"/>
      <c r="P203" s="11"/>
    </row>
    <row r="204" spans="4:16" hidden="1" x14ac:dyDescent="0.35">
      <c r="F204" s="40"/>
      <c r="G204" s="11"/>
      <c r="H204" s="11"/>
      <c r="I204" s="11"/>
      <c r="J204" s="11"/>
      <c r="K204" s="11"/>
      <c r="L204" s="11"/>
      <c r="M204" s="11"/>
      <c r="N204" s="11"/>
      <c r="O204" s="11"/>
      <c r="P204" s="11"/>
    </row>
    <row r="205" spans="4:16" hidden="1" x14ac:dyDescent="0.35">
      <c r="D205" s="11"/>
      <c r="E205" s="29"/>
      <c r="F205" s="41"/>
      <c r="G205" s="11"/>
      <c r="H205" s="11"/>
      <c r="I205" s="11"/>
      <c r="J205" s="11"/>
      <c r="K205" s="11"/>
      <c r="L205" s="11"/>
      <c r="M205" s="11"/>
      <c r="N205" s="11"/>
      <c r="O205" s="11"/>
      <c r="P205" s="11"/>
    </row>
    <row r="206" spans="4:16" hidden="1" x14ac:dyDescent="0.35"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</row>
    <row r="207" spans="4:16" hidden="1" x14ac:dyDescent="0.35"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</row>
    <row r="208" spans="4:16" hidden="1" x14ac:dyDescent="0.35"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</row>
    <row r="209" spans="4:18" hidden="1" x14ac:dyDescent="0.35"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</row>
    <row r="210" spans="4:18" hidden="1" x14ac:dyDescent="0.35"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</row>
    <row r="211" spans="4:18" ht="17.5" hidden="1" x14ac:dyDescent="0.5">
      <c r="D211" s="37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</row>
    <row r="212" spans="4:18" hidden="1" x14ac:dyDescent="0.35"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</row>
    <row r="213" spans="4:18" ht="17.5" hidden="1" x14ac:dyDescent="0.5">
      <c r="D213" s="38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</row>
    <row r="214" spans="4:18" hidden="1" x14ac:dyDescent="0.35"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</row>
    <row r="215" spans="4:18" hidden="1" x14ac:dyDescent="0.35"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</row>
    <row r="216" spans="4:18" hidden="1" x14ac:dyDescent="0.35"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</row>
    <row r="217" spans="4:18" hidden="1" x14ac:dyDescent="0.35">
      <c r="D217" s="11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29"/>
      <c r="R217" s="29"/>
    </row>
    <row r="218" spans="4:18" ht="17.5" hidden="1" x14ac:dyDescent="0.5">
      <c r="D218" s="37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</row>
    <row r="219" spans="4:18" hidden="1" x14ac:dyDescent="0.35"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</row>
    <row r="220" spans="4:18" hidden="1" x14ac:dyDescent="0.35"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</row>
    <row r="221" spans="4:18" hidden="1" x14ac:dyDescent="0.35"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</row>
    <row r="222" spans="4:18" hidden="1" x14ac:dyDescent="0.35">
      <c r="D222" s="11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29"/>
      <c r="R222" s="29"/>
    </row>
    <row r="223" spans="4:18" ht="17.5" hidden="1" x14ac:dyDescent="0.5">
      <c r="D223" s="37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</row>
    <row r="224" spans="4:18" hidden="1" x14ac:dyDescent="0.35"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</row>
    <row r="225" spans="1:18" hidden="1" x14ac:dyDescent="0.35"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</row>
    <row r="226" spans="1:18" hidden="1" x14ac:dyDescent="0.35"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</row>
    <row r="227" spans="1:18" hidden="1" x14ac:dyDescent="0.35"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29"/>
      <c r="R227" s="29"/>
    </row>
    <row r="228" spans="1:18" hidden="1" x14ac:dyDescent="0.35"/>
    <row r="229" spans="1:18" hidden="1" x14ac:dyDescent="0.35"/>
    <row r="230" spans="1:18" hidden="1" x14ac:dyDescent="0.35"/>
    <row r="231" spans="1:18" hidden="1" x14ac:dyDescent="0.35"/>
    <row r="232" spans="1:18" hidden="1" x14ac:dyDescent="0.35"/>
    <row r="233" spans="1:18" hidden="1" x14ac:dyDescent="0.35"/>
    <row r="234" spans="1:18" hidden="1" x14ac:dyDescent="0.35"/>
    <row r="235" spans="1:18" hidden="1" x14ac:dyDescent="0.35"/>
    <row r="236" spans="1:18" hidden="1" x14ac:dyDescent="0.35"/>
    <row r="237" spans="1:18" hidden="1" x14ac:dyDescent="0.35">
      <c r="A237" s="11"/>
      <c r="B237" s="11"/>
      <c r="C237" s="11"/>
      <c r="D237" s="11"/>
    </row>
    <row r="238" spans="1:18" ht="16.5" hidden="1" thickTop="1" x14ac:dyDescent="0.35">
      <c r="A238" s="42"/>
      <c r="B238" s="42"/>
      <c r="C238" s="42"/>
      <c r="D238" s="42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</row>
    <row r="239" spans="1:18" ht="16.5" hidden="1" thickTop="1" x14ac:dyDescent="0.35">
      <c r="A239" s="11"/>
      <c r="B239" s="11"/>
      <c r="C239" s="11"/>
      <c r="D239" s="44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2"/>
      <c r="R239" s="42"/>
    </row>
    <row r="240" spans="1:18" hidden="1" x14ac:dyDescent="0.35">
      <c r="A240" s="11"/>
      <c r="B240" s="11"/>
      <c r="C240" s="11"/>
      <c r="D240" s="45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</row>
    <row r="241" spans="1:18" hidden="1" x14ac:dyDescent="0.35">
      <c r="A241" s="11"/>
      <c r="B241" s="11"/>
      <c r="C241" s="11"/>
      <c r="D241" s="45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4"/>
      <c r="R241" s="14"/>
    </row>
    <row r="242" spans="1:18" hidden="1" x14ac:dyDescent="0.35">
      <c r="A242" s="11"/>
      <c r="B242" s="11"/>
      <c r="C242" s="11"/>
      <c r="D242" s="45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9"/>
      <c r="R242" s="9"/>
    </row>
    <row r="243" spans="1:18" hidden="1" x14ac:dyDescent="0.35">
      <c r="A243" s="11"/>
      <c r="B243" s="11"/>
      <c r="C243" s="11"/>
      <c r="D243" s="45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</row>
    <row r="244" spans="1:18" hidden="1" x14ac:dyDescent="0.35">
      <c r="A244" s="11"/>
      <c r="B244" s="11"/>
      <c r="C244" s="11"/>
      <c r="D244" s="45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</row>
    <row r="245" spans="1:18" hidden="1" x14ac:dyDescent="0.35">
      <c r="A245" s="11"/>
      <c r="B245" s="11"/>
      <c r="C245" s="11"/>
      <c r="D245" s="45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</row>
    <row r="246" spans="1:18" hidden="1" x14ac:dyDescent="0.35">
      <c r="A246" s="11"/>
      <c r="B246" s="11"/>
      <c r="C246" s="11"/>
      <c r="D246" s="45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</row>
    <row r="247" spans="1:18" hidden="1" x14ac:dyDescent="0.35">
      <c r="A247" s="11"/>
      <c r="B247" s="11"/>
      <c r="C247" s="11"/>
      <c r="D247" s="45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</row>
    <row r="248" spans="1:18" hidden="1" x14ac:dyDescent="0.35">
      <c r="A248" s="11"/>
      <c r="B248" s="11"/>
      <c r="C248" s="11"/>
      <c r="D248" s="45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</row>
    <row r="249" spans="1:18" hidden="1" x14ac:dyDescent="0.35">
      <c r="A249" s="11"/>
      <c r="B249" s="11"/>
      <c r="C249" s="11"/>
      <c r="D249" s="45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</row>
    <row r="250" spans="1:18" hidden="1" x14ac:dyDescent="0.35">
      <c r="A250" s="11"/>
      <c r="B250" s="11"/>
      <c r="C250" s="11"/>
      <c r="D250" s="45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</row>
    <row r="251" spans="1:18" hidden="1" x14ac:dyDescent="0.35">
      <c r="A251" s="11"/>
      <c r="B251" s="11"/>
      <c r="C251" s="11"/>
      <c r="D251" s="45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</row>
    <row r="252" spans="1:18" hidden="1" x14ac:dyDescent="0.35">
      <c r="A252" s="11"/>
      <c r="B252" s="11"/>
      <c r="C252" s="11"/>
      <c r="D252" s="45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</row>
    <row r="253" spans="1:18" hidden="1" x14ac:dyDescent="0.35">
      <c r="A253" s="11"/>
      <c r="B253" s="11"/>
      <c r="C253" s="11"/>
      <c r="D253" s="45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</row>
    <row r="254" spans="1:18" hidden="1" x14ac:dyDescent="0.35">
      <c r="A254" s="11"/>
      <c r="B254" s="11"/>
      <c r="C254" s="11"/>
      <c r="D254" s="45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</row>
    <row r="255" spans="1:18" hidden="1" x14ac:dyDescent="0.35">
      <c r="A255" s="11"/>
      <c r="B255" s="11"/>
      <c r="C255" s="11"/>
      <c r="D255" s="45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</row>
    <row r="256" spans="1:18" hidden="1" x14ac:dyDescent="0.35">
      <c r="A256" s="11"/>
      <c r="B256" s="11"/>
      <c r="C256" s="11"/>
      <c r="D256" s="45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</row>
    <row r="257" spans="4:16" hidden="1" x14ac:dyDescent="0.35">
      <c r="D257" s="45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</row>
    <row r="258" spans="4:16" hidden="1" x14ac:dyDescent="0.35">
      <c r="D258" s="45"/>
    </row>
    <row r="259" spans="4:16" hidden="1" x14ac:dyDescent="0.35">
      <c r="D259" s="45"/>
    </row>
    <row r="260" spans="4:16" hidden="1" x14ac:dyDescent="0.35">
      <c r="D260" s="45"/>
    </row>
    <row r="261" spans="4:16" hidden="1" x14ac:dyDescent="0.35">
      <c r="D261" s="45"/>
    </row>
    <row r="262" spans="4:16" hidden="1" x14ac:dyDescent="0.35">
      <c r="D262" s="45"/>
    </row>
    <row r="263" spans="4:16" hidden="1" x14ac:dyDescent="0.35">
      <c r="D263" s="45"/>
    </row>
    <row r="264" spans="4:16" hidden="1" x14ac:dyDescent="0.35">
      <c r="D264" s="45"/>
    </row>
    <row r="265" spans="4:16" hidden="1" x14ac:dyDescent="0.35">
      <c r="D265" s="45"/>
    </row>
    <row r="266" spans="4:16" hidden="1" x14ac:dyDescent="0.35">
      <c r="D266" s="45"/>
    </row>
    <row r="267" spans="4:16" hidden="1" x14ac:dyDescent="0.35">
      <c r="D267" s="45"/>
    </row>
    <row r="268" spans="4:16" hidden="1" x14ac:dyDescent="0.35">
      <c r="D268" s="45"/>
    </row>
    <row r="269" spans="4:16" hidden="1" x14ac:dyDescent="0.35">
      <c r="D269" s="45"/>
    </row>
    <row r="270" spans="4:16" hidden="1" x14ac:dyDescent="0.35">
      <c r="D270" s="45"/>
    </row>
    <row r="271" spans="4:16" hidden="1" x14ac:dyDescent="0.35">
      <c r="D271" s="45"/>
    </row>
    <row r="272" spans="4:16" hidden="1" x14ac:dyDescent="0.35">
      <c r="D272" s="45"/>
    </row>
    <row r="273" spans="1:20" hidden="1" x14ac:dyDescent="0.35">
      <c r="D273" s="45"/>
    </row>
    <row r="274" spans="1:20" hidden="1" x14ac:dyDescent="0.35">
      <c r="D274" s="45"/>
      <c r="S274" s="14"/>
      <c r="T274" s="385"/>
    </row>
    <row r="275" spans="1:20" hidden="1" x14ac:dyDescent="0.35">
      <c r="D275" s="45"/>
      <c r="S275" s="9"/>
      <c r="T275" s="343"/>
    </row>
    <row r="276" spans="1:20" hidden="1" x14ac:dyDescent="0.35"/>
    <row r="277" spans="1:20" hidden="1" x14ac:dyDescent="0.35"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</row>
    <row r="278" spans="1:20" hidden="1" x14ac:dyDescent="0.35">
      <c r="Q278" s="48"/>
      <c r="R278" s="48"/>
    </row>
    <row r="279" spans="1:20" hidden="1" x14ac:dyDescent="0.35"/>
    <row r="280" spans="1:20" hidden="1" x14ac:dyDescent="0.35">
      <c r="A280" s="11"/>
      <c r="B280" s="11"/>
      <c r="C280" s="11"/>
      <c r="D280" s="11"/>
    </row>
    <row r="281" spans="1:20" ht="16.5" hidden="1" thickTop="1" x14ac:dyDescent="0.35">
      <c r="A281" s="42"/>
      <c r="B281" s="42"/>
      <c r="C281" s="42"/>
      <c r="D281" s="42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</row>
    <row r="282" spans="1:20" ht="16.5" hidden="1" thickTop="1" x14ac:dyDescent="0.35"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2"/>
      <c r="R282" s="42"/>
    </row>
    <row r="283" spans="1:20" hidden="1" x14ac:dyDescent="0.35"/>
    <row r="284" spans="1:20" hidden="1" x14ac:dyDescent="0.35"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</row>
    <row r="285" spans="1:20" hidden="1" x14ac:dyDescent="0.35"/>
    <row r="286" spans="1:20" hidden="1" x14ac:dyDescent="0.35"/>
    <row r="287" spans="1:20" hidden="1" x14ac:dyDescent="0.35"/>
    <row r="288" spans="1:20" hidden="1" x14ac:dyDescent="0.35"/>
    <row r="289" spans="5:16" hidden="1" x14ac:dyDescent="0.35"/>
    <row r="290" spans="5:16" x14ac:dyDescent="0.35"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</row>
    <row r="311" spans="19:20" x14ac:dyDescent="0.35">
      <c r="S311" s="48"/>
      <c r="T311" s="347"/>
    </row>
  </sheetData>
  <sheetProtection formatColumns="0" selectLockedCells="1"/>
  <phoneticPr fontId="0" type="noConversion"/>
  <conditionalFormatting sqref="E173:Q173">
    <cfRule type="cellIs" dxfId="24" priority="1" operator="between">
      <formula>-1</formula>
      <formula>1</formula>
    </cfRule>
  </conditionalFormatting>
  <dataValidations disablePrompts="1" count="1">
    <dataValidation operator="notEqual" showInputMessage="1" showErrorMessage="1" sqref="E18:P18" xr:uid="{D39E8FAC-B507-4CF1-94D6-3536B432E698}"/>
  </dataValidations>
  <printOptions horizontalCentered="1" verticalCentered="1"/>
  <pageMargins left="0.25" right="0.25" top="0" bottom="0" header="0.05" footer="0.25"/>
  <pageSetup scale="47" fitToHeight="0" orientation="landscape" r:id="rId1"/>
  <headerFooter>
    <oddHeader>&amp;R&amp;D</oddHeader>
    <oddFooter>Page &amp;P of &amp;N</oddFooter>
  </headerFooter>
  <rowBreaks count="1" manualBreakCount="1">
    <brk id="72" min="1" max="16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0"/>
    <pageSetUpPr fitToPage="1"/>
  </sheetPr>
  <dimension ref="A1:W311"/>
  <sheetViews>
    <sheetView view="pageBreakPreview" zoomScale="160" zoomScaleNormal="85" zoomScaleSheetLayoutView="160" workbookViewId="0">
      <selection activeCell="H2" sqref="H2"/>
    </sheetView>
  </sheetViews>
  <sheetFormatPr defaultColWidth="10.81640625" defaultRowHeight="16" outlineLevelCol="1" x14ac:dyDescent="0.35"/>
  <cols>
    <col min="1" max="1" width="15.54296875" style="7" bestFit="1" customWidth="1"/>
    <col min="2" max="2" width="9" style="7" customWidth="1"/>
    <col min="3" max="3" width="2.81640625" style="7" customWidth="1"/>
    <col min="4" max="4" width="38.453125" style="7" bestFit="1" customWidth="1"/>
    <col min="5" max="5" width="14" style="7" customWidth="1"/>
    <col min="6" max="8" width="12.81640625" style="7" customWidth="1"/>
    <col min="9" max="9" width="13.81640625" style="7" customWidth="1"/>
    <col min="10" max="10" width="13.1796875" style="7" customWidth="1"/>
    <col min="11" max="16" width="12.81640625" style="7" customWidth="1"/>
    <col min="17" max="18" width="15.1796875" style="7" bestFit="1" customWidth="1"/>
    <col min="19" max="19" width="12.81640625" style="7" hidden="1" customWidth="1" outlineLevel="1"/>
    <col min="20" max="20" width="13.1796875" style="320" hidden="1" customWidth="1" outlineLevel="1"/>
    <col min="21" max="21" width="10.81640625" style="7" collapsed="1"/>
    <col min="22" max="22" width="48.81640625" style="7" customWidth="1"/>
    <col min="23" max="23" width="13.54296875" style="7" bestFit="1" customWidth="1"/>
    <col min="24" max="16384" width="10.81640625" style="7"/>
  </cols>
  <sheetData>
    <row r="1" spans="1:22" s="21" customFormat="1" ht="29" x14ac:dyDescent="0.25">
      <c r="B1" s="224">
        <v>3640</v>
      </c>
      <c r="C1" s="224"/>
      <c r="J1" s="22" t="str">
        <f>+'362'!J1</f>
        <v>Operating Budget</v>
      </c>
      <c r="Q1" s="23">
        <f>'JV III Consolidated'!Q1</f>
        <v>46023</v>
      </c>
      <c r="R1" s="23"/>
      <c r="S1" s="23"/>
      <c r="T1" s="319"/>
    </row>
    <row r="2" spans="1:22" ht="18" x14ac:dyDescent="0.35">
      <c r="J2" s="51" t="str">
        <f>+'362'!J2</f>
        <v>Lincoln JV III</v>
      </c>
    </row>
    <row r="3" spans="1:22" ht="18" x14ac:dyDescent="0.35">
      <c r="Q3" s="355">
        <f>Q1</f>
        <v>46023</v>
      </c>
      <c r="R3" s="356"/>
      <c r="S3" s="321" t="s">
        <v>479</v>
      </c>
      <c r="T3" s="322"/>
    </row>
    <row r="4" spans="1:22" s="12" customFormat="1" ht="18" x14ac:dyDescent="0.35">
      <c r="B4" s="225">
        <f>'Renew &amp; Vac - Rent, TI, LC'!A50</f>
        <v>48794</v>
      </c>
      <c r="C4" s="225"/>
      <c r="D4" s="14"/>
      <c r="E4" s="25" t="s">
        <v>0</v>
      </c>
      <c r="F4" s="25" t="s">
        <v>1</v>
      </c>
      <c r="G4" s="25" t="s">
        <v>2</v>
      </c>
      <c r="H4" s="25" t="s">
        <v>3</v>
      </c>
      <c r="I4" s="25" t="s">
        <v>4</v>
      </c>
      <c r="J4" s="25" t="s">
        <v>5</v>
      </c>
      <c r="K4" s="25" t="s">
        <v>6</v>
      </c>
      <c r="L4" s="25" t="s">
        <v>7</v>
      </c>
      <c r="M4" s="25" t="s">
        <v>8</v>
      </c>
      <c r="N4" s="25" t="s">
        <v>9</v>
      </c>
      <c r="O4" s="25" t="s">
        <v>10</v>
      </c>
      <c r="P4" s="25" t="s">
        <v>11</v>
      </c>
      <c r="Q4" s="120" t="s">
        <v>12</v>
      </c>
      <c r="R4" s="120" t="s">
        <v>338</v>
      </c>
      <c r="S4" s="323" t="s">
        <v>12</v>
      </c>
      <c r="T4" s="324" t="s">
        <v>480</v>
      </c>
      <c r="U4" s="262" t="s">
        <v>444</v>
      </c>
      <c r="V4" s="265" t="s">
        <v>303</v>
      </c>
    </row>
    <row r="5" spans="1:22" x14ac:dyDescent="0.35">
      <c r="Q5" s="121"/>
      <c r="R5" s="121"/>
      <c r="S5" s="325"/>
      <c r="T5" s="326"/>
      <c r="U5" s="11"/>
      <c r="V5" s="11"/>
    </row>
    <row r="6" spans="1:22" s="26" customFormat="1" x14ac:dyDescent="0.35">
      <c r="B6" s="27"/>
      <c r="D6" s="219" t="s">
        <v>13</v>
      </c>
      <c r="E6" s="220">
        <f>'Renew &amp; Vac - Rent, TI, LC'!AH53</f>
        <v>0.82330000000000003</v>
      </c>
      <c r="F6" s="220">
        <f>'Renew &amp; Vac - Rent, TI, LC'!AI53</f>
        <v>0.82330000000000003</v>
      </c>
      <c r="G6" s="220">
        <f>'Renew &amp; Vac - Rent, TI, LC'!AJ53</f>
        <v>0.82330000000000003</v>
      </c>
      <c r="H6" s="220">
        <f>'Renew &amp; Vac - Rent, TI, LC'!AK53</f>
        <v>0.67169999999999996</v>
      </c>
      <c r="I6" s="220">
        <f>'Renew &amp; Vac - Rent, TI, LC'!AL53</f>
        <v>0.67169999999999996</v>
      </c>
      <c r="J6" s="220">
        <f>'Renew &amp; Vac - Rent, TI, LC'!AM53</f>
        <v>0.67169999999999996</v>
      </c>
      <c r="K6" s="220">
        <f>'Renew &amp; Vac - Rent, TI, LC'!AN53</f>
        <v>0.67169999999999996</v>
      </c>
      <c r="L6" s="220">
        <f>'Renew &amp; Vac - Rent, TI, LC'!AO53</f>
        <v>0.67169999999999996</v>
      </c>
      <c r="M6" s="220">
        <f>'Renew &amp; Vac - Rent, TI, LC'!AP53</f>
        <v>0.67169999999999996</v>
      </c>
      <c r="N6" s="220">
        <f>'Renew &amp; Vac - Rent, TI, LC'!AQ53</f>
        <v>0.44490000000000002</v>
      </c>
      <c r="O6" s="220">
        <f>'Renew &amp; Vac - Rent, TI, LC'!AR53</f>
        <v>0.44490000000000002</v>
      </c>
      <c r="P6" s="220">
        <f>'Renew &amp; Vac - Rent, TI, LC'!AS53</f>
        <v>0.44490000000000002</v>
      </c>
      <c r="Q6" s="122"/>
      <c r="R6" s="122"/>
      <c r="S6" s="327"/>
      <c r="T6" s="348"/>
      <c r="U6" s="387"/>
      <c r="V6" s="387"/>
    </row>
    <row r="7" spans="1:22" s="26" customFormat="1" x14ac:dyDescent="0.35">
      <c r="B7" s="27"/>
      <c r="D7" s="219" t="s">
        <v>343</v>
      </c>
      <c r="E7" s="221">
        <f>$B$4*E6</f>
        <v>40172.100200000001</v>
      </c>
      <c r="F7" s="221">
        <f t="shared" ref="F7:P7" si="0">$B$4*F6</f>
        <v>40172.100200000001</v>
      </c>
      <c r="G7" s="221">
        <f t="shared" si="0"/>
        <v>40172.100200000001</v>
      </c>
      <c r="H7" s="221">
        <f t="shared" si="0"/>
        <v>32774.929799999998</v>
      </c>
      <c r="I7" s="221">
        <f t="shared" si="0"/>
        <v>32774.929799999998</v>
      </c>
      <c r="J7" s="221">
        <f t="shared" si="0"/>
        <v>32774.929799999998</v>
      </c>
      <c r="K7" s="221">
        <f t="shared" si="0"/>
        <v>32774.929799999998</v>
      </c>
      <c r="L7" s="221">
        <f t="shared" si="0"/>
        <v>32774.929799999998</v>
      </c>
      <c r="M7" s="221">
        <f t="shared" si="0"/>
        <v>32774.929799999998</v>
      </c>
      <c r="N7" s="221">
        <f t="shared" si="0"/>
        <v>21708.4506</v>
      </c>
      <c r="O7" s="221">
        <f t="shared" si="0"/>
        <v>21708.4506</v>
      </c>
      <c r="P7" s="221">
        <f t="shared" si="0"/>
        <v>21708.4506</v>
      </c>
      <c r="Q7" s="122"/>
      <c r="R7" s="122"/>
      <c r="S7" s="327"/>
      <c r="T7" s="348"/>
      <c r="U7" s="387"/>
      <c r="V7" s="387"/>
    </row>
    <row r="8" spans="1:22" ht="18" x14ac:dyDescent="0.35">
      <c r="B8" s="8" t="s">
        <v>14</v>
      </c>
      <c r="Q8" s="121"/>
      <c r="R8" s="121"/>
      <c r="S8" s="325"/>
      <c r="T8" s="357"/>
      <c r="U8" s="11"/>
      <c r="V8" s="11"/>
    </row>
    <row r="9" spans="1:22" x14ac:dyDescent="0.35">
      <c r="A9" s="72"/>
      <c r="Q9" s="121"/>
      <c r="R9" s="121"/>
      <c r="S9" s="325"/>
      <c r="T9" s="357"/>
      <c r="U9" s="11"/>
      <c r="V9" s="11"/>
    </row>
    <row r="10" spans="1:22" x14ac:dyDescent="0.35">
      <c r="A10" s="72" t="s">
        <v>131</v>
      </c>
      <c r="C10" s="7" t="s">
        <v>158</v>
      </c>
      <c r="E10" s="7">
        <f>SUMIFS('In Place Revenue'!$G:$G,'In Place Revenue'!$A:$A,$B$1,'In Place Revenue'!$H:$H,1)</f>
        <v>61074.26</v>
      </c>
      <c r="F10" s="7">
        <f>SUMIFS('In Place Revenue'!$G:$G,'In Place Revenue'!$A:$A,$B$1,'In Place Revenue'!$H:$H,2)</f>
        <v>61074.26</v>
      </c>
      <c r="G10" s="7">
        <f>SUMIFS('In Place Revenue'!$G:$G,'In Place Revenue'!$A:$A,$B$1,'In Place Revenue'!$H:$H,3)</f>
        <v>58357.59</v>
      </c>
      <c r="H10" s="7">
        <f>SUMIFS('In Place Revenue'!$G:$G,'In Place Revenue'!$A:$A,$B$1,'In Place Revenue'!$H:$H,4)</f>
        <v>46332.59</v>
      </c>
      <c r="I10" s="7">
        <f>SUMIFS('In Place Revenue'!$G:$G,'In Place Revenue'!$A:$A,$B$1,'In Place Revenue'!$H:$H,5)</f>
        <v>46332.59</v>
      </c>
      <c r="J10" s="7">
        <f>SUMIFS('In Place Revenue'!$G:$G,'In Place Revenue'!$A:$A,$B$1,'In Place Revenue'!$H:$H,6)</f>
        <v>46332.59</v>
      </c>
      <c r="K10" s="7">
        <f>SUMIFS('In Place Revenue'!$G:$G,'In Place Revenue'!$A:$A,$B$1,'In Place Revenue'!$H:$H,7)</f>
        <v>36784.42</v>
      </c>
      <c r="L10" s="7">
        <f>SUMIFS('In Place Revenue'!$G:$G,'In Place Revenue'!$A:$A,$B$1,'In Place Revenue'!$H:$H,8)</f>
        <v>42087.67</v>
      </c>
      <c r="M10" s="7">
        <f>SUMIFS('In Place Revenue'!$G:$G,'In Place Revenue'!$A:$A,$B$1,'In Place Revenue'!$H:$H,9)</f>
        <v>42087.67</v>
      </c>
      <c r="N10" s="7">
        <f>SUMIFS('In Place Revenue'!$G:$G,'In Place Revenue'!$A:$A,$B$1,'In Place Revenue'!$H:$H,10)</f>
        <v>28542.92</v>
      </c>
      <c r="O10" s="7">
        <f>SUMIFS('In Place Revenue'!$G:$G,'In Place Revenue'!$A:$A,$B$1,'In Place Revenue'!$H:$H,11)</f>
        <v>27121.5</v>
      </c>
      <c r="P10" s="7">
        <f>SUMIFS('In Place Revenue'!$G:$G,'In Place Revenue'!$A:$A,$B$1,'In Place Revenue'!$H:$H,12)</f>
        <v>32308.5</v>
      </c>
      <c r="Q10" s="121">
        <f>SUM(E10:P10)</f>
        <v>528436.55999999994</v>
      </c>
      <c r="R10" s="358">
        <f>Q10/$B$4</f>
        <v>10.82994958396524</v>
      </c>
      <c r="S10" s="325">
        <v>755719.63000000012</v>
      </c>
      <c r="T10" s="348">
        <f>IFERROR((Q10+Q11)/S10-1,"-")</f>
        <v>-0.18757944100247892</v>
      </c>
      <c r="U10" s="11"/>
      <c r="V10" s="11"/>
    </row>
    <row r="11" spans="1:22" x14ac:dyDescent="0.35">
      <c r="A11" s="72" t="s">
        <v>131</v>
      </c>
      <c r="C11" s="7" t="s">
        <v>159</v>
      </c>
      <c r="E11" s="7">
        <f>'Renew &amp; Vac - Rent, TI, LC'!AH54</f>
        <v>3957.5449166666663</v>
      </c>
      <c r="F11" s="7">
        <f>'Renew &amp; Vac - Rent, TI, LC'!AI54</f>
        <v>3957.5449166666663</v>
      </c>
      <c r="G11" s="7">
        <f>'Renew &amp; Vac - Rent, TI, LC'!AJ54</f>
        <v>6674.2115833333337</v>
      </c>
      <c r="H11" s="7">
        <f>'Renew &amp; Vac - Rent, TI, LC'!AK54</f>
        <v>6674.8282499999996</v>
      </c>
      <c r="I11" s="7">
        <f>'Renew &amp; Vac - Rent, TI, LC'!AL54</f>
        <v>6674.8282499999996</v>
      </c>
      <c r="J11" s="7">
        <f>'Renew &amp; Vac - Rent, TI, LC'!AM54</f>
        <v>6674.8282499999996</v>
      </c>
      <c r="K11" s="7">
        <f>'Renew &amp; Vac - Rent, TI, LC'!AN54</f>
        <v>9171.2032500000005</v>
      </c>
      <c r="L11" s="7">
        <f>'Renew &amp; Vac - Rent, TI, LC'!AO54</f>
        <v>9171.2032500000005</v>
      </c>
      <c r="M11" s="7">
        <f>'Renew &amp; Vac - Rent, TI, LC'!AP54</f>
        <v>9171.2032500000005</v>
      </c>
      <c r="N11" s="7">
        <f>'Renew &amp; Vac - Rent, TI, LC'!AQ54</f>
        <v>6851.791666666667</v>
      </c>
      <c r="O11" s="7">
        <f>'Renew &amp; Vac - Rent, TI, LC'!AR54</f>
        <v>8273.2083333333339</v>
      </c>
      <c r="P11" s="7">
        <f>'Renew &amp; Vac - Rent, TI, LC'!AS54</f>
        <v>8273.2083333333339</v>
      </c>
      <c r="Q11" s="121">
        <f>SUM(E11:P11)</f>
        <v>85525.604249999989</v>
      </c>
      <c r="R11" s="358">
        <f t="shared" ref="R11:R73" si="1">Q11/$B$4</f>
        <v>1.7527893644710413</v>
      </c>
      <c r="S11" s="325"/>
      <c r="T11" s="348" t="str">
        <f t="shared" ref="T11" si="2">IFERROR(Q11/S11-1,"-")</f>
        <v>-</v>
      </c>
      <c r="U11" s="11"/>
      <c r="V11" s="11"/>
    </row>
    <row r="12" spans="1:22" hidden="1" x14ac:dyDescent="0.35">
      <c r="A12" s="72" t="s">
        <v>96</v>
      </c>
      <c r="C12" s="7" t="s">
        <v>15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21">
        <f>SUM(E12:P12)</f>
        <v>0</v>
      </c>
      <c r="R12" s="358">
        <f t="shared" si="1"/>
        <v>0</v>
      </c>
      <c r="S12" s="325"/>
      <c r="T12" s="348" t="e">
        <f t="shared" ref="T12" si="3">R12/S12-1</f>
        <v>#DIV/0!</v>
      </c>
      <c r="U12" s="11"/>
      <c r="V12" s="11"/>
    </row>
    <row r="13" spans="1:22" x14ac:dyDescent="0.35">
      <c r="A13" s="72" t="s">
        <v>132</v>
      </c>
      <c r="C13" s="7" t="s">
        <v>16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21">
        <f>SUM(E13:P13)</f>
        <v>0</v>
      </c>
      <c r="R13" s="358">
        <f t="shared" si="1"/>
        <v>0</v>
      </c>
      <c r="S13" s="325"/>
      <c r="T13" s="348" t="str">
        <f t="shared" ref="T13:T14" si="4">IFERROR(Q13/S13-1,"-")</f>
        <v>-</v>
      </c>
      <c r="U13" s="11"/>
      <c r="V13" s="11"/>
    </row>
    <row r="14" spans="1:22" x14ac:dyDescent="0.35">
      <c r="A14" s="72" t="s">
        <v>133</v>
      </c>
      <c r="C14" s="7" t="s">
        <v>17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21">
        <f>SUM(E14:P14)</f>
        <v>0</v>
      </c>
      <c r="R14" s="358">
        <f t="shared" si="1"/>
        <v>0</v>
      </c>
      <c r="S14" s="325"/>
      <c r="T14" s="348" t="str">
        <f t="shared" si="4"/>
        <v>-</v>
      </c>
      <c r="U14" s="11"/>
      <c r="V14" s="11"/>
    </row>
    <row r="15" spans="1:22" x14ac:dyDescent="0.35">
      <c r="A15" s="72"/>
      <c r="C15" s="7" t="s">
        <v>18</v>
      </c>
      <c r="D15" s="14"/>
      <c r="E15" s="29">
        <f t="shared" ref="E15:Q15" si="5">SUM(E10:E14)</f>
        <v>65031.804916666668</v>
      </c>
      <c r="F15" s="29">
        <f t="shared" si="5"/>
        <v>65031.804916666668</v>
      </c>
      <c r="G15" s="29">
        <f t="shared" si="5"/>
        <v>65031.801583333334</v>
      </c>
      <c r="H15" s="29">
        <f t="shared" si="5"/>
        <v>53007.418249999995</v>
      </c>
      <c r="I15" s="29">
        <f t="shared" si="5"/>
        <v>53007.418249999995</v>
      </c>
      <c r="J15" s="29">
        <f t="shared" si="5"/>
        <v>53007.418249999995</v>
      </c>
      <c r="K15" s="29">
        <f t="shared" si="5"/>
        <v>45955.623249999997</v>
      </c>
      <c r="L15" s="29">
        <f t="shared" si="5"/>
        <v>51258.873249999997</v>
      </c>
      <c r="M15" s="29">
        <f t="shared" si="5"/>
        <v>51258.873249999997</v>
      </c>
      <c r="N15" s="29">
        <f t="shared" si="5"/>
        <v>35394.711666666662</v>
      </c>
      <c r="O15" s="29">
        <f t="shared" si="5"/>
        <v>35394.708333333336</v>
      </c>
      <c r="P15" s="29">
        <f t="shared" si="5"/>
        <v>40581.708333333336</v>
      </c>
      <c r="Q15" s="130">
        <f t="shared" si="5"/>
        <v>613962.16424999991</v>
      </c>
      <c r="R15" s="359">
        <f t="shared" si="1"/>
        <v>12.582738948436281</v>
      </c>
      <c r="S15" s="330">
        <f>SUM(S10:S14)</f>
        <v>755719.63000000012</v>
      </c>
      <c r="T15" s="360">
        <f>IFERROR(Q15/S15-1,"-")</f>
        <v>-0.18757944100247892</v>
      </c>
      <c r="U15" s="11"/>
      <c r="V15" s="11"/>
    </row>
    <row r="16" spans="1:22" ht="18" x14ac:dyDescent="0.35">
      <c r="A16" s="72"/>
      <c r="Q16" s="123"/>
      <c r="R16" s="361"/>
      <c r="S16" s="331"/>
      <c r="T16" s="362"/>
      <c r="U16" s="11"/>
      <c r="V16" s="11"/>
    </row>
    <row r="17" spans="1:23" ht="18" x14ac:dyDescent="0.35">
      <c r="A17" s="72"/>
      <c r="B17" s="8" t="s">
        <v>19</v>
      </c>
      <c r="Q17" s="121"/>
      <c r="R17" s="358"/>
      <c r="S17" s="325"/>
      <c r="T17" s="348"/>
      <c r="U17" s="11"/>
      <c r="V17" s="11"/>
    </row>
    <row r="18" spans="1:23" x14ac:dyDescent="0.35">
      <c r="A18" s="72" t="s">
        <v>97</v>
      </c>
      <c r="C18" s="7" t="s">
        <v>20</v>
      </c>
      <c r="E18" s="7">
        <f>E6*E29</f>
        <v>3502.3182000000002</v>
      </c>
      <c r="F18" s="7">
        <f t="shared" ref="F18:P18" si="6">F6*F29</f>
        <v>3048.6799000000001</v>
      </c>
      <c r="G18" s="7">
        <f t="shared" si="6"/>
        <v>2678.1949</v>
      </c>
      <c r="H18" s="7">
        <f t="shared" si="6"/>
        <v>1599.9893999999999</v>
      </c>
      <c r="I18" s="7">
        <f t="shared" si="6"/>
        <v>1462.9625999999998</v>
      </c>
      <c r="J18" s="7">
        <f t="shared" si="6"/>
        <v>1455.5738999999999</v>
      </c>
      <c r="K18" s="7">
        <f t="shared" si="6"/>
        <v>1613.4233999999999</v>
      </c>
      <c r="L18" s="7">
        <f t="shared" si="6"/>
        <v>1528.7891999999999</v>
      </c>
      <c r="M18" s="7">
        <f t="shared" si="6"/>
        <v>1326.6074999999998</v>
      </c>
      <c r="N18" s="7">
        <f t="shared" si="6"/>
        <v>873.78359999999998</v>
      </c>
      <c r="O18" s="7">
        <f t="shared" si="6"/>
        <v>1107.8009999999999</v>
      </c>
      <c r="P18" s="7">
        <f t="shared" si="6"/>
        <v>1613.2074</v>
      </c>
      <c r="Q18" s="121">
        <f>SUM(E18:P18)</f>
        <v>21811.330999999995</v>
      </c>
      <c r="R18" s="358">
        <f t="shared" ref="R18" si="7">Q18/$B$4</f>
        <v>0.44700846415542883</v>
      </c>
      <c r="S18" s="325">
        <v>29665.83</v>
      </c>
      <c r="T18" s="348">
        <f t="shared" ref="T18:T21" si="8">IFERROR(Q18/S18-1,"-")</f>
        <v>-0.26476586025066573</v>
      </c>
      <c r="U18" s="284" t="s">
        <v>304</v>
      </c>
      <c r="V18" s="285" t="str">
        <f>Q18/Q29*100&amp;"% Set to occupancy"</f>
        <v>66.7625681052954% Set to occupancy</v>
      </c>
    </row>
    <row r="19" spans="1:23" x14ac:dyDescent="0.35">
      <c r="A19" s="72" t="s">
        <v>98</v>
      </c>
      <c r="C19" s="7" t="s">
        <v>21</v>
      </c>
      <c r="E19" s="7">
        <f>+'Tenant Recoveries'!H21</f>
        <v>1500</v>
      </c>
      <c r="F19" s="7">
        <f>+E19</f>
        <v>1500</v>
      </c>
      <c r="G19" s="7">
        <f t="shared" ref="G19:P20" si="9">+F19</f>
        <v>1500</v>
      </c>
      <c r="H19" s="7">
        <f t="shared" si="9"/>
        <v>1500</v>
      </c>
      <c r="I19" s="7">
        <f t="shared" si="9"/>
        <v>1500</v>
      </c>
      <c r="J19" s="7">
        <f t="shared" si="9"/>
        <v>1500</v>
      </c>
      <c r="K19" s="7">
        <f t="shared" si="9"/>
        <v>1500</v>
      </c>
      <c r="L19" s="7">
        <f t="shared" si="9"/>
        <v>1500</v>
      </c>
      <c r="M19" s="7">
        <f t="shared" si="9"/>
        <v>1500</v>
      </c>
      <c r="N19" s="7">
        <f t="shared" si="9"/>
        <v>1500</v>
      </c>
      <c r="O19" s="7">
        <f t="shared" si="9"/>
        <v>1500</v>
      </c>
      <c r="P19" s="7">
        <f t="shared" si="9"/>
        <v>1500</v>
      </c>
      <c r="Q19" s="121">
        <f>SUM(E19:P19)</f>
        <v>18000</v>
      </c>
      <c r="R19" s="358">
        <f t="shared" si="1"/>
        <v>0.36889781530516047</v>
      </c>
      <c r="S19" s="325">
        <v>16600</v>
      </c>
      <c r="T19" s="348">
        <f t="shared" si="8"/>
        <v>8.43373493975903E-2</v>
      </c>
      <c r="U19" s="11"/>
      <c r="V19" s="285">
        <f>Q19/(Q71-Q63-Q58-Q29)</f>
        <v>7.5648896333488563E-2</v>
      </c>
    </row>
    <row r="20" spans="1:23" x14ac:dyDescent="0.35">
      <c r="A20" s="72" t="s">
        <v>99</v>
      </c>
      <c r="C20" s="7" t="s">
        <v>22</v>
      </c>
      <c r="E20" s="7">
        <f>+'Tenant Recoveries'!H22</f>
        <v>230</v>
      </c>
      <c r="F20" s="7">
        <f>+E20</f>
        <v>230</v>
      </c>
      <c r="G20" s="7">
        <f t="shared" si="9"/>
        <v>230</v>
      </c>
      <c r="H20" s="7">
        <f t="shared" si="9"/>
        <v>230</v>
      </c>
      <c r="I20" s="7">
        <f t="shared" si="9"/>
        <v>230</v>
      </c>
      <c r="J20" s="7">
        <f t="shared" si="9"/>
        <v>230</v>
      </c>
      <c r="K20" s="7">
        <f t="shared" si="9"/>
        <v>230</v>
      </c>
      <c r="L20" s="7">
        <f t="shared" si="9"/>
        <v>230</v>
      </c>
      <c r="M20" s="7">
        <f t="shared" si="9"/>
        <v>230</v>
      </c>
      <c r="N20" s="7">
        <f t="shared" si="9"/>
        <v>230</v>
      </c>
      <c r="O20" s="7">
        <f t="shared" si="9"/>
        <v>230</v>
      </c>
      <c r="P20" s="7">
        <f t="shared" si="9"/>
        <v>230</v>
      </c>
      <c r="Q20" s="121">
        <f>SUM(E20:P20)</f>
        <v>2760</v>
      </c>
      <c r="R20" s="358">
        <f t="shared" si="1"/>
        <v>5.6564331680124605E-2</v>
      </c>
      <c r="S20" s="325">
        <v>5040</v>
      </c>
      <c r="T20" s="348">
        <f t="shared" si="8"/>
        <v>-0.45238095238095233</v>
      </c>
      <c r="U20" s="11"/>
      <c r="V20" s="285">
        <f>Q20/Q58</f>
        <v>5.1197835193262063E-2</v>
      </c>
    </row>
    <row r="21" spans="1:23" x14ac:dyDescent="0.35">
      <c r="A21" s="72" t="s">
        <v>134</v>
      </c>
      <c r="C21" s="7" t="s">
        <v>23</v>
      </c>
      <c r="Q21" s="121">
        <f>SUM(E21:P21)</f>
        <v>0</v>
      </c>
      <c r="R21" s="358">
        <f t="shared" si="1"/>
        <v>0</v>
      </c>
      <c r="S21" s="325"/>
      <c r="T21" s="363" t="str">
        <f t="shared" si="8"/>
        <v>-</v>
      </c>
      <c r="U21" s="11"/>
      <c r="V21" s="11"/>
    </row>
    <row r="22" spans="1:23" x14ac:dyDescent="0.35">
      <c r="A22" s="72"/>
      <c r="C22" s="7" t="s">
        <v>24</v>
      </c>
      <c r="D22" s="14"/>
      <c r="E22" s="29">
        <f t="shared" ref="E22:Q22" si="10">SUM(E18:E21)</f>
        <v>5232.3181999999997</v>
      </c>
      <c r="F22" s="29">
        <f t="shared" si="10"/>
        <v>4778.6799000000001</v>
      </c>
      <c r="G22" s="29">
        <f t="shared" si="10"/>
        <v>4408.1949000000004</v>
      </c>
      <c r="H22" s="29">
        <f t="shared" si="10"/>
        <v>3329.9893999999999</v>
      </c>
      <c r="I22" s="29">
        <f t="shared" si="10"/>
        <v>3192.9625999999998</v>
      </c>
      <c r="J22" s="29">
        <f t="shared" si="10"/>
        <v>3185.5738999999999</v>
      </c>
      <c r="K22" s="29">
        <f t="shared" si="10"/>
        <v>3343.4233999999997</v>
      </c>
      <c r="L22" s="29">
        <f t="shared" si="10"/>
        <v>3258.7892000000002</v>
      </c>
      <c r="M22" s="29">
        <f t="shared" si="10"/>
        <v>3056.6075000000001</v>
      </c>
      <c r="N22" s="29">
        <f t="shared" si="10"/>
        <v>2603.7835999999998</v>
      </c>
      <c r="O22" s="29">
        <f t="shared" si="10"/>
        <v>2837.8009999999999</v>
      </c>
      <c r="P22" s="29">
        <f t="shared" si="10"/>
        <v>3343.2074000000002</v>
      </c>
      <c r="Q22" s="130">
        <f t="shared" si="10"/>
        <v>42571.330999999991</v>
      </c>
      <c r="R22" s="359">
        <f t="shared" si="1"/>
        <v>0.87247061114071389</v>
      </c>
      <c r="S22" s="330">
        <f>SUM(S18:S21)</f>
        <v>51305.83</v>
      </c>
      <c r="T22" s="360">
        <f>IFERROR(Q22/S22-1,"-")</f>
        <v>-0.17024379100776676</v>
      </c>
      <c r="U22" s="11"/>
      <c r="V22" s="11"/>
    </row>
    <row r="23" spans="1:23" ht="16.5" thickBot="1" x14ac:dyDescent="0.4">
      <c r="A23" s="72"/>
      <c r="Q23" s="121"/>
      <c r="R23" s="358">
        <f t="shared" si="1"/>
        <v>0</v>
      </c>
      <c r="S23" s="325"/>
      <c r="T23" s="348"/>
      <c r="U23" s="11"/>
      <c r="V23" s="11"/>
    </row>
    <row r="24" spans="1:23" s="10" customFormat="1" ht="18" thickBot="1" x14ac:dyDescent="0.4">
      <c r="A24" s="253"/>
      <c r="B24" s="254" t="s">
        <v>25</v>
      </c>
      <c r="C24" s="255"/>
      <c r="D24" s="255"/>
      <c r="E24" s="255">
        <f t="shared" ref="E24:Q24" si="11">+E15+E22</f>
        <v>70264.123116666669</v>
      </c>
      <c r="F24" s="255">
        <f t="shared" si="11"/>
        <v>69810.484816666663</v>
      </c>
      <c r="G24" s="255">
        <f t="shared" si="11"/>
        <v>69439.996483333336</v>
      </c>
      <c r="H24" s="255">
        <f t="shared" si="11"/>
        <v>56337.407649999994</v>
      </c>
      <c r="I24" s="255">
        <f t="shared" si="11"/>
        <v>56200.380849999994</v>
      </c>
      <c r="J24" s="255">
        <f t="shared" si="11"/>
        <v>56192.992149999998</v>
      </c>
      <c r="K24" s="255">
        <f t="shared" si="11"/>
        <v>49299.046649999997</v>
      </c>
      <c r="L24" s="255">
        <f t="shared" si="11"/>
        <v>54517.662449999996</v>
      </c>
      <c r="M24" s="255">
        <f t="shared" si="11"/>
        <v>54315.480749999995</v>
      </c>
      <c r="N24" s="255">
        <f t="shared" si="11"/>
        <v>37998.495266666665</v>
      </c>
      <c r="O24" s="255">
        <f t="shared" si="11"/>
        <v>38232.509333333335</v>
      </c>
      <c r="P24" s="255">
        <f t="shared" si="11"/>
        <v>43924.915733333335</v>
      </c>
      <c r="Q24" s="364">
        <f t="shared" si="11"/>
        <v>656533.49524999992</v>
      </c>
      <c r="R24" s="365">
        <f t="shared" si="1"/>
        <v>13.455209559576996</v>
      </c>
      <c r="S24" s="333">
        <f>+S15+S22</f>
        <v>807025.46000000008</v>
      </c>
      <c r="T24" s="366">
        <f t="shared" ref="T24" si="12">IFERROR(Q24/S24-1,"-")</f>
        <v>-0.18647734453136111</v>
      </c>
      <c r="U24" s="388"/>
      <c r="V24" s="434" t="s">
        <v>591</v>
      </c>
      <c r="W24" s="435">
        <f>+S24-Q24</f>
        <v>150491.96475000016</v>
      </c>
    </row>
    <row r="25" spans="1:23" ht="18" x14ac:dyDescent="0.35">
      <c r="A25" s="72"/>
      <c r="Q25" s="123"/>
      <c r="R25" s="361"/>
      <c r="S25" s="331"/>
      <c r="T25" s="362"/>
      <c r="U25" s="11"/>
      <c r="V25" s="433" t="s">
        <v>592</v>
      </c>
      <c r="W25" s="436"/>
    </row>
    <row r="26" spans="1:23" ht="18" x14ac:dyDescent="0.35">
      <c r="A26" s="72"/>
      <c r="B26" s="8" t="s">
        <v>26</v>
      </c>
      <c r="Q26" s="121"/>
      <c r="R26" s="358"/>
      <c r="S26" s="325"/>
      <c r="T26" s="348"/>
      <c r="U26" s="11"/>
      <c r="V26" s="11"/>
    </row>
    <row r="27" spans="1:23" x14ac:dyDescent="0.35">
      <c r="A27" s="72" t="s">
        <v>100</v>
      </c>
      <c r="C27" s="7" t="s">
        <v>27</v>
      </c>
      <c r="E27" s="7">
        <f>'Allocated Expenses'!E6</f>
        <v>1376.0833333333333</v>
      </c>
      <c r="F27" s="7">
        <f>'Allocated Expenses'!F6</f>
        <v>1376.0833333333333</v>
      </c>
      <c r="G27" s="7">
        <f>'Allocated Expenses'!G6</f>
        <v>1376.0833333333333</v>
      </c>
      <c r="H27" s="7">
        <f>'Allocated Expenses'!H6</f>
        <v>1376.0833333333333</v>
      </c>
      <c r="I27" s="7">
        <f>'Allocated Expenses'!I6</f>
        <v>1376.0833333333333</v>
      </c>
      <c r="J27" s="7">
        <f>'Allocated Expenses'!J6</f>
        <v>1376.0833333333333</v>
      </c>
      <c r="K27" s="7">
        <f>'Allocated Expenses'!K6</f>
        <v>1376.0833333333333</v>
      </c>
      <c r="L27" s="7">
        <f>'Allocated Expenses'!L6</f>
        <v>1376.0833333333333</v>
      </c>
      <c r="M27" s="7">
        <f>'Allocated Expenses'!M6</f>
        <v>1376.0833333333333</v>
      </c>
      <c r="N27" s="7">
        <f>'Allocated Expenses'!N6</f>
        <v>1376.0833333333333</v>
      </c>
      <c r="O27" s="7">
        <f>'Allocated Expenses'!O6</f>
        <v>1376.0833333333333</v>
      </c>
      <c r="P27" s="7">
        <f>'Allocated Expenses'!P6</f>
        <v>1376.0833333333333</v>
      </c>
      <c r="Q27" s="121">
        <f>SUM(E27:P27)</f>
        <v>16513.000000000004</v>
      </c>
      <c r="R27" s="358">
        <f t="shared" si="1"/>
        <v>0.33842275689633977</v>
      </c>
      <c r="S27" s="325">
        <v>11212.8</v>
      </c>
      <c r="T27" s="348">
        <f>IFERROR(Q27/S27-1,"-")</f>
        <v>0.4726919235159821</v>
      </c>
      <c r="U27" s="11"/>
      <c r="V27" s="11"/>
    </row>
    <row r="28" spans="1:23" x14ac:dyDescent="0.35">
      <c r="A28" s="72"/>
      <c r="Q28" s="121"/>
      <c r="R28" s="358"/>
      <c r="S28" s="325"/>
      <c r="T28" s="348"/>
      <c r="U28" s="11"/>
      <c r="V28" s="11"/>
    </row>
    <row r="29" spans="1:23" x14ac:dyDescent="0.35">
      <c r="A29" s="72" t="s">
        <v>101</v>
      </c>
      <c r="C29" s="7" t="s">
        <v>20</v>
      </c>
      <c r="E29" s="13">
        <v>4254</v>
      </c>
      <c r="F29" s="13">
        <v>3703</v>
      </c>
      <c r="G29" s="13">
        <v>3253</v>
      </c>
      <c r="H29" s="13">
        <v>2382</v>
      </c>
      <c r="I29" s="13">
        <v>2178</v>
      </c>
      <c r="J29" s="13">
        <v>2167</v>
      </c>
      <c r="K29" s="13">
        <v>2402</v>
      </c>
      <c r="L29" s="13">
        <v>2276</v>
      </c>
      <c r="M29" s="13">
        <v>1975</v>
      </c>
      <c r="N29" s="13">
        <v>1964</v>
      </c>
      <c r="O29" s="13">
        <v>2490</v>
      </c>
      <c r="P29" s="13">
        <v>3626</v>
      </c>
      <c r="Q29" s="121">
        <f>SUM(E29:P29)</f>
        <v>32670</v>
      </c>
      <c r="R29" s="358">
        <f t="shared" si="1"/>
        <v>0.66954953477886625</v>
      </c>
      <c r="S29" s="325">
        <v>34280.300000000003</v>
      </c>
      <c r="T29" s="348">
        <f>IFERROR(Q29/S29-1,"-")</f>
        <v>-4.6974501390011247E-2</v>
      </c>
      <c r="U29" s="11" t="s">
        <v>304</v>
      </c>
      <c r="V29" s="11" t="s">
        <v>513</v>
      </c>
    </row>
    <row r="30" spans="1:23" x14ac:dyDescent="0.35">
      <c r="A30" s="72"/>
      <c r="Q30" s="121"/>
      <c r="R30" s="358"/>
      <c r="S30" s="325"/>
      <c r="T30" s="348"/>
      <c r="U30" s="11"/>
      <c r="V30" s="11"/>
    </row>
    <row r="31" spans="1:23" x14ac:dyDescent="0.35">
      <c r="A31" s="72" t="s">
        <v>102</v>
      </c>
      <c r="C31" s="7" t="s">
        <v>28</v>
      </c>
      <c r="E31" s="7">
        <f>'Water Sewer'!D19</f>
        <v>879.62</v>
      </c>
      <c r="F31" s="7">
        <f>'Water Sewer'!E19</f>
        <v>872.41000000000008</v>
      </c>
      <c r="G31" s="7">
        <f>'Water Sewer'!F19</f>
        <v>890.95</v>
      </c>
      <c r="H31" s="7">
        <f>'Water Sewer'!G19</f>
        <v>885.80000000000007</v>
      </c>
      <c r="I31" s="7">
        <f>'Water Sewer'!H19</f>
        <v>924.94</v>
      </c>
      <c r="J31" s="7">
        <f>'Water Sewer'!I19</f>
        <v>842.54000000000008</v>
      </c>
      <c r="K31" s="7">
        <f>'Water Sewer'!J19</f>
        <v>923.91000000000008</v>
      </c>
      <c r="L31" s="7">
        <f>'Water Sewer'!K19</f>
        <v>912.58000000000015</v>
      </c>
      <c r="M31" s="7">
        <f>'Water Sewer'!L19</f>
        <v>982.62</v>
      </c>
      <c r="N31" s="7">
        <f>'Water Sewer'!M19</f>
        <v>934.21</v>
      </c>
      <c r="O31" s="7">
        <f>'Water Sewer'!N19</f>
        <v>1119.6099999999999</v>
      </c>
      <c r="P31" s="7">
        <f>'Water Sewer'!O19</f>
        <v>992.92</v>
      </c>
      <c r="Q31" s="121">
        <f>SUM(E31:P31)</f>
        <v>11162.110000000002</v>
      </c>
      <c r="R31" s="358">
        <f t="shared" si="1"/>
        <v>0.22875988851088253</v>
      </c>
      <c r="S31" s="325">
        <v>11254.54</v>
      </c>
      <c r="T31" s="348">
        <f>IFERROR(Q31/S31-1,"-")</f>
        <v>-8.2126857250495178E-3</v>
      </c>
      <c r="U31" s="11"/>
      <c r="V31" s="11" t="s">
        <v>561</v>
      </c>
    </row>
    <row r="32" spans="1:23" x14ac:dyDescent="0.35">
      <c r="A32" s="72"/>
      <c r="Q32" s="121"/>
      <c r="R32" s="358"/>
      <c r="S32" s="325"/>
      <c r="T32" s="348"/>
      <c r="U32" s="11"/>
      <c r="V32" s="11"/>
    </row>
    <row r="33" spans="1:22" x14ac:dyDescent="0.35">
      <c r="A33" s="72"/>
      <c r="D33" s="53" t="s">
        <v>29</v>
      </c>
      <c r="E33" s="47">
        <f>'Building Maint'!C15</f>
        <v>1766</v>
      </c>
      <c r="F33" s="47">
        <f>'Building Maint'!D15</f>
        <v>1566</v>
      </c>
      <c r="G33" s="47">
        <f>'Building Maint'!E15</f>
        <v>816</v>
      </c>
      <c r="H33" s="47">
        <f>'Building Maint'!F15</f>
        <v>2627</v>
      </c>
      <c r="I33" s="47">
        <f>'Building Maint'!G15</f>
        <v>1566</v>
      </c>
      <c r="J33" s="47">
        <f>'Building Maint'!H15</f>
        <v>816</v>
      </c>
      <c r="K33" s="47">
        <f>'Building Maint'!I15</f>
        <v>1766</v>
      </c>
      <c r="L33" s="47">
        <f>'Building Maint'!J15</f>
        <v>1566</v>
      </c>
      <c r="M33" s="47">
        <f>'Building Maint'!K15</f>
        <v>816</v>
      </c>
      <c r="N33" s="47">
        <f>'Building Maint'!L15</f>
        <v>2627</v>
      </c>
      <c r="O33" s="47">
        <f>'Building Maint'!M15</f>
        <v>1566</v>
      </c>
      <c r="P33" s="47">
        <f>'Building Maint'!N15</f>
        <v>816</v>
      </c>
      <c r="Q33" s="367">
        <f>SUM(E33:P33)</f>
        <v>18314</v>
      </c>
      <c r="R33" s="368">
        <f t="shared" si="1"/>
        <v>0.3753330327499283</v>
      </c>
      <c r="S33" s="325"/>
      <c r="T33" s="348"/>
      <c r="U33" s="11"/>
      <c r="V33" s="11"/>
    </row>
    <row r="34" spans="1:22" x14ac:dyDescent="0.35">
      <c r="A34" s="72"/>
      <c r="D34" s="54" t="s">
        <v>30</v>
      </c>
      <c r="E34" s="7">
        <f>'Building Maint'!C8</f>
        <v>2115</v>
      </c>
      <c r="F34" s="7">
        <f>'Building Maint'!D8</f>
        <v>2140</v>
      </c>
      <c r="G34" s="7">
        <f>'Building Maint'!E8</f>
        <v>1815</v>
      </c>
      <c r="H34" s="7">
        <f>'Building Maint'!F8</f>
        <v>2215</v>
      </c>
      <c r="I34" s="7">
        <f>'Building Maint'!G8</f>
        <v>6900</v>
      </c>
      <c r="J34" s="7">
        <f>'Building Maint'!H8</f>
        <v>1690</v>
      </c>
      <c r="K34" s="7">
        <f>'Building Maint'!I8</f>
        <v>2390</v>
      </c>
      <c r="L34" s="7">
        <f>'Building Maint'!J8</f>
        <v>1690</v>
      </c>
      <c r="M34" s="7">
        <f>'Building Maint'!K8</f>
        <v>1815</v>
      </c>
      <c r="N34" s="7">
        <f>'Building Maint'!L8</f>
        <v>2615</v>
      </c>
      <c r="O34" s="7">
        <f>'Building Maint'!M8</f>
        <v>1690</v>
      </c>
      <c r="P34" s="7">
        <f>'Building Maint'!N8</f>
        <v>1690</v>
      </c>
      <c r="Q34" s="121">
        <f>SUM(E34:P34)</f>
        <v>28765</v>
      </c>
      <c r="R34" s="369">
        <f t="shared" si="1"/>
        <v>0.58951920318071893</v>
      </c>
      <c r="S34" s="325"/>
      <c r="T34" s="348"/>
      <c r="U34" s="11"/>
      <c r="V34" s="11"/>
    </row>
    <row r="35" spans="1:22" x14ac:dyDescent="0.35">
      <c r="A35" s="72"/>
      <c r="D35" s="55" t="s">
        <v>31</v>
      </c>
      <c r="E35" s="15"/>
      <c r="F35" s="15">
        <f>1.03*1500</f>
        <v>1545</v>
      </c>
      <c r="G35" s="15"/>
      <c r="H35" s="15"/>
      <c r="I35" s="15"/>
      <c r="J35" s="15">
        <f>1.03*15000</f>
        <v>15450</v>
      </c>
      <c r="K35" s="15"/>
      <c r="L35" s="15"/>
      <c r="M35" s="15"/>
      <c r="N35" s="15">
        <f>1.03*1500</f>
        <v>1545</v>
      </c>
      <c r="O35" s="15"/>
      <c r="P35" s="15"/>
      <c r="Q35" s="128">
        <f>SUM(E35:P35)</f>
        <v>18540</v>
      </c>
      <c r="R35" s="370">
        <f t="shared" si="1"/>
        <v>0.37996474976431527</v>
      </c>
      <c r="S35" s="325"/>
      <c r="T35" s="348"/>
      <c r="U35" s="11"/>
      <c r="V35" s="11"/>
    </row>
    <row r="36" spans="1:22" x14ac:dyDescent="0.35">
      <c r="A36" s="72" t="s">
        <v>103</v>
      </c>
      <c r="C36" s="7" t="s">
        <v>32</v>
      </c>
      <c r="E36" s="16">
        <f t="shared" ref="E36:Q36" si="13">SUM(E33:E35)</f>
        <v>3881</v>
      </c>
      <c r="F36" s="16">
        <f t="shared" si="13"/>
        <v>5251</v>
      </c>
      <c r="G36" s="16">
        <f t="shared" si="13"/>
        <v>2631</v>
      </c>
      <c r="H36" s="16">
        <f t="shared" si="13"/>
        <v>4842</v>
      </c>
      <c r="I36" s="16">
        <f t="shared" si="13"/>
        <v>8466</v>
      </c>
      <c r="J36" s="16">
        <f t="shared" si="13"/>
        <v>17956</v>
      </c>
      <c r="K36" s="16">
        <f t="shared" si="13"/>
        <v>4156</v>
      </c>
      <c r="L36" s="16">
        <f t="shared" si="13"/>
        <v>3256</v>
      </c>
      <c r="M36" s="16">
        <f t="shared" si="13"/>
        <v>2631</v>
      </c>
      <c r="N36" s="16">
        <f t="shared" si="13"/>
        <v>6787</v>
      </c>
      <c r="O36" s="16">
        <f t="shared" si="13"/>
        <v>3256</v>
      </c>
      <c r="P36" s="16">
        <f t="shared" si="13"/>
        <v>2506</v>
      </c>
      <c r="Q36" s="128">
        <f t="shared" si="13"/>
        <v>65619</v>
      </c>
      <c r="R36" s="371">
        <f t="shared" si="1"/>
        <v>1.3448169856949626</v>
      </c>
      <c r="S36" s="330">
        <v>41281.120000000003</v>
      </c>
      <c r="T36" s="360">
        <f>IFERROR(Q36/S36-1,"-")</f>
        <v>0.58956443042243034</v>
      </c>
      <c r="U36" s="11"/>
      <c r="V36" s="11"/>
    </row>
    <row r="37" spans="1:22" x14ac:dyDescent="0.35">
      <c r="A37" s="72"/>
      <c r="Q37" s="121"/>
      <c r="R37" s="358"/>
      <c r="S37" s="325"/>
      <c r="T37" s="348"/>
      <c r="U37" s="11"/>
      <c r="V37" s="11"/>
    </row>
    <row r="38" spans="1:22" hidden="1" x14ac:dyDescent="0.35">
      <c r="A38" s="72" t="s">
        <v>271</v>
      </c>
      <c r="B38" s="7" t="s">
        <v>33</v>
      </c>
      <c r="C38" s="7" t="s">
        <v>34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21">
        <f>SUM(E38:P38)</f>
        <v>0</v>
      </c>
      <c r="R38" s="358">
        <f t="shared" si="1"/>
        <v>0</v>
      </c>
      <c r="S38" s="325"/>
      <c r="T38" s="348"/>
      <c r="U38" s="11"/>
      <c r="V38" s="11"/>
    </row>
    <row r="39" spans="1:22" hidden="1" x14ac:dyDescent="0.35">
      <c r="A39" s="72"/>
      <c r="Q39" s="121"/>
      <c r="R39" s="358"/>
      <c r="S39" s="325"/>
      <c r="T39" s="348"/>
      <c r="U39" s="11"/>
      <c r="V39" s="11"/>
    </row>
    <row r="40" spans="1:22" x14ac:dyDescent="0.35">
      <c r="A40" s="72"/>
      <c r="D40" s="53" t="s">
        <v>35</v>
      </c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367">
        <f>SUM(E40:P40)</f>
        <v>0</v>
      </c>
      <c r="R40" s="368">
        <f t="shared" si="1"/>
        <v>0</v>
      </c>
      <c r="S40" s="325"/>
      <c r="T40" s="348"/>
      <c r="U40" s="11"/>
      <c r="V40" s="11"/>
    </row>
    <row r="41" spans="1:22" x14ac:dyDescent="0.35">
      <c r="A41" s="72"/>
      <c r="D41" s="54" t="s">
        <v>36</v>
      </c>
      <c r="E41" s="7">
        <f>'Parking Lot Maint'!C8</f>
        <v>0</v>
      </c>
      <c r="F41" s="7">
        <f>'Parking Lot Maint'!D8</f>
        <v>0</v>
      </c>
      <c r="G41" s="7">
        <f>'Parking Lot Maint'!E8</f>
        <v>0</v>
      </c>
      <c r="H41" s="7">
        <f>'Parking Lot Maint'!F8</f>
        <v>0</v>
      </c>
      <c r="I41" s="7">
        <f>'Parking Lot Maint'!G8</f>
        <v>0</v>
      </c>
      <c r="J41" s="7">
        <f>'Parking Lot Maint'!H8</f>
        <v>0</v>
      </c>
      <c r="K41" s="7">
        <f>'Parking Lot Maint'!I8</f>
        <v>0</v>
      </c>
      <c r="L41" s="7">
        <f>'Parking Lot Maint'!J8</f>
        <v>0</v>
      </c>
      <c r="M41" s="7">
        <f>'Parking Lot Maint'!K8</f>
        <v>0</v>
      </c>
      <c r="N41" s="7">
        <f>'Parking Lot Maint'!L8</f>
        <v>0</v>
      </c>
      <c r="O41" s="7">
        <f>'Parking Lot Maint'!M8</f>
        <v>0</v>
      </c>
      <c r="P41" s="7">
        <f>'Parking Lot Maint'!N8</f>
        <v>0</v>
      </c>
      <c r="Q41" s="121">
        <f>SUM(E41:P41)</f>
        <v>0</v>
      </c>
      <c r="R41" s="369">
        <f t="shared" si="1"/>
        <v>0</v>
      </c>
      <c r="S41" s="325"/>
      <c r="T41" s="348"/>
      <c r="U41" s="11"/>
      <c r="V41" s="11"/>
    </row>
    <row r="42" spans="1:22" x14ac:dyDescent="0.35">
      <c r="A42" s="72"/>
      <c r="D42" s="55" t="s">
        <v>37</v>
      </c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28">
        <f>SUM(E42:P42)</f>
        <v>0</v>
      </c>
      <c r="R42" s="370">
        <f t="shared" si="1"/>
        <v>0</v>
      </c>
      <c r="S42" s="325"/>
      <c r="T42" s="348"/>
      <c r="U42" s="11"/>
      <c r="V42" s="11"/>
    </row>
    <row r="43" spans="1:22" x14ac:dyDescent="0.35">
      <c r="A43" s="72" t="s">
        <v>135</v>
      </c>
      <c r="C43" s="7" t="s">
        <v>38</v>
      </c>
      <c r="E43" s="52">
        <f t="shared" ref="E43:P43" si="14">SUM(E40:E42)</f>
        <v>0</v>
      </c>
      <c r="F43" s="52">
        <f t="shared" si="14"/>
        <v>0</v>
      </c>
      <c r="G43" s="52">
        <f>SUM(G40:G42)</f>
        <v>0</v>
      </c>
      <c r="H43" s="52">
        <f t="shared" si="14"/>
        <v>0</v>
      </c>
      <c r="I43" s="52">
        <f t="shared" si="14"/>
        <v>0</v>
      </c>
      <c r="J43" s="52">
        <f t="shared" si="14"/>
        <v>0</v>
      </c>
      <c r="K43" s="52">
        <f t="shared" si="14"/>
        <v>0</v>
      </c>
      <c r="L43" s="52">
        <f t="shared" si="14"/>
        <v>0</v>
      </c>
      <c r="M43" s="52">
        <f t="shared" si="14"/>
        <v>0</v>
      </c>
      <c r="N43" s="52">
        <f t="shared" si="14"/>
        <v>0</v>
      </c>
      <c r="O43" s="52">
        <f t="shared" si="14"/>
        <v>0</v>
      </c>
      <c r="P43" s="52">
        <f t="shared" si="14"/>
        <v>0</v>
      </c>
      <c r="Q43" s="127">
        <f>SUM(Q40:Q42)</f>
        <v>0</v>
      </c>
      <c r="R43" s="372">
        <f t="shared" si="1"/>
        <v>0</v>
      </c>
      <c r="S43" s="330">
        <v>133</v>
      </c>
      <c r="T43" s="360">
        <f>IFERROR(Q43/S43-1,"-")</f>
        <v>-1</v>
      </c>
      <c r="U43" s="11"/>
      <c r="V43" s="11"/>
    </row>
    <row r="44" spans="1:22" x14ac:dyDescent="0.35">
      <c r="A44" s="72"/>
      <c r="Q44" s="121"/>
      <c r="R44" s="358"/>
      <c r="S44" s="325"/>
      <c r="T44" s="348"/>
      <c r="U44" s="11"/>
      <c r="V44" s="11"/>
    </row>
    <row r="45" spans="1:22" x14ac:dyDescent="0.35">
      <c r="A45" s="72" t="s">
        <v>105</v>
      </c>
      <c r="C45" s="7" t="s">
        <v>39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21">
        <f>SUM(E45:P45)</f>
        <v>0</v>
      </c>
      <c r="R45" s="358">
        <f t="shared" si="1"/>
        <v>0</v>
      </c>
      <c r="S45" s="325"/>
      <c r="T45" s="348" t="str">
        <f>IFERROR(Q45/S45-1,"-")</f>
        <v>-</v>
      </c>
      <c r="U45" s="11"/>
      <c r="V45" s="11"/>
    </row>
    <row r="46" spans="1:22" x14ac:dyDescent="0.35">
      <c r="A46" s="72"/>
      <c r="Q46" s="121"/>
      <c r="R46" s="358"/>
      <c r="S46" s="325"/>
      <c r="T46" s="348"/>
      <c r="U46" s="11"/>
      <c r="V46" s="11"/>
    </row>
    <row r="47" spans="1:22" x14ac:dyDescent="0.35">
      <c r="A47" s="72"/>
      <c r="D47" s="53" t="s">
        <v>40</v>
      </c>
      <c r="E47" s="76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367">
        <f>SUM(E47:P47)</f>
        <v>0</v>
      </c>
      <c r="R47" s="368">
        <f t="shared" si="1"/>
        <v>0</v>
      </c>
      <c r="S47" s="325"/>
      <c r="T47" s="348"/>
      <c r="U47" s="11"/>
      <c r="V47" s="11"/>
    </row>
    <row r="48" spans="1:22" x14ac:dyDescent="0.35">
      <c r="A48" s="72"/>
      <c r="D48" s="54" t="s">
        <v>41</v>
      </c>
      <c r="E48" s="7">
        <f>Landscaping!C8</f>
        <v>0</v>
      </c>
      <c r="F48" s="7">
        <f>Landscaping!D8</f>
        <v>0</v>
      </c>
      <c r="G48" s="7">
        <f>Landscaping!E8</f>
        <v>0</v>
      </c>
      <c r="H48" s="7">
        <f>Landscaping!F8</f>
        <v>0</v>
      </c>
      <c r="I48" s="7">
        <f>Landscaping!G8</f>
        <v>0</v>
      </c>
      <c r="J48" s="7">
        <f>Landscaping!H8</f>
        <v>0</v>
      </c>
      <c r="K48" s="7">
        <f>Landscaping!I8</f>
        <v>0</v>
      </c>
      <c r="L48" s="7">
        <f>Landscaping!J8</f>
        <v>0</v>
      </c>
      <c r="M48" s="7">
        <f>Landscaping!K8</f>
        <v>0</v>
      </c>
      <c r="N48" s="7">
        <f>Landscaping!L8</f>
        <v>0</v>
      </c>
      <c r="O48" s="7">
        <f>Landscaping!M8</f>
        <v>0</v>
      </c>
      <c r="P48" s="7">
        <f>Landscaping!N8</f>
        <v>0</v>
      </c>
      <c r="Q48" s="121">
        <f>SUM(E48:P48)</f>
        <v>0</v>
      </c>
      <c r="R48" s="369">
        <f t="shared" si="1"/>
        <v>0</v>
      </c>
      <c r="S48" s="325"/>
      <c r="T48" s="348"/>
      <c r="U48" s="11"/>
      <c r="V48" s="11"/>
    </row>
    <row r="49" spans="1:22" x14ac:dyDescent="0.35">
      <c r="A49" s="72"/>
      <c r="D49" s="55" t="s">
        <v>42</v>
      </c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28">
        <f>SUM(E49:P49)</f>
        <v>0</v>
      </c>
      <c r="R49" s="370">
        <f t="shared" si="1"/>
        <v>0</v>
      </c>
      <c r="S49" s="325"/>
      <c r="T49" s="348"/>
      <c r="U49" s="11"/>
      <c r="V49" s="11"/>
    </row>
    <row r="50" spans="1:22" x14ac:dyDescent="0.35">
      <c r="A50" s="72" t="s">
        <v>106</v>
      </c>
      <c r="C50" s="7" t="s">
        <v>43</v>
      </c>
      <c r="E50" s="52">
        <f t="shared" ref="E50:Q50" si="15">SUM(E47:E49)</f>
        <v>0</v>
      </c>
      <c r="F50" s="52">
        <f t="shared" si="15"/>
        <v>0</v>
      </c>
      <c r="G50" s="52">
        <f t="shared" si="15"/>
        <v>0</v>
      </c>
      <c r="H50" s="52">
        <f t="shared" si="15"/>
        <v>0</v>
      </c>
      <c r="I50" s="52">
        <f t="shared" si="15"/>
        <v>0</v>
      </c>
      <c r="J50" s="52">
        <f t="shared" si="15"/>
        <v>0</v>
      </c>
      <c r="K50" s="52">
        <f t="shared" si="15"/>
        <v>0</v>
      </c>
      <c r="L50" s="52">
        <f t="shared" si="15"/>
        <v>0</v>
      </c>
      <c r="M50" s="52">
        <f t="shared" si="15"/>
        <v>0</v>
      </c>
      <c r="N50" s="52">
        <f t="shared" si="15"/>
        <v>0</v>
      </c>
      <c r="O50" s="52">
        <f t="shared" si="15"/>
        <v>0</v>
      </c>
      <c r="P50" s="52">
        <f t="shared" si="15"/>
        <v>0</v>
      </c>
      <c r="Q50" s="127">
        <f t="shared" si="15"/>
        <v>0</v>
      </c>
      <c r="R50" s="372">
        <f t="shared" si="1"/>
        <v>0</v>
      </c>
      <c r="S50" s="330">
        <v>157</v>
      </c>
      <c r="T50" s="360">
        <f>IFERROR(Q50/S50-1,"-")</f>
        <v>-1</v>
      </c>
      <c r="U50" s="11"/>
      <c r="V50" s="11"/>
    </row>
    <row r="51" spans="1:22" x14ac:dyDescent="0.35">
      <c r="A51" s="72"/>
      <c r="Q51" s="121"/>
      <c r="R51" s="358"/>
      <c r="S51" s="325"/>
      <c r="T51" s="348"/>
      <c r="U51" s="11"/>
      <c r="V51" s="11"/>
    </row>
    <row r="52" spans="1:22" x14ac:dyDescent="0.35">
      <c r="A52" s="72" t="s">
        <v>107</v>
      </c>
      <c r="C52" s="7" t="s">
        <v>44</v>
      </c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21">
        <f>SUM(E52:P52)</f>
        <v>0</v>
      </c>
      <c r="R52" s="358">
        <f t="shared" si="1"/>
        <v>0</v>
      </c>
      <c r="S52" s="325"/>
      <c r="T52" s="348" t="str">
        <f>IFERROR(Q52/S52-1,"-")</f>
        <v>-</v>
      </c>
      <c r="U52" s="11"/>
      <c r="V52" s="11"/>
    </row>
    <row r="53" spans="1:22" x14ac:dyDescent="0.35">
      <c r="A53" s="72"/>
      <c r="Q53" s="121"/>
      <c r="R53" s="358"/>
      <c r="S53" s="325"/>
      <c r="T53" s="348"/>
      <c r="U53" s="11"/>
      <c r="V53" s="11"/>
    </row>
    <row r="54" spans="1:22" x14ac:dyDescent="0.35">
      <c r="A54" s="72" t="s">
        <v>108</v>
      </c>
      <c r="B54" s="7" t="s">
        <v>45</v>
      </c>
      <c r="C54" s="7" t="s">
        <v>46</v>
      </c>
      <c r="E54" s="7">
        <f>ROUND(E$24*0.04,0)</f>
        <v>2811</v>
      </c>
      <c r="F54" s="7">
        <f t="shared" ref="F54:P54" si="16">ROUND(F$24*0.04,0)</f>
        <v>2792</v>
      </c>
      <c r="G54" s="7">
        <f t="shared" si="16"/>
        <v>2778</v>
      </c>
      <c r="H54" s="7">
        <f t="shared" si="16"/>
        <v>2253</v>
      </c>
      <c r="I54" s="7">
        <f t="shared" si="16"/>
        <v>2248</v>
      </c>
      <c r="J54" s="7">
        <f t="shared" si="16"/>
        <v>2248</v>
      </c>
      <c r="K54" s="7">
        <f t="shared" si="16"/>
        <v>1972</v>
      </c>
      <c r="L54" s="7">
        <f t="shared" si="16"/>
        <v>2181</v>
      </c>
      <c r="M54" s="7">
        <f t="shared" si="16"/>
        <v>2173</v>
      </c>
      <c r="N54" s="7">
        <f t="shared" si="16"/>
        <v>1520</v>
      </c>
      <c r="O54" s="7">
        <f t="shared" si="16"/>
        <v>1529</v>
      </c>
      <c r="P54" s="7">
        <f t="shared" si="16"/>
        <v>1757</v>
      </c>
      <c r="Q54" s="121">
        <f>SUM(E54:P54)</f>
        <v>26262</v>
      </c>
      <c r="R54" s="358">
        <f t="shared" si="1"/>
        <v>0.53822191253022911</v>
      </c>
      <c r="S54" s="325">
        <v>31396.409999999996</v>
      </c>
      <c r="T54" s="348">
        <f>IFERROR(Q54/S54-1,"-")</f>
        <v>-0.16353493918572204</v>
      </c>
      <c r="U54" s="11"/>
      <c r="V54" s="11"/>
    </row>
    <row r="55" spans="1:22" x14ac:dyDescent="0.35">
      <c r="A55" s="72"/>
      <c r="Q55" s="121"/>
      <c r="R55" s="358"/>
      <c r="S55" s="325"/>
      <c r="T55" s="348"/>
      <c r="U55" s="11"/>
      <c r="V55" s="11"/>
    </row>
    <row r="56" spans="1:22" x14ac:dyDescent="0.35">
      <c r="A56" s="72" t="s">
        <v>109</v>
      </c>
      <c r="C56" s="7" t="s">
        <v>47</v>
      </c>
      <c r="E56" s="7">
        <f>Trash!C8</f>
        <v>0</v>
      </c>
      <c r="F56" s="7">
        <f>Trash!D8</f>
        <v>0</v>
      </c>
      <c r="G56" s="7">
        <f>Trash!E8</f>
        <v>0</v>
      </c>
      <c r="H56" s="7">
        <f>Trash!F8</f>
        <v>0</v>
      </c>
      <c r="I56" s="7">
        <f>Trash!G8</f>
        <v>0</v>
      </c>
      <c r="J56" s="7">
        <f>Trash!H8</f>
        <v>0</v>
      </c>
      <c r="K56" s="7">
        <f>Trash!I8</f>
        <v>0</v>
      </c>
      <c r="L56" s="7">
        <f>Trash!J8</f>
        <v>0</v>
      </c>
      <c r="M56" s="7">
        <f>Trash!K8</f>
        <v>0</v>
      </c>
      <c r="N56" s="7">
        <f>Trash!L8</f>
        <v>0</v>
      </c>
      <c r="O56" s="7">
        <f>Trash!M8</f>
        <v>0</v>
      </c>
      <c r="P56" s="7">
        <f>Trash!N8</f>
        <v>0</v>
      </c>
      <c r="Q56" s="121">
        <f>SUM(E56:P56)</f>
        <v>0</v>
      </c>
      <c r="R56" s="358">
        <f t="shared" si="1"/>
        <v>0</v>
      </c>
      <c r="S56" s="325">
        <v>191</v>
      </c>
      <c r="T56" s="348">
        <f>IFERROR(Q56/S56-1,"-")</f>
        <v>-1</v>
      </c>
      <c r="U56" s="11"/>
      <c r="V56" s="11"/>
    </row>
    <row r="57" spans="1:22" x14ac:dyDescent="0.35">
      <c r="A57" s="72"/>
      <c r="Q57" s="121"/>
      <c r="R57" s="358"/>
      <c r="S57" s="325"/>
      <c r="T57" s="348"/>
      <c r="U57" s="11"/>
      <c r="V57" s="11"/>
    </row>
    <row r="58" spans="1:22" x14ac:dyDescent="0.35">
      <c r="A58" s="72" t="s">
        <v>110</v>
      </c>
      <c r="C58" s="7" t="s">
        <v>22</v>
      </c>
      <c r="E58" s="7">
        <f>+'INS RET'!E34</f>
        <v>4492.3774439250001</v>
      </c>
      <c r="F58" s="7">
        <f>+'INS RET'!F34</f>
        <v>4492.3774439250001</v>
      </c>
      <c r="G58" s="7">
        <f>+'INS RET'!G34</f>
        <v>4492.3774439250001</v>
      </c>
      <c r="H58" s="7">
        <f>+'INS RET'!H34</f>
        <v>4492.3774439250001</v>
      </c>
      <c r="I58" s="7">
        <f>+'INS RET'!I34</f>
        <v>4492.3774439250001</v>
      </c>
      <c r="J58" s="7">
        <f>+'INS RET'!J34</f>
        <v>4492.3774439250001</v>
      </c>
      <c r="K58" s="7">
        <f>+'INS RET'!K34</f>
        <v>4492.3774439250001</v>
      </c>
      <c r="L58" s="7">
        <f>+'INS RET'!L34</f>
        <v>4492.3774439250001</v>
      </c>
      <c r="M58" s="7">
        <f>+'INS RET'!M34</f>
        <v>4492.3774439250001</v>
      </c>
      <c r="N58" s="7">
        <f>+'INS RET'!N34</f>
        <v>4492.3774439250001</v>
      </c>
      <c r="O58" s="7">
        <f>+'INS RET'!O34</f>
        <v>4492.3774439250001</v>
      </c>
      <c r="P58" s="7">
        <f>+'INS RET'!P34</f>
        <v>4492.3774439250001</v>
      </c>
      <c r="Q58" s="121">
        <f>SUM(E58:P58)</f>
        <v>53908.52932709999</v>
      </c>
      <c r="R58" s="358">
        <f t="shared" si="1"/>
        <v>1.1048188163934087</v>
      </c>
      <c r="S58" s="325">
        <v>119327.25</v>
      </c>
      <c r="T58" s="348">
        <f>IFERROR(Q58/S58-1,"-")</f>
        <v>-0.54822951733908232</v>
      </c>
      <c r="U58" s="11"/>
      <c r="V58" s="11"/>
    </row>
    <row r="59" spans="1:22" x14ac:dyDescent="0.35">
      <c r="A59" s="72"/>
      <c r="Q59" s="121"/>
      <c r="R59" s="358"/>
      <c r="S59" s="325"/>
      <c r="T59" s="348"/>
      <c r="U59" s="11"/>
      <c r="V59" s="11"/>
    </row>
    <row r="60" spans="1:22" x14ac:dyDescent="0.35">
      <c r="A60" s="72"/>
      <c r="D60" s="53" t="s">
        <v>48</v>
      </c>
      <c r="E60" s="47">
        <f>+'INS RET'!E20+'INS RET'!E21</f>
        <v>1320</v>
      </c>
      <c r="F60" s="47">
        <f>+'INS RET'!F20+'INS RET'!F21</f>
        <v>1320</v>
      </c>
      <c r="G60" s="47">
        <f>+'INS RET'!G20+'INS RET'!G21</f>
        <v>1320</v>
      </c>
      <c r="H60" s="47">
        <f>+'INS RET'!H20+'INS RET'!H21</f>
        <v>1320</v>
      </c>
      <c r="I60" s="47">
        <f>+'INS RET'!I20+'INS RET'!I21</f>
        <v>1320</v>
      </c>
      <c r="J60" s="47">
        <f>+'INS RET'!J20+'INS RET'!J21</f>
        <v>1320</v>
      </c>
      <c r="K60" s="47">
        <f>+'INS RET'!K20+'INS RET'!K21</f>
        <v>1320</v>
      </c>
      <c r="L60" s="47">
        <f>+'INS RET'!L20+'INS RET'!L21</f>
        <v>1320</v>
      </c>
      <c r="M60" s="47">
        <f>+'INS RET'!M20+'INS RET'!M21</f>
        <v>1320</v>
      </c>
      <c r="N60" s="47">
        <f>+'INS RET'!N20+'INS RET'!N21</f>
        <v>1320</v>
      </c>
      <c r="O60" s="47">
        <f>+'INS RET'!O20+'INS RET'!O21</f>
        <v>1346.4</v>
      </c>
      <c r="P60" s="47">
        <f>+'INS RET'!P20+'INS RET'!P21</f>
        <v>1346.4</v>
      </c>
      <c r="Q60" s="367">
        <f>SUM(E60:P60)</f>
        <v>15892.8</v>
      </c>
      <c r="R60" s="368">
        <f t="shared" si="1"/>
        <v>0.32571217772676969</v>
      </c>
      <c r="S60" s="325"/>
      <c r="T60" s="348"/>
      <c r="U60" s="11"/>
      <c r="V60" s="11"/>
    </row>
    <row r="61" spans="1:22" x14ac:dyDescent="0.35">
      <c r="A61" s="72"/>
      <c r="D61" s="54" t="s">
        <v>88</v>
      </c>
      <c r="E61" s="7">
        <f>+'INS RET'!E23</f>
        <v>417</v>
      </c>
      <c r="F61" s="7">
        <f>+'INS RET'!F23</f>
        <v>417</v>
      </c>
      <c r="G61" s="7">
        <f>+'INS RET'!G23</f>
        <v>417</v>
      </c>
      <c r="H61" s="7">
        <f>+'INS RET'!H23</f>
        <v>417</v>
      </c>
      <c r="I61" s="7">
        <f>+'INS RET'!I23</f>
        <v>417</v>
      </c>
      <c r="J61" s="7">
        <f>+'INS RET'!J23</f>
        <v>417</v>
      </c>
      <c r="K61" s="7">
        <f>+'INS RET'!K23</f>
        <v>417</v>
      </c>
      <c r="L61" s="7">
        <f>+'INS RET'!L23</f>
        <v>417</v>
      </c>
      <c r="M61" s="7">
        <f>+'INS RET'!M23</f>
        <v>417</v>
      </c>
      <c r="N61" s="7">
        <f>+'INS RET'!N23</f>
        <v>417</v>
      </c>
      <c r="O61" s="7">
        <f>+'INS RET'!O23</f>
        <v>425.34000000000003</v>
      </c>
      <c r="P61" s="7">
        <f>+'INS RET'!P23</f>
        <v>425.34000000000003</v>
      </c>
      <c r="Q61" s="121">
        <f>SUM(E61:P61)</f>
        <v>5020.68</v>
      </c>
      <c r="R61" s="369">
        <f t="shared" si="1"/>
        <v>0.10289543796368407</v>
      </c>
      <c r="S61" s="325"/>
      <c r="T61" s="348"/>
      <c r="U61" s="11"/>
      <c r="V61" s="11"/>
    </row>
    <row r="62" spans="1:22" x14ac:dyDescent="0.35">
      <c r="A62" s="72"/>
      <c r="D62" s="55" t="s">
        <v>50</v>
      </c>
      <c r="E62" s="16">
        <f>+'INS RET'!E24</f>
        <v>0</v>
      </c>
      <c r="F62" s="16">
        <f>+'INS RET'!F24</f>
        <v>0</v>
      </c>
      <c r="G62" s="16">
        <f>+'INS RET'!G24</f>
        <v>0</v>
      </c>
      <c r="H62" s="16">
        <f>+'INS RET'!H24</f>
        <v>0</v>
      </c>
      <c r="I62" s="16">
        <f>+'INS RET'!I24</f>
        <v>0</v>
      </c>
      <c r="J62" s="16">
        <f>+'INS RET'!J24</f>
        <v>0</v>
      </c>
      <c r="K62" s="16">
        <f>+'INS RET'!K24</f>
        <v>0</v>
      </c>
      <c r="L62" s="16">
        <f>+'INS RET'!L24</f>
        <v>0</v>
      </c>
      <c r="M62" s="16">
        <f>+'INS RET'!M24</f>
        <v>0</v>
      </c>
      <c r="N62" s="16">
        <f>+'INS RET'!N24</f>
        <v>0</v>
      </c>
      <c r="O62" s="16">
        <f>+'INS RET'!O24</f>
        <v>0</v>
      </c>
      <c r="P62" s="16">
        <f>+'INS RET'!P24</f>
        <v>0</v>
      </c>
      <c r="Q62" s="128">
        <f>SUM(E62:P62)</f>
        <v>0</v>
      </c>
      <c r="R62" s="370">
        <f t="shared" si="1"/>
        <v>0</v>
      </c>
      <c r="S62" s="325"/>
      <c r="T62" s="348"/>
      <c r="U62" s="11"/>
      <c r="V62" s="11"/>
    </row>
    <row r="63" spans="1:22" x14ac:dyDescent="0.35">
      <c r="A63" s="72" t="s">
        <v>111</v>
      </c>
      <c r="C63" s="7" t="s">
        <v>23</v>
      </c>
      <c r="E63" s="16">
        <f t="shared" ref="E63:Q63" si="17">SUM(E60:E62)</f>
        <v>1737</v>
      </c>
      <c r="F63" s="16">
        <f t="shared" si="17"/>
        <v>1737</v>
      </c>
      <c r="G63" s="16">
        <f t="shared" si="17"/>
        <v>1737</v>
      </c>
      <c r="H63" s="16">
        <f t="shared" si="17"/>
        <v>1737</v>
      </c>
      <c r="I63" s="16">
        <f t="shared" si="17"/>
        <v>1737</v>
      </c>
      <c r="J63" s="16">
        <f t="shared" si="17"/>
        <v>1737</v>
      </c>
      <c r="K63" s="16">
        <f t="shared" si="17"/>
        <v>1737</v>
      </c>
      <c r="L63" s="16">
        <f t="shared" si="17"/>
        <v>1737</v>
      </c>
      <c r="M63" s="16">
        <f t="shared" si="17"/>
        <v>1737</v>
      </c>
      <c r="N63" s="16">
        <f t="shared" si="17"/>
        <v>1737</v>
      </c>
      <c r="O63" s="16">
        <f t="shared" si="17"/>
        <v>1771.7400000000002</v>
      </c>
      <c r="P63" s="16">
        <f>SUM(P60:P62)</f>
        <v>1771.7400000000002</v>
      </c>
      <c r="Q63" s="128">
        <f t="shared" si="17"/>
        <v>20913.48</v>
      </c>
      <c r="R63" s="371">
        <f t="shared" si="1"/>
        <v>0.42860761569045375</v>
      </c>
      <c r="S63" s="330">
        <v>20400</v>
      </c>
      <c r="T63" s="360">
        <f>IFERROR(Q63/S63-1,"-")</f>
        <v>2.5170588235294167E-2</v>
      </c>
      <c r="U63" s="11"/>
      <c r="V63" s="11"/>
    </row>
    <row r="64" spans="1:22" x14ac:dyDescent="0.35">
      <c r="A64" s="72"/>
      <c r="Q64" s="121"/>
      <c r="R64" s="358"/>
      <c r="S64" s="325"/>
      <c r="T64" s="348"/>
      <c r="U64" s="11"/>
      <c r="V64" s="11"/>
    </row>
    <row r="65" spans="1:22" x14ac:dyDescent="0.35">
      <c r="A65" s="72"/>
      <c r="D65" s="53" t="s">
        <v>51</v>
      </c>
      <c r="E65" s="47">
        <f>'Allocated Expenses'!E13+'Allocated Expenses'!E20</f>
        <v>6079.5488362944598</v>
      </c>
      <c r="F65" s="47">
        <f>'Allocated Expenses'!F13+'Allocated Expenses'!F20</f>
        <v>6079.5488362944598</v>
      </c>
      <c r="G65" s="47">
        <f>'Allocated Expenses'!G13+'Allocated Expenses'!G20</f>
        <v>6079.5488362944598</v>
      </c>
      <c r="H65" s="47">
        <f>'Allocated Expenses'!H13+'Allocated Expenses'!H20</f>
        <v>5057.0675605840588</v>
      </c>
      <c r="I65" s="47">
        <f>'Allocated Expenses'!I13+'Allocated Expenses'!I20</f>
        <v>5057.0675605840588</v>
      </c>
      <c r="J65" s="47">
        <f>'Allocated Expenses'!J13+'Allocated Expenses'!J20</f>
        <v>5057.0675605840588</v>
      </c>
      <c r="K65" s="47">
        <f>'Allocated Expenses'!K13+'Allocated Expenses'!K20</f>
        <v>5057.0675605840588</v>
      </c>
      <c r="L65" s="47">
        <f>'Allocated Expenses'!L13+'Allocated Expenses'!L20</f>
        <v>5057.0675605840588</v>
      </c>
      <c r="M65" s="47">
        <f>'Allocated Expenses'!M13+'Allocated Expenses'!M20</f>
        <v>5057.0675605840588</v>
      </c>
      <c r="N65" s="47">
        <f>'Allocated Expenses'!N13+'Allocated Expenses'!N20</f>
        <v>3527.3924066848595</v>
      </c>
      <c r="O65" s="47">
        <f>'Allocated Expenses'!O13+'Allocated Expenses'!O20</f>
        <v>3527.3924066848595</v>
      </c>
      <c r="P65" s="47">
        <f>'Allocated Expenses'!P13+'Allocated Expenses'!P20</f>
        <v>3527.3924066848595</v>
      </c>
      <c r="Q65" s="367">
        <f>SUM(E65:P65)</f>
        <v>59163.2290924423</v>
      </c>
      <c r="R65" s="368">
        <f t="shared" si="1"/>
        <v>1.2125103310333709</v>
      </c>
      <c r="S65" s="325"/>
      <c r="T65" s="348"/>
      <c r="U65" s="284" t="s">
        <v>304</v>
      </c>
      <c r="V65" s="11" t="s">
        <v>563</v>
      </c>
    </row>
    <row r="66" spans="1:22" x14ac:dyDescent="0.35">
      <c r="A66" s="72"/>
      <c r="D66" s="55" t="s">
        <v>52</v>
      </c>
      <c r="E66" s="16">
        <f>'Allocated Expenses'!E29</f>
        <v>66.604175954999988</v>
      </c>
      <c r="F66" s="16">
        <f>'Allocated Expenses'!F29</f>
        <v>66.604175954999988</v>
      </c>
      <c r="G66" s="16">
        <f>'Allocated Expenses'!G29</f>
        <v>66.604175954999988</v>
      </c>
      <c r="H66" s="16">
        <f>'Allocated Expenses'!H29</f>
        <v>123.74731729500002</v>
      </c>
      <c r="I66" s="16">
        <f>'Allocated Expenses'!I29</f>
        <v>123.74731729500002</v>
      </c>
      <c r="J66" s="16">
        <f>'Allocated Expenses'!J29</f>
        <v>123.74731729500002</v>
      </c>
      <c r="K66" s="16">
        <f>'Allocated Expenses'!K29</f>
        <v>123.74731729500002</v>
      </c>
      <c r="L66" s="16">
        <f>'Allocated Expenses'!L29</f>
        <v>123.74731729500002</v>
      </c>
      <c r="M66" s="16">
        <f>'Allocated Expenses'!M29</f>
        <v>123.74731729500002</v>
      </c>
      <c r="N66" s="16">
        <f>'Allocated Expenses'!N29</f>
        <v>209.23586911500001</v>
      </c>
      <c r="O66" s="16">
        <f>'Allocated Expenses'!O29</f>
        <v>209.23586911500001</v>
      </c>
      <c r="P66" s="16">
        <f>'Allocated Expenses'!P29</f>
        <v>209.23586911500001</v>
      </c>
      <c r="Q66" s="128">
        <f>SUM(E66:P66)</f>
        <v>1570.0040389800001</v>
      </c>
      <c r="R66" s="370">
        <f t="shared" si="1"/>
        <v>3.2176170000000004E-2</v>
      </c>
      <c r="S66" s="325"/>
      <c r="T66" s="348"/>
      <c r="U66" s="284" t="s">
        <v>304</v>
      </c>
      <c r="V66" s="11" t="s">
        <v>564</v>
      </c>
    </row>
    <row r="67" spans="1:22" x14ac:dyDescent="0.35">
      <c r="A67" s="72" t="s">
        <v>112</v>
      </c>
      <c r="B67" s="7" t="s">
        <v>45</v>
      </c>
      <c r="C67" s="7" t="s">
        <v>51</v>
      </c>
      <c r="E67" s="16">
        <f t="shared" ref="E67:P67" si="18">SUM(E65:E66)</f>
        <v>6146.1530122494596</v>
      </c>
      <c r="F67" s="16">
        <f t="shared" si="18"/>
        <v>6146.1530122494596</v>
      </c>
      <c r="G67" s="16">
        <f t="shared" si="18"/>
        <v>6146.1530122494596</v>
      </c>
      <c r="H67" s="16">
        <f t="shared" si="18"/>
        <v>5180.8148778790592</v>
      </c>
      <c r="I67" s="16">
        <f t="shared" si="18"/>
        <v>5180.8148778790592</v>
      </c>
      <c r="J67" s="16">
        <f t="shared" si="18"/>
        <v>5180.8148778790592</v>
      </c>
      <c r="K67" s="16">
        <f t="shared" si="18"/>
        <v>5180.8148778790592</v>
      </c>
      <c r="L67" s="16">
        <f t="shared" si="18"/>
        <v>5180.8148778790592</v>
      </c>
      <c r="M67" s="16">
        <f t="shared" si="18"/>
        <v>5180.8148778790592</v>
      </c>
      <c r="N67" s="16">
        <f t="shared" si="18"/>
        <v>3736.6282757998597</v>
      </c>
      <c r="O67" s="16">
        <f t="shared" si="18"/>
        <v>3736.6282757998597</v>
      </c>
      <c r="P67" s="16">
        <f t="shared" si="18"/>
        <v>3736.6282757998597</v>
      </c>
      <c r="Q67" s="128">
        <f>SUM(E67:P67)</f>
        <v>60733.233131422297</v>
      </c>
      <c r="R67" s="371">
        <f t="shared" si="1"/>
        <v>1.2446865010333708</v>
      </c>
      <c r="S67" s="330">
        <v>62995.860000000008</v>
      </c>
      <c r="T67" s="360">
        <f>IFERROR(Q67/S67-1,"-")</f>
        <v>-3.5917072464408117E-2</v>
      </c>
      <c r="U67" s="11"/>
      <c r="V67" s="11"/>
    </row>
    <row r="68" spans="1:22" x14ac:dyDescent="0.35">
      <c r="A68" s="72"/>
      <c r="Q68" s="121"/>
      <c r="R68" s="358"/>
      <c r="S68" s="325"/>
      <c r="T68" s="348"/>
      <c r="U68" s="11"/>
      <c r="V68" s="11"/>
    </row>
    <row r="69" spans="1:22" x14ac:dyDescent="0.35">
      <c r="A69" s="72" t="s">
        <v>268</v>
      </c>
      <c r="B69" s="7" t="s">
        <v>33</v>
      </c>
      <c r="C69" s="7" t="s">
        <v>346</v>
      </c>
      <c r="E69" s="7">
        <f>'Allocated Expenses'!E36</f>
        <v>14412.999999999998</v>
      </c>
      <c r="F69" s="7">
        <f>'Allocated Expenses'!F36</f>
        <v>0</v>
      </c>
      <c r="G69" s="7">
        <f>'Allocated Expenses'!G36</f>
        <v>0</v>
      </c>
      <c r="H69" s="7">
        <f>'Allocated Expenses'!H36</f>
        <v>14412.999999999998</v>
      </c>
      <c r="I69" s="7">
        <f>'Allocated Expenses'!I36</f>
        <v>0</v>
      </c>
      <c r="J69" s="7">
        <f>'Allocated Expenses'!J36</f>
        <v>0</v>
      </c>
      <c r="K69" s="7">
        <f>'Allocated Expenses'!K36</f>
        <v>14412.999999999998</v>
      </c>
      <c r="L69" s="7">
        <f>'Allocated Expenses'!L36</f>
        <v>0</v>
      </c>
      <c r="M69" s="7">
        <f>'Allocated Expenses'!M36</f>
        <v>0</v>
      </c>
      <c r="N69" s="7">
        <f>'Allocated Expenses'!N36</f>
        <v>14412.999999999998</v>
      </c>
      <c r="O69" s="7">
        <f>'Allocated Expenses'!O36</f>
        <v>0</v>
      </c>
      <c r="P69" s="7">
        <f>'Allocated Expenses'!P36</f>
        <v>0</v>
      </c>
      <c r="Q69" s="121">
        <f>SUM(E69:P69)</f>
        <v>57651.999999999993</v>
      </c>
      <c r="R69" s="358">
        <f t="shared" si="1"/>
        <v>1.1815387137762838</v>
      </c>
      <c r="S69" s="325">
        <v>69084</v>
      </c>
      <c r="T69" s="348">
        <f>IFERROR(Q69/S69-1,"-")</f>
        <v>-0.16547970586532346</v>
      </c>
      <c r="U69" s="11"/>
      <c r="V69" s="11"/>
    </row>
    <row r="70" spans="1:22" x14ac:dyDescent="0.35">
      <c r="A70" s="72"/>
      <c r="Q70" s="121"/>
      <c r="R70" s="358"/>
      <c r="S70" s="325"/>
      <c r="T70" s="348"/>
      <c r="U70" s="11"/>
      <c r="V70" s="11"/>
    </row>
    <row r="71" spans="1:22" ht="18" x14ac:dyDescent="0.35">
      <c r="A71" s="72"/>
      <c r="C71" s="56" t="s">
        <v>53</v>
      </c>
      <c r="D71" s="57"/>
      <c r="E71" s="57">
        <f t="shared" ref="E71:P71" si="19">+E27+E29+E31+E36+E38+E43+E45+E50+E52+E54+E56+E58+E63+E67+E69</f>
        <v>39990.233789507787</v>
      </c>
      <c r="F71" s="57">
        <f t="shared" si="19"/>
        <v>26370.023789507792</v>
      </c>
      <c r="G71" s="57">
        <f t="shared" si="19"/>
        <v>23304.563789507793</v>
      </c>
      <c r="H71" s="57">
        <f t="shared" si="19"/>
        <v>37562.075655137392</v>
      </c>
      <c r="I71" s="57">
        <f t="shared" si="19"/>
        <v>26603.215655137392</v>
      </c>
      <c r="J71" s="57">
        <f t="shared" si="19"/>
        <v>35999.81565513739</v>
      </c>
      <c r="K71" s="57">
        <f t="shared" si="19"/>
        <v>36653.185655137393</v>
      </c>
      <c r="L71" s="57">
        <f t="shared" si="19"/>
        <v>21411.855655137395</v>
      </c>
      <c r="M71" s="57">
        <f t="shared" si="19"/>
        <v>20547.895655137392</v>
      </c>
      <c r="N71" s="57">
        <f t="shared" si="19"/>
        <v>36960.299053058188</v>
      </c>
      <c r="O71" s="57">
        <f t="shared" si="19"/>
        <v>19771.439053058195</v>
      </c>
      <c r="P71" s="57">
        <f t="shared" si="19"/>
        <v>20258.749053058196</v>
      </c>
      <c r="Q71" s="129">
        <f>+Q27+Q29+Q31+Q36+Q38+Q43+Q45+Q50+Q52+Q54+Q56+Q58+Q63+Q67+Q69</f>
        <v>345433.35245852231</v>
      </c>
      <c r="R71" s="373">
        <f t="shared" si="1"/>
        <v>7.0794227253047977</v>
      </c>
      <c r="S71" s="335">
        <f>+S27+S29+S31+S36+S38+S43+S45+S50+S52+S54+S56+S58+S63+S67+S69</f>
        <v>401713.28</v>
      </c>
      <c r="T71" s="374">
        <f>IFERROR(Q71/S71-1,"-")</f>
        <v>-0.14009974363177069</v>
      </c>
      <c r="U71" s="11"/>
      <c r="V71" s="11">
        <f>Q71-Q29-Q58</f>
        <v>258854.82313142231</v>
      </c>
    </row>
    <row r="72" spans="1:22" ht="18" x14ac:dyDescent="0.35">
      <c r="A72" s="72"/>
      <c r="Q72" s="123"/>
      <c r="R72" s="361"/>
      <c r="S72" s="331"/>
      <c r="T72" s="362"/>
      <c r="U72" s="11"/>
      <c r="V72" s="11"/>
    </row>
    <row r="73" spans="1:22" ht="18" x14ac:dyDescent="0.35">
      <c r="A73" s="72"/>
      <c r="B73" s="8" t="s">
        <v>54</v>
      </c>
      <c r="Q73" s="121"/>
      <c r="R73" s="358">
        <f t="shared" si="1"/>
        <v>0</v>
      </c>
      <c r="S73" s="325"/>
      <c r="T73" s="348"/>
      <c r="U73" s="11"/>
      <c r="V73" s="11"/>
    </row>
    <row r="74" spans="1:22" x14ac:dyDescent="0.35">
      <c r="A74" s="72"/>
      <c r="Q74" s="121"/>
      <c r="R74" s="358"/>
      <c r="S74" s="325"/>
      <c r="T74" s="348"/>
      <c r="U74" s="11"/>
      <c r="V74" s="11"/>
    </row>
    <row r="75" spans="1:22" x14ac:dyDescent="0.35">
      <c r="A75" s="72" t="s">
        <v>136</v>
      </c>
      <c r="C75" s="7" t="s">
        <v>55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13">
        <v>0</v>
      </c>
      <c r="Q75" s="121">
        <f>SUM(E75:P75)</f>
        <v>0</v>
      </c>
      <c r="R75" s="358">
        <f t="shared" ref="R75:R131" si="20">Q75/$B$4</f>
        <v>0</v>
      </c>
      <c r="S75" s="325"/>
      <c r="T75" s="348" t="str">
        <f>IFERROR(Q75/S75-1,"-")</f>
        <v>-</v>
      </c>
      <c r="U75" s="11"/>
      <c r="V75" s="11"/>
    </row>
    <row r="76" spans="1:22" x14ac:dyDescent="0.35">
      <c r="A76" s="72"/>
      <c r="Q76" s="121"/>
      <c r="R76" s="358"/>
      <c r="S76" s="325"/>
      <c r="T76" s="348"/>
      <c r="U76" s="11"/>
      <c r="V76" s="11"/>
    </row>
    <row r="77" spans="1:22" x14ac:dyDescent="0.35">
      <c r="A77" s="72" t="s">
        <v>113</v>
      </c>
      <c r="D77" s="7" t="s">
        <v>56</v>
      </c>
      <c r="E77" s="7">
        <f>'Allocated Expenses'!E43</f>
        <v>1704.8208333333332</v>
      </c>
      <c r="F77" s="7">
        <f>'Allocated Expenses'!F43</f>
        <v>1704.8208333333332</v>
      </c>
      <c r="G77" s="7">
        <f>'Allocated Expenses'!G43</f>
        <v>1704.8208333333332</v>
      </c>
      <c r="H77" s="7">
        <f>'Allocated Expenses'!H43</f>
        <v>1704.8208333333332</v>
      </c>
      <c r="I77" s="7">
        <f>'Allocated Expenses'!I43</f>
        <v>1704.8208333333332</v>
      </c>
      <c r="J77" s="7">
        <f>'Allocated Expenses'!J43</f>
        <v>1704.8208333333332</v>
      </c>
      <c r="K77" s="7">
        <f>'Allocated Expenses'!K43</f>
        <v>1704.8208333333332</v>
      </c>
      <c r="L77" s="7">
        <f>'Allocated Expenses'!L43</f>
        <v>1704.8208333333332</v>
      </c>
      <c r="M77" s="7">
        <f>'Allocated Expenses'!M43</f>
        <v>1704.8208333333332</v>
      </c>
      <c r="N77" s="7">
        <f>'Allocated Expenses'!N43</f>
        <v>1704.8208333333332</v>
      </c>
      <c r="O77" s="7">
        <f>'Allocated Expenses'!O43</f>
        <v>1704.8208333333332</v>
      </c>
      <c r="P77" s="7">
        <f>'Allocated Expenses'!P43</f>
        <v>1704.8208333333332</v>
      </c>
      <c r="Q77" s="121">
        <f>SUM(E77:P77)</f>
        <v>20457.849999999999</v>
      </c>
      <c r="R77" s="358">
        <f t="shared" si="20"/>
        <v>0.4192697872689265</v>
      </c>
      <c r="S77" s="325"/>
      <c r="T77" s="348"/>
      <c r="U77" s="11"/>
      <c r="V77" s="11"/>
    </row>
    <row r="78" spans="1:22" x14ac:dyDescent="0.35">
      <c r="A78" s="72" t="s">
        <v>114</v>
      </c>
      <c r="D78" s="7" t="s">
        <v>57</v>
      </c>
      <c r="E78" s="7">
        <f>'Allocated Expenses'!E50</f>
        <v>567.78749999999991</v>
      </c>
      <c r="F78" s="7">
        <f>'Allocated Expenses'!F50</f>
        <v>0</v>
      </c>
      <c r="G78" s="7">
        <f>'Allocated Expenses'!G50</f>
        <v>0</v>
      </c>
      <c r="H78" s="7">
        <f>'Allocated Expenses'!H50</f>
        <v>567.78749999999991</v>
      </c>
      <c r="I78" s="7">
        <f>'Allocated Expenses'!I50</f>
        <v>0</v>
      </c>
      <c r="J78" s="7">
        <f>'Allocated Expenses'!J50</f>
        <v>0</v>
      </c>
      <c r="K78" s="7">
        <f>'Allocated Expenses'!K50</f>
        <v>567.78749999999991</v>
      </c>
      <c r="L78" s="7">
        <f>'Allocated Expenses'!L50</f>
        <v>0</v>
      </c>
      <c r="M78" s="7">
        <f>'Allocated Expenses'!M50</f>
        <v>0</v>
      </c>
      <c r="N78" s="7">
        <f>'Allocated Expenses'!N50</f>
        <v>567.78749999999991</v>
      </c>
      <c r="O78" s="7">
        <f>'Allocated Expenses'!O50</f>
        <v>0</v>
      </c>
      <c r="P78" s="7">
        <f>'Allocated Expenses'!P50</f>
        <v>0</v>
      </c>
      <c r="Q78" s="121">
        <f>SUM(E78:P78)</f>
        <v>2271.1499999999996</v>
      </c>
      <c r="R78" s="358">
        <f t="shared" si="20"/>
        <v>4.6545681846128617E-2</v>
      </c>
      <c r="S78" s="325"/>
      <c r="T78" s="348"/>
      <c r="U78" s="11"/>
      <c r="V78" s="11"/>
    </row>
    <row r="79" spans="1:22" x14ac:dyDescent="0.35">
      <c r="A79" s="72"/>
      <c r="C79" s="7" t="s">
        <v>58</v>
      </c>
      <c r="E79" s="29">
        <f t="shared" ref="E79:Q79" si="21">SUM(E77:E78)</f>
        <v>2272.6083333333331</v>
      </c>
      <c r="F79" s="29">
        <f t="shared" si="21"/>
        <v>1704.8208333333332</v>
      </c>
      <c r="G79" s="29">
        <f t="shared" si="21"/>
        <v>1704.8208333333332</v>
      </c>
      <c r="H79" s="29">
        <f t="shared" si="21"/>
        <v>2272.6083333333331</v>
      </c>
      <c r="I79" s="29">
        <f t="shared" si="21"/>
        <v>1704.8208333333332</v>
      </c>
      <c r="J79" s="29">
        <f t="shared" si="21"/>
        <v>1704.8208333333332</v>
      </c>
      <c r="K79" s="29">
        <f t="shared" si="21"/>
        <v>2272.6083333333331</v>
      </c>
      <c r="L79" s="29">
        <f t="shared" si="21"/>
        <v>1704.8208333333332</v>
      </c>
      <c r="M79" s="29">
        <f t="shared" si="21"/>
        <v>1704.8208333333332</v>
      </c>
      <c r="N79" s="29">
        <f t="shared" si="21"/>
        <v>2272.6083333333331</v>
      </c>
      <c r="O79" s="29">
        <f t="shared" si="21"/>
        <v>1704.8208333333332</v>
      </c>
      <c r="P79" s="29">
        <f t="shared" si="21"/>
        <v>1704.8208333333332</v>
      </c>
      <c r="Q79" s="130">
        <f t="shared" si="21"/>
        <v>22729</v>
      </c>
      <c r="R79" s="359">
        <f t="shared" si="20"/>
        <v>0.46581546911505511</v>
      </c>
      <c r="S79" s="330">
        <v>22637.4</v>
      </c>
      <c r="T79" s="360">
        <f>IFERROR(Q79/S79-1,"-")</f>
        <v>4.0464010884642132E-3</v>
      </c>
      <c r="U79" s="11"/>
      <c r="V79" s="11"/>
    </row>
    <row r="80" spans="1:22" x14ac:dyDescent="0.35">
      <c r="A80" s="72"/>
      <c r="Q80" s="121"/>
      <c r="R80" s="358"/>
      <c r="S80" s="325"/>
      <c r="T80" s="348"/>
      <c r="U80" s="11"/>
      <c r="V80" s="11"/>
    </row>
    <row r="81" spans="1:22" x14ac:dyDescent="0.35">
      <c r="A81" s="72" t="s">
        <v>137</v>
      </c>
      <c r="D81" s="7" t="s">
        <v>59</v>
      </c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21">
        <f>SUM(E81:P81)</f>
        <v>0</v>
      </c>
      <c r="R81" s="358">
        <f t="shared" si="20"/>
        <v>0</v>
      </c>
      <c r="S81" s="325"/>
      <c r="T81" s="348"/>
      <c r="U81" s="11"/>
      <c r="V81" s="11"/>
    </row>
    <row r="82" spans="1:22" x14ac:dyDescent="0.35">
      <c r="A82" s="72" t="s">
        <v>138</v>
      </c>
      <c r="D82" s="7" t="s">
        <v>20</v>
      </c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21">
        <f>SUM(E82:P82)</f>
        <v>0</v>
      </c>
      <c r="R82" s="358">
        <f t="shared" si="20"/>
        <v>0</v>
      </c>
      <c r="S82" s="325"/>
      <c r="T82" s="348"/>
      <c r="U82" s="11"/>
      <c r="V82" s="11"/>
    </row>
    <row r="83" spans="1:22" x14ac:dyDescent="0.35">
      <c r="A83" s="72" t="s">
        <v>139</v>
      </c>
      <c r="D83" s="7" t="s">
        <v>28</v>
      </c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21">
        <f>SUM(E83:P83)</f>
        <v>0</v>
      </c>
      <c r="R83" s="358">
        <f t="shared" si="20"/>
        <v>0</v>
      </c>
      <c r="S83" s="325"/>
      <c r="T83" s="348"/>
      <c r="U83" s="11"/>
      <c r="V83" s="11"/>
    </row>
    <row r="84" spans="1:22" x14ac:dyDescent="0.35">
      <c r="A84" s="72"/>
      <c r="C84" s="7" t="s">
        <v>60</v>
      </c>
      <c r="E84" s="29">
        <f t="shared" ref="E84:Q84" si="22">SUM(E81:E83)</f>
        <v>0</v>
      </c>
      <c r="F84" s="29">
        <f t="shared" si="22"/>
        <v>0</v>
      </c>
      <c r="G84" s="29">
        <f t="shared" si="22"/>
        <v>0</v>
      </c>
      <c r="H84" s="29">
        <f t="shared" si="22"/>
        <v>0</v>
      </c>
      <c r="I84" s="29">
        <f t="shared" si="22"/>
        <v>0</v>
      </c>
      <c r="J84" s="29">
        <f t="shared" si="22"/>
        <v>0</v>
      </c>
      <c r="K84" s="29">
        <f t="shared" si="22"/>
        <v>0</v>
      </c>
      <c r="L84" s="29">
        <f t="shared" si="22"/>
        <v>0</v>
      </c>
      <c r="M84" s="29">
        <f t="shared" si="22"/>
        <v>0</v>
      </c>
      <c r="N84" s="29">
        <f t="shared" si="22"/>
        <v>0</v>
      </c>
      <c r="O84" s="29">
        <f t="shared" si="22"/>
        <v>0</v>
      </c>
      <c r="P84" s="29">
        <f t="shared" si="22"/>
        <v>0</v>
      </c>
      <c r="Q84" s="130">
        <f t="shared" si="22"/>
        <v>0</v>
      </c>
      <c r="R84" s="359">
        <f t="shared" si="20"/>
        <v>0</v>
      </c>
      <c r="S84" s="330">
        <v>39.410000000000004</v>
      </c>
      <c r="T84" s="360">
        <f>IFERROR(Q84/S84-1,"-")</f>
        <v>-1</v>
      </c>
      <c r="U84" s="11"/>
      <c r="V84" s="11"/>
    </row>
    <row r="85" spans="1:22" x14ac:dyDescent="0.35">
      <c r="A85" s="72"/>
      <c r="Q85" s="121"/>
      <c r="R85" s="358"/>
      <c r="S85" s="325"/>
      <c r="T85" s="348"/>
      <c r="U85" s="11"/>
      <c r="V85" s="11"/>
    </row>
    <row r="86" spans="1:22" x14ac:dyDescent="0.35">
      <c r="A86" s="72"/>
      <c r="D86" s="53" t="s">
        <v>30</v>
      </c>
      <c r="E86" s="76">
        <f>1.03*915</f>
        <v>942.45</v>
      </c>
      <c r="F86" s="76">
        <f t="shared" ref="F86:P86" si="23">1.03*915</f>
        <v>942.45</v>
      </c>
      <c r="G86" s="76">
        <f t="shared" si="23"/>
        <v>942.45</v>
      </c>
      <c r="H86" s="76">
        <f t="shared" si="23"/>
        <v>942.45</v>
      </c>
      <c r="I86" s="76">
        <f t="shared" si="23"/>
        <v>942.45</v>
      </c>
      <c r="J86" s="76">
        <f t="shared" si="23"/>
        <v>942.45</v>
      </c>
      <c r="K86" s="76">
        <f t="shared" si="23"/>
        <v>942.45</v>
      </c>
      <c r="L86" s="76">
        <f t="shared" si="23"/>
        <v>942.45</v>
      </c>
      <c r="M86" s="76">
        <f t="shared" si="23"/>
        <v>942.45</v>
      </c>
      <c r="N86" s="76">
        <f t="shared" si="23"/>
        <v>942.45</v>
      </c>
      <c r="O86" s="76">
        <f t="shared" si="23"/>
        <v>942.45</v>
      </c>
      <c r="P86" s="76">
        <f t="shared" si="23"/>
        <v>942.45</v>
      </c>
      <c r="Q86" s="367">
        <f>SUM(E86:P86)</f>
        <v>11309.400000000001</v>
      </c>
      <c r="R86" s="368">
        <f t="shared" si="20"/>
        <v>0.23177849735623235</v>
      </c>
      <c r="S86" s="325"/>
      <c r="T86" s="348"/>
      <c r="U86" s="11"/>
      <c r="V86" s="11"/>
    </row>
    <row r="87" spans="1:22" x14ac:dyDescent="0.35">
      <c r="A87" s="72"/>
      <c r="D87" s="55" t="s">
        <v>31</v>
      </c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28">
        <f>SUM(E87:P87)</f>
        <v>0</v>
      </c>
      <c r="R87" s="370">
        <f t="shared" si="20"/>
        <v>0</v>
      </c>
      <c r="S87" s="325"/>
      <c r="T87" s="348"/>
      <c r="U87" s="11"/>
      <c r="V87" s="11"/>
    </row>
    <row r="88" spans="1:22" x14ac:dyDescent="0.35">
      <c r="A88" s="72" t="s">
        <v>115</v>
      </c>
      <c r="C88" s="7" t="s">
        <v>32</v>
      </c>
      <c r="E88" s="16">
        <f t="shared" ref="E88:P88" si="24">SUM(E86:E87)</f>
        <v>942.45</v>
      </c>
      <c r="F88" s="16">
        <f t="shared" si="24"/>
        <v>942.45</v>
      </c>
      <c r="G88" s="16">
        <f t="shared" si="24"/>
        <v>942.45</v>
      </c>
      <c r="H88" s="16">
        <f t="shared" si="24"/>
        <v>942.45</v>
      </c>
      <c r="I88" s="16">
        <f t="shared" si="24"/>
        <v>942.45</v>
      </c>
      <c r="J88" s="16">
        <f t="shared" si="24"/>
        <v>942.45</v>
      </c>
      <c r="K88" s="16">
        <f t="shared" si="24"/>
        <v>942.45</v>
      </c>
      <c r="L88" s="16">
        <f t="shared" si="24"/>
        <v>942.45</v>
      </c>
      <c r="M88" s="16">
        <f t="shared" si="24"/>
        <v>942.45</v>
      </c>
      <c r="N88" s="16">
        <f t="shared" si="24"/>
        <v>942.45</v>
      </c>
      <c r="O88" s="16">
        <f t="shared" si="24"/>
        <v>942.45</v>
      </c>
      <c r="P88" s="16">
        <f t="shared" si="24"/>
        <v>942.45</v>
      </c>
      <c r="Q88" s="128">
        <f t="shared" ref="Q88" si="25">SUM(Q86:Q87)</f>
        <v>11309.400000000001</v>
      </c>
      <c r="R88" s="371">
        <f t="shared" si="20"/>
        <v>0.23177849735623235</v>
      </c>
      <c r="S88" s="330">
        <v>6223.6100000000006</v>
      </c>
      <c r="T88" s="360">
        <f>IFERROR(Q88/S88-1,"-")</f>
        <v>0.81717684752097264</v>
      </c>
      <c r="U88" s="11"/>
      <c r="V88" s="11"/>
    </row>
    <row r="89" spans="1:22" x14ac:dyDescent="0.35">
      <c r="A89" s="72"/>
      <c r="Q89" s="121"/>
      <c r="R89" s="358"/>
      <c r="S89" s="325"/>
      <c r="T89" s="348"/>
      <c r="U89" s="11"/>
      <c r="V89" s="11"/>
    </row>
    <row r="90" spans="1:22" s="60" customFormat="1" hidden="1" x14ac:dyDescent="0.35">
      <c r="A90" s="73" t="s">
        <v>140</v>
      </c>
      <c r="B90" s="60" t="s">
        <v>33</v>
      </c>
      <c r="C90" s="60" t="s">
        <v>61</v>
      </c>
      <c r="Q90" s="60">
        <f>SUM(E90:P90)</f>
        <v>0</v>
      </c>
      <c r="R90" s="375">
        <f t="shared" si="20"/>
        <v>0</v>
      </c>
      <c r="S90" s="325"/>
      <c r="T90" s="348" t="e">
        <f t="shared" ref="T90:T91" si="26">R90/S90-1</f>
        <v>#DIV/0!</v>
      </c>
      <c r="U90" s="389"/>
      <c r="V90" s="389"/>
    </row>
    <row r="91" spans="1:22" hidden="1" x14ac:dyDescent="0.35">
      <c r="A91" s="72"/>
      <c r="Q91" s="121"/>
      <c r="R91" s="358"/>
      <c r="S91" s="325"/>
      <c r="T91" s="348" t="e">
        <f t="shared" si="26"/>
        <v>#DIV/0!</v>
      </c>
      <c r="U91" s="11"/>
      <c r="V91" s="11"/>
    </row>
    <row r="92" spans="1:22" x14ac:dyDescent="0.35">
      <c r="A92" s="72" t="s">
        <v>116</v>
      </c>
      <c r="C92" s="7" t="s">
        <v>62</v>
      </c>
      <c r="E92" s="7">
        <f>'Allocated Expenses'!E57</f>
        <v>437.5</v>
      </c>
      <c r="F92" s="7">
        <f>'Allocated Expenses'!F57</f>
        <v>437.5</v>
      </c>
      <c r="G92" s="7">
        <f>'Allocated Expenses'!G57</f>
        <v>437.5</v>
      </c>
      <c r="H92" s="7">
        <f>'Allocated Expenses'!H57</f>
        <v>437.5</v>
      </c>
      <c r="I92" s="7">
        <f>'Allocated Expenses'!I57</f>
        <v>437.5</v>
      </c>
      <c r="J92" s="7">
        <f>'Allocated Expenses'!J57</f>
        <v>437.5</v>
      </c>
      <c r="K92" s="7">
        <f>'Allocated Expenses'!K57</f>
        <v>437.5</v>
      </c>
      <c r="L92" s="7">
        <f>'Allocated Expenses'!L57</f>
        <v>437.5</v>
      </c>
      <c r="M92" s="7">
        <f>'Allocated Expenses'!M57</f>
        <v>437.5</v>
      </c>
      <c r="N92" s="7">
        <f>'Allocated Expenses'!N57</f>
        <v>437.5</v>
      </c>
      <c r="O92" s="7">
        <f>'Allocated Expenses'!O57</f>
        <v>437.5</v>
      </c>
      <c r="P92" s="7">
        <f>'Allocated Expenses'!P57</f>
        <v>437.5</v>
      </c>
      <c r="Q92" s="121">
        <f>SUM(E92:P92)</f>
        <v>5250</v>
      </c>
      <c r="R92" s="358">
        <f t="shared" si="20"/>
        <v>0.10759519613067181</v>
      </c>
      <c r="S92" s="325">
        <v>4944.8</v>
      </c>
      <c r="T92" s="348">
        <f>IFERROR(Q92/S92-1,"-")</f>
        <v>6.1721404303510807E-2</v>
      </c>
      <c r="U92" s="11"/>
      <c r="V92" s="11"/>
    </row>
    <row r="93" spans="1:22" x14ac:dyDescent="0.35">
      <c r="A93" s="72"/>
      <c r="Q93" s="121"/>
      <c r="R93" s="358"/>
      <c r="S93" s="325"/>
      <c r="T93" s="348"/>
      <c r="U93" s="11"/>
      <c r="V93" s="11"/>
    </row>
    <row r="94" spans="1:22" x14ac:dyDescent="0.35">
      <c r="A94" s="72" t="s">
        <v>117</v>
      </c>
      <c r="C94" s="7" t="s">
        <v>63</v>
      </c>
      <c r="E94" s="7">
        <f>'Allocated Expenses'!E64</f>
        <v>0</v>
      </c>
      <c r="F94" s="7">
        <f>'Allocated Expenses'!F64</f>
        <v>0</v>
      </c>
      <c r="G94" s="7">
        <f>'Allocated Expenses'!G64</f>
        <v>0</v>
      </c>
      <c r="H94" s="7">
        <f>'Allocated Expenses'!H64</f>
        <v>1374.6223678198774</v>
      </c>
      <c r="I94" s="7">
        <f>'Allocated Expenses'!I64</f>
        <v>0</v>
      </c>
      <c r="J94" s="7">
        <f>'Allocated Expenses'!J64</f>
        <v>0</v>
      </c>
      <c r="K94" s="7">
        <f>'Allocated Expenses'!K64</f>
        <v>0</v>
      </c>
      <c r="L94" s="7">
        <f>'Allocated Expenses'!L64</f>
        <v>0</v>
      </c>
      <c r="M94" s="7">
        <f>'Allocated Expenses'!M64</f>
        <v>0</v>
      </c>
      <c r="N94" s="7">
        <f>'Allocated Expenses'!N64</f>
        <v>0</v>
      </c>
      <c r="O94" s="7">
        <f>'Allocated Expenses'!O64</f>
        <v>0</v>
      </c>
      <c r="P94" s="7">
        <f>'Allocated Expenses'!P64</f>
        <v>0</v>
      </c>
      <c r="Q94" s="121">
        <f>SUM(E94:P94)</f>
        <v>1374.6223678198774</v>
      </c>
      <c r="R94" s="358">
        <f t="shared" si="20"/>
        <v>2.8171954908797748E-2</v>
      </c>
      <c r="S94" s="325">
        <v>997</v>
      </c>
      <c r="T94" s="348">
        <f>IFERROR(Q94/S94-1,"-")</f>
        <v>0.37875864375113077</v>
      </c>
      <c r="U94" s="11"/>
      <c r="V94" s="11"/>
    </row>
    <row r="95" spans="1:22" x14ac:dyDescent="0.35">
      <c r="A95" s="72"/>
      <c r="Q95" s="121"/>
      <c r="R95" s="358"/>
      <c r="S95" s="325"/>
      <c r="T95" s="348"/>
      <c r="U95" s="11"/>
      <c r="V95" s="11"/>
    </row>
    <row r="96" spans="1:22" x14ac:dyDescent="0.35">
      <c r="A96" s="72" t="s">
        <v>118</v>
      </c>
      <c r="C96" s="7" t="s">
        <v>64</v>
      </c>
      <c r="E96" s="7">
        <f>'Allocated Expenses'!E71</f>
        <v>900.7833333333333</v>
      </c>
      <c r="F96" s="7">
        <f>'Allocated Expenses'!F71</f>
        <v>900.7833333333333</v>
      </c>
      <c r="G96" s="7">
        <f>'Allocated Expenses'!G71</f>
        <v>900.7833333333333</v>
      </c>
      <c r="H96" s="7">
        <f>'Allocated Expenses'!H71</f>
        <v>900.7833333333333</v>
      </c>
      <c r="I96" s="7">
        <f>'Allocated Expenses'!I71</f>
        <v>900.7833333333333</v>
      </c>
      <c r="J96" s="7">
        <f>'Allocated Expenses'!J71</f>
        <v>900.7833333333333</v>
      </c>
      <c r="K96" s="7">
        <f>'Allocated Expenses'!K71</f>
        <v>900.7833333333333</v>
      </c>
      <c r="L96" s="7">
        <f>'Allocated Expenses'!L71</f>
        <v>900.7833333333333</v>
      </c>
      <c r="M96" s="7">
        <f>'Allocated Expenses'!M71</f>
        <v>900.7833333333333</v>
      </c>
      <c r="N96" s="7">
        <f>'Allocated Expenses'!N71</f>
        <v>900.7833333333333</v>
      </c>
      <c r="O96" s="7">
        <f>'Allocated Expenses'!O71</f>
        <v>900.7833333333333</v>
      </c>
      <c r="P96" s="7">
        <f>'Allocated Expenses'!P71</f>
        <v>900.7833333333333</v>
      </c>
      <c r="Q96" s="121">
        <f>SUM(E96:P96)</f>
        <v>10809.399999999996</v>
      </c>
      <c r="R96" s="358">
        <f t="shared" si="20"/>
        <v>0.22153133581997778</v>
      </c>
      <c r="S96" s="325">
        <v>9835.0300000000025</v>
      </c>
      <c r="T96" s="348">
        <f>IFERROR(Q96/S96-1,"-")</f>
        <v>9.9071380565183054E-2</v>
      </c>
      <c r="U96" s="11"/>
      <c r="V96" s="11"/>
    </row>
    <row r="97" spans="1:22" x14ac:dyDescent="0.35">
      <c r="A97" s="72"/>
      <c r="Q97" s="121"/>
      <c r="R97" s="358"/>
      <c r="S97" s="325"/>
      <c r="T97" s="348"/>
      <c r="U97" s="11"/>
      <c r="V97" s="11"/>
    </row>
    <row r="98" spans="1:22" x14ac:dyDescent="0.35">
      <c r="A98" s="72" t="s">
        <v>125</v>
      </c>
      <c r="D98" s="7" t="s">
        <v>65</v>
      </c>
      <c r="E98" s="7">
        <f>'Allocated Expenses'!E78</f>
        <v>55.877499999999998</v>
      </c>
      <c r="F98" s="7">
        <f>'Allocated Expenses'!F78</f>
        <v>55.877499999999998</v>
      </c>
      <c r="G98" s="7">
        <f>'Allocated Expenses'!G78</f>
        <v>55.877499999999998</v>
      </c>
      <c r="H98" s="7">
        <f>'Allocated Expenses'!H78</f>
        <v>55.877499999999998</v>
      </c>
      <c r="I98" s="7">
        <f>'Allocated Expenses'!I78</f>
        <v>55.877499999999998</v>
      </c>
      <c r="J98" s="7">
        <f>'Allocated Expenses'!J78</f>
        <v>55.877499999999998</v>
      </c>
      <c r="K98" s="7">
        <f>'Allocated Expenses'!K78</f>
        <v>55.877499999999998</v>
      </c>
      <c r="L98" s="7">
        <f>'Allocated Expenses'!L78</f>
        <v>55.877499999999998</v>
      </c>
      <c r="M98" s="7">
        <f>'Allocated Expenses'!M78</f>
        <v>55.877499999999998</v>
      </c>
      <c r="N98" s="7">
        <f>'Allocated Expenses'!N78</f>
        <v>55.877499999999998</v>
      </c>
      <c r="O98" s="7">
        <f>'Allocated Expenses'!O78</f>
        <v>55.877499999999998</v>
      </c>
      <c r="P98" s="7">
        <f>'Allocated Expenses'!P78</f>
        <v>55.877499999999998</v>
      </c>
      <c r="Q98" s="121">
        <f>SUM(E98:P98)</f>
        <v>670.53</v>
      </c>
      <c r="R98" s="358">
        <f t="shared" si="20"/>
        <v>1.3742058449809403E-2</v>
      </c>
      <c r="S98" s="325"/>
      <c r="T98" s="348"/>
      <c r="U98" s="11"/>
      <c r="V98" s="11"/>
    </row>
    <row r="99" spans="1:22" x14ac:dyDescent="0.35">
      <c r="A99" s="72" t="s">
        <v>141</v>
      </c>
      <c r="D99" s="7" t="s">
        <v>66</v>
      </c>
      <c r="E99" s="7">
        <f>'Allocated Expenses'!E85</f>
        <v>0</v>
      </c>
      <c r="F99" s="7">
        <f>'Allocated Expenses'!F85</f>
        <v>0</v>
      </c>
      <c r="G99" s="7">
        <f>'Allocated Expenses'!G85</f>
        <v>0</v>
      </c>
      <c r="H99" s="7">
        <f>'Allocated Expenses'!H85</f>
        <v>0</v>
      </c>
      <c r="I99" s="7">
        <f>'Allocated Expenses'!I85</f>
        <v>0</v>
      </c>
      <c r="J99" s="7">
        <f>'Allocated Expenses'!J85</f>
        <v>0</v>
      </c>
      <c r="K99" s="7">
        <f>'Allocated Expenses'!K85</f>
        <v>0</v>
      </c>
      <c r="L99" s="7">
        <f>'Allocated Expenses'!L85</f>
        <v>0</v>
      </c>
      <c r="M99" s="7">
        <f>'Allocated Expenses'!M85</f>
        <v>0</v>
      </c>
      <c r="N99" s="7">
        <f>'Allocated Expenses'!N85</f>
        <v>0</v>
      </c>
      <c r="O99" s="7">
        <f>'Allocated Expenses'!O85</f>
        <v>0</v>
      </c>
      <c r="P99" s="7">
        <f>'Allocated Expenses'!P85</f>
        <v>0</v>
      </c>
      <c r="Q99" s="121">
        <f>SUM(E99:P99)</f>
        <v>0</v>
      </c>
      <c r="R99" s="358">
        <f t="shared" si="20"/>
        <v>0</v>
      </c>
      <c r="S99" s="325"/>
      <c r="T99" s="348"/>
      <c r="U99" s="11"/>
      <c r="V99" s="11"/>
    </row>
    <row r="100" spans="1:22" x14ac:dyDescent="0.35">
      <c r="A100" s="72" t="s">
        <v>142</v>
      </c>
      <c r="D100" s="7" t="s">
        <v>67</v>
      </c>
      <c r="E100" s="7">
        <f>'Allocated Expenses'!E92</f>
        <v>0</v>
      </c>
      <c r="F100" s="7">
        <f>'Allocated Expenses'!F92</f>
        <v>0</v>
      </c>
      <c r="G100" s="7">
        <f>'Allocated Expenses'!G92</f>
        <v>0</v>
      </c>
      <c r="H100" s="7">
        <f>'Allocated Expenses'!H92</f>
        <v>0</v>
      </c>
      <c r="I100" s="7">
        <f>'Allocated Expenses'!I92</f>
        <v>0</v>
      </c>
      <c r="J100" s="7">
        <f>'Allocated Expenses'!J92</f>
        <v>0</v>
      </c>
      <c r="K100" s="7">
        <f>'Allocated Expenses'!K92</f>
        <v>0</v>
      </c>
      <c r="L100" s="7">
        <f>'Allocated Expenses'!L92</f>
        <v>0</v>
      </c>
      <c r="M100" s="7">
        <f>'Allocated Expenses'!M92</f>
        <v>0</v>
      </c>
      <c r="N100" s="7">
        <f>'Allocated Expenses'!N92</f>
        <v>0</v>
      </c>
      <c r="O100" s="7">
        <f>'Allocated Expenses'!O92</f>
        <v>0</v>
      </c>
      <c r="P100" s="7">
        <f>'Allocated Expenses'!P92</f>
        <v>0</v>
      </c>
      <c r="Q100" s="121">
        <f>SUM(E100:P100)</f>
        <v>0</v>
      </c>
      <c r="R100" s="358">
        <f t="shared" si="20"/>
        <v>0</v>
      </c>
      <c r="S100" s="325"/>
      <c r="T100" s="348"/>
      <c r="U100" s="11"/>
      <c r="V100" s="11"/>
    </row>
    <row r="101" spans="1:22" x14ac:dyDescent="0.35">
      <c r="A101" s="72" t="s">
        <v>126</v>
      </c>
      <c r="D101" s="7" t="s">
        <v>68</v>
      </c>
      <c r="E101" s="7">
        <f>'Allocated Expenses'!E99</f>
        <v>7.21</v>
      </c>
      <c r="F101" s="7">
        <f>'Allocated Expenses'!F99</f>
        <v>7.21</v>
      </c>
      <c r="G101" s="7">
        <f>'Allocated Expenses'!G99</f>
        <v>7.21</v>
      </c>
      <c r="H101" s="7">
        <f>'Allocated Expenses'!H99</f>
        <v>7.21</v>
      </c>
      <c r="I101" s="7">
        <f>'Allocated Expenses'!I99</f>
        <v>7.21</v>
      </c>
      <c r="J101" s="7">
        <f>'Allocated Expenses'!J99</f>
        <v>7.21</v>
      </c>
      <c r="K101" s="7">
        <f>'Allocated Expenses'!K99</f>
        <v>7.21</v>
      </c>
      <c r="L101" s="7">
        <f>'Allocated Expenses'!L99</f>
        <v>7.21</v>
      </c>
      <c r="M101" s="7">
        <f>'Allocated Expenses'!M99</f>
        <v>7.21</v>
      </c>
      <c r="N101" s="7">
        <f>'Allocated Expenses'!N99</f>
        <v>7.21</v>
      </c>
      <c r="O101" s="7">
        <f>'Allocated Expenses'!O99</f>
        <v>7.21</v>
      </c>
      <c r="P101" s="7">
        <f>'Allocated Expenses'!P99</f>
        <v>7.21</v>
      </c>
      <c r="Q101" s="121">
        <f>SUM(E101:P101)</f>
        <v>86.519999999999982</v>
      </c>
      <c r="R101" s="358">
        <f t="shared" si="20"/>
        <v>1.773168832233471E-3</v>
      </c>
      <c r="S101" s="325"/>
      <c r="T101" s="348"/>
      <c r="U101" s="11"/>
      <c r="V101" s="11"/>
    </row>
    <row r="102" spans="1:22" x14ac:dyDescent="0.35">
      <c r="A102" s="72" t="s">
        <v>119</v>
      </c>
      <c r="D102" s="7" t="s">
        <v>69</v>
      </c>
      <c r="E102" s="7">
        <f>'Allocated Expenses'!E106</f>
        <v>1240.1199999999999</v>
      </c>
      <c r="F102" s="7">
        <f>'Allocated Expenses'!F106</f>
        <v>1240.1199999999999</v>
      </c>
      <c r="G102" s="7">
        <f>'Allocated Expenses'!G106</f>
        <v>1240.1199999999999</v>
      </c>
      <c r="H102" s="7">
        <f>'Allocated Expenses'!H106</f>
        <v>1240.1199999999999</v>
      </c>
      <c r="I102" s="7">
        <f>'Allocated Expenses'!I106</f>
        <v>1240.1199999999999</v>
      </c>
      <c r="J102" s="7">
        <f>'Allocated Expenses'!J106</f>
        <v>1240.1199999999999</v>
      </c>
      <c r="K102" s="7">
        <f>'Allocated Expenses'!K106</f>
        <v>1240.1199999999999</v>
      </c>
      <c r="L102" s="7">
        <f>'Allocated Expenses'!L106</f>
        <v>1240.1199999999999</v>
      </c>
      <c r="M102" s="7">
        <f>'Allocated Expenses'!M106</f>
        <v>1240.1199999999999</v>
      </c>
      <c r="N102" s="7">
        <f>'Allocated Expenses'!N106</f>
        <v>1240.1199999999999</v>
      </c>
      <c r="O102" s="7">
        <f>'Allocated Expenses'!O106</f>
        <v>1240.1199999999999</v>
      </c>
      <c r="P102" s="7">
        <f>'Allocated Expenses'!P106</f>
        <v>1240.1199999999999</v>
      </c>
      <c r="Q102" s="121">
        <f>SUM(E102:P102)</f>
        <v>14881.439999999995</v>
      </c>
      <c r="R102" s="358">
        <f t="shared" si="20"/>
        <v>0.30498503914415698</v>
      </c>
      <c r="S102" s="325"/>
      <c r="T102" s="348"/>
      <c r="U102" s="11"/>
      <c r="V102" s="11"/>
    </row>
    <row r="103" spans="1:22" x14ac:dyDescent="0.35">
      <c r="A103" s="72"/>
      <c r="C103" s="7" t="s">
        <v>70</v>
      </c>
      <c r="E103" s="29">
        <f t="shared" ref="E103:Q103" si="27">SUM(E98:E102)</f>
        <v>1303.2075</v>
      </c>
      <c r="F103" s="29">
        <f t="shared" si="27"/>
        <v>1303.2075</v>
      </c>
      <c r="G103" s="29">
        <f t="shared" si="27"/>
        <v>1303.2075</v>
      </c>
      <c r="H103" s="29">
        <f t="shared" si="27"/>
        <v>1303.2075</v>
      </c>
      <c r="I103" s="29">
        <f t="shared" si="27"/>
        <v>1303.2075</v>
      </c>
      <c r="J103" s="29">
        <f t="shared" si="27"/>
        <v>1303.2075</v>
      </c>
      <c r="K103" s="29">
        <f t="shared" si="27"/>
        <v>1303.2075</v>
      </c>
      <c r="L103" s="29">
        <f t="shared" si="27"/>
        <v>1303.2075</v>
      </c>
      <c r="M103" s="29">
        <f t="shared" si="27"/>
        <v>1303.2075</v>
      </c>
      <c r="N103" s="29">
        <f t="shared" si="27"/>
        <v>1303.2075</v>
      </c>
      <c r="O103" s="29">
        <f t="shared" si="27"/>
        <v>1303.2075</v>
      </c>
      <c r="P103" s="29">
        <f t="shared" si="27"/>
        <v>1303.2075</v>
      </c>
      <c r="Q103" s="130">
        <f t="shared" si="27"/>
        <v>15638.489999999994</v>
      </c>
      <c r="R103" s="359">
        <f t="shared" si="20"/>
        <v>0.32050026642619983</v>
      </c>
      <c r="S103" s="330">
        <v>15244.65</v>
      </c>
      <c r="T103" s="360">
        <f>IFERROR(Q103/S103-1,"-")</f>
        <v>2.5834637069397814E-2</v>
      </c>
      <c r="U103" s="11"/>
      <c r="V103" s="11"/>
    </row>
    <row r="104" spans="1:22" x14ac:dyDescent="0.35">
      <c r="A104" s="72"/>
      <c r="Q104" s="121"/>
      <c r="R104" s="358"/>
      <c r="S104" s="325"/>
      <c r="T104" s="348"/>
      <c r="U104" s="11"/>
      <c r="V104" s="11"/>
    </row>
    <row r="105" spans="1:22" ht="18" x14ac:dyDescent="0.35">
      <c r="A105" s="72"/>
      <c r="C105" s="30" t="s">
        <v>71</v>
      </c>
      <c r="D105" s="57"/>
      <c r="E105" s="57">
        <f t="shared" ref="E105:P105" si="28">+E75+E79+E84+E88+E90+E92+E94+E96+E103</f>
        <v>5856.5491666666676</v>
      </c>
      <c r="F105" s="57">
        <f t="shared" si="28"/>
        <v>5288.7616666666663</v>
      </c>
      <c r="G105" s="57">
        <f t="shared" si="28"/>
        <v>5288.7616666666663</v>
      </c>
      <c r="H105" s="57">
        <f t="shared" si="28"/>
        <v>7231.1715344865443</v>
      </c>
      <c r="I105" s="57">
        <f t="shared" si="28"/>
        <v>5288.7616666666663</v>
      </c>
      <c r="J105" s="57">
        <f t="shared" si="28"/>
        <v>5288.7616666666663</v>
      </c>
      <c r="K105" s="57">
        <f t="shared" si="28"/>
        <v>5856.5491666666676</v>
      </c>
      <c r="L105" s="57">
        <f t="shared" si="28"/>
        <v>5288.7616666666663</v>
      </c>
      <c r="M105" s="57">
        <f t="shared" si="28"/>
        <v>5288.7616666666663</v>
      </c>
      <c r="N105" s="57">
        <f t="shared" si="28"/>
        <v>5856.5491666666676</v>
      </c>
      <c r="O105" s="57">
        <f t="shared" si="28"/>
        <v>5288.7616666666663</v>
      </c>
      <c r="P105" s="57">
        <f t="shared" si="28"/>
        <v>5288.7616666666663</v>
      </c>
      <c r="Q105" s="129">
        <f>+Q75+Q79+Q84+Q88+Q90+Q92+Q94+Q96+Q103</f>
        <v>67110.912367819867</v>
      </c>
      <c r="R105" s="373">
        <f t="shared" si="20"/>
        <v>1.3753927197569347</v>
      </c>
      <c r="S105" s="335">
        <f t="shared" ref="S105" si="29">+S75+S79+S84+S88+S90+S92+S94+S96+S103</f>
        <v>59921.9</v>
      </c>
      <c r="T105" s="374">
        <f>IFERROR(Q105/S105-1,"-")</f>
        <v>0.11997303770107193</v>
      </c>
      <c r="U105" s="11"/>
      <c r="V105" s="11"/>
    </row>
    <row r="106" spans="1:22" ht="18.5" thickBot="1" x14ac:dyDescent="0.4">
      <c r="A106" s="72"/>
      <c r="Q106" s="123"/>
      <c r="R106" s="361"/>
      <c r="S106" s="331"/>
      <c r="T106" s="362"/>
      <c r="U106" s="11"/>
      <c r="V106" s="11"/>
    </row>
    <row r="107" spans="1:22" s="9" customFormat="1" ht="18" thickBot="1" x14ac:dyDescent="0.4">
      <c r="A107" s="253"/>
      <c r="B107" s="254" t="s">
        <v>72</v>
      </c>
      <c r="C107" s="255"/>
      <c r="D107" s="255"/>
      <c r="E107" s="255">
        <f t="shared" ref="E107:Q107" si="30">+E71+E105</f>
        <v>45846.782956174458</v>
      </c>
      <c r="F107" s="255">
        <f t="shared" si="30"/>
        <v>31658.785456174457</v>
      </c>
      <c r="G107" s="255">
        <f t="shared" si="30"/>
        <v>28593.325456174458</v>
      </c>
      <c r="H107" s="255">
        <f t="shared" si="30"/>
        <v>44793.247189623937</v>
      </c>
      <c r="I107" s="255">
        <f t="shared" si="30"/>
        <v>31891.977321804057</v>
      </c>
      <c r="J107" s="255">
        <f t="shared" si="30"/>
        <v>41288.577321804056</v>
      </c>
      <c r="K107" s="255">
        <f t="shared" si="30"/>
        <v>42509.734821804057</v>
      </c>
      <c r="L107" s="255">
        <f t="shared" si="30"/>
        <v>26700.61732180406</v>
      </c>
      <c r="M107" s="255">
        <f t="shared" si="30"/>
        <v>25836.657321804058</v>
      </c>
      <c r="N107" s="255">
        <f t="shared" si="30"/>
        <v>42816.848219724852</v>
      </c>
      <c r="O107" s="255">
        <f t="shared" si="30"/>
        <v>25060.20071972486</v>
      </c>
      <c r="P107" s="255">
        <f t="shared" si="30"/>
        <v>25547.510719724862</v>
      </c>
      <c r="Q107" s="364">
        <f t="shared" si="30"/>
        <v>412544.26482634217</v>
      </c>
      <c r="R107" s="365">
        <f t="shared" si="20"/>
        <v>8.4548154450617332</v>
      </c>
      <c r="S107" s="333">
        <f>+S71+S105</f>
        <v>461635.18000000005</v>
      </c>
      <c r="T107" s="366">
        <f t="shared" ref="T107" si="31">IFERROR(Q107/S107-1,"-")</f>
        <v>-0.10634136500094704</v>
      </c>
      <c r="U107" s="44"/>
      <c r="V107" s="44"/>
    </row>
    <row r="108" spans="1:22" ht="18.5" thickBot="1" x14ac:dyDescent="0.4">
      <c r="A108" s="72"/>
      <c r="Q108" s="123"/>
      <c r="R108" s="361"/>
      <c r="S108" s="331"/>
      <c r="T108" s="362"/>
      <c r="U108" s="11"/>
      <c r="V108" s="11"/>
    </row>
    <row r="109" spans="1:22" s="9" customFormat="1" ht="18" thickBot="1" x14ac:dyDescent="0.4">
      <c r="A109" s="253"/>
      <c r="B109" s="254" t="s">
        <v>73</v>
      </c>
      <c r="C109" s="255"/>
      <c r="D109" s="255"/>
      <c r="E109" s="255">
        <f t="shared" ref="E109:Q109" si="32">+E24-E107</f>
        <v>24417.340160492211</v>
      </c>
      <c r="F109" s="255">
        <f t="shared" si="32"/>
        <v>38151.699360492203</v>
      </c>
      <c r="G109" s="255">
        <f t="shared" si="32"/>
        <v>40846.671027158882</v>
      </c>
      <c r="H109" s="255">
        <f t="shared" si="32"/>
        <v>11544.160460376057</v>
      </c>
      <c r="I109" s="255">
        <f t="shared" si="32"/>
        <v>24308.403528195937</v>
      </c>
      <c r="J109" s="255">
        <f t="shared" si="32"/>
        <v>14904.414828195942</v>
      </c>
      <c r="K109" s="255">
        <f t="shared" si="32"/>
        <v>6789.3118281959396</v>
      </c>
      <c r="L109" s="255">
        <f t="shared" si="32"/>
        <v>27817.045128195936</v>
      </c>
      <c r="M109" s="255">
        <f t="shared" si="32"/>
        <v>28478.823428195938</v>
      </c>
      <c r="N109" s="255">
        <f t="shared" si="32"/>
        <v>-4818.3529530581873</v>
      </c>
      <c r="O109" s="255">
        <f t="shared" si="32"/>
        <v>13172.308613608475</v>
      </c>
      <c r="P109" s="255">
        <f t="shared" si="32"/>
        <v>18377.405013608473</v>
      </c>
      <c r="Q109" s="364">
        <f t="shared" si="32"/>
        <v>243989.23042365775</v>
      </c>
      <c r="R109" s="365">
        <f t="shared" si="20"/>
        <v>5.0003941145152631</v>
      </c>
      <c r="S109" s="333">
        <f>+S24-S107</f>
        <v>345390.28</v>
      </c>
      <c r="T109" s="366">
        <f t="shared" ref="T109" si="33">IFERROR(Q109/S109-1,"-")</f>
        <v>-0.29358396992625924</v>
      </c>
      <c r="U109" s="44"/>
      <c r="V109" s="44"/>
    </row>
    <row r="110" spans="1:22" ht="18" x14ac:dyDescent="0.35">
      <c r="A110" s="72"/>
      <c r="Q110" s="123"/>
      <c r="R110" s="361"/>
      <c r="S110" s="331"/>
      <c r="T110" s="362"/>
      <c r="U110" s="11"/>
      <c r="V110" s="11"/>
    </row>
    <row r="111" spans="1:22" x14ac:dyDescent="0.35">
      <c r="A111" s="72" t="s">
        <v>120</v>
      </c>
      <c r="D111" s="7" t="s">
        <v>74</v>
      </c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21"/>
      <c r="R111" s="358">
        <f t="shared" si="20"/>
        <v>0</v>
      </c>
      <c r="S111" s="325"/>
      <c r="T111" s="348"/>
      <c r="U111" s="11"/>
      <c r="V111" s="11"/>
    </row>
    <row r="112" spans="1:22" x14ac:dyDescent="0.35">
      <c r="A112" s="72" t="s">
        <v>121</v>
      </c>
      <c r="D112" s="7" t="s">
        <v>75</v>
      </c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21">
        <f>SUM(E112:P112)</f>
        <v>0</v>
      </c>
      <c r="R112" s="358">
        <f t="shared" si="20"/>
        <v>0</v>
      </c>
      <c r="S112" s="325"/>
      <c r="T112" s="348"/>
      <c r="U112" s="11"/>
      <c r="V112" s="11"/>
    </row>
    <row r="113" spans="1:22" x14ac:dyDescent="0.35">
      <c r="A113" s="72" t="s">
        <v>122</v>
      </c>
      <c r="D113" s="7" t="s">
        <v>76</v>
      </c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21"/>
      <c r="R113" s="358">
        <f t="shared" si="20"/>
        <v>0</v>
      </c>
      <c r="S113" s="325"/>
      <c r="T113" s="348"/>
      <c r="U113" s="11"/>
      <c r="V113" s="11"/>
    </row>
    <row r="114" spans="1:22" x14ac:dyDescent="0.35">
      <c r="A114" s="72" t="s">
        <v>128</v>
      </c>
      <c r="D114" s="7" t="s">
        <v>77</v>
      </c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21"/>
      <c r="R114" s="358">
        <f t="shared" si="20"/>
        <v>0</v>
      </c>
      <c r="S114" s="325"/>
      <c r="T114" s="348"/>
      <c r="U114" s="11"/>
      <c r="V114" s="11"/>
    </row>
    <row r="115" spans="1:22" x14ac:dyDescent="0.35">
      <c r="A115" s="72"/>
      <c r="C115" s="7" t="s">
        <v>77</v>
      </c>
      <c r="E115" s="29">
        <f t="shared" ref="E115:Q115" si="34">SUM(E111:E114)</f>
        <v>0</v>
      </c>
      <c r="F115" s="29">
        <f t="shared" si="34"/>
        <v>0</v>
      </c>
      <c r="G115" s="29">
        <f t="shared" si="34"/>
        <v>0</v>
      </c>
      <c r="H115" s="29">
        <f t="shared" si="34"/>
        <v>0</v>
      </c>
      <c r="I115" s="29">
        <f t="shared" si="34"/>
        <v>0</v>
      </c>
      <c r="J115" s="29">
        <f t="shared" si="34"/>
        <v>0</v>
      </c>
      <c r="K115" s="29">
        <f t="shared" si="34"/>
        <v>0</v>
      </c>
      <c r="L115" s="29">
        <f t="shared" si="34"/>
        <v>0</v>
      </c>
      <c r="M115" s="29">
        <f t="shared" si="34"/>
        <v>0</v>
      </c>
      <c r="N115" s="29">
        <f t="shared" si="34"/>
        <v>0</v>
      </c>
      <c r="O115" s="29">
        <f t="shared" si="34"/>
        <v>0</v>
      </c>
      <c r="P115" s="29">
        <f t="shared" si="34"/>
        <v>0</v>
      </c>
      <c r="Q115" s="130">
        <f t="shared" si="34"/>
        <v>0</v>
      </c>
      <c r="R115" s="359">
        <f t="shared" si="20"/>
        <v>0</v>
      </c>
      <c r="S115" s="330"/>
      <c r="T115" s="360" t="str">
        <f>IFERROR(Q115/S115-1,"-")</f>
        <v>-</v>
      </c>
      <c r="U115" s="11"/>
      <c r="V115" s="11"/>
    </row>
    <row r="116" spans="1:22" x14ac:dyDescent="0.35">
      <c r="A116" s="72"/>
      <c r="Q116" s="121"/>
      <c r="R116" s="358"/>
      <c r="S116" s="325"/>
      <c r="T116" s="348"/>
      <c r="U116" s="11"/>
      <c r="V116" s="11"/>
    </row>
    <row r="117" spans="1:22" x14ac:dyDescent="0.35">
      <c r="A117" s="72" t="s">
        <v>123</v>
      </c>
      <c r="C117" s="7" t="s">
        <v>78</v>
      </c>
      <c r="E117" s="7">
        <f>'Renew &amp; Vac - Rent, TI, LC'!AH55</f>
        <v>0</v>
      </c>
      <c r="F117" s="7">
        <f>'Renew &amp; Vac - Rent, TI, LC'!AI55</f>
        <v>0</v>
      </c>
      <c r="G117" s="7">
        <f>'Renew &amp; Vac - Rent, TI, LC'!AJ55</f>
        <v>0</v>
      </c>
      <c r="H117" s="7">
        <f>'Renew &amp; Vac - Rent, TI, LC'!AK55</f>
        <v>0</v>
      </c>
      <c r="I117" s="7">
        <f>'Renew &amp; Vac - Rent, TI, LC'!AL55</f>
        <v>0</v>
      </c>
      <c r="J117" s="7">
        <f>'Renew &amp; Vac - Rent, TI, LC'!AM55</f>
        <v>0</v>
      </c>
      <c r="K117" s="7">
        <f>'Renew &amp; Vac - Rent, TI, LC'!AN55</f>
        <v>2346</v>
      </c>
      <c r="L117" s="7">
        <f>'Renew &amp; Vac - Rent, TI, LC'!AO55</f>
        <v>0</v>
      </c>
      <c r="M117" s="7">
        <f>'Renew &amp; Vac - Rent, TI, LC'!AP55</f>
        <v>0</v>
      </c>
      <c r="N117" s="7">
        <f>'Renew &amp; Vac - Rent, TI, LC'!AQ55</f>
        <v>0</v>
      </c>
      <c r="O117" s="7">
        <f>'Renew &amp; Vac - Rent, TI, LC'!AR55</f>
        <v>0</v>
      </c>
      <c r="P117" s="7">
        <f>'Renew &amp; Vac - Rent, TI, LC'!AS55</f>
        <v>0</v>
      </c>
      <c r="Q117" s="121">
        <f>SUM(E117:P117)</f>
        <v>2346</v>
      </c>
      <c r="R117" s="358">
        <f t="shared" si="20"/>
        <v>4.8079681928105918E-2</v>
      </c>
      <c r="S117" s="325">
        <v>10567.80999999959</v>
      </c>
      <c r="T117" s="348">
        <f>IFERROR(Q117/S117-1,"-")</f>
        <v>-0.7780050928243325</v>
      </c>
      <c r="U117" s="11"/>
      <c r="V117" s="11"/>
    </row>
    <row r="118" spans="1:22" ht="18" x14ac:dyDescent="0.35">
      <c r="A118" s="72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376"/>
      <c r="R118" s="377"/>
      <c r="S118" s="336"/>
      <c r="T118" s="378"/>
      <c r="U118" s="11"/>
      <c r="V118" s="11"/>
    </row>
    <row r="119" spans="1:22" ht="18" x14ac:dyDescent="0.35">
      <c r="A119" s="72" t="s">
        <v>124</v>
      </c>
      <c r="D119" s="7" t="s">
        <v>79</v>
      </c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23">
        <f>SUM(E119:P119)</f>
        <v>0</v>
      </c>
      <c r="R119" s="361">
        <f t="shared" si="20"/>
        <v>0</v>
      </c>
      <c r="S119" s="331"/>
      <c r="T119" s="362"/>
      <c r="U119" s="11"/>
      <c r="V119" s="11"/>
    </row>
    <row r="120" spans="1:22" x14ac:dyDescent="0.35">
      <c r="A120" s="72" t="s">
        <v>124</v>
      </c>
      <c r="B120" s="9"/>
      <c r="D120" s="7" t="s">
        <v>80</v>
      </c>
      <c r="E120" s="16">
        <f>'Renew &amp; Vac - Rent, TI, LC'!AH56</f>
        <v>0</v>
      </c>
      <c r="F120" s="16">
        <f>'Renew &amp; Vac - Rent, TI, LC'!AI56</f>
        <v>0</v>
      </c>
      <c r="G120" s="16">
        <f>'Renew &amp; Vac - Rent, TI, LC'!AJ56</f>
        <v>0</v>
      </c>
      <c r="H120" s="16">
        <f>'Renew &amp; Vac - Rent, TI, LC'!AK56</f>
        <v>0</v>
      </c>
      <c r="I120" s="16">
        <f>'Renew &amp; Vac - Rent, TI, LC'!AL56</f>
        <v>0</v>
      </c>
      <c r="J120" s="16">
        <f>'Renew &amp; Vac - Rent, TI, LC'!AM56</f>
        <v>0</v>
      </c>
      <c r="K120" s="16">
        <f>'Renew &amp; Vac - Rent, TI, LC'!AN56</f>
        <v>0</v>
      </c>
      <c r="L120" s="16">
        <f>'Renew &amp; Vac - Rent, TI, LC'!AO56</f>
        <v>0</v>
      </c>
      <c r="M120" s="16">
        <f>'Renew &amp; Vac - Rent, TI, LC'!AP56</f>
        <v>0</v>
      </c>
      <c r="N120" s="16">
        <f>'Renew &amp; Vac - Rent, TI, LC'!AQ56</f>
        <v>0</v>
      </c>
      <c r="O120" s="16">
        <f>'Renew &amp; Vac - Rent, TI, LC'!AR56</f>
        <v>0</v>
      </c>
      <c r="P120" s="16">
        <f>'Renew &amp; Vac - Rent, TI, LC'!AS56</f>
        <v>0</v>
      </c>
      <c r="Q120" s="128">
        <f>SUM(E120:P120)</f>
        <v>0</v>
      </c>
      <c r="R120" s="371">
        <f t="shared" si="20"/>
        <v>0</v>
      </c>
      <c r="S120" s="338"/>
      <c r="T120" s="363"/>
      <c r="U120" s="11"/>
      <c r="V120" s="11"/>
    </row>
    <row r="121" spans="1:22" x14ac:dyDescent="0.35">
      <c r="A121" s="72"/>
      <c r="C121" s="7" t="s">
        <v>80</v>
      </c>
      <c r="D121" s="31"/>
      <c r="E121" s="7">
        <f>SUM(E119:E120)</f>
        <v>0</v>
      </c>
      <c r="F121" s="7">
        <f t="shared" ref="F121:Q121" si="35">SUM(F119:F120)</f>
        <v>0</v>
      </c>
      <c r="G121" s="7">
        <f t="shared" si="35"/>
        <v>0</v>
      </c>
      <c r="H121" s="7">
        <f t="shared" si="35"/>
        <v>0</v>
      </c>
      <c r="I121" s="7">
        <f t="shared" si="35"/>
        <v>0</v>
      </c>
      <c r="J121" s="7">
        <f t="shared" si="35"/>
        <v>0</v>
      </c>
      <c r="K121" s="7">
        <f t="shared" si="35"/>
        <v>0</v>
      </c>
      <c r="L121" s="7">
        <f t="shared" si="35"/>
        <v>0</v>
      </c>
      <c r="M121" s="7">
        <f t="shared" si="35"/>
        <v>0</v>
      </c>
      <c r="N121" s="7">
        <f t="shared" si="35"/>
        <v>0</v>
      </c>
      <c r="O121" s="7">
        <f t="shared" si="35"/>
        <v>0</v>
      </c>
      <c r="P121" s="7">
        <f t="shared" si="35"/>
        <v>0</v>
      </c>
      <c r="Q121" s="121">
        <f t="shared" si="35"/>
        <v>0</v>
      </c>
      <c r="R121" s="358">
        <f t="shared" si="20"/>
        <v>0</v>
      </c>
      <c r="S121" s="325">
        <v>1365</v>
      </c>
      <c r="T121" s="348">
        <f>IFERROR(Q121/S121-1,"-")</f>
        <v>-1</v>
      </c>
      <c r="U121" s="11"/>
      <c r="V121" s="391" t="s">
        <v>483</v>
      </c>
    </row>
    <row r="122" spans="1:22" s="9" customFormat="1" ht="18.5" thickBot="1" x14ac:dyDescent="0.4">
      <c r="A122" s="74"/>
      <c r="Q122" s="379"/>
      <c r="R122" s="380"/>
      <c r="S122" s="340"/>
      <c r="T122" s="381"/>
      <c r="U122" s="44"/>
      <c r="V122" s="44"/>
    </row>
    <row r="123" spans="1:22" s="9" customFormat="1" ht="18" thickBot="1" x14ac:dyDescent="0.4">
      <c r="A123" s="253"/>
      <c r="B123" s="254" t="s">
        <v>81</v>
      </c>
      <c r="C123" s="255"/>
      <c r="D123" s="255"/>
      <c r="E123" s="255">
        <f t="shared" ref="E123:Q123" si="36">+E109-E115-E117-E121</f>
        <v>24417.340160492211</v>
      </c>
      <c r="F123" s="255">
        <f t="shared" si="36"/>
        <v>38151.699360492203</v>
      </c>
      <c r="G123" s="255">
        <f t="shared" si="36"/>
        <v>40846.671027158882</v>
      </c>
      <c r="H123" s="255">
        <f t="shared" si="36"/>
        <v>11544.160460376057</v>
      </c>
      <c r="I123" s="255">
        <f t="shared" si="36"/>
        <v>24308.403528195937</v>
      </c>
      <c r="J123" s="255">
        <f t="shared" si="36"/>
        <v>14904.414828195942</v>
      </c>
      <c r="K123" s="255">
        <f t="shared" si="36"/>
        <v>4443.3118281959396</v>
      </c>
      <c r="L123" s="255">
        <f t="shared" si="36"/>
        <v>27817.045128195936</v>
      </c>
      <c r="M123" s="255">
        <f t="shared" si="36"/>
        <v>28478.823428195938</v>
      </c>
      <c r="N123" s="255">
        <f t="shared" si="36"/>
        <v>-4818.3529530581873</v>
      </c>
      <c r="O123" s="255">
        <f t="shared" si="36"/>
        <v>13172.308613608475</v>
      </c>
      <c r="P123" s="255">
        <f t="shared" si="36"/>
        <v>18377.405013608473</v>
      </c>
      <c r="Q123" s="364">
        <f t="shared" si="36"/>
        <v>241643.23042365775</v>
      </c>
      <c r="R123" s="382">
        <f t="shared" si="20"/>
        <v>4.9523144325871575</v>
      </c>
      <c r="S123" s="333">
        <f>+S109-S115-S117-S121</f>
        <v>333457.47000000044</v>
      </c>
      <c r="T123" s="366">
        <f t="shared" ref="T123" si="37">IFERROR(Q123/S123-1,"-")</f>
        <v>-0.27534017929285726</v>
      </c>
      <c r="U123" s="44"/>
      <c r="V123" s="44"/>
    </row>
    <row r="124" spans="1:22" ht="18" x14ac:dyDescent="0.35">
      <c r="A124" s="72"/>
      <c r="Q124" s="121"/>
      <c r="R124" s="358"/>
      <c r="S124" s="331"/>
      <c r="T124" s="362"/>
      <c r="U124" s="11"/>
      <c r="V124" s="11"/>
    </row>
    <row r="125" spans="1:22" x14ac:dyDescent="0.35">
      <c r="A125" s="72"/>
      <c r="B125" s="7" t="s">
        <v>82</v>
      </c>
      <c r="Q125" s="121"/>
      <c r="R125" s="358"/>
      <c r="S125" s="325"/>
      <c r="T125" s="348"/>
      <c r="U125" s="11"/>
      <c r="V125" s="11"/>
    </row>
    <row r="126" spans="1:22" x14ac:dyDescent="0.35">
      <c r="A126" s="72" t="s">
        <v>127</v>
      </c>
      <c r="C126" s="7" t="s">
        <v>83</v>
      </c>
      <c r="E126" s="7">
        <f>'Allocated Expenses'!E114</f>
        <v>8057.7</v>
      </c>
      <c r="F126" s="7">
        <f>'Allocated Expenses'!F114</f>
        <v>8057.7</v>
      </c>
      <c r="G126" s="7">
        <f>'Allocated Expenses'!G114</f>
        <v>8057.7</v>
      </c>
      <c r="H126" s="7">
        <f>'Allocated Expenses'!H114</f>
        <v>8057.7</v>
      </c>
      <c r="I126" s="7">
        <f>'Allocated Expenses'!I114</f>
        <v>8057.7</v>
      </c>
      <c r="J126" s="7">
        <f>'Allocated Expenses'!J114</f>
        <v>8057.7</v>
      </c>
      <c r="K126" s="7">
        <f>'Allocated Expenses'!K114</f>
        <v>8057.7</v>
      </c>
      <c r="L126" s="7">
        <f>'Allocated Expenses'!L114</f>
        <v>8057.7</v>
      </c>
      <c r="M126" s="7">
        <f>'Allocated Expenses'!M114</f>
        <v>8057.7</v>
      </c>
      <c r="N126" s="7">
        <f>'Allocated Expenses'!N114</f>
        <v>8057.7</v>
      </c>
      <c r="O126" s="7">
        <f>'Allocated Expenses'!O114</f>
        <v>8057.7</v>
      </c>
      <c r="P126" s="7">
        <f>'Allocated Expenses'!P114</f>
        <v>8057.7</v>
      </c>
      <c r="Q126" s="121">
        <f>SUM(E126:P126)</f>
        <v>96692.39999999998</v>
      </c>
      <c r="R126" s="358">
        <f t="shared" si="20"/>
        <v>1.9816452842562606</v>
      </c>
      <c r="S126" s="325">
        <v>97604.09</v>
      </c>
      <c r="T126" s="348">
        <f t="shared" ref="T126:T127" si="38">IFERROR(Q126/S126-1,"-")</f>
        <v>-9.3406946368744803E-3</v>
      </c>
      <c r="U126" s="11"/>
      <c r="V126" s="11"/>
    </row>
    <row r="127" spans="1:22" x14ac:dyDescent="0.35">
      <c r="A127" s="72" t="s">
        <v>144</v>
      </c>
      <c r="C127" s="7" t="s">
        <v>84</v>
      </c>
      <c r="E127" s="7">
        <f>+'Allocated Expenses'!E126</f>
        <v>0</v>
      </c>
      <c r="F127" s="7">
        <f>+'Allocated Expenses'!F126</f>
        <v>0</v>
      </c>
      <c r="G127" s="7">
        <f>+'Allocated Expenses'!G126</f>
        <v>0</v>
      </c>
      <c r="H127" s="7">
        <f>+'Allocated Expenses'!H126</f>
        <v>0</v>
      </c>
      <c r="I127" s="7">
        <f>+'Allocated Expenses'!I126</f>
        <v>0</v>
      </c>
      <c r="J127" s="7">
        <f>+'Allocated Expenses'!J126</f>
        <v>0</v>
      </c>
      <c r="K127" s="7">
        <f>+'Allocated Expenses'!K126</f>
        <v>0</v>
      </c>
      <c r="L127" s="7">
        <f>+'Allocated Expenses'!L126</f>
        <v>0</v>
      </c>
      <c r="M127" s="7">
        <f>+'Allocated Expenses'!M126</f>
        <v>0</v>
      </c>
      <c r="N127" s="7">
        <f>+'Allocated Expenses'!N126</f>
        <v>0</v>
      </c>
      <c r="O127" s="7">
        <f>+'Allocated Expenses'!O126</f>
        <v>0</v>
      </c>
      <c r="P127" s="7">
        <f>+'Allocated Expenses'!P126</f>
        <v>0</v>
      </c>
      <c r="Q127" s="121">
        <f>SUM(E127:P127)</f>
        <v>0</v>
      </c>
      <c r="R127" s="358">
        <f t="shared" si="20"/>
        <v>0</v>
      </c>
      <c r="S127" s="325">
        <v>10635.049999999988</v>
      </c>
      <c r="T127" s="348">
        <f t="shared" si="38"/>
        <v>-1</v>
      </c>
      <c r="U127" s="11"/>
      <c r="V127" s="11"/>
    </row>
    <row r="128" spans="1:22" x14ac:dyDescent="0.35">
      <c r="A128" s="72" t="s">
        <v>145</v>
      </c>
      <c r="C128" s="7" t="s">
        <v>85</v>
      </c>
      <c r="Q128" s="121">
        <f>SUM(E128:P128)</f>
        <v>0</v>
      </c>
      <c r="R128" s="358">
        <f t="shared" si="20"/>
        <v>0</v>
      </c>
      <c r="S128" s="325"/>
      <c r="T128" s="348" t="str">
        <f>IFERROR(Q128/S128-1,"-")</f>
        <v>-</v>
      </c>
      <c r="U128" s="11"/>
      <c r="V128" s="11"/>
    </row>
    <row r="129" spans="1:22" x14ac:dyDescent="0.35">
      <c r="A129" s="72"/>
      <c r="C129" s="7" t="s">
        <v>86</v>
      </c>
      <c r="E129" s="29">
        <f t="shared" ref="E129:Q129" si="39">SUM(E126:E128)</f>
        <v>8057.7</v>
      </c>
      <c r="F129" s="29">
        <f t="shared" si="39"/>
        <v>8057.7</v>
      </c>
      <c r="G129" s="29">
        <f t="shared" si="39"/>
        <v>8057.7</v>
      </c>
      <c r="H129" s="29">
        <f t="shared" si="39"/>
        <v>8057.7</v>
      </c>
      <c r="I129" s="29">
        <f t="shared" si="39"/>
        <v>8057.7</v>
      </c>
      <c r="J129" s="29">
        <f t="shared" si="39"/>
        <v>8057.7</v>
      </c>
      <c r="K129" s="29">
        <f t="shared" si="39"/>
        <v>8057.7</v>
      </c>
      <c r="L129" s="29">
        <f t="shared" si="39"/>
        <v>8057.7</v>
      </c>
      <c r="M129" s="29">
        <f t="shared" si="39"/>
        <v>8057.7</v>
      </c>
      <c r="N129" s="29">
        <f t="shared" si="39"/>
        <v>8057.7</v>
      </c>
      <c r="O129" s="29">
        <f t="shared" si="39"/>
        <v>8057.7</v>
      </c>
      <c r="P129" s="29">
        <f t="shared" si="39"/>
        <v>8057.7</v>
      </c>
      <c r="Q129" s="130">
        <f t="shared" si="39"/>
        <v>96692.39999999998</v>
      </c>
      <c r="R129" s="359">
        <f t="shared" si="20"/>
        <v>1.9816452842562606</v>
      </c>
      <c r="S129" s="330">
        <f t="shared" ref="S129" si="40">SUM(S126:S128)</f>
        <v>108239.13999999998</v>
      </c>
      <c r="T129" s="360">
        <f>IFERROR(Q129/S129-1,"-")</f>
        <v>-0.10667804640724243</v>
      </c>
      <c r="U129" s="11"/>
      <c r="V129" s="11"/>
    </row>
    <row r="130" spans="1:22" ht="18.5" thickBot="1" x14ac:dyDescent="0.4">
      <c r="A130" s="72"/>
      <c r="Q130" s="121"/>
      <c r="R130" s="358"/>
      <c r="S130" s="331"/>
      <c r="T130" s="362"/>
      <c r="U130" s="11"/>
      <c r="V130" s="11"/>
    </row>
    <row r="131" spans="1:22" s="9" customFormat="1" ht="18" thickBot="1" x14ac:dyDescent="0.4">
      <c r="A131" s="253"/>
      <c r="B131" s="254" t="s">
        <v>87</v>
      </c>
      <c r="C131" s="255"/>
      <c r="D131" s="255"/>
      <c r="E131" s="255">
        <f t="shared" ref="E131:Q131" si="41">+E123-E129</f>
        <v>16359.64016049221</v>
      </c>
      <c r="F131" s="255">
        <f t="shared" si="41"/>
        <v>30093.999360492202</v>
      </c>
      <c r="G131" s="255">
        <f t="shared" si="41"/>
        <v>32788.971027158885</v>
      </c>
      <c r="H131" s="255">
        <f t="shared" si="41"/>
        <v>3486.4604603760572</v>
      </c>
      <c r="I131" s="255">
        <f t="shared" si="41"/>
        <v>16250.703528195936</v>
      </c>
      <c r="J131" s="255">
        <f t="shared" si="41"/>
        <v>6846.7148281959426</v>
      </c>
      <c r="K131" s="255">
        <f t="shared" si="41"/>
        <v>-3614.3881718040602</v>
      </c>
      <c r="L131" s="255">
        <f t="shared" si="41"/>
        <v>19759.345128195935</v>
      </c>
      <c r="M131" s="255">
        <f t="shared" si="41"/>
        <v>20421.123428195937</v>
      </c>
      <c r="N131" s="255">
        <f t="shared" si="41"/>
        <v>-12876.052953058188</v>
      </c>
      <c r="O131" s="255">
        <f t="shared" si="41"/>
        <v>5114.608613608475</v>
      </c>
      <c r="P131" s="255">
        <f t="shared" si="41"/>
        <v>10319.705013608473</v>
      </c>
      <c r="Q131" s="364">
        <f t="shared" si="41"/>
        <v>144950.83042365778</v>
      </c>
      <c r="R131" s="382">
        <f t="shared" si="20"/>
        <v>2.9706691483308969</v>
      </c>
      <c r="S131" s="333">
        <f>+S123-S129</f>
        <v>225218.33000000045</v>
      </c>
      <c r="T131" s="366">
        <f t="shared" ref="T131" si="42">IFERROR(Q131/S131-1,"-")</f>
        <v>-0.35639860919110145</v>
      </c>
      <c r="U131" s="44"/>
      <c r="V131" s="44"/>
    </row>
    <row r="132" spans="1:22" ht="18" x14ac:dyDescent="0.35">
      <c r="A132" s="75"/>
      <c r="B132" s="9"/>
      <c r="C132" s="33"/>
      <c r="S132" s="383"/>
      <c r="T132" s="384"/>
    </row>
    <row r="133" spans="1:22" x14ac:dyDescent="0.35">
      <c r="A133" s="50"/>
    </row>
    <row r="134" spans="1:22" x14ac:dyDescent="0.35">
      <c r="A134" s="50"/>
    </row>
    <row r="135" spans="1:22" ht="18" x14ac:dyDescent="0.35">
      <c r="A135" s="50"/>
      <c r="D135" s="8" t="str">
        <f>"Budget Import - "&amp;B1</f>
        <v>Budget Import - 3640</v>
      </c>
      <c r="E135" s="456">
        <v>5</v>
      </c>
      <c r="F135" s="457">
        <f>E135+1</f>
        <v>6</v>
      </c>
      <c r="G135" s="457">
        <f t="shared" ref="G135:P135" si="43">F135+1</f>
        <v>7</v>
      </c>
      <c r="H135" s="457">
        <f t="shared" si="43"/>
        <v>8</v>
      </c>
      <c r="I135" s="457">
        <f t="shared" si="43"/>
        <v>9</v>
      </c>
      <c r="J135" s="457">
        <f t="shared" si="43"/>
        <v>10</v>
      </c>
      <c r="K135" s="457">
        <f t="shared" si="43"/>
        <v>11</v>
      </c>
      <c r="L135" s="457">
        <f t="shared" si="43"/>
        <v>12</v>
      </c>
      <c r="M135" s="457">
        <f t="shared" si="43"/>
        <v>13</v>
      </c>
      <c r="N135" s="457">
        <f t="shared" si="43"/>
        <v>14</v>
      </c>
      <c r="O135" s="457">
        <f t="shared" si="43"/>
        <v>15</v>
      </c>
      <c r="P135" s="457">
        <f t="shared" si="43"/>
        <v>16</v>
      </c>
      <c r="Q135" s="457" t="s">
        <v>609</v>
      </c>
    </row>
    <row r="136" spans="1:22" ht="16.5" thickBot="1" x14ac:dyDescent="0.4">
      <c r="A136" s="50"/>
      <c r="D136" s="24" t="s">
        <v>95</v>
      </c>
      <c r="E136" s="7">
        <v>1</v>
      </c>
      <c r="F136" s="7">
        <v>2</v>
      </c>
      <c r="G136" s="7">
        <v>3</v>
      </c>
      <c r="H136" s="7">
        <v>4</v>
      </c>
      <c r="I136" s="7">
        <v>5</v>
      </c>
      <c r="J136" s="7">
        <v>6</v>
      </c>
      <c r="K136" s="7">
        <v>7</v>
      </c>
      <c r="L136" s="7">
        <v>8</v>
      </c>
      <c r="M136" s="7">
        <v>9</v>
      </c>
      <c r="N136" s="7">
        <v>10</v>
      </c>
      <c r="O136" s="7">
        <v>11</v>
      </c>
      <c r="P136" s="7">
        <v>12</v>
      </c>
      <c r="Q136" s="14" t="s">
        <v>12</v>
      </c>
    </row>
    <row r="137" spans="1:22" x14ac:dyDescent="0.35">
      <c r="A137" s="419" t="str">
        <f>VLOOKUP($D137,$A$10:$D$130,3,FALSE)</f>
        <v>Rental Income - In Place</v>
      </c>
      <c r="D137" s="438" t="s">
        <v>131</v>
      </c>
      <c r="E137" s="64">
        <f>-(VLOOKUP($D137,$A$10:$P$131,E$135,FALSE)+E11)</f>
        <v>-65031.804916666668</v>
      </c>
      <c r="F137" s="64">
        <f t="shared" ref="F137:P137" si="44">-(VLOOKUP($D137,$A$10:$P$131,F$135,FALSE)+F11)</f>
        <v>-65031.804916666668</v>
      </c>
      <c r="G137" s="64">
        <f t="shared" si="44"/>
        <v>-65031.801583333334</v>
      </c>
      <c r="H137" s="64">
        <f t="shared" si="44"/>
        <v>-53007.418249999995</v>
      </c>
      <c r="I137" s="64">
        <f t="shared" si="44"/>
        <v>-53007.418249999995</v>
      </c>
      <c r="J137" s="64">
        <f t="shared" si="44"/>
        <v>-53007.418249999995</v>
      </c>
      <c r="K137" s="64">
        <f t="shared" si="44"/>
        <v>-45955.623249999997</v>
      </c>
      <c r="L137" s="64">
        <f t="shared" si="44"/>
        <v>-51258.873249999997</v>
      </c>
      <c r="M137" s="64">
        <f t="shared" si="44"/>
        <v>-51258.873249999997</v>
      </c>
      <c r="N137" s="64">
        <f t="shared" si="44"/>
        <v>-35394.711666666662</v>
      </c>
      <c r="O137" s="64">
        <f t="shared" si="44"/>
        <v>-35394.708333333336</v>
      </c>
      <c r="P137" s="65">
        <f t="shared" si="44"/>
        <v>-40581.708333333336</v>
      </c>
      <c r="Q137" s="7">
        <f>SUM(E137:P137)</f>
        <v>-613962.16425000003</v>
      </c>
      <c r="R137" s="14"/>
    </row>
    <row r="138" spans="1:22" x14ac:dyDescent="0.35">
      <c r="A138" s="419" t="str">
        <f t="shared" ref="A138:A171" si="45">VLOOKUP($D138,$A$10:$D$130,3,FALSE)</f>
        <v>Electric</v>
      </c>
      <c r="D138" s="439" t="s">
        <v>97</v>
      </c>
      <c r="E138" s="67">
        <f t="shared" ref="E138:P141" si="46">-VLOOKUP($D138,$A$10:$P$131,E$135,FALSE)</f>
        <v>-3502.3182000000002</v>
      </c>
      <c r="F138" s="67">
        <f t="shared" si="46"/>
        <v>-3048.6799000000001</v>
      </c>
      <c r="G138" s="67">
        <f t="shared" si="46"/>
        <v>-2678.1949</v>
      </c>
      <c r="H138" s="67">
        <f t="shared" si="46"/>
        <v>-1599.9893999999999</v>
      </c>
      <c r="I138" s="67">
        <f t="shared" si="46"/>
        <v>-1462.9625999999998</v>
      </c>
      <c r="J138" s="67">
        <f t="shared" si="46"/>
        <v>-1455.5738999999999</v>
      </c>
      <c r="K138" s="67">
        <f t="shared" si="46"/>
        <v>-1613.4233999999999</v>
      </c>
      <c r="L138" s="67">
        <f t="shared" si="46"/>
        <v>-1528.7891999999999</v>
      </c>
      <c r="M138" s="67">
        <f t="shared" si="46"/>
        <v>-1326.6074999999998</v>
      </c>
      <c r="N138" s="67">
        <f t="shared" si="46"/>
        <v>-873.78359999999998</v>
      </c>
      <c r="O138" s="67">
        <f t="shared" si="46"/>
        <v>-1107.8009999999999</v>
      </c>
      <c r="P138" s="68">
        <f t="shared" si="46"/>
        <v>-1613.2074</v>
      </c>
      <c r="Q138" s="7">
        <f t="shared" ref="Q138:Q171" si="47">SUM(E138:P138)</f>
        <v>-21811.330999999995</v>
      </c>
      <c r="R138" s="14"/>
    </row>
    <row r="139" spans="1:22" x14ac:dyDescent="0.35">
      <c r="A139" s="419" t="str">
        <f t="shared" si="45"/>
        <v>Common Area Maintenance</v>
      </c>
      <c r="D139" s="439" t="s">
        <v>98</v>
      </c>
      <c r="E139" s="67">
        <f t="shared" si="46"/>
        <v>-1500</v>
      </c>
      <c r="F139" s="67">
        <f t="shared" si="46"/>
        <v>-1500</v>
      </c>
      <c r="G139" s="67">
        <f t="shared" si="46"/>
        <v>-1500</v>
      </c>
      <c r="H139" s="67">
        <f t="shared" si="46"/>
        <v>-1500</v>
      </c>
      <c r="I139" s="67">
        <f t="shared" si="46"/>
        <v>-1500</v>
      </c>
      <c r="J139" s="67">
        <f t="shared" si="46"/>
        <v>-1500</v>
      </c>
      <c r="K139" s="67">
        <f t="shared" si="46"/>
        <v>-1500</v>
      </c>
      <c r="L139" s="67">
        <f t="shared" si="46"/>
        <v>-1500</v>
      </c>
      <c r="M139" s="67">
        <f t="shared" si="46"/>
        <v>-1500</v>
      </c>
      <c r="N139" s="67">
        <f t="shared" si="46"/>
        <v>-1500</v>
      </c>
      <c r="O139" s="67">
        <f t="shared" si="46"/>
        <v>-1500</v>
      </c>
      <c r="P139" s="68">
        <f t="shared" si="46"/>
        <v>-1500</v>
      </c>
      <c r="Q139" s="7">
        <f t="shared" si="47"/>
        <v>-18000</v>
      </c>
      <c r="R139" s="14"/>
    </row>
    <row r="140" spans="1:22" x14ac:dyDescent="0.35">
      <c r="A140" s="419" t="str">
        <f t="shared" si="45"/>
        <v>Real Estate Taxes</v>
      </c>
      <c r="D140" s="439" t="s">
        <v>99</v>
      </c>
      <c r="E140" s="67">
        <f t="shared" si="46"/>
        <v>-230</v>
      </c>
      <c r="F140" s="67">
        <f t="shared" si="46"/>
        <v>-230</v>
      </c>
      <c r="G140" s="67">
        <f t="shared" si="46"/>
        <v>-230</v>
      </c>
      <c r="H140" s="67">
        <f t="shared" si="46"/>
        <v>-230</v>
      </c>
      <c r="I140" s="67">
        <f t="shared" si="46"/>
        <v>-230</v>
      </c>
      <c r="J140" s="67">
        <f t="shared" si="46"/>
        <v>-230</v>
      </c>
      <c r="K140" s="67">
        <f t="shared" si="46"/>
        <v>-230</v>
      </c>
      <c r="L140" s="67">
        <f t="shared" si="46"/>
        <v>-230</v>
      </c>
      <c r="M140" s="67">
        <f t="shared" si="46"/>
        <v>-230</v>
      </c>
      <c r="N140" s="67">
        <f t="shared" si="46"/>
        <v>-230</v>
      </c>
      <c r="O140" s="67">
        <f t="shared" si="46"/>
        <v>-230</v>
      </c>
      <c r="P140" s="68">
        <f t="shared" si="46"/>
        <v>-230</v>
      </c>
      <c r="Q140" s="7">
        <f t="shared" si="47"/>
        <v>-2760</v>
      </c>
      <c r="R140" s="14"/>
    </row>
    <row r="141" spans="1:22" x14ac:dyDescent="0.35">
      <c r="A141" s="419" t="str">
        <f t="shared" si="45"/>
        <v>Insurance</v>
      </c>
      <c r="D141" s="439" t="s">
        <v>134</v>
      </c>
      <c r="E141" s="67">
        <f>-VLOOKUP($D141,$A$10:$P$131,E$135,FALSE)</f>
        <v>0</v>
      </c>
      <c r="F141" s="67">
        <f t="shared" si="46"/>
        <v>0</v>
      </c>
      <c r="G141" s="67">
        <f t="shared" si="46"/>
        <v>0</v>
      </c>
      <c r="H141" s="67">
        <f t="shared" si="46"/>
        <v>0</v>
      </c>
      <c r="I141" s="67">
        <f t="shared" si="46"/>
        <v>0</v>
      </c>
      <c r="J141" s="67">
        <f t="shared" si="46"/>
        <v>0</v>
      </c>
      <c r="K141" s="67">
        <f t="shared" si="46"/>
        <v>0</v>
      </c>
      <c r="L141" s="67">
        <f t="shared" si="46"/>
        <v>0</v>
      </c>
      <c r="M141" s="67">
        <f t="shared" si="46"/>
        <v>0</v>
      </c>
      <c r="N141" s="67">
        <f t="shared" si="46"/>
        <v>0</v>
      </c>
      <c r="O141" s="67">
        <f t="shared" si="46"/>
        <v>0</v>
      </c>
      <c r="P141" s="68">
        <f t="shared" si="46"/>
        <v>0</v>
      </c>
      <c r="Q141" s="7">
        <f t="shared" si="47"/>
        <v>0</v>
      </c>
      <c r="R141" s="14"/>
    </row>
    <row r="142" spans="1:22" x14ac:dyDescent="0.35">
      <c r="A142" s="419" t="str">
        <f t="shared" si="45"/>
        <v>Maintenance Salaries</v>
      </c>
      <c r="D142" s="439" t="s">
        <v>100</v>
      </c>
      <c r="E142" s="67">
        <f>VLOOKUP($D142,$A$10:$P$131,E$135,FALSE)</f>
        <v>1376.0833333333333</v>
      </c>
      <c r="F142" s="67">
        <f t="shared" ref="F142:P157" si="48">VLOOKUP($D142,$A$10:$P$131,F$135,FALSE)</f>
        <v>1376.0833333333333</v>
      </c>
      <c r="G142" s="67">
        <f t="shared" si="48"/>
        <v>1376.0833333333333</v>
      </c>
      <c r="H142" s="67">
        <f t="shared" si="48"/>
        <v>1376.0833333333333</v>
      </c>
      <c r="I142" s="67">
        <f t="shared" si="48"/>
        <v>1376.0833333333333</v>
      </c>
      <c r="J142" s="67">
        <f t="shared" si="48"/>
        <v>1376.0833333333333</v>
      </c>
      <c r="K142" s="67">
        <f t="shared" si="48"/>
        <v>1376.0833333333333</v>
      </c>
      <c r="L142" s="67">
        <f t="shared" si="48"/>
        <v>1376.0833333333333</v>
      </c>
      <c r="M142" s="67">
        <f t="shared" si="48"/>
        <v>1376.0833333333333</v>
      </c>
      <c r="N142" s="67">
        <f t="shared" si="48"/>
        <v>1376.0833333333333</v>
      </c>
      <c r="O142" s="67">
        <f t="shared" si="48"/>
        <v>1376.0833333333333</v>
      </c>
      <c r="P142" s="68">
        <f t="shared" si="48"/>
        <v>1376.0833333333333</v>
      </c>
      <c r="Q142" s="7">
        <f t="shared" si="47"/>
        <v>16513.000000000004</v>
      </c>
      <c r="R142" s="14"/>
    </row>
    <row r="143" spans="1:22" x14ac:dyDescent="0.35">
      <c r="A143" s="419" t="str">
        <f t="shared" si="45"/>
        <v>Electric</v>
      </c>
      <c r="D143" s="439" t="s">
        <v>101</v>
      </c>
      <c r="E143" s="67">
        <f t="shared" ref="E143:P171" si="49">VLOOKUP($D143,$A$10:$P$131,E$135,FALSE)</f>
        <v>4254</v>
      </c>
      <c r="F143" s="67">
        <f t="shared" si="48"/>
        <v>3703</v>
      </c>
      <c r="G143" s="67">
        <f t="shared" si="48"/>
        <v>3253</v>
      </c>
      <c r="H143" s="67">
        <f t="shared" si="48"/>
        <v>2382</v>
      </c>
      <c r="I143" s="67">
        <f t="shared" si="48"/>
        <v>2178</v>
      </c>
      <c r="J143" s="67">
        <f t="shared" si="48"/>
        <v>2167</v>
      </c>
      <c r="K143" s="67">
        <f t="shared" si="48"/>
        <v>2402</v>
      </c>
      <c r="L143" s="67">
        <f t="shared" si="48"/>
        <v>2276</v>
      </c>
      <c r="M143" s="67">
        <f t="shared" si="48"/>
        <v>1975</v>
      </c>
      <c r="N143" s="67">
        <f t="shared" si="48"/>
        <v>1964</v>
      </c>
      <c r="O143" s="67">
        <f t="shared" si="48"/>
        <v>2490</v>
      </c>
      <c r="P143" s="68">
        <f t="shared" si="48"/>
        <v>3626</v>
      </c>
      <c r="Q143" s="7">
        <f t="shared" si="47"/>
        <v>32670</v>
      </c>
      <c r="R143" s="14"/>
    </row>
    <row r="144" spans="1:22" x14ac:dyDescent="0.35">
      <c r="A144" s="419" t="str">
        <f t="shared" si="45"/>
        <v>Water &amp; Sewer</v>
      </c>
      <c r="D144" s="439" t="s">
        <v>102</v>
      </c>
      <c r="E144" s="67">
        <f t="shared" si="49"/>
        <v>879.62</v>
      </c>
      <c r="F144" s="67">
        <f t="shared" si="48"/>
        <v>872.41000000000008</v>
      </c>
      <c r="G144" s="67">
        <f t="shared" si="48"/>
        <v>890.95</v>
      </c>
      <c r="H144" s="67">
        <f t="shared" si="48"/>
        <v>885.80000000000007</v>
      </c>
      <c r="I144" s="67">
        <f t="shared" si="48"/>
        <v>924.94</v>
      </c>
      <c r="J144" s="67">
        <f t="shared" si="48"/>
        <v>842.54000000000008</v>
      </c>
      <c r="K144" s="67">
        <f t="shared" si="48"/>
        <v>923.91000000000008</v>
      </c>
      <c r="L144" s="67">
        <f t="shared" si="48"/>
        <v>912.58000000000015</v>
      </c>
      <c r="M144" s="67">
        <f t="shared" si="48"/>
        <v>982.62</v>
      </c>
      <c r="N144" s="67">
        <f t="shared" si="48"/>
        <v>934.21</v>
      </c>
      <c r="O144" s="67">
        <f t="shared" si="48"/>
        <v>1119.6099999999999</v>
      </c>
      <c r="P144" s="68">
        <f t="shared" si="48"/>
        <v>992.92</v>
      </c>
      <c r="Q144" s="7">
        <f t="shared" si="47"/>
        <v>11162.110000000002</v>
      </c>
      <c r="R144" s="14"/>
    </row>
    <row r="145" spans="1:18" x14ac:dyDescent="0.35">
      <c r="A145" s="419" t="str">
        <f t="shared" si="45"/>
        <v>Building Maintenance</v>
      </c>
      <c r="D145" s="439" t="s">
        <v>103</v>
      </c>
      <c r="E145" s="67">
        <f t="shared" si="49"/>
        <v>3881</v>
      </c>
      <c r="F145" s="67">
        <f t="shared" si="48"/>
        <v>5251</v>
      </c>
      <c r="G145" s="67">
        <f t="shared" si="48"/>
        <v>2631</v>
      </c>
      <c r="H145" s="67">
        <f t="shared" si="48"/>
        <v>4842</v>
      </c>
      <c r="I145" s="67">
        <f t="shared" si="48"/>
        <v>8466</v>
      </c>
      <c r="J145" s="67">
        <f t="shared" si="48"/>
        <v>17956</v>
      </c>
      <c r="K145" s="67">
        <f t="shared" si="48"/>
        <v>4156</v>
      </c>
      <c r="L145" s="67">
        <f t="shared" si="48"/>
        <v>3256</v>
      </c>
      <c r="M145" s="67">
        <f t="shared" si="48"/>
        <v>2631</v>
      </c>
      <c r="N145" s="67">
        <f t="shared" si="48"/>
        <v>6787</v>
      </c>
      <c r="O145" s="67">
        <f t="shared" si="48"/>
        <v>3256</v>
      </c>
      <c r="P145" s="68">
        <f t="shared" si="48"/>
        <v>2506</v>
      </c>
      <c r="Q145" s="7">
        <f t="shared" si="47"/>
        <v>65619</v>
      </c>
      <c r="R145" s="14"/>
    </row>
    <row r="146" spans="1:18" x14ac:dyDescent="0.35">
      <c r="A146" s="419" t="str">
        <f t="shared" si="45"/>
        <v>Parking Lot Maintenance</v>
      </c>
      <c r="D146" s="439" t="s">
        <v>135</v>
      </c>
      <c r="E146" s="67">
        <f t="shared" si="49"/>
        <v>0</v>
      </c>
      <c r="F146" s="67">
        <f t="shared" si="48"/>
        <v>0</v>
      </c>
      <c r="G146" s="67">
        <f t="shared" si="48"/>
        <v>0</v>
      </c>
      <c r="H146" s="67">
        <f t="shared" si="48"/>
        <v>0</v>
      </c>
      <c r="I146" s="67">
        <f t="shared" si="48"/>
        <v>0</v>
      </c>
      <c r="J146" s="67">
        <f t="shared" si="48"/>
        <v>0</v>
      </c>
      <c r="K146" s="67">
        <f t="shared" si="48"/>
        <v>0</v>
      </c>
      <c r="L146" s="67">
        <f t="shared" si="48"/>
        <v>0</v>
      </c>
      <c r="M146" s="67">
        <f t="shared" si="48"/>
        <v>0</v>
      </c>
      <c r="N146" s="67">
        <f t="shared" si="48"/>
        <v>0</v>
      </c>
      <c r="O146" s="67">
        <f t="shared" si="48"/>
        <v>0</v>
      </c>
      <c r="P146" s="68">
        <f t="shared" si="48"/>
        <v>0</v>
      </c>
      <c r="Q146" s="7">
        <f t="shared" si="47"/>
        <v>0</v>
      </c>
      <c r="R146" s="14"/>
    </row>
    <row r="147" spans="1:18" x14ac:dyDescent="0.35">
      <c r="A147" s="419" t="str">
        <f t="shared" si="45"/>
        <v>Snow Removal</v>
      </c>
      <c r="D147" s="439" t="s">
        <v>105</v>
      </c>
      <c r="E147" s="67">
        <f t="shared" si="49"/>
        <v>0</v>
      </c>
      <c r="F147" s="67">
        <f t="shared" si="48"/>
        <v>0</v>
      </c>
      <c r="G147" s="67">
        <f t="shared" si="48"/>
        <v>0</v>
      </c>
      <c r="H147" s="67">
        <f t="shared" si="48"/>
        <v>0</v>
      </c>
      <c r="I147" s="67">
        <f t="shared" si="48"/>
        <v>0</v>
      </c>
      <c r="J147" s="67">
        <f t="shared" si="48"/>
        <v>0</v>
      </c>
      <c r="K147" s="67">
        <f t="shared" si="48"/>
        <v>0</v>
      </c>
      <c r="L147" s="67">
        <f t="shared" si="48"/>
        <v>0</v>
      </c>
      <c r="M147" s="67">
        <f t="shared" si="48"/>
        <v>0</v>
      </c>
      <c r="N147" s="67">
        <f t="shared" si="48"/>
        <v>0</v>
      </c>
      <c r="O147" s="67">
        <f t="shared" si="48"/>
        <v>0</v>
      </c>
      <c r="P147" s="68">
        <f t="shared" si="48"/>
        <v>0</v>
      </c>
      <c r="Q147" s="7">
        <f t="shared" si="47"/>
        <v>0</v>
      </c>
      <c r="R147" s="14"/>
    </row>
    <row r="148" spans="1:18" x14ac:dyDescent="0.35">
      <c r="A148" s="419" t="str">
        <f t="shared" si="45"/>
        <v>Landscaping</v>
      </c>
      <c r="D148" s="439" t="s">
        <v>106</v>
      </c>
      <c r="E148" s="67">
        <f t="shared" si="49"/>
        <v>0</v>
      </c>
      <c r="F148" s="67">
        <f t="shared" si="48"/>
        <v>0</v>
      </c>
      <c r="G148" s="67">
        <f t="shared" si="48"/>
        <v>0</v>
      </c>
      <c r="H148" s="67">
        <f t="shared" si="48"/>
        <v>0</v>
      </c>
      <c r="I148" s="67">
        <f t="shared" si="48"/>
        <v>0</v>
      </c>
      <c r="J148" s="67">
        <f t="shared" si="48"/>
        <v>0</v>
      </c>
      <c r="K148" s="67">
        <f t="shared" si="48"/>
        <v>0</v>
      </c>
      <c r="L148" s="67">
        <f t="shared" si="48"/>
        <v>0</v>
      </c>
      <c r="M148" s="67">
        <f t="shared" si="48"/>
        <v>0</v>
      </c>
      <c r="N148" s="67">
        <f t="shared" si="48"/>
        <v>0</v>
      </c>
      <c r="O148" s="67">
        <f t="shared" si="48"/>
        <v>0</v>
      </c>
      <c r="P148" s="68">
        <f t="shared" si="48"/>
        <v>0</v>
      </c>
      <c r="Q148" s="7">
        <f t="shared" si="47"/>
        <v>0</v>
      </c>
      <c r="R148" s="14"/>
    </row>
    <row r="149" spans="1:18" x14ac:dyDescent="0.35">
      <c r="A149" s="419" t="str">
        <f t="shared" si="45"/>
        <v>Security</v>
      </c>
      <c r="D149" s="439" t="s">
        <v>107</v>
      </c>
      <c r="E149" s="67">
        <f t="shared" si="49"/>
        <v>0</v>
      </c>
      <c r="F149" s="67">
        <f t="shared" si="48"/>
        <v>0</v>
      </c>
      <c r="G149" s="67">
        <f t="shared" si="48"/>
        <v>0</v>
      </c>
      <c r="H149" s="67">
        <f t="shared" si="48"/>
        <v>0</v>
      </c>
      <c r="I149" s="67">
        <f t="shared" si="48"/>
        <v>0</v>
      </c>
      <c r="J149" s="67">
        <f t="shared" si="48"/>
        <v>0</v>
      </c>
      <c r="K149" s="67">
        <f t="shared" si="48"/>
        <v>0</v>
      </c>
      <c r="L149" s="67">
        <f t="shared" si="48"/>
        <v>0</v>
      </c>
      <c r="M149" s="67">
        <f t="shared" si="48"/>
        <v>0</v>
      </c>
      <c r="N149" s="67">
        <f t="shared" si="48"/>
        <v>0</v>
      </c>
      <c r="O149" s="67">
        <f t="shared" si="48"/>
        <v>0</v>
      </c>
      <c r="P149" s="68">
        <f t="shared" si="48"/>
        <v>0</v>
      </c>
      <c r="Q149" s="7">
        <f t="shared" si="47"/>
        <v>0</v>
      </c>
      <c r="R149" s="14"/>
    </row>
    <row r="150" spans="1:18" x14ac:dyDescent="0.35">
      <c r="A150" s="419" t="str">
        <f t="shared" si="45"/>
        <v>Management Fee</v>
      </c>
      <c r="D150" s="439" t="s">
        <v>108</v>
      </c>
      <c r="E150" s="67">
        <f t="shared" si="49"/>
        <v>2811</v>
      </c>
      <c r="F150" s="67">
        <f t="shared" si="48"/>
        <v>2792</v>
      </c>
      <c r="G150" s="67">
        <f t="shared" si="48"/>
        <v>2778</v>
      </c>
      <c r="H150" s="67">
        <f t="shared" si="48"/>
        <v>2253</v>
      </c>
      <c r="I150" s="67">
        <f t="shared" si="48"/>
        <v>2248</v>
      </c>
      <c r="J150" s="67">
        <f t="shared" si="48"/>
        <v>2248</v>
      </c>
      <c r="K150" s="67">
        <f t="shared" si="48"/>
        <v>1972</v>
      </c>
      <c r="L150" s="67">
        <f t="shared" si="48"/>
        <v>2181</v>
      </c>
      <c r="M150" s="67">
        <f t="shared" si="48"/>
        <v>2173</v>
      </c>
      <c r="N150" s="67">
        <f t="shared" si="48"/>
        <v>1520</v>
      </c>
      <c r="O150" s="67">
        <f t="shared" si="48"/>
        <v>1529</v>
      </c>
      <c r="P150" s="68">
        <f t="shared" si="48"/>
        <v>1757</v>
      </c>
      <c r="Q150" s="7">
        <f t="shared" si="47"/>
        <v>26262</v>
      </c>
      <c r="R150" s="14"/>
    </row>
    <row r="151" spans="1:18" x14ac:dyDescent="0.35">
      <c r="A151" s="419" t="str">
        <f t="shared" si="45"/>
        <v>Trash Removal</v>
      </c>
      <c r="D151" s="439" t="s">
        <v>109</v>
      </c>
      <c r="E151" s="67">
        <f t="shared" si="49"/>
        <v>0</v>
      </c>
      <c r="F151" s="67">
        <f t="shared" si="48"/>
        <v>0</v>
      </c>
      <c r="G151" s="67">
        <f t="shared" si="48"/>
        <v>0</v>
      </c>
      <c r="H151" s="67">
        <f t="shared" si="48"/>
        <v>0</v>
      </c>
      <c r="I151" s="67">
        <f t="shared" si="48"/>
        <v>0</v>
      </c>
      <c r="J151" s="67">
        <f t="shared" si="48"/>
        <v>0</v>
      </c>
      <c r="K151" s="67">
        <f t="shared" si="48"/>
        <v>0</v>
      </c>
      <c r="L151" s="67">
        <f t="shared" si="48"/>
        <v>0</v>
      </c>
      <c r="M151" s="67">
        <f t="shared" si="48"/>
        <v>0</v>
      </c>
      <c r="N151" s="67">
        <f t="shared" si="48"/>
        <v>0</v>
      </c>
      <c r="O151" s="67">
        <f t="shared" si="48"/>
        <v>0</v>
      </c>
      <c r="P151" s="68">
        <f t="shared" si="48"/>
        <v>0</v>
      </c>
      <c r="Q151" s="7">
        <f t="shared" si="47"/>
        <v>0</v>
      </c>
      <c r="R151" s="14"/>
    </row>
    <row r="152" spans="1:18" x14ac:dyDescent="0.35">
      <c r="A152" s="419" t="str">
        <f t="shared" si="45"/>
        <v>Real Estate Taxes</v>
      </c>
      <c r="D152" s="439" t="s">
        <v>110</v>
      </c>
      <c r="E152" s="67">
        <f t="shared" si="49"/>
        <v>4492.3774439250001</v>
      </c>
      <c r="F152" s="67">
        <f t="shared" si="48"/>
        <v>4492.3774439250001</v>
      </c>
      <c r="G152" s="67">
        <f t="shared" si="48"/>
        <v>4492.3774439250001</v>
      </c>
      <c r="H152" s="67">
        <f t="shared" si="48"/>
        <v>4492.3774439250001</v>
      </c>
      <c r="I152" s="67">
        <f t="shared" si="48"/>
        <v>4492.3774439250001</v>
      </c>
      <c r="J152" s="67">
        <f t="shared" si="48"/>
        <v>4492.3774439250001</v>
      </c>
      <c r="K152" s="67">
        <f t="shared" si="48"/>
        <v>4492.3774439250001</v>
      </c>
      <c r="L152" s="67">
        <f t="shared" si="48"/>
        <v>4492.3774439250001</v>
      </c>
      <c r="M152" s="67">
        <f t="shared" si="48"/>
        <v>4492.3774439250001</v>
      </c>
      <c r="N152" s="67">
        <f t="shared" si="48"/>
        <v>4492.3774439250001</v>
      </c>
      <c r="O152" s="67">
        <f t="shared" si="48"/>
        <v>4492.3774439250001</v>
      </c>
      <c r="P152" s="68">
        <f t="shared" si="48"/>
        <v>4492.3774439250001</v>
      </c>
      <c r="Q152" s="7">
        <f t="shared" si="47"/>
        <v>53908.52932709999</v>
      </c>
      <c r="R152" s="14"/>
    </row>
    <row r="153" spans="1:18" x14ac:dyDescent="0.35">
      <c r="A153" s="419" t="str">
        <f t="shared" si="45"/>
        <v>Insurance</v>
      </c>
      <c r="D153" s="439" t="s">
        <v>111</v>
      </c>
      <c r="E153" s="67">
        <f t="shared" si="49"/>
        <v>1737</v>
      </c>
      <c r="F153" s="67">
        <f t="shared" si="48"/>
        <v>1737</v>
      </c>
      <c r="G153" s="67">
        <f t="shared" si="48"/>
        <v>1737</v>
      </c>
      <c r="H153" s="67">
        <f t="shared" si="48"/>
        <v>1737</v>
      </c>
      <c r="I153" s="67">
        <f t="shared" si="48"/>
        <v>1737</v>
      </c>
      <c r="J153" s="67">
        <f t="shared" si="48"/>
        <v>1737</v>
      </c>
      <c r="K153" s="67">
        <f t="shared" si="48"/>
        <v>1737</v>
      </c>
      <c r="L153" s="67">
        <f t="shared" si="48"/>
        <v>1737</v>
      </c>
      <c r="M153" s="67">
        <f t="shared" si="48"/>
        <v>1737</v>
      </c>
      <c r="N153" s="67">
        <f t="shared" si="48"/>
        <v>1737</v>
      </c>
      <c r="O153" s="67">
        <f t="shared" si="48"/>
        <v>1771.7400000000002</v>
      </c>
      <c r="P153" s="68">
        <f t="shared" si="48"/>
        <v>1771.7400000000002</v>
      </c>
      <c r="Q153" s="7">
        <f t="shared" si="47"/>
        <v>20913.480000000003</v>
      </c>
      <c r="R153" s="14"/>
    </row>
    <row r="154" spans="1:18" x14ac:dyDescent="0.35">
      <c r="A154" s="419" t="str">
        <f t="shared" si="45"/>
        <v>Cleaning &amp; Supplies</v>
      </c>
      <c r="D154" s="439" t="s">
        <v>112</v>
      </c>
      <c r="E154" s="67">
        <f t="shared" si="49"/>
        <v>6146.1530122494596</v>
      </c>
      <c r="F154" s="67">
        <f t="shared" si="48"/>
        <v>6146.1530122494596</v>
      </c>
      <c r="G154" s="67">
        <f t="shared" si="48"/>
        <v>6146.1530122494596</v>
      </c>
      <c r="H154" s="67">
        <f t="shared" si="48"/>
        <v>5180.8148778790592</v>
      </c>
      <c r="I154" s="67">
        <f t="shared" si="48"/>
        <v>5180.8148778790592</v>
      </c>
      <c r="J154" s="67">
        <f t="shared" si="48"/>
        <v>5180.8148778790592</v>
      </c>
      <c r="K154" s="67">
        <f t="shared" si="48"/>
        <v>5180.8148778790592</v>
      </c>
      <c r="L154" s="67">
        <f t="shared" si="48"/>
        <v>5180.8148778790592</v>
      </c>
      <c r="M154" s="67">
        <f t="shared" si="48"/>
        <v>5180.8148778790592</v>
      </c>
      <c r="N154" s="67">
        <f t="shared" si="48"/>
        <v>3736.6282757998597</v>
      </c>
      <c r="O154" s="67">
        <f t="shared" si="48"/>
        <v>3736.6282757998597</v>
      </c>
      <c r="P154" s="68">
        <f t="shared" si="48"/>
        <v>3736.6282757998597</v>
      </c>
      <c r="Q154" s="7">
        <f t="shared" si="47"/>
        <v>60733.233131422297</v>
      </c>
      <c r="R154" s="14"/>
    </row>
    <row r="155" spans="1:18" x14ac:dyDescent="0.35">
      <c r="A155" s="419" t="str">
        <f t="shared" si="45"/>
        <v>Other - Condo Fee</v>
      </c>
      <c r="D155" s="439" t="s">
        <v>268</v>
      </c>
      <c r="E155" s="67">
        <f t="shared" si="49"/>
        <v>14412.999999999998</v>
      </c>
      <c r="F155" s="67">
        <f t="shared" si="48"/>
        <v>0</v>
      </c>
      <c r="G155" s="67">
        <f t="shared" si="48"/>
        <v>0</v>
      </c>
      <c r="H155" s="67">
        <f t="shared" si="48"/>
        <v>14412.999999999998</v>
      </c>
      <c r="I155" s="67">
        <f t="shared" si="48"/>
        <v>0</v>
      </c>
      <c r="J155" s="67">
        <f t="shared" si="48"/>
        <v>0</v>
      </c>
      <c r="K155" s="67">
        <f t="shared" si="48"/>
        <v>14412.999999999998</v>
      </c>
      <c r="L155" s="67">
        <f t="shared" si="48"/>
        <v>0</v>
      </c>
      <c r="M155" s="67">
        <f t="shared" si="48"/>
        <v>0</v>
      </c>
      <c r="N155" s="67">
        <f t="shared" si="48"/>
        <v>14412.999999999998</v>
      </c>
      <c r="O155" s="67">
        <f t="shared" si="48"/>
        <v>0</v>
      </c>
      <c r="P155" s="68">
        <f t="shared" si="48"/>
        <v>0</v>
      </c>
      <c r="Q155" s="7">
        <f>SUM(E155:P155)</f>
        <v>57651.999999999993</v>
      </c>
      <c r="R155" s="14"/>
    </row>
    <row r="156" spans="1:18" x14ac:dyDescent="0.35">
      <c r="A156" s="419" t="str">
        <f>VLOOKUP($D156,$A$10:$D$130,4,FALSE)</f>
        <v>Salaries &amp; Wages</v>
      </c>
      <c r="D156" s="439" t="s">
        <v>113</v>
      </c>
      <c r="E156" s="67">
        <f t="shared" si="49"/>
        <v>1704.8208333333332</v>
      </c>
      <c r="F156" s="67">
        <f t="shared" si="48"/>
        <v>1704.8208333333332</v>
      </c>
      <c r="G156" s="67">
        <f t="shared" si="48"/>
        <v>1704.8208333333332</v>
      </c>
      <c r="H156" s="67">
        <f t="shared" si="48"/>
        <v>1704.8208333333332</v>
      </c>
      <c r="I156" s="67">
        <f t="shared" si="48"/>
        <v>1704.8208333333332</v>
      </c>
      <c r="J156" s="67">
        <f t="shared" si="48"/>
        <v>1704.8208333333332</v>
      </c>
      <c r="K156" s="67">
        <f t="shared" si="48"/>
        <v>1704.8208333333332</v>
      </c>
      <c r="L156" s="67">
        <f t="shared" si="48"/>
        <v>1704.8208333333332</v>
      </c>
      <c r="M156" s="67">
        <f t="shared" si="48"/>
        <v>1704.8208333333332</v>
      </c>
      <c r="N156" s="67">
        <f t="shared" si="48"/>
        <v>1704.8208333333332</v>
      </c>
      <c r="O156" s="67">
        <f t="shared" si="48"/>
        <v>1704.8208333333332</v>
      </c>
      <c r="P156" s="68">
        <f t="shared" si="48"/>
        <v>1704.8208333333332</v>
      </c>
      <c r="Q156" s="7">
        <f t="shared" si="47"/>
        <v>20457.849999999999</v>
      </c>
      <c r="R156" s="14"/>
    </row>
    <row r="157" spans="1:18" x14ac:dyDescent="0.35">
      <c r="A157" s="419" t="str">
        <f>VLOOKUP($D157,$A$10:$D$130,4,FALSE)</f>
        <v>Commissions-Internal Broker</v>
      </c>
      <c r="D157" s="439" t="s">
        <v>114</v>
      </c>
      <c r="E157" s="67">
        <f t="shared" si="49"/>
        <v>567.78749999999991</v>
      </c>
      <c r="F157" s="67">
        <f t="shared" si="48"/>
        <v>0</v>
      </c>
      <c r="G157" s="67">
        <f t="shared" si="48"/>
        <v>0</v>
      </c>
      <c r="H157" s="67">
        <f t="shared" si="48"/>
        <v>567.78749999999991</v>
      </c>
      <c r="I157" s="67">
        <f t="shared" si="48"/>
        <v>0</v>
      </c>
      <c r="J157" s="67">
        <f t="shared" si="48"/>
        <v>0</v>
      </c>
      <c r="K157" s="67">
        <f t="shared" si="48"/>
        <v>567.78749999999991</v>
      </c>
      <c r="L157" s="67">
        <f t="shared" si="48"/>
        <v>0</v>
      </c>
      <c r="M157" s="67">
        <f t="shared" si="48"/>
        <v>0</v>
      </c>
      <c r="N157" s="67">
        <f t="shared" si="48"/>
        <v>567.78749999999991</v>
      </c>
      <c r="O157" s="67">
        <f t="shared" si="48"/>
        <v>0</v>
      </c>
      <c r="P157" s="68">
        <f t="shared" si="48"/>
        <v>0</v>
      </c>
      <c r="Q157" s="7">
        <f t="shared" si="47"/>
        <v>2271.1499999999996</v>
      </c>
      <c r="R157" s="14"/>
    </row>
    <row r="158" spans="1:18" x14ac:dyDescent="0.35">
      <c r="A158" s="419" t="str">
        <f>VLOOKUP($D158,$A$10:$D$130,3,FALSE)</f>
        <v>Building Maintenance</v>
      </c>
      <c r="D158" s="439" t="s">
        <v>115</v>
      </c>
      <c r="E158" s="67">
        <f t="shared" si="49"/>
        <v>942.45</v>
      </c>
      <c r="F158" s="67">
        <f t="shared" si="49"/>
        <v>942.45</v>
      </c>
      <c r="G158" s="67">
        <f t="shared" si="49"/>
        <v>942.45</v>
      </c>
      <c r="H158" s="67">
        <f t="shared" si="49"/>
        <v>942.45</v>
      </c>
      <c r="I158" s="67">
        <f t="shared" si="49"/>
        <v>942.45</v>
      </c>
      <c r="J158" s="67">
        <f t="shared" si="49"/>
        <v>942.45</v>
      </c>
      <c r="K158" s="67">
        <f t="shared" si="49"/>
        <v>942.45</v>
      </c>
      <c r="L158" s="67">
        <f t="shared" si="49"/>
        <v>942.45</v>
      </c>
      <c r="M158" s="67">
        <f t="shared" si="49"/>
        <v>942.45</v>
      </c>
      <c r="N158" s="67">
        <f t="shared" si="49"/>
        <v>942.45</v>
      </c>
      <c r="O158" s="67">
        <f t="shared" si="49"/>
        <v>942.45</v>
      </c>
      <c r="P158" s="68">
        <f t="shared" si="49"/>
        <v>942.45</v>
      </c>
      <c r="Q158" s="7">
        <f t="shared" si="47"/>
        <v>11309.400000000001</v>
      </c>
      <c r="R158" s="14"/>
    </row>
    <row r="159" spans="1:18" x14ac:dyDescent="0.35">
      <c r="A159" s="419" t="str">
        <f t="shared" si="45"/>
        <v>Marketing</v>
      </c>
      <c r="D159" s="439" t="s">
        <v>116</v>
      </c>
      <c r="E159" s="67">
        <f t="shared" si="49"/>
        <v>437.5</v>
      </c>
      <c r="F159" s="67">
        <f t="shared" si="49"/>
        <v>437.5</v>
      </c>
      <c r="G159" s="67">
        <f t="shared" si="49"/>
        <v>437.5</v>
      </c>
      <c r="H159" s="67">
        <f t="shared" si="49"/>
        <v>437.5</v>
      </c>
      <c r="I159" s="67">
        <f t="shared" si="49"/>
        <v>437.5</v>
      </c>
      <c r="J159" s="67">
        <f t="shared" si="49"/>
        <v>437.5</v>
      </c>
      <c r="K159" s="67">
        <f t="shared" si="49"/>
        <v>437.5</v>
      </c>
      <c r="L159" s="67">
        <f t="shared" si="49"/>
        <v>437.5</v>
      </c>
      <c r="M159" s="67">
        <f t="shared" si="49"/>
        <v>437.5</v>
      </c>
      <c r="N159" s="67">
        <f t="shared" si="49"/>
        <v>437.5</v>
      </c>
      <c r="O159" s="67">
        <f t="shared" si="49"/>
        <v>437.5</v>
      </c>
      <c r="P159" s="68">
        <f t="shared" si="49"/>
        <v>437.5</v>
      </c>
      <c r="Q159" s="7">
        <f t="shared" si="47"/>
        <v>5250</v>
      </c>
      <c r="R159" s="14"/>
    </row>
    <row r="160" spans="1:18" x14ac:dyDescent="0.35">
      <c r="A160" s="419" t="str">
        <f t="shared" si="45"/>
        <v>Business Taxes</v>
      </c>
      <c r="D160" s="439" t="s">
        <v>117</v>
      </c>
      <c r="E160" s="67">
        <f t="shared" si="49"/>
        <v>0</v>
      </c>
      <c r="F160" s="67">
        <f t="shared" si="49"/>
        <v>0</v>
      </c>
      <c r="G160" s="67">
        <f t="shared" si="49"/>
        <v>0</v>
      </c>
      <c r="H160" s="67">
        <f t="shared" si="49"/>
        <v>1374.6223678198774</v>
      </c>
      <c r="I160" s="67">
        <f t="shared" si="49"/>
        <v>0</v>
      </c>
      <c r="J160" s="67">
        <f t="shared" si="49"/>
        <v>0</v>
      </c>
      <c r="K160" s="67">
        <f t="shared" si="49"/>
        <v>0</v>
      </c>
      <c r="L160" s="67">
        <f t="shared" si="49"/>
        <v>0</v>
      </c>
      <c r="M160" s="67">
        <f t="shared" si="49"/>
        <v>0</v>
      </c>
      <c r="N160" s="67">
        <f t="shared" si="49"/>
        <v>0</v>
      </c>
      <c r="O160" s="67">
        <f t="shared" si="49"/>
        <v>0</v>
      </c>
      <c r="P160" s="68">
        <f t="shared" si="49"/>
        <v>0</v>
      </c>
      <c r="Q160" s="7">
        <f t="shared" si="47"/>
        <v>1374.6223678198774</v>
      </c>
      <c r="R160" s="14"/>
    </row>
    <row r="161" spans="1:18" x14ac:dyDescent="0.35">
      <c r="A161" s="419" t="str">
        <f t="shared" si="45"/>
        <v>Legal &amp; Accounting</v>
      </c>
      <c r="D161" s="439" t="s">
        <v>118</v>
      </c>
      <c r="E161" s="67">
        <f t="shared" si="49"/>
        <v>900.7833333333333</v>
      </c>
      <c r="F161" s="67">
        <f t="shared" si="49"/>
        <v>900.7833333333333</v>
      </c>
      <c r="G161" s="67">
        <f t="shared" si="49"/>
        <v>900.7833333333333</v>
      </c>
      <c r="H161" s="67">
        <f t="shared" si="49"/>
        <v>900.7833333333333</v>
      </c>
      <c r="I161" s="67">
        <f t="shared" si="49"/>
        <v>900.7833333333333</v>
      </c>
      <c r="J161" s="67">
        <f t="shared" si="49"/>
        <v>900.7833333333333</v>
      </c>
      <c r="K161" s="67">
        <f t="shared" si="49"/>
        <v>900.7833333333333</v>
      </c>
      <c r="L161" s="67">
        <f t="shared" si="49"/>
        <v>900.7833333333333</v>
      </c>
      <c r="M161" s="67">
        <f t="shared" si="49"/>
        <v>900.7833333333333</v>
      </c>
      <c r="N161" s="67">
        <f t="shared" si="49"/>
        <v>900.7833333333333</v>
      </c>
      <c r="O161" s="67">
        <f t="shared" si="49"/>
        <v>900.7833333333333</v>
      </c>
      <c r="P161" s="68">
        <f t="shared" si="49"/>
        <v>900.7833333333333</v>
      </c>
      <c r="Q161" s="7">
        <f t="shared" si="47"/>
        <v>10809.399999999996</v>
      </c>
      <c r="R161" s="14"/>
    </row>
    <row r="162" spans="1:18" x14ac:dyDescent="0.35">
      <c r="A162" s="419" t="str">
        <f>VLOOKUP($D162,$A$10:$D$130,4,FALSE)</f>
        <v>Bank Fees</v>
      </c>
      <c r="D162" s="439" t="s">
        <v>125</v>
      </c>
      <c r="E162" s="67">
        <f t="shared" si="49"/>
        <v>55.877499999999998</v>
      </c>
      <c r="F162" s="67">
        <f t="shared" si="49"/>
        <v>55.877499999999998</v>
      </c>
      <c r="G162" s="67">
        <f t="shared" si="49"/>
        <v>55.877499999999998</v>
      </c>
      <c r="H162" s="67">
        <f t="shared" si="49"/>
        <v>55.877499999999998</v>
      </c>
      <c r="I162" s="67">
        <f t="shared" si="49"/>
        <v>55.877499999999998</v>
      </c>
      <c r="J162" s="67">
        <f t="shared" si="49"/>
        <v>55.877499999999998</v>
      </c>
      <c r="K162" s="67">
        <f t="shared" si="49"/>
        <v>55.877499999999998</v>
      </c>
      <c r="L162" s="67">
        <f t="shared" si="49"/>
        <v>55.877499999999998</v>
      </c>
      <c r="M162" s="67">
        <f t="shared" si="49"/>
        <v>55.877499999999998</v>
      </c>
      <c r="N162" s="67">
        <f t="shared" si="49"/>
        <v>55.877499999999998</v>
      </c>
      <c r="O162" s="67">
        <f t="shared" si="49"/>
        <v>55.877499999999998</v>
      </c>
      <c r="P162" s="68">
        <f t="shared" si="49"/>
        <v>55.877499999999998</v>
      </c>
      <c r="Q162" s="7">
        <f t="shared" si="47"/>
        <v>670.53</v>
      </c>
      <c r="R162" s="14"/>
    </row>
    <row r="163" spans="1:18" x14ac:dyDescent="0.35">
      <c r="A163" s="419" t="str">
        <f>VLOOKUP($D163,$A$10:$D$130,4,FALSE)</f>
        <v>Other G&amp;A Expense</v>
      </c>
      <c r="D163" s="439" t="s">
        <v>126</v>
      </c>
      <c r="E163" s="67">
        <f t="shared" si="49"/>
        <v>7.21</v>
      </c>
      <c r="F163" s="67">
        <f t="shared" si="49"/>
        <v>7.21</v>
      </c>
      <c r="G163" s="67">
        <f t="shared" si="49"/>
        <v>7.21</v>
      </c>
      <c r="H163" s="67">
        <f t="shared" si="49"/>
        <v>7.21</v>
      </c>
      <c r="I163" s="67">
        <f t="shared" si="49"/>
        <v>7.21</v>
      </c>
      <c r="J163" s="67">
        <f t="shared" si="49"/>
        <v>7.21</v>
      </c>
      <c r="K163" s="67">
        <f t="shared" si="49"/>
        <v>7.21</v>
      </c>
      <c r="L163" s="67">
        <f t="shared" si="49"/>
        <v>7.21</v>
      </c>
      <c r="M163" s="67">
        <f t="shared" si="49"/>
        <v>7.21</v>
      </c>
      <c r="N163" s="67">
        <f t="shared" si="49"/>
        <v>7.21</v>
      </c>
      <c r="O163" s="67">
        <f t="shared" si="49"/>
        <v>7.21</v>
      </c>
      <c r="P163" s="68">
        <f t="shared" si="49"/>
        <v>7.21</v>
      </c>
      <c r="Q163" s="7">
        <f t="shared" si="47"/>
        <v>86.519999999999982</v>
      </c>
      <c r="R163" s="14"/>
    </row>
    <row r="164" spans="1:18" x14ac:dyDescent="0.35">
      <c r="A164" s="419" t="str">
        <f t="shared" ref="A164:A167" si="50">VLOOKUP($D164,$A$10:$D$130,4,FALSE)</f>
        <v>Other G&amp;A-allocated from LIK</v>
      </c>
      <c r="D164" s="439" t="s">
        <v>119</v>
      </c>
      <c r="E164" s="67">
        <f t="shared" si="49"/>
        <v>1240.1199999999999</v>
      </c>
      <c r="F164" s="67">
        <f t="shared" si="49"/>
        <v>1240.1199999999999</v>
      </c>
      <c r="G164" s="67">
        <f t="shared" si="49"/>
        <v>1240.1199999999999</v>
      </c>
      <c r="H164" s="67">
        <f t="shared" si="49"/>
        <v>1240.1199999999999</v>
      </c>
      <c r="I164" s="67">
        <f t="shared" si="49"/>
        <v>1240.1199999999999</v>
      </c>
      <c r="J164" s="67">
        <f t="shared" si="49"/>
        <v>1240.1199999999999</v>
      </c>
      <c r="K164" s="67">
        <f t="shared" si="49"/>
        <v>1240.1199999999999</v>
      </c>
      <c r="L164" s="67">
        <f t="shared" si="49"/>
        <v>1240.1199999999999</v>
      </c>
      <c r="M164" s="67">
        <f t="shared" si="49"/>
        <v>1240.1199999999999</v>
      </c>
      <c r="N164" s="67">
        <f t="shared" si="49"/>
        <v>1240.1199999999999</v>
      </c>
      <c r="O164" s="67">
        <f t="shared" si="49"/>
        <v>1240.1199999999999</v>
      </c>
      <c r="P164" s="68">
        <f t="shared" si="49"/>
        <v>1240.1199999999999</v>
      </c>
      <c r="Q164" s="7">
        <f t="shared" si="47"/>
        <v>14881.439999999995</v>
      </c>
      <c r="R164" s="14"/>
    </row>
    <row r="165" spans="1:18" x14ac:dyDescent="0.35">
      <c r="A165" s="419" t="str">
        <f t="shared" si="50"/>
        <v>Land Improvements</v>
      </c>
      <c r="D165" s="439" t="s">
        <v>120</v>
      </c>
      <c r="E165" s="67">
        <f t="shared" si="49"/>
        <v>0</v>
      </c>
      <c r="F165" s="67">
        <f t="shared" si="49"/>
        <v>0</v>
      </c>
      <c r="G165" s="67">
        <f t="shared" si="49"/>
        <v>0</v>
      </c>
      <c r="H165" s="67">
        <f t="shared" si="49"/>
        <v>0</v>
      </c>
      <c r="I165" s="67">
        <f t="shared" si="49"/>
        <v>0</v>
      </c>
      <c r="J165" s="67">
        <f t="shared" si="49"/>
        <v>0</v>
      </c>
      <c r="K165" s="67">
        <f t="shared" si="49"/>
        <v>0</v>
      </c>
      <c r="L165" s="67">
        <f t="shared" si="49"/>
        <v>0</v>
      </c>
      <c r="M165" s="67">
        <f t="shared" si="49"/>
        <v>0</v>
      </c>
      <c r="N165" s="67">
        <f t="shared" si="49"/>
        <v>0</v>
      </c>
      <c r="O165" s="67">
        <f t="shared" si="49"/>
        <v>0</v>
      </c>
      <c r="P165" s="68">
        <f t="shared" si="49"/>
        <v>0</v>
      </c>
      <c r="Q165" s="7">
        <f t="shared" si="47"/>
        <v>0</v>
      </c>
      <c r="R165" s="14"/>
    </row>
    <row r="166" spans="1:18" x14ac:dyDescent="0.35">
      <c r="A166" s="419" t="str">
        <f t="shared" si="50"/>
        <v>Buildings</v>
      </c>
      <c r="D166" s="439" t="s">
        <v>121</v>
      </c>
      <c r="E166" s="67">
        <f t="shared" si="49"/>
        <v>0</v>
      </c>
      <c r="F166" s="67">
        <f t="shared" si="49"/>
        <v>0</v>
      </c>
      <c r="G166" s="67">
        <f t="shared" si="49"/>
        <v>0</v>
      </c>
      <c r="H166" s="67">
        <f t="shared" si="49"/>
        <v>0</v>
      </c>
      <c r="I166" s="67">
        <f t="shared" si="49"/>
        <v>0</v>
      </c>
      <c r="J166" s="67">
        <f t="shared" si="49"/>
        <v>0</v>
      </c>
      <c r="K166" s="67">
        <f t="shared" si="49"/>
        <v>0</v>
      </c>
      <c r="L166" s="67">
        <f t="shared" si="49"/>
        <v>0</v>
      </c>
      <c r="M166" s="67">
        <f t="shared" si="49"/>
        <v>0</v>
      </c>
      <c r="N166" s="67">
        <f t="shared" si="49"/>
        <v>0</v>
      </c>
      <c r="O166" s="67">
        <f t="shared" si="49"/>
        <v>0</v>
      </c>
      <c r="P166" s="68">
        <f t="shared" si="49"/>
        <v>0</v>
      </c>
      <c r="Q166" s="7">
        <f t="shared" si="47"/>
        <v>0</v>
      </c>
      <c r="R166" s="14"/>
    </row>
    <row r="167" spans="1:18" x14ac:dyDescent="0.35">
      <c r="A167" s="419" t="str">
        <f t="shared" si="50"/>
        <v>Equipment</v>
      </c>
      <c r="D167" s="439" t="s">
        <v>122</v>
      </c>
      <c r="E167" s="67">
        <f t="shared" si="49"/>
        <v>0</v>
      </c>
      <c r="F167" s="67">
        <f t="shared" si="49"/>
        <v>0</v>
      </c>
      <c r="G167" s="67">
        <f t="shared" si="49"/>
        <v>0</v>
      </c>
      <c r="H167" s="67">
        <f t="shared" si="49"/>
        <v>0</v>
      </c>
      <c r="I167" s="67">
        <f t="shared" si="49"/>
        <v>0</v>
      </c>
      <c r="J167" s="67">
        <f t="shared" si="49"/>
        <v>0</v>
      </c>
      <c r="K167" s="67">
        <f t="shared" si="49"/>
        <v>0</v>
      </c>
      <c r="L167" s="67">
        <f t="shared" si="49"/>
        <v>0</v>
      </c>
      <c r="M167" s="67">
        <f t="shared" si="49"/>
        <v>0</v>
      </c>
      <c r="N167" s="67">
        <f t="shared" si="49"/>
        <v>0</v>
      </c>
      <c r="O167" s="67">
        <f t="shared" si="49"/>
        <v>0</v>
      </c>
      <c r="P167" s="68">
        <f t="shared" si="49"/>
        <v>0</v>
      </c>
      <c r="Q167" s="7">
        <f t="shared" si="47"/>
        <v>0</v>
      </c>
      <c r="R167" s="14"/>
    </row>
    <row r="168" spans="1:18" x14ac:dyDescent="0.35">
      <c r="A168" s="419" t="str">
        <f>VLOOKUP($D168,$A$10:$D$130,3,FALSE)</f>
        <v>Tenant Improvements</v>
      </c>
      <c r="D168" s="439" t="s">
        <v>123</v>
      </c>
      <c r="E168" s="67">
        <f t="shared" si="49"/>
        <v>0</v>
      </c>
      <c r="F168" s="67">
        <f t="shared" si="49"/>
        <v>0</v>
      </c>
      <c r="G168" s="67">
        <f t="shared" si="49"/>
        <v>0</v>
      </c>
      <c r="H168" s="67">
        <f t="shared" si="49"/>
        <v>0</v>
      </c>
      <c r="I168" s="67">
        <f t="shared" si="49"/>
        <v>0</v>
      </c>
      <c r="J168" s="67">
        <f t="shared" si="49"/>
        <v>0</v>
      </c>
      <c r="K168" s="67">
        <f t="shared" si="49"/>
        <v>2346</v>
      </c>
      <c r="L168" s="67">
        <f t="shared" si="49"/>
        <v>0</v>
      </c>
      <c r="M168" s="67">
        <f t="shared" si="49"/>
        <v>0</v>
      </c>
      <c r="N168" s="67">
        <f t="shared" si="49"/>
        <v>0</v>
      </c>
      <c r="O168" s="67">
        <f t="shared" si="49"/>
        <v>0</v>
      </c>
      <c r="P168" s="68">
        <f t="shared" si="49"/>
        <v>0</v>
      </c>
      <c r="Q168" s="7">
        <f t="shared" si="47"/>
        <v>2346</v>
      </c>
      <c r="R168" s="14"/>
    </row>
    <row r="169" spans="1:18" x14ac:dyDescent="0.35">
      <c r="A169" s="419" t="str">
        <f>VLOOKUP($D169,$A$10:$D$130,4,FALSE)</f>
        <v>Deferred Marketing</v>
      </c>
      <c r="D169" s="439" t="s">
        <v>124</v>
      </c>
      <c r="E169" s="67">
        <f t="shared" si="49"/>
        <v>0</v>
      </c>
      <c r="F169" s="67">
        <f t="shared" si="49"/>
        <v>0</v>
      </c>
      <c r="G169" s="67">
        <f t="shared" si="49"/>
        <v>0</v>
      </c>
      <c r="H169" s="67">
        <f t="shared" si="49"/>
        <v>0</v>
      </c>
      <c r="I169" s="67">
        <f t="shared" si="49"/>
        <v>0</v>
      </c>
      <c r="J169" s="67">
        <f t="shared" si="49"/>
        <v>0</v>
      </c>
      <c r="K169" s="67">
        <f t="shared" si="49"/>
        <v>0</v>
      </c>
      <c r="L169" s="67">
        <f t="shared" si="49"/>
        <v>0</v>
      </c>
      <c r="M169" s="67">
        <f t="shared" si="49"/>
        <v>0</v>
      </c>
      <c r="N169" s="67">
        <f t="shared" si="49"/>
        <v>0</v>
      </c>
      <c r="O169" s="67">
        <f t="shared" si="49"/>
        <v>0</v>
      </c>
      <c r="P169" s="68">
        <f t="shared" si="49"/>
        <v>0</v>
      </c>
      <c r="Q169" s="7">
        <f t="shared" si="47"/>
        <v>0</v>
      </c>
      <c r="R169" s="14"/>
    </row>
    <row r="170" spans="1:18" x14ac:dyDescent="0.35">
      <c r="A170" s="419" t="str">
        <f>VLOOKUP($D170,$A$10:$D$130,3,FALSE)</f>
        <v>Interest</v>
      </c>
      <c r="D170" s="439" t="s">
        <v>127</v>
      </c>
      <c r="E170" s="67">
        <f t="shared" si="49"/>
        <v>8057.7</v>
      </c>
      <c r="F170" s="67">
        <f t="shared" si="49"/>
        <v>8057.7</v>
      </c>
      <c r="G170" s="67">
        <f t="shared" si="49"/>
        <v>8057.7</v>
      </c>
      <c r="H170" s="67">
        <f t="shared" si="49"/>
        <v>8057.7</v>
      </c>
      <c r="I170" s="67">
        <f t="shared" si="49"/>
        <v>8057.7</v>
      </c>
      <c r="J170" s="67">
        <f t="shared" si="49"/>
        <v>8057.7</v>
      </c>
      <c r="K170" s="67">
        <f t="shared" si="49"/>
        <v>8057.7</v>
      </c>
      <c r="L170" s="67">
        <f t="shared" si="49"/>
        <v>8057.7</v>
      </c>
      <c r="M170" s="67">
        <f t="shared" si="49"/>
        <v>8057.7</v>
      </c>
      <c r="N170" s="67">
        <f t="shared" si="49"/>
        <v>8057.7</v>
      </c>
      <c r="O170" s="67">
        <f t="shared" si="49"/>
        <v>8057.7</v>
      </c>
      <c r="P170" s="68">
        <f t="shared" si="49"/>
        <v>8057.7</v>
      </c>
      <c r="Q170" s="7">
        <f t="shared" si="47"/>
        <v>96692.39999999998</v>
      </c>
      <c r="R170" s="14"/>
    </row>
    <row r="171" spans="1:18" ht="16.5" thickBot="1" x14ac:dyDescent="0.4">
      <c r="A171" s="419" t="str">
        <f t="shared" si="45"/>
        <v>Mortgage Amortization</v>
      </c>
      <c r="D171" s="440" t="s">
        <v>144</v>
      </c>
      <c r="E171" s="70">
        <f t="shared" si="49"/>
        <v>0</v>
      </c>
      <c r="F171" s="70">
        <f t="shared" si="49"/>
        <v>0</v>
      </c>
      <c r="G171" s="70">
        <f t="shared" si="49"/>
        <v>0</v>
      </c>
      <c r="H171" s="70">
        <f t="shared" si="49"/>
        <v>0</v>
      </c>
      <c r="I171" s="70">
        <f t="shared" si="49"/>
        <v>0</v>
      </c>
      <c r="J171" s="70">
        <f t="shared" si="49"/>
        <v>0</v>
      </c>
      <c r="K171" s="70">
        <f t="shared" si="49"/>
        <v>0</v>
      </c>
      <c r="L171" s="70">
        <f t="shared" si="49"/>
        <v>0</v>
      </c>
      <c r="M171" s="70">
        <f t="shared" si="49"/>
        <v>0</v>
      </c>
      <c r="N171" s="70">
        <f t="shared" si="49"/>
        <v>0</v>
      </c>
      <c r="O171" s="70">
        <f t="shared" si="49"/>
        <v>0</v>
      </c>
      <c r="P171" s="71">
        <f t="shared" si="49"/>
        <v>0</v>
      </c>
      <c r="Q171" s="7">
        <f t="shared" si="47"/>
        <v>0</v>
      </c>
      <c r="R171" s="14"/>
    </row>
    <row r="172" spans="1:18" x14ac:dyDescent="0.35">
      <c r="D172" s="24" t="s">
        <v>12</v>
      </c>
      <c r="E172" s="7">
        <f t="shared" ref="E172:Q172" si="51">SUM(E137:E171)</f>
        <v>-16359.640160492221</v>
      </c>
      <c r="F172" s="7">
        <f t="shared" si="51"/>
        <v>-30093.999360492209</v>
      </c>
      <c r="G172" s="7">
        <f t="shared" si="51"/>
        <v>-32788.971027158892</v>
      </c>
      <c r="H172" s="7">
        <f t="shared" si="51"/>
        <v>-3486.4604603760608</v>
      </c>
      <c r="I172" s="7">
        <f t="shared" si="51"/>
        <v>-16250.703528195932</v>
      </c>
      <c r="J172" s="7">
        <f t="shared" si="51"/>
        <v>-6846.7148281959353</v>
      </c>
      <c r="K172" s="7">
        <f t="shared" si="51"/>
        <v>3614.3881718040648</v>
      </c>
      <c r="L172" s="7">
        <f t="shared" si="51"/>
        <v>-19759.345128195942</v>
      </c>
      <c r="M172" s="7">
        <f t="shared" si="51"/>
        <v>-20421.123428195941</v>
      </c>
      <c r="N172" s="7">
        <f t="shared" si="51"/>
        <v>12876.052953058195</v>
      </c>
      <c r="O172" s="7">
        <f t="shared" si="51"/>
        <v>-5114.6086136084677</v>
      </c>
      <c r="P172" s="7">
        <f t="shared" si="51"/>
        <v>-10319.705013608473</v>
      </c>
      <c r="Q172" s="7">
        <f t="shared" si="51"/>
        <v>-144950.8304236579</v>
      </c>
    </row>
    <row r="173" spans="1:18" x14ac:dyDescent="0.35">
      <c r="E173" s="32">
        <f>E131+E172</f>
        <v>0</v>
      </c>
      <c r="F173" s="32">
        <f t="shared" ref="F173:Q173" si="52">F131+F172</f>
        <v>0</v>
      </c>
      <c r="G173" s="32">
        <f t="shared" si="52"/>
        <v>0</v>
      </c>
      <c r="H173" s="32">
        <f t="shared" si="52"/>
        <v>-3.637978807091713E-12</v>
      </c>
      <c r="I173" s="32">
        <f t="shared" si="52"/>
        <v>0</v>
      </c>
      <c r="J173" s="32">
        <f t="shared" si="52"/>
        <v>7.2759576141834259E-12</v>
      </c>
      <c r="K173" s="32">
        <f t="shared" si="52"/>
        <v>4.5474735088646412E-12</v>
      </c>
      <c r="L173" s="32">
        <f t="shared" si="52"/>
        <v>0</v>
      </c>
      <c r="M173" s="32">
        <f t="shared" si="52"/>
        <v>0</v>
      </c>
      <c r="N173" s="32">
        <f t="shared" si="52"/>
        <v>0</v>
      </c>
      <c r="O173" s="32">
        <f t="shared" si="52"/>
        <v>7.2759576141834259E-12</v>
      </c>
      <c r="P173" s="32">
        <f t="shared" si="52"/>
        <v>0</v>
      </c>
      <c r="Q173" s="32">
        <f t="shared" si="52"/>
        <v>0</v>
      </c>
    </row>
    <row r="174" spans="1:18" hidden="1" x14ac:dyDescent="0.35"/>
    <row r="175" spans="1:18" ht="17.5" hidden="1" x14ac:dyDescent="0.5">
      <c r="D175" s="37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</row>
    <row r="176" spans="1:18" hidden="1" x14ac:dyDescent="0.35"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</row>
    <row r="177" spans="4:18" ht="17.5" hidden="1" x14ac:dyDescent="0.5">
      <c r="D177" s="38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</row>
    <row r="178" spans="4:18" hidden="1" x14ac:dyDescent="0.35"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</row>
    <row r="179" spans="4:18" hidden="1" x14ac:dyDescent="0.35">
      <c r="D179" s="11"/>
    </row>
    <row r="180" spans="4:18" hidden="1" x14ac:dyDescent="0.35">
      <c r="D180" s="11"/>
      <c r="R180" s="29"/>
    </row>
    <row r="181" spans="4:18" hidden="1" x14ac:dyDescent="0.35">
      <c r="D181" s="11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29"/>
    </row>
    <row r="182" spans="4:18" ht="17.5" hidden="1" x14ac:dyDescent="0.5">
      <c r="D182" s="37"/>
      <c r="E182" s="11" t="s">
        <v>0</v>
      </c>
      <c r="F182" s="11" t="s">
        <v>1</v>
      </c>
      <c r="G182" s="11" t="s">
        <v>2</v>
      </c>
      <c r="H182" s="11" t="s">
        <v>3</v>
      </c>
      <c r="I182" s="11" t="s">
        <v>4</v>
      </c>
      <c r="J182" s="11" t="s">
        <v>5</v>
      </c>
      <c r="K182" s="11" t="s">
        <v>6</v>
      </c>
      <c r="L182" s="11" t="s">
        <v>7</v>
      </c>
      <c r="M182" s="11" t="s">
        <v>8</v>
      </c>
      <c r="N182" s="11" t="s">
        <v>9</v>
      </c>
      <c r="O182" s="11" t="s">
        <v>10</v>
      </c>
      <c r="P182" s="11" t="s">
        <v>11</v>
      </c>
    </row>
    <row r="183" spans="4:18" hidden="1" x14ac:dyDescent="0.35"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</row>
    <row r="184" spans="4:18" hidden="1" x14ac:dyDescent="0.35">
      <c r="D184" s="11" t="s">
        <v>147</v>
      </c>
      <c r="E184" s="7">
        <v>54008</v>
      </c>
      <c r="F184" s="7">
        <v>54008</v>
      </c>
      <c r="G184" s="7">
        <v>54008</v>
      </c>
      <c r="H184" s="7">
        <v>54008</v>
      </c>
      <c r="I184" s="7">
        <v>54008</v>
      </c>
      <c r="J184" s="7">
        <v>54008</v>
      </c>
      <c r="K184" s="7">
        <v>54008</v>
      </c>
      <c r="L184" s="7">
        <v>54008</v>
      </c>
      <c r="M184" s="7">
        <v>54008</v>
      </c>
      <c r="N184" s="7">
        <v>54008</v>
      </c>
      <c r="O184" s="7">
        <v>54008</v>
      </c>
      <c r="P184" s="7">
        <v>54008</v>
      </c>
    </row>
    <row r="185" spans="4:18" hidden="1" x14ac:dyDescent="0.35"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R185" s="29"/>
    </row>
    <row r="186" spans="4:18" hidden="1" x14ac:dyDescent="0.35">
      <c r="D186" s="11" t="s">
        <v>146</v>
      </c>
      <c r="E186" s="39">
        <v>41069</v>
      </c>
      <c r="F186" s="39">
        <v>41069</v>
      </c>
      <c r="G186" s="39">
        <v>41069</v>
      </c>
      <c r="H186" s="39">
        <v>41069</v>
      </c>
      <c r="I186" s="39">
        <v>41069</v>
      </c>
      <c r="J186" s="39">
        <v>41069</v>
      </c>
      <c r="K186" s="39">
        <v>41069</v>
      </c>
      <c r="L186" s="39">
        <v>44709</v>
      </c>
      <c r="M186" s="39">
        <v>47586</v>
      </c>
      <c r="N186" s="39">
        <v>47586</v>
      </c>
      <c r="O186" s="39">
        <v>47586</v>
      </c>
      <c r="P186" s="39">
        <v>47586</v>
      </c>
      <c r="Q186" s="29"/>
    </row>
    <row r="187" spans="4:18" ht="17.5" hidden="1" x14ac:dyDescent="0.5">
      <c r="D187" s="37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</row>
    <row r="188" spans="4:18" hidden="1" x14ac:dyDescent="0.35">
      <c r="D188" s="11" t="s">
        <v>148</v>
      </c>
      <c r="E188" s="11">
        <f>E186/E184</f>
        <v>0.76042438157310033</v>
      </c>
      <c r="F188" s="11">
        <f t="shared" ref="F188:P188" si="53">F186/F184</f>
        <v>0.76042438157310033</v>
      </c>
      <c r="G188" s="11">
        <f t="shared" si="53"/>
        <v>0.76042438157310033</v>
      </c>
      <c r="H188" s="11">
        <f t="shared" si="53"/>
        <v>0.76042438157310033</v>
      </c>
      <c r="I188" s="11">
        <f t="shared" si="53"/>
        <v>0.76042438157310033</v>
      </c>
      <c r="J188" s="11">
        <f t="shared" si="53"/>
        <v>0.76042438157310033</v>
      </c>
      <c r="K188" s="11">
        <f t="shared" si="53"/>
        <v>0.76042438157310033</v>
      </c>
      <c r="L188" s="11">
        <f t="shared" si="53"/>
        <v>0.82782180417715889</v>
      </c>
      <c r="M188" s="11">
        <f t="shared" si="53"/>
        <v>0.88109169011998223</v>
      </c>
      <c r="N188" s="11">
        <f t="shared" si="53"/>
        <v>0.88109169011998223</v>
      </c>
      <c r="O188" s="11">
        <f t="shared" si="53"/>
        <v>0.88109169011998223</v>
      </c>
      <c r="P188" s="11">
        <f t="shared" si="53"/>
        <v>0.88109169011998223</v>
      </c>
    </row>
    <row r="189" spans="4:18" hidden="1" x14ac:dyDescent="0.35"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</row>
    <row r="190" spans="4:18" hidden="1" x14ac:dyDescent="0.35"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R190" s="29"/>
    </row>
    <row r="191" spans="4:18" hidden="1" x14ac:dyDescent="0.35">
      <c r="D191" s="11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29"/>
    </row>
    <row r="192" spans="4:18" hidden="1" x14ac:dyDescent="0.35"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</row>
    <row r="193" spans="4:16" hidden="1" x14ac:dyDescent="0.35"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</row>
    <row r="194" spans="4:16" hidden="1" x14ac:dyDescent="0.35"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</row>
    <row r="195" spans="4:16" hidden="1" x14ac:dyDescent="0.35"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</row>
    <row r="196" spans="4:16" ht="17.5" hidden="1" x14ac:dyDescent="0.5">
      <c r="D196" s="38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</row>
    <row r="197" spans="4:16" hidden="1" x14ac:dyDescent="0.35">
      <c r="G197" s="11"/>
      <c r="H197" s="11"/>
      <c r="I197" s="11"/>
      <c r="J197" s="11"/>
      <c r="K197" s="11"/>
      <c r="L197" s="11"/>
      <c r="M197" s="11"/>
      <c r="N197" s="11"/>
      <c r="O197" s="11"/>
      <c r="P197" s="11"/>
    </row>
    <row r="198" spans="4:16" hidden="1" x14ac:dyDescent="0.35">
      <c r="F198" s="40"/>
      <c r="G198" s="11"/>
      <c r="H198" s="11"/>
      <c r="I198" s="11"/>
      <c r="J198" s="11"/>
      <c r="K198" s="11"/>
      <c r="L198" s="11"/>
      <c r="M198" s="11"/>
      <c r="N198" s="11"/>
      <c r="O198" s="11"/>
      <c r="P198" s="11"/>
    </row>
    <row r="199" spans="4:16" hidden="1" x14ac:dyDescent="0.35">
      <c r="F199" s="40"/>
      <c r="G199" s="11"/>
      <c r="H199" s="11"/>
      <c r="I199" s="11"/>
      <c r="J199" s="11"/>
      <c r="K199" s="11"/>
      <c r="L199" s="11"/>
      <c r="M199" s="11"/>
      <c r="N199" s="11"/>
      <c r="O199" s="11"/>
      <c r="P199" s="11"/>
    </row>
    <row r="200" spans="4:16" hidden="1" x14ac:dyDescent="0.35">
      <c r="F200" s="40"/>
      <c r="G200" s="11"/>
      <c r="H200" s="11"/>
      <c r="I200" s="11"/>
      <c r="J200" s="11"/>
      <c r="K200" s="11"/>
      <c r="L200" s="11"/>
      <c r="M200" s="11"/>
      <c r="N200" s="11"/>
      <c r="O200" s="11"/>
      <c r="P200" s="11"/>
    </row>
    <row r="201" spans="4:16" hidden="1" x14ac:dyDescent="0.35">
      <c r="F201" s="40"/>
      <c r="G201" s="11"/>
      <c r="H201" s="11"/>
      <c r="I201" s="11"/>
      <c r="J201" s="11"/>
      <c r="K201" s="11"/>
      <c r="L201" s="11"/>
      <c r="M201" s="11"/>
      <c r="N201" s="11"/>
      <c r="O201" s="11"/>
      <c r="P201" s="11"/>
    </row>
    <row r="202" spans="4:16" hidden="1" x14ac:dyDescent="0.35">
      <c r="F202" s="40"/>
      <c r="G202" s="11"/>
      <c r="H202" s="11"/>
      <c r="I202" s="11"/>
      <c r="J202" s="11"/>
      <c r="K202" s="11"/>
      <c r="L202" s="11"/>
      <c r="M202" s="11"/>
      <c r="N202" s="11"/>
      <c r="O202" s="11"/>
      <c r="P202" s="11"/>
    </row>
    <row r="203" spans="4:16" hidden="1" x14ac:dyDescent="0.35">
      <c r="F203" s="40"/>
      <c r="G203" s="11"/>
      <c r="H203" s="11"/>
      <c r="I203" s="11"/>
      <c r="J203" s="11"/>
      <c r="K203" s="11"/>
      <c r="L203" s="11"/>
      <c r="M203" s="11"/>
      <c r="N203" s="11"/>
      <c r="O203" s="11"/>
      <c r="P203" s="11"/>
    </row>
    <row r="204" spans="4:16" hidden="1" x14ac:dyDescent="0.35">
      <c r="F204" s="40"/>
      <c r="G204" s="11"/>
      <c r="H204" s="11"/>
      <c r="I204" s="11"/>
      <c r="J204" s="11"/>
      <c r="K204" s="11"/>
      <c r="L204" s="11"/>
      <c r="M204" s="11"/>
      <c r="N204" s="11"/>
      <c r="O204" s="11"/>
      <c r="P204" s="11"/>
    </row>
    <row r="205" spans="4:16" hidden="1" x14ac:dyDescent="0.35">
      <c r="D205" s="11"/>
      <c r="E205" s="29"/>
      <c r="F205" s="41"/>
      <c r="G205" s="11"/>
      <c r="H205" s="11"/>
      <c r="I205" s="11"/>
      <c r="J205" s="11"/>
      <c r="K205" s="11"/>
      <c r="L205" s="11"/>
      <c r="M205" s="11"/>
      <c r="N205" s="11"/>
      <c r="O205" s="11"/>
      <c r="P205" s="11"/>
    </row>
    <row r="206" spans="4:16" hidden="1" x14ac:dyDescent="0.35"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</row>
    <row r="207" spans="4:16" hidden="1" x14ac:dyDescent="0.35"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</row>
    <row r="208" spans="4:16" hidden="1" x14ac:dyDescent="0.35"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</row>
    <row r="209" spans="4:18" hidden="1" x14ac:dyDescent="0.35"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</row>
    <row r="210" spans="4:18" hidden="1" x14ac:dyDescent="0.35"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</row>
    <row r="211" spans="4:18" ht="17.5" hidden="1" x14ac:dyDescent="0.5">
      <c r="D211" s="37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</row>
    <row r="212" spans="4:18" hidden="1" x14ac:dyDescent="0.35"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</row>
    <row r="213" spans="4:18" ht="17.5" hidden="1" x14ac:dyDescent="0.5">
      <c r="D213" s="38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</row>
    <row r="214" spans="4:18" hidden="1" x14ac:dyDescent="0.35"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</row>
    <row r="215" spans="4:18" hidden="1" x14ac:dyDescent="0.35"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</row>
    <row r="216" spans="4:18" hidden="1" x14ac:dyDescent="0.35"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R216" s="29"/>
    </row>
    <row r="217" spans="4:18" hidden="1" x14ac:dyDescent="0.35">
      <c r="D217" s="11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29"/>
    </row>
    <row r="218" spans="4:18" ht="17.5" hidden="1" x14ac:dyDescent="0.5">
      <c r="D218" s="37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</row>
    <row r="219" spans="4:18" hidden="1" x14ac:dyDescent="0.35"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</row>
    <row r="220" spans="4:18" hidden="1" x14ac:dyDescent="0.35"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</row>
    <row r="221" spans="4:18" hidden="1" x14ac:dyDescent="0.35"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R221" s="29"/>
    </row>
    <row r="222" spans="4:18" hidden="1" x14ac:dyDescent="0.35">
      <c r="D222" s="11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29"/>
    </row>
    <row r="223" spans="4:18" ht="17.5" hidden="1" x14ac:dyDescent="0.5">
      <c r="D223" s="37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</row>
    <row r="224" spans="4:18" hidden="1" x14ac:dyDescent="0.35"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</row>
    <row r="225" spans="1:18" hidden="1" x14ac:dyDescent="0.35"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</row>
    <row r="226" spans="1:18" hidden="1" x14ac:dyDescent="0.35"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R226" s="29"/>
    </row>
    <row r="227" spans="1:18" hidden="1" x14ac:dyDescent="0.35"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29"/>
    </row>
    <row r="228" spans="1:18" hidden="1" x14ac:dyDescent="0.35"/>
    <row r="229" spans="1:18" hidden="1" x14ac:dyDescent="0.35"/>
    <row r="230" spans="1:18" hidden="1" x14ac:dyDescent="0.35"/>
    <row r="231" spans="1:18" hidden="1" x14ac:dyDescent="0.35"/>
    <row r="232" spans="1:18" hidden="1" x14ac:dyDescent="0.35"/>
    <row r="233" spans="1:18" hidden="1" x14ac:dyDescent="0.35"/>
    <row r="234" spans="1:18" hidden="1" x14ac:dyDescent="0.35"/>
    <row r="235" spans="1:18" hidden="1" x14ac:dyDescent="0.35"/>
    <row r="236" spans="1:18" hidden="1" x14ac:dyDescent="0.35"/>
    <row r="237" spans="1:18" hidden="1" x14ac:dyDescent="0.35">
      <c r="A237" s="11"/>
      <c r="B237" s="11"/>
      <c r="C237" s="11"/>
      <c r="D237" s="11"/>
    </row>
    <row r="238" spans="1:18" ht="16.5" hidden="1" thickTop="1" x14ac:dyDescent="0.35">
      <c r="A238" s="42"/>
      <c r="B238" s="42"/>
      <c r="C238" s="42"/>
      <c r="D238" s="42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R238" s="42"/>
    </row>
    <row r="239" spans="1:18" ht="16.5" hidden="1" thickTop="1" x14ac:dyDescent="0.35">
      <c r="A239" s="11"/>
      <c r="B239" s="11"/>
      <c r="C239" s="11"/>
      <c r="D239" s="44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2"/>
    </row>
    <row r="240" spans="1:18" hidden="1" x14ac:dyDescent="0.35">
      <c r="A240" s="11"/>
      <c r="B240" s="11"/>
      <c r="C240" s="11"/>
      <c r="D240" s="45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R240" s="14"/>
    </row>
    <row r="241" spans="1:18" hidden="1" x14ac:dyDescent="0.35">
      <c r="A241" s="11"/>
      <c r="B241" s="11"/>
      <c r="C241" s="11"/>
      <c r="D241" s="45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4"/>
      <c r="R241" s="9"/>
    </row>
    <row r="242" spans="1:18" hidden="1" x14ac:dyDescent="0.35">
      <c r="A242" s="11"/>
      <c r="B242" s="11"/>
      <c r="C242" s="11"/>
      <c r="D242" s="45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9"/>
    </row>
    <row r="243" spans="1:18" hidden="1" x14ac:dyDescent="0.35">
      <c r="A243" s="11"/>
      <c r="B243" s="11"/>
      <c r="C243" s="11"/>
      <c r="D243" s="45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</row>
    <row r="244" spans="1:18" hidden="1" x14ac:dyDescent="0.35">
      <c r="A244" s="11"/>
      <c r="B244" s="11"/>
      <c r="C244" s="11"/>
      <c r="D244" s="45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</row>
    <row r="245" spans="1:18" hidden="1" x14ac:dyDescent="0.35">
      <c r="A245" s="11"/>
      <c r="B245" s="11"/>
      <c r="C245" s="11"/>
      <c r="D245" s="45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</row>
    <row r="246" spans="1:18" hidden="1" x14ac:dyDescent="0.35">
      <c r="A246" s="11"/>
      <c r="B246" s="11"/>
      <c r="C246" s="11"/>
      <c r="D246" s="45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</row>
    <row r="247" spans="1:18" hidden="1" x14ac:dyDescent="0.35">
      <c r="A247" s="11"/>
      <c r="B247" s="11"/>
      <c r="C247" s="11"/>
      <c r="D247" s="45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</row>
    <row r="248" spans="1:18" hidden="1" x14ac:dyDescent="0.35">
      <c r="A248" s="11"/>
      <c r="B248" s="11"/>
      <c r="C248" s="11"/>
      <c r="D248" s="45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</row>
    <row r="249" spans="1:18" hidden="1" x14ac:dyDescent="0.35">
      <c r="A249" s="11"/>
      <c r="B249" s="11"/>
      <c r="C249" s="11"/>
      <c r="D249" s="45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</row>
    <row r="250" spans="1:18" hidden="1" x14ac:dyDescent="0.35">
      <c r="A250" s="11"/>
      <c r="B250" s="11"/>
      <c r="C250" s="11"/>
      <c r="D250" s="45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</row>
    <row r="251" spans="1:18" hidden="1" x14ac:dyDescent="0.35">
      <c r="A251" s="11"/>
      <c r="B251" s="11"/>
      <c r="C251" s="11"/>
      <c r="D251" s="45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</row>
    <row r="252" spans="1:18" hidden="1" x14ac:dyDescent="0.35">
      <c r="A252" s="11"/>
      <c r="B252" s="11"/>
      <c r="C252" s="11"/>
      <c r="D252" s="45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</row>
    <row r="253" spans="1:18" hidden="1" x14ac:dyDescent="0.35">
      <c r="A253" s="11"/>
      <c r="B253" s="11"/>
      <c r="C253" s="11"/>
      <c r="D253" s="45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</row>
    <row r="254" spans="1:18" hidden="1" x14ac:dyDescent="0.35">
      <c r="A254" s="11"/>
      <c r="B254" s="11"/>
      <c r="C254" s="11"/>
      <c r="D254" s="45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</row>
    <row r="255" spans="1:18" hidden="1" x14ac:dyDescent="0.35">
      <c r="A255" s="11"/>
      <c r="B255" s="11"/>
      <c r="C255" s="11"/>
      <c r="D255" s="45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</row>
    <row r="256" spans="1:18" hidden="1" x14ac:dyDescent="0.35">
      <c r="A256" s="11"/>
      <c r="B256" s="11"/>
      <c r="C256" s="11"/>
      <c r="D256" s="45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</row>
    <row r="257" spans="4:16" hidden="1" x14ac:dyDescent="0.35">
      <c r="D257" s="45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</row>
    <row r="258" spans="4:16" hidden="1" x14ac:dyDescent="0.35">
      <c r="D258" s="45"/>
    </row>
    <row r="259" spans="4:16" hidden="1" x14ac:dyDescent="0.35">
      <c r="D259" s="45"/>
    </row>
    <row r="260" spans="4:16" hidden="1" x14ac:dyDescent="0.35">
      <c r="D260" s="45"/>
    </row>
    <row r="261" spans="4:16" hidden="1" x14ac:dyDescent="0.35">
      <c r="D261" s="45"/>
    </row>
    <row r="262" spans="4:16" hidden="1" x14ac:dyDescent="0.35">
      <c r="D262" s="45"/>
    </row>
    <row r="263" spans="4:16" hidden="1" x14ac:dyDescent="0.35">
      <c r="D263" s="45"/>
    </row>
    <row r="264" spans="4:16" hidden="1" x14ac:dyDescent="0.35">
      <c r="D264" s="45"/>
    </row>
    <row r="265" spans="4:16" hidden="1" x14ac:dyDescent="0.35">
      <c r="D265" s="45"/>
    </row>
    <row r="266" spans="4:16" hidden="1" x14ac:dyDescent="0.35">
      <c r="D266" s="45"/>
    </row>
    <row r="267" spans="4:16" hidden="1" x14ac:dyDescent="0.35">
      <c r="D267" s="45"/>
    </row>
    <row r="268" spans="4:16" hidden="1" x14ac:dyDescent="0.35">
      <c r="D268" s="45"/>
    </row>
    <row r="269" spans="4:16" hidden="1" x14ac:dyDescent="0.35">
      <c r="D269" s="45"/>
    </row>
    <row r="270" spans="4:16" hidden="1" x14ac:dyDescent="0.35">
      <c r="D270" s="45"/>
    </row>
    <row r="271" spans="4:16" hidden="1" x14ac:dyDescent="0.35">
      <c r="D271" s="45"/>
    </row>
    <row r="272" spans="4:16" hidden="1" x14ac:dyDescent="0.35">
      <c r="D272" s="45"/>
    </row>
    <row r="273" spans="1:20" hidden="1" x14ac:dyDescent="0.35">
      <c r="D273" s="45"/>
    </row>
    <row r="274" spans="1:20" hidden="1" x14ac:dyDescent="0.35">
      <c r="D274" s="45"/>
      <c r="S274" s="14"/>
      <c r="T274" s="385"/>
    </row>
    <row r="275" spans="1:20" hidden="1" x14ac:dyDescent="0.35">
      <c r="D275" s="45"/>
      <c r="S275" s="9"/>
      <c r="T275" s="343"/>
    </row>
    <row r="276" spans="1:20" hidden="1" x14ac:dyDescent="0.35">
      <c r="R276" s="47"/>
    </row>
    <row r="277" spans="1:20" hidden="1" x14ac:dyDescent="0.35"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8"/>
    </row>
    <row r="278" spans="1:20" hidden="1" x14ac:dyDescent="0.35">
      <c r="Q278" s="48"/>
    </row>
    <row r="279" spans="1:20" hidden="1" x14ac:dyDescent="0.35"/>
    <row r="280" spans="1:20" hidden="1" x14ac:dyDescent="0.35">
      <c r="A280" s="11"/>
      <c r="B280" s="11"/>
      <c r="C280" s="11"/>
      <c r="D280" s="11"/>
    </row>
    <row r="281" spans="1:20" ht="16.5" hidden="1" thickTop="1" x14ac:dyDescent="0.35">
      <c r="A281" s="42"/>
      <c r="B281" s="42"/>
      <c r="C281" s="42"/>
      <c r="D281" s="42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R281" s="42"/>
    </row>
    <row r="282" spans="1:20" ht="16.5" hidden="1" thickTop="1" x14ac:dyDescent="0.35"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2"/>
    </row>
    <row r="283" spans="1:20" hidden="1" x14ac:dyDescent="0.35"/>
    <row r="284" spans="1:20" hidden="1" x14ac:dyDescent="0.35"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</row>
    <row r="285" spans="1:20" hidden="1" x14ac:dyDescent="0.35"/>
    <row r="286" spans="1:20" hidden="1" x14ac:dyDescent="0.35"/>
    <row r="287" spans="1:20" hidden="1" x14ac:dyDescent="0.35"/>
    <row r="288" spans="1:20" hidden="1" x14ac:dyDescent="0.35"/>
    <row r="289" spans="5:16" hidden="1" x14ac:dyDescent="0.35"/>
    <row r="290" spans="5:16" x14ac:dyDescent="0.35"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</row>
    <row r="311" spans="19:20" x14ac:dyDescent="0.35">
      <c r="S311" s="48"/>
      <c r="T311" s="347"/>
    </row>
  </sheetData>
  <sheetProtection formatColumns="0" selectLockedCells="1"/>
  <phoneticPr fontId="0" type="noConversion"/>
  <conditionalFormatting sqref="E173:Q173">
    <cfRule type="cellIs" dxfId="23" priority="1" operator="between">
      <formula>-1</formula>
      <formula>1</formula>
    </cfRule>
  </conditionalFormatting>
  <dataValidations disablePrompts="1" count="1">
    <dataValidation operator="notEqual" showInputMessage="1" showErrorMessage="1" sqref="E18:P18" xr:uid="{EFD43C4E-6B43-4448-A9F5-B39F15D90BEE}"/>
  </dataValidations>
  <printOptions horizontalCentered="1" verticalCentered="1"/>
  <pageMargins left="0.25" right="0.25" top="0" bottom="0" header="0.05" footer="0.25"/>
  <pageSetup scale="45" fitToHeight="0" orientation="landscape" r:id="rId1"/>
  <headerFooter>
    <oddHeader>&amp;R&amp;D</oddHeader>
    <oddFooter>Page &amp;P of &amp;N</oddFooter>
  </headerFooter>
  <rowBreaks count="1" manualBreakCount="1">
    <brk id="72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20">
    <tabColor rgb="FF92D050"/>
    <pageSetUpPr fitToPage="1"/>
  </sheetPr>
  <dimension ref="A1:DW75"/>
  <sheetViews>
    <sheetView view="pageBreakPreview" zoomScale="160" zoomScaleNormal="66" zoomScaleSheetLayoutView="160" workbookViewId="0">
      <selection activeCell="H2" sqref="H2"/>
    </sheetView>
  </sheetViews>
  <sheetFormatPr defaultColWidth="9.1796875" defaultRowHeight="16" x14ac:dyDescent="0.25"/>
  <cols>
    <col min="1" max="1" width="11.81640625" style="136" customWidth="1"/>
    <col min="2" max="2" width="16.54296875" style="132" bestFit="1" customWidth="1"/>
    <col min="3" max="3" width="9.1796875" style="132" customWidth="1"/>
    <col min="4" max="4" width="17.1796875" style="132" bestFit="1" customWidth="1"/>
    <col min="5" max="5" width="16.81640625" style="132" bestFit="1" customWidth="1"/>
    <col min="6" max="6" width="9.1796875" style="136" bestFit="1" customWidth="1"/>
    <col min="7" max="7" width="10" style="132" bestFit="1" customWidth="1"/>
    <col min="8" max="8" width="9.81640625" style="132" bestFit="1" customWidth="1"/>
    <col min="9" max="9" width="15.81640625" style="132" bestFit="1" customWidth="1"/>
    <col min="10" max="10" width="7" style="132" customWidth="1"/>
    <col min="11" max="11" width="11.81640625" style="132" customWidth="1"/>
    <col min="12" max="12" width="23.54296875" style="132" bestFit="1" customWidth="1"/>
    <col min="13" max="13" width="8.81640625" style="132" customWidth="1"/>
    <col min="14" max="14" width="18.1796875" style="132" customWidth="1"/>
    <col min="15" max="15" width="17.453125" style="132" customWidth="1"/>
    <col min="16" max="16" width="8" style="132" customWidth="1"/>
    <col min="17" max="18" width="10.1796875" style="132" customWidth="1"/>
    <col min="19" max="20" width="11.1796875" style="132" customWidth="1"/>
    <col min="21" max="21" width="22.453125" style="132" bestFit="1" customWidth="1"/>
    <col min="22" max="23" width="9" style="132" bestFit="1" customWidth="1"/>
    <col min="24" max="24" width="9.1796875" style="132" bestFit="1" customWidth="1"/>
    <col min="25" max="25" width="8.81640625" style="132" bestFit="1" customWidth="1"/>
    <col min="26" max="26" width="9.81640625" style="132" bestFit="1" customWidth="1"/>
    <col min="27" max="27" width="8.81640625" style="132" bestFit="1" customWidth="1"/>
    <col min="28" max="28" width="7.81640625" style="132" bestFit="1" customWidth="1"/>
    <col min="29" max="29" width="9.453125" style="132" bestFit="1" customWidth="1"/>
    <col min="30" max="30" width="11" style="132" customWidth="1"/>
    <col min="31" max="31" width="10.1796875" style="132" bestFit="1" customWidth="1"/>
    <col min="32" max="32" width="11" style="132" customWidth="1"/>
    <col min="33" max="33" width="10.1796875" style="132" bestFit="1" customWidth="1"/>
    <col min="34" max="34" width="11.81640625" style="132" customWidth="1"/>
    <col min="35" max="39" width="11.81640625" style="132" bestFit="1" customWidth="1"/>
    <col min="40" max="40" width="12.453125" style="132" bestFit="1" customWidth="1"/>
    <col min="41" max="44" width="11.81640625" style="132" bestFit="1" customWidth="1"/>
    <col min="45" max="45" width="11" style="132" bestFit="1" customWidth="1"/>
    <col min="46" max="46" width="14.1796875" style="132" bestFit="1" customWidth="1"/>
    <col min="47" max="47" width="9.54296875" style="132" bestFit="1" customWidth="1"/>
    <col min="48" max="48" width="9.1796875" style="132"/>
    <col min="49" max="49" width="10.81640625" style="132" customWidth="1"/>
    <col min="50" max="51" width="10.1796875" style="132" bestFit="1" customWidth="1"/>
    <col min="52" max="52" width="10.81640625" style="132" bestFit="1" customWidth="1"/>
    <col min="53" max="54" width="10.1796875" style="132" bestFit="1" customWidth="1"/>
    <col min="55" max="55" width="10.81640625" style="132" bestFit="1" customWidth="1"/>
    <col min="56" max="56" width="10.453125" style="132" customWidth="1"/>
    <col min="57" max="60" width="10.1796875" style="132" bestFit="1" customWidth="1"/>
    <col min="61" max="61" width="9.1796875" style="132"/>
    <col min="62" max="62" width="10.81640625" style="132" bestFit="1" customWidth="1"/>
    <col min="63" max="102" width="9.1796875" style="132"/>
    <col min="103" max="103" width="12.1796875" style="132" bestFit="1" customWidth="1"/>
    <col min="104" max="16384" width="9.1796875" style="132"/>
  </cols>
  <sheetData>
    <row r="1" spans="1:127" ht="29" x14ac:dyDescent="0.25">
      <c r="B1" s="168" t="s">
        <v>203</v>
      </c>
      <c r="C1" s="169"/>
      <c r="D1" s="170"/>
      <c r="E1" s="169"/>
      <c r="F1" s="169"/>
      <c r="G1" s="170"/>
      <c r="H1" s="170"/>
      <c r="I1" s="169"/>
      <c r="J1" s="170"/>
      <c r="K1" s="185"/>
      <c r="L1" s="169"/>
      <c r="M1" s="169"/>
      <c r="N1" s="169"/>
      <c r="O1" s="169"/>
      <c r="P1" s="169"/>
      <c r="Q1" s="169"/>
      <c r="R1" s="185"/>
      <c r="S1" s="187">
        <f>'JV III Consolidated'!Q1</f>
        <v>46023</v>
      </c>
      <c r="T1" s="185"/>
      <c r="U1" s="185"/>
      <c r="V1" s="185"/>
      <c r="W1" s="185"/>
      <c r="X1" s="185"/>
      <c r="Y1" s="185"/>
      <c r="Z1" s="185"/>
      <c r="AA1" s="185"/>
      <c r="AB1" s="185"/>
      <c r="AC1" s="169"/>
      <c r="AD1" s="169"/>
      <c r="AE1" s="169"/>
      <c r="AF1" s="169"/>
      <c r="AG1" s="169"/>
      <c r="AH1" s="186"/>
      <c r="AJ1" s="185"/>
      <c r="AK1" s="169"/>
      <c r="AL1" s="169"/>
      <c r="AM1" s="169"/>
      <c r="AN1" s="169"/>
      <c r="AO1" s="169"/>
      <c r="AP1" s="169"/>
      <c r="AQ1" s="169"/>
      <c r="AR1" s="169"/>
      <c r="AS1" s="169"/>
      <c r="AT1" s="169"/>
      <c r="AU1" s="169"/>
      <c r="AW1" s="185"/>
      <c r="AX1" s="169"/>
      <c r="AY1" s="169"/>
      <c r="AZ1" s="169"/>
      <c r="BA1" s="169"/>
      <c r="BB1" s="169"/>
      <c r="BC1" s="169"/>
      <c r="BD1" s="169"/>
      <c r="BE1" s="169"/>
      <c r="BF1" s="169"/>
      <c r="BG1" s="169"/>
      <c r="BH1" s="169"/>
      <c r="BJ1" s="185"/>
      <c r="BK1" s="169"/>
      <c r="BL1" s="169"/>
      <c r="BM1" s="169"/>
      <c r="BN1" s="169"/>
      <c r="BO1" s="169"/>
      <c r="BP1" s="169"/>
      <c r="BQ1" s="169"/>
      <c r="BR1" s="169"/>
      <c r="BS1" s="169"/>
      <c r="BT1" s="169"/>
      <c r="BU1" s="169"/>
      <c r="CY1" s="132" t="s">
        <v>332</v>
      </c>
    </row>
    <row r="2" spans="1:127" ht="18" x14ac:dyDescent="0.25">
      <c r="A2" s="135"/>
      <c r="B2" s="171" t="str">
        <f>'JV III Consolidated'!J2</f>
        <v>Lincoln JV III</v>
      </c>
      <c r="C2" s="169"/>
      <c r="D2" s="170"/>
      <c r="E2" s="169"/>
      <c r="F2" s="169"/>
      <c r="G2" s="169"/>
      <c r="H2" s="170"/>
      <c r="I2" s="170"/>
      <c r="J2" s="170"/>
      <c r="K2" s="169"/>
      <c r="L2" s="169"/>
      <c r="M2" s="169"/>
      <c r="N2" s="169"/>
      <c r="O2" s="169"/>
      <c r="P2" s="169"/>
      <c r="Q2" s="169"/>
      <c r="R2" s="169"/>
    </row>
    <row r="3" spans="1:127" x14ac:dyDescent="0.25">
      <c r="A3" s="135"/>
      <c r="B3" s="192" t="s">
        <v>326</v>
      </c>
      <c r="C3" s="169"/>
      <c r="D3" s="170"/>
      <c r="E3" s="169"/>
      <c r="F3" s="169"/>
      <c r="G3" s="169"/>
      <c r="H3" s="170"/>
      <c r="I3" s="170"/>
      <c r="J3" s="170"/>
      <c r="K3" s="169"/>
      <c r="L3" s="169"/>
      <c r="M3" s="169"/>
      <c r="N3" s="169"/>
      <c r="O3" s="169"/>
      <c r="P3" s="169"/>
      <c r="Q3" s="169"/>
      <c r="R3" s="169"/>
    </row>
    <row r="4" spans="1:127" x14ac:dyDescent="0.25">
      <c r="A4" s="135"/>
      <c r="C4" s="172"/>
      <c r="D4" s="198"/>
      <c r="E4" s="222"/>
      <c r="G4" s="169"/>
      <c r="H4" s="170"/>
      <c r="I4" s="135"/>
      <c r="J4" s="135"/>
    </row>
    <row r="5" spans="1:127" ht="18" x14ac:dyDescent="0.25">
      <c r="A5" s="161">
        <v>3610</v>
      </c>
      <c r="D5" s="170"/>
      <c r="E5" s="169"/>
      <c r="G5" s="170"/>
      <c r="H5" s="170"/>
      <c r="I5" s="135"/>
      <c r="J5" s="135"/>
    </row>
    <row r="6" spans="1:127" ht="17.5" x14ac:dyDescent="0.25">
      <c r="A6" s="199">
        <v>41821</v>
      </c>
      <c r="B6" s="200">
        <f>(A6-C24)/A6</f>
        <v>0.48863011405753093</v>
      </c>
      <c r="D6" s="201" t="str">
        <f>"Vacancies - "&amp;A5</f>
        <v>Vacancies - 3610</v>
      </c>
      <c r="E6" s="170"/>
      <c r="F6" s="170"/>
      <c r="G6" s="170"/>
      <c r="H6" s="170"/>
      <c r="I6" s="169"/>
      <c r="J6" s="135"/>
      <c r="N6" s="201" t="str">
        <f>"Renewals - "&amp;A5</f>
        <v>Renewals - 3610</v>
      </c>
      <c r="O6" s="170"/>
      <c r="P6" s="170"/>
      <c r="Q6" s="170"/>
      <c r="R6" s="170"/>
      <c r="S6" s="169"/>
    </row>
    <row r="7" spans="1:127" ht="18" x14ac:dyDescent="0.35">
      <c r="D7" s="476" t="s">
        <v>327</v>
      </c>
      <c r="E7" s="477"/>
      <c r="F7" s="477"/>
      <c r="G7" s="477"/>
      <c r="H7" s="477"/>
      <c r="I7" s="478"/>
      <c r="L7" s="7"/>
      <c r="M7" s="158"/>
      <c r="N7" s="476" t="s">
        <v>327</v>
      </c>
      <c r="O7" s="477"/>
      <c r="P7" s="477"/>
      <c r="Q7" s="477"/>
      <c r="R7" s="477"/>
      <c r="S7" s="478"/>
      <c r="U7" s="160">
        <f>A5</f>
        <v>3610</v>
      </c>
      <c r="V7" s="480">
        <v>2025</v>
      </c>
      <c r="W7" s="480"/>
      <c r="X7" s="480"/>
      <c r="Y7" s="480"/>
      <c r="Z7" s="480"/>
      <c r="AA7" s="480"/>
      <c r="AB7" s="480"/>
      <c r="AC7" s="480"/>
      <c r="AD7" s="480"/>
      <c r="AE7" s="480"/>
      <c r="AF7" s="480"/>
      <c r="AG7" s="480"/>
      <c r="AH7" s="480">
        <f>V7+1</f>
        <v>2026</v>
      </c>
      <c r="AI7" s="480"/>
      <c r="AJ7" s="480"/>
      <c r="AK7" s="480"/>
      <c r="AL7" s="480"/>
      <c r="AM7" s="480"/>
      <c r="AN7" s="480"/>
      <c r="AO7" s="480"/>
      <c r="AP7" s="480"/>
      <c r="AQ7" s="480"/>
      <c r="AR7" s="480"/>
      <c r="AS7" s="480"/>
      <c r="CZ7" s="479" t="s">
        <v>237</v>
      </c>
      <c r="DA7" s="479"/>
      <c r="DB7" s="479"/>
      <c r="DC7" s="479"/>
      <c r="DD7" s="479"/>
      <c r="DE7" s="479"/>
      <c r="DF7" s="479"/>
      <c r="DG7" s="479"/>
      <c r="DH7" s="479"/>
      <c r="DI7" s="479"/>
      <c r="DJ7" s="479"/>
      <c r="DK7" s="479"/>
      <c r="DL7" s="479" t="s">
        <v>286</v>
      </c>
      <c r="DM7" s="481"/>
      <c r="DN7" s="481"/>
      <c r="DO7" s="481"/>
      <c r="DP7" s="481"/>
      <c r="DQ7" s="481"/>
      <c r="DR7" s="481"/>
      <c r="DS7" s="481"/>
      <c r="DT7" s="481"/>
      <c r="DU7" s="481"/>
      <c r="DV7" s="481"/>
      <c r="DW7" s="481"/>
    </row>
    <row r="8" spans="1:127" x14ac:dyDescent="0.35">
      <c r="A8" s="147" t="s">
        <v>205</v>
      </c>
      <c r="B8" s="16" t="s">
        <v>323</v>
      </c>
      <c r="C8" s="154" t="s">
        <v>202</v>
      </c>
      <c r="D8" s="177" t="s">
        <v>328</v>
      </c>
      <c r="E8" s="147" t="s">
        <v>329</v>
      </c>
      <c r="F8" s="147" t="s">
        <v>331</v>
      </c>
      <c r="G8" s="146" t="s">
        <v>201</v>
      </c>
      <c r="H8" s="159" t="s">
        <v>324</v>
      </c>
      <c r="I8" s="149" t="s">
        <v>200</v>
      </c>
      <c r="J8" s="136"/>
      <c r="K8" s="147" t="s">
        <v>205</v>
      </c>
      <c r="L8" s="16" t="s">
        <v>323</v>
      </c>
      <c r="M8" s="154" t="s">
        <v>202</v>
      </c>
      <c r="N8" s="177" t="s">
        <v>328</v>
      </c>
      <c r="O8" s="147" t="s">
        <v>329</v>
      </c>
      <c r="P8" s="147" t="s">
        <v>331</v>
      </c>
      <c r="Q8" s="146" t="s">
        <v>201</v>
      </c>
      <c r="R8" s="159" t="s">
        <v>324</v>
      </c>
      <c r="S8" s="149" t="s">
        <v>200</v>
      </c>
      <c r="V8" s="178">
        <v>45658</v>
      </c>
      <c r="W8" s="6">
        <v>45689</v>
      </c>
      <c r="X8" s="6">
        <v>45717</v>
      </c>
      <c r="Y8" s="6">
        <v>45748</v>
      </c>
      <c r="Z8" s="6">
        <v>45778</v>
      </c>
      <c r="AA8" s="6">
        <v>45809</v>
      </c>
      <c r="AB8" s="6">
        <v>45839</v>
      </c>
      <c r="AC8" s="6">
        <v>45870</v>
      </c>
      <c r="AD8" s="6">
        <v>45901</v>
      </c>
      <c r="AE8" s="6">
        <v>45931</v>
      </c>
      <c r="AF8" s="6">
        <v>45962</v>
      </c>
      <c r="AG8" s="179">
        <v>45992</v>
      </c>
      <c r="AH8" s="6">
        <v>46023</v>
      </c>
      <c r="AI8" s="6">
        <v>46054</v>
      </c>
      <c r="AJ8" s="6">
        <v>46082</v>
      </c>
      <c r="AK8" s="6">
        <v>46113</v>
      </c>
      <c r="AL8" s="6">
        <v>46143</v>
      </c>
      <c r="AM8" s="6">
        <v>46174</v>
      </c>
      <c r="AN8" s="6">
        <v>46204</v>
      </c>
      <c r="AO8" s="6">
        <v>46235</v>
      </c>
      <c r="AP8" s="6">
        <v>46266</v>
      </c>
      <c r="AQ8" s="6">
        <v>46296</v>
      </c>
      <c r="AR8" s="6">
        <v>46327</v>
      </c>
      <c r="AS8" s="6">
        <v>46357</v>
      </c>
      <c r="AT8" s="218" t="str">
        <f>AH7&amp;" - Totals"</f>
        <v>2026 - Totals</v>
      </c>
      <c r="CZ8" s="178">
        <v>45658</v>
      </c>
      <c r="DA8" s="6">
        <v>45689</v>
      </c>
      <c r="DB8" s="6">
        <v>45717</v>
      </c>
      <c r="DC8" s="6">
        <v>45748</v>
      </c>
      <c r="DD8" s="6">
        <v>45778</v>
      </c>
      <c r="DE8" s="6">
        <v>45809</v>
      </c>
      <c r="DF8" s="6">
        <v>45839</v>
      </c>
      <c r="DG8" s="6">
        <v>45870</v>
      </c>
      <c r="DH8" s="6">
        <v>45901</v>
      </c>
      <c r="DI8" s="6">
        <v>45931</v>
      </c>
      <c r="DJ8" s="6">
        <v>45962</v>
      </c>
      <c r="DK8" s="179">
        <v>45992</v>
      </c>
      <c r="DL8" s="6">
        <v>46023</v>
      </c>
      <c r="DM8" s="6">
        <v>46054</v>
      </c>
      <c r="DN8" s="6">
        <v>46082</v>
      </c>
      <c r="DO8" s="6">
        <v>46113</v>
      </c>
      <c r="DP8" s="6">
        <v>46143</v>
      </c>
      <c r="DQ8" s="6">
        <v>46174</v>
      </c>
      <c r="DR8" s="6">
        <v>46204</v>
      </c>
      <c r="DS8" s="6">
        <v>46235</v>
      </c>
      <c r="DT8" s="6">
        <v>46266</v>
      </c>
      <c r="DU8" s="6">
        <v>46296</v>
      </c>
      <c r="DV8" s="6">
        <v>46327</v>
      </c>
      <c r="DW8" s="6">
        <v>46357</v>
      </c>
    </row>
    <row r="9" spans="1:127" x14ac:dyDescent="0.35">
      <c r="A9" s="136">
        <v>102</v>
      </c>
      <c r="B9" s="47" t="str">
        <f>IF(A9&lt;&gt;"","VACANT","")</f>
        <v>VACANT</v>
      </c>
      <c r="C9" s="155">
        <v>3370</v>
      </c>
      <c r="D9" s="173"/>
      <c r="E9" s="162"/>
      <c r="F9" s="189">
        <f>IFERROR(ROUNDUP(((DATEDIF(D9,E9,"d"))/365),1),0)</f>
        <v>0</v>
      </c>
      <c r="G9" s="163"/>
      <c r="H9" s="163"/>
      <c r="I9" s="174"/>
      <c r="J9" s="180"/>
      <c r="K9" s="136">
        <v>101</v>
      </c>
      <c r="L9" s="7" t="s">
        <v>417</v>
      </c>
      <c r="M9" s="155">
        <v>1197</v>
      </c>
      <c r="N9" s="173">
        <v>46082</v>
      </c>
      <c r="O9" s="162">
        <v>46446</v>
      </c>
      <c r="P9" s="189">
        <f>IFERROR(ROUNDUP(((DATEDIF(N9,O9,"d"))/365),1),0)</f>
        <v>1</v>
      </c>
      <c r="Q9" s="163">
        <v>18</v>
      </c>
      <c r="R9" s="163">
        <v>0</v>
      </c>
      <c r="S9" s="174">
        <v>0</v>
      </c>
      <c r="U9" s="132" t="s">
        <v>335</v>
      </c>
      <c r="V9" s="202" cm="1">
        <f t="array" ref="V9:AG9">_xlfn.LET(
  _xlpm.months, V8:AG8,
  _xlpm.totalSqft, A6,
  _xlpm.vacSF, C9:C23,
  _xlpm.vacStart, D9:D23,
  _xlpm.vacEnd, E9:E23,
  _xlpm.renSF, M9:M23,
  _xlpm.renEnd, O9:O23,
  _xlfn.MAP(_xlpm.months, _xlfn.LAMBDA(_xlpm.m,
    _xlfn.LET(
      _xlpm.vacLoss,
        SUM(
          IF(
            (ISNUMBER(_xlpm.vacSF)) *
            (
              ISBLANK(_xlpm.vacStart) + (_xlpm.m &lt; _xlpm.vacStart) +
              (ISNUMBER(_xlpm.vacEnd) * (_xlpm.m &gt; _xlpm.vacEnd))
            ),
            _xlpm.vacSF,
            0
          )
        ),
      _xlpm.renLoss,
        SUM(
          IF(
            (ISNUMBER(_xlpm.renSF)) *
            (ISNUMBER(_xlpm.renEnd)) *
            (_xlpm.m &gt; _xlpm.renEnd),
            _xlpm.renSF,
            0
          )
        ),
      ROUND((_xlpm.totalSqft - _xlpm.vacLoss - _xlpm.renLoss) / _xlpm.totalSqft, 4)
    )
  ))
)</f>
        <v>0.48859999999999998</v>
      </c>
      <c r="W9" s="203">
        <v>0.48859999999999998</v>
      </c>
      <c r="X9" s="203">
        <v>0.48859999999999998</v>
      </c>
      <c r="Y9" s="203">
        <v>0.48859999999999998</v>
      </c>
      <c r="Z9" s="203">
        <v>0.48859999999999998</v>
      </c>
      <c r="AA9" s="203">
        <v>0.48859999999999998</v>
      </c>
      <c r="AB9" s="203">
        <v>0.48859999999999998</v>
      </c>
      <c r="AC9" s="203">
        <v>0.48859999999999998</v>
      </c>
      <c r="AD9" s="203">
        <v>0.48859999999999998</v>
      </c>
      <c r="AE9" s="203">
        <v>0.48859999999999998</v>
      </c>
      <c r="AF9" s="203">
        <v>0.48859999999999998</v>
      </c>
      <c r="AG9" s="203">
        <v>0.48859999999999998</v>
      </c>
      <c r="AH9" s="202" cm="1">
        <f t="array" ref="AH9:AS9">_xlfn.LET(
  _xlpm.months, AH8:AS8,
  _xlpm.totalSqft, A6,
  _xlpm.vacSF, C9:C23,
  _xlpm.vacStart, D9:D23,
  _xlpm.vacEnd, E9:E23,
  _xlpm.renSF, M9:M23,
  _xlpm.renEnd, O9:O23,
  _xlfn.MAP(_xlpm.months, _xlfn.LAMBDA(_xlpm.m,
    _xlfn.LET(
      _xlpm.vacLoss,
        SUM(
          IF(
            (ISNUMBER(_xlpm.vacSF)) *
            (
              ISBLANK(_xlpm.vacStart) + (_xlpm.m &lt; _xlpm.vacStart) +
              (ISNUMBER(_xlpm.vacEnd) * (_xlpm.m &gt; _xlpm.vacEnd))
            ),
            _xlpm.vacSF,
            0
          )
        ),
      _xlpm.renLoss,
        SUM(
          IF(
            (ISNUMBER(_xlpm.renSF)) *
            (ISNUMBER(_xlpm.renEnd)) *
            (_xlpm.m &gt; _xlpm.renEnd),
            _xlpm.renSF,
            0
          )
        ),
      ROUND((_xlpm.totalSqft - _xlpm.vacLoss - _xlpm.renLoss) / _xlpm.totalSqft, 4)
    )
  ))
)</f>
        <v>0.58979999999999999</v>
      </c>
      <c r="AI9" s="203">
        <v>0.58979999999999999</v>
      </c>
      <c r="AJ9" s="203">
        <v>0.58979999999999999</v>
      </c>
      <c r="AK9" s="203">
        <v>0.58979999999999999</v>
      </c>
      <c r="AL9" s="203">
        <v>0.58979999999999999</v>
      </c>
      <c r="AM9" s="203">
        <v>0.58979999999999999</v>
      </c>
      <c r="AN9" s="203">
        <v>0.58979999999999999</v>
      </c>
      <c r="AO9" s="203">
        <v>0.58979999999999999</v>
      </c>
      <c r="AP9" s="203">
        <v>0.58979999999999999</v>
      </c>
      <c r="AQ9" s="203">
        <v>0.58979999999999999</v>
      </c>
      <c r="AR9" s="203">
        <v>0.58979999999999999</v>
      </c>
      <c r="AS9" s="203">
        <v>0.58979999999999999</v>
      </c>
      <c r="AT9" s="216"/>
      <c r="CZ9" s="151">
        <f t="shared" ref="CZ9:DW9" si="0">IF(AND($D9&lt;=CZ8,$E9&gt;=CZ8),(($G9*$C9)/12),0)</f>
        <v>0</v>
      </c>
      <c r="DA9" s="150">
        <f t="shared" si="0"/>
        <v>0</v>
      </c>
      <c r="DB9" s="150">
        <f t="shared" si="0"/>
        <v>0</v>
      </c>
      <c r="DC9" s="150">
        <f t="shared" si="0"/>
        <v>0</v>
      </c>
      <c r="DD9" s="150">
        <f t="shared" si="0"/>
        <v>0</v>
      </c>
      <c r="DE9" s="150">
        <f t="shared" si="0"/>
        <v>0</v>
      </c>
      <c r="DF9" s="150">
        <f t="shared" si="0"/>
        <v>0</v>
      </c>
      <c r="DG9" s="150">
        <f t="shared" si="0"/>
        <v>0</v>
      </c>
      <c r="DH9" s="150">
        <f t="shared" si="0"/>
        <v>0</v>
      </c>
      <c r="DI9" s="150">
        <f t="shared" si="0"/>
        <v>0</v>
      </c>
      <c r="DJ9" s="150">
        <f t="shared" si="0"/>
        <v>0</v>
      </c>
      <c r="DK9" s="152">
        <f t="shared" si="0"/>
        <v>0</v>
      </c>
      <c r="DL9" s="133">
        <f t="shared" si="0"/>
        <v>0</v>
      </c>
      <c r="DM9" s="133">
        <f t="shared" si="0"/>
        <v>0</v>
      </c>
      <c r="DN9" s="133">
        <f t="shared" si="0"/>
        <v>0</v>
      </c>
      <c r="DO9" s="133">
        <f t="shared" si="0"/>
        <v>0</v>
      </c>
      <c r="DP9" s="133">
        <f t="shared" si="0"/>
        <v>0</v>
      </c>
      <c r="DQ9" s="133">
        <f t="shared" si="0"/>
        <v>0</v>
      </c>
      <c r="DR9" s="133">
        <f t="shared" si="0"/>
        <v>0</v>
      </c>
      <c r="DS9" s="133">
        <f t="shared" si="0"/>
        <v>0</v>
      </c>
      <c r="DT9" s="133">
        <f t="shared" si="0"/>
        <v>0</v>
      </c>
      <c r="DU9" s="133">
        <f t="shared" si="0"/>
        <v>0</v>
      </c>
      <c r="DV9" s="133">
        <f t="shared" si="0"/>
        <v>0</v>
      </c>
      <c r="DW9" s="133">
        <f t="shared" si="0"/>
        <v>0</v>
      </c>
    </row>
    <row r="10" spans="1:127" x14ac:dyDescent="0.35">
      <c r="A10" s="136">
        <v>109</v>
      </c>
      <c r="B10" s="7" t="str">
        <f t="shared" ref="B10:B23" si="1">IF(A10&lt;&gt;"","VACANT","")</f>
        <v>VACANT</v>
      </c>
      <c r="C10" s="155">
        <v>1759</v>
      </c>
      <c r="D10" s="173"/>
      <c r="E10" s="162"/>
      <c r="F10" s="136">
        <f t="shared" ref="F10:F23" si="2">IFERROR(ROUNDUP(((DATEDIF(D10,E10,"d"))/365),1),0)</f>
        <v>0</v>
      </c>
      <c r="G10" s="163"/>
      <c r="H10" s="163"/>
      <c r="I10" s="174"/>
      <c r="J10" s="180"/>
      <c r="K10" s="136">
        <v>104</v>
      </c>
      <c r="L10" s="7" t="s">
        <v>418</v>
      </c>
      <c r="M10" s="155">
        <v>2522</v>
      </c>
      <c r="N10" s="173">
        <v>46054</v>
      </c>
      <c r="O10" s="162">
        <v>47149</v>
      </c>
      <c r="P10" s="136">
        <f t="shared" ref="P10:P23" si="3">IFERROR(ROUNDUP(((DATEDIF(N10,O10,"d"))/365),1),0)</f>
        <v>3</v>
      </c>
      <c r="Q10" s="163">
        <v>20</v>
      </c>
      <c r="R10" s="163">
        <v>0</v>
      </c>
      <c r="S10" s="174">
        <v>0.03</v>
      </c>
      <c r="U10" s="132" t="s">
        <v>333</v>
      </c>
      <c r="V10" s="151" cm="1">
        <f t="array" ref="V10">((SUMPRODUCT(($D$9:$D$23&lt;=V$8) * ($E$9:$E$23&gt;=V$8) * ($G$9:$G$23 * $C$9:$C$23)))+(SUMPRODUCT(($N$9:$N$23&lt;=V$8) * ($O$9:$O$23&gt;=V$8) * ($Q$9:$Q$23 * $M$9:$M$23))))/12</f>
        <v>0</v>
      </c>
      <c r="W10" s="133" cm="1">
        <f t="array" ref="W10">((SUMPRODUCT(($D$9:$D$23&lt;=W$8) * ($E$9:$E$23&gt;=W$8) * ($G$9:$G$23 * $C$9:$C$23)))+(SUMPRODUCT(($N$9:$N$23&lt;=W$8) * ($O$9:$O$23&gt;=W$8) * ($Q$9:$Q$23 * $M$9:$M$23))))/12</f>
        <v>0</v>
      </c>
      <c r="X10" s="133" cm="1">
        <f t="array" ref="X10">((SUMPRODUCT(($D$9:$D$23&lt;=X$8) * ($E$9:$E$23&gt;=X$8) * ($G$9:$G$23 * $C$9:$C$23)))+(SUMPRODUCT(($N$9:$N$23&lt;=X$8) * ($O$9:$O$23&gt;=X$8) * ($Q$9:$Q$23 * $M$9:$M$23))))/12</f>
        <v>0</v>
      </c>
      <c r="Y10" s="133" cm="1">
        <f t="array" ref="Y10">((SUMPRODUCT(($D$9:$D$23&lt;=Y$8) * ($E$9:$E$23&gt;=Y$8) * ($G$9:$G$23 * $C$9:$C$23)))+(SUMPRODUCT(($N$9:$N$23&lt;=Y$8) * ($O$9:$O$23&gt;=Y$8) * ($Q$9:$Q$23 * $M$9:$M$23))))/12</f>
        <v>0</v>
      </c>
      <c r="Z10" s="133" cm="1">
        <f t="array" ref="Z10">((SUMPRODUCT(($D$9:$D$23&lt;=Z$8) * ($E$9:$E$23&gt;=Z$8) * ($G$9:$G$23 * $C$9:$C$23)))+(SUMPRODUCT(($N$9:$N$23&lt;=Z$8) * ($O$9:$O$23&gt;=Z$8) * ($Q$9:$Q$23 * $M$9:$M$23))))/12</f>
        <v>0</v>
      </c>
      <c r="AA10" s="133" cm="1">
        <f t="array" ref="AA10">((SUMPRODUCT(($D$9:$D$23&lt;=AA$8) * ($E$9:$E$23&gt;=AA$8) * ($G$9:$G$23 * $C$9:$C$23)))+(SUMPRODUCT(($N$9:$N$23&lt;=AA$8) * ($O$9:$O$23&gt;=AA$8) * ($Q$9:$Q$23 * $M$9:$M$23))))/12</f>
        <v>0</v>
      </c>
      <c r="AB10" s="133" cm="1">
        <f t="array" ref="AB10">((SUMPRODUCT(($D$9:$D$23&lt;=AB$8) * ($E$9:$E$23&gt;=AB$8) * ($G$9:$G$23 * $C$9:$C$23)))+(SUMPRODUCT(($N$9:$N$23&lt;=AB$8) * ($O$9:$O$23&gt;=AB$8) * ($Q$9:$Q$23 * $M$9:$M$23))))/12</f>
        <v>0</v>
      </c>
      <c r="AC10" s="133" cm="1">
        <f t="array" ref="AC10">((SUMPRODUCT(($D$9:$D$23&lt;=AC$8) * ($E$9:$E$23&gt;=AC$8) * ($G$9:$G$23 * $C$9:$C$23)))+(SUMPRODUCT(($N$9:$N$23&lt;=AC$8) * ($O$9:$O$23&gt;=AC$8) * ($Q$9:$Q$23 * $M$9:$M$23))))/12</f>
        <v>0</v>
      </c>
      <c r="AD10" s="133" cm="1">
        <f t="array" ref="AD10">((SUMPRODUCT(($D$9:$D$23&lt;=AD$8) * ($E$9:$E$23&gt;=AD$8) * ($G$9:$G$23 * $C$9:$C$23)))+(SUMPRODUCT(($N$9:$N$23&lt;=AD$8) * ($O$9:$O$23&gt;=AD$8) * ($Q$9:$Q$23 * $M$9:$M$23))))/12</f>
        <v>0</v>
      </c>
      <c r="AE10" s="133" cm="1">
        <f t="array" ref="AE10">((SUMPRODUCT(($D$9:$D$23&lt;=AE$8) * ($E$9:$E$23&gt;=AE$8) * ($G$9:$G$23 * $C$9:$C$23)))+(SUMPRODUCT(($N$9:$N$23&lt;=AE$8) * ($O$9:$O$23&gt;=AE$8) * ($Q$9:$Q$23 * $M$9:$M$23))))/12</f>
        <v>0</v>
      </c>
      <c r="AF10" s="133" cm="1">
        <f t="array" ref="AF10">((SUMPRODUCT(($D$9:$D$23&lt;=AF$8) * ($E$9:$E$23&gt;=AF$8) * ($G$9:$G$23 * $C$9:$C$23)))+(SUMPRODUCT(($N$9:$N$23&lt;=AF$8) * ($O$9:$O$23&gt;=AF$8) * ($Q$9:$Q$23 * $M$9:$M$23))))/12</f>
        <v>0</v>
      </c>
      <c r="AG10" s="133" cm="1">
        <f t="array" ref="AG10">((SUMPRODUCT(($D$9:$D$23&lt;=AG$8) * ($E$9:$E$23&gt;=AG$8) * ($G$9:$G$23 * $C$9:$C$23)))+(SUMPRODUCT(($N$9:$N$23&lt;=AG$8) * ($O$9:$O$23&gt;=AG$8) * ($Q$9:$Q$23 * $M$9:$M$23))))/12</f>
        <v>2907.5416666666665</v>
      </c>
      <c r="AH10" s="151" cm="1">
        <f t="array" ref="AH10">((SUMPRODUCT(($D$9:$D$23&lt;=AH$8) * ($E$9:$E$23&gt;=AH$8) * ($G$9:$G$23 * $C$9:$C$23)))+(SUMPRODUCT(($N$9:$N$23&lt;=AH$8) * ($O$9:$O$23&gt;=AH$8) * ($Q$9:$Q$23 * $M$9:$M$23))))/12</f>
        <v>9431.875</v>
      </c>
      <c r="AI10" s="133" cm="1">
        <f t="array" ref="AI10">((SUMPRODUCT(($D$9:$D$23&lt;=AI$8) * ($E$9:$E$23&gt;=AI$8) * ($G$9:$G$23 * $C$9:$C$23)))+(SUMPRODUCT(($N$9:$N$23&lt;=AI$8) * ($O$9:$O$23&gt;=AI$8) * ($Q$9:$Q$23 * $M$9:$M$23))))/12</f>
        <v>13635.208333333334</v>
      </c>
      <c r="AJ10" s="133" cm="1">
        <f t="array" ref="AJ10">((SUMPRODUCT(($D$9:$D$23&lt;=AJ$8) * ($E$9:$E$23&gt;=AJ$8) * ($G$9:$G$23 * $C$9:$C$23)))+(SUMPRODUCT(($N$9:$N$23&lt;=AJ$8) * ($O$9:$O$23&gt;=AJ$8) * ($Q$9:$Q$23 * $M$9:$M$23))))/12</f>
        <v>15430.708333333334</v>
      </c>
      <c r="AK10" s="133" cm="1">
        <f t="array" ref="AK10">((SUMPRODUCT(($D$9:$D$23&lt;=AK$8) * ($E$9:$E$23&gt;=AK$8) * ($G$9:$G$23 * $C$9:$C$23)))+(SUMPRODUCT(($N$9:$N$23&lt;=AK$8) * ($O$9:$O$23&gt;=AK$8) * ($Q$9:$Q$23 * $M$9:$M$23))))/12</f>
        <v>15430.708333333334</v>
      </c>
      <c r="AL10" s="133" cm="1">
        <f t="array" ref="AL10">((SUMPRODUCT(($D$9:$D$23&lt;=AL$8) * ($E$9:$E$23&gt;=AL$8) * ($G$9:$G$23 * $C$9:$C$23)))+(SUMPRODUCT(($N$9:$N$23&lt;=AL$8) * ($O$9:$O$23&gt;=AL$8) * ($Q$9:$Q$23 * $M$9:$M$23))))/12</f>
        <v>17475.708333333332</v>
      </c>
      <c r="AM10" s="133" cm="1">
        <f t="array" ref="AM10">((SUMPRODUCT(($D$9:$D$23&lt;=AM$8) * ($E$9:$E$23&gt;=AM$8) * ($G$9:$G$23 * $C$9:$C$23)))+(SUMPRODUCT(($N$9:$N$23&lt;=AM$8) * ($O$9:$O$23&gt;=AM$8) * ($Q$9:$Q$23 * $M$9:$M$23))))/12</f>
        <v>23605.291666666668</v>
      </c>
      <c r="AN10" s="133" cm="1">
        <f t="array" ref="AN10">((SUMPRODUCT(($D$9:$D$23&lt;=AN$8) * ($E$9:$E$23&gt;=AN$8) * ($G$9:$G$23 * $C$9:$C$23)))+(SUMPRODUCT(($N$9:$N$23&lt;=AN$8) * ($O$9:$O$23&gt;=AN$8) * ($Q$9:$Q$23 * $M$9:$M$23))))/12</f>
        <v>25407.916666666668</v>
      </c>
      <c r="AO10" s="133" cm="1">
        <f t="array" ref="AO10">((SUMPRODUCT(($D$9:$D$23&lt;=AO$8) * ($E$9:$E$23&gt;=AO$8) * ($G$9:$G$23 * $C$9:$C$23)))+(SUMPRODUCT(($N$9:$N$23&lt;=AO$8) * ($O$9:$O$23&gt;=AO$8) * ($Q$9:$Q$23 * $M$9:$M$23))))/12</f>
        <v>26658.916666666668</v>
      </c>
      <c r="AP10" s="133" cm="1">
        <f t="array" ref="AP10">((SUMPRODUCT(($D$9:$D$23&lt;=AP$8) * ($E$9:$E$23&gt;=AP$8) * ($G$9:$G$23 * $C$9:$C$23)))+(SUMPRODUCT(($N$9:$N$23&lt;=AP$8) * ($O$9:$O$23&gt;=AP$8) * ($Q$9:$Q$23 * $M$9:$M$23))))/12</f>
        <v>26658.916666666668</v>
      </c>
      <c r="AQ10" s="133" cm="1">
        <f t="array" ref="AQ10">((SUMPRODUCT(($D$9:$D$23&lt;=AQ$8) * ($E$9:$E$23&gt;=AQ$8) * ($G$9:$G$23 * $C$9:$C$23)))+(SUMPRODUCT(($N$9:$N$23&lt;=AQ$8) * ($O$9:$O$23&gt;=AQ$8) * ($Q$9:$Q$23 * $M$9:$M$23))))/12</f>
        <v>28368.916666666668</v>
      </c>
      <c r="AR10" s="133" cm="1">
        <f t="array" ref="AR10">((SUMPRODUCT(($D$9:$D$23&lt;=AR$8) * ($E$9:$E$23&gt;=AR$8) * ($G$9:$G$23 * $C$9:$C$23)))+(SUMPRODUCT(($N$9:$N$23&lt;=AR$8) * ($O$9:$O$23&gt;=AR$8) * ($Q$9:$Q$23 * $M$9:$M$23))))/12</f>
        <v>29871.916666666668</v>
      </c>
      <c r="AS10" s="133" cm="1">
        <f t="array" ref="AS10">((SUMPRODUCT(($D$9:$D$23&lt;=AS$8) * ($E$9:$E$23&gt;=AS$8) * ($G$9:$G$23 * $C$9:$C$23)))+(SUMPRODUCT(($N$9:$N$23&lt;=AS$8) * ($O$9:$O$23&gt;=AS$8) * ($Q$9:$Q$23 * $M$9:$M$23))))/12</f>
        <v>29871.916666666668</v>
      </c>
      <c r="AT10" s="217">
        <f>SUM(AH10:AS10)</f>
        <v>261847.99999999997</v>
      </c>
      <c r="CZ10" s="151">
        <f t="shared" ref="CZ10:DI23" si="4">IF(AND($D10&lt;=CZ$8,$E10&gt;=CZ$8),(($G10*$C10)/12),0)</f>
        <v>0</v>
      </c>
      <c r="DA10" s="150">
        <f t="shared" si="4"/>
        <v>0</v>
      </c>
      <c r="DB10" s="150">
        <f t="shared" si="4"/>
        <v>0</v>
      </c>
      <c r="DC10" s="150">
        <f t="shared" si="4"/>
        <v>0</v>
      </c>
      <c r="DD10" s="150">
        <f t="shared" si="4"/>
        <v>0</v>
      </c>
      <c r="DE10" s="150">
        <f t="shared" si="4"/>
        <v>0</v>
      </c>
      <c r="DF10" s="150">
        <f t="shared" si="4"/>
        <v>0</v>
      </c>
      <c r="DG10" s="150">
        <f t="shared" si="4"/>
        <v>0</v>
      </c>
      <c r="DH10" s="150">
        <f t="shared" si="4"/>
        <v>0</v>
      </c>
      <c r="DI10" s="150">
        <f t="shared" si="4"/>
        <v>0</v>
      </c>
      <c r="DJ10" s="150">
        <f t="shared" ref="DJ10:DW23" si="5">IF(AND($D10&lt;=DJ$8,$E10&gt;=DJ$8),(($G10*$C10)/12),0)</f>
        <v>0</v>
      </c>
      <c r="DK10" s="152">
        <f t="shared" si="5"/>
        <v>0</v>
      </c>
      <c r="DL10" s="133">
        <f t="shared" si="5"/>
        <v>0</v>
      </c>
      <c r="DM10" s="133">
        <f t="shared" si="5"/>
        <v>0</v>
      </c>
      <c r="DN10" s="133">
        <f t="shared" si="5"/>
        <v>0</v>
      </c>
      <c r="DO10" s="133">
        <f t="shared" si="5"/>
        <v>0</v>
      </c>
      <c r="DP10" s="133">
        <f t="shared" si="5"/>
        <v>0</v>
      </c>
      <c r="DQ10" s="133">
        <f t="shared" si="5"/>
        <v>0</v>
      </c>
      <c r="DR10" s="133">
        <f t="shared" si="5"/>
        <v>0</v>
      </c>
      <c r="DS10" s="133">
        <f t="shared" si="5"/>
        <v>0</v>
      </c>
      <c r="DT10" s="133">
        <f t="shared" si="5"/>
        <v>0</v>
      </c>
      <c r="DU10" s="133">
        <f t="shared" si="5"/>
        <v>0</v>
      </c>
      <c r="DV10" s="133">
        <f t="shared" si="5"/>
        <v>0</v>
      </c>
      <c r="DW10" s="133">
        <f t="shared" si="5"/>
        <v>0</v>
      </c>
    </row>
    <row r="11" spans="1:127" x14ac:dyDescent="0.35">
      <c r="A11" s="136">
        <v>206</v>
      </c>
      <c r="B11" s="7" t="str">
        <f t="shared" si="1"/>
        <v>VACANT</v>
      </c>
      <c r="C11" s="155">
        <v>1838</v>
      </c>
      <c r="D11" s="173">
        <v>46023</v>
      </c>
      <c r="E11" s="162">
        <v>46752</v>
      </c>
      <c r="F11" s="136">
        <f t="shared" si="2"/>
        <v>2</v>
      </c>
      <c r="G11" s="163">
        <v>18.5</v>
      </c>
      <c r="H11" s="163">
        <v>0</v>
      </c>
      <c r="I11" s="190">
        <v>5.5E-2</v>
      </c>
      <c r="J11" s="270"/>
      <c r="K11" s="136">
        <v>105</v>
      </c>
      <c r="L11" s="7" t="s">
        <v>419</v>
      </c>
      <c r="M11" s="155">
        <v>1140</v>
      </c>
      <c r="N11" s="173">
        <v>46296</v>
      </c>
      <c r="O11" s="162">
        <v>46660</v>
      </c>
      <c r="P11" s="136">
        <f t="shared" si="3"/>
        <v>1</v>
      </c>
      <c r="Q11" s="163">
        <v>18</v>
      </c>
      <c r="R11" s="163">
        <v>0</v>
      </c>
      <c r="S11" s="174">
        <v>0</v>
      </c>
      <c r="U11" s="132" t="s">
        <v>330</v>
      </c>
      <c r="V11" s="151" cm="1">
        <f t="array" ref="V11">(SUMPRODUCT((TEXT($N9:$N23,"yyyymm")=TEXT(V$8,"yyyymm")) * ($R9:$R23 * $M9:$M23)))+(SUMPRODUCT((TEXT($D9:$D23,"yyyymm")=TEXT(V$8,"yyyymm")) * ($H9:$H23 * $C9:$C23)))</f>
        <v>0</v>
      </c>
      <c r="W11" s="133" cm="1">
        <f t="array" ref="W11">(SUMPRODUCT((TEXT($N9:$N23,"yyyymm")=TEXT(W$8,"yyyymm")) * ($R9:$R23 * $M9:$M23)))+(SUMPRODUCT((TEXT($D9:$D23,"yyyymm")=TEXT(W$8,"yyyymm")) * ($H9:$H23 * $C9:$C23)))</f>
        <v>0</v>
      </c>
      <c r="X11" s="133" cm="1">
        <f t="array" ref="X11">(SUMPRODUCT((TEXT($N9:$N23,"yyyymm")=TEXT(X$8,"yyyymm")) * ($R9:$R23 * $M9:$M23)))+(SUMPRODUCT((TEXT($D9:$D23,"yyyymm")=TEXT(X$8,"yyyymm")) * ($H9:$H23 * $C9:$C23)))</f>
        <v>0</v>
      </c>
      <c r="Y11" s="133" cm="1">
        <f t="array" ref="Y11">(SUMPRODUCT((TEXT($N9:$N23,"yyyymm")=TEXT(Y$8,"yyyymm")) * ($R9:$R23 * $M9:$M23)))+(SUMPRODUCT((TEXT($D9:$D23,"yyyymm")=TEXT(Y$8,"yyyymm")) * ($H9:$H23 * $C9:$C23)))</f>
        <v>0</v>
      </c>
      <c r="Z11" s="133" cm="1">
        <f t="array" ref="Z11">(SUMPRODUCT((TEXT($N9:$N23,"yyyymm")=TEXT(Z$8,"yyyymm")) * ($R9:$R23 * $M9:$M23)))+(SUMPRODUCT((TEXT($D9:$D23,"yyyymm")=TEXT(Z$8,"yyyymm")) * ($H9:$H23 * $C9:$C23)))</f>
        <v>0</v>
      </c>
      <c r="AA11" s="133" cm="1">
        <f t="array" ref="AA11">(SUMPRODUCT((TEXT($N9:$N23,"yyyymm")=TEXT(AA$8,"yyyymm")) * ($R9:$R23 * $M9:$M23)))+(SUMPRODUCT((TEXT($D9:$D23,"yyyymm")=TEXT(AA$8,"yyyymm")) * ($H9:$H23 * $C9:$C23)))</f>
        <v>0</v>
      </c>
      <c r="AB11" s="133" cm="1">
        <f t="array" ref="AB11">(SUMPRODUCT((TEXT($N9:$N23,"yyyymm")=TEXT(AB$8,"yyyymm")) * ($R9:$R23 * $M9:$M23)))+(SUMPRODUCT((TEXT($D9:$D23,"yyyymm")=TEXT(AB$8,"yyyymm")) * ($H9:$H23 * $C9:$C23)))</f>
        <v>0</v>
      </c>
      <c r="AC11" s="133" cm="1">
        <f t="array" ref="AC11">(SUMPRODUCT((TEXT($N9:$N23,"yyyymm")=TEXT(AC$8,"yyyymm")) * ($R9:$R23 * $M9:$M23)))+(SUMPRODUCT((TEXT($D9:$D23,"yyyymm")=TEXT(AC$8,"yyyymm")) * ($H9:$H23 * $C9:$C23)))</f>
        <v>0</v>
      </c>
      <c r="AD11" s="133" cm="1">
        <f t="array" ref="AD11">(SUMPRODUCT((TEXT($N9:$N23,"yyyymm")=TEXT(AD$8,"yyyymm")) * ($R9:$R23 * $M9:$M23)))+(SUMPRODUCT((TEXT($D9:$D23,"yyyymm")=TEXT(AD$8,"yyyymm")) * ($H9:$H23 * $C9:$C23)))</f>
        <v>0</v>
      </c>
      <c r="AE11" s="133" cm="1">
        <f t="array" ref="AE11">(SUMPRODUCT((TEXT($N9:$N23,"yyyymm")=TEXT(AE$8,"yyyymm")) * ($R9:$R23 * $M9:$M23)))+(SUMPRODUCT((TEXT($D9:$D23,"yyyymm")=TEXT(AE$8,"yyyymm")) * ($H9:$H23 * $C9:$C23)))</f>
        <v>0</v>
      </c>
      <c r="AF11" s="133" cm="1">
        <f t="array" ref="AF11">(SUMPRODUCT((TEXT($N9:$N23,"yyyymm")=TEXT(AF$8,"yyyymm")) * ($R9:$R23 * $M9:$M23)))+(SUMPRODUCT((TEXT($D9:$D23,"yyyymm")=TEXT(AF$8,"yyyymm")) * ($H9:$H23 * $C9:$C23)))</f>
        <v>0</v>
      </c>
      <c r="AG11" s="133" cm="1">
        <f t="array" ref="AG11">(SUMPRODUCT((TEXT($N9:$N23,"yyyymm")=TEXT(AG$8,"yyyymm")) * ($R9:$R23 * $M9:$M23)))+(SUMPRODUCT((TEXT($D9:$D23,"yyyymm")=TEXT(AG$8,"yyyymm")) * ($H9:$H23 * $C9:$C23)))</f>
        <v>0</v>
      </c>
      <c r="AH11" s="151" cm="1">
        <f t="array" ref="AH11">(SUMPRODUCT((TEXT($N9:$N23,"yyyymm")=TEXT(AH$8,"yyyymm")) * ($R9:$R23 * $M9:$M23)))+(SUMPRODUCT((TEXT($D9:$D23,"yyyymm")=TEXT(AH$8,"yyyymm")) * ($H9:$H23 * $C9:$C23)))</f>
        <v>9576</v>
      </c>
      <c r="AI11" s="133" cm="1">
        <f t="array" ref="AI11">(SUMPRODUCT((TEXT($N9:$N23,"yyyymm")=TEXT(AI$8,"yyyymm")) * ($R9:$R23 * $M9:$M23)))+(SUMPRODUCT((TEXT($D9:$D23,"yyyymm")=TEXT(AI$8,"yyyymm")) * ($H9:$H23 * $C9:$C23)))</f>
        <v>0</v>
      </c>
      <c r="AJ11" s="133" cm="1">
        <f t="array" ref="AJ11">(SUMPRODUCT((TEXT($N9:$N23,"yyyymm")=TEXT(AJ$8,"yyyymm")) * ($R9:$R23 * $M9:$M23)))+(SUMPRODUCT((TEXT($D9:$D23,"yyyymm")=TEXT(AJ$8,"yyyymm")) * ($H9:$H23 * $C9:$C23)))</f>
        <v>0</v>
      </c>
      <c r="AK11" s="133" cm="1">
        <f t="array" ref="AK11">(SUMPRODUCT((TEXT($N9:$N23,"yyyymm")=TEXT(AK$8,"yyyymm")) * ($R9:$R23 * $M9:$M23)))+(SUMPRODUCT((TEXT($D9:$D23,"yyyymm")=TEXT(AK$8,"yyyymm")) * ($H9:$H23 * $C9:$C23)))</f>
        <v>0</v>
      </c>
      <c r="AL11" s="133" cm="1">
        <f t="array" ref="AL11">(SUMPRODUCT((TEXT($N9:$N23,"yyyymm")=TEXT(AL$8,"yyyymm")) * ($R9:$R23 * $M9:$M23)))+(SUMPRODUCT((TEXT($D9:$D23,"yyyymm")=TEXT(AL$8,"yyyymm")) * ($H9:$H23 * $C9:$C23)))</f>
        <v>0</v>
      </c>
      <c r="AM11" s="133" cm="1">
        <f t="array" ref="AM11">(SUMPRODUCT((TEXT($N9:$N23,"yyyymm")=TEXT(AM$8,"yyyymm")) * ($R9:$R23 * $M9:$M23)))+(SUMPRODUCT((TEXT($D9:$D23,"yyyymm")=TEXT(AM$8,"yyyymm")) * ($H9:$H23 * $C9:$C23)))</f>
        <v>0</v>
      </c>
      <c r="AN11" s="133" cm="1">
        <f t="array" ref="AN11">(SUMPRODUCT((TEXT($N9:$N23,"yyyymm")=TEXT(AN$8,"yyyymm")) * ($R9:$R23 * $M9:$M23)))+(SUMPRODUCT((TEXT($D9:$D23,"yyyymm")=TEXT(AN$8,"yyyymm")) * ($H9:$H23 * $C9:$C23)))</f>
        <v>0</v>
      </c>
      <c r="AO11" s="133" cm="1">
        <f t="array" ref="AO11">(SUMPRODUCT((TEXT($N9:$N23,"yyyymm")=TEXT(AO$8,"yyyymm")) * ($R9:$R23 * $M9:$M23)))+(SUMPRODUCT((TEXT($D9:$D23,"yyyymm")=TEXT(AO$8,"yyyymm")) * ($H9:$H23 * $C9:$C23)))</f>
        <v>0</v>
      </c>
      <c r="AP11" s="133" cm="1">
        <f t="array" ref="AP11">(SUMPRODUCT((TEXT($N9:$N23,"yyyymm")=TEXT(AP$8,"yyyymm")) * ($R9:$R23 * $M9:$M23)))+(SUMPRODUCT((TEXT($D9:$D23,"yyyymm")=TEXT(AP$8,"yyyymm")) * ($H9:$H23 * $C9:$C23)))</f>
        <v>0</v>
      </c>
      <c r="AQ11" s="133" cm="1">
        <f t="array" ref="AQ11">(SUMPRODUCT((TEXT($N9:$N23,"yyyymm")=TEXT(AQ$8,"yyyymm")) * ($R9:$R23 * $M9:$M23)))+(SUMPRODUCT((TEXT($D9:$D23,"yyyymm")=TEXT(AQ$8,"yyyymm")) * ($H9:$H23 * $C9:$C23)))</f>
        <v>0</v>
      </c>
      <c r="AR11" s="133" cm="1">
        <f t="array" ref="AR11">(SUMPRODUCT((TEXT($N9:$N23,"yyyymm")=TEXT(AR$8,"yyyymm")) * ($R9:$R23 * $M9:$M23)))+(SUMPRODUCT((TEXT($D9:$D23,"yyyymm")=TEXT(AR$8,"yyyymm")) * ($H9:$H23 * $C9:$C23)))</f>
        <v>3006</v>
      </c>
      <c r="AS11" s="133" cm="1">
        <f t="array" ref="AS11">(SUMPRODUCT((TEXT($N9:$N23,"yyyymm")=TEXT(AS$8,"yyyymm")) * ($R9:$R23 * $M9:$M23)))+(SUMPRODUCT((TEXT($D9:$D23,"yyyymm")=TEXT(AS$8,"yyyymm")) * ($H9:$H23 * $C9:$C23)))</f>
        <v>0</v>
      </c>
      <c r="AT11" s="217">
        <f t="shared" ref="AT11:AT12" si="6">SUM(AH11:AS11)</f>
        <v>12582</v>
      </c>
      <c r="CZ11" s="151">
        <f t="shared" si="4"/>
        <v>0</v>
      </c>
      <c r="DA11" s="150">
        <f t="shared" si="4"/>
        <v>0</v>
      </c>
      <c r="DB11" s="150">
        <f t="shared" si="4"/>
        <v>0</v>
      </c>
      <c r="DC11" s="150">
        <f t="shared" si="4"/>
        <v>0</v>
      </c>
      <c r="DD11" s="150">
        <f t="shared" si="4"/>
        <v>0</v>
      </c>
      <c r="DE11" s="150">
        <f t="shared" si="4"/>
        <v>0</v>
      </c>
      <c r="DF11" s="150">
        <f t="shared" si="4"/>
        <v>0</v>
      </c>
      <c r="DG11" s="150">
        <f t="shared" si="4"/>
        <v>0</v>
      </c>
      <c r="DH11" s="150">
        <f t="shared" si="4"/>
        <v>0</v>
      </c>
      <c r="DI11" s="150">
        <f t="shared" si="4"/>
        <v>0</v>
      </c>
      <c r="DJ11" s="150">
        <f t="shared" si="5"/>
        <v>0</v>
      </c>
      <c r="DK11" s="152">
        <f t="shared" si="5"/>
        <v>0</v>
      </c>
      <c r="DL11" s="133">
        <f t="shared" si="5"/>
        <v>2833.5833333333335</v>
      </c>
      <c r="DM11" s="133">
        <f t="shared" si="5"/>
        <v>2833.5833333333335</v>
      </c>
      <c r="DN11" s="133">
        <f t="shared" si="5"/>
        <v>2833.5833333333335</v>
      </c>
      <c r="DO11" s="133">
        <f t="shared" si="5"/>
        <v>2833.5833333333335</v>
      </c>
      <c r="DP11" s="133">
        <f t="shared" si="5"/>
        <v>2833.5833333333335</v>
      </c>
      <c r="DQ11" s="133">
        <f t="shared" si="5"/>
        <v>2833.5833333333335</v>
      </c>
      <c r="DR11" s="133">
        <f t="shared" si="5"/>
        <v>2833.5833333333335</v>
      </c>
      <c r="DS11" s="133">
        <f t="shared" si="5"/>
        <v>2833.5833333333335</v>
      </c>
      <c r="DT11" s="133">
        <f t="shared" si="5"/>
        <v>2833.5833333333335</v>
      </c>
      <c r="DU11" s="133">
        <f t="shared" si="5"/>
        <v>2833.5833333333335</v>
      </c>
      <c r="DV11" s="133">
        <f t="shared" si="5"/>
        <v>2833.5833333333335</v>
      </c>
      <c r="DW11" s="133">
        <f t="shared" si="5"/>
        <v>2833.5833333333335</v>
      </c>
    </row>
    <row r="12" spans="1:127" x14ac:dyDescent="0.35">
      <c r="A12" s="136">
        <v>207</v>
      </c>
      <c r="B12" s="7" t="str">
        <f t="shared" si="1"/>
        <v>VACANT</v>
      </c>
      <c r="C12" s="155">
        <v>6959</v>
      </c>
      <c r="D12" s="173"/>
      <c r="E12" s="164"/>
      <c r="F12" s="136">
        <f t="shared" si="2"/>
        <v>0</v>
      </c>
      <c r="G12" s="165"/>
      <c r="H12" s="163"/>
      <c r="I12" s="191"/>
      <c r="J12" s="280"/>
      <c r="K12" s="136">
        <v>106</v>
      </c>
      <c r="L12" s="7" t="s">
        <v>420</v>
      </c>
      <c r="M12" s="155">
        <v>1002</v>
      </c>
      <c r="N12" s="173">
        <v>46327</v>
      </c>
      <c r="O12" s="164">
        <v>47057</v>
      </c>
      <c r="P12" s="136">
        <f t="shared" si="3"/>
        <v>2</v>
      </c>
      <c r="Q12" s="165">
        <v>18</v>
      </c>
      <c r="R12" s="163">
        <v>3</v>
      </c>
      <c r="S12" s="174">
        <v>0.03</v>
      </c>
      <c r="U12" s="132" t="s">
        <v>334</v>
      </c>
      <c r="V12" s="151" cm="1">
        <f t="array" ref="V12">IFERROR((SUMPRODUCT((TEXT($N9:$N23,"yyyymm")=TEXT(V$8,"yyyymm")) * ($S9:$S23 * $M9:$M23*$Q9:$Q23*$P9:$P23)))+(SUMPRODUCT((TEXT($D9:$D23,"yyyymm")=TEXT(V$8,"yyyymm")) * ($I9:$I23 * $C9:$C23*$G9:$G23*$F9:$F23))),0)</f>
        <v>0</v>
      </c>
      <c r="W12" s="133" cm="1">
        <f t="array" ref="W12">IFERROR((SUMPRODUCT((TEXT($N9:$N23,"yyyymm")=TEXT(W$8,"yyyymm")) * ($S9:$S23 * $M9:$M23*$Q9:$Q23*$P9:$P23)))+(SUMPRODUCT((TEXT($D9:$D23,"yyyymm")=TEXT(W$8,"yyyymm")) * ($I9:$I23 * $C9:$C23*$G9:$G23*$F9:$F23))),0)</f>
        <v>0</v>
      </c>
      <c r="X12" s="133" cm="1">
        <f t="array" ref="X12">IFERROR((SUMPRODUCT((TEXT($N9:$N23,"yyyymm")=TEXT(X$8,"yyyymm")) * ($S9:$S23 * $M9:$M23*$Q9:$Q23*$P9:$P23)))+(SUMPRODUCT((TEXT($D9:$D23,"yyyymm")=TEXT(X$8,"yyyymm")) * ($I9:$I23 * $C9:$C23*$G9:$G23*$F9:$F23))),0)</f>
        <v>0</v>
      </c>
      <c r="Y12" s="133" cm="1">
        <f t="array" ref="Y12">IFERROR((SUMPRODUCT((TEXT($N9:$N23,"yyyymm")=TEXT(Y$8,"yyyymm")) * ($S9:$S23 * $M9:$M23*$Q9:$Q23*$P9:$P23)))+(SUMPRODUCT((TEXT($D9:$D23,"yyyymm")=TEXT(Y$8,"yyyymm")) * ($I9:$I23 * $C9:$C23*$G9:$G23*$F9:$F23))),0)</f>
        <v>0</v>
      </c>
      <c r="Z12" s="133" cm="1">
        <f t="array" ref="Z12">IFERROR((SUMPRODUCT((TEXT($N9:$N23,"yyyymm")=TEXT(Z$8,"yyyymm")) * ($S9:$S23 * $M9:$M23*$Q9:$Q23*$P9:$P23)))+(SUMPRODUCT((TEXT($D9:$D23,"yyyymm")=TEXT(Z$8,"yyyymm")) * ($I9:$I23 * $C9:$C23*$G9:$G23*$F9:$F23))),0)</f>
        <v>0</v>
      </c>
      <c r="AA12" s="133" cm="1">
        <f t="array" ref="AA12">IFERROR((SUMPRODUCT((TEXT($N9:$N23,"yyyymm")=TEXT(AA$8,"yyyymm")) * ($S9:$S23 * $M9:$M23*$Q9:$Q23*$P9:$P23)))+(SUMPRODUCT((TEXT($D9:$D23,"yyyymm")=TEXT(AA$8,"yyyymm")) * ($I9:$I23 * $C9:$C23*$G9:$G23*$F9:$F23))),0)</f>
        <v>0</v>
      </c>
      <c r="AB12" s="133" cm="1">
        <f t="array" ref="AB12">IFERROR((SUMPRODUCT((TEXT($N9:$N23,"yyyymm")=TEXT(AB$8,"yyyymm")) * ($S9:$S23 * $M9:$M23*$Q9:$Q23*$P9:$P23)))+(SUMPRODUCT((TEXT($D9:$D23,"yyyymm")=TEXT(AB$8,"yyyymm")) * ($I9:$I23 * $C9:$C23*$G9:$G23*$F9:$F23))),0)</f>
        <v>0</v>
      </c>
      <c r="AC12" s="133" cm="1">
        <f t="array" ref="AC12">IFERROR((SUMPRODUCT((TEXT($N9:$N23,"yyyymm")=TEXT(AC$8,"yyyymm")) * ($S9:$S23 * $M9:$M23*$Q9:$Q23*$P9:$P23)))+(SUMPRODUCT((TEXT($D9:$D23,"yyyymm")=TEXT(AC$8,"yyyymm")) * ($I9:$I23 * $C9:$C23*$G9:$G23*$F9:$F23))),0)</f>
        <v>0</v>
      </c>
      <c r="AD12" s="133" cm="1">
        <f t="array" ref="AD12">IFERROR((SUMPRODUCT((TEXT($N9:$N23,"yyyymm")=TEXT(AD$8,"yyyymm")) * ($S9:$S23 * $M9:$M23*$Q9:$Q23*$P9:$P23)))+(SUMPRODUCT((TEXT($D9:$D23,"yyyymm")=TEXT(AD$8,"yyyymm")) * ($I9:$I23 * $C9:$C23*$G9:$G23*$F9:$F23))),0)</f>
        <v>0</v>
      </c>
      <c r="AE12" s="133" cm="1">
        <f t="array" ref="AE12">IFERROR((SUMPRODUCT((TEXT($N9:$N23,"yyyymm")=TEXT(AE$8,"yyyymm")) * ($S9:$S23 * $M9:$M23*$Q9:$Q23*$P9:$P23)))+(SUMPRODUCT((TEXT($D9:$D23,"yyyymm")=TEXT(AE$8,"yyyymm")) * ($I9:$I23 * $C9:$C23*$G9:$G23*$F9:$F23))),0)</f>
        <v>0</v>
      </c>
      <c r="AF12" s="133" cm="1">
        <f t="array" ref="AF12">IFERROR((SUMPRODUCT((TEXT($N9:$N23,"yyyymm")=TEXT(AF$8,"yyyymm")) * ($S9:$S23 * $M9:$M23*$Q9:$Q23*$P9:$P23)))+(SUMPRODUCT((TEXT($D9:$D23,"yyyymm")=TEXT(AF$8,"yyyymm")) * ($I9:$I23 * $C9:$C23*$G9:$G23*$F9:$F23))),0)</f>
        <v>0</v>
      </c>
      <c r="AG12" s="133" cm="1">
        <f t="array" ref="AG12">IFERROR((SUMPRODUCT((TEXT($N9:$N23,"yyyymm")=TEXT(AG$8,"yyyymm")) * ($S9:$S23 * $M9:$M23*$Q9:$Q23*$P9:$P23)))+(SUMPRODUCT((TEXT($D9:$D23,"yyyymm")=TEXT(AG$8,"yyyymm")) * ($I9:$I23 * $C9:$C23*$G9:$G23*$F9:$F23))),0)</f>
        <v>0</v>
      </c>
      <c r="AH12" s="151" cm="1">
        <f t="array" ref="AH12">IFERROR((SUMPRODUCT((TEXT($N9:$N23,"yyyymm")=TEXT(AH$8,"yyyymm")) * ($S9:$S23 * $M9:$M23*$Q9:$Q23*$P9:$P23)))+(SUMPRODUCT((TEXT($D9:$D23,"yyyymm")=TEXT(AH$8,"yyyymm")) * ($I9:$I23 * $C9:$C23*$G9:$G23*$F9:$F23))),0)</f>
        <v>10383.68</v>
      </c>
      <c r="AI12" s="133" cm="1">
        <f t="array" ref="AI12">IFERROR((SUMPRODUCT((TEXT($N9:$N23,"yyyymm")=TEXT(AI$8,"yyyymm")) * ($S9:$S23 * $M9:$M23*$Q9:$Q23*$P9:$P23)))+(SUMPRODUCT((TEXT($D9:$D23,"yyyymm")=TEXT(AI$8,"yyyymm")) * ($I9:$I23 * $C9:$C23*$G9:$G23*$F9:$F23))),0)</f>
        <v>4539.5999999999995</v>
      </c>
      <c r="AJ12" s="133" cm="1">
        <f t="array" ref="AJ12">IFERROR((SUMPRODUCT((TEXT($N9:$N23,"yyyymm")=TEXT(AJ$8,"yyyymm")) * ($S9:$S23 * $M9:$M23*$Q9:$Q23*$P9:$P23)))+(SUMPRODUCT((TEXT($D9:$D23,"yyyymm")=TEXT(AJ$8,"yyyymm")) * ($I9:$I23 * $C9:$C23*$G9:$G23*$F9:$F23))),0)</f>
        <v>0</v>
      </c>
      <c r="AK12" s="133" cm="1">
        <f t="array" ref="AK12">IFERROR((SUMPRODUCT((TEXT($N9:$N23,"yyyymm")=TEXT(AK$8,"yyyymm")) * ($S9:$S23 * $M9:$M23*$Q9:$Q23*$P9:$P23)))+(SUMPRODUCT((TEXT($D9:$D23,"yyyymm")=TEXT(AK$8,"yyyymm")) * ($I9:$I23 * $C9:$C23*$G9:$G23*$F9:$F23))),0)</f>
        <v>0</v>
      </c>
      <c r="AL12" s="133" cm="1">
        <f t="array" ref="AL12">IFERROR((SUMPRODUCT((TEXT($N9:$N23,"yyyymm")=TEXT(AL$8,"yyyymm")) * ($S9:$S23 * $M9:$M23*$Q9:$Q23*$P9:$P23)))+(SUMPRODUCT((TEXT($D9:$D23,"yyyymm")=TEXT(AL$8,"yyyymm")) * ($I9:$I23 * $C9:$C23*$G9:$G23*$F9:$F23))),0)</f>
        <v>0</v>
      </c>
      <c r="AM12" s="133" cm="1">
        <f t="array" ref="AM12">IFERROR((SUMPRODUCT((TEXT($N9:$N23,"yyyymm")=TEXT(AM$8,"yyyymm")) * ($S9:$S23 * $M9:$M23*$Q9:$Q23*$P9:$P23)))+(SUMPRODUCT((TEXT($D9:$D23,"yyyymm")=TEXT(AM$8,"yyyymm")) * ($I9:$I23 * $C9:$C23*$G9:$G23*$F9:$F23))),0)</f>
        <v>652.65</v>
      </c>
      <c r="AN12" s="133" cm="1">
        <f t="array" ref="AN12">IFERROR((SUMPRODUCT((TEXT($N9:$N23,"yyyymm")=TEXT(AN$8,"yyyymm")) * ($S9:$S23 * $M9:$M23*$Q9:$Q23*$P9:$P23)))+(SUMPRODUCT((TEXT($D9:$D23,"yyyymm")=TEXT(AN$8,"yyyymm")) * ($I9:$I23 * $C9:$C23*$G9:$G23*$F9:$F23))),0)</f>
        <v>648.94499999999994</v>
      </c>
      <c r="AO12" s="133" cm="1">
        <f t="array" ref="AO12">IFERROR((SUMPRODUCT((TEXT($N9:$N23,"yyyymm")=TEXT(AO$8,"yyyymm")) * ($S9:$S23 * $M9:$M23*$Q9:$Q23*$P9:$P23)))+(SUMPRODUCT((TEXT($D9:$D23,"yyyymm")=TEXT(AO$8,"yyyymm")) * ($I9:$I23 * $C9:$C23*$G9:$G23*$F9:$F23))),0)</f>
        <v>900.72</v>
      </c>
      <c r="AP12" s="133" cm="1">
        <f t="array" ref="AP12">IFERROR((SUMPRODUCT((TEXT($N9:$N23,"yyyymm")=TEXT(AP$8,"yyyymm")) * ($S9:$S23 * $M9:$M23*$Q9:$Q23*$P9:$P23)))+(SUMPRODUCT((TEXT($D9:$D23,"yyyymm")=TEXT(AP$8,"yyyymm")) * ($I9:$I23 * $C9:$C23*$G9:$G23*$F9:$F23))),0)</f>
        <v>0</v>
      </c>
      <c r="AQ12" s="133" cm="1">
        <f t="array" ref="AQ12">IFERROR((SUMPRODUCT((TEXT($N9:$N23,"yyyymm")=TEXT(AQ$8,"yyyymm")) * ($S9:$S23 * $M9:$M23*$Q9:$Q23*$P9:$P23)))+(SUMPRODUCT((TEXT($D9:$D23,"yyyymm")=TEXT(AQ$8,"yyyymm")) * ($I9:$I23 * $C9:$C23*$G9:$G23*$F9:$F23))),0)</f>
        <v>0</v>
      </c>
      <c r="AR12" s="133" cm="1">
        <f t="array" ref="AR12">IFERROR((SUMPRODUCT((TEXT($N9:$N23,"yyyymm")=TEXT(AR$8,"yyyymm")) * ($S9:$S23 * $M9:$M23*$Q9:$Q23*$P9:$P23)))+(SUMPRODUCT((TEXT($D9:$D23,"yyyymm")=TEXT(AR$8,"yyyymm")) * ($I9:$I23 * $C9:$C23*$G9:$G23*$F9:$F23))),0)</f>
        <v>1082.1599999999999</v>
      </c>
      <c r="AS12" s="133" cm="1">
        <f t="array" ref="AS12">IFERROR((SUMPRODUCT((TEXT($N9:$N23,"yyyymm")=TEXT(AS$8,"yyyymm")) * ($S9:$S23 * $M9:$M23*$Q9:$Q23*$P9:$P23)))+(SUMPRODUCT((TEXT($D9:$D23,"yyyymm")=TEXT(AS$8,"yyyymm")) * ($I9:$I23 * $C9:$C23*$G9:$G23*$F9:$F23))),0)</f>
        <v>0</v>
      </c>
      <c r="AT12" s="217">
        <f t="shared" si="6"/>
        <v>18207.754999999997</v>
      </c>
      <c r="CZ12" s="151">
        <f t="shared" si="4"/>
        <v>0</v>
      </c>
      <c r="DA12" s="150">
        <f t="shared" si="4"/>
        <v>0</v>
      </c>
      <c r="DB12" s="150">
        <f t="shared" si="4"/>
        <v>0</v>
      </c>
      <c r="DC12" s="150">
        <f t="shared" si="4"/>
        <v>0</v>
      </c>
      <c r="DD12" s="150">
        <f t="shared" si="4"/>
        <v>0</v>
      </c>
      <c r="DE12" s="150">
        <f t="shared" si="4"/>
        <v>0</v>
      </c>
      <c r="DF12" s="150">
        <f t="shared" si="4"/>
        <v>0</v>
      </c>
      <c r="DG12" s="150">
        <f t="shared" si="4"/>
        <v>0</v>
      </c>
      <c r="DH12" s="150">
        <f t="shared" si="4"/>
        <v>0</v>
      </c>
      <c r="DI12" s="150">
        <f t="shared" si="4"/>
        <v>0</v>
      </c>
      <c r="DJ12" s="150">
        <f t="shared" si="5"/>
        <v>0</v>
      </c>
      <c r="DK12" s="152">
        <f t="shared" si="5"/>
        <v>0</v>
      </c>
      <c r="DL12" s="133">
        <f t="shared" si="5"/>
        <v>0</v>
      </c>
      <c r="DM12" s="133">
        <f t="shared" si="5"/>
        <v>0</v>
      </c>
      <c r="DN12" s="133">
        <f t="shared" si="5"/>
        <v>0</v>
      </c>
      <c r="DO12" s="133">
        <f t="shared" si="5"/>
        <v>0</v>
      </c>
      <c r="DP12" s="133">
        <f t="shared" si="5"/>
        <v>0</v>
      </c>
      <c r="DQ12" s="133">
        <f t="shared" si="5"/>
        <v>0</v>
      </c>
      <c r="DR12" s="133">
        <f t="shared" si="5"/>
        <v>0</v>
      </c>
      <c r="DS12" s="133">
        <f t="shared" si="5"/>
        <v>0</v>
      </c>
      <c r="DT12" s="133">
        <f t="shared" si="5"/>
        <v>0</v>
      </c>
      <c r="DU12" s="133">
        <f t="shared" si="5"/>
        <v>0</v>
      </c>
      <c r="DV12" s="133">
        <f t="shared" si="5"/>
        <v>0</v>
      </c>
      <c r="DW12" s="133">
        <f t="shared" si="5"/>
        <v>0</v>
      </c>
    </row>
    <row r="13" spans="1:127" ht="17.5" x14ac:dyDescent="0.35">
      <c r="A13" s="136">
        <v>301</v>
      </c>
      <c r="B13" s="7" t="str">
        <f t="shared" si="1"/>
        <v>VACANT</v>
      </c>
      <c r="C13" s="155">
        <v>2394</v>
      </c>
      <c r="D13" s="173">
        <v>46023</v>
      </c>
      <c r="E13" s="162">
        <v>47118</v>
      </c>
      <c r="F13" s="136">
        <f t="shared" si="2"/>
        <v>3</v>
      </c>
      <c r="G13" s="163">
        <v>18.5</v>
      </c>
      <c r="H13" s="163">
        <v>4</v>
      </c>
      <c r="I13" s="174">
        <v>0.05</v>
      </c>
      <c r="K13" s="136">
        <v>203</v>
      </c>
      <c r="L13" s="132" t="s">
        <v>421</v>
      </c>
      <c r="M13" s="132">
        <v>1311</v>
      </c>
      <c r="N13" s="173">
        <v>46204</v>
      </c>
      <c r="O13" s="162">
        <v>46568</v>
      </c>
      <c r="P13" s="136">
        <f t="shared" ref="P13:P20" si="7">IFERROR(ROUNDUP(((DATEDIF(N13,O13,"d"))/365),1),0)</f>
        <v>1</v>
      </c>
      <c r="Q13" s="163">
        <v>16.5</v>
      </c>
      <c r="R13" s="163">
        <v>0</v>
      </c>
      <c r="S13" s="174">
        <v>0.03</v>
      </c>
      <c r="U13" s="193" t="s">
        <v>300</v>
      </c>
      <c r="V13" s="103">
        <f>SUM(V10:V12)</f>
        <v>0</v>
      </c>
      <c r="W13" s="103">
        <f t="shared" ref="W13:AT13" si="8">SUM(W10:W12)</f>
        <v>0</v>
      </c>
      <c r="X13" s="103">
        <f t="shared" si="8"/>
        <v>0</v>
      </c>
      <c r="Y13" s="103">
        <f t="shared" si="8"/>
        <v>0</v>
      </c>
      <c r="Z13" s="103">
        <f t="shared" si="8"/>
        <v>0</v>
      </c>
      <c r="AA13" s="103">
        <f t="shared" si="8"/>
        <v>0</v>
      </c>
      <c r="AB13" s="103">
        <f t="shared" si="8"/>
        <v>0</v>
      </c>
      <c r="AC13" s="103">
        <f t="shared" si="8"/>
        <v>0</v>
      </c>
      <c r="AD13" s="103">
        <f t="shared" si="8"/>
        <v>0</v>
      </c>
      <c r="AE13" s="103">
        <f t="shared" si="8"/>
        <v>0</v>
      </c>
      <c r="AF13" s="103">
        <f t="shared" si="8"/>
        <v>0</v>
      </c>
      <c r="AG13" s="103">
        <f t="shared" si="8"/>
        <v>2907.5416666666665</v>
      </c>
      <c r="AH13" s="103">
        <f t="shared" si="8"/>
        <v>29391.555</v>
      </c>
      <c r="AI13" s="103">
        <f t="shared" si="8"/>
        <v>18174.808333333334</v>
      </c>
      <c r="AJ13" s="103">
        <f t="shared" si="8"/>
        <v>15430.708333333334</v>
      </c>
      <c r="AK13" s="103">
        <f t="shared" si="8"/>
        <v>15430.708333333334</v>
      </c>
      <c r="AL13" s="103">
        <f t="shared" si="8"/>
        <v>17475.708333333332</v>
      </c>
      <c r="AM13" s="103">
        <f t="shared" si="8"/>
        <v>24257.941666666669</v>
      </c>
      <c r="AN13" s="103">
        <f t="shared" si="8"/>
        <v>26056.861666666668</v>
      </c>
      <c r="AO13" s="103">
        <f t="shared" si="8"/>
        <v>27559.636666666669</v>
      </c>
      <c r="AP13" s="103">
        <f t="shared" si="8"/>
        <v>26658.916666666668</v>
      </c>
      <c r="AQ13" s="103">
        <f t="shared" si="8"/>
        <v>28368.916666666668</v>
      </c>
      <c r="AR13" s="103">
        <f t="shared" si="8"/>
        <v>33960.076666666675</v>
      </c>
      <c r="AS13" s="103">
        <f t="shared" si="8"/>
        <v>29871.916666666668</v>
      </c>
      <c r="AT13" s="103">
        <f t="shared" si="8"/>
        <v>292637.755</v>
      </c>
      <c r="CZ13" s="151">
        <f t="shared" si="4"/>
        <v>0</v>
      </c>
      <c r="DA13" s="150">
        <f t="shared" si="4"/>
        <v>0</v>
      </c>
      <c r="DB13" s="150">
        <f t="shared" si="4"/>
        <v>0</v>
      </c>
      <c r="DC13" s="150">
        <f t="shared" si="4"/>
        <v>0</v>
      </c>
      <c r="DD13" s="150">
        <f t="shared" si="4"/>
        <v>0</v>
      </c>
      <c r="DE13" s="150">
        <f t="shared" si="4"/>
        <v>0</v>
      </c>
      <c r="DF13" s="150">
        <f t="shared" si="4"/>
        <v>0</v>
      </c>
      <c r="DG13" s="150">
        <f t="shared" si="4"/>
        <v>0</v>
      </c>
      <c r="DH13" s="150">
        <f t="shared" si="4"/>
        <v>0</v>
      </c>
      <c r="DI13" s="150">
        <f t="shared" si="4"/>
        <v>0</v>
      </c>
      <c r="DJ13" s="150">
        <f t="shared" si="5"/>
        <v>0</v>
      </c>
      <c r="DK13" s="152">
        <f t="shared" si="5"/>
        <v>0</v>
      </c>
      <c r="DL13" s="133">
        <f t="shared" si="5"/>
        <v>3690.75</v>
      </c>
      <c r="DM13" s="133">
        <f t="shared" si="5"/>
        <v>3690.75</v>
      </c>
      <c r="DN13" s="133">
        <f t="shared" si="5"/>
        <v>3690.75</v>
      </c>
      <c r="DO13" s="133">
        <f t="shared" si="5"/>
        <v>3690.75</v>
      </c>
      <c r="DP13" s="133">
        <f t="shared" si="5"/>
        <v>3690.75</v>
      </c>
      <c r="DQ13" s="133">
        <f t="shared" si="5"/>
        <v>3690.75</v>
      </c>
      <c r="DR13" s="133">
        <f t="shared" si="5"/>
        <v>3690.75</v>
      </c>
      <c r="DS13" s="133">
        <f t="shared" si="5"/>
        <v>3690.75</v>
      </c>
      <c r="DT13" s="133">
        <f t="shared" si="5"/>
        <v>3690.75</v>
      </c>
      <c r="DU13" s="133">
        <f t="shared" si="5"/>
        <v>3690.75</v>
      </c>
      <c r="DV13" s="133">
        <f t="shared" si="5"/>
        <v>3690.75</v>
      </c>
      <c r="DW13" s="133">
        <f t="shared" si="5"/>
        <v>3690.75</v>
      </c>
    </row>
    <row r="14" spans="1:127" x14ac:dyDescent="0.35">
      <c r="A14" s="136">
        <v>304</v>
      </c>
      <c r="B14" s="7" t="str">
        <f t="shared" si="1"/>
        <v>VACANT</v>
      </c>
      <c r="C14" s="155">
        <v>2702</v>
      </c>
      <c r="D14" s="173"/>
      <c r="E14" s="162"/>
      <c r="F14" s="136">
        <f t="shared" si="2"/>
        <v>0</v>
      </c>
      <c r="G14" s="163"/>
      <c r="H14" s="163"/>
      <c r="I14" s="174"/>
      <c r="J14" s="134"/>
      <c r="K14" s="136">
        <v>205</v>
      </c>
      <c r="L14" s="7" t="s">
        <v>422</v>
      </c>
      <c r="M14" s="155">
        <v>612</v>
      </c>
      <c r="N14" s="271">
        <v>46143</v>
      </c>
      <c r="O14" s="162">
        <v>46873</v>
      </c>
      <c r="P14" s="136">
        <f t="shared" si="7"/>
        <v>2</v>
      </c>
      <c r="Q14" s="163">
        <v>20</v>
      </c>
      <c r="R14" s="165">
        <v>0</v>
      </c>
      <c r="S14" s="174">
        <v>0</v>
      </c>
      <c r="AI14" s="133"/>
      <c r="CZ14" s="151">
        <f t="shared" si="4"/>
        <v>0</v>
      </c>
      <c r="DA14" s="150">
        <f t="shared" si="4"/>
        <v>0</v>
      </c>
      <c r="DB14" s="150">
        <f t="shared" si="4"/>
        <v>0</v>
      </c>
      <c r="DC14" s="150">
        <f t="shared" si="4"/>
        <v>0</v>
      </c>
      <c r="DD14" s="150">
        <f t="shared" si="4"/>
        <v>0</v>
      </c>
      <c r="DE14" s="150">
        <f t="shared" si="4"/>
        <v>0</v>
      </c>
      <c r="DF14" s="150">
        <f t="shared" si="4"/>
        <v>0</v>
      </c>
      <c r="DG14" s="150">
        <f t="shared" si="4"/>
        <v>0</v>
      </c>
      <c r="DH14" s="150">
        <f t="shared" si="4"/>
        <v>0</v>
      </c>
      <c r="DI14" s="150">
        <f t="shared" si="4"/>
        <v>0</v>
      </c>
      <c r="DJ14" s="150">
        <f t="shared" si="5"/>
        <v>0</v>
      </c>
      <c r="DK14" s="152">
        <f t="shared" si="5"/>
        <v>0</v>
      </c>
      <c r="DL14" s="133">
        <f t="shared" si="5"/>
        <v>0</v>
      </c>
      <c r="DM14" s="133">
        <f t="shared" si="5"/>
        <v>0</v>
      </c>
      <c r="DN14" s="133">
        <f t="shared" si="5"/>
        <v>0</v>
      </c>
      <c r="DO14" s="133">
        <f t="shared" si="5"/>
        <v>0</v>
      </c>
      <c r="DP14" s="133">
        <f t="shared" si="5"/>
        <v>0</v>
      </c>
      <c r="DQ14" s="133">
        <f t="shared" si="5"/>
        <v>0</v>
      </c>
      <c r="DR14" s="133">
        <f t="shared" si="5"/>
        <v>0</v>
      </c>
      <c r="DS14" s="133">
        <f t="shared" si="5"/>
        <v>0</v>
      </c>
      <c r="DT14" s="133">
        <f t="shared" si="5"/>
        <v>0</v>
      </c>
      <c r="DU14" s="133">
        <f t="shared" si="5"/>
        <v>0</v>
      </c>
      <c r="DV14" s="133">
        <f t="shared" si="5"/>
        <v>0</v>
      </c>
      <c r="DW14" s="133">
        <f t="shared" si="5"/>
        <v>0</v>
      </c>
    </row>
    <row r="15" spans="1:127" x14ac:dyDescent="0.35">
      <c r="A15" s="136">
        <v>206</v>
      </c>
      <c r="B15" s="7" t="str">
        <f t="shared" si="1"/>
        <v>VACANT</v>
      </c>
      <c r="C15" s="155">
        <v>2364</v>
      </c>
      <c r="D15" s="173"/>
      <c r="E15" s="162"/>
      <c r="F15" s="136">
        <f t="shared" si="2"/>
        <v>0</v>
      </c>
      <c r="G15" s="163"/>
      <c r="H15" s="165"/>
      <c r="I15" s="174"/>
      <c r="J15" s="270"/>
      <c r="K15" s="136">
        <v>209</v>
      </c>
      <c r="L15" s="7" t="s">
        <v>423</v>
      </c>
      <c r="M15" s="141">
        <v>600</v>
      </c>
      <c r="N15" s="173">
        <v>46143</v>
      </c>
      <c r="O15" s="162">
        <v>46873</v>
      </c>
      <c r="P15" s="136">
        <f t="shared" si="7"/>
        <v>2</v>
      </c>
      <c r="Q15" s="163">
        <v>20.5</v>
      </c>
      <c r="R15" s="165">
        <v>0</v>
      </c>
      <c r="S15" s="174">
        <v>0</v>
      </c>
      <c r="U15" s="188" t="s">
        <v>336</v>
      </c>
      <c r="AI15" s="133"/>
      <c r="CZ15" s="151">
        <f t="shared" si="4"/>
        <v>0</v>
      </c>
      <c r="DA15" s="150">
        <f t="shared" si="4"/>
        <v>0</v>
      </c>
      <c r="DB15" s="150">
        <f t="shared" si="4"/>
        <v>0</v>
      </c>
      <c r="DC15" s="150">
        <f t="shared" si="4"/>
        <v>0</v>
      </c>
      <c r="DD15" s="150">
        <f t="shared" si="4"/>
        <v>0</v>
      </c>
      <c r="DE15" s="150">
        <f t="shared" si="4"/>
        <v>0</v>
      </c>
      <c r="DF15" s="150">
        <f t="shared" si="4"/>
        <v>0</v>
      </c>
      <c r="DG15" s="150">
        <f t="shared" si="4"/>
        <v>0</v>
      </c>
      <c r="DH15" s="150">
        <f t="shared" si="4"/>
        <v>0</v>
      </c>
      <c r="DI15" s="150">
        <f t="shared" si="4"/>
        <v>0</v>
      </c>
      <c r="DJ15" s="150">
        <f t="shared" si="5"/>
        <v>0</v>
      </c>
      <c r="DK15" s="152">
        <f t="shared" si="5"/>
        <v>0</v>
      </c>
      <c r="DL15" s="133">
        <f t="shared" si="5"/>
        <v>0</v>
      </c>
      <c r="DM15" s="133">
        <f t="shared" si="5"/>
        <v>0</v>
      </c>
      <c r="DN15" s="133">
        <f t="shared" si="5"/>
        <v>0</v>
      </c>
      <c r="DO15" s="133">
        <f t="shared" si="5"/>
        <v>0</v>
      </c>
      <c r="DP15" s="133">
        <f t="shared" si="5"/>
        <v>0</v>
      </c>
      <c r="DQ15" s="133">
        <f t="shared" si="5"/>
        <v>0</v>
      </c>
      <c r="DR15" s="133">
        <f t="shared" si="5"/>
        <v>0</v>
      </c>
      <c r="DS15" s="133">
        <f t="shared" si="5"/>
        <v>0</v>
      </c>
      <c r="DT15" s="133">
        <f t="shared" si="5"/>
        <v>0</v>
      </c>
      <c r="DU15" s="133">
        <f t="shared" si="5"/>
        <v>0</v>
      </c>
      <c r="DV15" s="133">
        <f t="shared" si="5"/>
        <v>0</v>
      </c>
      <c r="DW15" s="133">
        <f t="shared" si="5"/>
        <v>0</v>
      </c>
    </row>
    <row r="16" spans="1:127" x14ac:dyDescent="0.35">
      <c r="B16" s="7" t="str">
        <f>IF(A16&lt;&gt;"","VACANT","")</f>
        <v/>
      </c>
      <c r="C16" s="155"/>
      <c r="D16" s="173"/>
      <c r="E16" s="162"/>
      <c r="F16" s="136">
        <f t="shared" si="2"/>
        <v>0</v>
      </c>
      <c r="G16" s="163"/>
      <c r="H16" s="165"/>
      <c r="I16" s="174"/>
      <c r="J16" s="270"/>
      <c r="K16" s="136">
        <v>300</v>
      </c>
      <c r="L16" s="7" t="s">
        <v>424</v>
      </c>
      <c r="M16" s="141">
        <v>2960</v>
      </c>
      <c r="N16" s="173">
        <v>46174</v>
      </c>
      <c r="O16" s="162">
        <v>46538</v>
      </c>
      <c r="P16" s="136">
        <f t="shared" si="7"/>
        <v>1</v>
      </c>
      <c r="Q16" s="163">
        <v>17.5</v>
      </c>
      <c r="R16" s="165">
        <v>0</v>
      </c>
      <c r="S16" s="174">
        <v>0</v>
      </c>
      <c r="U16" s="188" t="s">
        <v>337</v>
      </c>
      <c r="AI16" s="133"/>
      <c r="CZ16" s="151">
        <f t="shared" si="4"/>
        <v>0</v>
      </c>
      <c r="DA16" s="150">
        <f t="shared" si="4"/>
        <v>0</v>
      </c>
      <c r="DB16" s="150">
        <f t="shared" si="4"/>
        <v>0</v>
      </c>
      <c r="DC16" s="150">
        <f t="shared" si="4"/>
        <v>0</v>
      </c>
      <c r="DD16" s="150">
        <f t="shared" si="4"/>
        <v>0</v>
      </c>
      <c r="DE16" s="150">
        <f t="shared" si="4"/>
        <v>0</v>
      </c>
      <c r="DF16" s="150">
        <f t="shared" si="4"/>
        <v>0</v>
      </c>
      <c r="DG16" s="150">
        <f t="shared" si="4"/>
        <v>0</v>
      </c>
      <c r="DH16" s="150">
        <f t="shared" si="4"/>
        <v>0</v>
      </c>
      <c r="DI16" s="150">
        <f t="shared" si="4"/>
        <v>0</v>
      </c>
      <c r="DJ16" s="150">
        <f t="shared" si="5"/>
        <v>0</v>
      </c>
      <c r="DK16" s="152">
        <f t="shared" si="5"/>
        <v>0</v>
      </c>
      <c r="DL16" s="133">
        <f t="shared" si="5"/>
        <v>0</v>
      </c>
      <c r="DM16" s="133">
        <f t="shared" si="5"/>
        <v>0</v>
      </c>
      <c r="DN16" s="133">
        <f t="shared" si="5"/>
        <v>0</v>
      </c>
      <c r="DO16" s="133">
        <f t="shared" si="5"/>
        <v>0</v>
      </c>
      <c r="DP16" s="133">
        <f t="shared" si="5"/>
        <v>0</v>
      </c>
      <c r="DQ16" s="133">
        <f t="shared" si="5"/>
        <v>0</v>
      </c>
      <c r="DR16" s="133">
        <f t="shared" si="5"/>
        <v>0</v>
      </c>
      <c r="DS16" s="133">
        <f t="shared" si="5"/>
        <v>0</v>
      </c>
      <c r="DT16" s="133">
        <f t="shared" si="5"/>
        <v>0</v>
      </c>
      <c r="DU16" s="133">
        <f t="shared" si="5"/>
        <v>0</v>
      </c>
      <c r="DV16" s="133">
        <f t="shared" si="5"/>
        <v>0</v>
      </c>
      <c r="DW16" s="133">
        <f t="shared" si="5"/>
        <v>0</v>
      </c>
    </row>
    <row r="17" spans="1:127" x14ac:dyDescent="0.35">
      <c r="B17" s="7" t="str">
        <f t="shared" si="1"/>
        <v/>
      </c>
      <c r="C17" s="155"/>
      <c r="D17" s="173"/>
      <c r="E17" s="162"/>
      <c r="F17" s="136">
        <f t="shared" si="2"/>
        <v>0</v>
      </c>
      <c r="G17" s="163"/>
      <c r="H17" s="165"/>
      <c r="I17" s="174"/>
      <c r="J17" s="270"/>
      <c r="K17" s="136">
        <v>302</v>
      </c>
      <c r="L17" s="7" t="s">
        <v>425</v>
      </c>
      <c r="M17" s="141">
        <v>834</v>
      </c>
      <c r="N17" s="173">
        <v>46235</v>
      </c>
      <c r="O17" s="162">
        <v>46599</v>
      </c>
      <c r="P17" s="136">
        <f t="shared" si="7"/>
        <v>1</v>
      </c>
      <c r="Q17" s="163">
        <v>18</v>
      </c>
      <c r="R17" s="165">
        <v>0</v>
      </c>
      <c r="S17" s="174">
        <v>0.06</v>
      </c>
      <c r="AI17" s="133"/>
      <c r="CZ17" s="151">
        <f t="shared" si="4"/>
        <v>0</v>
      </c>
      <c r="DA17" s="150">
        <f t="shared" si="4"/>
        <v>0</v>
      </c>
      <c r="DB17" s="150">
        <f t="shared" si="4"/>
        <v>0</v>
      </c>
      <c r="DC17" s="150">
        <f t="shared" si="4"/>
        <v>0</v>
      </c>
      <c r="DD17" s="150">
        <f t="shared" si="4"/>
        <v>0</v>
      </c>
      <c r="DE17" s="150">
        <f t="shared" si="4"/>
        <v>0</v>
      </c>
      <c r="DF17" s="150">
        <f t="shared" si="4"/>
        <v>0</v>
      </c>
      <c r="DG17" s="150">
        <f t="shared" si="4"/>
        <v>0</v>
      </c>
      <c r="DH17" s="150">
        <f t="shared" si="4"/>
        <v>0</v>
      </c>
      <c r="DI17" s="150">
        <f t="shared" si="4"/>
        <v>0</v>
      </c>
      <c r="DJ17" s="150">
        <f t="shared" si="5"/>
        <v>0</v>
      </c>
      <c r="DK17" s="152">
        <f t="shared" si="5"/>
        <v>0</v>
      </c>
      <c r="DL17" s="133">
        <f t="shared" si="5"/>
        <v>0</v>
      </c>
      <c r="DM17" s="133">
        <f t="shared" si="5"/>
        <v>0</v>
      </c>
      <c r="DN17" s="133">
        <f t="shared" si="5"/>
        <v>0</v>
      </c>
      <c r="DO17" s="133">
        <f t="shared" si="5"/>
        <v>0</v>
      </c>
      <c r="DP17" s="133">
        <f t="shared" si="5"/>
        <v>0</v>
      </c>
      <c r="DQ17" s="133">
        <f t="shared" si="5"/>
        <v>0</v>
      </c>
      <c r="DR17" s="133">
        <f t="shared" si="5"/>
        <v>0</v>
      </c>
      <c r="DS17" s="133">
        <f t="shared" si="5"/>
        <v>0</v>
      </c>
      <c r="DT17" s="133">
        <f t="shared" si="5"/>
        <v>0</v>
      </c>
      <c r="DU17" s="133">
        <f t="shared" si="5"/>
        <v>0</v>
      </c>
      <c r="DV17" s="133">
        <f t="shared" si="5"/>
        <v>0</v>
      </c>
      <c r="DW17" s="133">
        <f t="shared" si="5"/>
        <v>0</v>
      </c>
    </row>
    <row r="18" spans="1:127" x14ac:dyDescent="0.35">
      <c r="B18" s="7" t="str">
        <f t="shared" si="1"/>
        <v/>
      </c>
      <c r="C18" s="155"/>
      <c r="D18" s="173"/>
      <c r="E18" s="162"/>
      <c r="F18" s="136">
        <f t="shared" si="2"/>
        <v>0</v>
      </c>
      <c r="G18" s="163"/>
      <c r="H18" s="165"/>
      <c r="I18" s="174"/>
      <c r="J18" s="270"/>
      <c r="K18" s="136">
        <v>305</v>
      </c>
      <c r="L18" s="7" t="s">
        <v>426</v>
      </c>
      <c r="M18" s="141">
        <v>1145</v>
      </c>
      <c r="N18" s="173">
        <v>46174</v>
      </c>
      <c r="O18" s="162">
        <v>46538</v>
      </c>
      <c r="P18" s="136">
        <f t="shared" si="7"/>
        <v>1</v>
      </c>
      <c r="Q18" s="163">
        <v>19</v>
      </c>
      <c r="R18" s="163">
        <v>0</v>
      </c>
      <c r="S18" s="174">
        <v>0.03</v>
      </c>
      <c r="AI18" s="133"/>
      <c r="CZ18" s="151">
        <f t="shared" si="4"/>
        <v>0</v>
      </c>
      <c r="DA18" s="150">
        <f t="shared" si="4"/>
        <v>0</v>
      </c>
      <c r="DB18" s="150">
        <f t="shared" si="4"/>
        <v>0</v>
      </c>
      <c r="DC18" s="150">
        <f t="shared" si="4"/>
        <v>0</v>
      </c>
      <c r="DD18" s="150">
        <f t="shared" si="4"/>
        <v>0</v>
      </c>
      <c r="DE18" s="150">
        <f t="shared" si="4"/>
        <v>0</v>
      </c>
      <c r="DF18" s="150">
        <f t="shared" si="4"/>
        <v>0</v>
      </c>
      <c r="DG18" s="150">
        <f t="shared" si="4"/>
        <v>0</v>
      </c>
      <c r="DH18" s="150">
        <f t="shared" si="4"/>
        <v>0</v>
      </c>
      <c r="DI18" s="150">
        <f t="shared" si="4"/>
        <v>0</v>
      </c>
      <c r="DJ18" s="150">
        <f t="shared" si="5"/>
        <v>0</v>
      </c>
      <c r="DK18" s="152">
        <f t="shared" si="5"/>
        <v>0</v>
      </c>
      <c r="DL18" s="133">
        <f t="shared" si="5"/>
        <v>0</v>
      </c>
      <c r="DM18" s="133">
        <f t="shared" si="5"/>
        <v>0</v>
      </c>
      <c r="DN18" s="133">
        <f t="shared" si="5"/>
        <v>0</v>
      </c>
      <c r="DO18" s="133">
        <f t="shared" si="5"/>
        <v>0</v>
      </c>
      <c r="DP18" s="133">
        <f t="shared" si="5"/>
        <v>0</v>
      </c>
      <c r="DQ18" s="133">
        <f t="shared" si="5"/>
        <v>0</v>
      </c>
      <c r="DR18" s="133">
        <f t="shared" si="5"/>
        <v>0</v>
      </c>
      <c r="DS18" s="133">
        <f t="shared" si="5"/>
        <v>0</v>
      </c>
      <c r="DT18" s="133">
        <f t="shared" si="5"/>
        <v>0</v>
      </c>
      <c r="DU18" s="133">
        <f t="shared" si="5"/>
        <v>0</v>
      </c>
      <c r="DV18" s="133">
        <f t="shared" si="5"/>
        <v>0</v>
      </c>
      <c r="DW18" s="133">
        <f t="shared" si="5"/>
        <v>0</v>
      </c>
    </row>
    <row r="19" spans="1:127" x14ac:dyDescent="0.35">
      <c r="B19" s="7" t="str">
        <f t="shared" si="1"/>
        <v/>
      </c>
      <c r="C19" s="155"/>
      <c r="D19" s="173"/>
      <c r="E19" s="162"/>
      <c r="F19" s="136">
        <f t="shared" si="2"/>
        <v>0</v>
      </c>
      <c r="G19" s="163"/>
      <c r="H19" s="165"/>
      <c r="I19" s="174"/>
      <c r="J19" s="280"/>
      <c r="K19" s="136">
        <v>310</v>
      </c>
      <c r="L19" s="7" t="s">
        <v>427</v>
      </c>
      <c r="M19" s="141">
        <v>2251</v>
      </c>
      <c r="N19" s="271">
        <v>45992</v>
      </c>
      <c r="O19" s="162">
        <v>46721</v>
      </c>
      <c r="P19" s="136">
        <f t="shared" si="7"/>
        <v>2</v>
      </c>
      <c r="Q19" s="163">
        <v>15.5</v>
      </c>
      <c r="R19" s="163">
        <v>0</v>
      </c>
      <c r="S19" s="174">
        <v>0</v>
      </c>
      <c r="AI19" s="133"/>
      <c r="CZ19" s="151">
        <f t="shared" si="4"/>
        <v>0</v>
      </c>
      <c r="DA19" s="150">
        <f t="shared" si="4"/>
        <v>0</v>
      </c>
      <c r="DB19" s="150">
        <f t="shared" si="4"/>
        <v>0</v>
      </c>
      <c r="DC19" s="150">
        <f t="shared" si="4"/>
        <v>0</v>
      </c>
      <c r="DD19" s="150">
        <f t="shared" si="4"/>
        <v>0</v>
      </c>
      <c r="DE19" s="150">
        <f t="shared" si="4"/>
        <v>0</v>
      </c>
      <c r="DF19" s="150">
        <f t="shared" si="4"/>
        <v>0</v>
      </c>
      <c r="DG19" s="150">
        <f t="shared" si="4"/>
        <v>0</v>
      </c>
      <c r="DH19" s="150">
        <f t="shared" si="4"/>
        <v>0</v>
      </c>
      <c r="DI19" s="150">
        <f t="shared" si="4"/>
        <v>0</v>
      </c>
      <c r="DJ19" s="150">
        <f t="shared" si="5"/>
        <v>0</v>
      </c>
      <c r="DK19" s="152">
        <f t="shared" si="5"/>
        <v>0</v>
      </c>
      <c r="DL19" s="133">
        <f t="shared" si="5"/>
        <v>0</v>
      </c>
      <c r="DM19" s="133">
        <f t="shared" si="5"/>
        <v>0</v>
      </c>
      <c r="DN19" s="133">
        <f t="shared" si="5"/>
        <v>0</v>
      </c>
      <c r="DO19" s="133">
        <f t="shared" si="5"/>
        <v>0</v>
      </c>
      <c r="DP19" s="133">
        <f t="shared" si="5"/>
        <v>0</v>
      </c>
      <c r="DQ19" s="133">
        <f t="shared" si="5"/>
        <v>0</v>
      </c>
      <c r="DR19" s="133">
        <f t="shared" si="5"/>
        <v>0</v>
      </c>
      <c r="DS19" s="133">
        <f t="shared" si="5"/>
        <v>0</v>
      </c>
      <c r="DT19" s="133">
        <f t="shared" si="5"/>
        <v>0</v>
      </c>
      <c r="DU19" s="133">
        <f t="shared" si="5"/>
        <v>0</v>
      </c>
      <c r="DV19" s="133">
        <f t="shared" si="5"/>
        <v>0</v>
      </c>
      <c r="DW19" s="133">
        <f t="shared" si="5"/>
        <v>0</v>
      </c>
    </row>
    <row r="20" spans="1:127" hidden="1" x14ac:dyDescent="0.35">
      <c r="B20" s="7" t="str">
        <f t="shared" si="1"/>
        <v/>
      </c>
      <c r="C20" s="155"/>
      <c r="D20" s="173"/>
      <c r="E20" s="162"/>
      <c r="F20" s="136">
        <f t="shared" si="2"/>
        <v>0</v>
      </c>
      <c r="G20" s="163"/>
      <c r="H20" s="163"/>
      <c r="I20" s="174"/>
      <c r="J20" s="134"/>
      <c r="K20" s="136"/>
      <c r="L20" s="7"/>
      <c r="M20" s="141"/>
      <c r="N20" s="173"/>
      <c r="O20" s="162"/>
      <c r="P20" s="136">
        <f t="shared" si="7"/>
        <v>0</v>
      </c>
      <c r="Q20" s="163"/>
      <c r="R20" s="163"/>
      <c r="S20" s="174"/>
      <c r="AI20" s="133"/>
      <c r="CZ20" s="151">
        <f t="shared" si="4"/>
        <v>0</v>
      </c>
      <c r="DA20" s="150">
        <f t="shared" si="4"/>
        <v>0</v>
      </c>
      <c r="DB20" s="150">
        <f t="shared" si="4"/>
        <v>0</v>
      </c>
      <c r="DC20" s="150">
        <f t="shared" si="4"/>
        <v>0</v>
      </c>
      <c r="DD20" s="150">
        <f t="shared" si="4"/>
        <v>0</v>
      </c>
      <c r="DE20" s="150">
        <f t="shared" si="4"/>
        <v>0</v>
      </c>
      <c r="DF20" s="150">
        <f t="shared" si="4"/>
        <v>0</v>
      </c>
      <c r="DG20" s="150">
        <f t="shared" si="4"/>
        <v>0</v>
      </c>
      <c r="DH20" s="150">
        <f t="shared" si="4"/>
        <v>0</v>
      </c>
      <c r="DI20" s="150">
        <f t="shared" si="4"/>
        <v>0</v>
      </c>
      <c r="DJ20" s="150">
        <f t="shared" si="5"/>
        <v>0</v>
      </c>
      <c r="DK20" s="152">
        <f t="shared" si="5"/>
        <v>0</v>
      </c>
      <c r="DL20" s="133">
        <f t="shared" si="5"/>
        <v>0</v>
      </c>
      <c r="DM20" s="133">
        <f t="shared" si="5"/>
        <v>0</v>
      </c>
      <c r="DN20" s="133">
        <f t="shared" si="5"/>
        <v>0</v>
      </c>
      <c r="DO20" s="133">
        <f t="shared" si="5"/>
        <v>0</v>
      </c>
      <c r="DP20" s="133">
        <f t="shared" si="5"/>
        <v>0</v>
      </c>
      <c r="DQ20" s="133">
        <f t="shared" si="5"/>
        <v>0</v>
      </c>
      <c r="DR20" s="133">
        <f t="shared" si="5"/>
        <v>0</v>
      </c>
      <c r="DS20" s="133">
        <f t="shared" si="5"/>
        <v>0</v>
      </c>
      <c r="DT20" s="133">
        <f t="shared" si="5"/>
        <v>0</v>
      </c>
      <c r="DU20" s="133">
        <f t="shared" si="5"/>
        <v>0</v>
      </c>
      <c r="DV20" s="133">
        <f t="shared" si="5"/>
        <v>0</v>
      </c>
      <c r="DW20" s="133">
        <f t="shared" si="5"/>
        <v>0</v>
      </c>
    </row>
    <row r="21" spans="1:127" hidden="1" x14ac:dyDescent="0.35">
      <c r="B21" s="7" t="str">
        <f>IF(A21&lt;&gt;"","VACANT","")</f>
        <v/>
      </c>
      <c r="C21" s="155"/>
      <c r="D21" s="173"/>
      <c r="E21" s="162"/>
      <c r="F21" s="136">
        <f t="shared" si="2"/>
        <v>0</v>
      </c>
      <c r="G21" s="163"/>
      <c r="H21" s="163"/>
      <c r="I21" s="174"/>
      <c r="J21" s="134"/>
      <c r="K21" s="136"/>
      <c r="L21" s="7"/>
      <c r="M21" s="141"/>
      <c r="N21" s="173"/>
      <c r="O21" s="162"/>
      <c r="P21" s="136">
        <f t="shared" ref="P21" si="9">IFERROR(ROUNDUP(((DATEDIF(N21,O21,"d"))/365),1),0)</f>
        <v>0</v>
      </c>
      <c r="Q21" s="163"/>
      <c r="R21" s="163"/>
      <c r="S21" s="174"/>
      <c r="AI21" s="133"/>
      <c r="CZ21" s="151">
        <f t="shared" si="4"/>
        <v>0</v>
      </c>
      <c r="DA21" s="150">
        <f t="shared" si="4"/>
        <v>0</v>
      </c>
      <c r="DB21" s="150">
        <f t="shared" si="4"/>
        <v>0</v>
      </c>
      <c r="DC21" s="150">
        <f t="shared" si="4"/>
        <v>0</v>
      </c>
      <c r="DD21" s="150">
        <f t="shared" si="4"/>
        <v>0</v>
      </c>
      <c r="DE21" s="150">
        <f t="shared" si="4"/>
        <v>0</v>
      </c>
      <c r="DF21" s="150">
        <f t="shared" si="4"/>
        <v>0</v>
      </c>
      <c r="DG21" s="150">
        <f t="shared" si="4"/>
        <v>0</v>
      </c>
      <c r="DH21" s="150">
        <f t="shared" si="4"/>
        <v>0</v>
      </c>
      <c r="DI21" s="150">
        <f t="shared" si="4"/>
        <v>0</v>
      </c>
      <c r="DJ21" s="150">
        <f t="shared" si="5"/>
        <v>0</v>
      </c>
      <c r="DK21" s="152">
        <f t="shared" si="5"/>
        <v>0</v>
      </c>
      <c r="DL21" s="133">
        <f t="shared" si="5"/>
        <v>0</v>
      </c>
      <c r="DM21" s="133">
        <f t="shared" si="5"/>
        <v>0</v>
      </c>
      <c r="DN21" s="133">
        <f t="shared" si="5"/>
        <v>0</v>
      </c>
      <c r="DO21" s="133">
        <f t="shared" si="5"/>
        <v>0</v>
      </c>
      <c r="DP21" s="133">
        <f t="shared" si="5"/>
        <v>0</v>
      </c>
      <c r="DQ21" s="133">
        <f t="shared" si="5"/>
        <v>0</v>
      </c>
      <c r="DR21" s="133">
        <f t="shared" si="5"/>
        <v>0</v>
      </c>
      <c r="DS21" s="133">
        <f t="shared" si="5"/>
        <v>0</v>
      </c>
      <c r="DT21" s="133">
        <f t="shared" si="5"/>
        <v>0</v>
      </c>
      <c r="DU21" s="133">
        <f t="shared" si="5"/>
        <v>0</v>
      </c>
      <c r="DV21" s="133">
        <f t="shared" si="5"/>
        <v>0</v>
      </c>
      <c r="DW21" s="133">
        <f t="shared" si="5"/>
        <v>0</v>
      </c>
    </row>
    <row r="22" spans="1:127" hidden="1" x14ac:dyDescent="0.35">
      <c r="B22" s="7" t="str">
        <f t="shared" si="1"/>
        <v/>
      </c>
      <c r="C22" s="155"/>
      <c r="D22" s="173"/>
      <c r="E22" s="162"/>
      <c r="F22" s="136">
        <f t="shared" si="2"/>
        <v>0</v>
      </c>
      <c r="G22" s="163"/>
      <c r="H22" s="163"/>
      <c r="I22" s="174"/>
      <c r="J22" s="134"/>
      <c r="K22" s="136"/>
      <c r="L22" s="7"/>
      <c r="M22" s="141"/>
      <c r="N22" s="173"/>
      <c r="O22" s="162"/>
      <c r="P22" s="136">
        <f t="shared" si="3"/>
        <v>0</v>
      </c>
      <c r="Q22" s="163"/>
      <c r="R22" s="163"/>
      <c r="S22" s="174"/>
      <c r="AI22" s="133"/>
      <c r="CZ22" s="151">
        <f t="shared" si="4"/>
        <v>0</v>
      </c>
      <c r="DA22" s="150">
        <f t="shared" si="4"/>
        <v>0</v>
      </c>
      <c r="DB22" s="150">
        <f t="shared" si="4"/>
        <v>0</v>
      </c>
      <c r="DC22" s="150">
        <f t="shared" si="4"/>
        <v>0</v>
      </c>
      <c r="DD22" s="150">
        <f t="shared" si="4"/>
        <v>0</v>
      </c>
      <c r="DE22" s="150">
        <f t="shared" si="4"/>
        <v>0</v>
      </c>
      <c r="DF22" s="150">
        <f t="shared" si="4"/>
        <v>0</v>
      </c>
      <c r="DG22" s="150">
        <f t="shared" si="4"/>
        <v>0</v>
      </c>
      <c r="DH22" s="150">
        <f t="shared" si="4"/>
        <v>0</v>
      </c>
      <c r="DI22" s="150">
        <f t="shared" si="4"/>
        <v>0</v>
      </c>
      <c r="DJ22" s="150">
        <f t="shared" si="5"/>
        <v>0</v>
      </c>
      <c r="DK22" s="152">
        <f t="shared" si="5"/>
        <v>0</v>
      </c>
      <c r="DL22" s="133">
        <f t="shared" si="5"/>
        <v>0</v>
      </c>
      <c r="DM22" s="133">
        <f t="shared" si="5"/>
        <v>0</v>
      </c>
      <c r="DN22" s="133">
        <f t="shared" si="5"/>
        <v>0</v>
      </c>
      <c r="DO22" s="133">
        <f t="shared" si="5"/>
        <v>0</v>
      </c>
      <c r="DP22" s="133">
        <f t="shared" si="5"/>
        <v>0</v>
      </c>
      <c r="DQ22" s="133">
        <f t="shared" si="5"/>
        <v>0</v>
      </c>
      <c r="DR22" s="133">
        <f t="shared" si="5"/>
        <v>0</v>
      </c>
      <c r="DS22" s="133">
        <f t="shared" si="5"/>
        <v>0</v>
      </c>
      <c r="DT22" s="133">
        <f t="shared" si="5"/>
        <v>0</v>
      </c>
      <c r="DU22" s="133">
        <f t="shared" si="5"/>
        <v>0</v>
      </c>
      <c r="DV22" s="133">
        <f t="shared" si="5"/>
        <v>0</v>
      </c>
      <c r="DW22" s="133">
        <f t="shared" si="5"/>
        <v>0</v>
      </c>
    </row>
    <row r="23" spans="1:127" x14ac:dyDescent="0.35">
      <c r="A23" s="147"/>
      <c r="B23" s="16" t="str">
        <f t="shared" si="1"/>
        <v/>
      </c>
      <c r="C23" s="156"/>
      <c r="D23" s="175"/>
      <c r="E23" s="166"/>
      <c r="F23" s="147">
        <f t="shared" si="2"/>
        <v>0</v>
      </c>
      <c r="G23" s="167"/>
      <c r="H23" s="167"/>
      <c r="I23" s="176"/>
      <c r="J23" s="134"/>
      <c r="K23" s="147"/>
      <c r="L23" s="16"/>
      <c r="M23" s="148"/>
      <c r="N23" s="175"/>
      <c r="O23" s="166"/>
      <c r="P23" s="147">
        <f t="shared" si="3"/>
        <v>0</v>
      </c>
      <c r="Q23" s="167"/>
      <c r="R23" s="167"/>
      <c r="S23" s="176"/>
      <c r="AI23" s="133"/>
      <c r="CZ23" s="151">
        <f t="shared" si="4"/>
        <v>0</v>
      </c>
      <c r="DA23" s="150">
        <f t="shared" si="4"/>
        <v>0</v>
      </c>
      <c r="DB23" s="150">
        <f t="shared" si="4"/>
        <v>0</v>
      </c>
      <c r="DC23" s="150">
        <f t="shared" si="4"/>
        <v>0</v>
      </c>
      <c r="DD23" s="150">
        <f t="shared" si="4"/>
        <v>0</v>
      </c>
      <c r="DE23" s="150">
        <f t="shared" si="4"/>
        <v>0</v>
      </c>
      <c r="DF23" s="150">
        <f t="shared" si="4"/>
        <v>0</v>
      </c>
      <c r="DG23" s="150">
        <f t="shared" si="4"/>
        <v>0</v>
      </c>
      <c r="DH23" s="150">
        <f t="shared" si="4"/>
        <v>0</v>
      </c>
      <c r="DI23" s="150">
        <f t="shared" si="4"/>
        <v>0</v>
      </c>
      <c r="DJ23" s="150">
        <f t="shared" si="5"/>
        <v>0</v>
      </c>
      <c r="DK23" s="152">
        <f t="shared" si="5"/>
        <v>0</v>
      </c>
      <c r="DL23" s="133">
        <f t="shared" si="5"/>
        <v>0</v>
      </c>
      <c r="DM23" s="133">
        <f t="shared" si="5"/>
        <v>0</v>
      </c>
      <c r="DN23" s="133">
        <f t="shared" si="5"/>
        <v>0</v>
      </c>
      <c r="DO23" s="133">
        <f t="shared" si="5"/>
        <v>0</v>
      </c>
      <c r="DP23" s="133">
        <f t="shared" si="5"/>
        <v>0</v>
      </c>
      <c r="DQ23" s="133">
        <f t="shared" si="5"/>
        <v>0</v>
      </c>
      <c r="DR23" s="133">
        <f t="shared" si="5"/>
        <v>0</v>
      </c>
      <c r="DS23" s="133">
        <f t="shared" si="5"/>
        <v>0</v>
      </c>
      <c r="DT23" s="133">
        <f t="shared" si="5"/>
        <v>0</v>
      </c>
      <c r="DU23" s="133">
        <f t="shared" si="5"/>
        <v>0</v>
      </c>
      <c r="DV23" s="133">
        <f t="shared" si="5"/>
        <v>0</v>
      </c>
      <c r="DW23" s="133">
        <f t="shared" si="5"/>
        <v>0</v>
      </c>
    </row>
    <row r="24" spans="1:127" ht="16.5" thickBot="1" x14ac:dyDescent="0.35">
      <c r="A24" s="135"/>
      <c r="B24" s="17" t="s">
        <v>322</v>
      </c>
      <c r="C24" s="157">
        <f>SUM(C9:C23)</f>
        <v>21386</v>
      </c>
      <c r="D24" s="143"/>
      <c r="E24" s="143"/>
      <c r="F24" s="153"/>
      <c r="G24" s="144"/>
      <c r="H24" s="144"/>
      <c r="I24" s="145"/>
      <c r="J24" s="134"/>
      <c r="K24" s="135"/>
      <c r="L24" s="17" t="s">
        <v>325</v>
      </c>
      <c r="M24" s="142">
        <f>SUM(M9:M23)</f>
        <v>15574</v>
      </c>
      <c r="N24" s="143"/>
      <c r="O24" s="143"/>
      <c r="P24" s="153"/>
      <c r="Q24" s="144"/>
      <c r="R24" s="144"/>
      <c r="S24" s="145"/>
      <c r="AI24" s="133"/>
      <c r="CZ24" s="139">
        <f>SUM(CZ9:CZ23)</f>
        <v>0</v>
      </c>
      <c r="DA24" s="139">
        <f t="shared" ref="DA24:DW24" si="10">SUM(DA9:DA23)</f>
        <v>0</v>
      </c>
      <c r="DB24" s="139">
        <f t="shared" si="10"/>
        <v>0</v>
      </c>
      <c r="DC24" s="139">
        <f t="shared" si="10"/>
        <v>0</v>
      </c>
      <c r="DD24" s="139">
        <f t="shared" si="10"/>
        <v>0</v>
      </c>
      <c r="DE24" s="139">
        <f t="shared" si="10"/>
        <v>0</v>
      </c>
      <c r="DF24" s="139">
        <f t="shared" si="10"/>
        <v>0</v>
      </c>
      <c r="DG24" s="139">
        <f t="shared" si="10"/>
        <v>0</v>
      </c>
      <c r="DH24" s="139">
        <f t="shared" si="10"/>
        <v>0</v>
      </c>
      <c r="DI24" s="139">
        <f>SUM(DI9:DI23)</f>
        <v>0</v>
      </c>
      <c r="DJ24" s="139">
        <f t="shared" si="10"/>
        <v>0</v>
      </c>
      <c r="DK24" s="139">
        <f t="shared" si="10"/>
        <v>0</v>
      </c>
      <c r="DL24" s="139">
        <f t="shared" si="10"/>
        <v>6524.3333333333339</v>
      </c>
      <c r="DM24" s="139">
        <f t="shared" si="10"/>
        <v>6524.3333333333339</v>
      </c>
      <c r="DN24" s="139">
        <f t="shared" si="10"/>
        <v>6524.3333333333339</v>
      </c>
      <c r="DO24" s="139">
        <f t="shared" si="10"/>
        <v>6524.3333333333339</v>
      </c>
      <c r="DP24" s="139">
        <f t="shared" si="10"/>
        <v>6524.3333333333339</v>
      </c>
      <c r="DQ24" s="139">
        <f t="shared" si="10"/>
        <v>6524.3333333333339</v>
      </c>
      <c r="DR24" s="139">
        <f t="shared" si="10"/>
        <v>6524.3333333333339</v>
      </c>
      <c r="DS24" s="139">
        <f t="shared" si="10"/>
        <v>6524.3333333333339</v>
      </c>
      <c r="DT24" s="139">
        <f t="shared" si="10"/>
        <v>6524.3333333333339</v>
      </c>
      <c r="DU24" s="139">
        <f t="shared" si="10"/>
        <v>6524.3333333333339</v>
      </c>
      <c r="DV24" s="139">
        <f t="shared" si="10"/>
        <v>6524.3333333333339</v>
      </c>
      <c r="DW24" s="139">
        <f t="shared" si="10"/>
        <v>6524.3333333333339</v>
      </c>
    </row>
    <row r="25" spans="1:127" s="196" customFormat="1" ht="18.5" thickTop="1" thickBot="1" x14ac:dyDescent="0.3">
      <c r="A25" s="195"/>
      <c r="F25" s="195"/>
      <c r="J25" s="197"/>
      <c r="AI25" s="197"/>
      <c r="CZ25" s="475"/>
      <c r="DA25" s="475"/>
      <c r="DB25" s="475"/>
      <c r="DC25" s="475"/>
      <c r="DD25" s="475"/>
      <c r="DE25" s="475"/>
      <c r="DF25" s="475"/>
      <c r="DG25" s="475"/>
      <c r="DH25" s="475"/>
      <c r="DI25" s="475"/>
      <c r="DJ25" s="475"/>
      <c r="DK25" s="475"/>
    </row>
    <row r="26" spans="1:127" x14ac:dyDescent="0.35">
      <c r="J26" s="136"/>
      <c r="CZ26" s="178">
        <f t="shared" ref="CZ26:DW26" si="11">CZ$8</f>
        <v>45658</v>
      </c>
      <c r="DA26" s="6">
        <f t="shared" si="11"/>
        <v>45689</v>
      </c>
      <c r="DB26" s="6">
        <f t="shared" si="11"/>
        <v>45717</v>
      </c>
      <c r="DC26" s="6">
        <f t="shared" si="11"/>
        <v>45748</v>
      </c>
      <c r="DD26" s="6">
        <f t="shared" si="11"/>
        <v>45778</v>
      </c>
      <c r="DE26" s="6">
        <f t="shared" si="11"/>
        <v>45809</v>
      </c>
      <c r="DF26" s="6">
        <f t="shared" si="11"/>
        <v>45839</v>
      </c>
      <c r="DG26" s="6">
        <f t="shared" si="11"/>
        <v>45870</v>
      </c>
      <c r="DH26" s="6">
        <f t="shared" si="11"/>
        <v>45901</v>
      </c>
      <c r="DI26" s="6">
        <f t="shared" si="11"/>
        <v>45931</v>
      </c>
      <c r="DJ26" s="6">
        <f t="shared" si="11"/>
        <v>45962</v>
      </c>
      <c r="DK26" s="179">
        <f t="shared" si="11"/>
        <v>45992</v>
      </c>
      <c r="DL26" s="6">
        <f t="shared" si="11"/>
        <v>46023</v>
      </c>
      <c r="DM26" s="6">
        <f t="shared" si="11"/>
        <v>46054</v>
      </c>
      <c r="DN26" s="6">
        <f t="shared" si="11"/>
        <v>46082</v>
      </c>
      <c r="DO26" s="6">
        <f t="shared" si="11"/>
        <v>46113</v>
      </c>
      <c r="DP26" s="6">
        <f t="shared" si="11"/>
        <v>46143</v>
      </c>
      <c r="DQ26" s="6">
        <f t="shared" si="11"/>
        <v>46174</v>
      </c>
      <c r="DR26" s="6">
        <f t="shared" si="11"/>
        <v>46204</v>
      </c>
      <c r="DS26" s="6">
        <f t="shared" si="11"/>
        <v>46235</v>
      </c>
      <c r="DT26" s="6">
        <f t="shared" si="11"/>
        <v>46266</v>
      </c>
      <c r="DU26" s="6">
        <f t="shared" si="11"/>
        <v>46296</v>
      </c>
      <c r="DV26" s="6">
        <f t="shared" si="11"/>
        <v>46327</v>
      </c>
      <c r="DW26" s="6">
        <f t="shared" si="11"/>
        <v>46357</v>
      </c>
    </row>
    <row r="27" spans="1:127" ht="18" x14ac:dyDescent="0.35">
      <c r="A27" s="161">
        <v>3620</v>
      </c>
      <c r="B27" s="7"/>
      <c r="C27" s="137"/>
      <c r="D27" s="135"/>
      <c r="E27" s="135"/>
      <c r="F27" s="135"/>
      <c r="G27" s="135"/>
      <c r="H27" s="135"/>
      <c r="I27" s="135"/>
      <c r="J27" s="180"/>
      <c r="AI27" s="133"/>
      <c r="CZ27" s="151">
        <f t="shared" ref="CZ27:DW27" si="12">IF(AND($N9&lt;=CZ26,$O9&gt;=CZ26),(($Q9*$M9)/12),0)</f>
        <v>0</v>
      </c>
      <c r="DA27" s="150">
        <f t="shared" si="12"/>
        <v>0</v>
      </c>
      <c r="DB27" s="150">
        <f t="shared" si="12"/>
        <v>0</v>
      </c>
      <c r="DC27" s="150">
        <f t="shared" si="12"/>
        <v>0</v>
      </c>
      <c r="DD27" s="150">
        <f t="shared" si="12"/>
        <v>0</v>
      </c>
      <c r="DE27" s="150">
        <f t="shared" si="12"/>
        <v>0</v>
      </c>
      <c r="DF27" s="150">
        <f t="shared" si="12"/>
        <v>0</v>
      </c>
      <c r="DG27" s="150">
        <f t="shared" si="12"/>
        <v>0</v>
      </c>
      <c r="DH27" s="150">
        <f t="shared" si="12"/>
        <v>0</v>
      </c>
      <c r="DI27" s="150">
        <f t="shared" si="12"/>
        <v>0</v>
      </c>
      <c r="DJ27" s="150">
        <f t="shared" si="12"/>
        <v>0</v>
      </c>
      <c r="DK27" s="152">
        <f t="shared" si="12"/>
        <v>0</v>
      </c>
      <c r="DL27" s="133">
        <f t="shared" si="12"/>
        <v>0</v>
      </c>
      <c r="DM27" s="133">
        <f t="shared" si="12"/>
        <v>0</v>
      </c>
      <c r="DN27" s="133">
        <f t="shared" si="12"/>
        <v>1795.5</v>
      </c>
      <c r="DO27" s="133">
        <f t="shared" si="12"/>
        <v>1795.5</v>
      </c>
      <c r="DP27" s="133">
        <f t="shared" si="12"/>
        <v>1795.5</v>
      </c>
      <c r="DQ27" s="133">
        <f t="shared" si="12"/>
        <v>1795.5</v>
      </c>
      <c r="DR27" s="133">
        <f t="shared" si="12"/>
        <v>1795.5</v>
      </c>
      <c r="DS27" s="133">
        <f t="shared" si="12"/>
        <v>1795.5</v>
      </c>
      <c r="DT27" s="133">
        <f t="shared" si="12"/>
        <v>1795.5</v>
      </c>
      <c r="DU27" s="133">
        <f t="shared" si="12"/>
        <v>1795.5</v>
      </c>
      <c r="DV27" s="133">
        <f t="shared" si="12"/>
        <v>1795.5</v>
      </c>
      <c r="DW27" s="133">
        <f t="shared" si="12"/>
        <v>1795.5</v>
      </c>
    </row>
    <row r="28" spans="1:127" ht="17.5" x14ac:dyDescent="0.25">
      <c r="A28" s="199">
        <v>49020</v>
      </c>
      <c r="B28" s="200">
        <f>(A28-C46)/A28</f>
        <v>0.4266217870257038</v>
      </c>
      <c r="D28" s="201" t="str">
        <f>"Vacancies - "&amp;A27</f>
        <v>Vacancies - 3620</v>
      </c>
      <c r="E28" s="170"/>
      <c r="F28" s="170"/>
      <c r="G28" s="170"/>
      <c r="H28" s="170"/>
      <c r="I28" s="169"/>
      <c r="J28" s="135"/>
      <c r="N28" s="201" t="str">
        <f>"Renewals - "&amp;A27</f>
        <v>Renewals - 3620</v>
      </c>
      <c r="O28" s="170"/>
      <c r="P28" s="170"/>
      <c r="Q28" s="170"/>
      <c r="R28" s="170"/>
      <c r="S28" s="169"/>
      <c r="CZ28" s="132">
        <f t="shared" ref="CZ28:DW28" si="13">IF(AND($N10&lt;=CZ$8,$O10&gt;=CZ$8),(($Q10*$M10)/12),0)</f>
        <v>0</v>
      </c>
      <c r="DA28" s="132">
        <f t="shared" si="13"/>
        <v>0</v>
      </c>
      <c r="DB28" s="132">
        <f t="shared" si="13"/>
        <v>0</v>
      </c>
      <c r="DC28" s="132">
        <f t="shared" si="13"/>
        <v>0</v>
      </c>
      <c r="DD28" s="132">
        <f t="shared" si="13"/>
        <v>0</v>
      </c>
      <c r="DE28" s="132">
        <f t="shared" si="13"/>
        <v>0</v>
      </c>
      <c r="DF28" s="132">
        <f t="shared" si="13"/>
        <v>0</v>
      </c>
      <c r="DG28" s="132">
        <f t="shared" si="13"/>
        <v>0</v>
      </c>
      <c r="DH28" s="132">
        <f t="shared" si="13"/>
        <v>0</v>
      </c>
      <c r="DI28" s="132">
        <f t="shared" si="13"/>
        <v>0</v>
      </c>
      <c r="DJ28" s="132">
        <f t="shared" si="13"/>
        <v>0</v>
      </c>
      <c r="DK28" s="132">
        <f t="shared" si="13"/>
        <v>0</v>
      </c>
      <c r="DL28" s="132">
        <f t="shared" si="13"/>
        <v>0</v>
      </c>
      <c r="DM28" s="132">
        <f t="shared" si="13"/>
        <v>4203.333333333333</v>
      </c>
      <c r="DN28" s="132">
        <f t="shared" si="13"/>
        <v>4203.333333333333</v>
      </c>
      <c r="DO28" s="132">
        <f t="shared" si="13"/>
        <v>4203.333333333333</v>
      </c>
      <c r="DP28" s="132">
        <f t="shared" si="13"/>
        <v>4203.333333333333</v>
      </c>
      <c r="DQ28" s="132">
        <f t="shared" si="13"/>
        <v>4203.333333333333</v>
      </c>
      <c r="DR28" s="132">
        <f t="shared" si="13"/>
        <v>4203.333333333333</v>
      </c>
      <c r="DS28" s="132">
        <f t="shared" si="13"/>
        <v>4203.333333333333</v>
      </c>
      <c r="DT28" s="132">
        <f t="shared" si="13"/>
        <v>4203.333333333333</v>
      </c>
      <c r="DU28" s="132">
        <f t="shared" si="13"/>
        <v>4203.333333333333</v>
      </c>
      <c r="DV28" s="132">
        <f t="shared" si="13"/>
        <v>4203.333333333333</v>
      </c>
      <c r="DW28" s="132">
        <f t="shared" si="13"/>
        <v>4203.333333333333</v>
      </c>
    </row>
    <row r="29" spans="1:127" ht="18" x14ac:dyDescent="0.35">
      <c r="A29" s="132"/>
      <c r="D29" s="476" t="s">
        <v>327</v>
      </c>
      <c r="E29" s="477"/>
      <c r="F29" s="477"/>
      <c r="G29" s="477"/>
      <c r="H29" s="477"/>
      <c r="I29" s="478"/>
      <c r="J29" s="134"/>
      <c r="L29" s="7"/>
      <c r="M29" s="158"/>
      <c r="N29" s="476" t="s">
        <v>327</v>
      </c>
      <c r="O29" s="477"/>
      <c r="P29" s="477"/>
      <c r="Q29" s="477"/>
      <c r="R29" s="477"/>
      <c r="S29" s="478"/>
      <c r="U29" s="160">
        <f>A27</f>
        <v>3620</v>
      </c>
      <c r="V29" s="480">
        <v>2025</v>
      </c>
      <c r="W29" s="480"/>
      <c r="X29" s="480"/>
      <c r="Y29" s="480"/>
      <c r="Z29" s="480"/>
      <c r="AA29" s="480"/>
      <c r="AB29" s="480"/>
      <c r="AC29" s="480"/>
      <c r="AD29" s="480"/>
      <c r="AE29" s="480"/>
      <c r="AF29" s="480"/>
      <c r="AG29" s="480"/>
      <c r="AH29" s="480">
        <f>V29+1</f>
        <v>2026</v>
      </c>
      <c r="AI29" s="480"/>
      <c r="AJ29" s="480"/>
      <c r="AK29" s="480"/>
      <c r="AL29" s="480"/>
      <c r="AM29" s="480"/>
      <c r="AN29" s="480"/>
      <c r="AO29" s="480"/>
      <c r="AP29" s="480"/>
      <c r="AQ29" s="480"/>
      <c r="AR29" s="480"/>
      <c r="AS29" s="480"/>
      <c r="CZ29" s="151">
        <f t="shared" ref="CZ29:DW29" si="14">IF(AND($N11&lt;=CZ$8,$O11&gt;=CZ$8),(($Q11*$M11)/12),0)</f>
        <v>0</v>
      </c>
      <c r="DA29" s="150">
        <f t="shared" si="14"/>
        <v>0</v>
      </c>
      <c r="DB29" s="150">
        <f t="shared" si="14"/>
        <v>0</v>
      </c>
      <c r="DC29" s="150">
        <f t="shared" si="14"/>
        <v>0</v>
      </c>
      <c r="DD29" s="150">
        <f t="shared" si="14"/>
        <v>0</v>
      </c>
      <c r="DE29" s="150">
        <f t="shared" si="14"/>
        <v>0</v>
      </c>
      <c r="DF29" s="150">
        <f t="shared" si="14"/>
        <v>0</v>
      </c>
      <c r="DG29" s="150">
        <f t="shared" si="14"/>
        <v>0</v>
      </c>
      <c r="DH29" s="150">
        <f t="shared" si="14"/>
        <v>0</v>
      </c>
      <c r="DI29" s="150">
        <f t="shared" si="14"/>
        <v>0</v>
      </c>
      <c r="DJ29" s="150">
        <f t="shared" si="14"/>
        <v>0</v>
      </c>
      <c r="DK29" s="152">
        <f t="shared" si="14"/>
        <v>0</v>
      </c>
      <c r="DL29" s="133">
        <f t="shared" si="14"/>
        <v>0</v>
      </c>
      <c r="DM29" s="133">
        <f t="shared" si="14"/>
        <v>0</v>
      </c>
      <c r="DN29" s="133">
        <f t="shared" si="14"/>
        <v>0</v>
      </c>
      <c r="DO29" s="133">
        <f t="shared" si="14"/>
        <v>0</v>
      </c>
      <c r="DP29" s="133">
        <f t="shared" si="14"/>
        <v>0</v>
      </c>
      <c r="DQ29" s="133">
        <f t="shared" si="14"/>
        <v>0</v>
      </c>
      <c r="DR29" s="133">
        <f t="shared" si="14"/>
        <v>0</v>
      </c>
      <c r="DS29" s="133">
        <f t="shared" si="14"/>
        <v>0</v>
      </c>
      <c r="DT29" s="133">
        <f t="shared" si="14"/>
        <v>0</v>
      </c>
      <c r="DU29" s="133">
        <f t="shared" si="14"/>
        <v>1710</v>
      </c>
      <c r="DV29" s="133">
        <f t="shared" si="14"/>
        <v>1710</v>
      </c>
      <c r="DW29" s="133">
        <f t="shared" si="14"/>
        <v>1710</v>
      </c>
    </row>
    <row r="30" spans="1:127" x14ac:dyDescent="0.35">
      <c r="A30" s="147" t="s">
        <v>205</v>
      </c>
      <c r="B30" s="16" t="s">
        <v>323</v>
      </c>
      <c r="C30" s="154" t="s">
        <v>202</v>
      </c>
      <c r="D30" s="177" t="s">
        <v>328</v>
      </c>
      <c r="E30" s="147" t="s">
        <v>329</v>
      </c>
      <c r="F30" s="147" t="s">
        <v>331</v>
      </c>
      <c r="G30" s="146" t="s">
        <v>201</v>
      </c>
      <c r="H30" s="159" t="s">
        <v>324</v>
      </c>
      <c r="I30" s="149" t="s">
        <v>200</v>
      </c>
      <c r="J30" s="134"/>
      <c r="K30" s="147" t="s">
        <v>205</v>
      </c>
      <c r="L30" s="16" t="s">
        <v>323</v>
      </c>
      <c r="M30" s="154" t="s">
        <v>202</v>
      </c>
      <c r="N30" s="177" t="s">
        <v>328</v>
      </c>
      <c r="O30" s="147" t="s">
        <v>329</v>
      </c>
      <c r="P30" s="147" t="s">
        <v>331</v>
      </c>
      <c r="Q30" s="146" t="s">
        <v>201</v>
      </c>
      <c r="R30" s="159" t="s">
        <v>324</v>
      </c>
      <c r="S30" s="149" t="s">
        <v>200</v>
      </c>
      <c r="V30" s="178">
        <v>45658</v>
      </c>
      <c r="W30" s="6">
        <v>45689</v>
      </c>
      <c r="X30" s="6">
        <v>45717</v>
      </c>
      <c r="Y30" s="6">
        <v>45748</v>
      </c>
      <c r="Z30" s="6">
        <v>45778</v>
      </c>
      <c r="AA30" s="6">
        <v>45809</v>
      </c>
      <c r="AB30" s="6">
        <v>45839</v>
      </c>
      <c r="AC30" s="6">
        <v>45870</v>
      </c>
      <c r="AD30" s="6">
        <v>45901</v>
      </c>
      <c r="AE30" s="6">
        <v>45931</v>
      </c>
      <c r="AF30" s="6">
        <v>45962</v>
      </c>
      <c r="AG30" s="179">
        <v>45992</v>
      </c>
      <c r="AH30" s="6">
        <f>AH$8</f>
        <v>46023</v>
      </c>
      <c r="AI30" s="6">
        <f t="shared" ref="AI30:AS30" si="15">AI$8</f>
        <v>46054</v>
      </c>
      <c r="AJ30" s="6">
        <f t="shared" si="15"/>
        <v>46082</v>
      </c>
      <c r="AK30" s="6">
        <f t="shared" si="15"/>
        <v>46113</v>
      </c>
      <c r="AL30" s="6">
        <f t="shared" si="15"/>
        <v>46143</v>
      </c>
      <c r="AM30" s="6">
        <f t="shared" si="15"/>
        <v>46174</v>
      </c>
      <c r="AN30" s="6">
        <f t="shared" si="15"/>
        <v>46204</v>
      </c>
      <c r="AO30" s="6">
        <f t="shared" si="15"/>
        <v>46235</v>
      </c>
      <c r="AP30" s="6">
        <f t="shared" si="15"/>
        <v>46266</v>
      </c>
      <c r="AQ30" s="6">
        <f t="shared" si="15"/>
        <v>46296</v>
      </c>
      <c r="AR30" s="6">
        <f t="shared" si="15"/>
        <v>46327</v>
      </c>
      <c r="AS30" s="6">
        <f t="shared" si="15"/>
        <v>46357</v>
      </c>
      <c r="AT30" s="218" t="str">
        <f>AH29&amp;" - Totals"</f>
        <v>2026 - Totals</v>
      </c>
      <c r="CZ30" s="151">
        <f t="shared" ref="CZ30:DW30" si="16">IF(AND($N12&lt;=CZ$8,$O12&gt;=CZ$8),(($Q12*$M12)/12),0)</f>
        <v>0</v>
      </c>
      <c r="DA30" s="150">
        <f t="shared" si="16"/>
        <v>0</v>
      </c>
      <c r="DB30" s="150">
        <f t="shared" si="16"/>
        <v>0</v>
      </c>
      <c r="DC30" s="150">
        <f t="shared" si="16"/>
        <v>0</v>
      </c>
      <c r="DD30" s="150">
        <f t="shared" si="16"/>
        <v>0</v>
      </c>
      <c r="DE30" s="150">
        <f t="shared" si="16"/>
        <v>0</v>
      </c>
      <c r="DF30" s="150">
        <f t="shared" si="16"/>
        <v>0</v>
      </c>
      <c r="DG30" s="150">
        <f t="shared" si="16"/>
        <v>0</v>
      </c>
      <c r="DH30" s="150">
        <f t="shared" si="16"/>
        <v>0</v>
      </c>
      <c r="DI30" s="150">
        <f t="shared" si="16"/>
        <v>0</v>
      </c>
      <c r="DJ30" s="150">
        <f t="shared" si="16"/>
        <v>0</v>
      </c>
      <c r="DK30" s="152">
        <f t="shared" si="16"/>
        <v>0</v>
      </c>
      <c r="DL30" s="133">
        <f t="shared" si="16"/>
        <v>0</v>
      </c>
      <c r="DM30" s="133">
        <f t="shared" si="16"/>
        <v>0</v>
      </c>
      <c r="DN30" s="133">
        <f t="shared" si="16"/>
        <v>0</v>
      </c>
      <c r="DO30" s="133">
        <f t="shared" si="16"/>
        <v>0</v>
      </c>
      <c r="DP30" s="133">
        <f t="shared" si="16"/>
        <v>0</v>
      </c>
      <c r="DQ30" s="133">
        <f t="shared" si="16"/>
        <v>0</v>
      </c>
      <c r="DR30" s="133">
        <f t="shared" si="16"/>
        <v>0</v>
      </c>
      <c r="DS30" s="133">
        <f t="shared" si="16"/>
        <v>0</v>
      </c>
      <c r="DT30" s="133">
        <f t="shared" si="16"/>
        <v>0</v>
      </c>
      <c r="DU30" s="133">
        <f t="shared" si="16"/>
        <v>0</v>
      </c>
      <c r="DV30" s="133">
        <f t="shared" si="16"/>
        <v>1503</v>
      </c>
      <c r="DW30" s="133">
        <f t="shared" si="16"/>
        <v>1503</v>
      </c>
    </row>
    <row r="31" spans="1:127" x14ac:dyDescent="0.35">
      <c r="A31" s="136">
        <v>201</v>
      </c>
      <c r="B31" s="47" t="str">
        <f>IF(A31&lt;&gt;"","VACANT","")</f>
        <v>VACANT</v>
      </c>
      <c r="C31" s="155">
        <v>7474</v>
      </c>
      <c r="D31" s="173"/>
      <c r="E31" s="162"/>
      <c r="F31" s="189">
        <f>IFERROR(ROUNDUP(((DATEDIF(D31,E31,"d"))/365),1),0)</f>
        <v>0</v>
      </c>
      <c r="G31" s="163"/>
      <c r="H31" s="163"/>
      <c r="I31" s="174"/>
      <c r="J31" s="134"/>
      <c r="K31" s="136">
        <v>102</v>
      </c>
      <c r="L31" s="7" t="s">
        <v>428</v>
      </c>
      <c r="M31" s="155">
        <v>1197</v>
      </c>
      <c r="N31" s="173">
        <v>46174</v>
      </c>
      <c r="O31" s="162">
        <v>46538</v>
      </c>
      <c r="P31" s="136">
        <f t="shared" ref="P31:P36" si="17">IFERROR(ROUNDUP(((DATEDIF(N31,O31,"d"))/365),1),0)</f>
        <v>1</v>
      </c>
      <c r="Q31" s="163">
        <v>18.5</v>
      </c>
      <c r="R31" s="163">
        <v>0</v>
      </c>
      <c r="S31" s="174">
        <v>0</v>
      </c>
      <c r="U31" s="132" t="s">
        <v>335</v>
      </c>
      <c r="V31" s="202" cm="1">
        <f t="array" ref="V31:AG31">_xlfn.LET(
  _xlpm.months, V30:AG30,
  _xlpm.totalSqft, A28,
  _xlpm.vacSF, C31:C45,
  _xlpm.vacStart, D31:D45,
  _xlpm.vacEnd, E31:E45,
  _xlpm.renSF, M31:M45,
  _xlpm.renEnd, O31:O45,
  _xlfn.MAP(_xlpm.months, _xlfn.LAMBDA(_xlpm.m,
    _xlfn.LET(
      _xlpm.vacLoss,
        SUM(
          IF(
            (ISNUMBER(_xlpm.vacSF)) *
            (
              ISBLANK(_xlpm.vacStart) + (_xlpm.m &lt; _xlpm.vacStart) +
              (ISNUMBER(_xlpm.vacEnd) * (_xlpm.m &gt; _xlpm.vacEnd))
            ),
            _xlpm.vacSF,
            0
          )
        ),
      _xlpm.renLoss,
        SUM(
          IF(
            (ISNUMBER(_xlpm.renSF)) *
            (ISNUMBER(_xlpm.renEnd)) *
            (_xlpm.m &gt; _xlpm.renEnd),
            _xlpm.renSF,
            0
          )
        ),
      ROUND((_xlpm.totalSqft - _xlpm.vacLoss - _xlpm.renLoss) / _xlpm.totalSqft, 4)
    )
  ))
)</f>
        <v>0.42659999999999998</v>
      </c>
      <c r="W31" s="203">
        <v>0.42659999999999998</v>
      </c>
      <c r="X31" s="203">
        <v>0.42659999999999998</v>
      </c>
      <c r="Y31" s="203">
        <v>0.42659999999999998</v>
      </c>
      <c r="Z31" s="203">
        <v>0.42659999999999998</v>
      </c>
      <c r="AA31" s="203">
        <v>0.42659999999999998</v>
      </c>
      <c r="AB31" s="203">
        <v>0.42659999999999998</v>
      </c>
      <c r="AC31" s="203">
        <v>0.42659999999999998</v>
      </c>
      <c r="AD31" s="203">
        <v>0.42659999999999998</v>
      </c>
      <c r="AE31" s="203">
        <v>0.42659999999999998</v>
      </c>
      <c r="AF31" s="203">
        <v>0.42659999999999998</v>
      </c>
      <c r="AG31" s="203">
        <v>0.42659999999999998</v>
      </c>
      <c r="AH31" s="202" cm="1">
        <f t="array" ref="AH31:AS31">_xlfn.LET(
  _xlpm.months, AH30:AS30,
  _xlpm.totalSqft, A28,
  _xlpm.vacSF, C31:C45,
  _xlpm.vacStart, D31:D45,
  _xlpm.vacEnd, E31:E45,
  _xlpm.renSF, M31:M45,
  _xlpm.renEnd, O31:O45,
  _xlfn.MAP(_xlpm.months, _xlfn.LAMBDA(_xlpm.m,
    _xlfn.LET(
      _xlpm.vacLoss,
        SUM(
          IF(
            (ISNUMBER(_xlpm.vacSF)) *
            (
              ISBLANK(_xlpm.vacStart) + (_xlpm.m &lt; _xlpm.vacStart) +
              (ISNUMBER(_xlpm.vacEnd) * (_xlpm.m &gt; _xlpm.vacEnd))
            ),
            _xlpm.vacSF,
            0
          )
        ),
      _xlpm.renLoss,
        SUM(
          IF(
            (ISNUMBER(_xlpm.renSF)) *
            (ISNUMBER(_xlpm.renEnd)) *
            (_xlpm.m &gt; _xlpm.renEnd),
            _xlpm.renSF,
            0
          )
        ),
      ROUND((_xlpm.totalSqft - _xlpm.vacLoss - _xlpm.renLoss) / _xlpm.totalSqft, 4)
    )
  ))
)</f>
        <v>0.42659999999999998</v>
      </c>
      <c r="AI31" s="203">
        <v>0.42659999999999998</v>
      </c>
      <c r="AJ31" s="203">
        <v>0.42659999999999998</v>
      </c>
      <c r="AK31" s="203">
        <v>0.42659999999999998</v>
      </c>
      <c r="AL31" s="203">
        <v>0.42659999999999998</v>
      </c>
      <c r="AM31" s="203">
        <v>0.42659999999999998</v>
      </c>
      <c r="AN31" s="203">
        <v>0.42659999999999998</v>
      </c>
      <c r="AO31" s="203">
        <v>0.42659999999999998</v>
      </c>
      <c r="AP31" s="203">
        <v>0.42659999999999998</v>
      </c>
      <c r="AQ31" s="203">
        <v>0.42659999999999998</v>
      </c>
      <c r="AR31" s="203">
        <v>0.42659999999999998</v>
      </c>
      <c r="AS31" s="203">
        <v>0.40920000000000001</v>
      </c>
      <c r="AT31" s="216"/>
      <c r="CZ31" s="151">
        <f t="shared" ref="CZ31:DW31" si="18">IF(AND($N13&lt;=CZ$8,$O13&gt;=CZ$8),(($Q13*$M13)/12),0)</f>
        <v>0</v>
      </c>
      <c r="DA31" s="150">
        <f t="shared" si="18"/>
        <v>0</v>
      </c>
      <c r="DB31" s="150">
        <f t="shared" si="18"/>
        <v>0</v>
      </c>
      <c r="DC31" s="150">
        <f t="shared" si="18"/>
        <v>0</v>
      </c>
      <c r="DD31" s="150">
        <f t="shared" si="18"/>
        <v>0</v>
      </c>
      <c r="DE31" s="150">
        <f t="shared" si="18"/>
        <v>0</v>
      </c>
      <c r="DF31" s="150">
        <f t="shared" si="18"/>
        <v>0</v>
      </c>
      <c r="DG31" s="150">
        <f t="shared" si="18"/>
        <v>0</v>
      </c>
      <c r="DH31" s="150">
        <f t="shared" si="18"/>
        <v>0</v>
      </c>
      <c r="DI31" s="150">
        <f t="shared" si="18"/>
        <v>0</v>
      </c>
      <c r="DJ31" s="150">
        <f t="shared" si="18"/>
        <v>0</v>
      </c>
      <c r="DK31" s="152">
        <f t="shared" si="18"/>
        <v>0</v>
      </c>
      <c r="DL31" s="133">
        <f t="shared" si="18"/>
        <v>0</v>
      </c>
      <c r="DM31" s="133">
        <f t="shared" si="18"/>
        <v>0</v>
      </c>
      <c r="DN31" s="133">
        <f t="shared" si="18"/>
        <v>0</v>
      </c>
      <c r="DO31" s="133">
        <f t="shared" si="18"/>
        <v>0</v>
      </c>
      <c r="DP31" s="133">
        <f t="shared" si="18"/>
        <v>0</v>
      </c>
      <c r="DQ31" s="133">
        <f t="shared" si="18"/>
        <v>0</v>
      </c>
      <c r="DR31" s="133">
        <f t="shared" si="18"/>
        <v>1802.625</v>
      </c>
      <c r="DS31" s="133">
        <f t="shared" si="18"/>
        <v>1802.625</v>
      </c>
      <c r="DT31" s="133">
        <f t="shared" si="18"/>
        <v>1802.625</v>
      </c>
      <c r="DU31" s="133">
        <f t="shared" si="18"/>
        <v>1802.625</v>
      </c>
      <c r="DV31" s="133">
        <f t="shared" si="18"/>
        <v>1802.625</v>
      </c>
      <c r="DW31" s="133">
        <f t="shared" si="18"/>
        <v>1802.625</v>
      </c>
    </row>
    <row r="32" spans="1:127" x14ac:dyDescent="0.35">
      <c r="A32" s="136">
        <v>203</v>
      </c>
      <c r="B32" s="7" t="str">
        <f t="shared" ref="B32:B45" si="19">IF(A32&lt;&gt;"","VACANT","")</f>
        <v>VACANT</v>
      </c>
      <c r="C32" s="155">
        <v>2100</v>
      </c>
      <c r="D32" s="173"/>
      <c r="E32" s="162"/>
      <c r="F32" s="136">
        <f t="shared" ref="F32:F45" si="20">IFERROR(ROUNDUP(((DATEDIF(D32,E32,"d"))/365),1),0)</f>
        <v>0</v>
      </c>
      <c r="G32" s="163"/>
      <c r="H32" s="163"/>
      <c r="I32" s="174"/>
      <c r="K32" s="136">
        <v>108</v>
      </c>
      <c r="L32" s="7" t="s">
        <v>429</v>
      </c>
      <c r="M32" s="155">
        <v>980</v>
      </c>
      <c r="N32" s="173">
        <v>46143</v>
      </c>
      <c r="O32" s="162">
        <v>46387</v>
      </c>
      <c r="P32" s="136">
        <f t="shared" si="17"/>
        <v>0.7</v>
      </c>
      <c r="Q32" s="163">
        <v>18.5</v>
      </c>
      <c r="R32" s="163">
        <v>0</v>
      </c>
      <c r="S32" s="174">
        <v>0</v>
      </c>
      <c r="U32" s="132" t="s">
        <v>333</v>
      </c>
      <c r="V32" s="151" cm="1">
        <f t="array" ref="V32">((SUMPRODUCT(($D$31:$D$45&lt;=V$8) * ($E$31:$E$45&gt;=V$8) * ($G$31:$G$45 * $C$31:$C$45)))+(SUMPRODUCT(($N$31:$N$45&lt;=V$8) * ($O$31:$O$45&gt;=V$8) * ($Q$31:$Q$45 * $M$31:$M$45))))/12</f>
        <v>0</v>
      </c>
      <c r="W32" s="133" cm="1">
        <f t="array" ref="W32">((SUMPRODUCT(($D$31:$D$45&lt;=W$8) * ($E$31:$E$45&gt;=W$8) * ($G$31:$G$45 * $C$31:$C$45)))+(SUMPRODUCT(($N$31:$N$45&lt;=W$8) * ($O$31:$O$45&gt;=W$8) * ($Q$31:$Q$45 * $M$31:$M$45))))/12</f>
        <v>0</v>
      </c>
      <c r="X32" s="133" cm="1">
        <f t="array" ref="X32">((SUMPRODUCT(($D$31:$D$45&lt;=X$8) * ($E$31:$E$45&gt;=X$8) * ($G$31:$G$45 * $C$31:$C$45)))+(SUMPRODUCT(($N$31:$N$45&lt;=X$8) * ($O$31:$O$45&gt;=X$8) * ($Q$31:$Q$45 * $M$31:$M$45))))/12</f>
        <v>0</v>
      </c>
      <c r="Y32" s="133" cm="1">
        <f t="array" ref="Y32">((SUMPRODUCT(($D$31:$D$45&lt;=Y$8) * ($E$31:$E$45&gt;=Y$8) * ($G$31:$G$45 * $C$31:$C$45)))+(SUMPRODUCT(($N$31:$N$45&lt;=Y$8) * ($O$31:$O$45&gt;=Y$8) * ($Q$31:$Q$45 * $M$31:$M$45))))/12</f>
        <v>0</v>
      </c>
      <c r="Z32" s="133" cm="1">
        <f t="array" ref="Z32">((SUMPRODUCT(($D$31:$D$45&lt;=Z$8) * ($E$31:$E$45&gt;=Z$8) * ($G$31:$G$45 * $C$31:$C$45)))+(SUMPRODUCT(($N$31:$N$45&lt;=Z$8) * ($O$31:$O$45&gt;=Z$8) * ($Q$31:$Q$45 * $M$31:$M$45))))/12</f>
        <v>0</v>
      </c>
      <c r="AA32" s="133" cm="1">
        <f t="array" ref="AA32">((SUMPRODUCT(($D$31:$D$45&lt;=AA$8) * ($E$31:$E$45&gt;=AA$8) * ($G$31:$G$45 * $C$31:$C$45)))+(SUMPRODUCT(($N$31:$N$45&lt;=AA$8) * ($O$31:$O$45&gt;=AA$8) * ($Q$31:$Q$45 * $M$31:$M$45))))/12</f>
        <v>0</v>
      </c>
      <c r="AB32" s="133" cm="1">
        <f t="array" ref="AB32">((SUMPRODUCT(($D$31:$D$45&lt;=AB$8) * ($E$31:$E$45&gt;=AB$8) * ($G$31:$G$45 * $C$31:$C$45)))+(SUMPRODUCT(($N$31:$N$45&lt;=AB$8) * ($O$31:$O$45&gt;=AB$8) * ($Q$31:$Q$45 * $M$31:$M$45))))/12</f>
        <v>0</v>
      </c>
      <c r="AC32" s="133" cm="1">
        <f t="array" ref="AC32">((SUMPRODUCT(($D$31:$D$45&lt;=AC$8) * ($E$31:$E$45&gt;=AC$8) * ($G$31:$G$45 * $C$31:$C$45)))+(SUMPRODUCT(($N$31:$N$45&lt;=AC$8) * ($O$31:$O$45&gt;=AC$8) * ($Q$31:$Q$45 * $M$31:$M$45))))/12</f>
        <v>0</v>
      </c>
      <c r="AD32" s="133" cm="1">
        <f t="array" ref="AD32">((SUMPRODUCT(($D$31:$D$45&lt;=AD$8) * ($E$31:$E$45&gt;=AD$8) * ($G$31:$G$45 * $C$31:$C$45)))+(SUMPRODUCT(($N$31:$N$45&lt;=AD$8) * ($O$31:$O$45&gt;=AD$8) * ($Q$31:$Q$45 * $M$31:$M$45))))/12</f>
        <v>0</v>
      </c>
      <c r="AE32" s="133" cm="1">
        <f t="array" ref="AE32">((SUMPRODUCT(($D$31:$D$45&lt;=AE$8) * ($E$31:$E$45&gt;=AE$8) * ($G$31:$G$45 * $C$31:$C$45)))+(SUMPRODUCT(($N$31:$N$45&lt;=AE$8) * ($O$31:$O$45&gt;=AE$8) * ($Q$31:$Q$45 * $M$31:$M$45))))/12</f>
        <v>0</v>
      </c>
      <c r="AF32" s="133" cm="1">
        <f t="array" ref="AF32">((SUMPRODUCT(($D$31:$D$45&lt;=AF$8) * ($E$31:$E$45&gt;=AF$8) * ($G$31:$G$45 * $C$31:$C$45)))+(SUMPRODUCT(($N$31:$N$45&lt;=AF$8) * ($O$31:$O$45&gt;=AF$8) * ($Q$31:$Q$45 * $M$31:$M$45))))/12</f>
        <v>0</v>
      </c>
      <c r="AG32" s="133" cm="1">
        <f t="array" ref="AG32">((SUMPRODUCT(($D$31:$D$45&lt;=AG$8) * ($E$31:$E$45&gt;=AG$8) * ($G$31:$G$45 * $C$31:$C$45)))+(SUMPRODUCT(($N$31:$N$45&lt;=AG$8) * ($O$31:$O$45&gt;=AG$8) * ($Q$31:$Q$45 * $M$31:$M$45))))/12</f>
        <v>1389.375</v>
      </c>
      <c r="AH32" s="151" cm="1">
        <f t="array" ref="AH32">((SUMPRODUCT(($D$31:$D$45&lt;=AH$8) * ($E$31:$E$45&gt;=AH$8) * ($G$31:$G$45 * $C$31:$C$45)))+(SUMPRODUCT(($N$31:$N$45&lt;=AH$8) * ($O$31:$O$45&gt;=AH$8) * ($Q$31:$Q$45 * $M$31:$M$45))))/12</f>
        <v>2962.875</v>
      </c>
      <c r="AI32" s="133" cm="1">
        <f t="array" ref="AI32">((SUMPRODUCT(($D$31:$D$45&lt;=AI$8) * ($E$31:$E$45&gt;=AI$8) * ($G$31:$G$45 * $C$31:$C$45)))+(SUMPRODUCT(($N$31:$N$45&lt;=AI$8) * ($O$31:$O$45&gt;=AI$8) * ($Q$31:$Q$45 * $M$31:$M$45))))/12</f>
        <v>2962.875</v>
      </c>
      <c r="AJ32" s="133" cm="1">
        <f t="array" ref="AJ32">((SUMPRODUCT(($D$31:$D$45&lt;=AJ$8) * ($E$31:$E$45&gt;=AJ$8) * ($G$31:$G$45 * $C$31:$C$45)))+(SUMPRODUCT(($N$31:$N$45&lt;=AJ$8) * ($O$31:$O$45&gt;=AJ$8) * ($Q$31:$Q$45 * $M$31:$M$45))))/12</f>
        <v>2962.875</v>
      </c>
      <c r="AK32" s="133" cm="1">
        <f t="array" ref="AK32">((SUMPRODUCT(($D$31:$D$45&lt;=AK$8) * ($E$31:$E$45&gt;=AK$8) * ($G$31:$G$45 * $C$31:$C$45)))+(SUMPRODUCT(($N$31:$N$45&lt;=AK$8) * ($O$31:$O$45&gt;=AK$8) * ($Q$31:$Q$45 * $M$31:$M$45))))/12</f>
        <v>7058.958333333333</v>
      </c>
      <c r="AL32" s="133" cm="1">
        <f t="array" ref="AL32">((SUMPRODUCT(($D$31:$D$45&lt;=AL$8) * ($E$31:$E$45&gt;=AL$8) * ($G$31:$G$45 * $C$31:$C$45)))+(SUMPRODUCT(($N$31:$N$45&lt;=AL$8) * ($O$31:$O$45&gt;=AL$8) * ($Q$31:$Q$45 * $M$31:$M$45))))/12</f>
        <v>8569.7916666666661</v>
      </c>
      <c r="AM32" s="133" cm="1">
        <f t="array" ref="AM32">((SUMPRODUCT(($D$31:$D$45&lt;=AM$8) * ($E$31:$E$45&gt;=AM$8) * ($G$31:$G$45 * $C$31:$C$45)))+(SUMPRODUCT(($N$31:$N$45&lt;=AM$8) * ($O$31:$O$45&gt;=AM$8) * ($Q$31:$Q$45 * $M$31:$M$45))))/12</f>
        <v>10415.166666666666</v>
      </c>
      <c r="AN32" s="133" cm="1">
        <f t="array" ref="AN32">((SUMPRODUCT(($D$31:$D$45&lt;=AN$8) * ($E$31:$E$45&gt;=AN$8) * ($G$31:$G$45 * $C$31:$C$45)))+(SUMPRODUCT(($N$31:$N$45&lt;=AN$8) * ($O$31:$O$45&gt;=AN$8) * ($Q$31:$Q$45 * $M$31:$M$45))))/12</f>
        <v>10415.166666666666</v>
      </c>
      <c r="AO32" s="133" cm="1">
        <f t="array" ref="AO32">((SUMPRODUCT(($D$31:$D$45&lt;=AO$8) * ($E$31:$E$45&gt;=AO$8) * ($G$31:$G$45 * $C$31:$C$45)))+(SUMPRODUCT(($N$31:$N$45&lt;=AO$8) * ($O$31:$O$45&gt;=AO$8) * ($Q$31:$Q$45 * $M$31:$M$45))))/12</f>
        <v>10415.166666666666</v>
      </c>
      <c r="AP32" s="133" cm="1">
        <f t="array" ref="AP32">((SUMPRODUCT(($D$31:$D$45&lt;=AP$8) * ($E$31:$E$45&gt;=AP$8) * ($G$31:$G$45 * $C$31:$C$45)))+(SUMPRODUCT(($N$31:$N$45&lt;=AP$8) * ($O$31:$O$45&gt;=AP$8) * ($Q$31:$Q$45 * $M$31:$M$45))))/12</f>
        <v>10415.166666666666</v>
      </c>
      <c r="AQ32" s="133" cm="1">
        <f t="array" ref="AQ32">((SUMPRODUCT(($D$31:$D$45&lt;=AQ$8) * ($E$31:$E$45&gt;=AQ$8) * ($G$31:$G$45 * $C$31:$C$45)))+(SUMPRODUCT(($N$31:$N$45&lt;=AQ$8) * ($O$31:$O$45&gt;=AQ$8) * ($Q$31:$Q$45 * $M$31:$M$45))))/12</f>
        <v>10415.166666666666</v>
      </c>
      <c r="AR32" s="133" cm="1">
        <f t="array" ref="AR32">((SUMPRODUCT(($D$31:$D$45&lt;=AR$8) * ($E$31:$E$45&gt;=AR$8) * ($G$31:$G$45 * $C$31:$C$45)))+(SUMPRODUCT(($N$31:$N$45&lt;=AR$8) * ($O$31:$O$45&gt;=AR$8) * ($Q$31:$Q$45 * $M$31:$M$45))))/12</f>
        <v>10415.166666666666</v>
      </c>
      <c r="AS32" s="133" cm="1">
        <f t="array" ref="AS32">((SUMPRODUCT(($D$31:$D$45&lt;=AS$8) * ($E$31:$E$45&gt;=AS$8) * ($G$31:$G$45 * $C$31:$C$45)))+(SUMPRODUCT(($N$31:$N$45&lt;=AS$8) * ($O$31:$O$45&gt;=AS$8) * ($Q$31:$Q$45 * $M$31:$M$45))))/12</f>
        <v>9025.7916666666661</v>
      </c>
      <c r="AT32" s="217">
        <f>SUM(AH32:AS32)</f>
        <v>96034.166666666672</v>
      </c>
      <c r="CZ32" s="151">
        <f t="shared" ref="CZ32:DW32" si="21">IF(AND($N14&lt;=CZ$8,$O14&gt;=CZ$8),(($Q14*$M14)/12),0)</f>
        <v>0</v>
      </c>
      <c r="DA32" s="150">
        <f t="shared" si="21"/>
        <v>0</v>
      </c>
      <c r="DB32" s="150">
        <f t="shared" si="21"/>
        <v>0</v>
      </c>
      <c r="DC32" s="150">
        <f t="shared" si="21"/>
        <v>0</v>
      </c>
      <c r="DD32" s="150">
        <f t="shared" si="21"/>
        <v>0</v>
      </c>
      <c r="DE32" s="150">
        <f t="shared" si="21"/>
        <v>0</v>
      </c>
      <c r="DF32" s="150">
        <f t="shared" si="21"/>
        <v>0</v>
      </c>
      <c r="DG32" s="150">
        <f t="shared" si="21"/>
        <v>0</v>
      </c>
      <c r="DH32" s="150">
        <f t="shared" si="21"/>
        <v>0</v>
      </c>
      <c r="DI32" s="150">
        <f t="shared" si="21"/>
        <v>0</v>
      </c>
      <c r="DJ32" s="150">
        <f t="shared" si="21"/>
        <v>0</v>
      </c>
      <c r="DK32" s="152">
        <f t="shared" si="21"/>
        <v>0</v>
      </c>
      <c r="DL32" s="133">
        <f t="shared" si="21"/>
        <v>0</v>
      </c>
      <c r="DM32" s="133">
        <f t="shared" si="21"/>
        <v>0</v>
      </c>
      <c r="DN32" s="133">
        <f t="shared" si="21"/>
        <v>0</v>
      </c>
      <c r="DO32" s="133">
        <f t="shared" si="21"/>
        <v>0</v>
      </c>
      <c r="DP32" s="133">
        <f t="shared" si="21"/>
        <v>1020</v>
      </c>
      <c r="DQ32" s="133">
        <f t="shared" si="21"/>
        <v>1020</v>
      </c>
      <c r="DR32" s="133">
        <f t="shared" si="21"/>
        <v>1020</v>
      </c>
      <c r="DS32" s="133">
        <f t="shared" si="21"/>
        <v>1020</v>
      </c>
      <c r="DT32" s="133">
        <f t="shared" si="21"/>
        <v>1020</v>
      </c>
      <c r="DU32" s="133">
        <f t="shared" si="21"/>
        <v>1020</v>
      </c>
      <c r="DV32" s="133">
        <f t="shared" si="21"/>
        <v>1020</v>
      </c>
      <c r="DW32" s="133">
        <f t="shared" si="21"/>
        <v>1020</v>
      </c>
    </row>
    <row r="33" spans="1:127" x14ac:dyDescent="0.35">
      <c r="A33" s="136">
        <v>204</v>
      </c>
      <c r="B33" s="7" t="str">
        <f t="shared" si="19"/>
        <v>VACANT</v>
      </c>
      <c r="C33" s="155">
        <v>2761</v>
      </c>
      <c r="D33" s="173"/>
      <c r="E33" s="162"/>
      <c r="F33" s="136">
        <f t="shared" si="20"/>
        <v>0</v>
      </c>
      <c r="G33" s="163"/>
      <c r="H33" s="163"/>
      <c r="I33" s="174"/>
      <c r="J33" s="134"/>
      <c r="K33" s="136">
        <v>205</v>
      </c>
      <c r="L33" s="7" t="s">
        <v>430</v>
      </c>
      <c r="M33" s="155">
        <v>855</v>
      </c>
      <c r="N33" s="173">
        <v>45992</v>
      </c>
      <c r="O33" s="164">
        <v>46356</v>
      </c>
      <c r="P33" s="136">
        <f t="shared" si="17"/>
        <v>1</v>
      </c>
      <c r="Q33" s="165">
        <v>19.5</v>
      </c>
      <c r="R33" s="163">
        <v>0</v>
      </c>
      <c r="S33" s="174">
        <v>0</v>
      </c>
      <c r="U33" s="132" t="s">
        <v>330</v>
      </c>
      <c r="V33" s="151" cm="1">
        <f t="array" ref="V33">(SUMPRODUCT((TEXT($N31:$N45,"yyyymm")=TEXT(V$30,"yyyymm")) * ($R31:$R45 * $M31:$M45)))+(SUMPRODUCT((TEXT($D31:$D45,"yyyymm")=TEXT(V$30,"yyyymm")) * ($H31:$H45 * $C31:$C45)))</f>
        <v>0</v>
      </c>
      <c r="W33" s="133" cm="1">
        <f t="array" ref="W33">(SUMPRODUCT((TEXT($N31:$N45,"yyyymm")=TEXT(W$30,"yyyymm")) * ($R31:$R45 * $M31:$M45)))+(SUMPRODUCT((TEXT($D31:$D45,"yyyymm")=TEXT(W$30,"yyyymm")) * ($H31:$H45 * $C31:$C45)))</f>
        <v>0</v>
      </c>
      <c r="X33" s="133" cm="1">
        <f t="array" ref="X33">(SUMPRODUCT((TEXT($N31:$N45,"yyyymm")=TEXT(X$30,"yyyymm")) * ($R31:$R45 * $M31:$M45)))+(SUMPRODUCT((TEXT($D31:$D45,"yyyymm")=TEXT(X$30,"yyyymm")) * ($H31:$H45 * $C31:$C45)))</f>
        <v>0</v>
      </c>
      <c r="Y33" s="133" cm="1">
        <f t="array" ref="Y33">(SUMPRODUCT((TEXT($N31:$N45,"yyyymm")=TEXT(Y$30,"yyyymm")) * ($R31:$R45 * $M31:$M45)))+(SUMPRODUCT((TEXT($D31:$D45,"yyyymm")=TEXT(Y$30,"yyyymm")) * ($H31:$H45 * $C31:$C45)))</f>
        <v>0</v>
      </c>
      <c r="Z33" s="133" cm="1">
        <f t="array" ref="Z33">(SUMPRODUCT((TEXT($N31:$N45,"yyyymm")=TEXT(Z$30,"yyyymm")) * ($R31:$R45 * $M31:$M45)))+(SUMPRODUCT((TEXT($D31:$D45,"yyyymm")=TEXT(Z$30,"yyyymm")) * ($H31:$H45 * $C31:$C45)))</f>
        <v>0</v>
      </c>
      <c r="AA33" s="133" cm="1">
        <f t="array" ref="AA33">(SUMPRODUCT((TEXT($N31:$N45,"yyyymm")=TEXT(AA$30,"yyyymm")) * ($R31:$R45 * $M31:$M45)))+(SUMPRODUCT((TEXT($D31:$D45,"yyyymm")=TEXT(AA$30,"yyyymm")) * ($H31:$H45 * $C31:$C45)))</f>
        <v>0</v>
      </c>
      <c r="AB33" s="133" cm="1">
        <f t="array" ref="AB33">(SUMPRODUCT((TEXT($N31:$N45,"yyyymm")=TEXT(AB$30,"yyyymm")) * ($R31:$R45 * $M31:$M45)))+(SUMPRODUCT((TEXT($D31:$D45,"yyyymm")=TEXT(AB$30,"yyyymm")) * ($H31:$H45 * $C31:$C45)))</f>
        <v>0</v>
      </c>
      <c r="AC33" s="133" cm="1">
        <f t="array" ref="AC33">(SUMPRODUCT((TEXT($N31:$N45,"yyyymm")=TEXT(AC$30,"yyyymm")) * ($R31:$R45 * $M31:$M45)))+(SUMPRODUCT((TEXT($D31:$D45,"yyyymm")=TEXT(AC$30,"yyyymm")) * ($H31:$H45 * $C31:$C45)))</f>
        <v>0</v>
      </c>
      <c r="AD33" s="133" cm="1">
        <f t="array" ref="AD33">(SUMPRODUCT((TEXT($N31:$N45,"yyyymm")=TEXT(AD$30,"yyyymm")) * ($R31:$R45 * $M31:$M45)))+(SUMPRODUCT((TEXT($D31:$D45,"yyyymm")=TEXT(AD$30,"yyyymm")) * ($H31:$H45 * $C31:$C45)))</f>
        <v>0</v>
      </c>
      <c r="AE33" s="133" cm="1">
        <f t="array" ref="AE33">(SUMPRODUCT((TEXT($N31:$N45,"yyyymm")=TEXT(AE$30,"yyyymm")) * ($R31:$R45 * $M31:$M45)))+(SUMPRODUCT((TEXT($D31:$D45,"yyyymm")=TEXT(AE$30,"yyyymm")) * ($H31:$H45 * $C31:$C45)))</f>
        <v>0</v>
      </c>
      <c r="AF33" s="133" cm="1">
        <f t="array" ref="AF33">(SUMPRODUCT((TEXT($N31:$N45,"yyyymm")=TEXT(AF$30,"yyyymm")) * ($R31:$R45 * $M31:$M45)))+(SUMPRODUCT((TEXT($D31:$D45,"yyyymm")=TEXT(AF$30,"yyyymm")) * ($H31:$H45 * $C31:$C45)))</f>
        <v>0</v>
      </c>
      <c r="AG33" s="133" cm="1">
        <f t="array" ref="AG33">(SUMPRODUCT((TEXT($N31:$N45,"yyyymm")=TEXT(AG$30,"yyyymm")) * ($R31:$R45 * $M31:$M45)))+(SUMPRODUCT((TEXT($D31:$D45,"yyyymm")=TEXT(AG$30,"yyyymm")) * ($H31:$H45 * $C31:$C45)))</f>
        <v>0</v>
      </c>
      <c r="AH33" s="151" cm="1">
        <f t="array" ref="AH33">(SUMPRODUCT((TEXT($N31:$N45,"yyyymm")=TEXT(AH$30,"yyyymm")) * ($R31:$R45 * $M31:$M45)))+(SUMPRODUCT((TEXT($D31:$D45,"yyyymm")=TEXT(AH$30,"yyyymm")) * ($H31:$H45 * $C31:$C45)))</f>
        <v>0</v>
      </c>
      <c r="AI33" s="133" cm="1">
        <f t="array" ref="AI33">(SUMPRODUCT((TEXT($N31:$N45,"yyyymm")=TEXT(AI$30,"yyyymm")) * ($R31:$R45 * $M31:$M45)))+(SUMPRODUCT((TEXT($D31:$D45,"yyyymm")=TEXT(AI$30,"yyyymm")) * ($H31:$H45 * $C31:$C45)))</f>
        <v>0</v>
      </c>
      <c r="AJ33" s="133" cm="1">
        <f t="array" ref="AJ33">(SUMPRODUCT((TEXT($N31:$N45,"yyyymm")=TEXT(AJ$30,"yyyymm")) * ($R31:$R45 * $M31:$M45)))+(SUMPRODUCT((TEXT($D31:$D45,"yyyymm")=TEXT(AJ$30,"yyyymm")) * ($H31:$H45 * $C31:$C45)))</f>
        <v>0</v>
      </c>
      <c r="AK33" s="133" cm="1">
        <f t="array" ref="AK33">(SUMPRODUCT((TEXT($N31:$N45,"yyyymm")=TEXT(AK$30,"yyyymm")) * ($R31:$R45 * $M31:$M45)))+(SUMPRODUCT((TEXT($D31:$D45,"yyyymm")=TEXT(AK$30,"yyyymm")) * ($H31:$H45 * $C31:$C45)))</f>
        <v>0</v>
      </c>
      <c r="AL33" s="133" cm="1">
        <f t="array" ref="AL33">(SUMPRODUCT((TEXT($N31:$N45,"yyyymm")=TEXT(AL$30,"yyyymm")) * ($R31:$R45 * $M31:$M45)))+(SUMPRODUCT((TEXT($D31:$D45,"yyyymm")=TEXT(AL$30,"yyyymm")) * ($H31:$H45 * $C31:$C45)))</f>
        <v>0</v>
      </c>
      <c r="AM33" s="133" cm="1">
        <f t="array" ref="AM33">(SUMPRODUCT((TEXT($N31:$N45,"yyyymm")=TEXT(AM$30,"yyyymm")) * ($R31:$R45 * $M31:$M45)))+(SUMPRODUCT((TEXT($D31:$D45,"yyyymm")=TEXT(AM$30,"yyyymm")) * ($H31:$H45 * $C31:$C45)))</f>
        <v>0</v>
      </c>
      <c r="AN33" s="133" cm="1">
        <f t="array" ref="AN33">(SUMPRODUCT((TEXT($N31:$N45,"yyyymm")=TEXT(AN$30,"yyyymm")) * ($R31:$R45 * $M31:$M45)))+(SUMPRODUCT((TEXT($D31:$D45,"yyyymm")=TEXT(AN$30,"yyyymm")) * ($H31:$H45 * $C31:$C45)))</f>
        <v>0</v>
      </c>
      <c r="AO33" s="133" cm="1">
        <f t="array" ref="AO33">(SUMPRODUCT((TEXT($N31:$N45,"yyyymm")=TEXT(AO$30,"yyyymm")) * ($R31:$R45 * $M31:$M45)))+(SUMPRODUCT((TEXT($D31:$D45,"yyyymm")=TEXT(AO$30,"yyyymm")) * ($H31:$H45 * $C31:$C45)))</f>
        <v>0</v>
      </c>
      <c r="AP33" s="133" cm="1">
        <f t="array" ref="AP33">(SUMPRODUCT((TEXT($N31:$N45,"yyyymm")=TEXT(AP$30,"yyyymm")) * ($R31:$R45 * $M31:$M45)))+(SUMPRODUCT((TEXT($D31:$D45,"yyyymm")=TEXT(AP$30,"yyyymm")) * ($H31:$H45 * $C31:$C45)))</f>
        <v>0</v>
      </c>
      <c r="AQ33" s="133" cm="1">
        <f t="array" ref="AQ33">(SUMPRODUCT((TEXT($N31:$N45,"yyyymm")=TEXT(AQ$30,"yyyymm")) * ($R31:$R45 * $M31:$M45)))+(SUMPRODUCT((TEXT($D31:$D45,"yyyymm")=TEXT(AQ$30,"yyyymm")) * ($H31:$H45 * $C31:$C45)))</f>
        <v>0</v>
      </c>
      <c r="AR33" s="133" cm="1">
        <f t="array" ref="AR33">(SUMPRODUCT((TEXT($N31:$N45,"yyyymm")=TEXT(AR$30,"yyyymm")) * ($R31:$R45 * $M31:$M45)))+(SUMPRODUCT((TEXT($D31:$D45,"yyyymm")=TEXT(AR$30,"yyyymm")) * ($H31:$H45 * $C31:$C45)))</f>
        <v>0</v>
      </c>
      <c r="AS33" s="133" cm="1">
        <f t="array" ref="AS33">(SUMPRODUCT((TEXT($N31:$N45,"yyyymm")=TEXT(AS$30,"yyyymm")) * ($R31:$R45 * $M31:$M45)))+(SUMPRODUCT((TEXT($D31:$D45,"yyyymm")=TEXT(AS$30,"yyyymm")) * ($H31:$H45 * $C31:$C45)))</f>
        <v>0</v>
      </c>
      <c r="AT33" s="217">
        <f t="shared" ref="AT33:AT34" si="22">SUM(AH33:AS33)</f>
        <v>0</v>
      </c>
      <c r="CZ33" s="151">
        <f t="shared" ref="CZ33:DW33" si="23">IF(AND($N15&lt;=CZ$8,$O15&gt;=CZ$8),(($Q15*$M15)/12),0)</f>
        <v>0</v>
      </c>
      <c r="DA33" s="150">
        <f t="shared" si="23"/>
        <v>0</v>
      </c>
      <c r="DB33" s="150">
        <f t="shared" si="23"/>
        <v>0</v>
      </c>
      <c r="DC33" s="150">
        <f t="shared" si="23"/>
        <v>0</v>
      </c>
      <c r="DD33" s="150">
        <f t="shared" si="23"/>
        <v>0</v>
      </c>
      <c r="DE33" s="150">
        <f t="shared" si="23"/>
        <v>0</v>
      </c>
      <c r="DF33" s="150">
        <f t="shared" si="23"/>
        <v>0</v>
      </c>
      <c r="DG33" s="150">
        <f t="shared" si="23"/>
        <v>0</v>
      </c>
      <c r="DH33" s="150">
        <f t="shared" si="23"/>
        <v>0</v>
      </c>
      <c r="DI33" s="150">
        <f t="shared" si="23"/>
        <v>0</v>
      </c>
      <c r="DJ33" s="150">
        <f t="shared" si="23"/>
        <v>0</v>
      </c>
      <c r="DK33" s="152">
        <f t="shared" si="23"/>
        <v>0</v>
      </c>
      <c r="DL33" s="133">
        <f t="shared" si="23"/>
        <v>0</v>
      </c>
      <c r="DM33" s="133">
        <f t="shared" si="23"/>
        <v>0</v>
      </c>
      <c r="DN33" s="133">
        <f t="shared" si="23"/>
        <v>0</v>
      </c>
      <c r="DO33" s="133">
        <f t="shared" si="23"/>
        <v>0</v>
      </c>
      <c r="DP33" s="133">
        <f t="shared" si="23"/>
        <v>1025</v>
      </c>
      <c r="DQ33" s="133">
        <f t="shared" si="23"/>
        <v>1025</v>
      </c>
      <c r="DR33" s="133">
        <f t="shared" si="23"/>
        <v>1025</v>
      </c>
      <c r="DS33" s="133">
        <f t="shared" si="23"/>
        <v>1025</v>
      </c>
      <c r="DT33" s="133">
        <f t="shared" si="23"/>
        <v>1025</v>
      </c>
      <c r="DU33" s="133">
        <f t="shared" si="23"/>
        <v>1025</v>
      </c>
      <c r="DV33" s="133">
        <f t="shared" si="23"/>
        <v>1025</v>
      </c>
      <c r="DW33" s="133">
        <f t="shared" si="23"/>
        <v>1025</v>
      </c>
    </row>
    <row r="34" spans="1:127" x14ac:dyDescent="0.35">
      <c r="A34" s="136">
        <v>301</v>
      </c>
      <c r="B34" s="7" t="str">
        <f t="shared" si="19"/>
        <v>VACANT</v>
      </c>
      <c r="C34" s="155">
        <v>5671</v>
      </c>
      <c r="D34" s="173"/>
      <c r="E34" s="164"/>
      <c r="F34" s="136">
        <f t="shared" si="20"/>
        <v>0</v>
      </c>
      <c r="G34" s="165"/>
      <c r="H34" s="163"/>
      <c r="I34" s="174"/>
      <c r="J34" s="134"/>
      <c r="K34" s="136">
        <v>208</v>
      </c>
      <c r="L34" s="7" t="s">
        <v>445</v>
      </c>
      <c r="M34" s="155">
        <v>2587</v>
      </c>
      <c r="N34" s="173">
        <v>46113</v>
      </c>
      <c r="O34" s="162">
        <v>46387</v>
      </c>
      <c r="P34" s="136">
        <f t="shared" si="17"/>
        <v>0.79999999999999993</v>
      </c>
      <c r="Q34" s="163">
        <v>19</v>
      </c>
      <c r="R34" s="163">
        <v>0</v>
      </c>
      <c r="S34" s="174">
        <v>0</v>
      </c>
      <c r="U34" s="132" t="s">
        <v>334</v>
      </c>
      <c r="V34" s="151" cm="1">
        <f t="array" ref="V34">IFERROR((SUMPRODUCT((TEXT($N31:$N45,"yyyymm")=TEXT(V$30,"yyyymm")) * ($S31:$S45 * $M31:$M45*$Q31:$Q45*$P31:$P45)))+(SUMPRODUCT((TEXT($D31:$D45,"yyyymm")=TEXT(V$30,"yyyymm")) * ($I31:$I45 * $C31:$C45*$G31:$G45*$F31:$F45))),0)</f>
        <v>0</v>
      </c>
      <c r="W34" s="133" cm="1">
        <f t="array" ref="W34">IFERROR((SUMPRODUCT((TEXT($N31:$N45,"yyyymm")=TEXT(W$30,"yyyymm")) * ($S31:$S45 * $M31:$M45*$Q31:$Q45*$P31:$P45)))+(SUMPRODUCT((TEXT($D31:$D45,"yyyymm")=TEXT(W$30,"yyyymm")) * ($I31:$I45 * $C31:$C45*$G31:$G45*$F31:$F45))),0)</f>
        <v>0</v>
      </c>
      <c r="X34" s="133" cm="1">
        <f t="array" ref="X34">IFERROR((SUMPRODUCT((TEXT($N31:$N45,"yyyymm")=TEXT(X$30,"yyyymm")) * ($S31:$S45 * $M31:$M45*$Q31:$Q45*$P31:$P45)))+(SUMPRODUCT((TEXT($D31:$D45,"yyyymm")=TEXT(X$30,"yyyymm")) * ($I31:$I45 * $C31:$C45*$G31:$G45*$F31:$F45))),0)</f>
        <v>0</v>
      </c>
      <c r="Y34" s="133" cm="1">
        <f t="array" ref="Y34">IFERROR((SUMPRODUCT((TEXT($N31:$N45,"yyyymm")=TEXT(Y$30,"yyyymm")) * ($S31:$S45 * $M31:$M45*$Q31:$Q45*$P31:$P45)))+(SUMPRODUCT((TEXT($D31:$D45,"yyyymm")=TEXT(Y$30,"yyyymm")) * ($I31:$I45 * $C31:$C45*$G31:$G45*$F31:$F45))),0)</f>
        <v>0</v>
      </c>
      <c r="Z34" s="133" cm="1">
        <f t="array" ref="Z34">IFERROR((SUMPRODUCT((TEXT($N31:$N45,"yyyymm")=TEXT(Z$30,"yyyymm")) * ($S31:$S45 * $M31:$M45*$Q31:$Q45*$P31:$P45)))+(SUMPRODUCT((TEXT($D31:$D45,"yyyymm")=TEXT(Z$30,"yyyymm")) * ($I31:$I45 * $C31:$C45*$G31:$G45*$F31:$F45))),0)</f>
        <v>0</v>
      </c>
      <c r="AA34" s="133" cm="1">
        <f t="array" ref="AA34">IFERROR((SUMPRODUCT((TEXT($N31:$N45,"yyyymm")=TEXT(AA$30,"yyyymm")) * ($S31:$S45 * $M31:$M45*$Q31:$Q45*$P31:$P45)))+(SUMPRODUCT((TEXT($D31:$D45,"yyyymm")=TEXT(AA$30,"yyyymm")) * ($I31:$I45 * $C31:$C45*$G31:$G45*$F31:$F45))),0)</f>
        <v>0</v>
      </c>
      <c r="AB34" s="133" cm="1">
        <f t="array" ref="AB34">IFERROR((SUMPRODUCT((TEXT($N31:$N45,"yyyymm")=TEXT(AB$30,"yyyymm")) * ($S31:$S45 * $M31:$M45*$Q31:$Q45*$P31:$P45)))+(SUMPRODUCT((TEXT($D31:$D45,"yyyymm")=TEXT(AB$30,"yyyymm")) * ($I31:$I45 * $C31:$C45*$G31:$G45*$F31:$F45))),0)</f>
        <v>0</v>
      </c>
      <c r="AC34" s="133" cm="1">
        <f t="array" ref="AC34">IFERROR((SUMPRODUCT((TEXT($N31:$N45,"yyyymm")=TEXT(AC$30,"yyyymm")) * ($S31:$S45 * $M31:$M45*$Q31:$Q45*$P31:$P45)))+(SUMPRODUCT((TEXT($D31:$D45,"yyyymm")=TEXT(AC$30,"yyyymm")) * ($I31:$I45 * $C31:$C45*$G31:$G45*$F31:$F45))),0)</f>
        <v>0</v>
      </c>
      <c r="AD34" s="133" cm="1">
        <f t="array" ref="AD34">IFERROR((SUMPRODUCT((TEXT($N31:$N45,"yyyymm")=TEXT(AD$30,"yyyymm")) * ($S31:$S45 * $M31:$M45*$Q31:$Q45*$P31:$P45)))+(SUMPRODUCT((TEXT($D31:$D45,"yyyymm")=TEXT(AD$30,"yyyymm")) * ($I31:$I45 * $C31:$C45*$G31:$G45*$F31:$F45))),0)</f>
        <v>0</v>
      </c>
      <c r="AE34" s="133" cm="1">
        <f t="array" ref="AE34">IFERROR((SUMPRODUCT((TEXT($N31:$N45,"yyyymm")=TEXT(AE$30,"yyyymm")) * ($S31:$S45 * $M31:$M45*$Q31:$Q45*$P31:$P45)))+(SUMPRODUCT((TEXT($D31:$D45,"yyyymm")=TEXT(AE$30,"yyyymm")) * ($I31:$I45 * $C31:$C45*$G31:$G45*$F31:$F45))),0)</f>
        <v>0</v>
      </c>
      <c r="AF34" s="133" cm="1">
        <f t="array" ref="AF34">IFERROR((SUMPRODUCT((TEXT($N31:$N45,"yyyymm")=TEXT(AF$30,"yyyymm")) * ($S31:$S45 * $M31:$M45*$Q31:$Q45*$P31:$P45)))+(SUMPRODUCT((TEXT($D31:$D45,"yyyymm")=TEXT(AF$30,"yyyymm")) * ($I31:$I45 * $C31:$C45*$G31:$G45*$F31:$F45))),0)</f>
        <v>0</v>
      </c>
      <c r="AG34" s="133" cm="1">
        <f t="array" ref="AG34">IFERROR((SUMPRODUCT((TEXT($N31:$N45,"yyyymm")=TEXT(AG$30,"yyyymm")) * ($S31:$S45 * $M31:$M45*$Q31:$Q45*$P31:$P45)))+(SUMPRODUCT((TEXT($D31:$D45,"yyyymm")=TEXT(AG$30,"yyyymm")) * ($I31:$I45 * $C31:$C45*$G31:$G45*$F31:$F45))),0)</f>
        <v>0</v>
      </c>
      <c r="AH34" s="151" cm="1">
        <f t="array" ref="AH34">IFERROR((SUMPRODUCT((TEXT($N31:$N45,"yyyymm")=TEXT(AH$30,"yyyymm")) * ($S31:$S45 * $M31:$M45*$Q31:$Q45*$P31:$P45)))+(SUMPRODUCT((TEXT($D31:$D45,"yyyymm")=TEXT(AH$30,"yyyymm")) * ($I31:$I45 * $C31:$C45*$G31:$G45*$F31:$F45))),0)</f>
        <v>0</v>
      </c>
      <c r="AI34" s="133" cm="1">
        <f t="array" ref="AI34">IFERROR((SUMPRODUCT((TEXT($N31:$N45,"yyyymm")=TEXT(AI$30,"yyyymm")) * ($S31:$S45 * $M31:$M45*$Q31:$Q45*$P31:$P45)))+(SUMPRODUCT((TEXT($D31:$D45,"yyyymm")=TEXT(AI$30,"yyyymm")) * ($I31:$I45 * $C31:$C45*$G31:$G45*$F31:$F45))),0)</f>
        <v>0</v>
      </c>
      <c r="AJ34" s="133" cm="1">
        <f t="array" ref="AJ34">IFERROR((SUMPRODUCT((TEXT($N31:$N45,"yyyymm")=TEXT(AJ$30,"yyyymm")) * ($S31:$S45 * $M31:$M45*$Q31:$Q45*$P31:$P45)))+(SUMPRODUCT((TEXT($D31:$D45,"yyyymm")=TEXT(AJ$30,"yyyymm")) * ($I31:$I45 * $C31:$C45*$G31:$G45*$F31:$F45))),0)</f>
        <v>0</v>
      </c>
      <c r="AK34" s="133" cm="1">
        <f t="array" ref="AK34">IFERROR((SUMPRODUCT((TEXT($N31:$N45,"yyyymm")=TEXT(AK$30,"yyyymm")) * ($S31:$S45 * $M31:$M45*$Q31:$Q45*$P31:$P45)))+(SUMPRODUCT((TEXT($D31:$D45,"yyyymm")=TEXT(AK$30,"yyyymm")) * ($I31:$I45 * $C31:$C45*$G31:$G45*$F31:$F45))),0)</f>
        <v>0</v>
      </c>
      <c r="AL34" s="133" cm="1">
        <f t="array" ref="AL34">IFERROR((SUMPRODUCT((TEXT($N31:$N45,"yyyymm")=TEXT(AL$30,"yyyymm")) * ($S31:$S45 * $M31:$M45*$Q31:$Q45*$P31:$P45)))+(SUMPRODUCT((TEXT($D31:$D45,"yyyymm")=TEXT(AL$30,"yyyymm")) * ($I31:$I45 * $C31:$C45*$G31:$G45*$F31:$F45))),0)</f>
        <v>0</v>
      </c>
      <c r="AM34" s="133" cm="1">
        <f t="array" ref="AM34">IFERROR((SUMPRODUCT((TEXT($N31:$N45,"yyyymm")=TEXT(AM$30,"yyyymm")) * ($S31:$S45 * $M31:$M45*$Q31:$Q45*$P31:$P45)))+(SUMPRODUCT((TEXT($D31:$D45,"yyyymm")=TEXT(AM$30,"yyyymm")) * ($I31:$I45 * $C31:$C45*$G31:$G45*$F31:$F45))),0)</f>
        <v>0</v>
      </c>
      <c r="AN34" s="133" cm="1">
        <f t="array" ref="AN34">IFERROR((SUMPRODUCT((TEXT($N31:$N45,"yyyymm")=TEXT(AN$30,"yyyymm")) * ($S31:$S45 * $M31:$M45*$Q31:$Q45*$P31:$P45)))+(SUMPRODUCT((TEXT($D31:$D45,"yyyymm")=TEXT(AN$30,"yyyymm")) * ($I31:$I45 * $C31:$C45*$G31:$G45*$F31:$F45))),0)</f>
        <v>0</v>
      </c>
      <c r="AO34" s="133" cm="1">
        <f t="array" ref="AO34">IFERROR((SUMPRODUCT((TEXT($N31:$N45,"yyyymm")=TEXT(AO$30,"yyyymm")) * ($S31:$S45 * $M31:$M45*$Q31:$Q45*$P31:$P45)))+(SUMPRODUCT((TEXT($D31:$D45,"yyyymm")=TEXT(AO$30,"yyyymm")) * ($I31:$I45 * $C31:$C45*$G31:$G45*$F31:$F45))),0)</f>
        <v>0</v>
      </c>
      <c r="AP34" s="133" cm="1">
        <f t="array" ref="AP34">IFERROR((SUMPRODUCT((TEXT($N31:$N45,"yyyymm")=TEXT(AP$30,"yyyymm")) * ($S31:$S45 * $M31:$M45*$Q31:$Q45*$P31:$P45)))+(SUMPRODUCT((TEXT($D31:$D45,"yyyymm")=TEXT(AP$30,"yyyymm")) * ($I31:$I45 * $C31:$C45*$G31:$G45*$F31:$F45))),0)</f>
        <v>0</v>
      </c>
      <c r="AQ34" s="133" cm="1">
        <f t="array" ref="AQ34">IFERROR((SUMPRODUCT((TEXT($N31:$N45,"yyyymm")=TEXT(AQ$30,"yyyymm")) * ($S31:$S45 * $M31:$M45*$Q31:$Q45*$P31:$P45)))+(SUMPRODUCT((TEXT($D31:$D45,"yyyymm")=TEXT(AQ$30,"yyyymm")) * ($I31:$I45 * $C31:$C45*$G31:$G45*$F31:$F45))),0)</f>
        <v>0</v>
      </c>
      <c r="AR34" s="133" cm="1">
        <f t="array" ref="AR34">IFERROR((SUMPRODUCT((TEXT($N31:$N45,"yyyymm")=TEXT(AR$30,"yyyymm")) * ($S31:$S45 * $M31:$M45*$Q31:$Q45*$P31:$P45)))+(SUMPRODUCT((TEXT($D31:$D45,"yyyymm")=TEXT(AR$30,"yyyymm")) * ($I31:$I45 * $C31:$C45*$G31:$G45*$F31:$F45))),0)</f>
        <v>0</v>
      </c>
      <c r="AS34" s="133" cm="1">
        <f t="array" ref="AS34">IFERROR((SUMPRODUCT((TEXT($N31:$N45,"yyyymm")=TEXT(AS$30,"yyyymm")) * ($S31:$S45 * $M31:$M45*$Q31:$Q45*$P31:$P45)))+(SUMPRODUCT((TEXT($D31:$D45,"yyyymm")=TEXT(AS$30,"yyyymm")) * ($I31:$I45 * $C31:$C45*$G31:$G45*$F31:$F45))),0)</f>
        <v>0</v>
      </c>
      <c r="AT34" s="217">
        <f t="shared" si="22"/>
        <v>0</v>
      </c>
      <c r="CZ34" s="151">
        <f t="shared" ref="CZ34:DW34" si="24">IF(AND($N16&lt;=CZ$8,$O16&gt;=CZ$8),(($Q16*$M16)/12),0)</f>
        <v>0</v>
      </c>
      <c r="DA34" s="150">
        <f t="shared" si="24"/>
        <v>0</v>
      </c>
      <c r="DB34" s="150">
        <f t="shared" si="24"/>
        <v>0</v>
      </c>
      <c r="DC34" s="150">
        <f t="shared" si="24"/>
        <v>0</v>
      </c>
      <c r="DD34" s="150">
        <f t="shared" si="24"/>
        <v>0</v>
      </c>
      <c r="DE34" s="150">
        <f t="shared" si="24"/>
        <v>0</v>
      </c>
      <c r="DF34" s="150">
        <f t="shared" si="24"/>
        <v>0</v>
      </c>
      <c r="DG34" s="150">
        <f t="shared" si="24"/>
        <v>0</v>
      </c>
      <c r="DH34" s="150">
        <f t="shared" si="24"/>
        <v>0</v>
      </c>
      <c r="DI34" s="150">
        <f t="shared" si="24"/>
        <v>0</v>
      </c>
      <c r="DJ34" s="150">
        <f t="shared" si="24"/>
        <v>0</v>
      </c>
      <c r="DK34" s="152">
        <f t="shared" si="24"/>
        <v>0</v>
      </c>
      <c r="DL34" s="133">
        <f t="shared" si="24"/>
        <v>0</v>
      </c>
      <c r="DM34" s="133">
        <f t="shared" si="24"/>
        <v>0</v>
      </c>
      <c r="DN34" s="133">
        <f t="shared" si="24"/>
        <v>0</v>
      </c>
      <c r="DO34" s="133">
        <f t="shared" si="24"/>
        <v>0</v>
      </c>
      <c r="DP34" s="133">
        <f t="shared" si="24"/>
        <v>0</v>
      </c>
      <c r="DQ34" s="133">
        <f t="shared" si="24"/>
        <v>4316.666666666667</v>
      </c>
      <c r="DR34" s="133">
        <f t="shared" si="24"/>
        <v>4316.666666666667</v>
      </c>
      <c r="DS34" s="133">
        <f t="shared" si="24"/>
        <v>4316.666666666667</v>
      </c>
      <c r="DT34" s="133">
        <f t="shared" si="24"/>
        <v>4316.666666666667</v>
      </c>
      <c r="DU34" s="133">
        <f t="shared" si="24"/>
        <v>4316.666666666667</v>
      </c>
      <c r="DV34" s="133">
        <f t="shared" si="24"/>
        <v>4316.666666666667</v>
      </c>
      <c r="DW34" s="133">
        <f t="shared" si="24"/>
        <v>4316.666666666667</v>
      </c>
    </row>
    <row r="35" spans="1:127" ht="17.5" x14ac:dyDescent="0.35">
      <c r="A35" s="136">
        <v>307</v>
      </c>
      <c r="B35" s="7" t="str">
        <f t="shared" si="19"/>
        <v>VACANT</v>
      </c>
      <c r="C35" s="155">
        <v>2067</v>
      </c>
      <c r="D35" s="173"/>
      <c r="E35" s="162"/>
      <c r="F35" s="136">
        <f t="shared" si="20"/>
        <v>0</v>
      </c>
      <c r="G35" s="163"/>
      <c r="H35" s="163"/>
      <c r="I35" s="174"/>
      <c r="J35" s="134"/>
      <c r="K35" s="136">
        <v>312</v>
      </c>
      <c r="L35" s="7" t="s">
        <v>431</v>
      </c>
      <c r="M35" s="141">
        <v>1049</v>
      </c>
      <c r="N35" s="173">
        <v>46023</v>
      </c>
      <c r="O35" s="162">
        <v>46752</v>
      </c>
      <c r="P35" s="136">
        <f t="shared" si="17"/>
        <v>2</v>
      </c>
      <c r="Q35" s="163">
        <v>18</v>
      </c>
      <c r="R35" s="163">
        <v>0</v>
      </c>
      <c r="S35" s="174">
        <v>0</v>
      </c>
      <c r="U35" s="193" t="s">
        <v>300</v>
      </c>
      <c r="V35" s="103">
        <f>SUM(V32:V34)</f>
        <v>0</v>
      </c>
      <c r="W35" s="103">
        <f t="shared" ref="W35" si="25">SUM(W32:W34)</f>
        <v>0</v>
      </c>
      <c r="X35" s="103">
        <f t="shared" ref="X35" si="26">SUM(X32:X34)</f>
        <v>0</v>
      </c>
      <c r="Y35" s="103">
        <f t="shared" ref="Y35" si="27">SUM(Y32:Y34)</f>
        <v>0</v>
      </c>
      <c r="Z35" s="103">
        <f t="shared" ref="Z35" si="28">SUM(Z32:Z34)</f>
        <v>0</v>
      </c>
      <c r="AA35" s="103">
        <f t="shared" ref="AA35" si="29">SUM(AA32:AA34)</f>
        <v>0</v>
      </c>
      <c r="AB35" s="103">
        <f t="shared" ref="AB35" si="30">SUM(AB32:AB34)</f>
        <v>0</v>
      </c>
      <c r="AC35" s="103">
        <f t="shared" ref="AC35" si="31">SUM(AC32:AC34)</f>
        <v>0</v>
      </c>
      <c r="AD35" s="103">
        <f t="shared" ref="AD35" si="32">SUM(AD32:AD34)</f>
        <v>0</v>
      </c>
      <c r="AE35" s="103">
        <f t="shared" ref="AE35" si="33">SUM(AE32:AE34)</f>
        <v>0</v>
      </c>
      <c r="AF35" s="103">
        <f t="shared" ref="AF35" si="34">SUM(AF32:AF34)</f>
        <v>0</v>
      </c>
      <c r="AG35" s="103">
        <f t="shared" ref="AG35" si="35">SUM(AG32:AG34)</f>
        <v>1389.375</v>
      </c>
      <c r="AH35" s="103">
        <f t="shared" ref="AH35" si="36">SUM(AH32:AH34)</f>
        <v>2962.875</v>
      </c>
      <c r="AI35" s="103">
        <f t="shared" ref="AI35" si="37">SUM(AI32:AI34)</f>
        <v>2962.875</v>
      </c>
      <c r="AJ35" s="103">
        <f t="shared" ref="AJ35" si="38">SUM(AJ32:AJ34)</f>
        <v>2962.875</v>
      </c>
      <c r="AK35" s="103">
        <f t="shared" ref="AK35" si="39">SUM(AK32:AK34)</f>
        <v>7058.958333333333</v>
      </c>
      <c r="AL35" s="103">
        <f t="shared" ref="AL35" si="40">SUM(AL32:AL34)</f>
        <v>8569.7916666666661</v>
      </c>
      <c r="AM35" s="103">
        <f t="shared" ref="AM35" si="41">SUM(AM32:AM34)</f>
        <v>10415.166666666666</v>
      </c>
      <c r="AN35" s="103">
        <f t="shared" ref="AN35" si="42">SUM(AN32:AN34)</f>
        <v>10415.166666666666</v>
      </c>
      <c r="AO35" s="103">
        <f t="shared" ref="AO35" si="43">SUM(AO32:AO34)</f>
        <v>10415.166666666666</v>
      </c>
      <c r="AP35" s="103">
        <f t="shared" ref="AP35" si="44">SUM(AP32:AP34)</f>
        <v>10415.166666666666</v>
      </c>
      <c r="AQ35" s="103">
        <f t="shared" ref="AQ35" si="45">SUM(AQ32:AQ34)</f>
        <v>10415.166666666666</v>
      </c>
      <c r="AR35" s="103">
        <f t="shared" ref="AR35" si="46">SUM(AR32:AR34)</f>
        <v>10415.166666666666</v>
      </c>
      <c r="AS35" s="194">
        <f t="shared" ref="AS35:AT35" si="47">SUM(AS32:AS34)</f>
        <v>9025.7916666666661</v>
      </c>
      <c r="AT35" s="103">
        <f t="shared" si="47"/>
        <v>96034.166666666672</v>
      </c>
      <c r="CZ35" s="151">
        <f t="shared" ref="CZ35:DW35" si="48">IF(AND($N17&lt;=CZ$8,$O17&gt;=CZ$8),(($Q17*$M17)/12),0)</f>
        <v>0</v>
      </c>
      <c r="DA35" s="150">
        <f t="shared" si="48"/>
        <v>0</v>
      </c>
      <c r="DB35" s="150">
        <f t="shared" si="48"/>
        <v>0</v>
      </c>
      <c r="DC35" s="150">
        <f t="shared" si="48"/>
        <v>0</v>
      </c>
      <c r="DD35" s="150">
        <f t="shared" si="48"/>
        <v>0</v>
      </c>
      <c r="DE35" s="150">
        <f t="shared" si="48"/>
        <v>0</v>
      </c>
      <c r="DF35" s="150">
        <f t="shared" si="48"/>
        <v>0</v>
      </c>
      <c r="DG35" s="150">
        <f t="shared" si="48"/>
        <v>0</v>
      </c>
      <c r="DH35" s="150">
        <f t="shared" si="48"/>
        <v>0</v>
      </c>
      <c r="DI35" s="150">
        <f t="shared" si="48"/>
        <v>0</v>
      </c>
      <c r="DJ35" s="150">
        <f t="shared" si="48"/>
        <v>0</v>
      </c>
      <c r="DK35" s="152">
        <f t="shared" si="48"/>
        <v>0</v>
      </c>
      <c r="DL35" s="133">
        <f t="shared" si="48"/>
        <v>0</v>
      </c>
      <c r="DM35" s="133">
        <f t="shared" si="48"/>
        <v>0</v>
      </c>
      <c r="DN35" s="133">
        <f t="shared" si="48"/>
        <v>0</v>
      </c>
      <c r="DO35" s="133">
        <f t="shared" si="48"/>
        <v>0</v>
      </c>
      <c r="DP35" s="133">
        <f t="shared" si="48"/>
        <v>0</v>
      </c>
      <c r="DQ35" s="133">
        <f t="shared" si="48"/>
        <v>0</v>
      </c>
      <c r="DR35" s="133">
        <f t="shared" si="48"/>
        <v>0</v>
      </c>
      <c r="DS35" s="133">
        <f t="shared" si="48"/>
        <v>1251</v>
      </c>
      <c r="DT35" s="133">
        <f t="shared" si="48"/>
        <v>1251</v>
      </c>
      <c r="DU35" s="133">
        <f t="shared" si="48"/>
        <v>1251</v>
      </c>
      <c r="DV35" s="133">
        <f t="shared" si="48"/>
        <v>1251</v>
      </c>
      <c r="DW35" s="133">
        <f t="shared" si="48"/>
        <v>1251</v>
      </c>
    </row>
    <row r="36" spans="1:127" x14ac:dyDescent="0.35">
      <c r="A36" s="136">
        <v>310</v>
      </c>
      <c r="B36" s="7" t="str">
        <f t="shared" si="19"/>
        <v>VACANT</v>
      </c>
      <c r="C36" s="155">
        <v>8034</v>
      </c>
      <c r="D36" s="173"/>
      <c r="E36" s="162"/>
      <c r="F36" s="136">
        <f t="shared" si="20"/>
        <v>0</v>
      </c>
      <c r="G36" s="163"/>
      <c r="H36" s="163"/>
      <c r="I36" s="174"/>
      <c r="J36" s="134"/>
      <c r="K36" s="136"/>
      <c r="L36" s="7"/>
      <c r="M36" s="141"/>
      <c r="N36" s="173"/>
      <c r="O36" s="162"/>
      <c r="P36" s="136">
        <f t="shared" si="17"/>
        <v>0</v>
      </c>
      <c r="Q36" s="163"/>
      <c r="R36" s="165"/>
      <c r="S36" s="174"/>
      <c r="AI36" s="133"/>
      <c r="CZ36" s="151">
        <f t="shared" ref="CZ36:DW36" si="49">IF(AND($N18&lt;=CZ$8,$O18&gt;=CZ$8),(($Q18*$M18)/12),0)</f>
        <v>0</v>
      </c>
      <c r="DA36" s="150">
        <f t="shared" si="49"/>
        <v>0</v>
      </c>
      <c r="DB36" s="150">
        <f t="shared" si="49"/>
        <v>0</v>
      </c>
      <c r="DC36" s="150">
        <f t="shared" si="49"/>
        <v>0</v>
      </c>
      <c r="DD36" s="150">
        <f t="shared" si="49"/>
        <v>0</v>
      </c>
      <c r="DE36" s="150">
        <f t="shared" si="49"/>
        <v>0</v>
      </c>
      <c r="DF36" s="150">
        <f t="shared" si="49"/>
        <v>0</v>
      </c>
      <c r="DG36" s="150">
        <f t="shared" si="49"/>
        <v>0</v>
      </c>
      <c r="DH36" s="150">
        <f t="shared" si="49"/>
        <v>0</v>
      </c>
      <c r="DI36" s="150">
        <f t="shared" si="49"/>
        <v>0</v>
      </c>
      <c r="DJ36" s="150">
        <f t="shared" si="49"/>
        <v>0</v>
      </c>
      <c r="DK36" s="152">
        <f t="shared" si="49"/>
        <v>0</v>
      </c>
      <c r="DL36" s="133">
        <f t="shared" si="49"/>
        <v>0</v>
      </c>
      <c r="DM36" s="133">
        <f t="shared" si="49"/>
        <v>0</v>
      </c>
      <c r="DN36" s="133">
        <f t="shared" si="49"/>
        <v>0</v>
      </c>
      <c r="DO36" s="133">
        <f t="shared" si="49"/>
        <v>0</v>
      </c>
      <c r="DP36" s="133">
        <f t="shared" si="49"/>
        <v>0</v>
      </c>
      <c r="DQ36" s="133">
        <f t="shared" si="49"/>
        <v>1812.9166666666667</v>
      </c>
      <c r="DR36" s="133">
        <f t="shared" si="49"/>
        <v>1812.9166666666667</v>
      </c>
      <c r="DS36" s="133">
        <f t="shared" si="49"/>
        <v>1812.9166666666667</v>
      </c>
      <c r="DT36" s="133">
        <f t="shared" si="49"/>
        <v>1812.9166666666667</v>
      </c>
      <c r="DU36" s="133">
        <f t="shared" si="49"/>
        <v>1812.9166666666667</v>
      </c>
      <c r="DV36" s="133">
        <f t="shared" si="49"/>
        <v>1812.9166666666667</v>
      </c>
      <c r="DW36" s="133">
        <f t="shared" si="49"/>
        <v>1812.9166666666667</v>
      </c>
    </row>
    <row r="37" spans="1:127" hidden="1" x14ac:dyDescent="0.35">
      <c r="B37" s="7" t="str">
        <f t="shared" si="19"/>
        <v/>
      </c>
      <c r="C37" s="155"/>
      <c r="D37" s="173"/>
      <c r="E37" s="162"/>
      <c r="F37" s="136">
        <f t="shared" si="20"/>
        <v>0</v>
      </c>
      <c r="G37" s="163"/>
      <c r="H37" s="165"/>
      <c r="I37" s="174"/>
      <c r="J37" s="134"/>
      <c r="K37" s="136"/>
      <c r="L37" s="7"/>
      <c r="M37" s="141"/>
      <c r="N37" s="173"/>
      <c r="O37" s="162"/>
      <c r="P37" s="136">
        <f t="shared" ref="P37:P45" si="50">IFERROR(ROUNDUP(((DATEDIF(N37,O37,"d"))/365),1),0)</f>
        <v>0</v>
      </c>
      <c r="Q37" s="163"/>
      <c r="R37" s="165"/>
      <c r="S37" s="174"/>
      <c r="U37" s="188" t="s">
        <v>336</v>
      </c>
      <c r="AI37" s="133"/>
      <c r="CZ37" s="151">
        <f t="shared" ref="CZ37:DW37" si="51">IF(AND($N19&lt;=CZ$8,$O19&gt;=CZ$8),(($Q19*$M19)/12),0)</f>
        <v>0</v>
      </c>
      <c r="DA37" s="150">
        <f t="shared" si="51"/>
        <v>0</v>
      </c>
      <c r="DB37" s="150">
        <f t="shared" si="51"/>
        <v>0</v>
      </c>
      <c r="DC37" s="150">
        <f t="shared" si="51"/>
        <v>0</v>
      </c>
      <c r="DD37" s="150">
        <f t="shared" si="51"/>
        <v>0</v>
      </c>
      <c r="DE37" s="150">
        <f t="shared" si="51"/>
        <v>0</v>
      </c>
      <c r="DF37" s="150">
        <f t="shared" si="51"/>
        <v>0</v>
      </c>
      <c r="DG37" s="150">
        <f t="shared" si="51"/>
        <v>0</v>
      </c>
      <c r="DH37" s="150">
        <f t="shared" si="51"/>
        <v>0</v>
      </c>
      <c r="DI37" s="150">
        <f t="shared" si="51"/>
        <v>0</v>
      </c>
      <c r="DJ37" s="150">
        <f t="shared" si="51"/>
        <v>0</v>
      </c>
      <c r="DK37" s="152">
        <f t="shared" si="51"/>
        <v>2907.5416666666665</v>
      </c>
      <c r="DL37" s="133">
        <f t="shared" si="51"/>
        <v>2907.5416666666665</v>
      </c>
      <c r="DM37" s="133">
        <f t="shared" si="51"/>
        <v>2907.5416666666665</v>
      </c>
      <c r="DN37" s="133">
        <f t="shared" si="51"/>
        <v>2907.5416666666665</v>
      </c>
      <c r="DO37" s="133">
        <f t="shared" si="51"/>
        <v>2907.5416666666665</v>
      </c>
      <c r="DP37" s="133">
        <f t="shared" si="51"/>
        <v>2907.5416666666665</v>
      </c>
      <c r="DQ37" s="133">
        <f t="shared" si="51"/>
        <v>2907.5416666666665</v>
      </c>
      <c r="DR37" s="133">
        <f t="shared" si="51"/>
        <v>2907.5416666666665</v>
      </c>
      <c r="DS37" s="133">
        <f t="shared" si="51"/>
        <v>2907.5416666666665</v>
      </c>
      <c r="DT37" s="133">
        <f t="shared" si="51"/>
        <v>2907.5416666666665</v>
      </c>
      <c r="DU37" s="133">
        <f t="shared" si="51"/>
        <v>2907.5416666666665</v>
      </c>
      <c r="DV37" s="133">
        <f t="shared" si="51"/>
        <v>2907.5416666666665</v>
      </c>
      <c r="DW37" s="133">
        <f t="shared" si="51"/>
        <v>2907.5416666666665</v>
      </c>
    </row>
    <row r="38" spans="1:127" hidden="1" x14ac:dyDescent="0.35">
      <c r="B38" s="7" t="str">
        <f>IF(A38&lt;&gt;"","VACANT","")</f>
        <v/>
      </c>
      <c r="C38" s="155"/>
      <c r="D38" s="173"/>
      <c r="E38" s="162"/>
      <c r="F38" s="136">
        <f t="shared" si="20"/>
        <v>0</v>
      </c>
      <c r="G38" s="163"/>
      <c r="H38" s="165"/>
      <c r="I38" s="174"/>
      <c r="J38" s="134"/>
      <c r="K38" s="136"/>
      <c r="L38" s="7"/>
      <c r="M38" s="141"/>
      <c r="N38" s="173"/>
      <c r="O38" s="162"/>
      <c r="P38" s="136">
        <f t="shared" si="50"/>
        <v>0</v>
      </c>
      <c r="Q38" s="163"/>
      <c r="R38" s="165"/>
      <c r="S38" s="174"/>
      <c r="U38" s="188" t="s">
        <v>337</v>
      </c>
      <c r="AI38" s="133"/>
      <c r="CZ38" s="151">
        <f t="shared" ref="CZ38:DW38" si="52">IF(AND($N20&lt;=CZ$8,$O20&gt;=CZ$8),(($Q20*$M20)/12),0)</f>
        <v>0</v>
      </c>
      <c r="DA38" s="150">
        <f t="shared" si="52"/>
        <v>0</v>
      </c>
      <c r="DB38" s="150">
        <f t="shared" si="52"/>
        <v>0</v>
      </c>
      <c r="DC38" s="150">
        <f t="shared" si="52"/>
        <v>0</v>
      </c>
      <c r="DD38" s="150">
        <f t="shared" si="52"/>
        <v>0</v>
      </c>
      <c r="DE38" s="150">
        <f t="shared" si="52"/>
        <v>0</v>
      </c>
      <c r="DF38" s="150">
        <f t="shared" si="52"/>
        <v>0</v>
      </c>
      <c r="DG38" s="150">
        <f t="shared" si="52"/>
        <v>0</v>
      </c>
      <c r="DH38" s="150">
        <f t="shared" si="52"/>
        <v>0</v>
      </c>
      <c r="DI38" s="150">
        <f t="shared" si="52"/>
        <v>0</v>
      </c>
      <c r="DJ38" s="150">
        <f t="shared" si="52"/>
        <v>0</v>
      </c>
      <c r="DK38" s="152">
        <f t="shared" si="52"/>
        <v>0</v>
      </c>
      <c r="DL38" s="133">
        <f t="shared" si="52"/>
        <v>0</v>
      </c>
      <c r="DM38" s="133">
        <f t="shared" si="52"/>
        <v>0</v>
      </c>
      <c r="DN38" s="133">
        <f t="shared" si="52"/>
        <v>0</v>
      </c>
      <c r="DO38" s="133">
        <f t="shared" si="52"/>
        <v>0</v>
      </c>
      <c r="DP38" s="133">
        <f t="shared" si="52"/>
        <v>0</v>
      </c>
      <c r="DQ38" s="133">
        <f t="shared" si="52"/>
        <v>0</v>
      </c>
      <c r="DR38" s="133">
        <f t="shared" si="52"/>
        <v>0</v>
      </c>
      <c r="DS38" s="133">
        <f t="shared" si="52"/>
        <v>0</v>
      </c>
      <c r="DT38" s="133">
        <f t="shared" si="52"/>
        <v>0</v>
      </c>
      <c r="DU38" s="133">
        <f t="shared" si="52"/>
        <v>0</v>
      </c>
      <c r="DV38" s="133">
        <f t="shared" si="52"/>
        <v>0</v>
      </c>
      <c r="DW38" s="133">
        <f t="shared" si="52"/>
        <v>0</v>
      </c>
    </row>
    <row r="39" spans="1:127" hidden="1" x14ac:dyDescent="0.35">
      <c r="B39" s="7" t="str">
        <f t="shared" si="19"/>
        <v/>
      </c>
      <c r="C39" s="155"/>
      <c r="D39" s="173"/>
      <c r="E39" s="162"/>
      <c r="F39" s="136">
        <f t="shared" si="20"/>
        <v>0</v>
      </c>
      <c r="G39" s="163"/>
      <c r="H39" s="165"/>
      <c r="I39" s="174"/>
      <c r="J39" s="134"/>
      <c r="K39" s="136"/>
      <c r="N39" s="173"/>
      <c r="O39" s="162"/>
      <c r="P39" s="136">
        <f t="shared" si="50"/>
        <v>0</v>
      </c>
      <c r="Q39" s="163"/>
      <c r="R39" s="165"/>
      <c r="S39" s="174"/>
      <c r="AI39" s="133"/>
      <c r="CZ39" s="151">
        <f t="shared" ref="CZ39:DW39" si="53">IF(AND($N21&lt;=CZ$8,$O21&gt;=CZ$8),(($Q21*$M21)/12),0)</f>
        <v>0</v>
      </c>
      <c r="DA39" s="150">
        <f t="shared" si="53"/>
        <v>0</v>
      </c>
      <c r="DB39" s="150">
        <f t="shared" si="53"/>
        <v>0</v>
      </c>
      <c r="DC39" s="150">
        <f t="shared" si="53"/>
        <v>0</v>
      </c>
      <c r="DD39" s="150">
        <f t="shared" si="53"/>
        <v>0</v>
      </c>
      <c r="DE39" s="150">
        <f t="shared" si="53"/>
        <v>0</v>
      </c>
      <c r="DF39" s="150">
        <f t="shared" si="53"/>
        <v>0</v>
      </c>
      <c r="DG39" s="150">
        <f t="shared" si="53"/>
        <v>0</v>
      </c>
      <c r="DH39" s="150">
        <f t="shared" si="53"/>
        <v>0</v>
      </c>
      <c r="DI39" s="150">
        <f t="shared" si="53"/>
        <v>0</v>
      </c>
      <c r="DJ39" s="150">
        <f t="shared" si="53"/>
        <v>0</v>
      </c>
      <c r="DK39" s="152">
        <f t="shared" si="53"/>
        <v>0</v>
      </c>
      <c r="DL39" s="133">
        <f t="shared" si="53"/>
        <v>0</v>
      </c>
      <c r="DM39" s="133">
        <f t="shared" si="53"/>
        <v>0</v>
      </c>
      <c r="DN39" s="133">
        <f t="shared" si="53"/>
        <v>0</v>
      </c>
      <c r="DO39" s="133">
        <f t="shared" si="53"/>
        <v>0</v>
      </c>
      <c r="DP39" s="133">
        <f t="shared" si="53"/>
        <v>0</v>
      </c>
      <c r="DQ39" s="133">
        <f t="shared" si="53"/>
        <v>0</v>
      </c>
      <c r="DR39" s="133">
        <f t="shared" si="53"/>
        <v>0</v>
      </c>
      <c r="DS39" s="133">
        <f t="shared" si="53"/>
        <v>0</v>
      </c>
      <c r="DT39" s="133">
        <f t="shared" si="53"/>
        <v>0</v>
      </c>
      <c r="DU39" s="133">
        <f t="shared" si="53"/>
        <v>0</v>
      </c>
      <c r="DV39" s="133">
        <f t="shared" si="53"/>
        <v>0</v>
      </c>
      <c r="DW39" s="133">
        <f t="shared" si="53"/>
        <v>0</v>
      </c>
    </row>
    <row r="40" spans="1:127" hidden="1" x14ac:dyDescent="0.35">
      <c r="B40" s="7" t="str">
        <f t="shared" si="19"/>
        <v/>
      </c>
      <c r="C40" s="155"/>
      <c r="D40" s="173"/>
      <c r="E40" s="162"/>
      <c r="F40" s="136">
        <f t="shared" si="20"/>
        <v>0</v>
      </c>
      <c r="G40" s="163"/>
      <c r="H40" s="165"/>
      <c r="I40" s="174"/>
      <c r="J40" s="134"/>
      <c r="K40" s="136"/>
      <c r="N40" s="173"/>
      <c r="O40" s="162"/>
      <c r="P40" s="136">
        <f t="shared" si="50"/>
        <v>0</v>
      </c>
      <c r="Q40" s="163"/>
      <c r="R40" s="165"/>
      <c r="S40" s="174"/>
      <c r="AI40" s="133"/>
      <c r="CZ40" s="151">
        <f t="shared" ref="CZ40:DW40" si="54">IF(AND($N22&lt;=CZ$8,$O22&gt;=CZ$8),(($Q22*$M22)/12),0)</f>
        <v>0</v>
      </c>
      <c r="DA40" s="150">
        <f t="shared" si="54"/>
        <v>0</v>
      </c>
      <c r="DB40" s="150">
        <f t="shared" si="54"/>
        <v>0</v>
      </c>
      <c r="DC40" s="150">
        <f t="shared" si="54"/>
        <v>0</v>
      </c>
      <c r="DD40" s="150">
        <f t="shared" si="54"/>
        <v>0</v>
      </c>
      <c r="DE40" s="150">
        <f t="shared" si="54"/>
        <v>0</v>
      </c>
      <c r="DF40" s="150">
        <f t="shared" si="54"/>
        <v>0</v>
      </c>
      <c r="DG40" s="150">
        <f t="shared" si="54"/>
        <v>0</v>
      </c>
      <c r="DH40" s="150">
        <f t="shared" si="54"/>
        <v>0</v>
      </c>
      <c r="DI40" s="150">
        <f t="shared" si="54"/>
        <v>0</v>
      </c>
      <c r="DJ40" s="150">
        <f t="shared" si="54"/>
        <v>0</v>
      </c>
      <c r="DK40" s="152">
        <f t="shared" si="54"/>
        <v>0</v>
      </c>
      <c r="DL40" s="133">
        <f t="shared" si="54"/>
        <v>0</v>
      </c>
      <c r="DM40" s="133">
        <f t="shared" si="54"/>
        <v>0</v>
      </c>
      <c r="DN40" s="133">
        <f t="shared" si="54"/>
        <v>0</v>
      </c>
      <c r="DO40" s="133">
        <f t="shared" si="54"/>
        <v>0</v>
      </c>
      <c r="DP40" s="133">
        <f t="shared" si="54"/>
        <v>0</v>
      </c>
      <c r="DQ40" s="133">
        <f t="shared" si="54"/>
        <v>0</v>
      </c>
      <c r="DR40" s="133">
        <f t="shared" si="54"/>
        <v>0</v>
      </c>
      <c r="DS40" s="133">
        <f t="shared" si="54"/>
        <v>0</v>
      </c>
      <c r="DT40" s="133">
        <f t="shared" si="54"/>
        <v>0</v>
      </c>
      <c r="DU40" s="133">
        <f t="shared" si="54"/>
        <v>0</v>
      </c>
      <c r="DV40" s="133">
        <f t="shared" si="54"/>
        <v>0</v>
      </c>
      <c r="DW40" s="133">
        <f t="shared" si="54"/>
        <v>0</v>
      </c>
    </row>
    <row r="41" spans="1:127" hidden="1" x14ac:dyDescent="0.35">
      <c r="B41" s="7" t="str">
        <f t="shared" si="19"/>
        <v/>
      </c>
      <c r="C41" s="155"/>
      <c r="D41" s="173"/>
      <c r="E41" s="162"/>
      <c r="F41" s="136">
        <f t="shared" si="20"/>
        <v>0</v>
      </c>
      <c r="G41" s="163"/>
      <c r="H41" s="165"/>
      <c r="I41" s="174"/>
      <c r="J41" s="134"/>
      <c r="K41" s="136"/>
      <c r="L41" s="7"/>
      <c r="M41" s="141"/>
      <c r="N41" s="173"/>
      <c r="O41" s="162"/>
      <c r="P41" s="136">
        <f t="shared" si="50"/>
        <v>0</v>
      </c>
      <c r="Q41" s="163"/>
      <c r="R41" s="165"/>
      <c r="S41" s="174"/>
      <c r="CZ41" s="151">
        <f t="shared" ref="CZ41:DW41" si="55">IF(AND($N23&lt;=CZ$8,$O23&gt;=CZ$8),(($Q23*$M23)/12),0)</f>
        <v>0</v>
      </c>
      <c r="DA41" s="150">
        <f t="shared" si="55"/>
        <v>0</v>
      </c>
      <c r="DB41" s="150">
        <f t="shared" si="55"/>
        <v>0</v>
      </c>
      <c r="DC41" s="150">
        <f t="shared" si="55"/>
        <v>0</v>
      </c>
      <c r="DD41" s="150">
        <f t="shared" si="55"/>
        <v>0</v>
      </c>
      <c r="DE41" s="150">
        <f t="shared" si="55"/>
        <v>0</v>
      </c>
      <c r="DF41" s="150">
        <f t="shared" si="55"/>
        <v>0</v>
      </c>
      <c r="DG41" s="150">
        <f t="shared" si="55"/>
        <v>0</v>
      </c>
      <c r="DH41" s="150">
        <f t="shared" si="55"/>
        <v>0</v>
      </c>
      <c r="DI41" s="150">
        <f t="shared" si="55"/>
        <v>0</v>
      </c>
      <c r="DJ41" s="150">
        <f t="shared" si="55"/>
        <v>0</v>
      </c>
      <c r="DK41" s="152">
        <f t="shared" si="55"/>
        <v>0</v>
      </c>
      <c r="DL41" s="133">
        <f t="shared" si="55"/>
        <v>0</v>
      </c>
      <c r="DM41" s="133">
        <f t="shared" si="55"/>
        <v>0</v>
      </c>
      <c r="DN41" s="133">
        <f t="shared" si="55"/>
        <v>0</v>
      </c>
      <c r="DO41" s="133">
        <f t="shared" si="55"/>
        <v>0</v>
      </c>
      <c r="DP41" s="133">
        <f t="shared" si="55"/>
        <v>0</v>
      </c>
      <c r="DQ41" s="133">
        <f t="shared" si="55"/>
        <v>0</v>
      </c>
      <c r="DR41" s="133">
        <f t="shared" si="55"/>
        <v>0</v>
      </c>
      <c r="DS41" s="133">
        <f t="shared" si="55"/>
        <v>0</v>
      </c>
      <c r="DT41" s="133">
        <f t="shared" si="55"/>
        <v>0</v>
      </c>
      <c r="DU41" s="133">
        <f t="shared" si="55"/>
        <v>0</v>
      </c>
      <c r="DV41" s="133">
        <f t="shared" si="55"/>
        <v>0</v>
      </c>
      <c r="DW41" s="133">
        <f t="shared" si="55"/>
        <v>0</v>
      </c>
    </row>
    <row r="42" spans="1:127" ht="16.5" hidden="1" thickBot="1" x14ac:dyDescent="0.4">
      <c r="B42" s="7" t="str">
        <f t="shared" si="19"/>
        <v/>
      </c>
      <c r="C42" s="155"/>
      <c r="D42" s="173"/>
      <c r="E42" s="162"/>
      <c r="F42" s="136">
        <f t="shared" si="20"/>
        <v>0</v>
      </c>
      <c r="G42" s="163"/>
      <c r="H42" s="163"/>
      <c r="I42" s="174"/>
      <c r="J42" s="134"/>
      <c r="K42" s="136"/>
      <c r="L42" s="7"/>
      <c r="M42" s="141"/>
      <c r="N42" s="173"/>
      <c r="O42" s="162"/>
      <c r="P42" s="136">
        <f t="shared" si="50"/>
        <v>0</v>
      </c>
      <c r="Q42" s="163"/>
      <c r="R42" s="163"/>
      <c r="S42" s="174"/>
      <c r="U42" s="260"/>
      <c r="CZ42" s="139">
        <f t="shared" ref="CZ42:DW42" si="56">SUM(CZ27:CZ41)</f>
        <v>0</v>
      </c>
      <c r="DA42" s="139">
        <f t="shared" si="56"/>
        <v>0</v>
      </c>
      <c r="DB42" s="139">
        <f t="shared" si="56"/>
        <v>0</v>
      </c>
      <c r="DC42" s="139">
        <f t="shared" si="56"/>
        <v>0</v>
      </c>
      <c r="DD42" s="139">
        <f t="shared" si="56"/>
        <v>0</v>
      </c>
      <c r="DE42" s="139">
        <f t="shared" si="56"/>
        <v>0</v>
      </c>
      <c r="DF42" s="139">
        <f t="shared" si="56"/>
        <v>0</v>
      </c>
      <c r="DG42" s="139">
        <f t="shared" si="56"/>
        <v>0</v>
      </c>
      <c r="DH42" s="139">
        <f t="shared" si="56"/>
        <v>0</v>
      </c>
      <c r="DI42" s="139">
        <f t="shared" si="56"/>
        <v>0</v>
      </c>
      <c r="DJ42" s="139">
        <f t="shared" si="56"/>
        <v>0</v>
      </c>
      <c r="DK42" s="139">
        <f t="shared" si="56"/>
        <v>2907.5416666666665</v>
      </c>
      <c r="DL42" s="139">
        <f t="shared" si="56"/>
        <v>2907.5416666666665</v>
      </c>
      <c r="DM42" s="139">
        <f t="shared" si="56"/>
        <v>7110.875</v>
      </c>
      <c r="DN42" s="139">
        <f t="shared" si="56"/>
        <v>8906.375</v>
      </c>
      <c r="DO42" s="139">
        <f t="shared" si="56"/>
        <v>8906.375</v>
      </c>
      <c r="DP42" s="139">
        <f t="shared" si="56"/>
        <v>10951.375</v>
      </c>
      <c r="DQ42" s="139">
        <f t="shared" si="56"/>
        <v>17080.958333333332</v>
      </c>
      <c r="DR42" s="139">
        <f t="shared" si="56"/>
        <v>18883.583333333332</v>
      </c>
      <c r="DS42" s="139">
        <f t="shared" si="56"/>
        <v>20134.583333333336</v>
      </c>
      <c r="DT42" s="139">
        <f t="shared" si="56"/>
        <v>20134.583333333336</v>
      </c>
      <c r="DU42" s="139">
        <f t="shared" si="56"/>
        <v>21844.583333333336</v>
      </c>
      <c r="DV42" s="139">
        <f t="shared" si="56"/>
        <v>23347.583333333336</v>
      </c>
      <c r="DW42" s="139">
        <f t="shared" si="56"/>
        <v>23347.583333333336</v>
      </c>
    </row>
    <row r="43" spans="1:127" ht="17" hidden="1" thickTop="1" thickBot="1" x14ac:dyDescent="0.4">
      <c r="B43" s="7" t="str">
        <f>IF(A43&lt;&gt;"","VACANT","")</f>
        <v/>
      </c>
      <c r="C43" s="155"/>
      <c r="D43" s="173"/>
      <c r="E43" s="162"/>
      <c r="F43" s="136">
        <f t="shared" si="20"/>
        <v>0</v>
      </c>
      <c r="G43" s="163"/>
      <c r="H43" s="163"/>
      <c r="I43" s="174"/>
      <c r="J43" s="136"/>
      <c r="K43" s="136"/>
      <c r="L43" s="7"/>
      <c r="M43" s="141"/>
      <c r="N43" s="173"/>
      <c r="O43" s="162"/>
      <c r="P43" s="136">
        <f t="shared" si="50"/>
        <v>0</v>
      </c>
      <c r="Q43" s="163"/>
      <c r="R43" s="163"/>
      <c r="S43" s="174"/>
      <c r="U43" s="260"/>
      <c r="DA43" s="138"/>
    </row>
    <row r="44" spans="1:127" ht="18.5" hidden="1" thickBot="1" x14ac:dyDescent="0.4">
      <c r="B44" s="7" t="str">
        <f t="shared" si="19"/>
        <v/>
      </c>
      <c r="C44" s="155"/>
      <c r="D44" s="173"/>
      <c r="E44" s="162"/>
      <c r="F44" s="136">
        <f t="shared" si="20"/>
        <v>0</v>
      </c>
      <c r="G44" s="163"/>
      <c r="H44" s="163"/>
      <c r="I44" s="174"/>
      <c r="J44" s="136"/>
      <c r="K44" s="136"/>
      <c r="L44" s="7"/>
      <c r="M44" s="141"/>
      <c r="N44" s="173"/>
      <c r="O44" s="162"/>
      <c r="P44" s="136">
        <f t="shared" si="50"/>
        <v>0</v>
      </c>
      <c r="Q44" s="163"/>
      <c r="R44" s="163"/>
      <c r="S44" s="174"/>
      <c r="CZ44" s="182">
        <f t="shared" ref="CZ44:DW44" si="57">CZ24+CZ42</f>
        <v>0</v>
      </c>
      <c r="DA44" s="183">
        <f t="shared" si="57"/>
        <v>0</v>
      </c>
      <c r="DB44" s="183">
        <f t="shared" si="57"/>
        <v>0</v>
      </c>
      <c r="DC44" s="183">
        <f t="shared" si="57"/>
        <v>0</v>
      </c>
      <c r="DD44" s="183">
        <f t="shared" si="57"/>
        <v>0</v>
      </c>
      <c r="DE44" s="183">
        <f t="shared" si="57"/>
        <v>0</v>
      </c>
      <c r="DF44" s="183">
        <f t="shared" si="57"/>
        <v>0</v>
      </c>
      <c r="DG44" s="183">
        <f t="shared" si="57"/>
        <v>0</v>
      </c>
      <c r="DH44" s="183">
        <f t="shared" si="57"/>
        <v>0</v>
      </c>
      <c r="DI44" s="183">
        <f t="shared" si="57"/>
        <v>0</v>
      </c>
      <c r="DJ44" s="183">
        <f t="shared" si="57"/>
        <v>0</v>
      </c>
      <c r="DK44" s="183">
        <f t="shared" si="57"/>
        <v>2907.5416666666665</v>
      </c>
      <c r="DL44" s="183">
        <f t="shared" si="57"/>
        <v>9431.875</v>
      </c>
      <c r="DM44" s="183">
        <f t="shared" si="57"/>
        <v>13635.208333333334</v>
      </c>
      <c r="DN44" s="183">
        <f t="shared" si="57"/>
        <v>15430.708333333334</v>
      </c>
      <c r="DO44" s="183">
        <f t="shared" si="57"/>
        <v>15430.708333333334</v>
      </c>
      <c r="DP44" s="183">
        <f t="shared" si="57"/>
        <v>17475.708333333336</v>
      </c>
      <c r="DQ44" s="183">
        <f t="shared" si="57"/>
        <v>23605.291666666664</v>
      </c>
      <c r="DR44" s="183">
        <f t="shared" si="57"/>
        <v>25407.916666666664</v>
      </c>
      <c r="DS44" s="183">
        <f t="shared" si="57"/>
        <v>26658.916666666672</v>
      </c>
      <c r="DT44" s="183">
        <f t="shared" si="57"/>
        <v>26658.916666666672</v>
      </c>
      <c r="DU44" s="183">
        <f t="shared" si="57"/>
        <v>28368.916666666672</v>
      </c>
      <c r="DV44" s="183">
        <f t="shared" si="57"/>
        <v>29871.916666666672</v>
      </c>
      <c r="DW44" s="184">
        <f t="shared" si="57"/>
        <v>29871.916666666672</v>
      </c>
    </row>
    <row r="45" spans="1:127" x14ac:dyDescent="0.35">
      <c r="A45" s="147"/>
      <c r="B45" s="16" t="str">
        <f t="shared" si="19"/>
        <v/>
      </c>
      <c r="C45" s="156"/>
      <c r="D45" s="175"/>
      <c r="E45" s="166"/>
      <c r="F45" s="147">
        <f t="shared" si="20"/>
        <v>0</v>
      </c>
      <c r="G45" s="167"/>
      <c r="H45" s="167"/>
      <c r="I45" s="176"/>
      <c r="J45" s="136"/>
      <c r="K45" s="147"/>
      <c r="L45" s="16"/>
      <c r="M45" s="148"/>
      <c r="N45" s="175"/>
      <c r="O45" s="166"/>
      <c r="P45" s="147">
        <f t="shared" si="50"/>
        <v>0</v>
      </c>
      <c r="Q45" s="167"/>
      <c r="R45" s="167"/>
      <c r="S45" s="176"/>
      <c r="DA45" s="138"/>
    </row>
    <row r="46" spans="1:127" ht="16.5" thickBot="1" x14ac:dyDescent="0.35">
      <c r="A46" s="135"/>
      <c r="B46" s="17" t="s">
        <v>322</v>
      </c>
      <c r="C46" s="157">
        <f>SUM(C31:C45)</f>
        <v>28107</v>
      </c>
      <c r="D46" s="143"/>
      <c r="E46" s="143"/>
      <c r="F46" s="153"/>
      <c r="G46" s="144"/>
      <c r="H46" s="144"/>
      <c r="I46" s="145"/>
      <c r="J46" s="136"/>
      <c r="K46" s="135"/>
      <c r="L46" s="17" t="s">
        <v>325</v>
      </c>
      <c r="M46" s="157">
        <f>SUM(M31:M45)</f>
        <v>6668</v>
      </c>
      <c r="N46" s="143"/>
      <c r="O46" s="143"/>
      <c r="P46" s="153"/>
      <c r="Q46" s="144"/>
      <c r="R46" s="144"/>
      <c r="S46" s="145"/>
      <c r="DA46" s="138"/>
    </row>
    <row r="47" spans="1:127" s="196" customFormat="1" ht="18.5" thickTop="1" thickBot="1" x14ac:dyDescent="0.3">
      <c r="A47" s="195"/>
      <c r="F47" s="195"/>
      <c r="J47" s="197"/>
      <c r="AI47" s="197"/>
      <c r="CZ47" s="475"/>
      <c r="DA47" s="475"/>
      <c r="DB47" s="475"/>
      <c r="DC47" s="475"/>
      <c r="DD47" s="475"/>
      <c r="DE47" s="475"/>
      <c r="DF47" s="475"/>
      <c r="DG47" s="475"/>
      <c r="DH47" s="475"/>
      <c r="DI47" s="475"/>
      <c r="DJ47" s="475"/>
      <c r="DK47" s="475"/>
    </row>
    <row r="48" spans="1:127" x14ac:dyDescent="0.25">
      <c r="J48" s="135"/>
    </row>
    <row r="49" spans="1:127" ht="18" x14ac:dyDescent="0.35">
      <c r="A49" s="161">
        <v>3640</v>
      </c>
      <c r="B49" s="7"/>
      <c r="C49" s="137"/>
      <c r="D49" s="135"/>
      <c r="E49" s="135"/>
      <c r="F49" s="135"/>
      <c r="G49" s="135"/>
      <c r="H49" s="135"/>
      <c r="I49" s="135"/>
      <c r="J49" s="135"/>
    </row>
    <row r="50" spans="1:127" ht="17.5" x14ac:dyDescent="0.25">
      <c r="A50" s="199">
        <v>48794</v>
      </c>
      <c r="B50" s="200">
        <f>(A50-C68)/A50</f>
        <v>0.84705086690986597</v>
      </c>
      <c r="D50" s="201" t="str">
        <f>"Vacancies - "&amp;A49</f>
        <v>Vacancies - 3640</v>
      </c>
      <c r="E50" s="170"/>
      <c r="F50" s="170"/>
      <c r="G50" s="170"/>
      <c r="H50" s="170"/>
      <c r="I50" s="169"/>
      <c r="J50" s="135"/>
      <c r="N50" s="201" t="str">
        <f>"Renewals - "&amp;A49</f>
        <v>Renewals - 3640</v>
      </c>
      <c r="O50" s="170"/>
      <c r="P50" s="170"/>
      <c r="Q50" s="170"/>
      <c r="R50" s="170"/>
      <c r="S50" s="169"/>
    </row>
    <row r="51" spans="1:127" ht="18" x14ac:dyDescent="0.25">
      <c r="A51" s="132"/>
      <c r="D51" s="476" t="s">
        <v>327</v>
      </c>
      <c r="E51" s="477"/>
      <c r="F51" s="477"/>
      <c r="G51" s="477"/>
      <c r="H51" s="477"/>
      <c r="I51" s="478"/>
      <c r="N51" s="476" t="s">
        <v>327</v>
      </c>
      <c r="O51" s="477"/>
      <c r="P51" s="477"/>
      <c r="Q51" s="477"/>
      <c r="R51" s="477"/>
      <c r="S51" s="478"/>
      <c r="U51" s="160">
        <f>A49</f>
        <v>3640</v>
      </c>
      <c r="V51" s="480">
        <v>2025</v>
      </c>
      <c r="W51" s="480"/>
      <c r="X51" s="480"/>
      <c r="Y51" s="480"/>
      <c r="Z51" s="480"/>
      <c r="AA51" s="480"/>
      <c r="AB51" s="480"/>
      <c r="AC51" s="480"/>
      <c r="AD51" s="480"/>
      <c r="AE51" s="480"/>
      <c r="AF51" s="480"/>
      <c r="AG51" s="480"/>
      <c r="AH51" s="480">
        <f>V51+1</f>
        <v>2026</v>
      </c>
      <c r="AI51" s="480"/>
      <c r="AJ51" s="480"/>
      <c r="AK51" s="480"/>
      <c r="AL51" s="480"/>
      <c r="AM51" s="480"/>
      <c r="AN51" s="480"/>
      <c r="AO51" s="480"/>
      <c r="AP51" s="480"/>
      <c r="AQ51" s="480"/>
      <c r="AR51" s="480"/>
      <c r="AS51" s="480"/>
      <c r="CZ51" s="479" t="str">
        <f>+$CZ$7</f>
        <v>2025</v>
      </c>
      <c r="DA51" s="479"/>
      <c r="DB51" s="479"/>
      <c r="DC51" s="479"/>
      <c r="DD51" s="479"/>
      <c r="DE51" s="479"/>
      <c r="DF51" s="479"/>
      <c r="DG51" s="479"/>
      <c r="DH51" s="479"/>
      <c r="DI51" s="479"/>
      <c r="DJ51" s="479"/>
      <c r="DK51" s="479"/>
      <c r="DL51" s="479" t="str">
        <f>+$DL$7</f>
        <v>2026</v>
      </c>
      <c r="DM51" s="479"/>
      <c r="DN51" s="479"/>
      <c r="DO51" s="479"/>
      <c r="DP51" s="479"/>
      <c r="DQ51" s="479"/>
      <c r="DR51" s="479"/>
      <c r="DS51" s="479"/>
      <c r="DT51" s="479"/>
      <c r="DU51" s="479"/>
      <c r="DV51" s="479"/>
      <c r="DW51" s="479"/>
    </row>
    <row r="52" spans="1:127" x14ac:dyDescent="0.35">
      <c r="A52" s="147" t="s">
        <v>205</v>
      </c>
      <c r="B52" s="16" t="s">
        <v>323</v>
      </c>
      <c r="C52" s="154" t="s">
        <v>202</v>
      </c>
      <c r="D52" s="177" t="s">
        <v>328</v>
      </c>
      <c r="E52" s="147" t="s">
        <v>329</v>
      </c>
      <c r="F52" s="147"/>
      <c r="G52" s="146" t="s">
        <v>201</v>
      </c>
      <c r="H52" s="159" t="s">
        <v>324</v>
      </c>
      <c r="I52" s="149" t="s">
        <v>200</v>
      </c>
      <c r="J52" s="136"/>
      <c r="K52" s="147" t="s">
        <v>205</v>
      </c>
      <c r="L52" s="16" t="s">
        <v>323</v>
      </c>
      <c r="M52" s="154" t="s">
        <v>202</v>
      </c>
      <c r="N52" s="177" t="s">
        <v>328</v>
      </c>
      <c r="O52" s="147" t="s">
        <v>329</v>
      </c>
      <c r="P52" s="147"/>
      <c r="Q52" s="146" t="s">
        <v>201</v>
      </c>
      <c r="R52" s="159" t="s">
        <v>324</v>
      </c>
      <c r="S52" s="149" t="s">
        <v>200</v>
      </c>
      <c r="V52" s="178">
        <v>45658</v>
      </c>
      <c r="W52" s="6">
        <v>45689</v>
      </c>
      <c r="X52" s="6">
        <v>45717</v>
      </c>
      <c r="Y52" s="6">
        <v>45748</v>
      </c>
      <c r="Z52" s="6">
        <v>45778</v>
      </c>
      <c r="AA52" s="6">
        <v>45809</v>
      </c>
      <c r="AB52" s="6">
        <v>45839</v>
      </c>
      <c r="AC52" s="6">
        <v>45870</v>
      </c>
      <c r="AD52" s="6">
        <v>45901</v>
      </c>
      <c r="AE52" s="6">
        <v>45931</v>
      </c>
      <c r="AF52" s="6">
        <v>45962</v>
      </c>
      <c r="AG52" s="179">
        <v>45992</v>
      </c>
      <c r="AH52" s="6">
        <f>AH$8</f>
        <v>46023</v>
      </c>
      <c r="AI52" s="6">
        <f t="shared" ref="AI52:AS52" si="58">AI$8</f>
        <v>46054</v>
      </c>
      <c r="AJ52" s="6">
        <f t="shared" si="58"/>
        <v>46082</v>
      </c>
      <c r="AK52" s="6">
        <f t="shared" si="58"/>
        <v>46113</v>
      </c>
      <c r="AL52" s="6">
        <f t="shared" si="58"/>
        <v>46143</v>
      </c>
      <c r="AM52" s="6">
        <f t="shared" si="58"/>
        <v>46174</v>
      </c>
      <c r="AN52" s="6">
        <f t="shared" si="58"/>
        <v>46204</v>
      </c>
      <c r="AO52" s="6">
        <f t="shared" si="58"/>
        <v>46235</v>
      </c>
      <c r="AP52" s="6">
        <f t="shared" si="58"/>
        <v>46266</v>
      </c>
      <c r="AQ52" s="6">
        <f t="shared" si="58"/>
        <v>46296</v>
      </c>
      <c r="AR52" s="6">
        <f t="shared" si="58"/>
        <v>46327</v>
      </c>
      <c r="AS52" s="6">
        <f t="shared" si="58"/>
        <v>46357</v>
      </c>
      <c r="AT52" s="218" t="str">
        <f>AH51&amp;" - Totals"</f>
        <v>2026 - Totals</v>
      </c>
      <c r="CZ52" s="178">
        <f t="shared" ref="CZ52:DW52" si="59">CZ$8</f>
        <v>45658</v>
      </c>
      <c r="DA52" s="6">
        <f t="shared" si="59"/>
        <v>45689</v>
      </c>
      <c r="DB52" s="6">
        <f t="shared" si="59"/>
        <v>45717</v>
      </c>
      <c r="DC52" s="6">
        <f t="shared" si="59"/>
        <v>45748</v>
      </c>
      <c r="DD52" s="6">
        <f t="shared" si="59"/>
        <v>45778</v>
      </c>
      <c r="DE52" s="6">
        <f t="shared" si="59"/>
        <v>45809</v>
      </c>
      <c r="DF52" s="6">
        <f t="shared" si="59"/>
        <v>45839</v>
      </c>
      <c r="DG52" s="6">
        <f t="shared" si="59"/>
        <v>45870</v>
      </c>
      <c r="DH52" s="6">
        <f t="shared" si="59"/>
        <v>45901</v>
      </c>
      <c r="DI52" s="6">
        <f t="shared" si="59"/>
        <v>45931</v>
      </c>
      <c r="DJ52" s="6">
        <f t="shared" si="59"/>
        <v>45962</v>
      </c>
      <c r="DK52" s="179">
        <f t="shared" si="59"/>
        <v>45992</v>
      </c>
      <c r="DL52" s="6">
        <f t="shared" si="59"/>
        <v>46023</v>
      </c>
      <c r="DM52" s="6">
        <f t="shared" si="59"/>
        <v>46054</v>
      </c>
      <c r="DN52" s="6">
        <f t="shared" si="59"/>
        <v>46082</v>
      </c>
      <c r="DO52" s="6">
        <f t="shared" si="59"/>
        <v>46113</v>
      </c>
      <c r="DP52" s="6">
        <f t="shared" si="59"/>
        <v>46143</v>
      </c>
      <c r="DQ52" s="6">
        <f t="shared" si="59"/>
        <v>46174</v>
      </c>
      <c r="DR52" s="6">
        <f t="shared" si="59"/>
        <v>46204</v>
      </c>
      <c r="DS52" s="6">
        <f t="shared" si="59"/>
        <v>46235</v>
      </c>
      <c r="DT52" s="6">
        <f t="shared" si="59"/>
        <v>46266</v>
      </c>
      <c r="DU52" s="6">
        <f t="shared" si="59"/>
        <v>46296</v>
      </c>
      <c r="DV52" s="6">
        <f t="shared" si="59"/>
        <v>46327</v>
      </c>
      <c r="DW52" s="6">
        <f t="shared" si="59"/>
        <v>46357</v>
      </c>
    </row>
    <row r="53" spans="1:127" x14ac:dyDescent="0.35">
      <c r="A53" s="136">
        <v>112</v>
      </c>
      <c r="B53" s="47" t="str">
        <f>IF(A53&lt;&gt;"","VACANT","")</f>
        <v>VACANT</v>
      </c>
      <c r="C53" s="155">
        <v>1290</v>
      </c>
      <c r="D53" s="173"/>
      <c r="E53" s="162"/>
      <c r="F53" s="189">
        <f>IFERROR(ROUNDUP(((DATEDIF(D53,E53,"d"))/365),1),0)</f>
        <v>0</v>
      </c>
      <c r="G53" s="163"/>
      <c r="H53" s="163"/>
      <c r="I53" s="174"/>
      <c r="J53" s="181"/>
      <c r="K53" s="136" t="s">
        <v>432</v>
      </c>
      <c r="L53" s="7" t="s">
        <v>434</v>
      </c>
      <c r="M53" s="155">
        <v>1505</v>
      </c>
      <c r="N53" s="173">
        <v>45931</v>
      </c>
      <c r="O53" s="281">
        <v>46295</v>
      </c>
      <c r="P53" s="189">
        <f>IFERROR(ROUNDUP(((DATEDIF(N53,O53,"d"))/365),1),0)</f>
        <v>1</v>
      </c>
      <c r="Q53" s="163">
        <v>18.5</v>
      </c>
      <c r="R53" s="163">
        <v>0</v>
      </c>
      <c r="S53" s="174">
        <v>0</v>
      </c>
      <c r="U53" s="132" t="s">
        <v>335</v>
      </c>
      <c r="V53" s="202" cm="1">
        <f t="array" ref="V53:AG53">_xlfn.LET(
  _xlpm.months, V52:AG52,
  _xlpm.totalSqft, A50,
  _xlpm.vacSF, C53:C67,
  _xlpm.vacStart, D53:D67,
  _xlpm.vacEnd, E53:E67,
  _xlpm.renSF, M53:M67,
  _xlpm.renEnd, O53:O67,
  _xlfn.MAP(_xlpm.months, _xlfn.LAMBDA(_xlpm.m,
    _xlfn.LET(
      _xlpm.vacLoss,
        SUM(
          IF(
            (ISNUMBER(_xlpm.vacSF)) *
            (
              ISBLANK(_xlpm.vacStart) + (_xlpm.m &lt; _xlpm.vacStart) +
              (ISNUMBER(_xlpm.vacEnd) * (_xlpm.m &gt; _xlpm.vacEnd))
            ),
            _xlpm.vacSF,
            0
          )
        ),
      _xlpm.renLoss,
        SUM(
          IF(
            (ISNUMBER(_xlpm.renSF)) *
            (ISNUMBER(_xlpm.renEnd)) *
            (_xlpm.m &gt; _xlpm.renEnd),
            _xlpm.renSF,
            0
          )
        ),
      ROUND((_xlpm.totalSqft - _xlpm.vacLoss - _xlpm.renLoss) / _xlpm.totalSqft, 4)
    )
  ))
)</f>
        <v>0.82330000000000003</v>
      </c>
      <c r="W53" s="203">
        <v>0.82330000000000003</v>
      </c>
      <c r="X53" s="203">
        <v>0.82330000000000003</v>
      </c>
      <c r="Y53" s="203">
        <v>0.82330000000000003</v>
      </c>
      <c r="Z53" s="203">
        <v>0.82330000000000003</v>
      </c>
      <c r="AA53" s="203">
        <v>0.82330000000000003</v>
      </c>
      <c r="AB53" s="203">
        <v>0.82330000000000003</v>
      </c>
      <c r="AC53" s="203">
        <v>0.82330000000000003</v>
      </c>
      <c r="AD53" s="203">
        <v>0.82330000000000003</v>
      </c>
      <c r="AE53" s="203">
        <v>0.82330000000000003</v>
      </c>
      <c r="AF53" s="203">
        <v>0.82330000000000003</v>
      </c>
      <c r="AG53" s="203">
        <v>0.82330000000000003</v>
      </c>
      <c r="AH53" s="202" cm="1">
        <f t="array" ref="AH53:AS53">_xlfn.LET(
  _xlpm.months, AH52:AS52,
  _xlpm.totalSqft, A50,
  _xlpm.vacSF, C53:C67,
  _xlpm.vacStart, D53:D67,
  _xlpm.vacEnd, E53:E67,
  _xlpm.renSF, M53:M67,
  _xlpm.renEnd, O53:O67,
  _xlfn.MAP(_xlpm.months, _xlfn.LAMBDA(_xlpm.m,
    _xlfn.LET(
      _xlpm.vacLoss,
        SUM(
          IF(
            (ISNUMBER(_xlpm.vacSF)) *
            (
              ISBLANK(_xlpm.vacStart) + (_xlpm.m &lt; _xlpm.vacStart) +
              (ISNUMBER(_xlpm.vacEnd) * (_xlpm.m &gt; _xlpm.vacEnd))
            ),
            _xlpm.vacSF,
            0
          )
        ),
      _xlpm.renLoss,
        SUM(
          IF(
            (ISNUMBER(_xlpm.renSF)) *
            (ISNUMBER(_xlpm.renEnd)) *
            (_xlpm.m &gt; _xlpm.renEnd),
            _xlpm.renSF,
            0
          )
        ),
      ROUND((_xlpm.totalSqft - _xlpm.vacLoss - _xlpm.renLoss) / _xlpm.totalSqft, 4)
    )
  ))
)</f>
        <v>0.82330000000000003</v>
      </c>
      <c r="AI53" s="203">
        <v>0.82330000000000003</v>
      </c>
      <c r="AJ53" s="203">
        <v>0.82330000000000003</v>
      </c>
      <c r="AK53" s="203">
        <v>0.67169999999999996</v>
      </c>
      <c r="AL53" s="203">
        <v>0.67169999999999996</v>
      </c>
      <c r="AM53" s="203">
        <v>0.67169999999999996</v>
      </c>
      <c r="AN53" s="203">
        <v>0.67169999999999996</v>
      </c>
      <c r="AO53" s="203">
        <v>0.67169999999999996</v>
      </c>
      <c r="AP53" s="203">
        <v>0.67169999999999996</v>
      </c>
      <c r="AQ53" s="203">
        <v>0.44490000000000002</v>
      </c>
      <c r="AR53" s="203">
        <v>0.44490000000000002</v>
      </c>
      <c r="AS53" s="203">
        <v>0.44490000000000002</v>
      </c>
      <c r="AT53" s="216"/>
      <c r="CZ53" s="151">
        <f t="shared" ref="CZ53:DW53" si="60">IF(AND($D53&lt;=CZ52,$E53&gt;=CZ52),(($G53*$C53)/12),0)</f>
        <v>0</v>
      </c>
      <c r="DA53" s="150">
        <f t="shared" si="60"/>
        <v>0</v>
      </c>
      <c r="DB53" s="150">
        <f t="shared" si="60"/>
        <v>0</v>
      </c>
      <c r="DC53" s="150">
        <f t="shared" si="60"/>
        <v>0</v>
      </c>
      <c r="DD53" s="150">
        <f t="shared" si="60"/>
        <v>0</v>
      </c>
      <c r="DE53" s="150">
        <f t="shared" si="60"/>
        <v>0</v>
      </c>
      <c r="DF53" s="150">
        <f t="shared" si="60"/>
        <v>0</v>
      </c>
      <c r="DG53" s="150">
        <f t="shared" si="60"/>
        <v>0</v>
      </c>
      <c r="DH53" s="150">
        <f t="shared" si="60"/>
        <v>0</v>
      </c>
      <c r="DI53" s="150">
        <f t="shared" si="60"/>
        <v>0</v>
      </c>
      <c r="DJ53" s="150">
        <f t="shared" si="60"/>
        <v>0</v>
      </c>
      <c r="DK53" s="152">
        <f t="shared" si="60"/>
        <v>0</v>
      </c>
      <c r="DL53" s="133">
        <f t="shared" si="60"/>
        <v>0</v>
      </c>
      <c r="DM53" s="133">
        <f t="shared" si="60"/>
        <v>0</v>
      </c>
      <c r="DN53" s="133">
        <f t="shared" si="60"/>
        <v>0</v>
      </c>
      <c r="DO53" s="133">
        <f t="shared" si="60"/>
        <v>0</v>
      </c>
      <c r="DP53" s="133">
        <f t="shared" si="60"/>
        <v>0</v>
      </c>
      <c r="DQ53" s="133">
        <f t="shared" si="60"/>
        <v>0</v>
      </c>
      <c r="DR53" s="133">
        <f t="shared" si="60"/>
        <v>0</v>
      </c>
      <c r="DS53" s="133">
        <f t="shared" si="60"/>
        <v>0</v>
      </c>
      <c r="DT53" s="133">
        <f t="shared" si="60"/>
        <v>0</v>
      </c>
      <c r="DU53" s="133">
        <f t="shared" si="60"/>
        <v>0</v>
      </c>
      <c r="DV53" s="133">
        <f t="shared" si="60"/>
        <v>0</v>
      </c>
      <c r="DW53" s="133">
        <f t="shared" si="60"/>
        <v>0</v>
      </c>
    </row>
    <row r="54" spans="1:127" x14ac:dyDescent="0.35">
      <c r="A54" s="136">
        <v>202</v>
      </c>
      <c r="B54" s="7" t="str">
        <f t="shared" ref="B54:B67" si="61">IF(A54&lt;&gt;"","VACANT","")</f>
        <v>VACANT</v>
      </c>
      <c r="C54" s="155">
        <v>3678</v>
      </c>
      <c r="D54" s="173"/>
      <c r="E54" s="162"/>
      <c r="F54" s="136">
        <f t="shared" ref="F54:F67" si="62">IFERROR(ROUNDUP(((DATEDIF(D54,E54,"d"))/365),1),0)</f>
        <v>0</v>
      </c>
      <c r="G54" s="163"/>
      <c r="H54" s="163"/>
      <c r="I54" s="174"/>
      <c r="J54" s="134"/>
      <c r="K54" s="136">
        <v>103</v>
      </c>
      <c r="L54" s="7" t="s">
        <v>435</v>
      </c>
      <c r="M54" s="155">
        <v>1630</v>
      </c>
      <c r="N54" s="173">
        <v>46082</v>
      </c>
      <c r="O54" s="162">
        <v>46811</v>
      </c>
      <c r="P54" s="136">
        <f t="shared" ref="P54:P67" si="63">IFERROR(ROUNDUP(((DATEDIF(N54,O54,"d"))/365),1),0)</f>
        <v>2</v>
      </c>
      <c r="Q54" s="163">
        <v>20</v>
      </c>
      <c r="R54" s="163">
        <v>0</v>
      </c>
      <c r="S54" s="174">
        <v>0</v>
      </c>
      <c r="U54" s="132" t="s">
        <v>333</v>
      </c>
      <c r="V54" s="151" cm="1">
        <f t="array" ref="V54">((SUMPRODUCT(($D$53:$D$67&lt;=V$8) * ($E$53:$E$67&gt;=V$8) * ($G$53:$G$67 * $C$53:$C$67)))+(SUMPRODUCT(($N$53:$N$67&lt;=V$8) * ($O$53:$O$67&gt;=V$8) * ($Q$53:$Q$67 * $M$53:$M$67))))/12</f>
        <v>-1.4134166666666665</v>
      </c>
      <c r="W54" s="133" cm="1">
        <f t="array" ref="W54">((SUMPRODUCT(($D$53:$D$67&lt;=W$8) * ($E$53:$E$67&gt;=W$8) * ($G$53:$G$67 * $C$53:$C$67)))+(SUMPRODUCT(($N$53:$N$67&lt;=W$8) * ($O$53:$O$67&gt;=W$8) * ($Q$53:$Q$67 * $M$53:$M$67))))/12</f>
        <v>-1.4134166666666665</v>
      </c>
      <c r="X54" s="133" cm="1">
        <f t="array" ref="X54">((SUMPRODUCT(($D$53:$D$67&lt;=X$8) * ($E$53:$E$67&gt;=X$8) * ($G$53:$G$67 * $C$53:$C$67)))+(SUMPRODUCT(($N$53:$N$67&lt;=X$8) * ($O$53:$O$67&gt;=X$8) * ($Q$53:$Q$67 * $M$53:$M$67))))/12</f>
        <v>-1.4134166666666665</v>
      </c>
      <c r="Y54" s="133" cm="1">
        <f t="array" ref="Y54">((SUMPRODUCT(($D$53:$D$67&lt;=Y$8) * ($E$53:$E$67&gt;=Y$8) * ($G$53:$G$67 * $C$53:$C$67)))+(SUMPRODUCT(($N$53:$N$67&lt;=Y$8) * ($O$53:$O$67&gt;=Y$8) * ($Q$53:$Q$67 * $M$53:$M$67))))/12</f>
        <v>-1.4134166666666665</v>
      </c>
      <c r="Z54" s="133" cm="1">
        <f t="array" ref="Z54">((SUMPRODUCT(($D$53:$D$67&lt;=Z$8) * ($E$53:$E$67&gt;=Z$8) * ($G$53:$G$67 * $C$53:$C$67)))+(SUMPRODUCT(($N$53:$N$67&lt;=Z$8) * ($O$53:$O$67&gt;=Z$8) * ($Q$53:$Q$67 * $M$53:$M$67))))/12</f>
        <v>-1.4134166666666665</v>
      </c>
      <c r="AA54" s="133" cm="1">
        <f t="array" ref="AA54">((SUMPRODUCT(($D$53:$D$67&lt;=AA$8) * ($E$53:$E$67&gt;=AA$8) * ($G$53:$G$67 * $C$53:$C$67)))+(SUMPRODUCT(($N$53:$N$67&lt;=AA$8) * ($O$53:$O$67&gt;=AA$8) * ($Q$53:$Q$67 * $M$53:$M$67))))/12</f>
        <v>-1.4134166666666665</v>
      </c>
      <c r="AB54" s="133" cm="1">
        <f t="array" ref="AB54">((SUMPRODUCT(($D$53:$D$67&lt;=AB$8) * ($E$53:$E$67&gt;=AB$8) * ($G$53:$G$67 * $C$53:$C$67)))+(SUMPRODUCT(($N$53:$N$67&lt;=AB$8) * ($O$53:$O$67&gt;=AB$8) * ($Q$53:$Q$67 * $M$53:$M$67))))/12</f>
        <v>-1.4134166666666665</v>
      </c>
      <c r="AC54" s="133" cm="1">
        <f t="array" ref="AC54">((SUMPRODUCT(($D$53:$D$67&lt;=AC$8) * ($E$53:$E$67&gt;=AC$8) * ($G$53:$G$67 * $C$53:$C$67)))+(SUMPRODUCT(($N$53:$N$67&lt;=AC$8) * ($O$53:$O$67&gt;=AC$8) * ($Q$53:$Q$67 * $M$53:$M$67))))/12</f>
        <v>-1.4134166666666665</v>
      </c>
      <c r="AD54" s="133" cm="1">
        <f t="array" ref="AD54">((SUMPRODUCT(($D$53:$D$67&lt;=AD$8) * ($E$53:$E$67&gt;=AD$8) * ($G$53:$G$67 * $C$53:$C$67)))+(SUMPRODUCT(($N$53:$N$67&lt;=AD$8) * ($O$53:$O$67&gt;=AD$8) * ($Q$53:$Q$67 * $M$53:$M$67))))/12</f>
        <v>-1.4134166666666665</v>
      </c>
      <c r="AE54" s="133" cm="1">
        <f t="array" ref="AE54">((SUMPRODUCT(($D$53:$D$67&lt;=AE$8) * ($E$53:$E$67&gt;=AE$8) * ($G$53:$G$67 * $C$53:$C$67)))+(SUMPRODUCT(($N$53:$N$67&lt;=AE$8) * ($O$53:$O$67&gt;=AE$8) * ($Q$53:$Q$67 * $M$53:$M$67))))/12</f>
        <v>2318.7949166666663</v>
      </c>
      <c r="AF54" s="133" cm="1">
        <f t="array" ref="AF54">((SUMPRODUCT(($D$53:$D$67&lt;=AF$8) * ($E$53:$E$67&gt;=AF$8) * ($G$53:$G$67 * $C$53:$C$67)))+(SUMPRODUCT(($N$53:$N$67&lt;=AF$8) * ($O$53:$O$67&gt;=AF$8) * ($Q$53:$Q$67 * $M$53:$M$67))))/12</f>
        <v>3957.5449166666663</v>
      </c>
      <c r="AG54" s="133" cm="1">
        <f t="array" ref="AG54">((SUMPRODUCT(($D$53:$D$67&lt;=AG$8) * ($E$53:$E$67&gt;=AG$8) * ($G$53:$G$67 * $C$53:$C$67)))+(SUMPRODUCT(($N$53:$N$67&lt;=AG$8) * ($O$53:$O$67&gt;=AG$8) * ($Q$53:$Q$67 * $M$53:$M$67))))/12</f>
        <v>3957.5449166666663</v>
      </c>
      <c r="AH54" s="151" cm="1">
        <f t="array" ref="AH54">((SUMPRODUCT(($D$53:$D$67&lt;=AH$8) * ($E$53:$E$67&gt;=AH$8) * ($G$53:$G$67 * $C$53:$C$67)))+(SUMPRODUCT(($N$53:$N$67&lt;=AH$8) * ($O$53:$O$67&gt;=AH$8) * ($Q$53:$Q$67 * $M$53:$M$67))))/12</f>
        <v>3957.5449166666663</v>
      </c>
      <c r="AI54" s="133" cm="1">
        <f t="array" ref="AI54">((SUMPRODUCT(($D$53:$D$67&lt;=AI$8) * ($E$53:$E$67&gt;=AI$8) * ($G$53:$G$67 * $C$53:$C$67)))+(SUMPRODUCT(($N$53:$N$67&lt;=AI$8) * ($O$53:$O$67&gt;=AI$8) * ($Q$53:$Q$67 * $M$53:$M$67))))/12</f>
        <v>3957.5449166666663</v>
      </c>
      <c r="AJ54" s="133" cm="1">
        <f t="array" ref="AJ54">((SUMPRODUCT(($D$53:$D$67&lt;=AJ$8) * ($E$53:$E$67&gt;=AJ$8) * ($G$53:$G$67 * $C$53:$C$67)))+(SUMPRODUCT(($N$53:$N$67&lt;=AJ$8) * ($O$53:$O$67&gt;=AJ$8) * ($Q$53:$Q$67 * $M$53:$M$67))))/12</f>
        <v>6674.2115833333337</v>
      </c>
      <c r="AK54" s="133" cm="1">
        <f t="array" ref="AK54">((SUMPRODUCT(($D$53:$D$67&lt;=AK$8) * ($E$53:$E$67&gt;=AK$8) * ($G$53:$G$67 * $C$53:$C$67)))+(SUMPRODUCT(($N$53:$N$67&lt;=AK$8) * ($O$53:$O$67&gt;=AK$8) * ($Q$53:$Q$67 * $M$53:$M$67))))/12</f>
        <v>6674.8282499999996</v>
      </c>
      <c r="AL54" s="133" cm="1">
        <f t="array" ref="AL54">((SUMPRODUCT(($D$53:$D$67&lt;=AL$8) * ($E$53:$E$67&gt;=AL$8) * ($G$53:$G$67 * $C$53:$C$67)))+(SUMPRODUCT(($N$53:$N$67&lt;=AL$8) * ($O$53:$O$67&gt;=AL$8) * ($Q$53:$Q$67 * $M$53:$M$67))))/12</f>
        <v>6674.8282499999996</v>
      </c>
      <c r="AM54" s="133" cm="1">
        <f t="array" ref="AM54">((SUMPRODUCT(($D$53:$D$67&lt;=AM$8) * ($E$53:$E$67&gt;=AM$8) * ($G$53:$G$67 * $C$53:$C$67)))+(SUMPRODUCT(($N$53:$N$67&lt;=AM$8) * ($O$53:$O$67&gt;=AM$8) * ($Q$53:$Q$67 * $M$53:$M$67))))/12</f>
        <v>6674.8282499999996</v>
      </c>
      <c r="AN54" s="133" cm="1">
        <f t="array" ref="AN54">((SUMPRODUCT(($D$53:$D$67&lt;=AN$8) * ($E$53:$E$67&gt;=AN$8) * ($G$53:$G$67 * $C$53:$C$67)))+(SUMPRODUCT(($N$53:$N$67&lt;=AN$8) * ($O$53:$O$67&gt;=AN$8) * ($Q$53:$Q$67 * $M$53:$M$67))))/12</f>
        <v>9171.2032500000005</v>
      </c>
      <c r="AO54" s="133" cm="1">
        <f t="array" ref="AO54">((SUMPRODUCT(($D$53:$D$67&lt;=AO$8) * ($E$53:$E$67&gt;=AO$8) * ($G$53:$G$67 * $C$53:$C$67)))+(SUMPRODUCT(($N$53:$N$67&lt;=AO$8) * ($O$53:$O$67&gt;=AO$8) * ($Q$53:$Q$67 * $M$53:$M$67))))/12</f>
        <v>9171.2032500000005</v>
      </c>
      <c r="AP54" s="133" cm="1">
        <f t="array" ref="AP54">((SUMPRODUCT(($D$53:$D$67&lt;=AP$8) * ($E$53:$E$67&gt;=AP$8) * ($G$53:$G$67 * $C$53:$C$67)))+(SUMPRODUCT(($N$53:$N$67&lt;=AP$8) * ($O$53:$O$67&gt;=AP$8) * ($Q$53:$Q$67 * $M$53:$M$67))))/12</f>
        <v>9171.2032500000005</v>
      </c>
      <c r="AQ54" s="133" cm="1">
        <f t="array" ref="AQ54">((SUMPRODUCT(($D$53:$D$67&lt;=AQ$8) * ($E$53:$E$67&gt;=AQ$8) * ($G$53:$G$67 * $C$53:$C$67)))+(SUMPRODUCT(($N$53:$N$67&lt;=AQ$8) * ($O$53:$O$67&gt;=AQ$8) * ($Q$53:$Q$67 * $M$53:$M$67))))/12</f>
        <v>6851.791666666667</v>
      </c>
      <c r="AR54" s="133" cm="1">
        <f t="array" ref="AR54">((SUMPRODUCT(($D$53:$D$67&lt;=AR$8) * ($E$53:$E$67&gt;=AR$8) * ($G$53:$G$67 * $C$53:$C$67)))+(SUMPRODUCT(($N$53:$N$67&lt;=AR$8) * ($O$53:$O$67&gt;=AR$8) * ($Q$53:$Q$67 * $M$53:$M$67))))/12</f>
        <v>8273.2083333333339</v>
      </c>
      <c r="AS54" s="133" cm="1">
        <f t="array" ref="AS54">((SUMPRODUCT(($D$53:$D$67&lt;=AS$8) * ($E$53:$E$67&gt;=AS$8) * ($G$53:$G$67 * $C$53:$C$67)))+(SUMPRODUCT(($N$53:$N$67&lt;=AS$8) * ($O$53:$O$67&gt;=AS$8) * ($Q$53:$Q$67 * $M$53:$M$67))))/12</f>
        <v>8273.2083333333339</v>
      </c>
      <c r="AT54" s="217">
        <f>SUM(AH54:AS54)</f>
        <v>85525.604249999989</v>
      </c>
      <c r="CZ54" s="151">
        <f t="shared" ref="CZ54:DI67" si="64">IF(AND($D54&lt;=CZ$8,$E54&gt;=CZ$8),(($G54*$C54)/12),0)</f>
        <v>0</v>
      </c>
      <c r="DA54" s="150">
        <f t="shared" si="64"/>
        <v>0</v>
      </c>
      <c r="DB54" s="150">
        <f t="shared" si="64"/>
        <v>0</v>
      </c>
      <c r="DC54" s="150">
        <f t="shared" si="64"/>
        <v>0</v>
      </c>
      <c r="DD54" s="150">
        <f t="shared" si="64"/>
        <v>0</v>
      </c>
      <c r="DE54" s="150">
        <f t="shared" si="64"/>
        <v>0</v>
      </c>
      <c r="DF54" s="150">
        <f t="shared" si="64"/>
        <v>0</v>
      </c>
      <c r="DG54" s="150">
        <f t="shared" si="64"/>
        <v>0</v>
      </c>
      <c r="DH54" s="150">
        <f t="shared" si="64"/>
        <v>0</v>
      </c>
      <c r="DI54" s="150">
        <f t="shared" si="64"/>
        <v>0</v>
      </c>
      <c r="DJ54" s="150">
        <f t="shared" ref="DJ54:DW67" si="65">IF(AND($D54&lt;=DJ$8,$E54&gt;=DJ$8),(($G54*$C54)/12),0)</f>
        <v>0</v>
      </c>
      <c r="DK54" s="152">
        <f t="shared" si="65"/>
        <v>0</v>
      </c>
      <c r="DL54" s="133">
        <f t="shared" si="65"/>
        <v>0</v>
      </c>
      <c r="DM54" s="133">
        <f t="shared" si="65"/>
        <v>0</v>
      </c>
      <c r="DN54" s="133">
        <f t="shared" si="65"/>
        <v>0</v>
      </c>
      <c r="DO54" s="133">
        <f t="shared" si="65"/>
        <v>0</v>
      </c>
      <c r="DP54" s="133">
        <f t="shared" si="65"/>
        <v>0</v>
      </c>
      <c r="DQ54" s="133">
        <f t="shared" si="65"/>
        <v>0</v>
      </c>
      <c r="DR54" s="133">
        <f t="shared" si="65"/>
        <v>0</v>
      </c>
      <c r="DS54" s="133">
        <f t="shared" si="65"/>
        <v>0</v>
      </c>
      <c r="DT54" s="133">
        <f t="shared" si="65"/>
        <v>0</v>
      </c>
      <c r="DU54" s="133">
        <f t="shared" si="65"/>
        <v>0</v>
      </c>
      <c r="DV54" s="133">
        <f t="shared" si="65"/>
        <v>0</v>
      </c>
      <c r="DW54" s="133">
        <f t="shared" si="65"/>
        <v>0</v>
      </c>
    </row>
    <row r="55" spans="1:127" x14ac:dyDescent="0.35">
      <c r="A55" s="136">
        <v>203</v>
      </c>
      <c r="B55" s="7" t="str">
        <f t="shared" si="61"/>
        <v>VACANT</v>
      </c>
      <c r="C55" s="155">
        <v>2495</v>
      </c>
      <c r="D55" s="173"/>
      <c r="E55" s="162"/>
      <c r="F55" s="136">
        <f t="shared" si="62"/>
        <v>0</v>
      </c>
      <c r="G55" s="163"/>
      <c r="H55" s="163"/>
      <c r="I55" s="174"/>
      <c r="J55" s="134"/>
      <c r="K55" s="136" t="s">
        <v>433</v>
      </c>
      <c r="L55" s="7" t="s">
        <v>436</v>
      </c>
      <c r="M55" s="155">
        <v>922</v>
      </c>
      <c r="N55" s="173">
        <v>46327</v>
      </c>
      <c r="O55" s="164">
        <v>46752</v>
      </c>
      <c r="P55" s="136">
        <f t="shared" ref="P55:P62" si="66">IFERROR(ROUNDUP(((DATEDIF(N55,O55,"d"))/365),1),0)</f>
        <v>1.2000000000000002</v>
      </c>
      <c r="Q55" s="165">
        <v>18.5</v>
      </c>
      <c r="R55" s="163">
        <v>0</v>
      </c>
      <c r="S55" s="174">
        <v>0</v>
      </c>
      <c r="U55" s="132" t="s">
        <v>330</v>
      </c>
      <c r="V55" s="151" cm="1">
        <f t="array" ref="V55">(SUMPRODUCT((TEXT($N53:$N67,"yyyymm")=TEXT(V$52,"yyyymm")) * ($R53:$R67 * $M53:$M67)))+(SUMPRODUCT((TEXT($D53:$D67,"yyyymm")=TEXT(V$52,"yyyymm")) * ($H53:$H67 * $C53:$C67)))</f>
        <v>0</v>
      </c>
      <c r="W55" s="133" cm="1">
        <f t="array" ref="W55">(SUMPRODUCT((TEXT($N53:$N67,"yyyymm")=TEXT(W$52,"yyyymm")) * ($R53:$R67 * $M53:$M67)))+(SUMPRODUCT((TEXT($D53:$D67,"yyyymm")=TEXT(W$52,"yyyymm")) * ($H53:$H67 * $C53:$C67)))</f>
        <v>0</v>
      </c>
      <c r="X55" s="133" cm="1">
        <f t="array" ref="X55">(SUMPRODUCT((TEXT($N53:$N67,"yyyymm")=TEXT(X$52,"yyyymm")) * ($R53:$R67 * $M53:$M67)))+(SUMPRODUCT((TEXT($D53:$D67,"yyyymm")=TEXT(X$52,"yyyymm")) * ($H53:$H67 * $C53:$C67)))</f>
        <v>0</v>
      </c>
      <c r="Y55" s="133" cm="1">
        <f t="array" ref="Y55">(SUMPRODUCT((TEXT($N53:$N67,"yyyymm")=TEXT(Y$52,"yyyymm")) * ($R53:$R67 * $M53:$M67)))+(SUMPRODUCT((TEXT($D53:$D67,"yyyymm")=TEXT(Y$52,"yyyymm")) * ($H53:$H67 * $C53:$C67)))</f>
        <v>0</v>
      </c>
      <c r="Z55" s="133" cm="1">
        <f t="array" ref="Z55">(SUMPRODUCT((TEXT($N53:$N67,"yyyymm")=TEXT(Z$52,"yyyymm")) * ($R53:$R67 * $M53:$M67)))+(SUMPRODUCT((TEXT($D53:$D67,"yyyymm")=TEXT(Z$52,"yyyymm")) * ($H53:$H67 * $C53:$C67)))</f>
        <v>0</v>
      </c>
      <c r="AA55" s="133" cm="1">
        <f t="array" ref="AA55">(SUMPRODUCT((TEXT($N53:$N67,"yyyymm")=TEXT(AA$52,"yyyymm")) * ($R53:$R67 * $M53:$M67)))+(SUMPRODUCT((TEXT($D53:$D67,"yyyymm")=TEXT(AA$52,"yyyymm")) * ($H53:$H67 * $C53:$C67)))</f>
        <v>0</v>
      </c>
      <c r="AB55" s="133" cm="1">
        <f t="array" ref="AB55">(SUMPRODUCT((TEXT($N53:$N67,"yyyymm")=TEXT(AB$52,"yyyymm")) * ($R53:$R67 * $M53:$M67)))+(SUMPRODUCT((TEXT($D53:$D67,"yyyymm")=TEXT(AB$52,"yyyymm")) * ($H53:$H67 * $C53:$C67)))</f>
        <v>0</v>
      </c>
      <c r="AC55" s="133" cm="1">
        <f t="array" ref="AC55">(SUMPRODUCT((TEXT($N53:$N67,"yyyymm")=TEXT(AC$52,"yyyymm")) * ($R53:$R67 * $M53:$M67)))+(SUMPRODUCT((TEXT($D53:$D67,"yyyymm")=TEXT(AC$52,"yyyymm")) * ($H53:$H67 * $C53:$C67)))</f>
        <v>0</v>
      </c>
      <c r="AD55" s="133" cm="1">
        <f t="array" ref="AD55">(SUMPRODUCT((TEXT($N53:$N67,"yyyymm")=TEXT(AD$52,"yyyymm")) * ($R53:$R67 * $M53:$M67)))+(SUMPRODUCT((TEXT($D53:$D67,"yyyymm")=TEXT(AD$52,"yyyymm")) * ($H53:$H67 * $C53:$C67)))</f>
        <v>0</v>
      </c>
      <c r="AE55" s="133" cm="1">
        <f t="array" ref="AE55">(SUMPRODUCT((TEXT($N53:$N67,"yyyymm")=TEXT(AE$52,"yyyymm")) * ($R53:$R67 * $M53:$M67)))+(SUMPRODUCT((TEXT($D53:$D67,"yyyymm")=TEXT(AE$52,"yyyymm")) * ($H53:$H67 * $C53:$C67)))</f>
        <v>0</v>
      </c>
      <c r="AF55" s="133" cm="1">
        <f t="array" ref="AF55">(SUMPRODUCT((TEXT($N53:$N67,"yyyymm")=TEXT(AF$52,"yyyymm")) * ($R53:$R67 * $M53:$M67)))+(SUMPRODUCT((TEXT($D53:$D67,"yyyymm")=TEXT(AF$52,"yyyymm")) * ($H53:$H67 * $C53:$C67)))</f>
        <v>0</v>
      </c>
      <c r="AG55" s="133" cm="1">
        <f t="array" ref="AG55">(SUMPRODUCT((TEXT($N53:$N67,"yyyymm")=TEXT(AG$52,"yyyymm")) * ($R53:$R67 * $M53:$M67)))+(SUMPRODUCT((TEXT($D53:$D67,"yyyymm")=TEXT(AG$52,"yyyymm")) * ($H53:$H67 * $C53:$C67)))</f>
        <v>0</v>
      </c>
      <c r="AH55" s="151" cm="1">
        <f t="array" ref="AH55">(SUMPRODUCT((TEXT($N53:$N67,"yyyymm")=TEXT(AH$52,"yyyymm")) * ($R53:$R67 * $M53:$M67)))+(SUMPRODUCT((TEXT($D53:$D67,"yyyymm")=TEXT(AH$52,"yyyymm")) * ($H53:$H67 * $C53:$C67)))</f>
        <v>0</v>
      </c>
      <c r="AI55" s="133" cm="1">
        <f t="array" ref="AI55">(SUMPRODUCT((TEXT($N53:$N67,"yyyymm")=TEXT(AI$52,"yyyymm")) * ($R53:$R67 * $M53:$M67)))+(SUMPRODUCT((TEXT($D53:$D67,"yyyymm")=TEXT(AI$52,"yyyymm")) * ($H53:$H67 * $C53:$C67)))</f>
        <v>0</v>
      </c>
      <c r="AJ55" s="133" cm="1">
        <f t="array" ref="AJ55">(SUMPRODUCT((TEXT($N53:$N67,"yyyymm")=TEXT(AJ$52,"yyyymm")) * ($R53:$R67 * $M53:$M67)))+(SUMPRODUCT((TEXT($D53:$D67,"yyyymm")=TEXT(AJ$52,"yyyymm")) * ($H53:$H67 * $C53:$C67)))</f>
        <v>0</v>
      </c>
      <c r="AK55" s="133" cm="1">
        <f t="array" ref="AK55">(SUMPRODUCT((TEXT($N53:$N67,"yyyymm")=TEXT(AK$52,"yyyymm")) * ($R53:$R67 * $M53:$M67)))+(SUMPRODUCT((TEXT($D53:$D67,"yyyymm")=TEXT(AK$52,"yyyymm")) * ($H53:$H67 * $C53:$C67)))</f>
        <v>0</v>
      </c>
      <c r="AL55" s="133" cm="1">
        <f t="array" ref="AL55">(SUMPRODUCT((TEXT($N53:$N67,"yyyymm")=TEXT(AL$52,"yyyymm")) * ($R53:$R67 * $M53:$M67)))+(SUMPRODUCT((TEXT($D53:$D67,"yyyymm")=TEXT(AL$52,"yyyymm")) * ($H53:$H67 * $C53:$C67)))</f>
        <v>0</v>
      </c>
      <c r="AM55" s="133" cm="1">
        <f t="array" ref="AM55">(SUMPRODUCT((TEXT($N53:$N67,"yyyymm")=TEXT(AM$52,"yyyymm")) * ($R53:$R67 * $M53:$M67)))+(SUMPRODUCT((TEXT($D53:$D67,"yyyymm")=TEXT(AM$52,"yyyymm")) * ($H53:$H67 * $C53:$C67)))</f>
        <v>0</v>
      </c>
      <c r="AN55" s="133" cm="1">
        <f t="array" ref="AN55">(SUMPRODUCT((TEXT($N53:$N67,"yyyymm")=TEXT(AN$52,"yyyymm")) * ($R53:$R67 * $M53:$M67)))+(SUMPRODUCT((TEXT($D53:$D67,"yyyymm")=TEXT(AN$52,"yyyymm")) * ($H53:$H67 * $C53:$C67)))</f>
        <v>2346</v>
      </c>
      <c r="AO55" s="133" cm="1">
        <f t="array" ref="AO55">(SUMPRODUCT((TEXT($N53:$N67,"yyyymm")=TEXT(AO$52,"yyyymm")) * ($R53:$R67 * $M53:$M67)))+(SUMPRODUCT((TEXT($D53:$D67,"yyyymm")=TEXT(AO$52,"yyyymm")) * ($H53:$H67 * $C53:$C67)))</f>
        <v>0</v>
      </c>
      <c r="AP55" s="133" cm="1">
        <f t="array" ref="AP55">(SUMPRODUCT((TEXT($N53:$N67,"yyyymm")=TEXT(AP$52,"yyyymm")) * ($R53:$R67 * $M53:$M67)))+(SUMPRODUCT((TEXT($D53:$D67,"yyyymm")=TEXT(AP$52,"yyyymm")) * ($H53:$H67 * $C53:$C67)))</f>
        <v>0</v>
      </c>
      <c r="AQ55" s="133" cm="1">
        <f t="array" ref="AQ55">(SUMPRODUCT((TEXT($N53:$N67,"yyyymm")=TEXT(AQ$52,"yyyymm")) * ($R53:$R67 * $M53:$M67)))+(SUMPRODUCT((TEXT($D53:$D67,"yyyymm")=TEXT(AQ$52,"yyyymm")) * ($H53:$H67 * $C53:$C67)))</f>
        <v>0</v>
      </c>
      <c r="AR55" s="133" cm="1">
        <f t="array" ref="AR55">(SUMPRODUCT((TEXT($N53:$N67,"yyyymm")=TEXT(AR$52,"yyyymm")) * ($R53:$R67 * $M53:$M67)))+(SUMPRODUCT((TEXT($D53:$D67,"yyyymm")=TEXT(AR$52,"yyyymm")) * ($H53:$H67 * $C53:$C67)))</f>
        <v>0</v>
      </c>
      <c r="AS55" s="133" cm="1">
        <f t="array" ref="AS55">(SUMPRODUCT((TEXT($N53:$N67,"yyyymm")=TEXT(AS$52,"yyyymm")) * ($R53:$R67 * $M53:$M67)))+(SUMPRODUCT((TEXT($D53:$D67,"yyyymm")=TEXT(AS$52,"yyyymm")) * ($H53:$H67 * $C53:$C67)))</f>
        <v>0</v>
      </c>
      <c r="AT55" s="217">
        <f t="shared" ref="AT55:AT56" si="67">SUM(AH55:AS55)</f>
        <v>2346</v>
      </c>
      <c r="CZ55" s="151">
        <f t="shared" si="64"/>
        <v>0</v>
      </c>
      <c r="DA55" s="150">
        <f t="shared" si="64"/>
        <v>0</v>
      </c>
      <c r="DB55" s="150">
        <f t="shared" si="64"/>
        <v>0</v>
      </c>
      <c r="DC55" s="150">
        <f t="shared" si="64"/>
        <v>0</v>
      </c>
      <c r="DD55" s="150">
        <f t="shared" si="64"/>
        <v>0</v>
      </c>
      <c r="DE55" s="150">
        <f t="shared" si="64"/>
        <v>0</v>
      </c>
      <c r="DF55" s="150">
        <f t="shared" si="64"/>
        <v>0</v>
      </c>
      <c r="DG55" s="150">
        <f t="shared" si="64"/>
        <v>0</v>
      </c>
      <c r="DH55" s="150">
        <f t="shared" si="64"/>
        <v>0</v>
      </c>
      <c r="DI55" s="150">
        <f t="shared" si="64"/>
        <v>0</v>
      </c>
      <c r="DJ55" s="150">
        <f t="shared" si="65"/>
        <v>0</v>
      </c>
      <c r="DK55" s="152">
        <f t="shared" si="65"/>
        <v>0</v>
      </c>
      <c r="DL55" s="133">
        <f t="shared" si="65"/>
        <v>0</v>
      </c>
      <c r="DM55" s="133">
        <f t="shared" si="65"/>
        <v>0</v>
      </c>
      <c r="DN55" s="133">
        <f t="shared" si="65"/>
        <v>0</v>
      </c>
      <c r="DO55" s="133">
        <f t="shared" si="65"/>
        <v>0</v>
      </c>
      <c r="DP55" s="133">
        <f t="shared" si="65"/>
        <v>0</v>
      </c>
      <c r="DQ55" s="133">
        <f t="shared" si="65"/>
        <v>0</v>
      </c>
      <c r="DR55" s="133">
        <f t="shared" si="65"/>
        <v>0</v>
      </c>
      <c r="DS55" s="133">
        <f t="shared" si="65"/>
        <v>0</v>
      </c>
      <c r="DT55" s="133">
        <f t="shared" si="65"/>
        <v>0</v>
      </c>
      <c r="DU55" s="133">
        <f t="shared" si="65"/>
        <v>0</v>
      </c>
      <c r="DV55" s="133">
        <f t="shared" si="65"/>
        <v>0</v>
      </c>
      <c r="DW55" s="133">
        <f t="shared" si="65"/>
        <v>0</v>
      </c>
    </row>
    <row r="56" spans="1:127" x14ac:dyDescent="0.35">
      <c r="A56" s="136">
        <v>105</v>
      </c>
      <c r="B56" s="7" t="str">
        <f t="shared" si="61"/>
        <v>VACANT</v>
      </c>
      <c r="C56" s="155">
        <v>1157</v>
      </c>
      <c r="D56" s="173"/>
      <c r="E56" s="164"/>
      <c r="F56" s="136">
        <f t="shared" si="62"/>
        <v>0</v>
      </c>
      <c r="G56" s="165"/>
      <c r="H56" s="163"/>
      <c r="I56" s="174"/>
      <c r="J56" s="134"/>
      <c r="K56" s="136" t="s">
        <v>437</v>
      </c>
      <c r="L56" s="7" t="s">
        <v>446</v>
      </c>
      <c r="M56" s="155">
        <v>782</v>
      </c>
      <c r="N56" s="173">
        <v>46204</v>
      </c>
      <c r="O56" s="162">
        <v>46568</v>
      </c>
      <c r="P56" s="136">
        <f t="shared" si="66"/>
        <v>1</v>
      </c>
      <c r="Q56" s="163">
        <v>19.5</v>
      </c>
      <c r="R56" s="163">
        <v>3</v>
      </c>
      <c r="S56" s="174">
        <v>0</v>
      </c>
      <c r="U56" s="132" t="s">
        <v>334</v>
      </c>
      <c r="V56" s="151" cm="1">
        <f t="array" ref="V56">IFERROR((SUMPRODUCT((TEXT($N53:$N67,"yyyymm")=TEXT(V$52,"yyyymm")) * ($S53:$S67 * $M53:$M67*$Q53:$Q67*$P53:$P67)))+(SUMPRODUCT((TEXT($D53:$D67,"yyyymm")=TEXT(V$52,"yyyymm")) * ($I53:$I67 * $C53:$C67*$G53:$G67*$F53:$F67))),0)</f>
        <v>0</v>
      </c>
      <c r="W56" s="133" cm="1">
        <f t="array" ref="W56">IFERROR((SUMPRODUCT((TEXT($N53:$N67,"yyyymm")=TEXT(W$52,"yyyymm")) * ($S53:$S67 * $M53:$M67*$Q53:$Q67*$P53:$P67)))+(SUMPRODUCT((TEXT($D53:$D67,"yyyymm")=TEXT(W$52,"yyyymm")) * ($I53:$I67 * $C53:$C67*$G53:$G67*$F53:$F67))),0)</f>
        <v>0</v>
      </c>
      <c r="X56" s="133" cm="1">
        <f t="array" ref="X56">IFERROR((SUMPRODUCT((TEXT($N53:$N67,"yyyymm")=TEXT(X$52,"yyyymm")) * ($S53:$S67 * $M53:$M67*$Q53:$Q67*$P53:$P67)))+(SUMPRODUCT((TEXT($D53:$D67,"yyyymm")=TEXT(X$52,"yyyymm")) * ($I53:$I67 * $C53:$C67*$G53:$G67*$F53:$F67))),0)</f>
        <v>0</v>
      </c>
      <c r="Y56" s="133" cm="1">
        <f t="array" ref="Y56">IFERROR((SUMPRODUCT((TEXT($N53:$N67,"yyyymm")=TEXT(Y$52,"yyyymm")) * ($S53:$S67 * $M53:$M67*$Q53:$Q67*$P53:$P67)))+(SUMPRODUCT((TEXT($D53:$D67,"yyyymm")=TEXT(Y$52,"yyyymm")) * ($I53:$I67 * $C53:$C67*$G53:$G67*$F53:$F67))),0)</f>
        <v>0</v>
      </c>
      <c r="Z56" s="133" cm="1">
        <f t="array" ref="Z56">IFERROR((SUMPRODUCT((TEXT($N53:$N67,"yyyymm")=TEXT(Z$52,"yyyymm")) * ($S53:$S67 * $M53:$M67*$Q53:$Q67*$P53:$P67)))+(SUMPRODUCT((TEXT($D53:$D67,"yyyymm")=TEXT(Z$52,"yyyymm")) * ($I53:$I67 * $C53:$C67*$G53:$G67*$F53:$F67))),0)</f>
        <v>0</v>
      </c>
      <c r="AA56" s="133" cm="1">
        <f t="array" ref="AA56">IFERROR((SUMPRODUCT((TEXT($N53:$N67,"yyyymm")=TEXT(AA$52,"yyyymm")) * ($S53:$S67 * $M53:$M67*$Q53:$Q67*$P53:$P67)))+(SUMPRODUCT((TEXT($D53:$D67,"yyyymm")=TEXT(AA$52,"yyyymm")) * ($I53:$I67 * $C53:$C67*$G53:$G67*$F53:$F67))),0)</f>
        <v>0</v>
      </c>
      <c r="AB56" s="133" cm="1">
        <f t="array" ref="AB56">IFERROR((SUMPRODUCT((TEXT($N53:$N67,"yyyymm")=TEXT(AB$52,"yyyymm")) * ($S53:$S67 * $M53:$M67*$Q53:$Q67*$P53:$P67)))+(SUMPRODUCT((TEXT($D53:$D67,"yyyymm")=TEXT(AB$52,"yyyymm")) * ($I53:$I67 * $C53:$C67*$G53:$G67*$F53:$F67))),0)</f>
        <v>0</v>
      </c>
      <c r="AC56" s="133" cm="1">
        <f t="array" ref="AC56">IFERROR((SUMPRODUCT((TEXT($N53:$N67,"yyyymm")=TEXT(AC$52,"yyyymm")) * ($S53:$S67 * $M53:$M67*$Q53:$Q67*$P53:$P67)))+(SUMPRODUCT((TEXT($D53:$D67,"yyyymm")=TEXT(AC$52,"yyyymm")) * ($I53:$I67 * $C53:$C67*$G53:$G67*$F53:$F67))),0)</f>
        <v>0</v>
      </c>
      <c r="AD56" s="133" cm="1">
        <f t="array" ref="AD56">IFERROR((SUMPRODUCT((TEXT($N53:$N67,"yyyymm")=TEXT(AD$52,"yyyymm")) * ($S53:$S67 * $M53:$M67*$Q53:$Q67*$P53:$P67)))+(SUMPRODUCT((TEXT($D53:$D67,"yyyymm")=TEXT(AD$52,"yyyymm")) * ($I53:$I67 * $C53:$C67*$G53:$G67*$F53:$F67))),0)</f>
        <v>0</v>
      </c>
      <c r="AE56" s="133" cm="1">
        <f t="array" ref="AE56">IFERROR((SUMPRODUCT((TEXT($N53:$N67,"yyyymm")=TEXT(AE$52,"yyyymm")) * ($S53:$S67 * $M53:$M67*$Q53:$Q67*$P53:$P67)))+(SUMPRODUCT((TEXT($D53:$D67,"yyyymm")=TEXT(AE$52,"yyyymm")) * ($I53:$I67 * $C53:$C67*$G53:$G67*$F53:$F67))),0)</f>
        <v>0</v>
      </c>
      <c r="AF56" s="133" cm="1">
        <f t="array" ref="AF56">IFERROR((SUMPRODUCT((TEXT($N53:$N67,"yyyymm")=TEXT(AF$52,"yyyymm")) * ($S53:$S67 * $M53:$M67*$Q53:$Q67*$P53:$P67)))+(SUMPRODUCT((TEXT($D53:$D67,"yyyymm")=TEXT(AF$52,"yyyymm")) * ($I53:$I67 * $C53:$C67*$G53:$G67*$F53:$F67))),0)</f>
        <v>0</v>
      </c>
      <c r="AG56" s="133" cm="1">
        <f t="array" ref="AG56">IFERROR((SUMPRODUCT((TEXT($N53:$N67,"yyyymm")=TEXT(AG$52,"yyyymm")) * ($S53:$S67 * $M53:$M67*$Q53:$Q67*$P53:$P67)))+(SUMPRODUCT((TEXT($D53:$D67,"yyyymm")=TEXT(AG$52,"yyyymm")) * ($I53:$I67 * $C53:$C67*$G53:$G67*$F53:$F67))),0)</f>
        <v>0</v>
      </c>
      <c r="AH56" s="151" cm="1">
        <f t="array" ref="AH56">IFERROR((SUMPRODUCT((TEXT($N53:$N67,"yyyymm")=TEXT(AH$52,"yyyymm")) * ($S53:$S67 * $M53:$M67*$Q53:$Q67*$P53:$P67)))+(SUMPRODUCT((TEXT($D53:$D67,"yyyymm")=TEXT(AH$52,"yyyymm")) * ($I53:$I67 * $C53:$C67*$G53:$G67*$F53:$F67))),0)</f>
        <v>0</v>
      </c>
      <c r="AI56" s="133" cm="1">
        <f t="array" ref="AI56">IFERROR((SUMPRODUCT((TEXT($N53:$N67,"yyyymm")=TEXT(AI$52,"yyyymm")) * ($S53:$S67 * $M53:$M67*$Q53:$Q67*$P53:$P67)))+(SUMPRODUCT((TEXT($D53:$D67,"yyyymm")=TEXT(AI$52,"yyyymm")) * ($I53:$I67 * $C53:$C67*$G53:$G67*$F53:$F67))),0)</f>
        <v>0</v>
      </c>
      <c r="AJ56" s="133" cm="1">
        <f t="array" ref="AJ56">IFERROR((SUMPRODUCT((TEXT($N53:$N67,"yyyymm")=TEXT(AJ$52,"yyyymm")) * ($S53:$S67 * $M53:$M67*$Q53:$Q67*$P53:$P67)))+(SUMPRODUCT((TEXT($D53:$D67,"yyyymm")=TEXT(AJ$52,"yyyymm")) * ($I53:$I67 * $C53:$C67*$G53:$G67*$F53:$F67))),0)</f>
        <v>0</v>
      </c>
      <c r="AK56" s="133" cm="1">
        <f t="array" ref="AK56">IFERROR((SUMPRODUCT((TEXT($N53:$N67,"yyyymm")=TEXT(AK$52,"yyyymm")) * ($S53:$S67 * $M53:$M67*$Q53:$Q67*$P53:$P67)))+(SUMPRODUCT((TEXT($D53:$D67,"yyyymm")=TEXT(AK$52,"yyyymm")) * ($I53:$I67 * $C53:$C67*$G53:$G67*$F53:$F67))),0)</f>
        <v>0</v>
      </c>
      <c r="AL56" s="133" cm="1">
        <f t="array" ref="AL56">IFERROR((SUMPRODUCT((TEXT($N53:$N67,"yyyymm")=TEXT(AL$52,"yyyymm")) * ($S53:$S67 * $M53:$M67*$Q53:$Q67*$P53:$P67)))+(SUMPRODUCT((TEXT($D53:$D67,"yyyymm")=TEXT(AL$52,"yyyymm")) * ($I53:$I67 * $C53:$C67*$G53:$G67*$F53:$F67))),0)</f>
        <v>0</v>
      </c>
      <c r="AM56" s="133" cm="1">
        <f t="array" ref="AM56">IFERROR((SUMPRODUCT((TEXT($N53:$N67,"yyyymm")=TEXT(AM$52,"yyyymm")) * ($S53:$S67 * $M53:$M67*$Q53:$Q67*$P53:$P67)))+(SUMPRODUCT((TEXT($D53:$D67,"yyyymm")=TEXT(AM$52,"yyyymm")) * ($I53:$I67 * $C53:$C67*$G53:$G67*$F53:$F67))),0)</f>
        <v>0</v>
      </c>
      <c r="AN56" s="133" cm="1">
        <f t="array" ref="AN56">IFERROR((SUMPRODUCT((TEXT($N53:$N67,"yyyymm")=TEXT(AN$52,"yyyymm")) * ($S53:$S67 * $M53:$M67*$Q53:$Q67*$P53:$P67)))+(SUMPRODUCT((TEXT($D53:$D67,"yyyymm")=TEXT(AN$52,"yyyymm")) * ($I53:$I67 * $C53:$C67*$G53:$G67*$F53:$F67))),0)</f>
        <v>0</v>
      </c>
      <c r="AO56" s="133" cm="1">
        <f t="array" ref="AO56">IFERROR((SUMPRODUCT((TEXT($N53:$N67,"yyyymm")=TEXT(AO$52,"yyyymm")) * ($S53:$S67 * $M53:$M67*$Q53:$Q67*$P53:$P67)))+(SUMPRODUCT((TEXT($D53:$D67,"yyyymm")=TEXT(AO$52,"yyyymm")) * ($I53:$I67 * $C53:$C67*$G53:$G67*$F53:$F67))),0)</f>
        <v>0</v>
      </c>
      <c r="AP56" s="133" cm="1">
        <f t="array" ref="AP56">IFERROR((SUMPRODUCT((TEXT($N53:$N67,"yyyymm")=TEXT(AP$52,"yyyymm")) * ($S53:$S67 * $M53:$M67*$Q53:$Q67*$P53:$P67)))+(SUMPRODUCT((TEXT($D53:$D67,"yyyymm")=TEXT(AP$52,"yyyymm")) * ($I53:$I67 * $C53:$C67*$G53:$G67*$F53:$F67))),0)</f>
        <v>0</v>
      </c>
      <c r="AQ56" s="133" cm="1">
        <f t="array" ref="AQ56">IFERROR((SUMPRODUCT((TEXT($N53:$N67,"yyyymm")=TEXT(AQ$52,"yyyymm")) * ($S53:$S67 * $M53:$M67*$Q53:$Q67*$P53:$P67)))+(SUMPRODUCT((TEXT($D53:$D67,"yyyymm")=TEXT(AQ$52,"yyyymm")) * ($I53:$I67 * $C53:$C67*$G53:$G67*$F53:$F67))),0)</f>
        <v>0</v>
      </c>
      <c r="AR56" s="133" cm="1">
        <f t="array" ref="AR56">IFERROR((SUMPRODUCT((TEXT($N53:$N67,"yyyymm")=TEXT(AR$52,"yyyymm")) * ($S53:$S67 * $M53:$M67*$Q53:$Q67*$P53:$P67)))+(SUMPRODUCT((TEXT($D53:$D67,"yyyymm")=TEXT(AR$52,"yyyymm")) * ($I53:$I67 * $C53:$C67*$G53:$G67*$F53:$F67))),0)</f>
        <v>0</v>
      </c>
      <c r="AS56" s="133" cm="1">
        <f t="array" ref="AS56">IFERROR((SUMPRODUCT((TEXT($N53:$N67,"yyyymm")=TEXT(AS$52,"yyyymm")) * ($S53:$S67 * $M53:$M67*$Q53:$Q67*$P53:$P67)))+(SUMPRODUCT((TEXT($D53:$D67,"yyyymm")=TEXT(AS$52,"yyyymm")) * ($I53:$I67 * $C53:$C67*$G53:$G67*$F53:$F67))),0)</f>
        <v>0</v>
      </c>
      <c r="AT56" s="217">
        <f t="shared" si="67"/>
        <v>0</v>
      </c>
      <c r="CZ56" s="151">
        <f t="shared" si="64"/>
        <v>0</v>
      </c>
      <c r="DA56" s="150">
        <f t="shared" si="64"/>
        <v>0</v>
      </c>
      <c r="DB56" s="150">
        <f t="shared" si="64"/>
        <v>0</v>
      </c>
      <c r="DC56" s="150">
        <f t="shared" si="64"/>
        <v>0</v>
      </c>
      <c r="DD56" s="150">
        <f t="shared" si="64"/>
        <v>0</v>
      </c>
      <c r="DE56" s="150">
        <f t="shared" si="64"/>
        <v>0</v>
      </c>
      <c r="DF56" s="150">
        <f t="shared" si="64"/>
        <v>0</v>
      </c>
      <c r="DG56" s="150">
        <f t="shared" si="64"/>
        <v>0</v>
      </c>
      <c r="DH56" s="150">
        <f t="shared" si="64"/>
        <v>0</v>
      </c>
      <c r="DI56" s="150">
        <f t="shared" si="64"/>
        <v>0</v>
      </c>
      <c r="DJ56" s="150">
        <f t="shared" si="65"/>
        <v>0</v>
      </c>
      <c r="DK56" s="152">
        <f t="shared" si="65"/>
        <v>0</v>
      </c>
      <c r="DL56" s="133">
        <f t="shared" si="65"/>
        <v>0</v>
      </c>
      <c r="DM56" s="133">
        <f t="shared" si="65"/>
        <v>0</v>
      </c>
      <c r="DN56" s="133">
        <f t="shared" si="65"/>
        <v>0</v>
      </c>
      <c r="DO56" s="133">
        <f t="shared" si="65"/>
        <v>0</v>
      </c>
      <c r="DP56" s="133">
        <f t="shared" si="65"/>
        <v>0</v>
      </c>
      <c r="DQ56" s="133">
        <f t="shared" si="65"/>
        <v>0</v>
      </c>
      <c r="DR56" s="133">
        <f t="shared" si="65"/>
        <v>0</v>
      </c>
      <c r="DS56" s="133">
        <f t="shared" si="65"/>
        <v>0</v>
      </c>
      <c r="DT56" s="133">
        <f t="shared" si="65"/>
        <v>0</v>
      </c>
      <c r="DU56" s="133">
        <f t="shared" si="65"/>
        <v>0</v>
      </c>
      <c r="DV56" s="133">
        <f t="shared" si="65"/>
        <v>0</v>
      </c>
      <c r="DW56" s="133">
        <f t="shared" si="65"/>
        <v>0</v>
      </c>
    </row>
    <row r="57" spans="1:127" ht="17.5" x14ac:dyDescent="0.35">
      <c r="B57" s="7" t="str">
        <f t="shared" si="61"/>
        <v/>
      </c>
      <c r="C57" s="155"/>
      <c r="D57" s="173"/>
      <c r="E57" s="162"/>
      <c r="F57" s="136">
        <f t="shared" si="62"/>
        <v>0</v>
      </c>
      <c r="G57" s="163"/>
      <c r="H57" s="163"/>
      <c r="I57" s="174"/>
      <c r="J57" s="134"/>
      <c r="K57" s="136">
        <v>206</v>
      </c>
      <c r="L57" s="132" t="s">
        <v>438</v>
      </c>
      <c r="M57" s="132">
        <v>1035</v>
      </c>
      <c r="N57" s="173">
        <v>45962</v>
      </c>
      <c r="O57" s="162">
        <v>46691</v>
      </c>
      <c r="P57" s="136">
        <f t="shared" si="66"/>
        <v>2</v>
      </c>
      <c r="Q57" s="163">
        <v>19</v>
      </c>
      <c r="R57" s="163">
        <v>0</v>
      </c>
      <c r="S57" s="174">
        <v>0</v>
      </c>
      <c r="U57" s="193" t="s">
        <v>300</v>
      </c>
      <c r="V57" s="103">
        <f t="shared" ref="V57:AS57" si="68">SUM(V54:V56)</f>
        <v>-1.4134166666666665</v>
      </c>
      <c r="W57" s="103">
        <f t="shared" si="68"/>
        <v>-1.4134166666666665</v>
      </c>
      <c r="X57" s="103">
        <f t="shared" si="68"/>
        <v>-1.4134166666666665</v>
      </c>
      <c r="Y57" s="103">
        <f t="shared" si="68"/>
        <v>-1.4134166666666665</v>
      </c>
      <c r="Z57" s="103">
        <f t="shared" si="68"/>
        <v>-1.4134166666666665</v>
      </c>
      <c r="AA57" s="103">
        <f t="shared" si="68"/>
        <v>-1.4134166666666665</v>
      </c>
      <c r="AB57" s="103">
        <f t="shared" si="68"/>
        <v>-1.4134166666666665</v>
      </c>
      <c r="AC57" s="103">
        <f t="shared" si="68"/>
        <v>-1.4134166666666665</v>
      </c>
      <c r="AD57" s="103">
        <f t="shared" si="68"/>
        <v>-1.4134166666666665</v>
      </c>
      <c r="AE57" s="103">
        <f t="shared" si="68"/>
        <v>2318.7949166666663</v>
      </c>
      <c r="AF57" s="103">
        <f t="shared" si="68"/>
        <v>3957.5449166666663</v>
      </c>
      <c r="AG57" s="103">
        <f t="shared" si="68"/>
        <v>3957.5449166666663</v>
      </c>
      <c r="AH57" s="103">
        <f t="shared" si="68"/>
        <v>3957.5449166666663</v>
      </c>
      <c r="AI57" s="103">
        <f t="shared" si="68"/>
        <v>3957.5449166666663</v>
      </c>
      <c r="AJ57" s="103">
        <f t="shared" si="68"/>
        <v>6674.2115833333337</v>
      </c>
      <c r="AK57" s="103">
        <f t="shared" si="68"/>
        <v>6674.8282499999996</v>
      </c>
      <c r="AL57" s="103">
        <f t="shared" si="68"/>
        <v>6674.8282499999996</v>
      </c>
      <c r="AM57" s="103">
        <f t="shared" si="68"/>
        <v>6674.8282499999996</v>
      </c>
      <c r="AN57" s="103">
        <f t="shared" si="68"/>
        <v>11517.20325</v>
      </c>
      <c r="AO57" s="103">
        <f t="shared" si="68"/>
        <v>9171.2032500000005</v>
      </c>
      <c r="AP57" s="103">
        <f t="shared" si="68"/>
        <v>9171.2032500000005</v>
      </c>
      <c r="AQ57" s="103">
        <f t="shared" si="68"/>
        <v>6851.791666666667</v>
      </c>
      <c r="AR57" s="103">
        <f t="shared" si="68"/>
        <v>8273.2083333333339</v>
      </c>
      <c r="AS57" s="194">
        <f t="shared" si="68"/>
        <v>8273.2083333333339</v>
      </c>
      <c r="AT57" s="103">
        <f t="shared" ref="AT57" si="69">SUM(AT54:AT56)</f>
        <v>87871.604249999989</v>
      </c>
      <c r="CZ57" s="151">
        <f t="shared" si="64"/>
        <v>0</v>
      </c>
      <c r="DA57" s="150">
        <f t="shared" si="64"/>
        <v>0</v>
      </c>
      <c r="DB57" s="150">
        <f t="shared" si="64"/>
        <v>0</v>
      </c>
      <c r="DC57" s="150">
        <f t="shared" si="64"/>
        <v>0</v>
      </c>
      <c r="DD57" s="150">
        <f t="shared" si="64"/>
        <v>0</v>
      </c>
      <c r="DE57" s="150">
        <f t="shared" si="64"/>
        <v>0</v>
      </c>
      <c r="DF57" s="150">
        <f t="shared" si="64"/>
        <v>0</v>
      </c>
      <c r="DG57" s="150">
        <f t="shared" si="64"/>
        <v>0</v>
      </c>
      <c r="DH57" s="150">
        <f t="shared" si="64"/>
        <v>0</v>
      </c>
      <c r="DI57" s="150">
        <f t="shared" si="64"/>
        <v>0</v>
      </c>
      <c r="DJ57" s="150">
        <f t="shared" si="65"/>
        <v>0</v>
      </c>
      <c r="DK57" s="152">
        <f t="shared" si="65"/>
        <v>0</v>
      </c>
      <c r="DL57" s="133">
        <f t="shared" si="65"/>
        <v>0</v>
      </c>
      <c r="DM57" s="133">
        <f t="shared" si="65"/>
        <v>0</v>
      </c>
      <c r="DN57" s="133">
        <f t="shared" si="65"/>
        <v>0</v>
      </c>
      <c r="DO57" s="133">
        <f t="shared" si="65"/>
        <v>0</v>
      </c>
      <c r="DP57" s="133">
        <f t="shared" si="65"/>
        <v>0</v>
      </c>
      <c r="DQ57" s="133">
        <f t="shared" si="65"/>
        <v>0</v>
      </c>
      <c r="DR57" s="133">
        <f t="shared" si="65"/>
        <v>0</v>
      </c>
      <c r="DS57" s="133">
        <f t="shared" si="65"/>
        <v>0</v>
      </c>
      <c r="DT57" s="133">
        <f t="shared" si="65"/>
        <v>0</v>
      </c>
      <c r="DU57" s="133">
        <f t="shared" si="65"/>
        <v>0</v>
      </c>
      <c r="DV57" s="133">
        <f t="shared" si="65"/>
        <v>0</v>
      </c>
      <c r="DW57" s="133">
        <f t="shared" si="65"/>
        <v>0</v>
      </c>
    </row>
    <row r="58" spans="1:127" x14ac:dyDescent="0.35">
      <c r="B58" s="7" t="str">
        <f t="shared" si="61"/>
        <v/>
      </c>
      <c r="D58" s="173"/>
      <c r="E58" s="162"/>
      <c r="F58" s="136">
        <f t="shared" si="62"/>
        <v>0</v>
      </c>
      <c r="G58" s="163"/>
      <c r="H58" s="163"/>
      <c r="I58" s="174"/>
      <c r="K58" s="136">
        <v>207</v>
      </c>
      <c r="L58" s="7" t="s">
        <v>439</v>
      </c>
      <c r="M58" s="155">
        <v>795</v>
      </c>
      <c r="N58" s="173">
        <v>46204</v>
      </c>
      <c r="O58" s="162">
        <v>46568</v>
      </c>
      <c r="P58" s="136">
        <f t="shared" si="66"/>
        <v>1</v>
      </c>
      <c r="Q58" s="163">
        <v>18.5</v>
      </c>
      <c r="R58" s="165">
        <v>0</v>
      </c>
      <c r="S58" s="174">
        <v>0</v>
      </c>
      <c r="CZ58" s="151">
        <f t="shared" si="64"/>
        <v>0</v>
      </c>
      <c r="DA58" s="150">
        <f t="shared" si="64"/>
        <v>0</v>
      </c>
      <c r="DB58" s="150">
        <f t="shared" si="64"/>
        <v>0</v>
      </c>
      <c r="DC58" s="150">
        <f t="shared" si="64"/>
        <v>0</v>
      </c>
      <c r="DD58" s="150">
        <f t="shared" si="64"/>
        <v>0</v>
      </c>
      <c r="DE58" s="150">
        <f t="shared" si="64"/>
        <v>0</v>
      </c>
      <c r="DF58" s="150">
        <f t="shared" si="64"/>
        <v>0</v>
      </c>
      <c r="DG58" s="150">
        <f t="shared" si="64"/>
        <v>0</v>
      </c>
      <c r="DH58" s="150">
        <f t="shared" si="64"/>
        <v>0</v>
      </c>
      <c r="DI58" s="150">
        <f t="shared" si="64"/>
        <v>0</v>
      </c>
      <c r="DJ58" s="150">
        <f t="shared" si="65"/>
        <v>0</v>
      </c>
      <c r="DK58" s="152">
        <f t="shared" si="65"/>
        <v>0</v>
      </c>
      <c r="DL58" s="133">
        <f t="shared" si="65"/>
        <v>0</v>
      </c>
      <c r="DM58" s="133">
        <f t="shared" si="65"/>
        <v>0</v>
      </c>
      <c r="DN58" s="133">
        <f t="shared" si="65"/>
        <v>0</v>
      </c>
      <c r="DO58" s="133">
        <f t="shared" si="65"/>
        <v>0</v>
      </c>
      <c r="DP58" s="133">
        <f t="shared" si="65"/>
        <v>0</v>
      </c>
      <c r="DQ58" s="133">
        <f t="shared" si="65"/>
        <v>0</v>
      </c>
      <c r="DR58" s="133">
        <f t="shared" si="65"/>
        <v>0</v>
      </c>
      <c r="DS58" s="133">
        <f t="shared" si="65"/>
        <v>0</v>
      </c>
      <c r="DT58" s="133">
        <f t="shared" si="65"/>
        <v>0</v>
      </c>
      <c r="DU58" s="133">
        <f t="shared" si="65"/>
        <v>0</v>
      </c>
      <c r="DV58" s="133">
        <f t="shared" si="65"/>
        <v>0</v>
      </c>
      <c r="DW58" s="133">
        <f t="shared" si="65"/>
        <v>0</v>
      </c>
    </row>
    <row r="59" spans="1:127" x14ac:dyDescent="0.35">
      <c r="B59" s="7" t="str">
        <f t="shared" si="61"/>
        <v/>
      </c>
      <c r="C59" s="155"/>
      <c r="D59" s="173"/>
      <c r="E59" s="162"/>
      <c r="F59" s="136">
        <f t="shared" si="62"/>
        <v>0</v>
      </c>
      <c r="G59" s="163"/>
      <c r="H59" s="165"/>
      <c r="I59" s="174"/>
      <c r="J59" s="134"/>
      <c r="K59" s="136">
        <v>300</v>
      </c>
      <c r="L59" s="7" t="s">
        <v>440</v>
      </c>
      <c r="M59" s="155">
        <v>9561</v>
      </c>
      <c r="N59" s="173">
        <v>43160</v>
      </c>
      <c r="O59" s="162">
        <v>46295</v>
      </c>
      <c r="P59" s="136">
        <f>IFERROR(ROUNDUP(((DATEDIF(N59,O59,"d"))/365),1),0)</f>
        <v>8.6</v>
      </c>
      <c r="Q59" s="163">
        <v>-1E-3</v>
      </c>
      <c r="R59" s="165">
        <v>0</v>
      </c>
      <c r="S59" s="174">
        <v>0</v>
      </c>
      <c r="U59" s="188" t="s">
        <v>336</v>
      </c>
      <c r="AI59" s="133"/>
      <c r="CZ59" s="151">
        <f t="shared" si="64"/>
        <v>0</v>
      </c>
      <c r="DA59" s="150">
        <f t="shared" si="64"/>
        <v>0</v>
      </c>
      <c r="DB59" s="150">
        <f t="shared" si="64"/>
        <v>0</v>
      </c>
      <c r="DC59" s="150">
        <f t="shared" si="64"/>
        <v>0</v>
      </c>
      <c r="DD59" s="150">
        <f t="shared" si="64"/>
        <v>0</v>
      </c>
      <c r="DE59" s="150">
        <f t="shared" si="64"/>
        <v>0</v>
      </c>
      <c r="DF59" s="150">
        <f t="shared" si="64"/>
        <v>0</v>
      </c>
      <c r="DG59" s="150">
        <f t="shared" si="64"/>
        <v>0</v>
      </c>
      <c r="DH59" s="150">
        <f t="shared" si="64"/>
        <v>0</v>
      </c>
      <c r="DI59" s="150">
        <f t="shared" si="64"/>
        <v>0</v>
      </c>
      <c r="DJ59" s="150">
        <f t="shared" si="65"/>
        <v>0</v>
      </c>
      <c r="DK59" s="152">
        <f t="shared" si="65"/>
        <v>0</v>
      </c>
      <c r="DL59" s="133">
        <f t="shared" si="65"/>
        <v>0</v>
      </c>
      <c r="DM59" s="133">
        <f t="shared" si="65"/>
        <v>0</v>
      </c>
      <c r="DN59" s="133">
        <f t="shared" si="65"/>
        <v>0</v>
      </c>
      <c r="DO59" s="133">
        <f t="shared" si="65"/>
        <v>0</v>
      </c>
      <c r="DP59" s="133">
        <f t="shared" si="65"/>
        <v>0</v>
      </c>
      <c r="DQ59" s="133">
        <f t="shared" si="65"/>
        <v>0</v>
      </c>
      <c r="DR59" s="133">
        <f t="shared" si="65"/>
        <v>0</v>
      </c>
      <c r="DS59" s="133">
        <f t="shared" si="65"/>
        <v>0</v>
      </c>
      <c r="DT59" s="133">
        <f t="shared" si="65"/>
        <v>0</v>
      </c>
      <c r="DU59" s="133">
        <f t="shared" si="65"/>
        <v>0</v>
      </c>
      <c r="DV59" s="133">
        <f t="shared" si="65"/>
        <v>0</v>
      </c>
      <c r="DW59" s="133">
        <f t="shared" si="65"/>
        <v>0</v>
      </c>
    </row>
    <row r="60" spans="1:127" x14ac:dyDescent="0.35">
      <c r="B60" s="7" t="str">
        <f>IF(A60&lt;&gt;"","VACANT","")</f>
        <v/>
      </c>
      <c r="C60" s="155"/>
      <c r="D60" s="173"/>
      <c r="E60" s="162"/>
      <c r="F60" s="136">
        <f t="shared" si="62"/>
        <v>0</v>
      </c>
      <c r="G60" s="163"/>
      <c r="H60" s="165"/>
      <c r="I60" s="174"/>
      <c r="J60" s="134"/>
      <c r="K60" s="136">
        <v>301</v>
      </c>
      <c r="L60" s="7" t="s">
        <v>441</v>
      </c>
      <c r="M60" s="155">
        <v>7400</v>
      </c>
      <c r="N60" s="173">
        <v>43466</v>
      </c>
      <c r="O60" s="162">
        <v>46112</v>
      </c>
      <c r="P60" s="136">
        <f t="shared" si="66"/>
        <v>7.3</v>
      </c>
      <c r="Q60" s="163">
        <v>-1E-3</v>
      </c>
      <c r="R60" s="165">
        <v>0</v>
      </c>
      <c r="S60" s="174">
        <v>0</v>
      </c>
      <c r="U60" s="188" t="s">
        <v>337</v>
      </c>
      <c r="AI60" s="133"/>
      <c r="CZ60" s="151">
        <f t="shared" si="64"/>
        <v>0</v>
      </c>
      <c r="DA60" s="150">
        <f t="shared" si="64"/>
        <v>0</v>
      </c>
      <c r="DB60" s="150">
        <f t="shared" si="64"/>
        <v>0</v>
      </c>
      <c r="DC60" s="150">
        <f t="shared" si="64"/>
        <v>0</v>
      </c>
      <c r="DD60" s="150">
        <f t="shared" si="64"/>
        <v>0</v>
      </c>
      <c r="DE60" s="150">
        <f t="shared" si="64"/>
        <v>0</v>
      </c>
      <c r="DF60" s="150">
        <f t="shared" si="64"/>
        <v>0</v>
      </c>
      <c r="DG60" s="150">
        <f t="shared" si="64"/>
        <v>0</v>
      </c>
      <c r="DH60" s="150">
        <f t="shared" si="64"/>
        <v>0</v>
      </c>
      <c r="DI60" s="150">
        <f t="shared" si="64"/>
        <v>0</v>
      </c>
      <c r="DJ60" s="150">
        <f t="shared" si="65"/>
        <v>0</v>
      </c>
      <c r="DK60" s="152">
        <f t="shared" si="65"/>
        <v>0</v>
      </c>
      <c r="DL60" s="133">
        <f t="shared" si="65"/>
        <v>0</v>
      </c>
      <c r="DM60" s="133">
        <f t="shared" si="65"/>
        <v>0</v>
      </c>
      <c r="DN60" s="133">
        <f t="shared" si="65"/>
        <v>0</v>
      </c>
      <c r="DO60" s="133">
        <f t="shared" si="65"/>
        <v>0</v>
      </c>
      <c r="DP60" s="133">
        <f t="shared" si="65"/>
        <v>0</v>
      </c>
      <c r="DQ60" s="133">
        <f t="shared" si="65"/>
        <v>0</v>
      </c>
      <c r="DR60" s="133">
        <f t="shared" si="65"/>
        <v>0</v>
      </c>
      <c r="DS60" s="133">
        <f t="shared" si="65"/>
        <v>0</v>
      </c>
      <c r="DT60" s="133">
        <f t="shared" si="65"/>
        <v>0</v>
      </c>
      <c r="DU60" s="133">
        <f t="shared" si="65"/>
        <v>0</v>
      </c>
      <c r="DV60" s="133">
        <f t="shared" si="65"/>
        <v>0</v>
      </c>
      <c r="DW60" s="133">
        <f t="shared" si="65"/>
        <v>0</v>
      </c>
    </row>
    <row r="61" spans="1:127" hidden="1" x14ac:dyDescent="0.35">
      <c r="B61" s="7" t="str">
        <f t="shared" si="61"/>
        <v/>
      </c>
      <c r="C61" s="155"/>
      <c r="D61" s="173"/>
      <c r="E61" s="162"/>
      <c r="F61" s="136">
        <f t="shared" si="62"/>
        <v>0</v>
      </c>
      <c r="G61" s="163"/>
      <c r="H61" s="165"/>
      <c r="I61" s="174"/>
      <c r="J61" s="134"/>
      <c r="K61" s="136"/>
      <c r="L61" s="7"/>
      <c r="M61" s="155"/>
      <c r="N61" s="173"/>
      <c r="O61" s="162"/>
      <c r="P61" s="136">
        <f t="shared" si="66"/>
        <v>0</v>
      </c>
      <c r="Q61" s="163"/>
      <c r="R61" s="165"/>
      <c r="S61" s="174"/>
      <c r="AI61" s="133"/>
      <c r="CZ61" s="151">
        <f t="shared" si="64"/>
        <v>0</v>
      </c>
      <c r="DA61" s="150">
        <f t="shared" si="64"/>
        <v>0</v>
      </c>
      <c r="DB61" s="150">
        <f t="shared" si="64"/>
        <v>0</v>
      </c>
      <c r="DC61" s="150">
        <f t="shared" si="64"/>
        <v>0</v>
      </c>
      <c r="DD61" s="150">
        <f t="shared" si="64"/>
        <v>0</v>
      </c>
      <c r="DE61" s="150">
        <f t="shared" si="64"/>
        <v>0</v>
      </c>
      <c r="DF61" s="150">
        <f t="shared" si="64"/>
        <v>0</v>
      </c>
      <c r="DG61" s="150">
        <f t="shared" si="64"/>
        <v>0</v>
      </c>
      <c r="DH61" s="150">
        <f t="shared" si="64"/>
        <v>0</v>
      </c>
      <c r="DI61" s="150">
        <f t="shared" si="64"/>
        <v>0</v>
      </c>
      <c r="DJ61" s="150">
        <f t="shared" si="65"/>
        <v>0</v>
      </c>
      <c r="DK61" s="152">
        <f t="shared" si="65"/>
        <v>0</v>
      </c>
      <c r="DL61" s="133">
        <f t="shared" si="65"/>
        <v>0</v>
      </c>
      <c r="DM61" s="133">
        <f t="shared" si="65"/>
        <v>0</v>
      </c>
      <c r="DN61" s="133">
        <f t="shared" si="65"/>
        <v>0</v>
      </c>
      <c r="DO61" s="133">
        <f t="shared" si="65"/>
        <v>0</v>
      </c>
      <c r="DP61" s="133">
        <f t="shared" si="65"/>
        <v>0</v>
      </c>
      <c r="DQ61" s="133">
        <f t="shared" si="65"/>
        <v>0</v>
      </c>
      <c r="DR61" s="133">
        <f t="shared" si="65"/>
        <v>0</v>
      </c>
      <c r="DS61" s="133">
        <f t="shared" si="65"/>
        <v>0</v>
      </c>
      <c r="DT61" s="133">
        <f t="shared" si="65"/>
        <v>0</v>
      </c>
      <c r="DU61" s="133">
        <f t="shared" si="65"/>
        <v>0</v>
      </c>
      <c r="DV61" s="133">
        <f t="shared" si="65"/>
        <v>0</v>
      </c>
      <c r="DW61" s="133">
        <f t="shared" si="65"/>
        <v>0</v>
      </c>
    </row>
    <row r="62" spans="1:127" hidden="1" x14ac:dyDescent="0.35">
      <c r="B62" s="7" t="str">
        <f t="shared" si="61"/>
        <v/>
      </c>
      <c r="C62" s="155"/>
      <c r="D62" s="173"/>
      <c r="E62" s="162"/>
      <c r="F62" s="136">
        <f t="shared" si="62"/>
        <v>0</v>
      </c>
      <c r="G62" s="163"/>
      <c r="H62" s="165"/>
      <c r="I62" s="174"/>
      <c r="J62" s="134"/>
      <c r="K62" s="136"/>
      <c r="L62" s="7"/>
      <c r="M62" s="155"/>
      <c r="N62" s="173"/>
      <c r="O62" s="162"/>
      <c r="P62" s="136">
        <f t="shared" si="66"/>
        <v>0</v>
      </c>
      <c r="Q62" s="163"/>
      <c r="R62" s="165"/>
      <c r="S62" s="174"/>
      <c r="CZ62" s="151">
        <f t="shared" si="64"/>
        <v>0</v>
      </c>
      <c r="DA62" s="150">
        <f t="shared" si="64"/>
        <v>0</v>
      </c>
      <c r="DB62" s="150">
        <f t="shared" si="64"/>
        <v>0</v>
      </c>
      <c r="DC62" s="150">
        <f t="shared" si="64"/>
        <v>0</v>
      </c>
      <c r="DD62" s="150">
        <f t="shared" si="64"/>
        <v>0</v>
      </c>
      <c r="DE62" s="150">
        <f t="shared" si="64"/>
        <v>0</v>
      </c>
      <c r="DF62" s="150">
        <f t="shared" si="64"/>
        <v>0</v>
      </c>
      <c r="DG62" s="150">
        <f t="shared" si="64"/>
        <v>0</v>
      </c>
      <c r="DH62" s="150">
        <f t="shared" si="64"/>
        <v>0</v>
      </c>
      <c r="DI62" s="150">
        <f t="shared" si="64"/>
        <v>0</v>
      </c>
      <c r="DJ62" s="150">
        <f t="shared" si="65"/>
        <v>0</v>
      </c>
      <c r="DK62" s="152">
        <f t="shared" si="65"/>
        <v>0</v>
      </c>
      <c r="DL62" s="133">
        <f t="shared" si="65"/>
        <v>0</v>
      </c>
      <c r="DM62" s="133">
        <f t="shared" si="65"/>
        <v>0</v>
      </c>
      <c r="DN62" s="133">
        <f t="shared" si="65"/>
        <v>0</v>
      </c>
      <c r="DO62" s="133">
        <f t="shared" si="65"/>
        <v>0</v>
      </c>
      <c r="DP62" s="133">
        <f t="shared" si="65"/>
        <v>0</v>
      </c>
      <c r="DQ62" s="133">
        <f t="shared" si="65"/>
        <v>0</v>
      </c>
      <c r="DR62" s="133">
        <f t="shared" si="65"/>
        <v>0</v>
      </c>
      <c r="DS62" s="133">
        <f t="shared" si="65"/>
        <v>0</v>
      </c>
      <c r="DT62" s="133">
        <f t="shared" si="65"/>
        <v>0</v>
      </c>
      <c r="DU62" s="133">
        <f t="shared" si="65"/>
        <v>0</v>
      </c>
      <c r="DV62" s="133">
        <f t="shared" si="65"/>
        <v>0</v>
      </c>
      <c r="DW62" s="133">
        <f t="shared" si="65"/>
        <v>0</v>
      </c>
    </row>
    <row r="63" spans="1:127" hidden="1" x14ac:dyDescent="0.35">
      <c r="B63" s="7" t="str">
        <f t="shared" si="61"/>
        <v/>
      </c>
      <c r="C63" s="155"/>
      <c r="D63" s="173"/>
      <c r="E63" s="162"/>
      <c r="F63" s="136">
        <f t="shared" si="62"/>
        <v>0</v>
      </c>
      <c r="G63" s="163"/>
      <c r="H63" s="165"/>
      <c r="I63" s="174"/>
      <c r="J63" s="134"/>
      <c r="K63" s="136"/>
      <c r="L63" s="7"/>
      <c r="M63" s="155"/>
      <c r="N63" s="173"/>
      <c r="O63" s="162"/>
      <c r="P63" s="136">
        <f t="shared" si="63"/>
        <v>0</v>
      </c>
      <c r="Q63" s="163"/>
      <c r="R63" s="165"/>
      <c r="S63" s="174"/>
      <c r="CZ63" s="151">
        <f t="shared" si="64"/>
        <v>0</v>
      </c>
      <c r="DA63" s="150">
        <f t="shared" si="64"/>
        <v>0</v>
      </c>
      <c r="DB63" s="150">
        <f t="shared" si="64"/>
        <v>0</v>
      </c>
      <c r="DC63" s="150">
        <f t="shared" si="64"/>
        <v>0</v>
      </c>
      <c r="DD63" s="150">
        <f t="shared" si="64"/>
        <v>0</v>
      </c>
      <c r="DE63" s="150">
        <f t="shared" si="64"/>
        <v>0</v>
      </c>
      <c r="DF63" s="150">
        <f t="shared" si="64"/>
        <v>0</v>
      </c>
      <c r="DG63" s="150">
        <f t="shared" si="64"/>
        <v>0</v>
      </c>
      <c r="DH63" s="150">
        <f t="shared" si="64"/>
        <v>0</v>
      </c>
      <c r="DI63" s="150">
        <f t="shared" si="64"/>
        <v>0</v>
      </c>
      <c r="DJ63" s="150">
        <f t="shared" si="65"/>
        <v>0</v>
      </c>
      <c r="DK63" s="152">
        <f t="shared" si="65"/>
        <v>0</v>
      </c>
      <c r="DL63" s="133">
        <f t="shared" si="65"/>
        <v>0</v>
      </c>
      <c r="DM63" s="133">
        <f t="shared" si="65"/>
        <v>0</v>
      </c>
      <c r="DN63" s="133">
        <f t="shared" si="65"/>
        <v>0</v>
      </c>
      <c r="DO63" s="133">
        <f t="shared" si="65"/>
        <v>0</v>
      </c>
      <c r="DP63" s="133">
        <f t="shared" si="65"/>
        <v>0</v>
      </c>
      <c r="DQ63" s="133">
        <f t="shared" si="65"/>
        <v>0</v>
      </c>
      <c r="DR63" s="133">
        <f t="shared" si="65"/>
        <v>0</v>
      </c>
      <c r="DS63" s="133">
        <f t="shared" si="65"/>
        <v>0</v>
      </c>
      <c r="DT63" s="133">
        <f t="shared" si="65"/>
        <v>0</v>
      </c>
      <c r="DU63" s="133">
        <f t="shared" si="65"/>
        <v>0</v>
      </c>
      <c r="DV63" s="133">
        <f t="shared" si="65"/>
        <v>0</v>
      </c>
      <c r="DW63" s="133">
        <f t="shared" si="65"/>
        <v>0</v>
      </c>
    </row>
    <row r="64" spans="1:127" hidden="1" x14ac:dyDescent="0.35">
      <c r="B64" s="7" t="str">
        <f t="shared" si="61"/>
        <v/>
      </c>
      <c r="C64" s="155"/>
      <c r="D64" s="173"/>
      <c r="E64" s="162"/>
      <c r="F64" s="136">
        <f t="shared" si="62"/>
        <v>0</v>
      </c>
      <c r="G64" s="163"/>
      <c r="H64" s="163"/>
      <c r="I64" s="174"/>
      <c r="J64" s="134"/>
      <c r="K64" s="136"/>
      <c r="L64" s="7"/>
      <c r="M64" s="155"/>
      <c r="N64" s="173"/>
      <c r="O64" s="162"/>
      <c r="P64" s="136">
        <f t="shared" si="63"/>
        <v>0</v>
      </c>
      <c r="Q64" s="163"/>
      <c r="R64" s="163"/>
      <c r="S64" s="174"/>
      <c r="CZ64" s="151">
        <f t="shared" si="64"/>
        <v>0</v>
      </c>
      <c r="DA64" s="150">
        <f t="shared" si="64"/>
        <v>0</v>
      </c>
      <c r="DB64" s="150">
        <f t="shared" si="64"/>
        <v>0</v>
      </c>
      <c r="DC64" s="150">
        <f t="shared" si="64"/>
        <v>0</v>
      </c>
      <c r="DD64" s="150">
        <f t="shared" si="64"/>
        <v>0</v>
      </c>
      <c r="DE64" s="150">
        <f t="shared" si="64"/>
        <v>0</v>
      </c>
      <c r="DF64" s="150">
        <f t="shared" si="64"/>
        <v>0</v>
      </c>
      <c r="DG64" s="150">
        <f t="shared" si="64"/>
        <v>0</v>
      </c>
      <c r="DH64" s="150">
        <f t="shared" si="64"/>
        <v>0</v>
      </c>
      <c r="DI64" s="150">
        <f t="shared" si="64"/>
        <v>0</v>
      </c>
      <c r="DJ64" s="150">
        <f t="shared" si="65"/>
        <v>0</v>
      </c>
      <c r="DK64" s="152">
        <f t="shared" si="65"/>
        <v>0</v>
      </c>
      <c r="DL64" s="133">
        <f t="shared" si="65"/>
        <v>0</v>
      </c>
      <c r="DM64" s="133">
        <f t="shared" si="65"/>
        <v>0</v>
      </c>
      <c r="DN64" s="133">
        <f t="shared" si="65"/>
        <v>0</v>
      </c>
      <c r="DO64" s="133">
        <f t="shared" si="65"/>
        <v>0</v>
      </c>
      <c r="DP64" s="133">
        <f t="shared" si="65"/>
        <v>0</v>
      </c>
      <c r="DQ64" s="133">
        <f t="shared" si="65"/>
        <v>0</v>
      </c>
      <c r="DR64" s="133">
        <f t="shared" si="65"/>
        <v>0</v>
      </c>
      <c r="DS64" s="133">
        <f t="shared" si="65"/>
        <v>0</v>
      </c>
      <c r="DT64" s="133">
        <f t="shared" si="65"/>
        <v>0</v>
      </c>
      <c r="DU64" s="133">
        <f t="shared" si="65"/>
        <v>0</v>
      </c>
      <c r="DV64" s="133">
        <f t="shared" si="65"/>
        <v>0</v>
      </c>
      <c r="DW64" s="133">
        <f t="shared" si="65"/>
        <v>0</v>
      </c>
    </row>
    <row r="65" spans="1:127" hidden="1" x14ac:dyDescent="0.35">
      <c r="B65" s="7" t="str">
        <f>IF(A65&lt;&gt;"","VACANT","")</f>
        <v/>
      </c>
      <c r="C65" s="155"/>
      <c r="D65" s="173"/>
      <c r="E65" s="162"/>
      <c r="F65" s="136">
        <f t="shared" si="62"/>
        <v>0</v>
      </c>
      <c r="G65" s="163"/>
      <c r="H65" s="163"/>
      <c r="I65" s="174"/>
      <c r="J65" s="134"/>
      <c r="K65" s="136"/>
      <c r="L65" s="7"/>
      <c r="M65" s="155"/>
      <c r="N65" s="173"/>
      <c r="O65" s="162"/>
      <c r="P65" s="136">
        <f t="shared" si="63"/>
        <v>0</v>
      </c>
      <c r="Q65" s="163"/>
      <c r="R65" s="163"/>
      <c r="S65" s="174"/>
      <c r="CZ65" s="151">
        <f t="shared" si="64"/>
        <v>0</v>
      </c>
      <c r="DA65" s="150">
        <f t="shared" si="64"/>
        <v>0</v>
      </c>
      <c r="DB65" s="150">
        <f t="shared" si="64"/>
        <v>0</v>
      </c>
      <c r="DC65" s="150">
        <f t="shared" si="64"/>
        <v>0</v>
      </c>
      <c r="DD65" s="150">
        <f t="shared" si="64"/>
        <v>0</v>
      </c>
      <c r="DE65" s="150">
        <f t="shared" si="64"/>
        <v>0</v>
      </c>
      <c r="DF65" s="150">
        <f t="shared" si="64"/>
        <v>0</v>
      </c>
      <c r="DG65" s="150">
        <f t="shared" si="64"/>
        <v>0</v>
      </c>
      <c r="DH65" s="150">
        <f t="shared" si="64"/>
        <v>0</v>
      </c>
      <c r="DI65" s="150">
        <f t="shared" si="64"/>
        <v>0</v>
      </c>
      <c r="DJ65" s="150">
        <f t="shared" si="65"/>
        <v>0</v>
      </c>
      <c r="DK65" s="152">
        <f t="shared" si="65"/>
        <v>0</v>
      </c>
      <c r="DL65" s="133">
        <f t="shared" si="65"/>
        <v>0</v>
      </c>
      <c r="DM65" s="133">
        <f t="shared" si="65"/>
        <v>0</v>
      </c>
      <c r="DN65" s="133">
        <f t="shared" si="65"/>
        <v>0</v>
      </c>
      <c r="DO65" s="133">
        <f t="shared" si="65"/>
        <v>0</v>
      </c>
      <c r="DP65" s="133">
        <f t="shared" si="65"/>
        <v>0</v>
      </c>
      <c r="DQ65" s="133">
        <f t="shared" si="65"/>
        <v>0</v>
      </c>
      <c r="DR65" s="133">
        <f t="shared" si="65"/>
        <v>0</v>
      </c>
      <c r="DS65" s="133">
        <f t="shared" si="65"/>
        <v>0</v>
      </c>
      <c r="DT65" s="133">
        <f t="shared" si="65"/>
        <v>0</v>
      </c>
      <c r="DU65" s="133">
        <f t="shared" si="65"/>
        <v>0</v>
      </c>
      <c r="DV65" s="133">
        <f t="shared" si="65"/>
        <v>0</v>
      </c>
      <c r="DW65" s="133">
        <f t="shared" si="65"/>
        <v>0</v>
      </c>
    </row>
    <row r="66" spans="1:127" hidden="1" x14ac:dyDescent="0.35">
      <c r="B66" s="7" t="str">
        <f t="shared" si="61"/>
        <v/>
      </c>
      <c r="C66" s="155"/>
      <c r="D66" s="173"/>
      <c r="E66" s="162"/>
      <c r="F66" s="136">
        <f t="shared" si="62"/>
        <v>0</v>
      </c>
      <c r="G66" s="163"/>
      <c r="H66" s="163"/>
      <c r="I66" s="174"/>
      <c r="J66" s="134"/>
      <c r="K66" s="136"/>
      <c r="L66" s="7"/>
      <c r="M66" s="155"/>
      <c r="N66" s="173"/>
      <c r="O66" s="162"/>
      <c r="P66" s="136">
        <f t="shared" si="63"/>
        <v>0</v>
      </c>
      <c r="Q66" s="163"/>
      <c r="R66" s="163"/>
      <c r="S66" s="174"/>
      <c r="CZ66" s="151">
        <f t="shared" si="64"/>
        <v>0</v>
      </c>
      <c r="DA66" s="150">
        <f t="shared" si="64"/>
        <v>0</v>
      </c>
      <c r="DB66" s="150">
        <f t="shared" si="64"/>
        <v>0</v>
      </c>
      <c r="DC66" s="150">
        <f t="shared" si="64"/>
        <v>0</v>
      </c>
      <c r="DD66" s="150">
        <f t="shared" si="64"/>
        <v>0</v>
      </c>
      <c r="DE66" s="150">
        <f t="shared" si="64"/>
        <v>0</v>
      </c>
      <c r="DF66" s="150">
        <f t="shared" si="64"/>
        <v>0</v>
      </c>
      <c r="DG66" s="150">
        <f t="shared" si="64"/>
        <v>0</v>
      </c>
      <c r="DH66" s="150">
        <f t="shared" si="64"/>
        <v>0</v>
      </c>
      <c r="DI66" s="150">
        <f t="shared" si="64"/>
        <v>0</v>
      </c>
      <c r="DJ66" s="150">
        <f t="shared" si="65"/>
        <v>0</v>
      </c>
      <c r="DK66" s="152">
        <f t="shared" si="65"/>
        <v>0</v>
      </c>
      <c r="DL66" s="133">
        <f t="shared" si="65"/>
        <v>0</v>
      </c>
      <c r="DM66" s="133">
        <f t="shared" si="65"/>
        <v>0</v>
      </c>
      <c r="DN66" s="133">
        <f t="shared" si="65"/>
        <v>0</v>
      </c>
      <c r="DO66" s="133">
        <f t="shared" si="65"/>
        <v>0</v>
      </c>
      <c r="DP66" s="133">
        <f t="shared" si="65"/>
        <v>0</v>
      </c>
      <c r="DQ66" s="133">
        <f t="shared" si="65"/>
        <v>0</v>
      </c>
      <c r="DR66" s="133">
        <f t="shared" si="65"/>
        <v>0</v>
      </c>
      <c r="DS66" s="133">
        <f t="shared" si="65"/>
        <v>0</v>
      </c>
      <c r="DT66" s="133">
        <f t="shared" si="65"/>
        <v>0</v>
      </c>
      <c r="DU66" s="133">
        <f t="shared" si="65"/>
        <v>0</v>
      </c>
      <c r="DV66" s="133">
        <f t="shared" si="65"/>
        <v>0</v>
      </c>
      <c r="DW66" s="133">
        <f t="shared" si="65"/>
        <v>0</v>
      </c>
    </row>
    <row r="67" spans="1:127" x14ac:dyDescent="0.35">
      <c r="A67" s="147"/>
      <c r="B67" s="16" t="str">
        <f t="shared" si="61"/>
        <v/>
      </c>
      <c r="C67" s="156"/>
      <c r="D67" s="175"/>
      <c r="E67" s="166"/>
      <c r="F67" s="147">
        <f t="shared" si="62"/>
        <v>0</v>
      </c>
      <c r="G67" s="167"/>
      <c r="H67" s="167"/>
      <c r="I67" s="176"/>
      <c r="J67" s="134"/>
      <c r="K67" s="147"/>
      <c r="L67" s="16"/>
      <c r="M67" s="156"/>
      <c r="N67" s="175"/>
      <c r="O67" s="166"/>
      <c r="P67" s="147">
        <f t="shared" si="63"/>
        <v>0</v>
      </c>
      <c r="Q67" s="167"/>
      <c r="R67" s="167"/>
      <c r="S67" s="176"/>
      <c r="CZ67" s="151">
        <f t="shared" si="64"/>
        <v>0</v>
      </c>
      <c r="DA67" s="150">
        <f t="shared" si="64"/>
        <v>0</v>
      </c>
      <c r="DB67" s="150">
        <f t="shared" si="64"/>
        <v>0</v>
      </c>
      <c r="DC67" s="150">
        <f t="shared" si="64"/>
        <v>0</v>
      </c>
      <c r="DD67" s="150">
        <f t="shared" si="64"/>
        <v>0</v>
      </c>
      <c r="DE67" s="150">
        <f t="shared" si="64"/>
        <v>0</v>
      </c>
      <c r="DF67" s="150">
        <f t="shared" si="64"/>
        <v>0</v>
      </c>
      <c r="DG67" s="150">
        <f t="shared" si="64"/>
        <v>0</v>
      </c>
      <c r="DH67" s="150">
        <f t="shared" si="64"/>
        <v>0</v>
      </c>
      <c r="DI67" s="150">
        <f t="shared" si="64"/>
        <v>0</v>
      </c>
      <c r="DJ67" s="150">
        <f t="shared" si="65"/>
        <v>0</v>
      </c>
      <c r="DK67" s="152">
        <f t="shared" si="65"/>
        <v>0</v>
      </c>
      <c r="DL67" s="133">
        <f t="shared" si="65"/>
        <v>0</v>
      </c>
      <c r="DM67" s="133">
        <f t="shared" si="65"/>
        <v>0</v>
      </c>
      <c r="DN67" s="133">
        <f t="shared" si="65"/>
        <v>0</v>
      </c>
      <c r="DO67" s="133">
        <f t="shared" si="65"/>
        <v>0</v>
      </c>
      <c r="DP67" s="133">
        <f t="shared" si="65"/>
        <v>0</v>
      </c>
      <c r="DQ67" s="133">
        <f t="shared" si="65"/>
        <v>0</v>
      </c>
      <c r="DR67" s="133">
        <f t="shared" si="65"/>
        <v>0</v>
      </c>
      <c r="DS67" s="133">
        <f t="shared" si="65"/>
        <v>0</v>
      </c>
      <c r="DT67" s="133">
        <f t="shared" si="65"/>
        <v>0</v>
      </c>
      <c r="DU67" s="133">
        <f t="shared" si="65"/>
        <v>0</v>
      </c>
      <c r="DV67" s="133">
        <f t="shared" si="65"/>
        <v>0</v>
      </c>
      <c r="DW67" s="133">
        <f t="shared" si="65"/>
        <v>0</v>
      </c>
    </row>
    <row r="68" spans="1:127" ht="16.5" thickBot="1" x14ac:dyDescent="0.35">
      <c r="A68" s="135"/>
      <c r="B68" s="17" t="s">
        <v>322</v>
      </c>
      <c r="C68" s="157">
        <f>SUM(C53:C67)-C56</f>
        <v>7463</v>
      </c>
      <c r="D68" s="266" t="s">
        <v>447</v>
      </c>
      <c r="E68" s="266"/>
      <c r="F68" s="267"/>
      <c r="G68" s="268"/>
      <c r="H68" s="268"/>
      <c r="I68" s="269"/>
      <c r="J68" s="134"/>
      <c r="K68" s="135"/>
      <c r="L68" s="17" t="s">
        <v>325</v>
      </c>
      <c r="M68" s="157">
        <f>SUM(M53:M67)</f>
        <v>23630</v>
      </c>
      <c r="N68" s="143"/>
      <c r="O68" s="143"/>
      <c r="P68" s="153"/>
      <c r="Q68" s="144"/>
      <c r="R68" s="144"/>
      <c r="S68" s="145"/>
      <c r="CZ68" s="139">
        <f>SUM(CZ53:CZ67)</f>
        <v>0</v>
      </c>
      <c r="DA68" s="139">
        <f t="shared" ref="DA68:DW68" si="70">SUM(DA53:DA67)</f>
        <v>0</v>
      </c>
      <c r="DB68" s="139">
        <f t="shared" si="70"/>
        <v>0</v>
      </c>
      <c r="DC68" s="139">
        <f t="shared" si="70"/>
        <v>0</v>
      </c>
      <c r="DD68" s="139">
        <f t="shared" si="70"/>
        <v>0</v>
      </c>
      <c r="DE68" s="139">
        <f t="shared" si="70"/>
        <v>0</v>
      </c>
      <c r="DF68" s="139">
        <f t="shared" si="70"/>
        <v>0</v>
      </c>
      <c r="DG68" s="139">
        <f t="shared" si="70"/>
        <v>0</v>
      </c>
      <c r="DH68" s="139">
        <f t="shared" si="70"/>
        <v>0</v>
      </c>
      <c r="DI68" s="139">
        <f t="shared" si="70"/>
        <v>0</v>
      </c>
      <c r="DJ68" s="139">
        <f t="shared" si="70"/>
        <v>0</v>
      </c>
      <c r="DK68" s="139">
        <f t="shared" si="70"/>
        <v>0</v>
      </c>
      <c r="DL68" s="139">
        <f t="shared" si="70"/>
        <v>0</v>
      </c>
      <c r="DM68" s="139">
        <f t="shared" si="70"/>
        <v>0</v>
      </c>
      <c r="DN68" s="139">
        <f t="shared" si="70"/>
        <v>0</v>
      </c>
      <c r="DO68" s="139">
        <f t="shared" si="70"/>
        <v>0</v>
      </c>
      <c r="DP68" s="139">
        <f t="shared" si="70"/>
        <v>0</v>
      </c>
      <c r="DQ68" s="139">
        <f t="shared" si="70"/>
        <v>0</v>
      </c>
      <c r="DR68" s="139">
        <f t="shared" si="70"/>
        <v>0</v>
      </c>
      <c r="DS68" s="139">
        <f t="shared" si="70"/>
        <v>0</v>
      </c>
      <c r="DT68" s="139">
        <f t="shared" si="70"/>
        <v>0</v>
      </c>
      <c r="DU68" s="139">
        <f t="shared" si="70"/>
        <v>0</v>
      </c>
      <c r="DV68" s="139">
        <f t="shared" si="70"/>
        <v>0</v>
      </c>
      <c r="DW68" s="139">
        <f t="shared" si="70"/>
        <v>0</v>
      </c>
    </row>
    <row r="69" spans="1:127" s="196" customFormat="1" ht="18.5" thickTop="1" thickBot="1" x14ac:dyDescent="0.3">
      <c r="A69" s="195"/>
      <c r="F69" s="195"/>
      <c r="J69" s="197"/>
      <c r="AI69" s="197"/>
      <c r="CZ69" s="475"/>
      <c r="DA69" s="475"/>
      <c r="DB69" s="475"/>
      <c r="DC69" s="475"/>
      <c r="DD69" s="475"/>
      <c r="DE69" s="475"/>
      <c r="DF69" s="475"/>
      <c r="DG69" s="475"/>
      <c r="DH69" s="475"/>
      <c r="DI69" s="475"/>
      <c r="DJ69" s="475"/>
      <c r="DK69" s="475"/>
    </row>
    <row r="75" spans="1:127" x14ac:dyDescent="0.25">
      <c r="O75" s="140"/>
    </row>
  </sheetData>
  <sheetProtection selectLockedCells="1"/>
  <mergeCells count="19">
    <mergeCell ref="DL51:DW51"/>
    <mergeCell ref="DL7:DW7"/>
    <mergeCell ref="D7:I7"/>
    <mergeCell ref="N7:S7"/>
    <mergeCell ref="D29:I29"/>
    <mergeCell ref="N29:S29"/>
    <mergeCell ref="CZ7:DK7"/>
    <mergeCell ref="V51:AG51"/>
    <mergeCell ref="AH51:AS51"/>
    <mergeCell ref="N51:S51"/>
    <mergeCell ref="CZ69:DK69"/>
    <mergeCell ref="D51:I51"/>
    <mergeCell ref="CZ51:DK51"/>
    <mergeCell ref="CZ47:DK47"/>
    <mergeCell ref="V7:AG7"/>
    <mergeCell ref="AH7:AS7"/>
    <mergeCell ref="V29:AG29"/>
    <mergeCell ref="AH29:AS29"/>
    <mergeCell ref="CZ25:DK25"/>
  </mergeCells>
  <conditionalFormatting sqref="D70:D1048576">
    <cfRule type="cellIs" dxfId="22" priority="388" operator="greaterThan">
      <formula>46023</formula>
    </cfRule>
  </conditionalFormatting>
  <conditionalFormatting sqref="D9:I23 D31:I45 D53:I67">
    <cfRule type="expression" dxfId="21" priority="385">
      <formula>$A9&gt;1</formula>
    </cfRule>
  </conditionalFormatting>
  <conditionalFormatting sqref="D9:I23">
    <cfRule type="notContainsBlanks" dxfId="20" priority="344">
      <formula>LEN(TRIM(D9))&gt;0</formula>
    </cfRule>
  </conditionalFormatting>
  <conditionalFormatting sqref="D31:I45">
    <cfRule type="notContainsBlanks" dxfId="19" priority="159">
      <formula>LEN(TRIM(D31))&gt;0</formula>
    </cfRule>
  </conditionalFormatting>
  <conditionalFormatting sqref="D53:I67">
    <cfRule type="notContainsBlanks" dxfId="18" priority="155">
      <formula>LEN(TRIM(D53))&gt;0</formula>
    </cfRule>
  </conditionalFormatting>
  <conditionalFormatting sqref="F9:F23">
    <cfRule type="cellIs" dxfId="17" priority="168" operator="equal">
      <formula>0</formula>
    </cfRule>
  </conditionalFormatting>
  <conditionalFormatting sqref="F31:F45">
    <cfRule type="cellIs" dxfId="16" priority="158" operator="equal">
      <formula>0</formula>
    </cfRule>
  </conditionalFormatting>
  <conditionalFormatting sqref="F53:F67">
    <cfRule type="cellIs" dxfId="15" priority="154" operator="equal">
      <formula>0</formula>
    </cfRule>
  </conditionalFormatting>
  <conditionalFormatting sqref="N9:S23 N31:S45 N53:S67">
    <cfRule type="expression" dxfId="14" priority="389">
      <formula>$K9&gt;1</formula>
    </cfRule>
  </conditionalFormatting>
  <conditionalFormatting sqref="N9:S23">
    <cfRule type="notContainsBlanks" dxfId="13" priority="161">
      <formula>LEN(TRIM(N9))&gt;0</formula>
    </cfRule>
  </conditionalFormatting>
  <conditionalFormatting sqref="N31:S45">
    <cfRule type="notContainsBlanks" dxfId="12" priority="157">
      <formula>LEN(TRIM(N31))&gt;0</formula>
    </cfRule>
  </conditionalFormatting>
  <conditionalFormatting sqref="N53:S67">
    <cfRule type="notContainsBlanks" dxfId="11" priority="152">
      <formula>LEN(TRIM(N53))&gt;0</formula>
    </cfRule>
  </conditionalFormatting>
  <conditionalFormatting sqref="P9:P23">
    <cfRule type="cellIs" dxfId="10" priority="160" operator="equal">
      <formula>0</formula>
    </cfRule>
  </conditionalFormatting>
  <conditionalFormatting sqref="P31:P45">
    <cfRule type="cellIs" dxfId="9" priority="156" operator="equal">
      <formula>0</formula>
    </cfRule>
  </conditionalFormatting>
  <conditionalFormatting sqref="P53:P67">
    <cfRule type="cellIs" dxfId="8" priority="151" operator="equal">
      <formula>0</formula>
    </cfRule>
  </conditionalFormatting>
  <conditionalFormatting sqref="V9:AT12">
    <cfRule type="cellIs" dxfId="7" priority="7" operator="equal">
      <formula>0</formula>
    </cfRule>
  </conditionalFormatting>
  <conditionalFormatting sqref="V31:AT34">
    <cfRule type="cellIs" dxfId="6" priority="6" operator="equal">
      <formula>0</formula>
    </cfRule>
  </conditionalFormatting>
  <conditionalFormatting sqref="V53:AT56">
    <cfRule type="cellIs" dxfId="5" priority="5" operator="equal">
      <formula>0</formula>
    </cfRule>
  </conditionalFormatting>
  <conditionalFormatting sqref="CZ9:DW24">
    <cfRule type="cellIs" dxfId="4" priority="257" operator="equal">
      <formula>0</formula>
    </cfRule>
  </conditionalFormatting>
  <conditionalFormatting sqref="CZ27:DW27 CZ29:DW42">
    <cfRule type="cellIs" dxfId="3" priority="381" operator="equal">
      <formula>0</formula>
    </cfRule>
  </conditionalFormatting>
  <conditionalFormatting sqref="CZ53:DW68">
    <cfRule type="cellIs" dxfId="2" priority="370" operator="equal">
      <formula>0</formula>
    </cfRule>
  </conditionalFormatting>
  <printOptions horizontalCentered="1" verticalCentered="1"/>
  <pageMargins left="0.25" right="0.25" top="0" bottom="0" header="0.05" footer="0.25"/>
  <pageSetup scale="56" fitToHeight="0" orientation="landscape" r:id="rId1"/>
  <headerFooter>
    <oddHeader>&amp;R&amp;D</oddHeader>
    <oddFooter>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6">
    <tabColor rgb="FFFFC000"/>
    <pageSetUpPr fitToPage="1"/>
  </sheetPr>
  <dimension ref="A1:Y148"/>
  <sheetViews>
    <sheetView view="pageBreakPreview" zoomScale="160" zoomScaleNormal="100" zoomScaleSheetLayoutView="160" workbookViewId="0">
      <selection activeCell="H2" sqref="H2"/>
    </sheetView>
  </sheetViews>
  <sheetFormatPr defaultColWidth="8.81640625" defaultRowHeight="16" x14ac:dyDescent="0.35"/>
  <cols>
    <col min="1" max="1" width="13.453125" style="7" bestFit="1" customWidth="1"/>
    <col min="2" max="2" width="14.453125" style="7" customWidth="1"/>
    <col min="3" max="3" width="21.54296875" style="7" customWidth="1"/>
    <col min="4" max="4" width="14.1796875" style="7" bestFit="1" customWidth="1"/>
    <col min="5" max="5" width="14.81640625" style="7" customWidth="1"/>
    <col min="6" max="10" width="11.81640625" style="7" customWidth="1"/>
    <col min="11" max="11" width="10" style="7" bestFit="1" customWidth="1"/>
    <col min="12" max="16" width="9.54296875" style="7" bestFit="1" customWidth="1"/>
    <col min="17" max="17" width="12.453125" style="7" bestFit="1" customWidth="1"/>
    <col min="18" max="18" width="9.54296875" style="7" bestFit="1" customWidth="1"/>
    <col min="19" max="19" width="12.54296875" style="7" customWidth="1"/>
    <col min="20" max="20" width="13.54296875" style="7" bestFit="1" customWidth="1"/>
    <col min="21" max="21" width="12.81640625" style="7" customWidth="1"/>
    <col min="22" max="22" width="9.54296875" style="7" bestFit="1" customWidth="1"/>
    <col min="23" max="16384" width="8.81640625" style="7"/>
  </cols>
  <sheetData>
    <row r="1" spans="1:21" ht="16.5" thickBot="1" x14ac:dyDescent="0.4">
      <c r="I1" s="62"/>
    </row>
    <row r="2" spans="1:21" ht="18" thickBot="1" x14ac:dyDescent="0.4">
      <c r="A2" s="7" t="s">
        <v>100</v>
      </c>
      <c r="B2" s="10" t="s">
        <v>299</v>
      </c>
      <c r="C2" s="85"/>
      <c r="O2" s="84"/>
      <c r="P2" s="84"/>
      <c r="Q2" s="206">
        <v>47180</v>
      </c>
      <c r="S2" s="7" t="s">
        <v>596</v>
      </c>
    </row>
    <row r="3" spans="1:21" x14ac:dyDescent="0.35">
      <c r="C3" s="81" t="s">
        <v>298</v>
      </c>
      <c r="D3" s="110" t="s">
        <v>290</v>
      </c>
      <c r="E3" s="81" t="s">
        <v>0</v>
      </c>
      <c r="F3" s="81" t="s">
        <v>1</v>
      </c>
      <c r="G3" s="81" t="s">
        <v>2</v>
      </c>
      <c r="H3" s="81" t="s">
        <v>3</v>
      </c>
      <c r="I3" s="81" t="s">
        <v>4</v>
      </c>
      <c r="J3" s="81" t="s">
        <v>5</v>
      </c>
      <c r="K3" s="81" t="s">
        <v>6</v>
      </c>
      <c r="L3" s="81" t="s">
        <v>7</v>
      </c>
      <c r="M3" s="81" t="s">
        <v>8</v>
      </c>
      <c r="N3" s="81" t="s">
        <v>9</v>
      </c>
      <c r="O3" s="81" t="s">
        <v>10</v>
      </c>
      <c r="P3" s="81" t="s">
        <v>11</v>
      </c>
      <c r="Q3" s="81" t="s">
        <v>12</v>
      </c>
      <c r="R3" s="14"/>
    </row>
    <row r="4" spans="1:21" x14ac:dyDescent="0.35">
      <c r="B4" s="223">
        <f>'361'!$B$1</f>
        <v>3610</v>
      </c>
      <c r="C4" s="7">
        <f>'361'!$B$4</f>
        <v>41821</v>
      </c>
      <c r="D4" s="111">
        <v>0.3</v>
      </c>
      <c r="E4" s="7">
        <f t="shared" ref="E4:P4" si="0">$Q2*$D4/12</f>
        <v>1179.5</v>
      </c>
      <c r="F4" s="7">
        <f t="shared" si="0"/>
        <v>1179.5</v>
      </c>
      <c r="G4" s="7">
        <f t="shared" si="0"/>
        <v>1179.5</v>
      </c>
      <c r="H4" s="7">
        <f t="shared" si="0"/>
        <v>1179.5</v>
      </c>
      <c r="I4" s="7">
        <f t="shared" si="0"/>
        <v>1179.5</v>
      </c>
      <c r="J4" s="7">
        <f t="shared" si="0"/>
        <v>1179.5</v>
      </c>
      <c r="K4" s="7">
        <f t="shared" si="0"/>
        <v>1179.5</v>
      </c>
      <c r="L4" s="7">
        <f t="shared" si="0"/>
        <v>1179.5</v>
      </c>
      <c r="M4" s="7">
        <f t="shared" si="0"/>
        <v>1179.5</v>
      </c>
      <c r="N4" s="7">
        <f t="shared" si="0"/>
        <v>1179.5</v>
      </c>
      <c r="O4" s="7">
        <f t="shared" si="0"/>
        <v>1179.5</v>
      </c>
      <c r="P4" s="7">
        <f t="shared" si="0"/>
        <v>1179.5</v>
      </c>
      <c r="Q4" s="78">
        <f>SUM(E4:P4)</f>
        <v>14154</v>
      </c>
      <c r="R4" s="78"/>
    </row>
    <row r="5" spans="1:21" x14ac:dyDescent="0.35">
      <c r="B5" s="223">
        <f>'362'!$B$1</f>
        <v>3620</v>
      </c>
      <c r="C5" s="7">
        <f>'362'!$B$4</f>
        <v>49020</v>
      </c>
      <c r="D5" s="111">
        <v>0.35</v>
      </c>
      <c r="E5" s="7">
        <f t="shared" ref="E5:P5" si="1">$Q2*$D5/12</f>
        <v>1376.0833333333333</v>
      </c>
      <c r="F5" s="7">
        <f t="shared" si="1"/>
        <v>1376.0833333333333</v>
      </c>
      <c r="G5" s="7">
        <f t="shared" si="1"/>
        <v>1376.0833333333333</v>
      </c>
      <c r="H5" s="7">
        <f t="shared" si="1"/>
        <v>1376.0833333333333</v>
      </c>
      <c r="I5" s="7">
        <f t="shared" si="1"/>
        <v>1376.0833333333333</v>
      </c>
      <c r="J5" s="7">
        <f t="shared" si="1"/>
        <v>1376.0833333333333</v>
      </c>
      <c r="K5" s="7">
        <f t="shared" si="1"/>
        <v>1376.0833333333333</v>
      </c>
      <c r="L5" s="7">
        <f t="shared" si="1"/>
        <v>1376.0833333333333</v>
      </c>
      <c r="M5" s="7">
        <f t="shared" si="1"/>
        <v>1376.0833333333333</v>
      </c>
      <c r="N5" s="7">
        <f t="shared" si="1"/>
        <v>1376.0833333333333</v>
      </c>
      <c r="O5" s="7">
        <f t="shared" si="1"/>
        <v>1376.0833333333333</v>
      </c>
      <c r="P5" s="7">
        <f t="shared" si="1"/>
        <v>1376.0833333333333</v>
      </c>
      <c r="Q5" s="78">
        <f t="shared" ref="Q5:Q6" si="2">SUM(E5:P5)</f>
        <v>16513.000000000004</v>
      </c>
      <c r="R5" s="78"/>
    </row>
    <row r="6" spans="1:21" x14ac:dyDescent="0.35">
      <c r="B6" s="223">
        <f>'364'!$B$1</f>
        <v>3640</v>
      </c>
      <c r="C6" s="16">
        <f>'364'!$B$4</f>
        <v>48794</v>
      </c>
      <c r="D6" s="112">
        <v>0.35</v>
      </c>
      <c r="E6" s="16">
        <f t="shared" ref="E6:P6" si="3">$Q2*$D6/12</f>
        <v>1376.0833333333333</v>
      </c>
      <c r="F6" s="16">
        <f t="shared" si="3"/>
        <v>1376.0833333333333</v>
      </c>
      <c r="G6" s="16">
        <f t="shared" si="3"/>
        <v>1376.0833333333333</v>
      </c>
      <c r="H6" s="16">
        <f t="shared" si="3"/>
        <v>1376.0833333333333</v>
      </c>
      <c r="I6" s="16">
        <f t="shared" si="3"/>
        <v>1376.0833333333333</v>
      </c>
      <c r="J6" s="16">
        <f t="shared" si="3"/>
        <v>1376.0833333333333</v>
      </c>
      <c r="K6" s="16">
        <f t="shared" si="3"/>
        <v>1376.0833333333333</v>
      </c>
      <c r="L6" s="16">
        <f t="shared" si="3"/>
        <v>1376.0833333333333</v>
      </c>
      <c r="M6" s="16">
        <f t="shared" si="3"/>
        <v>1376.0833333333333</v>
      </c>
      <c r="N6" s="16">
        <f t="shared" si="3"/>
        <v>1376.0833333333333</v>
      </c>
      <c r="O6" s="16">
        <f t="shared" si="3"/>
        <v>1376.0833333333333</v>
      </c>
      <c r="P6" s="16">
        <f t="shared" si="3"/>
        <v>1376.0833333333333</v>
      </c>
      <c r="Q6" s="82">
        <f t="shared" si="2"/>
        <v>16513.000000000004</v>
      </c>
      <c r="R6" s="78"/>
    </row>
    <row r="7" spans="1:21" x14ac:dyDescent="0.35">
      <c r="B7" s="91" t="s">
        <v>291</v>
      </c>
      <c r="C7" s="7">
        <f t="shared" ref="C7:Q7" si="4">SUM(C4:C6)</f>
        <v>139635</v>
      </c>
      <c r="D7" s="113">
        <f t="shared" si="4"/>
        <v>0.99999999999999989</v>
      </c>
      <c r="E7" s="9">
        <f t="shared" si="4"/>
        <v>3931.6666666666661</v>
      </c>
      <c r="F7" s="9">
        <f t="shared" si="4"/>
        <v>3931.6666666666661</v>
      </c>
      <c r="G7" s="9">
        <f t="shared" si="4"/>
        <v>3931.6666666666661</v>
      </c>
      <c r="H7" s="9">
        <f t="shared" si="4"/>
        <v>3931.6666666666661</v>
      </c>
      <c r="I7" s="9">
        <f t="shared" si="4"/>
        <v>3931.6666666666661</v>
      </c>
      <c r="J7" s="9">
        <f t="shared" si="4"/>
        <v>3931.6666666666661</v>
      </c>
      <c r="K7" s="9">
        <f t="shared" si="4"/>
        <v>3931.6666666666661</v>
      </c>
      <c r="L7" s="9">
        <f t="shared" si="4"/>
        <v>3931.6666666666661</v>
      </c>
      <c r="M7" s="9">
        <f t="shared" si="4"/>
        <v>3931.6666666666661</v>
      </c>
      <c r="N7" s="9">
        <f t="shared" si="4"/>
        <v>3931.6666666666661</v>
      </c>
      <c r="O7" s="9">
        <f t="shared" si="4"/>
        <v>3931.6666666666661</v>
      </c>
      <c r="P7" s="9">
        <f t="shared" si="4"/>
        <v>3931.6666666666661</v>
      </c>
      <c r="Q7" s="9">
        <f t="shared" si="4"/>
        <v>47180.000000000007</v>
      </c>
      <c r="R7" s="83"/>
    </row>
    <row r="8" spans="1:21" ht="16.5" thickBot="1" x14ac:dyDescent="0.4">
      <c r="D8" s="14"/>
    </row>
    <row r="9" spans="1:21" ht="18" thickBot="1" x14ac:dyDescent="0.4">
      <c r="B9" s="10" t="s">
        <v>476</v>
      </c>
      <c r="C9" s="85"/>
      <c r="D9" s="14"/>
      <c r="E9" s="293" t="s">
        <v>544</v>
      </c>
      <c r="P9" s="84"/>
      <c r="Q9" s="286">
        <f>T13</f>
        <v>0.13822600000000002</v>
      </c>
      <c r="R9" s="7" t="s">
        <v>450</v>
      </c>
    </row>
    <row r="10" spans="1:21" x14ac:dyDescent="0.35">
      <c r="C10" s="81" t="s">
        <v>298</v>
      </c>
      <c r="D10" s="110" t="s">
        <v>543</v>
      </c>
      <c r="E10" s="81" t="s">
        <v>0</v>
      </c>
      <c r="F10" s="81" t="s">
        <v>1</v>
      </c>
      <c r="G10" s="81" t="s">
        <v>2</v>
      </c>
      <c r="H10" s="81" t="s">
        <v>3</v>
      </c>
      <c r="I10" s="81" t="s">
        <v>4</v>
      </c>
      <c r="J10" s="81" t="s">
        <v>5</v>
      </c>
      <c r="K10" s="81" t="s">
        <v>6</v>
      </c>
      <c r="L10" s="81" t="s">
        <v>7</v>
      </c>
      <c r="M10" s="81" t="s">
        <v>8</v>
      </c>
      <c r="N10" s="81" t="s">
        <v>9</v>
      </c>
      <c r="O10" s="81" t="s">
        <v>10</v>
      </c>
      <c r="P10" s="81" t="s">
        <v>11</v>
      </c>
      <c r="Q10" s="81" t="s">
        <v>12</v>
      </c>
      <c r="R10" s="14"/>
      <c r="S10" s="16"/>
      <c r="T10" s="81" t="s">
        <v>451</v>
      </c>
    </row>
    <row r="11" spans="1:21" x14ac:dyDescent="0.35">
      <c r="B11" s="223">
        <f>'361'!$B$1</f>
        <v>3610</v>
      </c>
      <c r="C11" s="7">
        <f>'361'!$B$4</f>
        <v>41821</v>
      </c>
      <c r="D11" s="405">
        <f>C11</f>
        <v>41821</v>
      </c>
      <c r="E11" s="7">
        <f>($Q$9*'361'!E$7)</f>
        <v>3409.4860822308001</v>
      </c>
      <c r="F11" s="7">
        <f>$Q$9*'361'!F$7</f>
        <v>3409.4860822308001</v>
      </c>
      <c r="G11" s="7">
        <f>$Q$9*'361'!G$7</f>
        <v>3409.4860822308001</v>
      </c>
      <c r="H11" s="7">
        <f>$Q$9*'361'!H$7</f>
        <v>3409.4860822308001</v>
      </c>
      <c r="I11" s="7">
        <f>$Q$9*'361'!I$7</f>
        <v>3409.4860822308001</v>
      </c>
      <c r="J11" s="7">
        <f>$Q$9*'361'!J$7</f>
        <v>3409.4860822308001</v>
      </c>
      <c r="K11" s="7">
        <f>$Q$9*'361'!K$7</f>
        <v>3409.4860822308001</v>
      </c>
      <c r="L11" s="7">
        <f>$Q$9*'361'!L$7</f>
        <v>3409.4860822308001</v>
      </c>
      <c r="M11" s="7">
        <f>$Q$9*'361'!M$7</f>
        <v>3409.4860822308001</v>
      </c>
      <c r="N11" s="7">
        <f>$Q$9*'361'!N$7</f>
        <v>3409.4860822308001</v>
      </c>
      <c r="O11" s="7">
        <f>$Q$9*'361'!O$7</f>
        <v>3409.4860822308001</v>
      </c>
      <c r="P11" s="7">
        <f>$Q$9*'361'!P$7</f>
        <v>3409.4860822308001</v>
      </c>
      <c r="Q11" s="78">
        <f>SUM(E11:P11)</f>
        <v>40913.832986769601</v>
      </c>
      <c r="R11" s="78"/>
      <c r="S11" s="7" t="s">
        <v>270</v>
      </c>
      <c r="T11" s="288">
        <f>1.03*0.115</f>
        <v>0.11845000000000001</v>
      </c>
      <c r="U11" s="7" t="s">
        <v>302</v>
      </c>
    </row>
    <row r="12" spans="1:21" x14ac:dyDescent="0.35">
      <c r="B12" s="223">
        <f>'362'!$B$1</f>
        <v>3620</v>
      </c>
      <c r="C12" s="7">
        <f>'362'!$B$4</f>
        <v>49020</v>
      </c>
      <c r="D12" s="405">
        <f>C12-9552</f>
        <v>39468</v>
      </c>
      <c r="E12" s="7">
        <f>ROUND((($D12*(('362'!E$7-9552))/$D$12)*$T$11)+((($D12*(('362'!E$7-9552)/$D$12))*$T$11*0.15)*0.06),0)+$T$12*('362'!E7-9552)</f>
        <v>1582.6540152319999</v>
      </c>
      <c r="F12" s="7">
        <f>ROUND((($D12*(('362'!F$7-9552))/$D$12)*$T$11)+((($D12*(('362'!F$7-9552)/$D$12))*$T$11*0.15)*0.06),0)+$T$12*('362'!F7-9552)</f>
        <v>1582.6540152319999</v>
      </c>
      <c r="G12" s="7">
        <f>ROUND((($D12*(('362'!G$7-9552))/$D$12)*$T$11)+((($D12*(('362'!G$7-9552)/$D$12))*$T$11*0.15)*0.06),0)+$T$12*('362'!G7-9552)</f>
        <v>1582.6540152319999</v>
      </c>
      <c r="H12" s="7">
        <f>ROUND((($D12*(('362'!H$7-9552))/$D$12)*$T$11)+((($D12*(('362'!H$7-9552)/$D$12))*$T$11*0.15)*0.06),0)+$T$12*('362'!H7-9552)</f>
        <v>1582.6540152319999</v>
      </c>
      <c r="I12" s="7">
        <f>ROUND((($D12*(('362'!I$7-9552))/$D$12)*$T$11)+((($D12*(('362'!I$7-9552)/$D$12))*$T$11*0.15)*0.06),0)+$T$12*('362'!I7-9552)</f>
        <v>1582.6540152319999</v>
      </c>
      <c r="J12" s="7">
        <f>ROUND((($D12*(('362'!J$7-9552))/$D$12)*$T$11)+((($D12*(('362'!J$7-9552)/$D$12))*$T$11*0.15)*0.06),0)+$T$12*('362'!J7-9552)</f>
        <v>1582.6540152319999</v>
      </c>
      <c r="K12" s="7">
        <f>ROUND((($D12*(('362'!K$7-9552))/$D$12)*$T$11)+((($D12*(('362'!K$7-9552)/$D$12))*$T$11*0.15)*0.06),0)+$T$12*('362'!K7-9552)</f>
        <v>1582.6540152319999</v>
      </c>
      <c r="L12" s="7">
        <f>ROUND((($D12*(('362'!L$7-9552))/$D$12)*$T$11)+((($D12*(('362'!L$7-9552)/$D$12))*$T$11*0.15)*0.06),0)+$T$12*('362'!L7-9552)</f>
        <v>1582.6540152319999</v>
      </c>
      <c r="M12" s="7">
        <f>ROUND((($D12*(('362'!M$7-9552))/$D$12)*$T$11)+((($D12*(('362'!M$7-9552)/$D$12))*$T$11*0.15)*0.06),0)+$T$12*('362'!M7-9552)</f>
        <v>1582.6540152319999</v>
      </c>
      <c r="N12" s="7">
        <f>ROUND((($D12*(('362'!N$7-9552))/$D$12)*$T$11)+((($D12*(('362'!N$7-9552)/$D$12))*$T$11*0.15)*0.06),0)+$T$12*('362'!N7-9552)</f>
        <v>1582.6540152319999</v>
      </c>
      <c r="O12" s="7">
        <f>ROUND((($D12*(('362'!O$7-9552))/$D$12)*$T$11)+((($D12*(('362'!O$7-9552)/$D$12))*$T$11*0.15)*0.06),0)+$T$12*('362'!O7-9552)</f>
        <v>1582.6540152319999</v>
      </c>
      <c r="P12" s="7">
        <f>ROUND((($D12*(('362'!P$7-9552))/$D$12)*$T$11)+((($D12*(('362'!P$7-9552)/$D$12))*$T$11*0.15)*0.06),0)+$T$12*('362'!P7-9552)</f>
        <v>1463.7861155840001</v>
      </c>
      <c r="Q12" s="78">
        <f t="shared" ref="Q12:Q13" si="5">SUM(E12:P12)</f>
        <v>18872.980283135996</v>
      </c>
      <c r="R12" s="78"/>
      <c r="S12" s="16" t="s">
        <v>452</v>
      </c>
      <c r="T12" s="289">
        <f>1.03*0.0192</f>
        <v>1.9775999999999998E-2</v>
      </c>
      <c r="U12" s="7" t="s">
        <v>302</v>
      </c>
    </row>
    <row r="13" spans="1:21" x14ac:dyDescent="0.35">
      <c r="B13" s="223">
        <f>'364'!$B$1</f>
        <v>3640</v>
      </c>
      <c r="C13" s="16">
        <f>'364'!$B$4</f>
        <v>48794</v>
      </c>
      <c r="D13" s="406">
        <f>C13</f>
        <v>48794</v>
      </c>
      <c r="E13" s="16">
        <f>$Q$9*'364'!E$7</f>
        <v>5552.8287222452009</v>
      </c>
      <c r="F13" s="16">
        <f>$Q$9*'364'!F$7</f>
        <v>5552.8287222452009</v>
      </c>
      <c r="G13" s="16">
        <f>$Q$9*'364'!G$7</f>
        <v>5552.8287222452009</v>
      </c>
      <c r="H13" s="16">
        <f>$Q$9*'364'!H$7</f>
        <v>4530.3474465347999</v>
      </c>
      <c r="I13" s="16">
        <f>$Q$9*'364'!I$7</f>
        <v>4530.3474465347999</v>
      </c>
      <c r="J13" s="16">
        <f>$Q$9*'364'!J$7</f>
        <v>4530.3474465347999</v>
      </c>
      <c r="K13" s="16">
        <f>$Q$9*'364'!K$7</f>
        <v>4530.3474465347999</v>
      </c>
      <c r="L13" s="16">
        <f>$Q$9*'364'!L$7</f>
        <v>4530.3474465347999</v>
      </c>
      <c r="M13" s="16">
        <f>$Q$9*'364'!M$7</f>
        <v>4530.3474465347999</v>
      </c>
      <c r="N13" s="16">
        <f>$Q$9*'364'!N$7</f>
        <v>3000.6722926356006</v>
      </c>
      <c r="O13" s="16">
        <f>$Q$9*'364'!O$7</f>
        <v>3000.6722926356006</v>
      </c>
      <c r="P13" s="16">
        <f>$Q$9*'364'!P$7</f>
        <v>3000.6722926356006</v>
      </c>
      <c r="Q13" s="78">
        <f t="shared" si="5"/>
        <v>52842.587723851204</v>
      </c>
      <c r="R13" s="78"/>
      <c r="S13" s="9" t="s">
        <v>300</v>
      </c>
      <c r="T13" s="290">
        <f>SUM(T11:T12)</f>
        <v>0.13822600000000002</v>
      </c>
    </row>
    <row r="14" spans="1:21" x14ac:dyDescent="0.35">
      <c r="B14" s="91" t="s">
        <v>291</v>
      </c>
      <c r="C14" s="7">
        <f>SUM(C11:C13)</f>
        <v>139635</v>
      </c>
      <c r="D14" s="407">
        <f>SUM(D11:D13)</f>
        <v>130083</v>
      </c>
      <c r="E14" s="9">
        <f t="shared" ref="E14:Q14" si="6">SUM(E11:E13)</f>
        <v>10544.968819708</v>
      </c>
      <c r="F14" s="93">
        <f t="shared" si="6"/>
        <v>10544.968819708</v>
      </c>
      <c r="G14" s="93">
        <f t="shared" si="6"/>
        <v>10544.968819708</v>
      </c>
      <c r="H14" s="93">
        <f t="shared" si="6"/>
        <v>9522.4875439975986</v>
      </c>
      <c r="I14" s="93">
        <f t="shared" si="6"/>
        <v>9522.4875439975986</v>
      </c>
      <c r="J14" s="93">
        <f t="shared" si="6"/>
        <v>9522.4875439975986</v>
      </c>
      <c r="K14" s="93">
        <f t="shared" si="6"/>
        <v>9522.4875439975986</v>
      </c>
      <c r="L14" s="93">
        <f t="shared" si="6"/>
        <v>9522.4875439975986</v>
      </c>
      <c r="M14" s="93">
        <f t="shared" si="6"/>
        <v>9522.4875439975986</v>
      </c>
      <c r="N14" s="93">
        <f t="shared" si="6"/>
        <v>7992.8123900984001</v>
      </c>
      <c r="O14" s="93">
        <f t="shared" si="6"/>
        <v>7992.8123900984001</v>
      </c>
      <c r="P14" s="93">
        <f t="shared" si="6"/>
        <v>7873.9444904504007</v>
      </c>
      <c r="Q14" s="93">
        <f t="shared" si="6"/>
        <v>112629.4009937568</v>
      </c>
      <c r="R14" s="83"/>
      <c r="S14" s="24"/>
    </row>
    <row r="15" spans="1:21" ht="16.5" thickBot="1" x14ac:dyDescent="0.4"/>
    <row r="16" spans="1:21" ht="18" thickBot="1" x14ac:dyDescent="0.4">
      <c r="B16" s="10" t="s">
        <v>478</v>
      </c>
      <c r="C16" s="85"/>
      <c r="E16" s="293" t="s">
        <v>453</v>
      </c>
      <c r="O16" s="84"/>
      <c r="P16" s="84"/>
      <c r="Q16" s="206">
        <f>1.03*5339</f>
        <v>5499.17</v>
      </c>
      <c r="R16" s="7" t="s">
        <v>505</v>
      </c>
      <c r="S16" s="7" t="s">
        <v>302</v>
      </c>
    </row>
    <row r="17" spans="1:19" x14ac:dyDescent="0.35">
      <c r="C17" s="81" t="s">
        <v>298</v>
      </c>
      <c r="D17" s="110" t="s">
        <v>290</v>
      </c>
      <c r="E17" s="81" t="s">
        <v>0</v>
      </c>
      <c r="F17" s="81" t="s">
        <v>1</v>
      </c>
      <c r="G17" s="81" t="s">
        <v>2</v>
      </c>
      <c r="H17" s="81" t="s">
        <v>3</v>
      </c>
      <c r="I17" s="81" t="s">
        <v>4</v>
      </c>
      <c r="J17" s="81" t="s">
        <v>5</v>
      </c>
      <c r="K17" s="81" t="s">
        <v>6</v>
      </c>
      <c r="L17" s="81" t="s">
        <v>7</v>
      </c>
      <c r="M17" s="81" t="s">
        <v>8</v>
      </c>
      <c r="N17" s="81" t="s">
        <v>9</v>
      </c>
      <c r="O17" s="81" t="s">
        <v>10</v>
      </c>
      <c r="P17" s="81" t="s">
        <v>11</v>
      </c>
      <c r="Q17" s="81" t="s">
        <v>12</v>
      </c>
      <c r="R17" s="14"/>
      <c r="S17" s="24"/>
    </row>
    <row r="18" spans="1:19" x14ac:dyDescent="0.35">
      <c r="B18" s="223">
        <f>'361'!$B$1</f>
        <v>3610</v>
      </c>
      <c r="C18" s="7">
        <f>'361'!$B$4</f>
        <v>41821</v>
      </c>
      <c r="D18" s="111">
        <v>8.2093873729214478E-2</v>
      </c>
      <c r="E18" s="7">
        <f>$Q16*$D18</f>
        <v>451.44816759548439</v>
      </c>
      <c r="F18" s="7">
        <f t="shared" ref="F18:P18" si="7">$Q16*$D18</f>
        <v>451.44816759548439</v>
      </c>
      <c r="G18" s="7">
        <f t="shared" si="7"/>
        <v>451.44816759548439</v>
      </c>
      <c r="H18" s="7">
        <f t="shared" si="7"/>
        <v>451.44816759548439</v>
      </c>
      <c r="I18" s="7">
        <f t="shared" si="7"/>
        <v>451.44816759548439</v>
      </c>
      <c r="J18" s="7">
        <f t="shared" si="7"/>
        <v>451.44816759548439</v>
      </c>
      <c r="K18" s="7">
        <f t="shared" si="7"/>
        <v>451.44816759548439</v>
      </c>
      <c r="L18" s="7">
        <f t="shared" si="7"/>
        <v>451.44816759548439</v>
      </c>
      <c r="M18" s="7">
        <f t="shared" si="7"/>
        <v>451.44816759548439</v>
      </c>
      <c r="N18" s="7">
        <f t="shared" si="7"/>
        <v>451.44816759548439</v>
      </c>
      <c r="O18" s="7">
        <f t="shared" si="7"/>
        <v>451.44816759548439</v>
      </c>
      <c r="P18" s="7">
        <f t="shared" si="7"/>
        <v>451.44816759548439</v>
      </c>
      <c r="Q18" s="78">
        <f>SUM(E18:P18)</f>
        <v>5417.3780111458127</v>
      </c>
      <c r="R18" s="78"/>
      <c r="S18" s="24"/>
    </row>
    <row r="19" spans="1:19" x14ac:dyDescent="0.35">
      <c r="B19" s="223">
        <f>'362'!$B$1</f>
        <v>3620</v>
      </c>
      <c r="C19" s="7">
        <f>'362'!$B$4</f>
        <v>49020</v>
      </c>
      <c r="D19" s="111">
        <v>9.6225381750940753E-2</v>
      </c>
      <c r="E19" s="297">
        <f>$Q16*$D19</f>
        <v>529.15973256332086</v>
      </c>
      <c r="F19" s="297">
        <f t="shared" ref="F19:P19" si="8">$Q16*$D19</f>
        <v>529.15973256332086</v>
      </c>
      <c r="G19" s="297">
        <f t="shared" si="8"/>
        <v>529.15973256332086</v>
      </c>
      <c r="H19" s="297">
        <f t="shared" si="8"/>
        <v>529.15973256332086</v>
      </c>
      <c r="I19" s="297">
        <f t="shared" si="8"/>
        <v>529.15973256332086</v>
      </c>
      <c r="J19" s="297">
        <f t="shared" si="8"/>
        <v>529.15973256332086</v>
      </c>
      <c r="K19" s="297">
        <f t="shared" si="8"/>
        <v>529.15973256332086</v>
      </c>
      <c r="L19" s="297">
        <f t="shared" si="8"/>
        <v>529.15973256332086</v>
      </c>
      <c r="M19" s="297">
        <f t="shared" si="8"/>
        <v>529.15973256332086</v>
      </c>
      <c r="N19" s="297">
        <f t="shared" si="8"/>
        <v>529.15973256332086</v>
      </c>
      <c r="O19" s="297">
        <f t="shared" si="8"/>
        <v>529.15973256332086</v>
      </c>
      <c r="P19" s="297">
        <f t="shared" si="8"/>
        <v>529.15973256332086</v>
      </c>
      <c r="Q19" s="78">
        <f t="shared" ref="Q19:Q20" si="9">SUM(E19:P19)</f>
        <v>6349.9167907598521</v>
      </c>
      <c r="R19" s="78"/>
      <c r="S19" s="24"/>
    </row>
    <row r="20" spans="1:19" x14ac:dyDescent="0.35">
      <c r="B20" s="223">
        <f>'364'!$B$1</f>
        <v>3640</v>
      </c>
      <c r="C20" s="16">
        <f>'364'!$B$4</f>
        <v>48794</v>
      </c>
      <c r="D20" s="112">
        <v>9.5781747799987826E-2</v>
      </c>
      <c r="E20" s="16">
        <f>$Q16*$D20</f>
        <v>526.72011404925911</v>
      </c>
      <c r="F20" s="16">
        <f t="shared" ref="F20:P20" si="10">$Q16*$D20</f>
        <v>526.72011404925911</v>
      </c>
      <c r="G20" s="16">
        <f t="shared" si="10"/>
        <v>526.72011404925911</v>
      </c>
      <c r="H20" s="16">
        <f t="shared" si="10"/>
        <v>526.72011404925911</v>
      </c>
      <c r="I20" s="16">
        <f t="shared" si="10"/>
        <v>526.72011404925911</v>
      </c>
      <c r="J20" s="16">
        <f t="shared" si="10"/>
        <v>526.72011404925911</v>
      </c>
      <c r="K20" s="16">
        <f t="shared" si="10"/>
        <v>526.72011404925911</v>
      </c>
      <c r="L20" s="16">
        <f t="shared" si="10"/>
        <v>526.72011404925911</v>
      </c>
      <c r="M20" s="16">
        <f t="shared" si="10"/>
        <v>526.72011404925911</v>
      </c>
      <c r="N20" s="16">
        <f t="shared" si="10"/>
        <v>526.72011404925911</v>
      </c>
      <c r="O20" s="16">
        <f t="shared" si="10"/>
        <v>526.72011404925911</v>
      </c>
      <c r="P20" s="16">
        <f t="shared" si="10"/>
        <v>526.72011404925911</v>
      </c>
      <c r="Q20" s="78">
        <f t="shared" si="9"/>
        <v>6320.6413685911075</v>
      </c>
      <c r="R20" s="82"/>
      <c r="S20" s="24"/>
    </row>
    <row r="21" spans="1:19" x14ac:dyDescent="0.35">
      <c r="B21" s="91" t="s">
        <v>454</v>
      </c>
      <c r="C21" s="7">
        <f>SUM(C18:C20)</f>
        <v>139635</v>
      </c>
      <c r="D21" s="113">
        <f>SUM(D18:D20)</f>
        <v>0.27410100328014309</v>
      </c>
      <c r="E21" s="9">
        <f>SUM(E18:E20)</f>
        <v>1507.3280142080644</v>
      </c>
      <c r="F21" s="9">
        <f t="shared" ref="F21:Q21" si="11">SUM(F18:F20)</f>
        <v>1507.3280142080644</v>
      </c>
      <c r="G21" s="9">
        <f t="shared" si="11"/>
        <v>1507.3280142080644</v>
      </c>
      <c r="H21" s="9">
        <f t="shared" si="11"/>
        <v>1507.3280142080644</v>
      </c>
      <c r="I21" s="9">
        <f t="shared" si="11"/>
        <v>1507.3280142080644</v>
      </c>
      <c r="J21" s="9">
        <f t="shared" si="11"/>
        <v>1507.3280142080644</v>
      </c>
      <c r="K21" s="9">
        <f t="shared" si="11"/>
        <v>1507.3280142080644</v>
      </c>
      <c r="L21" s="9">
        <f t="shared" si="11"/>
        <v>1507.3280142080644</v>
      </c>
      <c r="M21" s="9">
        <f t="shared" si="11"/>
        <v>1507.3280142080644</v>
      </c>
      <c r="N21" s="9">
        <f t="shared" si="11"/>
        <v>1507.3280142080644</v>
      </c>
      <c r="O21" s="9">
        <f t="shared" si="11"/>
        <v>1507.3280142080644</v>
      </c>
      <c r="P21" s="9">
        <f t="shared" si="11"/>
        <v>1507.3280142080644</v>
      </c>
      <c r="Q21" s="93">
        <f t="shared" si="11"/>
        <v>18087.936170496771</v>
      </c>
      <c r="R21" s="83"/>
      <c r="S21" s="24"/>
    </row>
    <row r="22" spans="1:19" x14ac:dyDescent="0.35">
      <c r="B22" s="294" t="s">
        <v>455</v>
      </c>
      <c r="C22" s="60">
        <v>397315</v>
      </c>
      <c r="D22" s="295">
        <v>0.72589899671985691</v>
      </c>
    </row>
    <row r="23" spans="1:19" x14ac:dyDescent="0.35">
      <c r="B23" s="91" t="s">
        <v>291</v>
      </c>
      <c r="C23" s="7">
        <f>C21+C22</f>
        <v>536950</v>
      </c>
      <c r="D23" s="40">
        <f>D21+D22</f>
        <v>1</v>
      </c>
    </row>
    <row r="24" spans="1:19" ht="16.5" thickBot="1" x14ac:dyDescent="0.4"/>
    <row r="25" spans="1:19" ht="18" thickBot="1" x14ac:dyDescent="0.4">
      <c r="B25" s="10" t="s">
        <v>477</v>
      </c>
      <c r="C25" s="85"/>
      <c r="D25" s="14"/>
      <c r="O25" s="84"/>
      <c r="P25" s="84"/>
      <c r="Q25" s="292">
        <f>0.0075*1.03</f>
        <v>7.7250000000000001E-3</v>
      </c>
      <c r="R25" s="7" t="s">
        <v>450</v>
      </c>
      <c r="S25" s="7" t="s">
        <v>302</v>
      </c>
    </row>
    <row r="26" spans="1:19" x14ac:dyDescent="0.35">
      <c r="C26" s="81" t="s">
        <v>298</v>
      </c>
      <c r="D26" s="81"/>
      <c r="E26" s="81" t="s">
        <v>0</v>
      </c>
      <c r="F26" s="81" t="s">
        <v>1</v>
      </c>
      <c r="G26" s="81" t="s">
        <v>2</v>
      </c>
      <c r="H26" s="81" t="s">
        <v>3</v>
      </c>
      <c r="I26" s="81" t="s">
        <v>4</v>
      </c>
      <c r="J26" s="81" t="s">
        <v>5</v>
      </c>
      <c r="K26" s="81" t="s">
        <v>6</v>
      </c>
      <c r="L26" s="81" t="s">
        <v>7</v>
      </c>
      <c r="M26" s="81" t="s">
        <v>8</v>
      </c>
      <c r="N26" s="81" t="s">
        <v>9</v>
      </c>
      <c r="O26" s="81" t="s">
        <v>10</v>
      </c>
      <c r="P26" s="81" t="s">
        <v>11</v>
      </c>
      <c r="Q26" s="81" t="s">
        <v>12</v>
      </c>
      <c r="R26" s="14"/>
      <c r="S26" s="24"/>
    </row>
    <row r="27" spans="1:19" x14ac:dyDescent="0.35">
      <c r="B27" s="223">
        <f>'361'!$B$1</f>
        <v>3610</v>
      </c>
      <c r="C27" s="7">
        <f>'361'!$B$4</f>
        <v>41821</v>
      </c>
      <c r="D27" s="287"/>
      <c r="E27" s="47">
        <f>$Q$25*('361'!$B$4-'361'!E$7)</f>
        <v>132.52217569500002</v>
      </c>
      <c r="F27" s="47">
        <f>$Q$25*('361'!$B$4-'361'!F$7)</f>
        <v>132.52217569500002</v>
      </c>
      <c r="G27" s="47">
        <f>$Q$25*('361'!$B$4-'361'!G$7)</f>
        <v>132.52217569500002</v>
      </c>
      <c r="H27" s="47">
        <f>$Q$25*('361'!$B$4-'361'!H$7)</f>
        <v>132.52217569500002</v>
      </c>
      <c r="I27" s="47">
        <f>$Q$25*('361'!$B$4-'361'!I$7)</f>
        <v>132.52217569500002</v>
      </c>
      <c r="J27" s="47">
        <f>$Q$25*('361'!$B$4-'361'!J$7)</f>
        <v>132.52217569500002</v>
      </c>
      <c r="K27" s="47">
        <f>$Q$25*('361'!$B$4-'361'!K$7)</f>
        <v>132.52217569500002</v>
      </c>
      <c r="L27" s="47">
        <f>$Q$25*('361'!$B$4-'361'!L$7)</f>
        <v>132.52217569500002</v>
      </c>
      <c r="M27" s="47">
        <f>$Q$25*('361'!$B$4-'361'!M$7)</f>
        <v>132.52217569500002</v>
      </c>
      <c r="N27" s="47">
        <f>$Q$25*('361'!$B$4-'361'!N$7)</f>
        <v>132.52217569500002</v>
      </c>
      <c r="O27" s="47">
        <f>$Q$25*('361'!$B$4-'361'!O$7)</f>
        <v>132.52217569500002</v>
      </c>
      <c r="P27" s="47">
        <f>$Q$25*('361'!$B$4-'361'!P$7)</f>
        <v>132.52217569500002</v>
      </c>
      <c r="Q27" s="78">
        <f>SUM(E27:P27)</f>
        <v>1590.2661083400001</v>
      </c>
      <c r="R27" s="78"/>
      <c r="S27" s="24"/>
    </row>
    <row r="28" spans="1:19" x14ac:dyDescent="0.35">
      <c r="B28" s="223">
        <f>'362'!$B$1</f>
        <v>3620</v>
      </c>
      <c r="C28" s="7">
        <f>'362'!$B$4</f>
        <v>49020</v>
      </c>
      <c r="D28" s="287"/>
      <c r="E28" s="7">
        <f>$Q$25*('362'!$B$4-'362'!E$7)</f>
        <v>217.13482529999999</v>
      </c>
      <c r="F28" s="7">
        <f>$Q$25*('362'!$B$4-'362'!F$7)</f>
        <v>217.13482529999999</v>
      </c>
      <c r="G28" s="7">
        <f>$Q$25*('362'!$B$4-'362'!G$7)</f>
        <v>217.13482529999999</v>
      </c>
      <c r="H28" s="7">
        <f>$Q$25*('362'!$B$4-'362'!H$7)</f>
        <v>217.13482529999999</v>
      </c>
      <c r="I28" s="7">
        <f>$Q$25*('362'!$B$4-'362'!I$7)</f>
        <v>217.13482529999999</v>
      </c>
      <c r="J28" s="7">
        <f>$Q$25*('362'!$B$4-'362'!J$7)</f>
        <v>217.13482529999999</v>
      </c>
      <c r="K28" s="7">
        <f>$Q$25*('362'!$B$4-'362'!K$7)</f>
        <v>217.13482529999999</v>
      </c>
      <c r="L28" s="7">
        <f>$Q$25*('362'!$B$4-'362'!L$7)</f>
        <v>217.13482529999999</v>
      </c>
      <c r="M28" s="7">
        <f>$Q$25*('362'!$B$4-'362'!M$7)</f>
        <v>217.13482529999999</v>
      </c>
      <c r="N28" s="7">
        <f>$Q$25*('362'!$B$4-'362'!N$7)</f>
        <v>217.13482529999999</v>
      </c>
      <c r="O28" s="7">
        <f>$Q$25*('362'!$B$4-'362'!O$7)</f>
        <v>217.13482529999999</v>
      </c>
      <c r="P28" s="7">
        <f>$Q$25*('362'!$B$4-'362'!P$7)</f>
        <v>223.7238486</v>
      </c>
      <c r="Q28" s="78">
        <f t="shared" ref="Q28:Q29" si="12">SUM(E28:P28)</f>
        <v>2612.2069269000008</v>
      </c>
      <c r="R28" s="78"/>
      <c r="S28" s="24"/>
    </row>
    <row r="29" spans="1:19" x14ac:dyDescent="0.35">
      <c r="B29" s="223">
        <f>'364'!$B$1</f>
        <v>3640</v>
      </c>
      <c r="C29" s="16">
        <f>'364'!$B$4</f>
        <v>48794</v>
      </c>
      <c r="D29" s="291"/>
      <c r="E29" s="16">
        <f>$Q$25*('364'!$B$4-'364'!E$7)</f>
        <v>66.604175954999988</v>
      </c>
      <c r="F29" s="16">
        <f>$Q$25*('364'!$B$4-'364'!F$7)</f>
        <v>66.604175954999988</v>
      </c>
      <c r="G29" s="16">
        <f>$Q$25*('364'!$B$4-'364'!G$7)</f>
        <v>66.604175954999988</v>
      </c>
      <c r="H29" s="16">
        <f>$Q$25*('364'!$B$4-'364'!H$7)</f>
        <v>123.74731729500002</v>
      </c>
      <c r="I29" s="16">
        <f>$Q$25*('364'!$B$4-'364'!I$7)</f>
        <v>123.74731729500002</v>
      </c>
      <c r="J29" s="16">
        <f>$Q$25*('364'!$B$4-'364'!J$7)</f>
        <v>123.74731729500002</v>
      </c>
      <c r="K29" s="16">
        <f>$Q$25*('364'!$B$4-'364'!K$7)</f>
        <v>123.74731729500002</v>
      </c>
      <c r="L29" s="16">
        <f>$Q$25*('364'!$B$4-'364'!L$7)</f>
        <v>123.74731729500002</v>
      </c>
      <c r="M29" s="16">
        <f>$Q$25*('364'!$B$4-'364'!M$7)</f>
        <v>123.74731729500002</v>
      </c>
      <c r="N29" s="16">
        <f>$Q$25*('364'!$B$4-'364'!N$7)</f>
        <v>209.23586911500001</v>
      </c>
      <c r="O29" s="16">
        <f>$Q$25*('364'!$B$4-'364'!O$7)</f>
        <v>209.23586911500001</v>
      </c>
      <c r="P29" s="16">
        <f>$Q$25*('364'!$B$4-'364'!P$7)</f>
        <v>209.23586911500001</v>
      </c>
      <c r="Q29" s="78">
        <f t="shared" si="12"/>
        <v>1570.0040389800001</v>
      </c>
      <c r="R29" s="82"/>
      <c r="S29" s="24"/>
    </row>
    <row r="30" spans="1:19" x14ac:dyDescent="0.35">
      <c r="B30" s="91" t="s">
        <v>291</v>
      </c>
      <c r="C30" s="7">
        <f>SUM(C27:C29)</f>
        <v>139635</v>
      </c>
      <c r="D30" s="296"/>
      <c r="E30" s="9">
        <f t="shared" ref="E30:Q30" si="13">SUM(E27:E29)</f>
        <v>416.26117694999994</v>
      </c>
      <c r="F30" s="93">
        <f t="shared" si="13"/>
        <v>416.26117694999994</v>
      </c>
      <c r="G30" s="93">
        <f t="shared" si="13"/>
        <v>416.26117694999994</v>
      </c>
      <c r="H30" s="93">
        <f t="shared" si="13"/>
        <v>473.40431828999999</v>
      </c>
      <c r="I30" s="93">
        <f t="shared" si="13"/>
        <v>473.40431828999999</v>
      </c>
      <c r="J30" s="93">
        <f t="shared" si="13"/>
        <v>473.40431828999999</v>
      </c>
      <c r="K30" s="93">
        <f t="shared" si="13"/>
        <v>473.40431828999999</v>
      </c>
      <c r="L30" s="93">
        <f t="shared" si="13"/>
        <v>473.40431828999999</v>
      </c>
      <c r="M30" s="93">
        <f t="shared" si="13"/>
        <v>473.40431828999999</v>
      </c>
      <c r="N30" s="93">
        <f t="shared" si="13"/>
        <v>558.89287010999999</v>
      </c>
      <c r="O30" s="93">
        <f t="shared" si="13"/>
        <v>558.89287010999999</v>
      </c>
      <c r="P30" s="93">
        <f t="shared" si="13"/>
        <v>565.48189341</v>
      </c>
      <c r="Q30" s="93">
        <f t="shared" si="13"/>
        <v>5772.4770742200017</v>
      </c>
      <c r="R30" s="83"/>
      <c r="S30" s="24"/>
    </row>
    <row r="31" spans="1:19" ht="16.5" thickBot="1" x14ac:dyDescent="0.4"/>
    <row r="32" spans="1:19" ht="18" thickBot="1" x14ac:dyDescent="0.4">
      <c r="A32" s="7" t="s">
        <v>268</v>
      </c>
      <c r="B32" s="10" t="s">
        <v>475</v>
      </c>
      <c r="C32" s="85"/>
      <c r="D32" s="14"/>
      <c r="O32" s="84"/>
      <c r="P32" s="84"/>
      <c r="Q32" s="206">
        <v>164720</v>
      </c>
      <c r="S32" s="7" t="s">
        <v>602</v>
      </c>
    </row>
    <row r="33" spans="1:19" x14ac:dyDescent="0.35">
      <c r="C33" s="81" t="s">
        <v>298</v>
      </c>
      <c r="D33" s="110" t="s">
        <v>290</v>
      </c>
      <c r="E33" s="81" t="s">
        <v>0</v>
      </c>
      <c r="F33" s="81" t="s">
        <v>1</v>
      </c>
      <c r="G33" s="81" t="s">
        <v>2</v>
      </c>
      <c r="H33" s="81" t="s">
        <v>3</v>
      </c>
      <c r="I33" s="81" t="s">
        <v>4</v>
      </c>
      <c r="J33" s="81" t="s">
        <v>5</v>
      </c>
      <c r="K33" s="81" t="s">
        <v>6</v>
      </c>
      <c r="L33" s="81" t="s">
        <v>7</v>
      </c>
      <c r="M33" s="81" t="s">
        <v>8</v>
      </c>
      <c r="N33" s="81" t="s">
        <v>9</v>
      </c>
      <c r="O33" s="81" t="s">
        <v>10</v>
      </c>
      <c r="P33" s="81" t="s">
        <v>11</v>
      </c>
      <c r="Q33" s="81" t="s">
        <v>12</v>
      </c>
      <c r="R33" s="14"/>
      <c r="S33" s="24"/>
    </row>
    <row r="34" spans="1:19" x14ac:dyDescent="0.35">
      <c r="B34" s="223">
        <f>'361'!$B$1</f>
        <v>3610</v>
      </c>
      <c r="C34" s="7">
        <f>'361'!$B$4</f>
        <v>41821</v>
      </c>
      <c r="D34" s="111">
        <f t="shared" ref="D34:D36" si="14">D97</f>
        <v>0.3</v>
      </c>
      <c r="E34" s="7">
        <f>$Q32*$D34/4</f>
        <v>12354</v>
      </c>
      <c r="F34" s="7">
        <v>0</v>
      </c>
      <c r="G34" s="7">
        <v>0</v>
      </c>
      <c r="H34" s="7">
        <f>$Q32*$D34/4</f>
        <v>12354</v>
      </c>
      <c r="I34" s="7">
        <v>0</v>
      </c>
      <c r="J34" s="7">
        <v>0</v>
      </c>
      <c r="K34" s="7">
        <f>$Q32*$D34/4</f>
        <v>12354</v>
      </c>
      <c r="L34" s="7">
        <v>0</v>
      </c>
      <c r="M34" s="7">
        <v>0</v>
      </c>
      <c r="N34" s="7">
        <f>$Q32*$D34/4</f>
        <v>12354</v>
      </c>
      <c r="O34" s="7">
        <v>0</v>
      </c>
      <c r="P34" s="7">
        <v>0</v>
      </c>
      <c r="Q34" s="78">
        <f>SUM(E34:P34)</f>
        <v>49416</v>
      </c>
      <c r="R34" s="78"/>
      <c r="S34" s="24"/>
    </row>
    <row r="35" spans="1:19" x14ac:dyDescent="0.35">
      <c r="B35" s="223">
        <f>'362'!$B$1</f>
        <v>3620</v>
      </c>
      <c r="C35" s="7">
        <f>'362'!$B$4</f>
        <v>49020</v>
      </c>
      <c r="D35" s="111">
        <f t="shared" si="14"/>
        <v>0.35</v>
      </c>
      <c r="E35" s="7">
        <f>$Q32*$D35/4</f>
        <v>14412.999999999998</v>
      </c>
      <c r="F35" s="7">
        <v>0</v>
      </c>
      <c r="G35" s="7">
        <v>0</v>
      </c>
      <c r="H35" s="7">
        <f>$Q32*$D35/4</f>
        <v>14412.999999999998</v>
      </c>
      <c r="I35" s="7">
        <v>0</v>
      </c>
      <c r="J35" s="7">
        <v>0</v>
      </c>
      <c r="K35" s="7">
        <f>$Q32*$D35/4</f>
        <v>14412.999999999998</v>
      </c>
      <c r="L35" s="7">
        <v>0</v>
      </c>
      <c r="M35" s="7">
        <v>0</v>
      </c>
      <c r="N35" s="7">
        <f>$Q32*$D35/4</f>
        <v>14412.999999999998</v>
      </c>
      <c r="O35" s="7">
        <v>0</v>
      </c>
      <c r="P35" s="7">
        <v>0</v>
      </c>
      <c r="Q35" s="78">
        <f t="shared" ref="Q35:Q36" si="15">SUM(E35:P35)</f>
        <v>57651.999999999993</v>
      </c>
      <c r="R35" s="78"/>
      <c r="S35" s="24"/>
    </row>
    <row r="36" spans="1:19" x14ac:dyDescent="0.35">
      <c r="B36" s="223">
        <f>'364'!$B$1</f>
        <v>3640</v>
      </c>
      <c r="C36" s="16">
        <f>'364'!$B$4</f>
        <v>48794</v>
      </c>
      <c r="D36" s="112">
        <f t="shared" si="14"/>
        <v>0.35</v>
      </c>
      <c r="E36" s="16">
        <f>$Q32*$D36/4</f>
        <v>14412.999999999998</v>
      </c>
      <c r="F36" s="16">
        <v>0</v>
      </c>
      <c r="G36" s="16">
        <v>0</v>
      </c>
      <c r="H36" s="16">
        <f>$Q32*$D36/4</f>
        <v>14412.999999999998</v>
      </c>
      <c r="I36" s="16">
        <v>0</v>
      </c>
      <c r="J36" s="16">
        <v>0</v>
      </c>
      <c r="K36" s="16">
        <f>$Q32*$D36/4</f>
        <v>14412.999999999998</v>
      </c>
      <c r="L36" s="16">
        <v>0</v>
      </c>
      <c r="M36" s="16">
        <v>0</v>
      </c>
      <c r="N36" s="16">
        <f>$Q32*$D36/4</f>
        <v>14412.999999999998</v>
      </c>
      <c r="O36" s="16">
        <v>0</v>
      </c>
      <c r="P36" s="16">
        <v>0</v>
      </c>
      <c r="Q36" s="78">
        <f t="shared" si="15"/>
        <v>57651.999999999993</v>
      </c>
      <c r="R36" s="78"/>
      <c r="S36" s="24"/>
    </row>
    <row r="37" spans="1:19" x14ac:dyDescent="0.35">
      <c r="B37" s="91" t="s">
        <v>291</v>
      </c>
      <c r="C37" s="7">
        <f t="shared" ref="C37:Q37" si="16">SUM(C34:C36)</f>
        <v>139635</v>
      </c>
      <c r="D37" s="113">
        <f t="shared" si="16"/>
        <v>0.99999999999999989</v>
      </c>
      <c r="E37" s="9">
        <f t="shared" si="16"/>
        <v>41180</v>
      </c>
      <c r="F37" s="93">
        <f t="shared" si="16"/>
        <v>0</v>
      </c>
      <c r="G37" s="93">
        <f t="shared" si="16"/>
        <v>0</v>
      </c>
      <c r="H37" s="93">
        <f t="shared" si="16"/>
        <v>41180</v>
      </c>
      <c r="I37" s="93">
        <f t="shared" si="16"/>
        <v>0</v>
      </c>
      <c r="J37" s="93">
        <f t="shared" si="16"/>
        <v>0</v>
      </c>
      <c r="K37" s="93">
        <f t="shared" si="16"/>
        <v>41180</v>
      </c>
      <c r="L37" s="93">
        <f t="shared" si="16"/>
        <v>0</v>
      </c>
      <c r="M37" s="93">
        <f t="shared" si="16"/>
        <v>0</v>
      </c>
      <c r="N37" s="93">
        <f t="shared" si="16"/>
        <v>41180</v>
      </c>
      <c r="O37" s="93">
        <f t="shared" si="16"/>
        <v>0</v>
      </c>
      <c r="P37" s="93">
        <f t="shared" si="16"/>
        <v>0</v>
      </c>
      <c r="Q37" s="93">
        <f t="shared" si="16"/>
        <v>164720</v>
      </c>
      <c r="R37" s="83"/>
      <c r="S37" s="24"/>
    </row>
    <row r="38" spans="1:19" ht="16.5" thickBot="1" x14ac:dyDescent="0.4"/>
    <row r="39" spans="1:19" ht="18" thickBot="1" x14ac:dyDescent="0.4">
      <c r="A39" s="60" t="s">
        <v>113</v>
      </c>
      <c r="B39" s="10" t="s">
        <v>301</v>
      </c>
      <c r="C39" s="85"/>
      <c r="D39" s="14"/>
      <c r="O39" s="84"/>
      <c r="P39" s="84"/>
      <c r="Q39" s="206">
        <v>58451</v>
      </c>
      <c r="S39" s="7" t="s">
        <v>596</v>
      </c>
    </row>
    <row r="40" spans="1:19" x14ac:dyDescent="0.35">
      <c r="C40" s="81" t="s">
        <v>298</v>
      </c>
      <c r="D40" s="110" t="s">
        <v>290</v>
      </c>
      <c r="E40" s="81" t="s">
        <v>0</v>
      </c>
      <c r="F40" s="81" t="s">
        <v>1</v>
      </c>
      <c r="G40" s="81" t="s">
        <v>2</v>
      </c>
      <c r="H40" s="81" t="s">
        <v>3</v>
      </c>
      <c r="I40" s="81" t="s">
        <v>4</v>
      </c>
      <c r="J40" s="81" t="s">
        <v>5</v>
      </c>
      <c r="K40" s="81" t="s">
        <v>6</v>
      </c>
      <c r="L40" s="81" t="s">
        <v>7</v>
      </c>
      <c r="M40" s="81" t="s">
        <v>8</v>
      </c>
      <c r="N40" s="81" t="s">
        <v>9</v>
      </c>
      <c r="O40" s="81" t="s">
        <v>10</v>
      </c>
      <c r="P40" s="81" t="s">
        <v>11</v>
      </c>
      <c r="Q40" s="81" t="s">
        <v>12</v>
      </c>
      <c r="R40" s="14"/>
      <c r="S40" s="24"/>
    </row>
    <row r="41" spans="1:19" x14ac:dyDescent="0.35">
      <c r="B41" s="223">
        <f>'361'!$B$1</f>
        <v>3610</v>
      </c>
      <c r="C41" s="7">
        <f>'361'!$B$4</f>
        <v>41821</v>
      </c>
      <c r="D41" s="111">
        <f t="shared" ref="D41:D43" si="17">D4</f>
        <v>0.3</v>
      </c>
      <c r="E41" s="7">
        <f t="shared" ref="E41:P41" si="18">$Q39*$D41/12</f>
        <v>1461.2749999999999</v>
      </c>
      <c r="F41" s="7">
        <f t="shared" si="18"/>
        <v>1461.2749999999999</v>
      </c>
      <c r="G41" s="7">
        <f t="shared" si="18"/>
        <v>1461.2749999999999</v>
      </c>
      <c r="H41" s="7">
        <f t="shared" si="18"/>
        <v>1461.2749999999999</v>
      </c>
      <c r="I41" s="7">
        <f t="shared" si="18"/>
        <v>1461.2749999999999</v>
      </c>
      <c r="J41" s="7">
        <f t="shared" si="18"/>
        <v>1461.2749999999999</v>
      </c>
      <c r="K41" s="7">
        <f t="shared" si="18"/>
        <v>1461.2749999999999</v>
      </c>
      <c r="L41" s="7">
        <f t="shared" si="18"/>
        <v>1461.2749999999999</v>
      </c>
      <c r="M41" s="7">
        <f t="shared" si="18"/>
        <v>1461.2749999999999</v>
      </c>
      <c r="N41" s="7">
        <f t="shared" si="18"/>
        <v>1461.2749999999999</v>
      </c>
      <c r="O41" s="7">
        <f t="shared" si="18"/>
        <v>1461.2749999999999</v>
      </c>
      <c r="P41" s="7">
        <f t="shared" si="18"/>
        <v>1461.2749999999999</v>
      </c>
      <c r="Q41" s="78">
        <f>SUM(E41:P41)</f>
        <v>17535.3</v>
      </c>
      <c r="R41" s="78"/>
      <c r="S41" s="24"/>
    </row>
    <row r="42" spans="1:19" x14ac:dyDescent="0.35">
      <c r="B42" s="223">
        <f>'362'!$B$1</f>
        <v>3620</v>
      </c>
      <c r="C42" s="7">
        <f>'362'!$B$4</f>
        <v>49020</v>
      </c>
      <c r="D42" s="111">
        <f t="shared" si="17"/>
        <v>0.35</v>
      </c>
      <c r="E42" s="7">
        <f t="shared" ref="E42:P42" si="19">$Q39*$D42/12</f>
        <v>1704.8208333333332</v>
      </c>
      <c r="F42" s="7">
        <f t="shared" si="19"/>
        <v>1704.8208333333332</v>
      </c>
      <c r="G42" s="7">
        <f t="shared" si="19"/>
        <v>1704.8208333333332</v>
      </c>
      <c r="H42" s="7">
        <f t="shared" si="19"/>
        <v>1704.8208333333332</v>
      </c>
      <c r="I42" s="7">
        <f t="shared" si="19"/>
        <v>1704.8208333333332</v>
      </c>
      <c r="J42" s="7">
        <f t="shared" si="19"/>
        <v>1704.8208333333332</v>
      </c>
      <c r="K42" s="7">
        <f t="shared" si="19"/>
        <v>1704.8208333333332</v>
      </c>
      <c r="L42" s="7">
        <f t="shared" si="19"/>
        <v>1704.8208333333332</v>
      </c>
      <c r="M42" s="7">
        <f t="shared" si="19"/>
        <v>1704.8208333333332</v>
      </c>
      <c r="N42" s="7">
        <f t="shared" si="19"/>
        <v>1704.8208333333332</v>
      </c>
      <c r="O42" s="7">
        <f t="shared" si="19"/>
        <v>1704.8208333333332</v>
      </c>
      <c r="P42" s="7">
        <f t="shared" si="19"/>
        <v>1704.8208333333332</v>
      </c>
      <c r="Q42" s="78">
        <f t="shared" ref="Q42:Q43" si="20">SUM(E42:P42)</f>
        <v>20457.849999999999</v>
      </c>
      <c r="R42" s="78"/>
      <c r="S42" s="24"/>
    </row>
    <row r="43" spans="1:19" x14ac:dyDescent="0.35">
      <c r="B43" s="223">
        <f>'364'!$B$1</f>
        <v>3640</v>
      </c>
      <c r="C43" s="16">
        <f>'364'!$B$4</f>
        <v>48794</v>
      </c>
      <c r="D43" s="112">
        <f t="shared" si="17"/>
        <v>0.35</v>
      </c>
      <c r="E43" s="16">
        <f t="shared" ref="E43:P43" si="21">$Q39*$D43/12</f>
        <v>1704.8208333333332</v>
      </c>
      <c r="F43" s="16">
        <f t="shared" si="21"/>
        <v>1704.8208333333332</v>
      </c>
      <c r="G43" s="16">
        <f t="shared" si="21"/>
        <v>1704.8208333333332</v>
      </c>
      <c r="H43" s="16">
        <f t="shared" si="21"/>
        <v>1704.8208333333332</v>
      </c>
      <c r="I43" s="16">
        <f t="shared" si="21"/>
        <v>1704.8208333333332</v>
      </c>
      <c r="J43" s="16">
        <f t="shared" si="21"/>
        <v>1704.8208333333332</v>
      </c>
      <c r="K43" s="16">
        <f t="shared" si="21"/>
        <v>1704.8208333333332</v>
      </c>
      <c r="L43" s="16">
        <f t="shared" si="21"/>
        <v>1704.8208333333332</v>
      </c>
      <c r="M43" s="16">
        <f t="shared" si="21"/>
        <v>1704.8208333333332</v>
      </c>
      <c r="N43" s="16">
        <f t="shared" si="21"/>
        <v>1704.8208333333332</v>
      </c>
      <c r="O43" s="16">
        <f t="shared" si="21"/>
        <v>1704.8208333333332</v>
      </c>
      <c r="P43" s="16">
        <f t="shared" si="21"/>
        <v>1704.8208333333332</v>
      </c>
      <c r="Q43" s="78">
        <f t="shared" si="20"/>
        <v>20457.849999999999</v>
      </c>
      <c r="R43" s="78"/>
      <c r="S43" s="24"/>
    </row>
    <row r="44" spans="1:19" x14ac:dyDescent="0.35">
      <c r="B44" s="91" t="s">
        <v>291</v>
      </c>
      <c r="C44" s="7">
        <f t="shared" ref="C44:Q44" si="22">SUM(C41:C43)</f>
        <v>139635</v>
      </c>
      <c r="D44" s="113">
        <f t="shared" si="22"/>
        <v>0.99999999999999989</v>
      </c>
      <c r="E44" s="9">
        <f t="shared" si="22"/>
        <v>4870.9166666666661</v>
      </c>
      <c r="F44" s="93">
        <f t="shared" si="22"/>
        <v>4870.9166666666661</v>
      </c>
      <c r="G44" s="93">
        <f t="shared" si="22"/>
        <v>4870.9166666666661</v>
      </c>
      <c r="H44" s="93">
        <f t="shared" si="22"/>
        <v>4870.9166666666661</v>
      </c>
      <c r="I44" s="93">
        <f t="shared" si="22"/>
        <v>4870.9166666666661</v>
      </c>
      <c r="J44" s="93">
        <f t="shared" si="22"/>
        <v>4870.9166666666661</v>
      </c>
      <c r="K44" s="93">
        <f t="shared" si="22"/>
        <v>4870.9166666666661</v>
      </c>
      <c r="L44" s="93">
        <f t="shared" si="22"/>
        <v>4870.9166666666661</v>
      </c>
      <c r="M44" s="93">
        <f t="shared" si="22"/>
        <v>4870.9166666666661</v>
      </c>
      <c r="N44" s="93">
        <f t="shared" si="22"/>
        <v>4870.9166666666661</v>
      </c>
      <c r="O44" s="93">
        <f t="shared" si="22"/>
        <v>4870.9166666666661</v>
      </c>
      <c r="P44" s="93">
        <f t="shared" si="22"/>
        <v>4870.9166666666661</v>
      </c>
      <c r="Q44" s="93">
        <f t="shared" si="22"/>
        <v>58450.999999999993</v>
      </c>
      <c r="R44" s="83"/>
      <c r="S44" s="24"/>
    </row>
    <row r="45" spans="1:19" ht="16.5" thickBot="1" x14ac:dyDescent="0.4">
      <c r="D45" s="14"/>
    </row>
    <row r="46" spans="1:19" ht="18" thickBot="1" x14ac:dyDescent="0.4">
      <c r="A46" s="7" t="s">
        <v>114</v>
      </c>
      <c r="B46" s="10" t="s">
        <v>473</v>
      </c>
      <c r="C46" s="85"/>
      <c r="D46" s="14"/>
      <c r="O46" s="84"/>
      <c r="P46" s="84"/>
      <c r="Q46" s="206">
        <f>1.03*6300</f>
        <v>6489</v>
      </c>
      <c r="S46" s="7" t="s">
        <v>302</v>
      </c>
    </row>
    <row r="47" spans="1:19" x14ac:dyDescent="0.35">
      <c r="C47" s="81" t="s">
        <v>298</v>
      </c>
      <c r="D47" s="110" t="s">
        <v>290</v>
      </c>
      <c r="E47" s="81" t="s">
        <v>0</v>
      </c>
      <c r="F47" s="81" t="s">
        <v>1</v>
      </c>
      <c r="G47" s="81" t="s">
        <v>2</v>
      </c>
      <c r="H47" s="81" t="s">
        <v>3</v>
      </c>
      <c r="I47" s="81" t="s">
        <v>4</v>
      </c>
      <c r="J47" s="81" t="s">
        <v>5</v>
      </c>
      <c r="K47" s="81" t="s">
        <v>6</v>
      </c>
      <c r="L47" s="81" t="s">
        <v>7</v>
      </c>
      <c r="M47" s="81" t="s">
        <v>8</v>
      </c>
      <c r="N47" s="81" t="s">
        <v>9</v>
      </c>
      <c r="O47" s="81" t="s">
        <v>10</v>
      </c>
      <c r="P47" s="81" t="s">
        <v>11</v>
      </c>
      <c r="Q47" s="81" t="s">
        <v>12</v>
      </c>
      <c r="R47" s="14"/>
      <c r="S47" s="24"/>
    </row>
    <row r="48" spans="1:19" x14ac:dyDescent="0.35">
      <c r="B48" s="223">
        <f>'361'!$B$1</f>
        <v>3610</v>
      </c>
      <c r="C48" s="7">
        <f>'361'!$B$4</f>
        <v>41821</v>
      </c>
      <c r="D48" s="111">
        <f t="shared" ref="D48:D50" si="23">D41</f>
        <v>0.3</v>
      </c>
      <c r="E48" s="7">
        <f>$Q46*$D48/4</f>
        <v>486.67499999999995</v>
      </c>
      <c r="F48" s="7">
        <v>0</v>
      </c>
      <c r="G48" s="7">
        <v>0</v>
      </c>
      <c r="H48" s="7">
        <f>$Q46*$D48/4</f>
        <v>486.67499999999995</v>
      </c>
      <c r="I48" s="7">
        <v>0</v>
      </c>
      <c r="J48" s="7">
        <v>0</v>
      </c>
      <c r="K48" s="7">
        <f>$Q46*$D48/4</f>
        <v>486.67499999999995</v>
      </c>
      <c r="L48" s="7">
        <v>0</v>
      </c>
      <c r="M48" s="7">
        <v>0</v>
      </c>
      <c r="N48" s="7">
        <f>$Q46*$D48/4</f>
        <v>486.67499999999995</v>
      </c>
      <c r="O48" s="7">
        <v>0</v>
      </c>
      <c r="P48" s="7">
        <v>0</v>
      </c>
      <c r="Q48" s="78">
        <f>SUM(E48:P48)</f>
        <v>1946.6999999999998</v>
      </c>
      <c r="R48" s="78"/>
      <c r="S48" s="24"/>
    </row>
    <row r="49" spans="1:24" x14ac:dyDescent="0.35">
      <c r="B49" s="223">
        <f>'362'!$B$1</f>
        <v>3620</v>
      </c>
      <c r="C49" s="7">
        <f>'362'!$B$4</f>
        <v>49020</v>
      </c>
      <c r="D49" s="111">
        <f t="shared" si="23"/>
        <v>0.35</v>
      </c>
      <c r="E49" s="7">
        <f>$Q46*$D49/4</f>
        <v>567.78749999999991</v>
      </c>
      <c r="F49" s="7">
        <v>0</v>
      </c>
      <c r="G49" s="7">
        <v>0</v>
      </c>
      <c r="H49" s="7">
        <f>$Q46*$D49/4</f>
        <v>567.78749999999991</v>
      </c>
      <c r="I49" s="7">
        <v>0</v>
      </c>
      <c r="J49" s="7">
        <v>0</v>
      </c>
      <c r="K49" s="7">
        <f>$Q46*$D49/4</f>
        <v>567.78749999999991</v>
      </c>
      <c r="L49" s="7">
        <v>0</v>
      </c>
      <c r="M49" s="7">
        <v>0</v>
      </c>
      <c r="N49" s="7">
        <f>$Q46*$D49/4</f>
        <v>567.78749999999991</v>
      </c>
      <c r="O49" s="7">
        <v>0</v>
      </c>
      <c r="P49" s="7">
        <v>0</v>
      </c>
      <c r="Q49" s="78">
        <f t="shared" ref="Q49:Q50" si="24">SUM(E49:P49)</f>
        <v>2271.1499999999996</v>
      </c>
      <c r="R49" s="78"/>
      <c r="S49" s="24"/>
    </row>
    <row r="50" spans="1:24" x14ac:dyDescent="0.35">
      <c r="B50" s="223">
        <f>'364'!$B$1</f>
        <v>3640</v>
      </c>
      <c r="C50" s="16">
        <f>'364'!$B$4</f>
        <v>48794</v>
      </c>
      <c r="D50" s="112">
        <f t="shared" si="23"/>
        <v>0.35</v>
      </c>
      <c r="E50" s="16">
        <f>$Q46*$D50/4</f>
        <v>567.78749999999991</v>
      </c>
      <c r="F50" s="16">
        <v>0</v>
      </c>
      <c r="G50" s="16">
        <v>0</v>
      </c>
      <c r="H50" s="16">
        <f>$Q46*$D50/4</f>
        <v>567.78749999999991</v>
      </c>
      <c r="I50" s="16">
        <v>0</v>
      </c>
      <c r="J50" s="16">
        <v>0</v>
      </c>
      <c r="K50" s="16">
        <f>$Q46*$D50/4</f>
        <v>567.78749999999991</v>
      </c>
      <c r="L50" s="16">
        <v>0</v>
      </c>
      <c r="M50" s="16">
        <v>0</v>
      </c>
      <c r="N50" s="16">
        <f>$Q46*$D50/4</f>
        <v>567.78749999999991</v>
      </c>
      <c r="O50" s="16">
        <v>0</v>
      </c>
      <c r="P50" s="16">
        <v>0</v>
      </c>
      <c r="Q50" s="78">
        <f t="shared" si="24"/>
        <v>2271.1499999999996</v>
      </c>
      <c r="R50" s="78"/>
      <c r="S50" s="24"/>
    </row>
    <row r="51" spans="1:24" x14ac:dyDescent="0.35">
      <c r="B51" s="91" t="s">
        <v>291</v>
      </c>
      <c r="C51" s="7">
        <f t="shared" ref="C51:Q51" si="25">SUM(C48:C50)</f>
        <v>139635</v>
      </c>
      <c r="D51" s="113">
        <f t="shared" si="25"/>
        <v>0.99999999999999989</v>
      </c>
      <c r="E51" s="9">
        <f t="shared" si="25"/>
        <v>1622.2499999999998</v>
      </c>
      <c r="F51" s="93">
        <f t="shared" si="25"/>
        <v>0</v>
      </c>
      <c r="G51" s="93">
        <f t="shared" si="25"/>
        <v>0</v>
      </c>
      <c r="H51" s="93">
        <f t="shared" si="25"/>
        <v>1622.2499999999998</v>
      </c>
      <c r="I51" s="93">
        <f t="shared" si="25"/>
        <v>0</v>
      </c>
      <c r="J51" s="93">
        <f t="shared" si="25"/>
        <v>0</v>
      </c>
      <c r="K51" s="93">
        <f t="shared" si="25"/>
        <v>1622.2499999999998</v>
      </c>
      <c r="L51" s="93">
        <f t="shared" si="25"/>
        <v>0</v>
      </c>
      <c r="M51" s="93">
        <f t="shared" si="25"/>
        <v>0</v>
      </c>
      <c r="N51" s="93">
        <f t="shared" si="25"/>
        <v>1622.2499999999998</v>
      </c>
      <c r="O51" s="93">
        <f t="shared" si="25"/>
        <v>0</v>
      </c>
      <c r="P51" s="93">
        <f t="shared" si="25"/>
        <v>0</v>
      </c>
      <c r="Q51" s="93">
        <f t="shared" si="25"/>
        <v>6488.9999999999991</v>
      </c>
      <c r="R51" s="83"/>
      <c r="S51" s="24"/>
    </row>
    <row r="52" spans="1:24" ht="16.5" thickBot="1" x14ac:dyDescent="0.4"/>
    <row r="53" spans="1:24" ht="18" thickBot="1" x14ac:dyDescent="0.4">
      <c r="A53" s="7" t="s">
        <v>116</v>
      </c>
      <c r="B53" s="10" t="s">
        <v>465</v>
      </c>
      <c r="C53" s="85"/>
      <c r="D53" s="14"/>
      <c r="O53" s="84"/>
      <c r="P53" s="84"/>
      <c r="Q53" s="206">
        <f>1250*12</f>
        <v>15000</v>
      </c>
      <c r="S53" s="445" t="s">
        <v>597</v>
      </c>
    </row>
    <row r="54" spans="1:24" x14ac:dyDescent="0.35">
      <c r="C54" s="81" t="s">
        <v>298</v>
      </c>
      <c r="D54" s="110" t="s">
        <v>290</v>
      </c>
      <c r="E54" s="81" t="s">
        <v>0</v>
      </c>
      <c r="F54" s="81" t="s">
        <v>1</v>
      </c>
      <c r="G54" s="81" t="s">
        <v>2</v>
      </c>
      <c r="H54" s="81" t="s">
        <v>3</v>
      </c>
      <c r="I54" s="81" t="s">
        <v>4</v>
      </c>
      <c r="J54" s="81" t="s">
        <v>5</v>
      </c>
      <c r="K54" s="81" t="s">
        <v>6</v>
      </c>
      <c r="L54" s="81" t="s">
        <v>7</v>
      </c>
      <c r="M54" s="81" t="s">
        <v>8</v>
      </c>
      <c r="N54" s="81" t="s">
        <v>9</v>
      </c>
      <c r="O54" s="81" t="s">
        <v>10</v>
      </c>
      <c r="P54" s="81" t="s">
        <v>11</v>
      </c>
      <c r="Q54" s="81" t="s">
        <v>12</v>
      </c>
      <c r="R54" s="14"/>
    </row>
    <row r="55" spans="1:24" x14ac:dyDescent="0.35">
      <c r="B55" s="223">
        <f>'361'!$B$1</f>
        <v>3610</v>
      </c>
      <c r="C55" s="7">
        <f>'361'!$B$4</f>
        <v>41821</v>
      </c>
      <c r="D55" s="111">
        <f t="shared" ref="D55:D57" si="26">D41</f>
        <v>0.3</v>
      </c>
      <c r="E55" s="7">
        <f t="shared" ref="E55:P55" si="27">$Q53*$D55/12</f>
        <v>375</v>
      </c>
      <c r="F55" s="7">
        <f t="shared" si="27"/>
        <v>375</v>
      </c>
      <c r="G55" s="7">
        <f t="shared" si="27"/>
        <v>375</v>
      </c>
      <c r="H55" s="7">
        <f t="shared" si="27"/>
        <v>375</v>
      </c>
      <c r="I55" s="7">
        <f t="shared" si="27"/>
        <v>375</v>
      </c>
      <c r="J55" s="7">
        <f t="shared" si="27"/>
        <v>375</v>
      </c>
      <c r="K55" s="7">
        <f t="shared" si="27"/>
        <v>375</v>
      </c>
      <c r="L55" s="7">
        <f t="shared" si="27"/>
        <v>375</v>
      </c>
      <c r="M55" s="7">
        <f t="shared" si="27"/>
        <v>375</v>
      </c>
      <c r="N55" s="7">
        <f t="shared" si="27"/>
        <v>375</v>
      </c>
      <c r="O55" s="7">
        <f t="shared" si="27"/>
        <v>375</v>
      </c>
      <c r="P55" s="7">
        <f t="shared" si="27"/>
        <v>375</v>
      </c>
      <c r="Q55" s="78">
        <f>SUM(E55:P55)</f>
        <v>4500</v>
      </c>
      <c r="R55" s="78"/>
      <c r="S55" s="24"/>
    </row>
    <row r="56" spans="1:24" x14ac:dyDescent="0.35">
      <c r="B56" s="223">
        <f>'362'!$B$1</f>
        <v>3620</v>
      </c>
      <c r="C56" s="7">
        <f>'362'!$B$4</f>
        <v>49020</v>
      </c>
      <c r="D56" s="111">
        <f t="shared" si="26"/>
        <v>0.35</v>
      </c>
      <c r="E56" s="7">
        <f t="shared" ref="E56:P56" si="28">$Q53*$D56/12</f>
        <v>437.5</v>
      </c>
      <c r="F56" s="7">
        <f t="shared" si="28"/>
        <v>437.5</v>
      </c>
      <c r="G56" s="7">
        <f t="shared" si="28"/>
        <v>437.5</v>
      </c>
      <c r="H56" s="7">
        <f t="shared" si="28"/>
        <v>437.5</v>
      </c>
      <c r="I56" s="7">
        <f t="shared" si="28"/>
        <v>437.5</v>
      </c>
      <c r="J56" s="7">
        <f t="shared" si="28"/>
        <v>437.5</v>
      </c>
      <c r="K56" s="7">
        <f t="shared" si="28"/>
        <v>437.5</v>
      </c>
      <c r="L56" s="7">
        <f t="shared" si="28"/>
        <v>437.5</v>
      </c>
      <c r="M56" s="7">
        <f t="shared" si="28"/>
        <v>437.5</v>
      </c>
      <c r="N56" s="7">
        <f t="shared" si="28"/>
        <v>437.5</v>
      </c>
      <c r="O56" s="7">
        <f t="shared" si="28"/>
        <v>437.5</v>
      </c>
      <c r="P56" s="7">
        <f t="shared" si="28"/>
        <v>437.5</v>
      </c>
      <c r="Q56" s="78">
        <f t="shared" ref="Q56:Q57" si="29">SUM(E56:P56)</f>
        <v>5250</v>
      </c>
      <c r="R56" s="78"/>
      <c r="S56" s="24"/>
    </row>
    <row r="57" spans="1:24" x14ac:dyDescent="0.35">
      <c r="B57" s="223">
        <f>'364'!$B$1</f>
        <v>3640</v>
      </c>
      <c r="C57" s="16">
        <f>'364'!$B$4</f>
        <v>48794</v>
      </c>
      <c r="D57" s="112">
        <f t="shared" si="26"/>
        <v>0.35</v>
      </c>
      <c r="E57" s="16">
        <f t="shared" ref="E57:P57" si="30">$Q53*$D57/12</f>
        <v>437.5</v>
      </c>
      <c r="F57" s="16">
        <f t="shared" si="30"/>
        <v>437.5</v>
      </c>
      <c r="G57" s="16">
        <f t="shared" si="30"/>
        <v>437.5</v>
      </c>
      <c r="H57" s="16">
        <f t="shared" si="30"/>
        <v>437.5</v>
      </c>
      <c r="I57" s="16">
        <f t="shared" si="30"/>
        <v>437.5</v>
      </c>
      <c r="J57" s="16">
        <f t="shared" si="30"/>
        <v>437.5</v>
      </c>
      <c r="K57" s="16">
        <f t="shared" si="30"/>
        <v>437.5</v>
      </c>
      <c r="L57" s="16">
        <f t="shared" si="30"/>
        <v>437.5</v>
      </c>
      <c r="M57" s="16">
        <f t="shared" si="30"/>
        <v>437.5</v>
      </c>
      <c r="N57" s="16">
        <f t="shared" si="30"/>
        <v>437.5</v>
      </c>
      <c r="O57" s="16">
        <f t="shared" si="30"/>
        <v>437.5</v>
      </c>
      <c r="P57" s="16">
        <f t="shared" si="30"/>
        <v>437.5</v>
      </c>
      <c r="Q57" s="78">
        <f t="shared" si="29"/>
        <v>5250</v>
      </c>
      <c r="R57" s="78"/>
      <c r="S57" s="24"/>
    </row>
    <row r="58" spans="1:24" x14ac:dyDescent="0.35">
      <c r="B58" s="91" t="s">
        <v>291</v>
      </c>
      <c r="C58" s="7">
        <f t="shared" ref="C58:Q58" si="31">SUM(C55:C57)</f>
        <v>139635</v>
      </c>
      <c r="D58" s="113">
        <f t="shared" si="31"/>
        <v>0.99999999999999989</v>
      </c>
      <c r="E58" s="9">
        <f t="shared" si="31"/>
        <v>1250</v>
      </c>
      <c r="F58" s="93">
        <f t="shared" si="31"/>
        <v>1250</v>
      </c>
      <c r="G58" s="93">
        <f t="shared" si="31"/>
        <v>1250</v>
      </c>
      <c r="H58" s="93">
        <f t="shared" si="31"/>
        <v>1250</v>
      </c>
      <c r="I58" s="93">
        <f t="shared" si="31"/>
        <v>1250</v>
      </c>
      <c r="J58" s="93">
        <f t="shared" si="31"/>
        <v>1250</v>
      </c>
      <c r="K58" s="93">
        <f t="shared" si="31"/>
        <v>1250</v>
      </c>
      <c r="L58" s="93">
        <f t="shared" si="31"/>
        <v>1250</v>
      </c>
      <c r="M58" s="93">
        <f t="shared" si="31"/>
        <v>1250</v>
      </c>
      <c r="N58" s="93">
        <f t="shared" si="31"/>
        <v>1250</v>
      </c>
      <c r="O58" s="93">
        <f t="shared" si="31"/>
        <v>1250</v>
      </c>
      <c r="P58" s="93">
        <f t="shared" si="31"/>
        <v>1250</v>
      </c>
      <c r="Q58" s="93">
        <f t="shared" si="31"/>
        <v>15000</v>
      </c>
      <c r="R58" s="83"/>
      <c r="S58" s="24"/>
    </row>
    <row r="59" spans="1:24" ht="16.5" thickBot="1" x14ac:dyDescent="0.4">
      <c r="V59" s="7">
        <v>2025</v>
      </c>
    </row>
    <row r="60" spans="1:24" ht="18" thickBot="1" x14ac:dyDescent="0.4">
      <c r="A60" s="7" t="s">
        <v>117</v>
      </c>
      <c r="B60" s="10" t="s">
        <v>467</v>
      </c>
      <c r="C60" s="85"/>
      <c r="D60" s="14"/>
      <c r="O60" s="84"/>
      <c r="P60" s="84"/>
      <c r="Q60" s="206">
        <f>1.03*5000</f>
        <v>5150</v>
      </c>
      <c r="S60" s="424">
        <v>2025</v>
      </c>
      <c r="V60" s="7" t="s">
        <v>583</v>
      </c>
      <c r="W60" s="7">
        <v>2025</v>
      </c>
      <c r="X60" s="7" t="s">
        <v>584</v>
      </c>
    </row>
    <row r="61" spans="1:24" x14ac:dyDescent="0.35">
      <c r="C61" s="81" t="s">
        <v>298</v>
      </c>
      <c r="D61" s="110" t="s">
        <v>290</v>
      </c>
      <c r="E61" s="81" t="s">
        <v>0</v>
      </c>
      <c r="F61" s="81" t="s">
        <v>1</v>
      </c>
      <c r="G61" s="81" t="s">
        <v>2</v>
      </c>
      <c r="H61" s="81" t="s">
        <v>3</v>
      </c>
      <c r="I61" s="81" t="s">
        <v>4</v>
      </c>
      <c r="J61" s="81" t="s">
        <v>5</v>
      </c>
      <c r="K61" s="81" t="s">
        <v>6</v>
      </c>
      <c r="L61" s="81" t="s">
        <v>7</v>
      </c>
      <c r="M61" s="81" t="s">
        <v>8</v>
      </c>
      <c r="N61" s="81" t="s">
        <v>9</v>
      </c>
      <c r="O61" s="81" t="s">
        <v>10</v>
      </c>
      <c r="P61" s="81" t="s">
        <v>11</v>
      </c>
      <c r="Q61" s="81" t="s">
        <v>12</v>
      </c>
      <c r="R61" s="14"/>
      <c r="S61" s="263" t="s">
        <v>14</v>
      </c>
      <c r="T61" s="9" t="s">
        <v>580</v>
      </c>
      <c r="U61" s="7" t="s">
        <v>581</v>
      </c>
      <c r="V61" s="7" t="s">
        <v>582</v>
      </c>
      <c r="W61" s="7" t="s">
        <v>582</v>
      </c>
      <c r="X61" s="7" t="s">
        <v>585</v>
      </c>
    </row>
    <row r="62" spans="1:24" x14ac:dyDescent="0.35">
      <c r="B62" s="223">
        <f>'361'!$B$1</f>
        <v>3610</v>
      </c>
      <c r="C62" s="7">
        <f>'361'!$B$4</f>
        <v>41821</v>
      </c>
      <c r="D62" s="111">
        <f t="shared" ref="D62:D64" si="32">D4</f>
        <v>0.3</v>
      </c>
      <c r="E62" s="47">
        <v>0</v>
      </c>
      <c r="F62" s="7">
        <v>0</v>
      </c>
      <c r="G62" s="7">
        <v>0</v>
      </c>
      <c r="H62" s="7">
        <f>+X62</f>
        <v>950.70844450766936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8">
        <f t="shared" ref="Q62:Q64" si="33">SUM(F62:P62)</f>
        <v>950.70844450766936</v>
      </c>
      <c r="R62" s="78"/>
      <c r="S62" s="7">
        <f>+'361'!Q24</f>
        <v>454067.93359999999</v>
      </c>
      <c r="T62" s="423">
        <v>2.2499999999999998E-3</v>
      </c>
      <c r="U62" s="7">
        <f>+T62*S62</f>
        <v>1021.6528505999999</v>
      </c>
      <c r="V62" s="7">
        <f>-3756*($S62/$S$65)</f>
        <v>-1092.5972566923303</v>
      </c>
      <c r="W62" s="7">
        <f>+V62+U62</f>
        <v>-70.944406092330496</v>
      </c>
      <c r="X62" s="7">
        <f>+W62+U62</f>
        <v>950.70844450766936</v>
      </c>
    </row>
    <row r="63" spans="1:24" x14ac:dyDescent="0.35">
      <c r="B63" s="223">
        <f>'362'!$B$1</f>
        <v>3620</v>
      </c>
      <c r="C63" s="7">
        <f>'362'!$B$4</f>
        <v>49020</v>
      </c>
      <c r="D63" s="111">
        <f t="shared" si="32"/>
        <v>0.35</v>
      </c>
      <c r="E63" s="7">
        <v>0</v>
      </c>
      <c r="F63" s="7">
        <v>0</v>
      </c>
      <c r="G63" s="7">
        <v>0</v>
      </c>
      <c r="H63" s="7">
        <f>+X63</f>
        <v>942.90082169745256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8">
        <f t="shared" si="33"/>
        <v>942.90082169745256</v>
      </c>
      <c r="R63" s="78"/>
      <c r="S63" s="24">
        <f>+'362'!Q24</f>
        <v>450338.93426666671</v>
      </c>
      <c r="T63" s="423">
        <v>2.2499999999999998E-3</v>
      </c>
      <c r="U63" s="7">
        <f>+T63*S63</f>
        <v>1013.2626021</v>
      </c>
      <c r="V63" s="7">
        <f>-3756*($S63/$S$65)</f>
        <v>-1083.6243825025474</v>
      </c>
      <c r="W63" s="7">
        <f>+V63+U63</f>
        <v>-70.361780402547424</v>
      </c>
      <c r="X63" s="7">
        <f>+W63+U63</f>
        <v>942.90082169745256</v>
      </c>
    </row>
    <row r="64" spans="1:24" x14ac:dyDescent="0.35">
      <c r="B64" s="223">
        <f>'364'!$B$1</f>
        <v>3640</v>
      </c>
      <c r="C64" s="16">
        <f>'364'!$B$4</f>
        <v>48794</v>
      </c>
      <c r="D64" s="112">
        <f t="shared" si="32"/>
        <v>0.35</v>
      </c>
      <c r="E64" s="16">
        <v>0</v>
      </c>
      <c r="F64" s="7">
        <v>0</v>
      </c>
      <c r="G64" s="7">
        <v>0</v>
      </c>
      <c r="H64" s="7">
        <f>+X64</f>
        <v>1374.6223678198774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8">
        <f t="shared" si="33"/>
        <v>1374.6223678198774</v>
      </c>
      <c r="R64" s="78"/>
      <c r="S64" s="422">
        <f>+'364'!Q24</f>
        <v>656533.49524999992</v>
      </c>
      <c r="T64" s="423">
        <v>2.2499999999999998E-3</v>
      </c>
      <c r="U64" s="16">
        <f>+T64*S64</f>
        <v>1477.2003643124997</v>
      </c>
      <c r="V64" s="16">
        <f>-3756*($S64/$S$65)</f>
        <v>-1579.778360805122</v>
      </c>
      <c r="W64" s="16">
        <f>+V64+U64</f>
        <v>-102.57799649262233</v>
      </c>
      <c r="X64" s="16">
        <f>+W64+U64</f>
        <v>1374.6223678198774</v>
      </c>
    </row>
    <row r="65" spans="1:24" x14ac:dyDescent="0.35">
      <c r="B65" s="91" t="s">
        <v>291</v>
      </c>
      <c r="C65" s="7">
        <f t="shared" ref="C65:Q65" si="34">SUM(C62:C64)</f>
        <v>139635</v>
      </c>
      <c r="D65" s="113">
        <f t="shared" si="34"/>
        <v>0.99999999999999989</v>
      </c>
      <c r="E65" s="9">
        <f t="shared" si="34"/>
        <v>0</v>
      </c>
      <c r="F65" s="93">
        <f t="shared" si="34"/>
        <v>0</v>
      </c>
      <c r="G65" s="93">
        <f t="shared" si="34"/>
        <v>0</v>
      </c>
      <c r="H65" s="93">
        <f t="shared" si="34"/>
        <v>3268.231634024999</v>
      </c>
      <c r="I65" s="93">
        <f t="shared" si="34"/>
        <v>0</v>
      </c>
      <c r="J65" s="93">
        <f t="shared" si="34"/>
        <v>0</v>
      </c>
      <c r="K65" s="93">
        <f t="shared" si="34"/>
        <v>0</v>
      </c>
      <c r="L65" s="93">
        <f t="shared" si="34"/>
        <v>0</v>
      </c>
      <c r="M65" s="93">
        <f t="shared" si="34"/>
        <v>0</v>
      </c>
      <c r="N65" s="93">
        <f t="shared" si="34"/>
        <v>0</v>
      </c>
      <c r="O65" s="93">
        <f t="shared" si="34"/>
        <v>0</v>
      </c>
      <c r="P65" s="93">
        <f t="shared" si="34"/>
        <v>0</v>
      </c>
      <c r="Q65" s="93">
        <f t="shared" si="34"/>
        <v>3268.231634024999</v>
      </c>
      <c r="R65" s="83"/>
      <c r="S65" s="263">
        <f>SUM(S62:S64)</f>
        <v>1560940.3631166667</v>
      </c>
      <c r="U65" s="263">
        <f>SUM(U62:U64)</f>
        <v>3512.1158170124995</v>
      </c>
      <c r="V65" s="263">
        <f>SUM(V62:V64)</f>
        <v>-3756</v>
      </c>
      <c r="W65" s="7">
        <f>SUM(W62:W64)</f>
        <v>-243.88418298750025</v>
      </c>
      <c r="X65" s="9">
        <f>SUM(X62:X64)</f>
        <v>3268.231634024999</v>
      </c>
    </row>
    <row r="66" spans="1:24" ht="16.5" thickBot="1" x14ac:dyDescent="0.4"/>
    <row r="67" spans="1:24" ht="18" thickBot="1" x14ac:dyDescent="0.4">
      <c r="A67" s="7" t="s">
        <v>118</v>
      </c>
      <c r="B67" s="10" t="s">
        <v>468</v>
      </c>
      <c r="C67" s="85"/>
      <c r="D67" s="14"/>
      <c r="E67" s="14"/>
      <c r="O67" s="84"/>
      <c r="P67" s="84"/>
      <c r="Q67" s="206">
        <v>30884</v>
      </c>
      <c r="S67" s="7" t="s">
        <v>514</v>
      </c>
    </row>
    <row r="68" spans="1:24" x14ac:dyDescent="0.35">
      <c r="C68" s="81" t="s">
        <v>298</v>
      </c>
      <c r="D68" s="110" t="s">
        <v>290</v>
      </c>
      <c r="E68" s="272" t="s">
        <v>0</v>
      </c>
      <c r="F68" s="81" t="s">
        <v>1</v>
      </c>
      <c r="G68" s="81" t="s">
        <v>2</v>
      </c>
      <c r="H68" s="81" t="s">
        <v>3</v>
      </c>
      <c r="I68" s="81" t="s">
        <v>4</v>
      </c>
      <c r="J68" s="81" t="s">
        <v>5</v>
      </c>
      <c r="K68" s="81" t="s">
        <v>6</v>
      </c>
      <c r="L68" s="81" t="s">
        <v>7</v>
      </c>
      <c r="M68" s="81" t="s">
        <v>8</v>
      </c>
      <c r="N68" s="81" t="s">
        <v>9</v>
      </c>
      <c r="O68" s="81" t="s">
        <v>10</v>
      </c>
      <c r="P68" s="81" t="s">
        <v>11</v>
      </c>
      <c r="Q68" s="81" t="s">
        <v>12</v>
      </c>
      <c r="R68" s="14"/>
    </row>
    <row r="69" spans="1:24" x14ac:dyDescent="0.35">
      <c r="B69" s="223">
        <f>'361'!$B$1</f>
        <v>3610</v>
      </c>
      <c r="C69" s="7">
        <f>'361'!$B$4</f>
        <v>41821</v>
      </c>
      <c r="D69" s="273">
        <f t="shared" ref="D69:D71" si="35">D41</f>
        <v>0.3</v>
      </c>
      <c r="E69" s="7">
        <f t="shared" ref="E69:P71" si="36">$D69*$Q$67/12</f>
        <v>772.09999999999991</v>
      </c>
      <c r="F69" s="7">
        <f t="shared" si="36"/>
        <v>772.09999999999991</v>
      </c>
      <c r="G69" s="7">
        <f t="shared" si="36"/>
        <v>772.09999999999991</v>
      </c>
      <c r="H69" s="7">
        <f t="shared" si="36"/>
        <v>772.09999999999991</v>
      </c>
      <c r="I69" s="7">
        <f t="shared" si="36"/>
        <v>772.09999999999991</v>
      </c>
      <c r="J69" s="7">
        <f t="shared" si="36"/>
        <v>772.09999999999991</v>
      </c>
      <c r="K69" s="7">
        <f t="shared" si="36"/>
        <v>772.09999999999991</v>
      </c>
      <c r="L69" s="7">
        <f t="shared" si="36"/>
        <v>772.09999999999991</v>
      </c>
      <c r="M69" s="7">
        <f t="shared" si="36"/>
        <v>772.09999999999991</v>
      </c>
      <c r="N69" s="7">
        <f t="shared" si="36"/>
        <v>772.09999999999991</v>
      </c>
      <c r="O69" s="7">
        <f t="shared" si="36"/>
        <v>772.09999999999991</v>
      </c>
      <c r="P69" s="7">
        <f t="shared" si="36"/>
        <v>772.09999999999991</v>
      </c>
      <c r="Q69" s="78">
        <f>SUM(E69:P69)</f>
        <v>9265.2000000000007</v>
      </c>
      <c r="R69" s="78"/>
      <c r="S69" s="24"/>
    </row>
    <row r="70" spans="1:24" x14ac:dyDescent="0.35">
      <c r="B70" s="223">
        <f>'362'!$B$1</f>
        <v>3620</v>
      </c>
      <c r="C70" s="7">
        <f>'362'!$B$4</f>
        <v>49020</v>
      </c>
      <c r="D70" s="111">
        <f t="shared" si="35"/>
        <v>0.35</v>
      </c>
      <c r="E70" s="7">
        <f t="shared" si="36"/>
        <v>900.7833333333333</v>
      </c>
      <c r="F70" s="7">
        <f t="shared" si="36"/>
        <v>900.7833333333333</v>
      </c>
      <c r="G70" s="7">
        <f t="shared" si="36"/>
        <v>900.7833333333333</v>
      </c>
      <c r="H70" s="7">
        <f t="shared" si="36"/>
        <v>900.7833333333333</v>
      </c>
      <c r="I70" s="7">
        <f t="shared" si="36"/>
        <v>900.7833333333333</v>
      </c>
      <c r="J70" s="7">
        <f t="shared" si="36"/>
        <v>900.7833333333333</v>
      </c>
      <c r="K70" s="7">
        <f t="shared" si="36"/>
        <v>900.7833333333333</v>
      </c>
      <c r="L70" s="7">
        <f t="shared" si="36"/>
        <v>900.7833333333333</v>
      </c>
      <c r="M70" s="7">
        <f t="shared" si="36"/>
        <v>900.7833333333333</v>
      </c>
      <c r="N70" s="7">
        <f t="shared" si="36"/>
        <v>900.7833333333333</v>
      </c>
      <c r="O70" s="7">
        <f t="shared" si="36"/>
        <v>900.7833333333333</v>
      </c>
      <c r="P70" s="7">
        <f t="shared" si="36"/>
        <v>900.7833333333333</v>
      </c>
      <c r="Q70" s="78">
        <f t="shared" ref="Q70:Q71" si="37">SUM(E70:P70)</f>
        <v>10809.399999999996</v>
      </c>
      <c r="R70" s="78"/>
      <c r="S70" s="24"/>
    </row>
    <row r="71" spans="1:24" x14ac:dyDescent="0.35">
      <c r="B71" s="223">
        <f>'364'!$B$1</f>
        <v>3640</v>
      </c>
      <c r="C71" s="16">
        <f>'364'!$B$4</f>
        <v>48794</v>
      </c>
      <c r="D71" s="112">
        <f t="shared" si="35"/>
        <v>0.35</v>
      </c>
      <c r="E71" s="16">
        <f t="shared" si="36"/>
        <v>900.7833333333333</v>
      </c>
      <c r="F71" s="16">
        <f t="shared" si="36"/>
        <v>900.7833333333333</v>
      </c>
      <c r="G71" s="16">
        <f t="shared" si="36"/>
        <v>900.7833333333333</v>
      </c>
      <c r="H71" s="16">
        <f t="shared" si="36"/>
        <v>900.7833333333333</v>
      </c>
      <c r="I71" s="16">
        <f t="shared" si="36"/>
        <v>900.7833333333333</v>
      </c>
      <c r="J71" s="16">
        <f t="shared" si="36"/>
        <v>900.7833333333333</v>
      </c>
      <c r="K71" s="16">
        <f t="shared" si="36"/>
        <v>900.7833333333333</v>
      </c>
      <c r="L71" s="16">
        <f t="shared" si="36"/>
        <v>900.7833333333333</v>
      </c>
      <c r="M71" s="16">
        <f t="shared" si="36"/>
        <v>900.7833333333333</v>
      </c>
      <c r="N71" s="16">
        <f t="shared" si="36"/>
        <v>900.7833333333333</v>
      </c>
      <c r="O71" s="16">
        <f t="shared" si="36"/>
        <v>900.7833333333333</v>
      </c>
      <c r="P71" s="16">
        <f t="shared" si="36"/>
        <v>900.7833333333333</v>
      </c>
      <c r="Q71" s="78">
        <f t="shared" si="37"/>
        <v>10809.399999999996</v>
      </c>
      <c r="R71" s="78"/>
      <c r="S71" s="24"/>
    </row>
    <row r="72" spans="1:24" x14ac:dyDescent="0.35">
      <c r="B72" s="91" t="s">
        <v>291</v>
      </c>
      <c r="C72" s="7">
        <f t="shared" ref="C72:Q72" si="38">SUM(C69:C71)</f>
        <v>139635</v>
      </c>
      <c r="D72" s="113">
        <f t="shared" si="38"/>
        <v>0.99999999999999989</v>
      </c>
      <c r="E72" s="9">
        <f t="shared" si="38"/>
        <v>2573.6666666666665</v>
      </c>
      <c r="F72" s="9">
        <f t="shared" si="38"/>
        <v>2573.6666666666665</v>
      </c>
      <c r="G72" s="9">
        <f t="shared" si="38"/>
        <v>2573.6666666666665</v>
      </c>
      <c r="H72" s="9">
        <f t="shared" si="38"/>
        <v>2573.6666666666665</v>
      </c>
      <c r="I72" s="9">
        <f t="shared" si="38"/>
        <v>2573.6666666666665</v>
      </c>
      <c r="J72" s="9">
        <f t="shared" si="38"/>
        <v>2573.6666666666665</v>
      </c>
      <c r="K72" s="9">
        <f t="shared" si="38"/>
        <v>2573.6666666666665</v>
      </c>
      <c r="L72" s="9">
        <f t="shared" si="38"/>
        <v>2573.6666666666665</v>
      </c>
      <c r="M72" s="9">
        <f t="shared" si="38"/>
        <v>2573.6666666666665</v>
      </c>
      <c r="N72" s="9">
        <f t="shared" si="38"/>
        <v>2573.6666666666665</v>
      </c>
      <c r="O72" s="9">
        <f t="shared" si="38"/>
        <v>2573.6666666666665</v>
      </c>
      <c r="P72" s="9">
        <f t="shared" si="38"/>
        <v>2573.6666666666665</v>
      </c>
      <c r="Q72" s="93">
        <f t="shared" si="38"/>
        <v>30883.999999999993</v>
      </c>
      <c r="R72" s="83"/>
      <c r="S72" s="24"/>
    </row>
    <row r="73" spans="1:24" ht="16.5" thickBot="1" x14ac:dyDescent="0.4"/>
    <row r="74" spans="1:24" ht="18" thickBot="1" x14ac:dyDescent="0.4">
      <c r="A74" s="7" t="s">
        <v>125</v>
      </c>
      <c r="B74" s="10" t="s">
        <v>469</v>
      </c>
      <c r="C74" s="85"/>
      <c r="D74" s="14"/>
      <c r="O74" s="84"/>
      <c r="P74" s="84"/>
      <c r="Q74" s="206">
        <f>1.03*1860</f>
        <v>1915.8</v>
      </c>
      <c r="S74" s="7" t="s">
        <v>302</v>
      </c>
    </row>
    <row r="75" spans="1:24" x14ac:dyDescent="0.35">
      <c r="C75" s="81" t="s">
        <v>298</v>
      </c>
      <c r="D75" s="110" t="s">
        <v>290</v>
      </c>
      <c r="E75" s="81" t="s">
        <v>0</v>
      </c>
      <c r="F75" s="81" t="s">
        <v>1</v>
      </c>
      <c r="G75" s="81" t="s">
        <v>2</v>
      </c>
      <c r="H75" s="81" t="s">
        <v>3</v>
      </c>
      <c r="I75" s="81" t="s">
        <v>4</v>
      </c>
      <c r="J75" s="81" t="s">
        <v>5</v>
      </c>
      <c r="K75" s="81" t="s">
        <v>6</v>
      </c>
      <c r="L75" s="81" t="s">
        <v>7</v>
      </c>
      <c r="M75" s="81" t="s">
        <v>8</v>
      </c>
      <c r="N75" s="81" t="s">
        <v>9</v>
      </c>
      <c r="O75" s="81" t="s">
        <v>10</v>
      </c>
      <c r="P75" s="81" t="s">
        <v>11</v>
      </c>
      <c r="Q75" s="81" t="s">
        <v>12</v>
      </c>
      <c r="R75" s="14"/>
      <c r="S75" s="24"/>
    </row>
    <row r="76" spans="1:24" x14ac:dyDescent="0.35">
      <c r="B76" s="223">
        <f>'361'!$B$1</f>
        <v>3610</v>
      </c>
      <c r="C76" s="7">
        <f>'361'!$B$4</f>
        <v>41821</v>
      </c>
      <c r="D76" s="111">
        <f t="shared" ref="D76:D78" si="39">D55</f>
        <v>0.3</v>
      </c>
      <c r="E76" s="7">
        <f t="shared" ref="E76:P76" si="40">$Q74*$D76/12</f>
        <v>47.895000000000003</v>
      </c>
      <c r="F76" s="7">
        <f t="shared" si="40"/>
        <v>47.895000000000003</v>
      </c>
      <c r="G76" s="7">
        <f t="shared" si="40"/>
        <v>47.895000000000003</v>
      </c>
      <c r="H76" s="7">
        <f t="shared" si="40"/>
        <v>47.895000000000003</v>
      </c>
      <c r="I76" s="7">
        <f t="shared" si="40"/>
        <v>47.895000000000003</v>
      </c>
      <c r="J76" s="7">
        <f t="shared" si="40"/>
        <v>47.895000000000003</v>
      </c>
      <c r="K76" s="7">
        <f t="shared" si="40"/>
        <v>47.895000000000003</v>
      </c>
      <c r="L76" s="7">
        <f t="shared" si="40"/>
        <v>47.895000000000003</v>
      </c>
      <c r="M76" s="7">
        <f t="shared" si="40"/>
        <v>47.895000000000003</v>
      </c>
      <c r="N76" s="7">
        <f t="shared" si="40"/>
        <v>47.895000000000003</v>
      </c>
      <c r="O76" s="7">
        <f t="shared" si="40"/>
        <v>47.895000000000003</v>
      </c>
      <c r="P76" s="7">
        <f t="shared" si="40"/>
        <v>47.895000000000003</v>
      </c>
      <c r="Q76" s="78">
        <f>SUM(E76:P76)</f>
        <v>574.7399999999999</v>
      </c>
      <c r="R76" s="78"/>
      <c r="S76" s="24"/>
    </row>
    <row r="77" spans="1:24" x14ac:dyDescent="0.35">
      <c r="B77" s="223">
        <f>'362'!$B$1</f>
        <v>3620</v>
      </c>
      <c r="C77" s="7">
        <f>'362'!$B$4</f>
        <v>49020</v>
      </c>
      <c r="D77" s="111">
        <f t="shared" si="39"/>
        <v>0.35</v>
      </c>
      <c r="E77" s="7">
        <f t="shared" ref="E77:P77" si="41">$Q74*$D77/12</f>
        <v>55.877499999999998</v>
      </c>
      <c r="F77" s="7">
        <f t="shared" si="41"/>
        <v>55.877499999999998</v>
      </c>
      <c r="G77" s="7">
        <f t="shared" si="41"/>
        <v>55.877499999999998</v>
      </c>
      <c r="H77" s="7">
        <f t="shared" si="41"/>
        <v>55.877499999999998</v>
      </c>
      <c r="I77" s="7">
        <f t="shared" si="41"/>
        <v>55.877499999999998</v>
      </c>
      <c r="J77" s="7">
        <f t="shared" si="41"/>
        <v>55.877499999999998</v>
      </c>
      <c r="K77" s="7">
        <f t="shared" si="41"/>
        <v>55.877499999999998</v>
      </c>
      <c r="L77" s="7">
        <f t="shared" si="41"/>
        <v>55.877499999999998</v>
      </c>
      <c r="M77" s="7">
        <f t="shared" si="41"/>
        <v>55.877499999999998</v>
      </c>
      <c r="N77" s="7">
        <f t="shared" si="41"/>
        <v>55.877499999999998</v>
      </c>
      <c r="O77" s="7">
        <f t="shared" si="41"/>
        <v>55.877499999999998</v>
      </c>
      <c r="P77" s="7">
        <f t="shared" si="41"/>
        <v>55.877499999999998</v>
      </c>
      <c r="Q77" s="78">
        <f t="shared" ref="Q77:Q78" si="42">SUM(E77:P77)</f>
        <v>670.53</v>
      </c>
      <c r="R77" s="78"/>
      <c r="S77" s="24"/>
    </row>
    <row r="78" spans="1:24" x14ac:dyDescent="0.35">
      <c r="B78" s="223">
        <f>'364'!$B$1</f>
        <v>3640</v>
      </c>
      <c r="C78" s="16">
        <f>'364'!$B$4</f>
        <v>48794</v>
      </c>
      <c r="D78" s="112">
        <f t="shared" si="39"/>
        <v>0.35</v>
      </c>
      <c r="E78" s="16">
        <f t="shared" ref="E78:P78" si="43">$Q74*$D78/12</f>
        <v>55.877499999999998</v>
      </c>
      <c r="F78" s="16">
        <f t="shared" si="43"/>
        <v>55.877499999999998</v>
      </c>
      <c r="G78" s="16">
        <f t="shared" si="43"/>
        <v>55.877499999999998</v>
      </c>
      <c r="H78" s="16">
        <f t="shared" si="43"/>
        <v>55.877499999999998</v>
      </c>
      <c r="I78" s="16">
        <f t="shared" si="43"/>
        <v>55.877499999999998</v>
      </c>
      <c r="J78" s="16">
        <f t="shared" si="43"/>
        <v>55.877499999999998</v>
      </c>
      <c r="K78" s="16">
        <f t="shared" si="43"/>
        <v>55.877499999999998</v>
      </c>
      <c r="L78" s="16">
        <f t="shared" si="43"/>
        <v>55.877499999999998</v>
      </c>
      <c r="M78" s="16">
        <f t="shared" si="43"/>
        <v>55.877499999999998</v>
      </c>
      <c r="N78" s="16">
        <f t="shared" si="43"/>
        <v>55.877499999999998</v>
      </c>
      <c r="O78" s="16">
        <f t="shared" si="43"/>
        <v>55.877499999999998</v>
      </c>
      <c r="P78" s="16">
        <f t="shared" si="43"/>
        <v>55.877499999999998</v>
      </c>
      <c r="Q78" s="78">
        <f t="shared" si="42"/>
        <v>670.53</v>
      </c>
      <c r="R78" s="78"/>
      <c r="S78" s="24"/>
    </row>
    <row r="79" spans="1:24" x14ac:dyDescent="0.35">
      <c r="B79" s="91" t="s">
        <v>291</v>
      </c>
      <c r="C79" s="7">
        <f t="shared" ref="C79:Q79" si="44">SUM(C76:C78)</f>
        <v>139635</v>
      </c>
      <c r="D79" s="113">
        <f t="shared" si="44"/>
        <v>0.99999999999999989</v>
      </c>
      <c r="E79" s="9">
        <f t="shared" si="44"/>
        <v>159.65</v>
      </c>
      <c r="F79" s="93">
        <f t="shared" si="44"/>
        <v>159.65</v>
      </c>
      <c r="G79" s="93">
        <f t="shared" si="44"/>
        <v>159.65</v>
      </c>
      <c r="H79" s="93">
        <f t="shared" si="44"/>
        <v>159.65</v>
      </c>
      <c r="I79" s="93">
        <f t="shared" si="44"/>
        <v>159.65</v>
      </c>
      <c r="J79" s="93">
        <f t="shared" si="44"/>
        <v>159.65</v>
      </c>
      <c r="K79" s="93">
        <f t="shared" si="44"/>
        <v>159.65</v>
      </c>
      <c r="L79" s="93">
        <f t="shared" si="44"/>
        <v>159.65</v>
      </c>
      <c r="M79" s="93">
        <f t="shared" si="44"/>
        <v>159.65</v>
      </c>
      <c r="N79" s="93">
        <f t="shared" si="44"/>
        <v>159.65</v>
      </c>
      <c r="O79" s="93">
        <f t="shared" si="44"/>
        <v>159.65</v>
      </c>
      <c r="P79" s="93">
        <f t="shared" si="44"/>
        <v>159.65</v>
      </c>
      <c r="Q79" s="93">
        <f t="shared" si="44"/>
        <v>1915.8</v>
      </c>
      <c r="R79" s="83"/>
      <c r="S79" s="24"/>
    </row>
    <row r="80" spans="1:24" ht="16.5" thickBot="1" x14ac:dyDescent="0.4"/>
    <row r="81" spans="1:19" ht="18" thickBot="1" x14ac:dyDescent="0.4">
      <c r="A81" s="7" t="s">
        <v>141</v>
      </c>
      <c r="B81" s="10" t="s">
        <v>474</v>
      </c>
      <c r="C81" s="85"/>
      <c r="D81" s="14"/>
      <c r="O81" s="84"/>
      <c r="P81" s="84"/>
      <c r="Q81" s="206">
        <v>0</v>
      </c>
    </row>
    <row r="82" spans="1:19" x14ac:dyDescent="0.35">
      <c r="C82" s="81" t="s">
        <v>298</v>
      </c>
      <c r="D82" s="110" t="s">
        <v>290</v>
      </c>
      <c r="E82" s="81" t="s">
        <v>0</v>
      </c>
      <c r="F82" s="81" t="s">
        <v>1</v>
      </c>
      <c r="G82" s="81" t="s">
        <v>2</v>
      </c>
      <c r="H82" s="81" t="s">
        <v>3</v>
      </c>
      <c r="I82" s="81" t="s">
        <v>4</v>
      </c>
      <c r="J82" s="81" t="s">
        <v>5</v>
      </c>
      <c r="K82" s="81" t="s">
        <v>6</v>
      </c>
      <c r="L82" s="81" t="s">
        <v>7</v>
      </c>
      <c r="M82" s="81" t="s">
        <v>8</v>
      </c>
      <c r="N82" s="81" t="s">
        <v>9</v>
      </c>
      <c r="O82" s="81" t="s">
        <v>10</v>
      </c>
      <c r="P82" s="81" t="s">
        <v>11</v>
      </c>
      <c r="Q82" s="81" t="s">
        <v>12</v>
      </c>
      <c r="R82" s="14"/>
      <c r="S82" s="24"/>
    </row>
    <row r="83" spans="1:19" x14ac:dyDescent="0.35">
      <c r="B83" s="223">
        <f>'361'!$B$1</f>
        <v>3610</v>
      </c>
      <c r="C83" s="7">
        <f>'361'!$B$4</f>
        <v>41821</v>
      </c>
      <c r="D83" s="111">
        <f t="shared" ref="D83:D85" si="45">D55</f>
        <v>0.3</v>
      </c>
      <c r="E83" s="7">
        <f t="shared" ref="E83:P83" si="46">$Q81*$D83/12</f>
        <v>0</v>
      </c>
      <c r="F83" s="7">
        <f t="shared" si="46"/>
        <v>0</v>
      </c>
      <c r="G83" s="7">
        <f t="shared" si="46"/>
        <v>0</v>
      </c>
      <c r="H83" s="7">
        <f t="shared" si="46"/>
        <v>0</v>
      </c>
      <c r="I83" s="7">
        <f t="shared" si="46"/>
        <v>0</v>
      </c>
      <c r="J83" s="7">
        <f t="shared" si="46"/>
        <v>0</v>
      </c>
      <c r="K83" s="7">
        <f t="shared" si="46"/>
        <v>0</v>
      </c>
      <c r="L83" s="7">
        <f t="shared" si="46"/>
        <v>0</v>
      </c>
      <c r="M83" s="7">
        <f t="shared" si="46"/>
        <v>0</v>
      </c>
      <c r="N83" s="7">
        <f t="shared" si="46"/>
        <v>0</v>
      </c>
      <c r="O83" s="7">
        <f t="shared" si="46"/>
        <v>0</v>
      </c>
      <c r="P83" s="7">
        <f t="shared" si="46"/>
        <v>0</v>
      </c>
      <c r="Q83" s="78">
        <f>SUM(E83:P83)</f>
        <v>0</v>
      </c>
      <c r="R83" s="78"/>
      <c r="S83" s="24"/>
    </row>
    <row r="84" spans="1:19" x14ac:dyDescent="0.35">
      <c r="B84" s="223">
        <f>'362'!$B$1</f>
        <v>3620</v>
      </c>
      <c r="C84" s="7">
        <f>'362'!$B$4</f>
        <v>49020</v>
      </c>
      <c r="D84" s="111">
        <f t="shared" si="45"/>
        <v>0.35</v>
      </c>
      <c r="E84" s="7">
        <f t="shared" ref="E84:P84" si="47">$Q81*$D84/12</f>
        <v>0</v>
      </c>
      <c r="F84" s="7">
        <f t="shared" si="47"/>
        <v>0</v>
      </c>
      <c r="G84" s="7">
        <f t="shared" si="47"/>
        <v>0</v>
      </c>
      <c r="H84" s="7">
        <f t="shared" si="47"/>
        <v>0</v>
      </c>
      <c r="I84" s="7">
        <f t="shared" si="47"/>
        <v>0</v>
      </c>
      <c r="J84" s="7">
        <f t="shared" si="47"/>
        <v>0</v>
      </c>
      <c r="K84" s="7">
        <f t="shared" si="47"/>
        <v>0</v>
      </c>
      <c r="L84" s="7">
        <f t="shared" si="47"/>
        <v>0</v>
      </c>
      <c r="M84" s="7">
        <f t="shared" si="47"/>
        <v>0</v>
      </c>
      <c r="N84" s="7">
        <f t="shared" si="47"/>
        <v>0</v>
      </c>
      <c r="O84" s="7">
        <f t="shared" si="47"/>
        <v>0</v>
      </c>
      <c r="P84" s="7">
        <f t="shared" si="47"/>
        <v>0</v>
      </c>
      <c r="Q84" s="78">
        <f t="shared" ref="Q84:Q85" si="48">SUM(E84:P84)</f>
        <v>0</v>
      </c>
      <c r="R84" s="78"/>
      <c r="S84" s="24"/>
    </row>
    <row r="85" spans="1:19" x14ac:dyDescent="0.35">
      <c r="B85" s="223">
        <f>'364'!$B$1</f>
        <v>3640</v>
      </c>
      <c r="C85" s="16">
        <f>'364'!$B$4</f>
        <v>48794</v>
      </c>
      <c r="D85" s="112">
        <f t="shared" si="45"/>
        <v>0.35</v>
      </c>
      <c r="E85" s="16">
        <f t="shared" ref="E85:P85" si="49">$Q81*$D85/12</f>
        <v>0</v>
      </c>
      <c r="F85" s="16">
        <f t="shared" si="49"/>
        <v>0</v>
      </c>
      <c r="G85" s="16">
        <f t="shared" si="49"/>
        <v>0</v>
      </c>
      <c r="H85" s="16">
        <f t="shared" si="49"/>
        <v>0</v>
      </c>
      <c r="I85" s="16">
        <f t="shared" si="49"/>
        <v>0</v>
      </c>
      <c r="J85" s="16">
        <f t="shared" si="49"/>
        <v>0</v>
      </c>
      <c r="K85" s="16">
        <f t="shared" si="49"/>
        <v>0</v>
      </c>
      <c r="L85" s="16">
        <f t="shared" si="49"/>
        <v>0</v>
      </c>
      <c r="M85" s="16">
        <f t="shared" si="49"/>
        <v>0</v>
      </c>
      <c r="N85" s="16">
        <f t="shared" si="49"/>
        <v>0</v>
      </c>
      <c r="O85" s="16">
        <f t="shared" si="49"/>
        <v>0</v>
      </c>
      <c r="P85" s="16">
        <f t="shared" si="49"/>
        <v>0</v>
      </c>
      <c r="Q85" s="78">
        <f t="shared" si="48"/>
        <v>0</v>
      </c>
      <c r="R85" s="78"/>
      <c r="S85" s="24"/>
    </row>
    <row r="86" spans="1:19" x14ac:dyDescent="0.35">
      <c r="B86" s="91" t="s">
        <v>291</v>
      </c>
      <c r="C86" s="7">
        <f t="shared" ref="C86:Q86" si="50">SUM(C83:C85)</f>
        <v>139635</v>
      </c>
      <c r="D86" s="113">
        <f t="shared" si="50"/>
        <v>0.99999999999999989</v>
      </c>
      <c r="E86" s="9">
        <f t="shared" si="50"/>
        <v>0</v>
      </c>
      <c r="F86" s="93">
        <f t="shared" si="50"/>
        <v>0</v>
      </c>
      <c r="G86" s="93">
        <f t="shared" si="50"/>
        <v>0</v>
      </c>
      <c r="H86" s="93">
        <f t="shared" si="50"/>
        <v>0</v>
      </c>
      <c r="I86" s="93">
        <f t="shared" si="50"/>
        <v>0</v>
      </c>
      <c r="J86" s="93">
        <f t="shared" si="50"/>
        <v>0</v>
      </c>
      <c r="K86" s="93">
        <f t="shared" si="50"/>
        <v>0</v>
      </c>
      <c r="L86" s="93">
        <f t="shared" si="50"/>
        <v>0</v>
      </c>
      <c r="M86" s="93">
        <f t="shared" si="50"/>
        <v>0</v>
      </c>
      <c r="N86" s="93">
        <f t="shared" si="50"/>
        <v>0</v>
      </c>
      <c r="O86" s="93">
        <f t="shared" si="50"/>
        <v>0</v>
      </c>
      <c r="P86" s="93">
        <f t="shared" si="50"/>
        <v>0</v>
      </c>
      <c r="Q86" s="93">
        <f t="shared" si="50"/>
        <v>0</v>
      </c>
      <c r="R86" s="83"/>
      <c r="S86" s="24"/>
    </row>
    <row r="87" spans="1:19" ht="16.5" thickBot="1" x14ac:dyDescent="0.4"/>
    <row r="88" spans="1:19" ht="18" thickBot="1" x14ac:dyDescent="0.4">
      <c r="A88" s="7" t="s">
        <v>142</v>
      </c>
      <c r="B88" s="10" t="s">
        <v>472</v>
      </c>
      <c r="C88" s="85"/>
      <c r="D88" s="14"/>
      <c r="O88" s="84"/>
      <c r="P88" s="84"/>
      <c r="Q88" s="206">
        <v>0</v>
      </c>
      <c r="S88" s="7" t="s">
        <v>272</v>
      </c>
    </row>
    <row r="89" spans="1:19" x14ac:dyDescent="0.35">
      <c r="C89" s="81" t="s">
        <v>298</v>
      </c>
      <c r="D89" s="110" t="s">
        <v>290</v>
      </c>
      <c r="E89" s="81" t="s">
        <v>0</v>
      </c>
      <c r="F89" s="81" t="s">
        <v>1</v>
      </c>
      <c r="G89" s="81" t="s">
        <v>2</v>
      </c>
      <c r="H89" s="81" t="s">
        <v>3</v>
      </c>
      <c r="I89" s="81" t="s">
        <v>4</v>
      </c>
      <c r="J89" s="81" t="s">
        <v>5</v>
      </c>
      <c r="K89" s="81" t="s">
        <v>6</v>
      </c>
      <c r="L89" s="81" t="s">
        <v>7</v>
      </c>
      <c r="M89" s="81" t="s">
        <v>8</v>
      </c>
      <c r="N89" s="81" t="s">
        <v>9</v>
      </c>
      <c r="O89" s="81" t="s">
        <v>10</v>
      </c>
      <c r="P89" s="81" t="s">
        <v>11</v>
      </c>
      <c r="Q89" s="81" t="s">
        <v>12</v>
      </c>
      <c r="R89" s="14"/>
      <c r="S89" s="24"/>
    </row>
    <row r="90" spans="1:19" x14ac:dyDescent="0.35">
      <c r="B90" s="223">
        <f>'361'!$B$1</f>
        <v>3610</v>
      </c>
      <c r="C90" s="7">
        <f>'361'!$B$4</f>
        <v>41821</v>
      </c>
      <c r="D90" s="111">
        <f t="shared" ref="D90:D92" si="51">D4</f>
        <v>0.3</v>
      </c>
      <c r="E90" s="7">
        <f t="shared" ref="E90:P90" si="52">$Q88*$D90/12</f>
        <v>0</v>
      </c>
      <c r="F90" s="7">
        <f t="shared" si="52"/>
        <v>0</v>
      </c>
      <c r="G90" s="7">
        <f t="shared" si="52"/>
        <v>0</v>
      </c>
      <c r="H90" s="7">
        <f t="shared" si="52"/>
        <v>0</v>
      </c>
      <c r="I90" s="7">
        <f t="shared" si="52"/>
        <v>0</v>
      </c>
      <c r="J90" s="7">
        <f t="shared" si="52"/>
        <v>0</v>
      </c>
      <c r="K90" s="7">
        <f t="shared" si="52"/>
        <v>0</v>
      </c>
      <c r="L90" s="7">
        <f t="shared" si="52"/>
        <v>0</v>
      </c>
      <c r="M90" s="7">
        <f t="shared" si="52"/>
        <v>0</v>
      </c>
      <c r="N90" s="7">
        <f t="shared" si="52"/>
        <v>0</v>
      </c>
      <c r="O90" s="7">
        <f t="shared" si="52"/>
        <v>0</v>
      </c>
      <c r="P90" s="7">
        <f t="shared" si="52"/>
        <v>0</v>
      </c>
      <c r="Q90" s="78">
        <f>SUM(E90:P90)</f>
        <v>0</v>
      </c>
      <c r="R90" s="78"/>
      <c r="S90" s="24"/>
    </row>
    <row r="91" spans="1:19" x14ac:dyDescent="0.35">
      <c r="B91" s="223">
        <f>'362'!$B$1</f>
        <v>3620</v>
      </c>
      <c r="C91" s="7">
        <f>'362'!$B$4</f>
        <v>49020</v>
      </c>
      <c r="D91" s="111">
        <f t="shared" si="51"/>
        <v>0.35</v>
      </c>
      <c r="E91" s="7">
        <f t="shared" ref="E91:P91" si="53">$Q88*$D91/12</f>
        <v>0</v>
      </c>
      <c r="F91" s="7">
        <f t="shared" si="53"/>
        <v>0</v>
      </c>
      <c r="G91" s="7">
        <f t="shared" si="53"/>
        <v>0</v>
      </c>
      <c r="H91" s="7">
        <f t="shared" si="53"/>
        <v>0</v>
      </c>
      <c r="I91" s="7">
        <f t="shared" si="53"/>
        <v>0</v>
      </c>
      <c r="J91" s="7">
        <f t="shared" si="53"/>
        <v>0</v>
      </c>
      <c r="K91" s="7">
        <f t="shared" si="53"/>
        <v>0</v>
      </c>
      <c r="L91" s="7">
        <f t="shared" si="53"/>
        <v>0</v>
      </c>
      <c r="M91" s="7">
        <f t="shared" si="53"/>
        <v>0</v>
      </c>
      <c r="N91" s="7">
        <f t="shared" si="53"/>
        <v>0</v>
      </c>
      <c r="O91" s="7">
        <f t="shared" si="53"/>
        <v>0</v>
      </c>
      <c r="P91" s="7">
        <f t="shared" si="53"/>
        <v>0</v>
      </c>
      <c r="Q91" s="78">
        <f t="shared" ref="Q91:Q92" si="54">SUM(E91:P91)</f>
        <v>0</v>
      </c>
      <c r="R91" s="78"/>
      <c r="S91" s="24"/>
    </row>
    <row r="92" spans="1:19" x14ac:dyDescent="0.35">
      <c r="B92" s="223">
        <f>'364'!$B$1</f>
        <v>3640</v>
      </c>
      <c r="C92" s="16">
        <f>'364'!$B$4</f>
        <v>48794</v>
      </c>
      <c r="D92" s="112">
        <f t="shared" si="51"/>
        <v>0.35</v>
      </c>
      <c r="E92" s="16">
        <f t="shared" ref="E92:P92" si="55">$Q88*$D92/12</f>
        <v>0</v>
      </c>
      <c r="F92" s="16">
        <f t="shared" si="55"/>
        <v>0</v>
      </c>
      <c r="G92" s="16">
        <f t="shared" si="55"/>
        <v>0</v>
      </c>
      <c r="H92" s="16">
        <f t="shared" si="55"/>
        <v>0</v>
      </c>
      <c r="I92" s="16">
        <f t="shared" si="55"/>
        <v>0</v>
      </c>
      <c r="J92" s="16">
        <f t="shared" si="55"/>
        <v>0</v>
      </c>
      <c r="K92" s="16">
        <f t="shared" si="55"/>
        <v>0</v>
      </c>
      <c r="L92" s="16">
        <f t="shared" si="55"/>
        <v>0</v>
      </c>
      <c r="M92" s="16">
        <f t="shared" si="55"/>
        <v>0</v>
      </c>
      <c r="N92" s="16">
        <f t="shared" si="55"/>
        <v>0</v>
      </c>
      <c r="O92" s="16">
        <f t="shared" si="55"/>
        <v>0</v>
      </c>
      <c r="P92" s="16">
        <f t="shared" si="55"/>
        <v>0</v>
      </c>
      <c r="Q92" s="78">
        <f t="shared" si="54"/>
        <v>0</v>
      </c>
      <c r="R92" s="78"/>
      <c r="S92" s="24"/>
    </row>
    <row r="93" spans="1:19" x14ac:dyDescent="0.35">
      <c r="B93" s="91" t="s">
        <v>291</v>
      </c>
      <c r="C93" s="7">
        <f t="shared" ref="C93:Q93" si="56">SUM(C90:C92)</f>
        <v>139635</v>
      </c>
      <c r="D93" s="113">
        <f t="shared" si="56"/>
        <v>0.99999999999999989</v>
      </c>
      <c r="E93" s="9">
        <f t="shared" si="56"/>
        <v>0</v>
      </c>
      <c r="F93" s="93">
        <f t="shared" si="56"/>
        <v>0</v>
      </c>
      <c r="G93" s="93">
        <f t="shared" si="56"/>
        <v>0</v>
      </c>
      <c r="H93" s="93">
        <f t="shared" si="56"/>
        <v>0</v>
      </c>
      <c r="I93" s="93">
        <f t="shared" si="56"/>
        <v>0</v>
      </c>
      <c r="J93" s="93">
        <f t="shared" si="56"/>
        <v>0</v>
      </c>
      <c r="K93" s="93">
        <f t="shared" si="56"/>
        <v>0</v>
      </c>
      <c r="L93" s="93">
        <f t="shared" si="56"/>
        <v>0</v>
      </c>
      <c r="M93" s="93">
        <f t="shared" si="56"/>
        <v>0</v>
      </c>
      <c r="N93" s="93">
        <f t="shared" si="56"/>
        <v>0</v>
      </c>
      <c r="O93" s="93">
        <f t="shared" si="56"/>
        <v>0</v>
      </c>
      <c r="P93" s="93">
        <f t="shared" si="56"/>
        <v>0</v>
      </c>
      <c r="Q93" s="93">
        <f t="shared" si="56"/>
        <v>0</v>
      </c>
      <c r="R93" s="83"/>
      <c r="S93" s="24"/>
    </row>
    <row r="94" spans="1:19" ht="16.5" thickBot="1" x14ac:dyDescent="0.4"/>
    <row r="95" spans="1:19" ht="18" thickBot="1" x14ac:dyDescent="0.4">
      <c r="A95" s="7" t="s">
        <v>126</v>
      </c>
      <c r="B95" s="10" t="s">
        <v>466</v>
      </c>
      <c r="C95" s="85"/>
      <c r="D95" s="14"/>
      <c r="O95" s="84"/>
      <c r="P95" s="84"/>
      <c r="Q95" s="206">
        <f>20*12*1.03</f>
        <v>247.20000000000002</v>
      </c>
      <c r="S95" s="7" t="s">
        <v>302</v>
      </c>
    </row>
    <row r="96" spans="1:19" x14ac:dyDescent="0.35">
      <c r="C96" s="81" t="s">
        <v>298</v>
      </c>
      <c r="D96" s="110" t="s">
        <v>290</v>
      </c>
      <c r="E96" s="81" t="s">
        <v>0</v>
      </c>
      <c r="F96" s="81" t="s">
        <v>1</v>
      </c>
      <c r="G96" s="81" t="s">
        <v>2</v>
      </c>
      <c r="H96" s="81" t="s">
        <v>3</v>
      </c>
      <c r="I96" s="81" t="s">
        <v>4</v>
      </c>
      <c r="J96" s="81" t="s">
        <v>5</v>
      </c>
      <c r="K96" s="81" t="s">
        <v>6</v>
      </c>
      <c r="L96" s="81" t="s">
        <v>7</v>
      </c>
      <c r="M96" s="81" t="s">
        <v>8</v>
      </c>
      <c r="N96" s="81" t="s">
        <v>9</v>
      </c>
      <c r="O96" s="81" t="s">
        <v>10</v>
      </c>
      <c r="P96" s="81" t="s">
        <v>11</v>
      </c>
      <c r="Q96" s="81" t="s">
        <v>12</v>
      </c>
      <c r="R96" s="14"/>
      <c r="S96" s="24"/>
    </row>
    <row r="97" spans="1:25" x14ac:dyDescent="0.35">
      <c r="B97" s="223">
        <f>'361'!$B$1</f>
        <v>3610</v>
      </c>
      <c r="C97" s="7">
        <f>'361'!$B$4</f>
        <v>41821</v>
      </c>
      <c r="D97" s="111">
        <f t="shared" ref="D97:D99" si="57">D55</f>
        <v>0.3</v>
      </c>
      <c r="E97" s="7">
        <f t="shared" ref="E97:P97" si="58">$Q95*$D97/12</f>
        <v>6.18</v>
      </c>
      <c r="F97" s="7">
        <f t="shared" si="58"/>
        <v>6.18</v>
      </c>
      <c r="G97" s="7">
        <f t="shared" si="58"/>
        <v>6.18</v>
      </c>
      <c r="H97" s="7">
        <f t="shared" si="58"/>
        <v>6.18</v>
      </c>
      <c r="I97" s="7">
        <f t="shared" si="58"/>
        <v>6.18</v>
      </c>
      <c r="J97" s="7">
        <f t="shared" si="58"/>
        <v>6.18</v>
      </c>
      <c r="K97" s="7">
        <f t="shared" si="58"/>
        <v>6.18</v>
      </c>
      <c r="L97" s="7">
        <f t="shared" si="58"/>
        <v>6.18</v>
      </c>
      <c r="M97" s="7">
        <f t="shared" si="58"/>
        <v>6.18</v>
      </c>
      <c r="N97" s="7">
        <f t="shared" si="58"/>
        <v>6.18</v>
      </c>
      <c r="O97" s="7">
        <f t="shared" si="58"/>
        <v>6.18</v>
      </c>
      <c r="P97" s="7">
        <f t="shared" si="58"/>
        <v>6.18</v>
      </c>
      <c r="Q97" s="78">
        <f>SUM(E97:P97)</f>
        <v>74.16</v>
      </c>
      <c r="R97" s="78"/>
      <c r="S97" s="24"/>
    </row>
    <row r="98" spans="1:25" x14ac:dyDescent="0.35">
      <c r="B98" s="223">
        <f>'362'!$B$1</f>
        <v>3620</v>
      </c>
      <c r="C98" s="7">
        <f>'362'!$B$4</f>
        <v>49020</v>
      </c>
      <c r="D98" s="111">
        <f t="shared" si="57"/>
        <v>0.35</v>
      </c>
      <c r="E98" s="7">
        <f t="shared" ref="E98:P98" si="59">$Q95*$D98/12</f>
        <v>7.21</v>
      </c>
      <c r="F98" s="7">
        <f t="shared" si="59"/>
        <v>7.21</v>
      </c>
      <c r="G98" s="7">
        <f t="shared" si="59"/>
        <v>7.21</v>
      </c>
      <c r="H98" s="7">
        <f t="shared" si="59"/>
        <v>7.21</v>
      </c>
      <c r="I98" s="7">
        <f t="shared" si="59"/>
        <v>7.21</v>
      </c>
      <c r="J98" s="7">
        <f t="shared" si="59"/>
        <v>7.21</v>
      </c>
      <c r="K98" s="7">
        <f t="shared" si="59"/>
        <v>7.21</v>
      </c>
      <c r="L98" s="7">
        <f t="shared" si="59"/>
        <v>7.21</v>
      </c>
      <c r="M98" s="7">
        <f t="shared" si="59"/>
        <v>7.21</v>
      </c>
      <c r="N98" s="7">
        <f t="shared" si="59"/>
        <v>7.21</v>
      </c>
      <c r="O98" s="7">
        <f t="shared" si="59"/>
        <v>7.21</v>
      </c>
      <c r="P98" s="7">
        <f t="shared" si="59"/>
        <v>7.21</v>
      </c>
      <c r="Q98" s="78">
        <f t="shared" ref="Q98:Q99" si="60">SUM(E98:P98)</f>
        <v>86.519999999999982</v>
      </c>
      <c r="R98" s="78"/>
      <c r="S98" s="24"/>
    </row>
    <row r="99" spans="1:25" x14ac:dyDescent="0.35">
      <c r="B99" s="223">
        <f>'364'!$B$1</f>
        <v>3640</v>
      </c>
      <c r="C99" s="16">
        <f>'364'!$B$4</f>
        <v>48794</v>
      </c>
      <c r="D99" s="112">
        <f t="shared" si="57"/>
        <v>0.35</v>
      </c>
      <c r="E99" s="16">
        <f t="shared" ref="E99:P99" si="61">$Q95*$D99/12</f>
        <v>7.21</v>
      </c>
      <c r="F99" s="16">
        <f t="shared" si="61"/>
        <v>7.21</v>
      </c>
      <c r="G99" s="16">
        <f t="shared" si="61"/>
        <v>7.21</v>
      </c>
      <c r="H99" s="16">
        <f t="shared" si="61"/>
        <v>7.21</v>
      </c>
      <c r="I99" s="16">
        <f t="shared" si="61"/>
        <v>7.21</v>
      </c>
      <c r="J99" s="16">
        <f t="shared" si="61"/>
        <v>7.21</v>
      </c>
      <c r="K99" s="16">
        <f t="shared" si="61"/>
        <v>7.21</v>
      </c>
      <c r="L99" s="16">
        <f t="shared" si="61"/>
        <v>7.21</v>
      </c>
      <c r="M99" s="16">
        <f t="shared" si="61"/>
        <v>7.21</v>
      </c>
      <c r="N99" s="16">
        <f t="shared" si="61"/>
        <v>7.21</v>
      </c>
      <c r="O99" s="16">
        <f t="shared" si="61"/>
        <v>7.21</v>
      </c>
      <c r="P99" s="16">
        <f t="shared" si="61"/>
        <v>7.21</v>
      </c>
      <c r="Q99" s="78">
        <f t="shared" si="60"/>
        <v>86.519999999999982</v>
      </c>
      <c r="R99" s="78"/>
      <c r="S99" s="24"/>
    </row>
    <row r="100" spans="1:25" x14ac:dyDescent="0.35">
      <c r="B100" s="91" t="s">
        <v>291</v>
      </c>
      <c r="C100" s="7">
        <f t="shared" ref="C100:Q100" si="62">SUM(C97:C99)</f>
        <v>139635</v>
      </c>
      <c r="D100" s="113">
        <f t="shared" si="62"/>
        <v>0.99999999999999989</v>
      </c>
      <c r="E100" s="9">
        <f t="shared" si="62"/>
        <v>20.6</v>
      </c>
      <c r="F100" s="93">
        <f t="shared" si="62"/>
        <v>20.6</v>
      </c>
      <c r="G100" s="93">
        <f t="shared" si="62"/>
        <v>20.6</v>
      </c>
      <c r="H100" s="93">
        <f t="shared" si="62"/>
        <v>20.6</v>
      </c>
      <c r="I100" s="93">
        <f t="shared" si="62"/>
        <v>20.6</v>
      </c>
      <c r="J100" s="93">
        <f t="shared" si="62"/>
        <v>20.6</v>
      </c>
      <c r="K100" s="93">
        <f t="shared" si="62"/>
        <v>20.6</v>
      </c>
      <c r="L100" s="93">
        <f t="shared" si="62"/>
        <v>20.6</v>
      </c>
      <c r="M100" s="93">
        <f t="shared" si="62"/>
        <v>20.6</v>
      </c>
      <c r="N100" s="93">
        <f t="shared" si="62"/>
        <v>20.6</v>
      </c>
      <c r="O100" s="93">
        <f t="shared" si="62"/>
        <v>20.6</v>
      </c>
      <c r="P100" s="93">
        <f t="shared" si="62"/>
        <v>20.6</v>
      </c>
      <c r="Q100" s="93">
        <f t="shared" si="62"/>
        <v>247.19999999999996</v>
      </c>
      <c r="R100" s="83"/>
      <c r="S100" s="24"/>
    </row>
    <row r="101" spans="1:25" ht="16.5" thickBot="1" x14ac:dyDescent="0.4"/>
    <row r="102" spans="1:25" ht="18" thickBot="1" x14ac:dyDescent="0.4">
      <c r="A102" s="7" t="s">
        <v>119</v>
      </c>
      <c r="B102" s="10" t="s">
        <v>470</v>
      </c>
      <c r="C102" s="85"/>
      <c r="D102" s="14"/>
      <c r="O102" s="84"/>
      <c r="P102" s="84"/>
      <c r="Q102" s="206">
        <f>1.03*41280</f>
        <v>42518.400000000001</v>
      </c>
      <c r="S102" s="7" t="s">
        <v>302</v>
      </c>
    </row>
    <row r="103" spans="1:25" x14ac:dyDescent="0.35">
      <c r="C103" s="81" t="s">
        <v>298</v>
      </c>
      <c r="D103" s="110" t="s">
        <v>290</v>
      </c>
      <c r="E103" s="81" t="s">
        <v>0</v>
      </c>
      <c r="F103" s="81" t="s">
        <v>1</v>
      </c>
      <c r="G103" s="81" t="s">
        <v>2</v>
      </c>
      <c r="H103" s="81" t="s">
        <v>3</v>
      </c>
      <c r="I103" s="81" t="s">
        <v>4</v>
      </c>
      <c r="J103" s="81" t="s">
        <v>5</v>
      </c>
      <c r="K103" s="81" t="s">
        <v>6</v>
      </c>
      <c r="L103" s="81" t="s">
        <v>7</v>
      </c>
      <c r="M103" s="81" t="s">
        <v>8</v>
      </c>
      <c r="N103" s="81" t="s">
        <v>9</v>
      </c>
      <c r="O103" s="81" t="s">
        <v>10</v>
      </c>
      <c r="P103" s="81" t="s">
        <v>11</v>
      </c>
      <c r="Q103" s="81" t="s">
        <v>12</v>
      </c>
      <c r="R103" s="14"/>
      <c r="S103" s="24"/>
    </row>
    <row r="104" spans="1:25" x14ac:dyDescent="0.35">
      <c r="B104" s="223">
        <f>'361'!$B$1</f>
        <v>3610</v>
      </c>
      <c r="C104" s="7">
        <f>'361'!$B$4</f>
        <v>41821</v>
      </c>
      <c r="D104" s="111">
        <f t="shared" ref="D104:D106" si="63">D97</f>
        <v>0.3</v>
      </c>
      <c r="E104" s="7">
        <f t="shared" ref="E104:P104" si="64">$Q102*$D104/12</f>
        <v>1062.96</v>
      </c>
      <c r="F104" s="7">
        <f t="shared" si="64"/>
        <v>1062.96</v>
      </c>
      <c r="G104" s="7">
        <f t="shared" si="64"/>
        <v>1062.96</v>
      </c>
      <c r="H104" s="7">
        <f t="shared" si="64"/>
        <v>1062.96</v>
      </c>
      <c r="I104" s="7">
        <f t="shared" si="64"/>
        <v>1062.96</v>
      </c>
      <c r="J104" s="7">
        <f t="shared" si="64"/>
        <v>1062.96</v>
      </c>
      <c r="K104" s="7">
        <f t="shared" si="64"/>
        <v>1062.96</v>
      </c>
      <c r="L104" s="7">
        <f t="shared" si="64"/>
        <v>1062.96</v>
      </c>
      <c r="M104" s="7">
        <f t="shared" si="64"/>
        <v>1062.96</v>
      </c>
      <c r="N104" s="7">
        <f t="shared" si="64"/>
        <v>1062.96</v>
      </c>
      <c r="O104" s="7">
        <f t="shared" si="64"/>
        <v>1062.96</v>
      </c>
      <c r="P104" s="7">
        <f t="shared" si="64"/>
        <v>1062.96</v>
      </c>
      <c r="Q104" s="78">
        <f>SUM(E104:P104)</f>
        <v>12755.519999999997</v>
      </c>
      <c r="R104" s="78"/>
      <c r="S104" s="24"/>
      <c r="U104" s="226"/>
      <c r="V104" s="227"/>
      <c r="W104" s="4"/>
      <c r="X104" s="4"/>
      <c r="Y104" s="4"/>
    </row>
    <row r="105" spans="1:25" x14ac:dyDescent="0.35">
      <c r="B105" s="223">
        <f>'362'!$B$1</f>
        <v>3620</v>
      </c>
      <c r="C105" s="7">
        <f>'362'!$B$4</f>
        <v>49020</v>
      </c>
      <c r="D105" s="111">
        <f t="shared" si="63"/>
        <v>0.35</v>
      </c>
      <c r="E105" s="7">
        <f t="shared" ref="E105:P105" si="65">$Q102*$D105/12</f>
        <v>1240.1199999999999</v>
      </c>
      <c r="F105" s="7">
        <f t="shared" si="65"/>
        <v>1240.1199999999999</v>
      </c>
      <c r="G105" s="7">
        <f t="shared" si="65"/>
        <v>1240.1199999999999</v>
      </c>
      <c r="H105" s="7">
        <f t="shared" si="65"/>
        <v>1240.1199999999999</v>
      </c>
      <c r="I105" s="7">
        <f t="shared" si="65"/>
        <v>1240.1199999999999</v>
      </c>
      <c r="J105" s="7">
        <f t="shared" si="65"/>
        <v>1240.1199999999999</v>
      </c>
      <c r="K105" s="7">
        <f t="shared" si="65"/>
        <v>1240.1199999999999</v>
      </c>
      <c r="L105" s="7">
        <f t="shared" si="65"/>
        <v>1240.1199999999999</v>
      </c>
      <c r="M105" s="7">
        <f t="shared" si="65"/>
        <v>1240.1199999999999</v>
      </c>
      <c r="N105" s="7">
        <f t="shared" si="65"/>
        <v>1240.1199999999999</v>
      </c>
      <c r="O105" s="7">
        <f t="shared" si="65"/>
        <v>1240.1199999999999</v>
      </c>
      <c r="P105" s="7">
        <f t="shared" si="65"/>
        <v>1240.1199999999999</v>
      </c>
      <c r="Q105" s="78">
        <f t="shared" ref="Q105:Q106" si="66">SUM(E105:P105)</f>
        <v>14881.439999999995</v>
      </c>
      <c r="R105" s="78"/>
      <c r="S105" s="24"/>
    </row>
    <row r="106" spans="1:25" x14ac:dyDescent="0.35">
      <c r="B106" s="223">
        <f>'364'!$B$1</f>
        <v>3640</v>
      </c>
      <c r="C106" s="16">
        <f>'364'!$B$4</f>
        <v>48794</v>
      </c>
      <c r="D106" s="112">
        <f t="shared" si="63"/>
        <v>0.35</v>
      </c>
      <c r="E106" s="16">
        <f t="shared" ref="E106:P106" si="67">$Q102*$D106/12</f>
        <v>1240.1199999999999</v>
      </c>
      <c r="F106" s="16">
        <f t="shared" si="67"/>
        <v>1240.1199999999999</v>
      </c>
      <c r="G106" s="16">
        <f t="shared" si="67"/>
        <v>1240.1199999999999</v>
      </c>
      <c r="H106" s="16">
        <f t="shared" si="67"/>
        <v>1240.1199999999999</v>
      </c>
      <c r="I106" s="16">
        <f t="shared" si="67"/>
        <v>1240.1199999999999</v>
      </c>
      <c r="J106" s="16">
        <f t="shared" si="67"/>
        <v>1240.1199999999999</v>
      </c>
      <c r="K106" s="16">
        <f t="shared" si="67"/>
        <v>1240.1199999999999</v>
      </c>
      <c r="L106" s="16">
        <f t="shared" si="67"/>
        <v>1240.1199999999999</v>
      </c>
      <c r="M106" s="16">
        <f t="shared" si="67"/>
        <v>1240.1199999999999</v>
      </c>
      <c r="N106" s="16">
        <f t="shared" si="67"/>
        <v>1240.1199999999999</v>
      </c>
      <c r="O106" s="16">
        <f t="shared" si="67"/>
        <v>1240.1199999999999</v>
      </c>
      <c r="P106" s="16">
        <f t="shared" si="67"/>
        <v>1240.1199999999999</v>
      </c>
      <c r="Q106" s="78">
        <f t="shared" si="66"/>
        <v>14881.439999999995</v>
      </c>
      <c r="R106" s="78"/>
      <c r="S106" s="24"/>
    </row>
    <row r="107" spans="1:25" x14ac:dyDescent="0.35">
      <c r="B107" s="91" t="s">
        <v>291</v>
      </c>
      <c r="C107" s="7">
        <f t="shared" ref="C107:Q107" si="68">SUM(C104:C106)</f>
        <v>139635</v>
      </c>
      <c r="D107" s="113">
        <f t="shared" si="68"/>
        <v>0.99999999999999989</v>
      </c>
      <c r="E107" s="9">
        <f t="shared" si="68"/>
        <v>3543.2</v>
      </c>
      <c r="F107" s="93">
        <f t="shared" si="68"/>
        <v>3543.2</v>
      </c>
      <c r="G107" s="93">
        <f t="shared" si="68"/>
        <v>3543.2</v>
      </c>
      <c r="H107" s="93">
        <f t="shared" si="68"/>
        <v>3543.2</v>
      </c>
      <c r="I107" s="93">
        <f t="shared" si="68"/>
        <v>3543.2</v>
      </c>
      <c r="J107" s="93">
        <f t="shared" si="68"/>
        <v>3543.2</v>
      </c>
      <c r="K107" s="93">
        <f t="shared" si="68"/>
        <v>3543.2</v>
      </c>
      <c r="L107" s="93">
        <f t="shared" si="68"/>
        <v>3543.2</v>
      </c>
      <c r="M107" s="93">
        <f t="shared" si="68"/>
        <v>3543.2</v>
      </c>
      <c r="N107" s="93">
        <f t="shared" si="68"/>
        <v>3543.2</v>
      </c>
      <c r="O107" s="93">
        <f t="shared" si="68"/>
        <v>3543.2</v>
      </c>
      <c r="P107" s="93">
        <f t="shared" si="68"/>
        <v>3543.2</v>
      </c>
      <c r="Q107" s="93">
        <f t="shared" si="68"/>
        <v>42518.399999999987</v>
      </c>
      <c r="R107" s="83"/>
      <c r="S107" s="24"/>
    </row>
    <row r="109" spans="1:25" ht="17.5" x14ac:dyDescent="0.35">
      <c r="B109" s="10" t="s">
        <v>342</v>
      </c>
      <c r="D109" s="33"/>
      <c r="Q109" s="84"/>
      <c r="R109" s="84"/>
      <c r="S109" s="87"/>
    </row>
    <row r="110" spans="1:25" x14ac:dyDescent="0.35">
      <c r="D110" s="85"/>
      <c r="Q110" s="84"/>
      <c r="R110" s="84"/>
      <c r="S110" s="87"/>
    </row>
    <row r="111" spans="1:25" ht="18" x14ac:dyDescent="0.35">
      <c r="C111" s="81" t="s">
        <v>298</v>
      </c>
      <c r="D111" s="110" t="s">
        <v>290</v>
      </c>
      <c r="E111" s="25" t="s">
        <v>0</v>
      </c>
      <c r="F111" s="25" t="s">
        <v>1</v>
      </c>
      <c r="G111" s="25" t="s">
        <v>2</v>
      </c>
      <c r="H111" s="25" t="s">
        <v>3</v>
      </c>
      <c r="I111" s="25" t="s">
        <v>4</v>
      </c>
      <c r="J111" s="25" t="s">
        <v>5</v>
      </c>
      <c r="K111" s="25" t="s">
        <v>6</v>
      </c>
      <c r="L111" s="25" t="s">
        <v>7</v>
      </c>
      <c r="M111" s="25" t="s">
        <v>8</v>
      </c>
      <c r="N111" s="25" t="s">
        <v>9</v>
      </c>
      <c r="O111" s="25" t="s">
        <v>10</v>
      </c>
      <c r="P111" s="25" t="s">
        <v>11</v>
      </c>
      <c r="Q111" s="25" t="s">
        <v>12</v>
      </c>
      <c r="R111" s="89"/>
      <c r="S111" s="87"/>
    </row>
    <row r="112" spans="1:25" x14ac:dyDescent="0.35">
      <c r="B112" s="223">
        <f>'INS RET'!B6</f>
        <v>3610</v>
      </c>
      <c r="C112" s="7">
        <f>'361'!$B$4</f>
        <v>41821</v>
      </c>
      <c r="D112" s="111">
        <v>0.3</v>
      </c>
      <c r="E112" s="7">
        <f>+S112/12</f>
        <v>6906.5999999999995</v>
      </c>
      <c r="F112" s="7">
        <f t="shared" ref="F112:P112" si="69">+E112</f>
        <v>6906.5999999999995</v>
      </c>
      <c r="G112" s="7">
        <f t="shared" si="69"/>
        <v>6906.5999999999995</v>
      </c>
      <c r="H112" s="7">
        <f t="shared" si="69"/>
        <v>6906.5999999999995</v>
      </c>
      <c r="I112" s="7">
        <f t="shared" si="69"/>
        <v>6906.5999999999995</v>
      </c>
      <c r="J112" s="7">
        <f t="shared" si="69"/>
        <v>6906.5999999999995</v>
      </c>
      <c r="K112" s="7">
        <f t="shared" si="69"/>
        <v>6906.5999999999995</v>
      </c>
      <c r="L112" s="7">
        <f t="shared" si="69"/>
        <v>6906.5999999999995</v>
      </c>
      <c r="M112" s="7">
        <f t="shared" si="69"/>
        <v>6906.5999999999995</v>
      </c>
      <c r="N112" s="7">
        <f t="shared" si="69"/>
        <v>6906.5999999999995</v>
      </c>
      <c r="O112" s="7">
        <f t="shared" si="69"/>
        <v>6906.5999999999995</v>
      </c>
      <c r="P112" s="7">
        <f t="shared" si="69"/>
        <v>6906.5999999999995</v>
      </c>
      <c r="Q112" s="78">
        <f>SUM(E112:P112)</f>
        <v>82879.200000000012</v>
      </c>
      <c r="R112" s="84"/>
      <c r="S112" s="7">
        <f>+$S$115*T112</f>
        <v>82879.199999999997</v>
      </c>
      <c r="T112" s="274">
        <f>'Allocated Expenses'!D4</f>
        <v>0.3</v>
      </c>
    </row>
    <row r="113" spans="2:22" x14ac:dyDescent="0.35">
      <c r="B113" s="223">
        <f>'INS RET'!B13</f>
        <v>3620</v>
      </c>
      <c r="C113" s="7">
        <f>'362'!$B$4</f>
        <v>49020</v>
      </c>
      <c r="D113" s="111">
        <v>0.35</v>
      </c>
      <c r="E113" s="7">
        <f>+S113/12</f>
        <v>8057.7</v>
      </c>
      <c r="F113" s="7">
        <f t="shared" ref="F113:P113" si="70">+E113</f>
        <v>8057.7</v>
      </c>
      <c r="G113" s="7">
        <f t="shared" si="70"/>
        <v>8057.7</v>
      </c>
      <c r="H113" s="7">
        <f t="shared" si="70"/>
        <v>8057.7</v>
      </c>
      <c r="I113" s="7">
        <f t="shared" si="70"/>
        <v>8057.7</v>
      </c>
      <c r="J113" s="7">
        <f t="shared" si="70"/>
        <v>8057.7</v>
      </c>
      <c r="K113" s="7">
        <f t="shared" si="70"/>
        <v>8057.7</v>
      </c>
      <c r="L113" s="7">
        <f t="shared" si="70"/>
        <v>8057.7</v>
      </c>
      <c r="M113" s="7">
        <f t="shared" si="70"/>
        <v>8057.7</v>
      </c>
      <c r="N113" s="7">
        <f t="shared" si="70"/>
        <v>8057.7</v>
      </c>
      <c r="O113" s="7">
        <f t="shared" si="70"/>
        <v>8057.7</v>
      </c>
      <c r="P113" s="7">
        <f t="shared" si="70"/>
        <v>8057.7</v>
      </c>
      <c r="Q113" s="78">
        <f>SUM(E113:P113)</f>
        <v>96692.39999999998</v>
      </c>
      <c r="R113" s="84"/>
      <c r="S113" s="7">
        <f>+$S$115*T113</f>
        <v>96692.4</v>
      </c>
      <c r="T113" s="274">
        <f>'Allocated Expenses'!D5</f>
        <v>0.35</v>
      </c>
    </row>
    <row r="114" spans="2:22" ht="16.5" thickBot="1" x14ac:dyDescent="0.4">
      <c r="B114" s="223">
        <f>'INS RET'!B20</f>
        <v>3640</v>
      </c>
      <c r="C114" s="16">
        <f>'364'!$B$4</f>
        <v>48794</v>
      </c>
      <c r="D114" s="112">
        <v>0.35</v>
      </c>
      <c r="E114" s="7">
        <f>+S114/12</f>
        <v>8057.7</v>
      </c>
      <c r="F114" s="7">
        <f t="shared" ref="F114:P114" si="71">+E114</f>
        <v>8057.7</v>
      </c>
      <c r="G114" s="7">
        <f t="shared" si="71"/>
        <v>8057.7</v>
      </c>
      <c r="H114" s="7">
        <f t="shared" si="71"/>
        <v>8057.7</v>
      </c>
      <c r="I114" s="7">
        <f t="shared" si="71"/>
        <v>8057.7</v>
      </c>
      <c r="J114" s="7">
        <f t="shared" si="71"/>
        <v>8057.7</v>
      </c>
      <c r="K114" s="7">
        <f t="shared" si="71"/>
        <v>8057.7</v>
      </c>
      <c r="L114" s="7">
        <f t="shared" si="71"/>
        <v>8057.7</v>
      </c>
      <c r="M114" s="7">
        <f t="shared" si="71"/>
        <v>8057.7</v>
      </c>
      <c r="N114" s="7">
        <f t="shared" si="71"/>
        <v>8057.7</v>
      </c>
      <c r="O114" s="7">
        <f t="shared" si="71"/>
        <v>8057.7</v>
      </c>
      <c r="P114" s="7">
        <f t="shared" si="71"/>
        <v>8057.7</v>
      </c>
      <c r="Q114" s="78">
        <f>SUM(E114:P114)</f>
        <v>96692.39999999998</v>
      </c>
      <c r="R114" s="84"/>
      <c r="S114" s="7">
        <f>+$S$115*T114</f>
        <v>96692.4</v>
      </c>
      <c r="T114" s="274">
        <f>'Allocated Expenses'!D6</f>
        <v>0.35</v>
      </c>
    </row>
    <row r="115" spans="2:22" ht="16.5" thickBot="1" x14ac:dyDescent="0.4">
      <c r="B115" s="91" t="s">
        <v>291</v>
      </c>
      <c r="C115" s="7">
        <f t="shared" ref="C115:D115" si="72">SUM(C112:C114)</f>
        <v>139635</v>
      </c>
      <c r="D115" s="113">
        <f t="shared" si="72"/>
        <v>0.99999999999999989</v>
      </c>
      <c r="E115" s="93">
        <f t="shared" ref="E115:Q115" si="73">SUM(E112:E114)</f>
        <v>23022</v>
      </c>
      <c r="F115" s="93">
        <f t="shared" si="73"/>
        <v>23022</v>
      </c>
      <c r="G115" s="93">
        <f t="shared" si="73"/>
        <v>23022</v>
      </c>
      <c r="H115" s="93">
        <f t="shared" si="73"/>
        <v>23022</v>
      </c>
      <c r="I115" s="93">
        <f t="shared" si="73"/>
        <v>23022</v>
      </c>
      <c r="J115" s="93">
        <f t="shared" si="73"/>
        <v>23022</v>
      </c>
      <c r="K115" s="93">
        <f t="shared" si="73"/>
        <v>23022</v>
      </c>
      <c r="L115" s="93">
        <f t="shared" si="73"/>
        <v>23022</v>
      </c>
      <c r="M115" s="93">
        <f t="shared" si="73"/>
        <v>23022</v>
      </c>
      <c r="N115" s="93">
        <f t="shared" si="73"/>
        <v>23022</v>
      </c>
      <c r="O115" s="93">
        <f t="shared" si="73"/>
        <v>23022</v>
      </c>
      <c r="P115" s="93">
        <f t="shared" si="73"/>
        <v>23022</v>
      </c>
      <c r="Q115" s="93">
        <f t="shared" si="73"/>
        <v>276263.99999999994</v>
      </c>
      <c r="R115" s="83"/>
      <c r="S115" s="205">
        <f>12*23022</f>
        <v>276264</v>
      </c>
      <c r="T115" s="275">
        <f>SUM(T112:T114)</f>
        <v>0.99999999999999989</v>
      </c>
      <c r="V115" s="7" t="s">
        <v>448</v>
      </c>
    </row>
    <row r="116" spans="2:22" x14ac:dyDescent="0.35">
      <c r="C116" s="85"/>
      <c r="D116" s="85"/>
      <c r="Q116" s="276"/>
      <c r="R116" s="276"/>
    </row>
    <row r="117" spans="2:22" x14ac:dyDescent="0.35">
      <c r="C117" s="85"/>
      <c r="D117" s="85"/>
      <c r="E117" s="277"/>
    </row>
    <row r="118" spans="2:22" x14ac:dyDescent="0.35">
      <c r="C118" s="85"/>
      <c r="D118" s="85"/>
      <c r="E118" s="9"/>
      <c r="F118" s="9"/>
      <c r="G118" s="9"/>
      <c r="H118" s="278"/>
      <c r="Q118" s="279"/>
      <c r="R118" s="279"/>
    </row>
    <row r="119" spans="2:22" x14ac:dyDescent="0.35">
      <c r="C119" s="85"/>
      <c r="D119" s="85"/>
      <c r="E119" s="277"/>
    </row>
    <row r="120" spans="2:22" x14ac:dyDescent="0.35">
      <c r="C120" s="85"/>
      <c r="D120" s="85"/>
    </row>
    <row r="121" spans="2:22" x14ac:dyDescent="0.35">
      <c r="B121" s="59" t="s">
        <v>206</v>
      </c>
      <c r="C121" s="61"/>
      <c r="D121" s="61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</row>
    <row r="122" spans="2:22" x14ac:dyDescent="0.35">
      <c r="B122" s="60"/>
      <c r="C122" s="107"/>
      <c r="D122" s="107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100" t="s">
        <v>12</v>
      </c>
      <c r="R122" s="100"/>
      <c r="S122" s="60"/>
      <c r="T122" s="60"/>
      <c r="U122" s="60"/>
    </row>
    <row r="123" spans="2:22" x14ac:dyDescent="0.35">
      <c r="B123" s="60"/>
      <c r="C123" s="107"/>
      <c r="D123" s="107"/>
      <c r="E123" s="100" t="s">
        <v>0</v>
      </c>
      <c r="F123" s="100" t="s">
        <v>1</v>
      </c>
      <c r="G123" s="100" t="s">
        <v>2</v>
      </c>
      <c r="H123" s="100" t="s">
        <v>3</v>
      </c>
      <c r="I123" s="100" t="s">
        <v>4</v>
      </c>
      <c r="J123" s="100" t="s">
        <v>5</v>
      </c>
      <c r="K123" s="100" t="s">
        <v>6</v>
      </c>
      <c r="L123" s="100" t="s">
        <v>7</v>
      </c>
      <c r="M123" s="100" t="s">
        <v>8</v>
      </c>
      <c r="N123" s="100" t="s">
        <v>9</v>
      </c>
      <c r="O123" s="100" t="s">
        <v>10</v>
      </c>
      <c r="P123" s="100" t="s">
        <v>11</v>
      </c>
      <c r="Q123" s="60"/>
      <c r="R123" s="60"/>
      <c r="S123" s="109"/>
      <c r="T123" s="60"/>
      <c r="U123" s="60"/>
    </row>
    <row r="124" spans="2:22" x14ac:dyDescent="0.35">
      <c r="B124" s="80">
        <v>4050</v>
      </c>
      <c r="C124" s="108"/>
      <c r="D124" s="108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94">
        <f>SUM('INS RET'!E32:P32)</f>
        <v>40597.781345099997</v>
      </c>
      <c r="R124" s="94"/>
      <c r="S124" s="60"/>
      <c r="T124" s="60"/>
      <c r="U124" s="60"/>
    </row>
    <row r="125" spans="2:22" x14ac:dyDescent="0.35">
      <c r="B125" s="80" t="s">
        <v>168</v>
      </c>
      <c r="C125" s="108"/>
      <c r="D125" s="108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95">
        <f>SUM('INS RET'!E33:P33)</f>
        <v>42594.393542400001</v>
      </c>
      <c r="R125" s="95"/>
      <c r="S125" s="60"/>
      <c r="T125" s="60"/>
      <c r="U125" s="60"/>
    </row>
    <row r="126" spans="2:22" x14ac:dyDescent="0.35">
      <c r="B126" s="80" t="s">
        <v>177</v>
      </c>
      <c r="C126" s="108"/>
      <c r="D126" s="108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95">
        <f>SUM('INS RET'!E34:P34)</f>
        <v>53908.52932709999</v>
      </c>
      <c r="R126" s="95"/>
      <c r="S126" s="60"/>
      <c r="T126" s="60"/>
      <c r="U126" s="60"/>
    </row>
    <row r="127" spans="2:22" x14ac:dyDescent="0.35">
      <c r="B127" s="80"/>
      <c r="C127" s="108"/>
      <c r="D127" s="108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</row>
    <row r="128" spans="2:22" x14ac:dyDescent="0.35">
      <c r="B128" s="60"/>
      <c r="C128" s="107"/>
      <c r="D128" s="107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100" t="s">
        <v>12</v>
      </c>
      <c r="R128" s="100"/>
      <c r="S128" s="60"/>
      <c r="T128" s="60"/>
      <c r="U128" s="60"/>
    </row>
    <row r="129" spans="2:23" x14ac:dyDescent="0.35">
      <c r="B129" s="60"/>
      <c r="C129" s="107"/>
      <c r="D129" s="107"/>
      <c r="E129" s="97" t="s">
        <v>235</v>
      </c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58">
        <f>SUM(E112:P112)</f>
        <v>82879.200000000012</v>
      </c>
      <c r="R129" s="58"/>
      <c r="S129" s="60"/>
      <c r="T129" s="60"/>
      <c r="U129" s="60"/>
    </row>
    <row r="130" spans="2:23" x14ac:dyDescent="0.35">
      <c r="B130" s="60"/>
      <c r="C130" s="107"/>
      <c r="D130" s="107"/>
      <c r="E130" s="59">
        <v>59833.46758818836</v>
      </c>
      <c r="F130" s="59">
        <v>60077.78758084013</v>
      </c>
      <c r="G130" s="59">
        <v>60323.105213461895</v>
      </c>
      <c r="H130" s="98">
        <v>60569.424559750216</v>
      </c>
      <c r="I130" s="99">
        <v>60816.74971003586</v>
      </c>
      <c r="J130" s="99">
        <v>61065.084771351831</v>
      </c>
      <c r="K130" s="99">
        <v>61314.433867501502</v>
      </c>
      <c r="L130" s="99">
        <v>61564.801139127143</v>
      </c>
      <c r="M130" s="99">
        <v>61816.190743778585</v>
      </c>
      <c r="N130" s="99">
        <v>62068.606855982347</v>
      </c>
      <c r="O130" s="99">
        <v>62322.053667310931</v>
      </c>
      <c r="P130" s="99">
        <v>62576.535386452451</v>
      </c>
      <c r="Q130" s="60">
        <f>SUM(E113:P113)</f>
        <v>96692.39999999998</v>
      </c>
      <c r="R130" s="60"/>
      <c r="S130" s="60"/>
      <c r="T130" s="60"/>
      <c r="U130" s="60"/>
    </row>
    <row r="131" spans="2:23" x14ac:dyDescent="0.35">
      <c r="B131" s="60"/>
      <c r="C131" s="107"/>
      <c r="D131" s="107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>
        <f>SUM(E114:P114)</f>
        <v>96692.39999999998</v>
      </c>
      <c r="R131" s="60"/>
      <c r="S131" s="60"/>
      <c r="T131" s="60"/>
      <c r="U131" s="60"/>
    </row>
    <row r="132" spans="2:23" x14ac:dyDescent="0.35">
      <c r="B132" s="60"/>
      <c r="C132" s="107"/>
      <c r="D132" s="107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</row>
    <row r="133" spans="2:23" x14ac:dyDescent="0.35">
      <c r="B133" s="60"/>
      <c r="C133" s="107"/>
      <c r="D133" s="107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W133" s="96"/>
    </row>
    <row r="134" spans="2:23" x14ac:dyDescent="0.35">
      <c r="B134" s="60"/>
      <c r="C134" s="107"/>
      <c r="D134" s="107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>
        <f>SUM(E118:P118)</f>
        <v>0</v>
      </c>
      <c r="R134" s="60"/>
      <c r="S134" s="60"/>
      <c r="T134" s="60"/>
      <c r="U134" s="60"/>
      <c r="W134" s="96"/>
    </row>
    <row r="135" spans="2:23" x14ac:dyDescent="0.35">
      <c r="B135" s="60"/>
      <c r="C135" s="107"/>
      <c r="D135" s="107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W135" s="96"/>
    </row>
    <row r="136" spans="2:23" x14ac:dyDescent="0.35">
      <c r="B136" s="60"/>
      <c r="C136" s="107"/>
      <c r="D136" s="107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W136" s="96"/>
    </row>
    <row r="137" spans="2:23" x14ac:dyDescent="0.35">
      <c r="B137" s="60"/>
      <c r="C137" s="107"/>
      <c r="D137" s="107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</row>
    <row r="138" spans="2:23" x14ac:dyDescent="0.35">
      <c r="B138" s="60"/>
      <c r="C138" s="107"/>
      <c r="D138" s="107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</row>
    <row r="139" spans="2:23" x14ac:dyDescent="0.35">
      <c r="B139" s="60"/>
      <c r="C139" s="107"/>
      <c r="D139" s="107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100" t="s">
        <v>12</v>
      </c>
      <c r="R139" s="100"/>
      <c r="S139" s="60"/>
      <c r="T139" s="60"/>
      <c r="U139" s="60"/>
    </row>
    <row r="140" spans="2:23" x14ac:dyDescent="0.35">
      <c r="B140" s="60"/>
      <c r="C140" s="107"/>
      <c r="D140" s="107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>
        <f>SUM(E124:P124)</f>
        <v>0</v>
      </c>
      <c r="R140" s="60"/>
      <c r="S140" s="60"/>
      <c r="T140" s="60"/>
      <c r="U140" s="60"/>
    </row>
    <row r="141" spans="2:23" x14ac:dyDescent="0.35">
      <c r="B141" s="60"/>
      <c r="C141" s="107"/>
      <c r="D141" s="107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>
        <f>SUM(E125:P125)</f>
        <v>0</v>
      </c>
      <c r="R141" s="60"/>
      <c r="S141" s="60"/>
      <c r="T141" s="60"/>
      <c r="U141" s="60"/>
    </row>
    <row r="142" spans="2:23" x14ac:dyDescent="0.35">
      <c r="B142" s="60"/>
      <c r="C142" s="107"/>
      <c r="D142" s="107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>
        <f>SUM(E126:P126)</f>
        <v>0</v>
      </c>
      <c r="R142" s="60"/>
      <c r="S142" s="60"/>
      <c r="T142" s="60"/>
      <c r="U142" s="60"/>
    </row>
    <row r="143" spans="2:23" x14ac:dyDescent="0.35">
      <c r="B143" s="60"/>
      <c r="C143" s="107"/>
      <c r="D143" s="107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</row>
    <row r="144" spans="2:23" x14ac:dyDescent="0.35">
      <c r="B144" s="60"/>
      <c r="C144" s="107"/>
      <c r="D144" s="107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</row>
    <row r="145" spans="2:21" x14ac:dyDescent="0.35">
      <c r="B145" s="60"/>
      <c r="C145" s="107"/>
      <c r="D145" s="107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>
        <f>SUM(E130:P130)</f>
        <v>734348.24108378123</v>
      </c>
      <c r="R145" s="60"/>
      <c r="S145" s="60"/>
      <c r="T145" s="60"/>
      <c r="U145" s="60"/>
    </row>
    <row r="146" spans="2:21" x14ac:dyDescent="0.35">
      <c r="C146" s="85"/>
      <c r="D146" s="85"/>
    </row>
    <row r="147" spans="2:21" x14ac:dyDescent="0.35">
      <c r="C147" s="85"/>
      <c r="D147" s="85"/>
    </row>
    <row r="148" spans="2:21" x14ac:dyDescent="0.35">
      <c r="C148" s="85"/>
      <c r="D148" s="85"/>
    </row>
  </sheetData>
  <sheetProtection sheet="1" selectLockedCells="1"/>
  <phoneticPr fontId="3" type="noConversion"/>
  <conditionalFormatting sqref="H118">
    <cfRule type="expression" dxfId="1" priority="2" stopIfTrue="1">
      <formula>MOD($B118,periods_per_year)=0</formula>
    </cfRule>
  </conditionalFormatting>
  <conditionalFormatting sqref="H130">
    <cfRule type="expression" dxfId="0" priority="1" stopIfTrue="1">
      <formula>MOD($B130,periods_per_year)=0</formula>
    </cfRule>
  </conditionalFormatting>
  <printOptions horizontalCentered="1" verticalCentered="1"/>
  <pageMargins left="0.25" right="0.25" top="0" bottom="0" header="0.05" footer="0.25"/>
  <pageSetup scale="50" fitToHeight="0" orientation="landscape" verticalDpi="300" r:id="rId1"/>
  <headerFooter>
    <oddHeader>&amp;R&amp;D</oddHeader>
    <oddFooter>Page &amp;P of &amp;N</oddFooter>
  </headerFooter>
  <rowBreaks count="1" manualBreakCount="1">
    <brk id="59" min="1" max="2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9419D-1794-40F4-8DC6-E424332976CF}">
  <sheetPr>
    <tabColor rgb="FFFFC000"/>
    <pageSetUpPr fitToPage="1"/>
  </sheetPr>
  <dimension ref="B1:R22"/>
  <sheetViews>
    <sheetView view="pageBreakPreview" topLeftCell="C1" zoomScale="160" zoomScaleNormal="115" zoomScaleSheetLayoutView="160" workbookViewId="0">
      <selection activeCell="H2" sqref="H2"/>
    </sheetView>
  </sheetViews>
  <sheetFormatPr defaultColWidth="8.81640625" defaultRowHeight="16" x14ac:dyDescent="0.35"/>
  <cols>
    <col min="1" max="1" width="8.81640625" style="7"/>
    <col min="2" max="2" width="14.1796875" style="7" customWidth="1"/>
    <col min="3" max="3" width="18.54296875" style="85" bestFit="1" customWidth="1"/>
    <col min="4" max="15" width="12.1796875" style="7" bestFit="1" customWidth="1"/>
    <col min="16" max="16" width="14.1796875" style="9" customWidth="1"/>
    <col min="17" max="17" width="4.1796875" style="7" customWidth="1"/>
    <col min="18" max="19" width="13.81640625" style="7" bestFit="1" customWidth="1"/>
    <col min="20" max="20" width="12" style="7" bestFit="1" customWidth="1"/>
    <col min="21" max="27" width="8.81640625" style="7"/>
    <col min="28" max="28" width="33.81640625" style="7" bestFit="1" customWidth="1"/>
    <col min="29" max="29" width="13.81640625" style="7" bestFit="1" customWidth="1"/>
    <col min="30" max="30" width="12" style="7" bestFit="1" customWidth="1"/>
    <col min="31" max="16384" width="8.81640625" style="7"/>
  </cols>
  <sheetData>
    <row r="1" spans="2:18" ht="29" x14ac:dyDescent="0.5">
      <c r="C1" s="85" t="s">
        <v>102</v>
      </c>
      <c r="D1" s="18" t="s">
        <v>28</v>
      </c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23">
        <f>'JV III Consolidated'!$Q$1</f>
        <v>46023</v>
      </c>
    </row>
    <row r="2" spans="2:18" ht="18" x14ac:dyDescent="0.35">
      <c r="C2" s="33"/>
      <c r="D2" s="79" t="str">
        <f>'JV III Consolidated'!J2</f>
        <v>Lincoln JV III</v>
      </c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4" spans="2:18" ht="18" x14ac:dyDescent="0.35">
      <c r="D4" s="25" t="s">
        <v>0</v>
      </c>
      <c r="E4" s="25" t="s">
        <v>1</v>
      </c>
      <c r="F4" s="25" t="s">
        <v>2</v>
      </c>
      <c r="G4" s="25" t="s">
        <v>3</v>
      </c>
      <c r="H4" s="25" t="s">
        <v>4</v>
      </c>
      <c r="I4" s="25" t="s">
        <v>5</v>
      </c>
      <c r="J4" s="25" t="s">
        <v>6</v>
      </c>
      <c r="K4" s="25" t="s">
        <v>7</v>
      </c>
      <c r="L4" s="25" t="s">
        <v>8</v>
      </c>
      <c r="M4" s="25" t="s">
        <v>9</v>
      </c>
      <c r="N4" s="25" t="s">
        <v>10</v>
      </c>
      <c r="O4" s="25" t="s">
        <v>11</v>
      </c>
      <c r="P4" s="414" t="s">
        <v>12</v>
      </c>
      <c r="Q4" s="89"/>
    </row>
    <row r="5" spans="2:18" ht="18" x14ac:dyDescent="0.35"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415"/>
      <c r="Q5" s="89"/>
    </row>
    <row r="6" spans="2:18" x14ac:dyDescent="0.35">
      <c r="B6" s="223">
        <f>'361'!B1</f>
        <v>3610</v>
      </c>
      <c r="C6" s="86" t="s">
        <v>553</v>
      </c>
      <c r="D6" s="413">
        <v>750</v>
      </c>
      <c r="E6" s="413">
        <v>750</v>
      </c>
      <c r="F6" s="413">
        <v>750</v>
      </c>
      <c r="G6" s="413">
        <v>750</v>
      </c>
      <c r="H6" s="413">
        <v>750</v>
      </c>
      <c r="I6" s="413">
        <v>750</v>
      </c>
      <c r="J6" s="413">
        <v>750</v>
      </c>
      <c r="K6" s="413">
        <v>750</v>
      </c>
      <c r="L6" s="413">
        <v>750</v>
      </c>
      <c r="M6" s="413">
        <v>750</v>
      </c>
      <c r="N6" s="413">
        <v>750</v>
      </c>
      <c r="O6" s="413">
        <v>750</v>
      </c>
      <c r="P6" s="9">
        <f>SUM(D6:O6)</f>
        <v>9000</v>
      </c>
      <c r="Q6" s="83"/>
      <c r="R6" s="7" t="s">
        <v>555</v>
      </c>
    </row>
    <row r="7" spans="2:18" x14ac:dyDescent="0.35">
      <c r="B7" s="77"/>
      <c r="C7" s="86" t="s">
        <v>553</v>
      </c>
      <c r="D7" s="413">
        <v>256.47000000000003</v>
      </c>
      <c r="E7" s="413">
        <v>256.47000000000003</v>
      </c>
      <c r="F7" s="413">
        <v>256.47000000000003</v>
      </c>
      <c r="G7" s="413">
        <v>259.56</v>
      </c>
      <c r="H7" s="413">
        <v>259.56</v>
      </c>
      <c r="I7" s="413">
        <v>259.56</v>
      </c>
      <c r="J7" s="413">
        <v>261.62</v>
      </c>
      <c r="K7" s="413">
        <v>261.62</v>
      </c>
      <c r="L7" s="413">
        <v>252.35</v>
      </c>
      <c r="M7" s="413">
        <v>254.41</v>
      </c>
      <c r="N7" s="413">
        <v>254.41</v>
      </c>
      <c r="O7" s="413">
        <v>276.04000000000002</v>
      </c>
      <c r="P7" s="9">
        <f>SUM(D7:O7)</f>
        <v>3108.5399999999995</v>
      </c>
      <c r="Q7" s="83"/>
    </row>
    <row r="8" spans="2:18" x14ac:dyDescent="0.35">
      <c r="B8" s="77"/>
      <c r="C8" s="86" t="s">
        <v>554</v>
      </c>
      <c r="D8" s="399">
        <v>958.93000000000006</v>
      </c>
      <c r="E8" s="399">
        <v>932.15</v>
      </c>
      <c r="F8" s="399">
        <v>869.32</v>
      </c>
      <c r="G8" s="399">
        <v>788.98</v>
      </c>
      <c r="H8" s="399">
        <v>985.71</v>
      </c>
      <c r="I8" s="399">
        <v>887.86</v>
      </c>
      <c r="J8" s="399">
        <v>896.1</v>
      </c>
      <c r="K8" s="399">
        <v>976.44</v>
      </c>
      <c r="L8" s="399">
        <v>780.74</v>
      </c>
      <c r="M8" s="399">
        <v>896.1</v>
      </c>
      <c r="N8" s="399">
        <v>1092.83</v>
      </c>
      <c r="O8" s="399">
        <v>985.71</v>
      </c>
      <c r="P8" s="52">
        <f>SUM(D8:O8)</f>
        <v>11050.869999999999</v>
      </c>
      <c r="Q8" s="83"/>
    </row>
    <row r="9" spans="2:18" x14ac:dyDescent="0.35">
      <c r="B9" s="77"/>
      <c r="C9" s="91" t="s">
        <v>291</v>
      </c>
      <c r="D9" s="9">
        <f>SUM(D6:D8)</f>
        <v>1965.4</v>
      </c>
      <c r="E9" s="9">
        <f t="shared" ref="E9:P9" si="0">SUM(E6:E8)</f>
        <v>1938.62</v>
      </c>
      <c r="F9" s="9">
        <f t="shared" si="0"/>
        <v>1875.79</v>
      </c>
      <c r="G9" s="9">
        <f t="shared" si="0"/>
        <v>1798.54</v>
      </c>
      <c r="H9" s="9">
        <f t="shared" si="0"/>
        <v>1995.27</v>
      </c>
      <c r="I9" s="9">
        <f t="shared" si="0"/>
        <v>1897.42</v>
      </c>
      <c r="J9" s="9">
        <f t="shared" si="0"/>
        <v>1907.72</v>
      </c>
      <c r="K9" s="9">
        <f t="shared" si="0"/>
        <v>1988.06</v>
      </c>
      <c r="L9" s="9">
        <f t="shared" si="0"/>
        <v>1783.0900000000001</v>
      </c>
      <c r="M9" s="9">
        <f t="shared" si="0"/>
        <v>1900.51</v>
      </c>
      <c r="N9" s="9">
        <f t="shared" si="0"/>
        <v>2097.2399999999998</v>
      </c>
      <c r="O9" s="9">
        <f t="shared" si="0"/>
        <v>2011.75</v>
      </c>
      <c r="P9" s="9">
        <f t="shared" si="0"/>
        <v>23159.409999999996</v>
      </c>
      <c r="Q9" s="83"/>
    </row>
    <row r="10" spans="2:18" x14ac:dyDescent="0.35">
      <c r="B10" s="77"/>
      <c r="C10" s="86"/>
      <c r="Q10" s="83"/>
    </row>
    <row r="11" spans="2:18" x14ac:dyDescent="0.35">
      <c r="B11" s="223">
        <f>'362'!B1</f>
        <v>3620</v>
      </c>
      <c r="C11" s="86" t="s">
        <v>553</v>
      </c>
      <c r="D11" s="413">
        <v>1062.96</v>
      </c>
      <c r="E11" s="413">
        <v>947.6</v>
      </c>
      <c r="F11" s="413">
        <v>947.6</v>
      </c>
      <c r="G11" s="413">
        <v>259.56</v>
      </c>
      <c r="H11" s="413">
        <v>259.56</v>
      </c>
      <c r="I11" s="413">
        <v>259.56</v>
      </c>
      <c r="J11" s="413">
        <v>355.35</v>
      </c>
      <c r="K11" s="413">
        <v>435.69</v>
      </c>
      <c r="L11" s="413">
        <v>479.98</v>
      </c>
      <c r="M11" s="413">
        <v>1042.3600000000001</v>
      </c>
      <c r="N11" s="413">
        <v>0</v>
      </c>
      <c r="O11" s="413">
        <v>159.65</v>
      </c>
      <c r="P11" s="9">
        <f>SUM(D11:O11)</f>
        <v>6209.869999999999</v>
      </c>
      <c r="Q11" s="83"/>
    </row>
    <row r="12" spans="2:18" x14ac:dyDescent="0.35">
      <c r="B12" s="77"/>
      <c r="C12" s="86" t="s">
        <v>553</v>
      </c>
      <c r="D12" s="413">
        <v>257.5</v>
      </c>
      <c r="E12" s="413">
        <v>256.47000000000003</v>
      </c>
      <c r="F12" s="413">
        <v>258.53000000000003</v>
      </c>
      <c r="G12" s="413">
        <v>0</v>
      </c>
      <c r="H12" s="413">
        <v>0</v>
      </c>
      <c r="I12" s="413">
        <v>186.43</v>
      </c>
      <c r="J12" s="413">
        <v>261.62</v>
      </c>
      <c r="K12" s="413">
        <v>261.62</v>
      </c>
      <c r="L12" s="413">
        <v>252.35</v>
      </c>
      <c r="M12" s="413">
        <v>254.41</v>
      </c>
      <c r="N12" s="413">
        <v>253.38</v>
      </c>
      <c r="O12" s="413">
        <v>278.10000000000002</v>
      </c>
      <c r="P12" s="9">
        <f>SUM(D12:O12)</f>
        <v>2520.41</v>
      </c>
      <c r="Q12" s="83"/>
    </row>
    <row r="13" spans="2:18" x14ac:dyDescent="0.35">
      <c r="B13" s="77"/>
      <c r="C13" s="86" t="s">
        <v>554</v>
      </c>
      <c r="D13" s="399">
        <v>0</v>
      </c>
      <c r="E13" s="399">
        <v>3.09</v>
      </c>
      <c r="F13" s="399">
        <v>452.17</v>
      </c>
      <c r="G13" s="399">
        <v>0</v>
      </c>
      <c r="H13" s="399">
        <v>0</v>
      </c>
      <c r="I13" s="399">
        <v>0</v>
      </c>
      <c r="J13" s="399">
        <v>0</v>
      </c>
      <c r="K13" s="399">
        <v>0</v>
      </c>
      <c r="L13" s="399">
        <v>29.87</v>
      </c>
      <c r="M13" s="399">
        <v>29.87</v>
      </c>
      <c r="N13" s="399">
        <v>0</v>
      </c>
      <c r="O13" s="399">
        <v>975.41000000000008</v>
      </c>
      <c r="P13" s="52">
        <f>SUM(D13:O13)</f>
        <v>1490.41</v>
      </c>
      <c r="Q13" s="83"/>
    </row>
    <row r="14" spans="2:18" x14ac:dyDescent="0.35">
      <c r="B14" s="77"/>
      <c r="C14" s="91" t="s">
        <v>291</v>
      </c>
      <c r="D14" s="9">
        <f t="shared" ref="D14:P14" si="1">SUM(D11:D13)</f>
        <v>1320.46</v>
      </c>
      <c r="E14" s="9">
        <f t="shared" si="1"/>
        <v>1207.1600000000001</v>
      </c>
      <c r="F14" s="9">
        <f t="shared" si="1"/>
        <v>1658.3000000000002</v>
      </c>
      <c r="G14" s="9">
        <f t="shared" si="1"/>
        <v>259.56</v>
      </c>
      <c r="H14" s="9">
        <f t="shared" si="1"/>
        <v>259.56</v>
      </c>
      <c r="I14" s="9">
        <f t="shared" si="1"/>
        <v>445.99</v>
      </c>
      <c r="J14" s="9">
        <f t="shared" si="1"/>
        <v>616.97</v>
      </c>
      <c r="K14" s="9">
        <f t="shared" si="1"/>
        <v>697.31</v>
      </c>
      <c r="L14" s="9">
        <f t="shared" si="1"/>
        <v>762.2</v>
      </c>
      <c r="M14" s="9">
        <f t="shared" si="1"/>
        <v>1326.64</v>
      </c>
      <c r="N14" s="9">
        <f t="shared" si="1"/>
        <v>253.38</v>
      </c>
      <c r="O14" s="9">
        <f t="shared" si="1"/>
        <v>1413.16</v>
      </c>
      <c r="P14" s="9">
        <f t="shared" si="1"/>
        <v>10220.689999999999</v>
      </c>
      <c r="Q14" s="83"/>
    </row>
    <row r="15" spans="2:18" x14ac:dyDescent="0.35">
      <c r="B15" s="77"/>
      <c r="C15" s="86"/>
      <c r="Q15" s="83"/>
    </row>
    <row r="16" spans="2:18" x14ac:dyDescent="0.35">
      <c r="B16" s="223">
        <f>'364'!B1</f>
        <v>3640</v>
      </c>
      <c r="C16" s="86" t="s">
        <v>553</v>
      </c>
      <c r="D16" s="413">
        <v>499.55</v>
      </c>
      <c r="E16" s="413">
        <v>495.43</v>
      </c>
      <c r="F16" s="413">
        <v>506.76</v>
      </c>
      <c r="G16" s="413">
        <v>503.67</v>
      </c>
      <c r="H16" s="413">
        <v>527.36</v>
      </c>
      <c r="I16" s="413">
        <v>476.89</v>
      </c>
      <c r="J16" s="413">
        <v>526.33000000000004</v>
      </c>
      <c r="K16" s="413">
        <v>526.33000000000004</v>
      </c>
      <c r="L16" s="413">
        <v>559.29</v>
      </c>
      <c r="M16" s="413">
        <v>531.48</v>
      </c>
      <c r="N16" s="413">
        <v>640.66</v>
      </c>
      <c r="O16" s="413">
        <v>558.26</v>
      </c>
      <c r="P16" s="9">
        <f>SUM(D16:O16)</f>
        <v>6352.01</v>
      </c>
      <c r="Q16" s="83"/>
    </row>
    <row r="17" spans="2:17" x14ac:dyDescent="0.35">
      <c r="B17" s="77"/>
      <c r="C17" s="86" t="s">
        <v>553</v>
      </c>
      <c r="D17" s="413">
        <v>256.47000000000003</v>
      </c>
      <c r="E17" s="413">
        <v>256.47000000000003</v>
      </c>
      <c r="F17" s="413">
        <v>256.47000000000003</v>
      </c>
      <c r="G17" s="413">
        <v>259.56</v>
      </c>
      <c r="H17" s="413">
        <v>259.56</v>
      </c>
      <c r="I17" s="413">
        <v>259.56</v>
      </c>
      <c r="J17" s="413">
        <v>261.62</v>
      </c>
      <c r="K17" s="413">
        <v>250.29000000000002</v>
      </c>
      <c r="L17" s="413">
        <v>252.35</v>
      </c>
      <c r="M17" s="413">
        <v>254.41</v>
      </c>
      <c r="N17" s="413">
        <v>254.41</v>
      </c>
      <c r="O17" s="413">
        <v>276.04000000000002</v>
      </c>
      <c r="P17" s="9">
        <f>SUM(D17:O17)</f>
        <v>3097.2099999999996</v>
      </c>
      <c r="Q17" s="83"/>
    </row>
    <row r="18" spans="2:17" x14ac:dyDescent="0.35">
      <c r="B18" s="77"/>
      <c r="C18" s="86" t="s">
        <v>554</v>
      </c>
      <c r="D18" s="399">
        <v>123.60000000000001</v>
      </c>
      <c r="E18" s="399">
        <v>120.51</v>
      </c>
      <c r="F18" s="399">
        <v>127.72</v>
      </c>
      <c r="G18" s="399">
        <v>122.57000000000001</v>
      </c>
      <c r="H18" s="399">
        <v>138.02000000000001</v>
      </c>
      <c r="I18" s="399">
        <v>106.09</v>
      </c>
      <c r="J18" s="399">
        <v>135.96</v>
      </c>
      <c r="K18" s="399">
        <v>135.96</v>
      </c>
      <c r="L18" s="399">
        <v>170.98000000000002</v>
      </c>
      <c r="M18" s="399">
        <v>148.32</v>
      </c>
      <c r="N18" s="399">
        <v>224.54</v>
      </c>
      <c r="O18" s="399">
        <v>158.62</v>
      </c>
      <c r="P18" s="52">
        <f>SUM(D18:O18)</f>
        <v>1712.8900000000003</v>
      </c>
      <c r="Q18" s="83"/>
    </row>
    <row r="19" spans="2:17" x14ac:dyDescent="0.35">
      <c r="B19" s="77"/>
      <c r="C19" s="91" t="s">
        <v>291</v>
      </c>
      <c r="D19" s="9">
        <f t="shared" ref="D19:P19" si="2">SUM(D16:D18)</f>
        <v>879.62</v>
      </c>
      <c r="E19" s="9">
        <f t="shared" si="2"/>
        <v>872.41000000000008</v>
      </c>
      <c r="F19" s="9">
        <f t="shared" si="2"/>
        <v>890.95</v>
      </c>
      <c r="G19" s="9">
        <f t="shared" si="2"/>
        <v>885.80000000000007</v>
      </c>
      <c r="H19" s="9">
        <f t="shared" si="2"/>
        <v>924.94</v>
      </c>
      <c r="I19" s="9">
        <f t="shared" si="2"/>
        <v>842.54000000000008</v>
      </c>
      <c r="J19" s="9">
        <f t="shared" si="2"/>
        <v>923.91000000000008</v>
      </c>
      <c r="K19" s="9">
        <f t="shared" si="2"/>
        <v>912.58000000000015</v>
      </c>
      <c r="L19" s="9">
        <f t="shared" si="2"/>
        <v>982.62</v>
      </c>
      <c r="M19" s="9">
        <f t="shared" si="2"/>
        <v>934.21</v>
      </c>
      <c r="N19" s="9">
        <f t="shared" si="2"/>
        <v>1119.6099999999999</v>
      </c>
      <c r="O19" s="9">
        <f t="shared" si="2"/>
        <v>992.92</v>
      </c>
      <c r="P19" s="9">
        <f t="shared" si="2"/>
        <v>11162.11</v>
      </c>
      <c r="Q19" s="83"/>
    </row>
    <row r="20" spans="2:17" x14ac:dyDescent="0.35">
      <c r="B20" s="77"/>
      <c r="C20" s="86"/>
      <c r="Q20" s="83"/>
    </row>
    <row r="21" spans="2:17" x14ac:dyDescent="0.35">
      <c r="B21" s="77"/>
      <c r="C21" s="91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Q21" s="83"/>
    </row>
    <row r="22" spans="2:17" x14ac:dyDescent="0.35">
      <c r="B22" s="77"/>
      <c r="C22" s="91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2"/>
      <c r="Q22" s="84"/>
    </row>
  </sheetData>
  <sheetProtection sheet="1" selectLockedCells="1"/>
  <printOptions horizontalCentered="1" verticalCentered="1"/>
  <pageMargins left="0.25" right="0.25" top="0" bottom="0" header="0.05" footer="0.25"/>
  <pageSetup scale="70" fitToHeight="0" orientation="landscape" r:id="rId1"/>
  <headerFooter>
    <oddHeader>&amp;R&amp;D</oddHeader>
    <oddFooter>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0FA0A-9FB1-4C53-A0B2-61E4044BFA7B}">
  <sheetPr>
    <tabColor rgb="FFFFC000"/>
    <pageSetUpPr fitToPage="1"/>
  </sheetPr>
  <dimension ref="A1:P163"/>
  <sheetViews>
    <sheetView view="pageBreakPreview" zoomScale="160" zoomScaleNormal="85" zoomScaleSheetLayoutView="160" workbookViewId="0">
      <selection activeCell="H10" sqref="H10"/>
    </sheetView>
  </sheetViews>
  <sheetFormatPr defaultColWidth="8.81640625" defaultRowHeight="16" x14ac:dyDescent="0.35"/>
  <cols>
    <col min="1" max="1" width="17" style="7" customWidth="1"/>
    <col min="2" max="2" width="14.453125" style="7" customWidth="1"/>
    <col min="3" max="8" width="11.81640625" style="7" customWidth="1"/>
    <col min="9" max="9" width="10" style="7" bestFit="1" customWidth="1"/>
    <col min="10" max="14" width="9.54296875" style="7" bestFit="1" customWidth="1"/>
    <col min="15" max="15" width="12.453125" style="9" bestFit="1" customWidth="1"/>
    <col min="16" max="16" width="9.54296875" style="7" bestFit="1" customWidth="1"/>
    <col min="17" max="16384" width="8.81640625" style="7"/>
  </cols>
  <sheetData>
    <row r="1" spans="1:16" ht="29" x14ac:dyDescent="0.5">
      <c r="A1" s="8" t="s">
        <v>103</v>
      </c>
      <c r="C1" s="18" t="s">
        <v>32</v>
      </c>
      <c r="D1" s="404"/>
      <c r="E1" s="19"/>
      <c r="F1" s="19"/>
      <c r="G1" s="19"/>
      <c r="H1" s="19"/>
      <c r="I1" s="19"/>
      <c r="J1" s="19"/>
      <c r="K1" s="19"/>
      <c r="L1" s="19"/>
      <c r="M1" s="19"/>
      <c r="N1" s="19"/>
      <c r="O1" s="23">
        <f>'JV III Consolidated'!$Q$1</f>
        <v>46023</v>
      </c>
      <c r="P1" s="19"/>
    </row>
    <row r="2" spans="1:16" ht="18" x14ac:dyDescent="0.35">
      <c r="B2" s="79" t="str">
        <f>'JV III Consolidated'!J2</f>
        <v>Lincoln JV III</v>
      </c>
      <c r="C2" s="19"/>
      <c r="D2" s="404"/>
      <c r="E2" s="19"/>
      <c r="F2" s="19"/>
      <c r="G2" s="19"/>
      <c r="H2" s="19"/>
      <c r="I2" s="19"/>
      <c r="J2" s="19"/>
      <c r="K2" s="19"/>
      <c r="L2" s="19"/>
      <c r="M2" s="19"/>
      <c r="N2" s="19"/>
      <c r="O2" s="404"/>
      <c r="P2" s="19"/>
    </row>
    <row r="3" spans="1:16" x14ac:dyDescent="0.35">
      <c r="G3" s="62"/>
    </row>
    <row r="4" spans="1:16" ht="18" x14ac:dyDescent="0.35">
      <c r="A4" s="8"/>
      <c r="B4" s="10" t="s">
        <v>537</v>
      </c>
      <c r="M4" s="84"/>
      <c r="N4" s="84"/>
    </row>
    <row r="5" spans="1:16" x14ac:dyDescent="0.35">
      <c r="C5" s="81" t="s">
        <v>0</v>
      </c>
      <c r="D5" s="81" t="s">
        <v>1</v>
      </c>
      <c r="E5" s="81" t="s">
        <v>2</v>
      </c>
      <c r="F5" s="81" t="s">
        <v>3</v>
      </c>
      <c r="G5" s="81" t="s">
        <v>4</v>
      </c>
      <c r="H5" s="81" t="s">
        <v>5</v>
      </c>
      <c r="I5" s="81" t="s">
        <v>6</v>
      </c>
      <c r="J5" s="81" t="s">
        <v>7</v>
      </c>
      <c r="K5" s="81" t="s">
        <v>8</v>
      </c>
      <c r="L5" s="81" t="s">
        <v>9</v>
      </c>
      <c r="M5" s="81" t="s">
        <v>10</v>
      </c>
      <c r="N5" s="81" t="s">
        <v>11</v>
      </c>
      <c r="O5" s="408" t="s">
        <v>12</v>
      </c>
      <c r="P5" s="14"/>
    </row>
    <row r="6" spans="1:16" x14ac:dyDescent="0.35">
      <c r="B6" s="223">
        <f>'361'!$B$1</f>
        <v>3610</v>
      </c>
      <c r="C6" s="7">
        <f>C20+C27+C34+C41+C48+C55+C62+C69+C76+C83+C90</f>
        <v>2115</v>
      </c>
      <c r="D6" s="7">
        <f t="shared" ref="D6:N6" si="0">D20+D27+D34+D41+D48+D55+D62+D69+D76+D83+D90</f>
        <v>2040</v>
      </c>
      <c r="E6" s="7">
        <f t="shared" si="0"/>
        <v>1815</v>
      </c>
      <c r="F6" s="7">
        <f t="shared" si="0"/>
        <v>2215</v>
      </c>
      <c r="G6" s="7">
        <f t="shared" si="0"/>
        <v>4290</v>
      </c>
      <c r="H6" s="7">
        <f t="shared" si="0"/>
        <v>1690</v>
      </c>
      <c r="I6" s="7">
        <f t="shared" si="0"/>
        <v>2385</v>
      </c>
      <c r="J6" s="7">
        <f t="shared" si="0"/>
        <v>1690</v>
      </c>
      <c r="K6" s="7">
        <f t="shared" si="0"/>
        <v>4015</v>
      </c>
      <c r="L6" s="7">
        <f t="shared" si="0"/>
        <v>2115</v>
      </c>
      <c r="M6" s="7">
        <f t="shared" si="0"/>
        <v>2190</v>
      </c>
      <c r="N6" s="7">
        <f t="shared" si="0"/>
        <v>1690</v>
      </c>
      <c r="O6" s="409">
        <f>SUM(C6:N6)</f>
        <v>28250</v>
      </c>
      <c r="P6" s="78"/>
    </row>
    <row r="7" spans="1:16" x14ac:dyDescent="0.35">
      <c r="B7" s="223">
        <f>'362'!$B$1</f>
        <v>3620</v>
      </c>
      <c r="C7" s="7">
        <f t="shared" ref="C7:N7" si="1">C21+C28+C35+C42+C49+C56+C63+C70+C77+C84+C91</f>
        <v>2115</v>
      </c>
      <c r="D7" s="7">
        <f t="shared" si="1"/>
        <v>2090</v>
      </c>
      <c r="E7" s="7">
        <f t="shared" si="1"/>
        <v>1815</v>
      </c>
      <c r="F7" s="7">
        <f t="shared" si="1"/>
        <v>2215</v>
      </c>
      <c r="G7" s="7">
        <f t="shared" si="1"/>
        <v>4290</v>
      </c>
      <c r="H7" s="7">
        <f t="shared" si="1"/>
        <v>1965</v>
      </c>
      <c r="I7" s="7">
        <f t="shared" si="1"/>
        <v>2115</v>
      </c>
      <c r="J7" s="7">
        <f t="shared" si="1"/>
        <v>1690</v>
      </c>
      <c r="K7" s="7">
        <f t="shared" si="1"/>
        <v>3795</v>
      </c>
      <c r="L7" s="7">
        <f t="shared" si="1"/>
        <v>2115</v>
      </c>
      <c r="M7" s="7">
        <f t="shared" si="1"/>
        <v>2190</v>
      </c>
      <c r="N7" s="7">
        <f t="shared" si="1"/>
        <v>1790</v>
      </c>
      <c r="O7" s="409">
        <f t="shared" ref="O7:O8" si="2">SUM(C7:N7)</f>
        <v>28185</v>
      </c>
      <c r="P7" s="78"/>
    </row>
    <row r="8" spans="1:16" x14ac:dyDescent="0.35">
      <c r="B8" s="223">
        <f>'364'!$B$1</f>
        <v>3640</v>
      </c>
      <c r="C8" s="16">
        <f t="shared" ref="C8:N8" si="3">C22+C29+C36+C43+C50+C57+C64+C71+C78+C85+C92</f>
        <v>2115</v>
      </c>
      <c r="D8" s="16">
        <f t="shared" si="3"/>
        <v>2140</v>
      </c>
      <c r="E8" s="16">
        <f t="shared" si="3"/>
        <v>1815</v>
      </c>
      <c r="F8" s="16">
        <f t="shared" si="3"/>
        <v>2215</v>
      </c>
      <c r="G8" s="16">
        <f t="shared" si="3"/>
        <v>6900</v>
      </c>
      <c r="H8" s="16">
        <f t="shared" si="3"/>
        <v>1690</v>
      </c>
      <c r="I8" s="16">
        <f t="shared" si="3"/>
        <v>2390</v>
      </c>
      <c r="J8" s="16">
        <f t="shared" si="3"/>
        <v>1690</v>
      </c>
      <c r="K8" s="16">
        <f t="shared" si="3"/>
        <v>1815</v>
      </c>
      <c r="L8" s="16">
        <f t="shared" si="3"/>
        <v>2615</v>
      </c>
      <c r="M8" s="16">
        <f t="shared" si="3"/>
        <v>1690</v>
      </c>
      <c r="N8" s="16">
        <f t="shared" si="3"/>
        <v>1690</v>
      </c>
      <c r="O8" s="410">
        <f t="shared" si="2"/>
        <v>28765</v>
      </c>
      <c r="P8" s="78"/>
    </row>
    <row r="9" spans="1:16" x14ac:dyDescent="0.35">
      <c r="B9" s="91" t="s">
        <v>291</v>
      </c>
      <c r="C9" s="9">
        <f t="shared" ref="C9:O9" si="4">SUM(C6:C8)</f>
        <v>6345</v>
      </c>
      <c r="D9" s="9">
        <f t="shared" si="4"/>
        <v>6270</v>
      </c>
      <c r="E9" s="9">
        <f t="shared" si="4"/>
        <v>5445</v>
      </c>
      <c r="F9" s="9">
        <f t="shared" si="4"/>
        <v>6645</v>
      </c>
      <c r="G9" s="9">
        <f t="shared" si="4"/>
        <v>15480</v>
      </c>
      <c r="H9" s="9">
        <f t="shared" si="4"/>
        <v>5345</v>
      </c>
      <c r="I9" s="9">
        <f t="shared" si="4"/>
        <v>6890</v>
      </c>
      <c r="J9" s="9">
        <f t="shared" si="4"/>
        <v>5070</v>
      </c>
      <c r="K9" s="9">
        <f t="shared" si="4"/>
        <v>9625</v>
      </c>
      <c r="L9" s="9">
        <f t="shared" si="4"/>
        <v>6845</v>
      </c>
      <c r="M9" s="9">
        <f t="shared" si="4"/>
        <v>6070</v>
      </c>
      <c r="N9" s="9">
        <f t="shared" si="4"/>
        <v>5170</v>
      </c>
      <c r="O9" s="9">
        <f t="shared" si="4"/>
        <v>85200</v>
      </c>
      <c r="P9" s="83"/>
    </row>
    <row r="11" spans="1:16" ht="18" x14ac:dyDescent="0.35">
      <c r="A11" s="8"/>
      <c r="B11" s="10" t="s">
        <v>538</v>
      </c>
      <c r="C11" s="14"/>
      <c r="N11" s="403"/>
    </row>
    <row r="12" spans="1:16" x14ac:dyDescent="0.35">
      <c r="C12" s="81" t="s">
        <v>0</v>
      </c>
      <c r="D12" s="81" t="s">
        <v>1</v>
      </c>
      <c r="E12" s="81" t="s">
        <v>2</v>
      </c>
      <c r="F12" s="81" t="s">
        <v>3</v>
      </c>
      <c r="G12" s="81" t="s">
        <v>4</v>
      </c>
      <c r="H12" s="81" t="s">
        <v>5</v>
      </c>
      <c r="I12" s="81" t="s">
        <v>6</v>
      </c>
      <c r="J12" s="81" t="s">
        <v>7</v>
      </c>
      <c r="K12" s="81" t="s">
        <v>8</v>
      </c>
      <c r="L12" s="81" t="s">
        <v>9</v>
      </c>
      <c r="M12" s="81" t="s">
        <v>10</v>
      </c>
      <c r="N12" s="81" t="s">
        <v>11</v>
      </c>
      <c r="O12" s="408" t="s">
        <v>12</v>
      </c>
      <c r="P12" s="14"/>
    </row>
    <row r="13" spans="1:16" x14ac:dyDescent="0.35">
      <c r="B13" s="223">
        <f>'361'!$B$1</f>
        <v>3610</v>
      </c>
      <c r="C13" s="7">
        <f>C97+C104+C111+C118+C125+C132+C139</f>
        <v>1960</v>
      </c>
      <c r="D13" s="7">
        <f t="shared" ref="D13:N13" si="5">D97+D104+D111+D118+D125+D132+D139</f>
        <v>1660</v>
      </c>
      <c r="E13" s="7">
        <f t="shared" si="5"/>
        <v>1820</v>
      </c>
      <c r="F13" s="7">
        <f t="shared" si="5"/>
        <v>2610</v>
      </c>
      <c r="G13" s="7">
        <f t="shared" si="5"/>
        <v>1010</v>
      </c>
      <c r="H13" s="7">
        <f t="shared" si="5"/>
        <v>1010</v>
      </c>
      <c r="I13" s="7">
        <f t="shared" si="5"/>
        <v>2610</v>
      </c>
      <c r="J13" s="7">
        <f t="shared" si="5"/>
        <v>1010</v>
      </c>
      <c r="K13" s="7">
        <f t="shared" si="5"/>
        <v>1010</v>
      </c>
      <c r="L13" s="7">
        <f t="shared" si="5"/>
        <v>3420</v>
      </c>
      <c r="M13" s="7">
        <f t="shared" si="5"/>
        <v>1010</v>
      </c>
      <c r="N13" s="7">
        <f t="shared" si="5"/>
        <v>1010</v>
      </c>
      <c r="O13" s="409">
        <f>SUM(C13:N13)</f>
        <v>20140</v>
      </c>
      <c r="P13" s="78"/>
    </row>
    <row r="14" spans="1:16" x14ac:dyDescent="0.35">
      <c r="B14" s="223">
        <f>'362'!$B$1</f>
        <v>3620</v>
      </c>
      <c r="C14" s="7">
        <f t="shared" ref="C14:N14" si="6">C98+C105+C112+C119+C126+C133+C140</f>
        <v>1931</v>
      </c>
      <c r="D14" s="7">
        <f t="shared" si="6"/>
        <v>1756</v>
      </c>
      <c r="E14" s="7">
        <f t="shared" si="6"/>
        <v>1006</v>
      </c>
      <c r="F14" s="7">
        <f t="shared" si="6"/>
        <v>2792</v>
      </c>
      <c r="G14" s="7">
        <f t="shared" si="6"/>
        <v>1756</v>
      </c>
      <c r="H14" s="7">
        <f t="shared" si="6"/>
        <v>1006</v>
      </c>
      <c r="I14" s="7">
        <f t="shared" si="6"/>
        <v>1931</v>
      </c>
      <c r="J14" s="7">
        <f t="shared" si="6"/>
        <v>1756</v>
      </c>
      <c r="K14" s="7">
        <f t="shared" si="6"/>
        <v>1006</v>
      </c>
      <c r="L14" s="7">
        <f t="shared" si="6"/>
        <v>2792</v>
      </c>
      <c r="M14" s="7">
        <f t="shared" si="6"/>
        <v>1756</v>
      </c>
      <c r="N14" s="7">
        <f t="shared" si="6"/>
        <v>1006</v>
      </c>
      <c r="O14" s="409">
        <f t="shared" ref="O14:O15" si="7">SUM(C14:N14)</f>
        <v>20494</v>
      </c>
      <c r="P14" s="78"/>
    </row>
    <row r="15" spans="1:16" x14ac:dyDescent="0.35">
      <c r="B15" s="223">
        <f>'364'!$B$1</f>
        <v>3640</v>
      </c>
      <c r="C15" s="16">
        <f t="shared" ref="C15:N15" si="8">C99+C106+C113+C120+C127+C134+C141</f>
        <v>1766</v>
      </c>
      <c r="D15" s="7">
        <f t="shared" si="8"/>
        <v>1566</v>
      </c>
      <c r="E15" s="7">
        <f t="shared" si="8"/>
        <v>816</v>
      </c>
      <c r="F15" s="7">
        <f t="shared" si="8"/>
        <v>2627</v>
      </c>
      <c r="G15" s="7">
        <f t="shared" si="8"/>
        <v>1566</v>
      </c>
      <c r="H15" s="7">
        <f t="shared" si="8"/>
        <v>816</v>
      </c>
      <c r="I15" s="7">
        <f t="shared" si="8"/>
        <v>1766</v>
      </c>
      <c r="J15" s="7">
        <f t="shared" si="8"/>
        <v>1566</v>
      </c>
      <c r="K15" s="7">
        <f t="shared" si="8"/>
        <v>816</v>
      </c>
      <c r="L15" s="7">
        <f t="shared" si="8"/>
        <v>2627</v>
      </c>
      <c r="M15" s="7">
        <f t="shared" si="8"/>
        <v>1566</v>
      </c>
      <c r="N15" s="7">
        <f t="shared" si="8"/>
        <v>816</v>
      </c>
      <c r="O15" s="409">
        <f t="shared" si="7"/>
        <v>18314</v>
      </c>
      <c r="P15" s="400"/>
    </row>
    <row r="16" spans="1:16" x14ac:dyDescent="0.35">
      <c r="B16" s="91" t="s">
        <v>291</v>
      </c>
      <c r="C16" s="9">
        <f t="shared" ref="C16:O16" si="9">SUM(C13:C15)</f>
        <v>5657</v>
      </c>
      <c r="D16" s="93">
        <f t="shared" si="9"/>
        <v>4982</v>
      </c>
      <c r="E16" s="93">
        <f t="shared" si="9"/>
        <v>3642</v>
      </c>
      <c r="F16" s="93">
        <f t="shared" si="9"/>
        <v>8029</v>
      </c>
      <c r="G16" s="93">
        <f t="shared" si="9"/>
        <v>4332</v>
      </c>
      <c r="H16" s="93">
        <f t="shared" si="9"/>
        <v>2832</v>
      </c>
      <c r="I16" s="93">
        <f t="shared" si="9"/>
        <v>6307</v>
      </c>
      <c r="J16" s="93">
        <f t="shared" si="9"/>
        <v>4332</v>
      </c>
      <c r="K16" s="93">
        <f t="shared" si="9"/>
        <v>2832</v>
      </c>
      <c r="L16" s="93">
        <f t="shared" si="9"/>
        <v>8839</v>
      </c>
      <c r="M16" s="93">
        <f t="shared" si="9"/>
        <v>4332</v>
      </c>
      <c r="N16" s="93">
        <f t="shared" si="9"/>
        <v>2832</v>
      </c>
      <c r="O16" s="93">
        <f t="shared" si="9"/>
        <v>58948</v>
      </c>
      <c r="P16" s="83"/>
    </row>
    <row r="17" spans="1:16" ht="16.5" thickBot="1" x14ac:dyDescent="0.4">
      <c r="A17" s="401"/>
      <c r="B17" s="401"/>
      <c r="C17" s="401"/>
      <c r="D17" s="401"/>
      <c r="E17" s="401"/>
      <c r="F17" s="401"/>
      <c r="G17" s="402"/>
      <c r="H17" s="401"/>
      <c r="I17" s="401"/>
      <c r="J17" s="401"/>
      <c r="K17" s="401"/>
      <c r="L17" s="401"/>
      <c r="M17" s="401"/>
      <c r="N17" s="401"/>
      <c r="O17" s="411"/>
    </row>
    <row r="18" spans="1:16" ht="17.5" x14ac:dyDescent="0.35">
      <c r="A18" s="10" t="s">
        <v>532</v>
      </c>
      <c r="B18" s="10" t="s">
        <v>531</v>
      </c>
      <c r="M18" s="84"/>
      <c r="N18" s="84"/>
    </row>
    <row r="19" spans="1:16" x14ac:dyDescent="0.35">
      <c r="C19" s="81" t="s">
        <v>0</v>
      </c>
      <c r="D19" s="81" t="s">
        <v>1</v>
      </c>
      <c r="E19" s="81" t="s">
        <v>2</v>
      </c>
      <c r="F19" s="81" t="s">
        <v>3</v>
      </c>
      <c r="G19" s="81" t="s">
        <v>4</v>
      </c>
      <c r="H19" s="81" t="s">
        <v>5</v>
      </c>
      <c r="I19" s="81" t="s">
        <v>6</v>
      </c>
      <c r="J19" s="81" t="s">
        <v>7</v>
      </c>
      <c r="K19" s="81" t="s">
        <v>8</v>
      </c>
      <c r="L19" s="81" t="s">
        <v>9</v>
      </c>
      <c r="M19" s="81" t="s">
        <v>10</v>
      </c>
      <c r="N19" s="81" t="s">
        <v>11</v>
      </c>
      <c r="O19" s="408" t="s">
        <v>12</v>
      </c>
      <c r="P19" s="14"/>
    </row>
    <row r="20" spans="1:16" x14ac:dyDescent="0.35">
      <c r="B20" s="223">
        <f>'361'!$B$1</f>
        <v>3610</v>
      </c>
      <c r="C20" s="13">
        <v>200</v>
      </c>
      <c r="D20" s="13">
        <v>0</v>
      </c>
      <c r="E20" s="13">
        <v>0</v>
      </c>
      <c r="F20" s="13">
        <v>300</v>
      </c>
      <c r="G20" s="13">
        <v>0</v>
      </c>
      <c r="H20" s="13">
        <v>0</v>
      </c>
      <c r="I20" s="13">
        <v>200</v>
      </c>
      <c r="J20" s="13">
        <v>0</v>
      </c>
      <c r="K20" s="13">
        <v>0</v>
      </c>
      <c r="L20" s="13">
        <v>200</v>
      </c>
      <c r="M20" s="13">
        <v>0</v>
      </c>
      <c r="N20" s="13">
        <v>0</v>
      </c>
      <c r="O20" s="409">
        <f>SUM(C20:N20)</f>
        <v>900</v>
      </c>
      <c r="P20" s="78"/>
    </row>
    <row r="21" spans="1:16" x14ac:dyDescent="0.35">
      <c r="B21" s="223">
        <f>'362'!$B$1</f>
        <v>3620</v>
      </c>
      <c r="C21" s="13">
        <v>200</v>
      </c>
      <c r="D21" s="13">
        <v>0</v>
      </c>
      <c r="E21" s="13">
        <v>0</v>
      </c>
      <c r="F21" s="13">
        <v>300</v>
      </c>
      <c r="G21" s="13">
        <v>0</v>
      </c>
      <c r="H21" s="13">
        <v>0</v>
      </c>
      <c r="I21" s="13">
        <v>200</v>
      </c>
      <c r="J21" s="13">
        <v>0</v>
      </c>
      <c r="K21" s="13">
        <v>0</v>
      </c>
      <c r="L21" s="13">
        <v>200</v>
      </c>
      <c r="M21" s="13">
        <v>0</v>
      </c>
      <c r="N21" s="13">
        <v>0</v>
      </c>
      <c r="O21" s="409">
        <f t="shared" ref="O21:O22" si="10">SUM(C21:N21)</f>
        <v>900</v>
      </c>
      <c r="P21" s="78"/>
    </row>
    <row r="22" spans="1:16" x14ac:dyDescent="0.35">
      <c r="B22" s="223">
        <f>'364'!$B$1</f>
        <v>3640</v>
      </c>
      <c r="C22" s="15">
        <v>200</v>
      </c>
      <c r="D22" s="15">
        <v>0</v>
      </c>
      <c r="E22" s="15">
        <v>0</v>
      </c>
      <c r="F22" s="15">
        <v>300</v>
      </c>
      <c r="G22" s="15">
        <v>0</v>
      </c>
      <c r="H22" s="15">
        <v>0</v>
      </c>
      <c r="I22" s="15">
        <v>200</v>
      </c>
      <c r="J22" s="15">
        <v>0</v>
      </c>
      <c r="K22" s="15">
        <v>0</v>
      </c>
      <c r="L22" s="15">
        <v>200</v>
      </c>
      <c r="M22" s="15">
        <v>0</v>
      </c>
      <c r="N22" s="15">
        <v>0</v>
      </c>
      <c r="O22" s="410">
        <f t="shared" si="10"/>
        <v>900</v>
      </c>
      <c r="P22" s="78"/>
    </row>
    <row r="23" spans="1:16" x14ac:dyDescent="0.35">
      <c r="B23" s="91" t="s">
        <v>291</v>
      </c>
      <c r="C23" s="9">
        <f t="shared" ref="C23:O23" si="11">SUM(C20:C22)</f>
        <v>600</v>
      </c>
      <c r="D23" s="9">
        <f t="shared" si="11"/>
        <v>0</v>
      </c>
      <c r="E23" s="9">
        <f t="shared" si="11"/>
        <v>0</v>
      </c>
      <c r="F23" s="9">
        <f t="shared" si="11"/>
        <v>900</v>
      </c>
      <c r="G23" s="9">
        <f t="shared" si="11"/>
        <v>0</v>
      </c>
      <c r="H23" s="9">
        <f t="shared" si="11"/>
        <v>0</v>
      </c>
      <c r="I23" s="9">
        <f t="shared" si="11"/>
        <v>600</v>
      </c>
      <c r="J23" s="9">
        <f t="shared" si="11"/>
        <v>0</v>
      </c>
      <c r="K23" s="9">
        <f t="shared" si="11"/>
        <v>0</v>
      </c>
      <c r="L23" s="9">
        <f t="shared" si="11"/>
        <v>600</v>
      </c>
      <c r="M23" s="9">
        <f t="shared" si="11"/>
        <v>0</v>
      </c>
      <c r="N23" s="9">
        <f t="shared" si="11"/>
        <v>0</v>
      </c>
      <c r="O23" s="9">
        <f t="shared" si="11"/>
        <v>2700</v>
      </c>
      <c r="P23" s="83"/>
    </row>
    <row r="25" spans="1:16" ht="17.5" x14ac:dyDescent="0.35">
      <c r="A25" s="10" t="s">
        <v>532</v>
      </c>
      <c r="B25" s="10" t="s">
        <v>533</v>
      </c>
      <c r="C25" s="14"/>
      <c r="N25" s="84"/>
    </row>
    <row r="26" spans="1:16" x14ac:dyDescent="0.35">
      <c r="C26" s="81" t="s">
        <v>0</v>
      </c>
      <c r="D26" s="81" t="s">
        <v>1</v>
      </c>
      <c r="E26" s="81" t="s">
        <v>2</v>
      </c>
      <c r="F26" s="81" t="s">
        <v>3</v>
      </c>
      <c r="G26" s="81" t="s">
        <v>4</v>
      </c>
      <c r="H26" s="81" t="s">
        <v>5</v>
      </c>
      <c r="I26" s="81" t="s">
        <v>6</v>
      </c>
      <c r="J26" s="81" t="s">
        <v>7</v>
      </c>
      <c r="K26" s="81" t="s">
        <v>8</v>
      </c>
      <c r="L26" s="81" t="s">
        <v>9</v>
      </c>
      <c r="M26" s="81" t="s">
        <v>10</v>
      </c>
      <c r="N26" s="81" t="s">
        <v>11</v>
      </c>
      <c r="O26" s="408" t="s">
        <v>12</v>
      </c>
      <c r="P26" s="14"/>
    </row>
    <row r="27" spans="1:16" x14ac:dyDescent="0.35">
      <c r="B27" s="223">
        <f>'361'!$B$1</f>
        <v>3610</v>
      </c>
      <c r="C27" s="13">
        <v>0</v>
      </c>
      <c r="D27" s="13">
        <v>0</v>
      </c>
      <c r="E27" s="13">
        <v>0</v>
      </c>
      <c r="F27" s="13">
        <v>0</v>
      </c>
      <c r="G27" s="13">
        <v>2100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409">
        <f>SUM(C27:N27)</f>
        <v>2100</v>
      </c>
      <c r="P27" s="78"/>
    </row>
    <row r="28" spans="1:16" x14ac:dyDescent="0.35">
      <c r="B28" s="223">
        <f>'362'!$B$1</f>
        <v>3620</v>
      </c>
      <c r="C28" s="13">
        <v>0</v>
      </c>
      <c r="D28" s="13">
        <v>0</v>
      </c>
      <c r="E28" s="13">
        <v>0</v>
      </c>
      <c r="F28" s="13">
        <v>0</v>
      </c>
      <c r="G28" s="13">
        <v>2100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409">
        <f t="shared" ref="O28:O29" si="12">SUM(C28:N28)</f>
        <v>2100</v>
      </c>
      <c r="P28" s="78"/>
    </row>
    <row r="29" spans="1:16" x14ac:dyDescent="0.35">
      <c r="B29" s="223">
        <f>'364'!$B$1</f>
        <v>3640</v>
      </c>
      <c r="C29" s="15">
        <v>0</v>
      </c>
      <c r="D29" s="15">
        <v>0</v>
      </c>
      <c r="E29" s="15">
        <v>0</v>
      </c>
      <c r="F29" s="15">
        <v>0</v>
      </c>
      <c r="G29" s="15">
        <v>2730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409">
        <f t="shared" si="12"/>
        <v>2730</v>
      </c>
      <c r="P29" s="400"/>
    </row>
    <row r="30" spans="1:16" x14ac:dyDescent="0.35">
      <c r="B30" s="91" t="s">
        <v>291</v>
      </c>
      <c r="C30" s="9">
        <f t="shared" ref="C30:O30" si="13">SUM(C27:C29)</f>
        <v>0</v>
      </c>
      <c r="D30" s="93">
        <f t="shared" si="13"/>
        <v>0</v>
      </c>
      <c r="E30" s="93">
        <f t="shared" si="13"/>
        <v>0</v>
      </c>
      <c r="F30" s="93">
        <f t="shared" si="13"/>
        <v>0</v>
      </c>
      <c r="G30" s="93">
        <f t="shared" si="13"/>
        <v>6930</v>
      </c>
      <c r="H30" s="93">
        <f t="shared" si="13"/>
        <v>0</v>
      </c>
      <c r="I30" s="93">
        <f t="shared" si="13"/>
        <v>0</v>
      </c>
      <c r="J30" s="93">
        <f t="shared" si="13"/>
        <v>0</v>
      </c>
      <c r="K30" s="93">
        <f t="shared" si="13"/>
        <v>0</v>
      </c>
      <c r="L30" s="93">
        <f t="shared" si="13"/>
        <v>0</v>
      </c>
      <c r="M30" s="93">
        <f t="shared" si="13"/>
        <v>0</v>
      </c>
      <c r="N30" s="93">
        <f t="shared" si="13"/>
        <v>0</v>
      </c>
      <c r="O30" s="93">
        <f t="shared" si="13"/>
        <v>6930</v>
      </c>
      <c r="P30" s="83"/>
    </row>
    <row r="32" spans="1:16" ht="17.5" x14ac:dyDescent="0.35">
      <c r="A32" s="10" t="s">
        <v>532</v>
      </c>
      <c r="B32" s="10" t="s">
        <v>530</v>
      </c>
      <c r="C32" s="293"/>
      <c r="M32" s="84"/>
      <c r="N32" s="84"/>
    </row>
    <row r="33" spans="1:16" x14ac:dyDescent="0.35">
      <c r="C33" s="81" t="s">
        <v>0</v>
      </c>
      <c r="D33" s="81" t="s">
        <v>1</v>
      </c>
      <c r="E33" s="81" t="s">
        <v>2</v>
      </c>
      <c r="F33" s="81" t="s">
        <v>3</v>
      </c>
      <c r="G33" s="81" t="s">
        <v>4</v>
      </c>
      <c r="H33" s="81" t="s">
        <v>5</v>
      </c>
      <c r="I33" s="81" t="s">
        <v>6</v>
      </c>
      <c r="J33" s="81" t="s">
        <v>7</v>
      </c>
      <c r="K33" s="81" t="s">
        <v>8</v>
      </c>
      <c r="L33" s="81" t="s">
        <v>9</v>
      </c>
      <c r="M33" s="81" t="s">
        <v>10</v>
      </c>
      <c r="N33" s="81" t="s">
        <v>11</v>
      </c>
      <c r="O33" s="408" t="s">
        <v>12</v>
      </c>
      <c r="P33" s="14"/>
    </row>
    <row r="34" spans="1:16" x14ac:dyDescent="0.35">
      <c r="B34" s="223">
        <f>'361'!$B$1</f>
        <v>3610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270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409">
        <f>SUM(C34:N34)</f>
        <v>270</v>
      </c>
      <c r="P34" s="400"/>
    </row>
    <row r="35" spans="1:16" x14ac:dyDescent="0.35">
      <c r="B35" s="223">
        <f>'362'!$B$1</f>
        <v>3620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275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409">
        <f t="shared" ref="O35" si="14">SUM(C35:N35)</f>
        <v>275</v>
      </c>
      <c r="P35" s="400"/>
    </row>
    <row r="36" spans="1:16" x14ac:dyDescent="0.35">
      <c r="B36" s="223">
        <f>'364'!$B$1</f>
        <v>3640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/>
      <c r="I36" s="15">
        <v>275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409">
        <f>SUM(C36:N36)</f>
        <v>275</v>
      </c>
      <c r="P36" s="400"/>
    </row>
    <row r="37" spans="1:16" x14ac:dyDescent="0.35">
      <c r="B37" s="91" t="s">
        <v>291</v>
      </c>
      <c r="C37" s="9">
        <f t="shared" ref="C37:N37" si="15">SUM(C34:C36)</f>
        <v>0</v>
      </c>
      <c r="D37" s="9">
        <f t="shared" si="15"/>
        <v>0</v>
      </c>
      <c r="E37" s="9">
        <f t="shared" si="15"/>
        <v>0</v>
      </c>
      <c r="F37" s="9">
        <f t="shared" si="15"/>
        <v>0</v>
      </c>
      <c r="G37" s="9">
        <f t="shared" si="15"/>
        <v>0</v>
      </c>
      <c r="H37" s="9">
        <f t="shared" si="15"/>
        <v>275</v>
      </c>
      <c r="I37" s="9">
        <f t="shared" si="15"/>
        <v>545</v>
      </c>
      <c r="J37" s="9">
        <f t="shared" si="15"/>
        <v>0</v>
      </c>
      <c r="K37" s="9">
        <f t="shared" si="15"/>
        <v>0</v>
      </c>
      <c r="L37" s="9">
        <f t="shared" si="15"/>
        <v>0</v>
      </c>
      <c r="M37" s="9">
        <f t="shared" si="15"/>
        <v>0</v>
      </c>
      <c r="N37" s="9">
        <f t="shared" si="15"/>
        <v>0</v>
      </c>
      <c r="O37" s="93">
        <f t="shared" ref="O37" si="16">SUM(O34:O36)</f>
        <v>820</v>
      </c>
      <c r="P37" s="83"/>
    </row>
    <row r="39" spans="1:16" ht="17.5" x14ac:dyDescent="0.35">
      <c r="A39" s="10" t="s">
        <v>532</v>
      </c>
      <c r="B39" s="10" t="s">
        <v>534</v>
      </c>
      <c r="M39" s="84"/>
      <c r="N39" s="84"/>
    </row>
    <row r="40" spans="1:16" x14ac:dyDescent="0.35">
      <c r="C40" s="81" t="s">
        <v>0</v>
      </c>
      <c r="D40" s="81" t="s">
        <v>1</v>
      </c>
      <c r="E40" s="81" t="s">
        <v>2</v>
      </c>
      <c r="F40" s="81" t="s">
        <v>3</v>
      </c>
      <c r="G40" s="81" t="s">
        <v>4</v>
      </c>
      <c r="H40" s="81" t="s">
        <v>5</v>
      </c>
      <c r="I40" s="81" t="s">
        <v>6</v>
      </c>
      <c r="J40" s="81" t="s">
        <v>7</v>
      </c>
      <c r="K40" s="81" t="s">
        <v>8</v>
      </c>
      <c r="L40" s="81" t="s">
        <v>9</v>
      </c>
      <c r="M40" s="81" t="s">
        <v>10</v>
      </c>
      <c r="N40" s="81" t="s">
        <v>11</v>
      </c>
      <c r="O40" s="408" t="s">
        <v>12</v>
      </c>
      <c r="P40" s="14"/>
    </row>
    <row r="41" spans="1:16" x14ac:dyDescent="0.35">
      <c r="B41" s="223">
        <f>'361'!$B$1</f>
        <v>3610</v>
      </c>
      <c r="C41" s="13">
        <v>0</v>
      </c>
      <c r="D41" s="13">
        <v>350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409">
        <f>SUM(C41:N41)</f>
        <v>350</v>
      </c>
      <c r="P41" s="400"/>
    </row>
    <row r="42" spans="1:16" x14ac:dyDescent="0.35">
      <c r="B42" s="223">
        <f>'362'!$B$1</f>
        <v>3620</v>
      </c>
      <c r="C42" s="13">
        <v>0</v>
      </c>
      <c r="D42" s="13">
        <v>400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409">
        <f t="shared" ref="O42:O43" si="17">SUM(C42:N42)</f>
        <v>400</v>
      </c>
      <c r="P42" s="400"/>
    </row>
    <row r="43" spans="1:16" x14ac:dyDescent="0.35">
      <c r="B43" s="223">
        <f>'364'!$B$1</f>
        <v>3640</v>
      </c>
      <c r="C43" s="15">
        <v>0</v>
      </c>
      <c r="D43" s="15">
        <v>450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409">
        <f t="shared" si="17"/>
        <v>450</v>
      </c>
      <c r="P43" s="400"/>
    </row>
    <row r="44" spans="1:16" x14ac:dyDescent="0.35">
      <c r="B44" s="91" t="s">
        <v>291</v>
      </c>
      <c r="C44" s="9">
        <f t="shared" ref="C44:O44" si="18">SUM(C41:C43)</f>
        <v>0</v>
      </c>
      <c r="D44" s="93">
        <f t="shared" si="18"/>
        <v>1200</v>
      </c>
      <c r="E44" s="93">
        <f t="shared" si="18"/>
        <v>0</v>
      </c>
      <c r="F44" s="93">
        <f t="shared" si="18"/>
        <v>0</v>
      </c>
      <c r="G44" s="93">
        <f t="shared" si="18"/>
        <v>0</v>
      </c>
      <c r="H44" s="93">
        <f t="shared" si="18"/>
        <v>0</v>
      </c>
      <c r="I44" s="93">
        <f t="shared" si="18"/>
        <v>0</v>
      </c>
      <c r="J44" s="93">
        <f t="shared" si="18"/>
        <v>0</v>
      </c>
      <c r="K44" s="93">
        <f t="shared" si="18"/>
        <v>0</v>
      </c>
      <c r="L44" s="93">
        <f t="shared" si="18"/>
        <v>0</v>
      </c>
      <c r="M44" s="93">
        <f t="shared" si="18"/>
        <v>0</v>
      </c>
      <c r="N44" s="93">
        <f t="shared" si="18"/>
        <v>0</v>
      </c>
      <c r="O44" s="93">
        <f t="shared" si="18"/>
        <v>1200</v>
      </c>
      <c r="P44" s="83"/>
    </row>
    <row r="46" spans="1:16" ht="17.5" x14ac:dyDescent="0.35">
      <c r="A46" s="10" t="s">
        <v>532</v>
      </c>
      <c r="B46" s="10" t="s">
        <v>529</v>
      </c>
      <c r="M46" s="84"/>
      <c r="N46" s="84"/>
    </row>
    <row r="47" spans="1:16" x14ac:dyDescent="0.35">
      <c r="C47" s="81" t="s">
        <v>0</v>
      </c>
      <c r="D47" s="81" t="s">
        <v>1</v>
      </c>
      <c r="E47" s="81" t="s">
        <v>2</v>
      </c>
      <c r="F47" s="81" t="s">
        <v>3</v>
      </c>
      <c r="G47" s="81" t="s">
        <v>4</v>
      </c>
      <c r="H47" s="81" t="s">
        <v>5</v>
      </c>
      <c r="I47" s="81" t="s">
        <v>6</v>
      </c>
      <c r="J47" s="81" t="s">
        <v>7</v>
      </c>
      <c r="K47" s="81" t="s">
        <v>8</v>
      </c>
      <c r="L47" s="81" t="s">
        <v>9</v>
      </c>
      <c r="M47" s="81" t="s">
        <v>10</v>
      </c>
      <c r="N47" s="81" t="s">
        <v>11</v>
      </c>
      <c r="O47" s="408" t="s">
        <v>12</v>
      </c>
      <c r="P47" s="14"/>
    </row>
    <row r="48" spans="1:16" x14ac:dyDescent="0.35">
      <c r="B48" s="223">
        <f>'361'!$B$1</f>
        <v>3610</v>
      </c>
      <c r="C48" s="13">
        <v>0</v>
      </c>
      <c r="D48" s="13">
        <v>0</v>
      </c>
      <c r="E48" s="13">
        <v>125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125</v>
      </c>
      <c r="L48" s="13">
        <v>0</v>
      </c>
      <c r="M48" s="13">
        <v>0</v>
      </c>
      <c r="N48" s="13">
        <v>0</v>
      </c>
      <c r="O48" s="409">
        <f>SUM(C48:N48)</f>
        <v>250</v>
      </c>
      <c r="P48" s="400"/>
    </row>
    <row r="49" spans="1:16" x14ac:dyDescent="0.35">
      <c r="B49" s="223">
        <f>'362'!$B$1</f>
        <v>3620</v>
      </c>
      <c r="C49" s="13">
        <v>0</v>
      </c>
      <c r="D49" s="13">
        <v>0</v>
      </c>
      <c r="E49" s="13">
        <v>125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125</v>
      </c>
      <c r="L49" s="13">
        <v>0</v>
      </c>
      <c r="M49" s="13">
        <v>0</v>
      </c>
      <c r="N49" s="13">
        <v>100</v>
      </c>
      <c r="O49" s="409">
        <f t="shared" ref="O49:O50" si="19">SUM(C49:N49)</f>
        <v>350</v>
      </c>
      <c r="P49" s="400"/>
    </row>
    <row r="50" spans="1:16" x14ac:dyDescent="0.35">
      <c r="B50" s="223">
        <f>'364'!$B$1</f>
        <v>3640</v>
      </c>
      <c r="C50" s="15">
        <v>0</v>
      </c>
      <c r="D50" s="15">
        <v>0</v>
      </c>
      <c r="E50" s="15">
        <v>125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125</v>
      </c>
      <c r="L50" s="15">
        <v>0</v>
      </c>
      <c r="M50" s="15">
        <v>0</v>
      </c>
      <c r="N50" s="15">
        <v>0</v>
      </c>
      <c r="O50" s="409">
        <f t="shared" si="19"/>
        <v>250</v>
      </c>
      <c r="P50" s="400"/>
    </row>
    <row r="51" spans="1:16" x14ac:dyDescent="0.35">
      <c r="B51" s="91" t="s">
        <v>291</v>
      </c>
      <c r="C51" s="9">
        <f t="shared" ref="C51:O51" si="20">SUM(C48:C50)</f>
        <v>0</v>
      </c>
      <c r="D51" s="93">
        <f t="shared" si="20"/>
        <v>0</v>
      </c>
      <c r="E51" s="93">
        <f t="shared" si="20"/>
        <v>375</v>
      </c>
      <c r="F51" s="93">
        <f t="shared" si="20"/>
        <v>0</v>
      </c>
      <c r="G51" s="93">
        <f t="shared" si="20"/>
        <v>0</v>
      </c>
      <c r="H51" s="93">
        <f t="shared" si="20"/>
        <v>0</v>
      </c>
      <c r="I51" s="93">
        <f t="shared" si="20"/>
        <v>0</v>
      </c>
      <c r="J51" s="93">
        <f t="shared" si="20"/>
        <v>0</v>
      </c>
      <c r="K51" s="93">
        <f t="shared" si="20"/>
        <v>375</v>
      </c>
      <c r="L51" s="93">
        <f t="shared" si="20"/>
        <v>0</v>
      </c>
      <c r="M51" s="93">
        <f t="shared" si="20"/>
        <v>0</v>
      </c>
      <c r="N51" s="93">
        <f t="shared" si="20"/>
        <v>100</v>
      </c>
      <c r="O51" s="93">
        <f t="shared" si="20"/>
        <v>850</v>
      </c>
      <c r="P51" s="83"/>
    </row>
    <row r="53" spans="1:16" ht="17.5" x14ac:dyDescent="0.35">
      <c r="A53" s="10" t="s">
        <v>532</v>
      </c>
      <c r="B53" s="10" t="s">
        <v>528</v>
      </c>
      <c r="M53" s="84"/>
      <c r="N53" s="84"/>
    </row>
    <row r="54" spans="1:16" x14ac:dyDescent="0.35">
      <c r="C54" s="81" t="s">
        <v>0</v>
      </c>
      <c r="D54" s="81" t="s">
        <v>1</v>
      </c>
      <c r="E54" s="81" t="s">
        <v>2</v>
      </c>
      <c r="F54" s="81" t="s">
        <v>3</v>
      </c>
      <c r="G54" s="81" t="s">
        <v>4</v>
      </c>
      <c r="H54" s="81" t="s">
        <v>5</v>
      </c>
      <c r="I54" s="81" t="s">
        <v>6</v>
      </c>
      <c r="J54" s="81" t="s">
        <v>7</v>
      </c>
      <c r="K54" s="81" t="s">
        <v>8</v>
      </c>
      <c r="L54" s="81" t="s">
        <v>9</v>
      </c>
      <c r="M54" s="81" t="s">
        <v>10</v>
      </c>
      <c r="N54" s="81" t="s">
        <v>11</v>
      </c>
      <c r="O54" s="408" t="s">
        <v>12</v>
      </c>
      <c r="P54" s="14"/>
    </row>
    <row r="55" spans="1:16" x14ac:dyDescent="0.35">
      <c r="B55" s="223">
        <f>'361'!$B$1</f>
        <v>3610</v>
      </c>
      <c r="C55" s="13">
        <v>125</v>
      </c>
      <c r="D55" s="13">
        <v>125</v>
      </c>
      <c r="E55" s="13">
        <v>125</v>
      </c>
      <c r="F55" s="13">
        <v>125</v>
      </c>
      <c r="G55" s="13">
        <v>125</v>
      </c>
      <c r="H55" s="13">
        <v>125</v>
      </c>
      <c r="I55" s="13">
        <v>125</v>
      </c>
      <c r="J55" s="13">
        <v>125</v>
      </c>
      <c r="K55" s="13">
        <v>125</v>
      </c>
      <c r="L55" s="13">
        <v>125</v>
      </c>
      <c r="M55" s="13">
        <v>125</v>
      </c>
      <c r="N55" s="13">
        <v>125</v>
      </c>
      <c r="O55" s="409">
        <f>SUM(C55:N55)</f>
        <v>1500</v>
      </c>
      <c r="P55" s="400"/>
    </row>
    <row r="56" spans="1:16" x14ac:dyDescent="0.35">
      <c r="B56" s="223">
        <f>'362'!$B$1</f>
        <v>3620</v>
      </c>
      <c r="C56" s="13">
        <v>125</v>
      </c>
      <c r="D56" s="13">
        <v>125</v>
      </c>
      <c r="E56" s="13">
        <v>125</v>
      </c>
      <c r="F56" s="13">
        <v>125</v>
      </c>
      <c r="G56" s="13">
        <v>125</v>
      </c>
      <c r="H56" s="13">
        <v>125</v>
      </c>
      <c r="I56" s="13">
        <v>125</v>
      </c>
      <c r="J56" s="13">
        <v>125</v>
      </c>
      <c r="K56" s="13">
        <v>125</v>
      </c>
      <c r="L56" s="13">
        <v>125</v>
      </c>
      <c r="M56" s="13">
        <v>125</v>
      </c>
      <c r="N56" s="13">
        <v>125</v>
      </c>
      <c r="O56" s="409">
        <f t="shared" ref="O56:O57" si="21">SUM(C56:N56)</f>
        <v>1500</v>
      </c>
      <c r="P56" s="400"/>
    </row>
    <row r="57" spans="1:16" x14ac:dyDescent="0.35">
      <c r="B57" s="223">
        <f>'364'!$B$1</f>
        <v>3640</v>
      </c>
      <c r="C57" s="15">
        <v>125</v>
      </c>
      <c r="D57" s="15">
        <v>125</v>
      </c>
      <c r="E57" s="15">
        <v>125</v>
      </c>
      <c r="F57" s="15">
        <v>125</v>
      </c>
      <c r="G57" s="15">
        <v>125</v>
      </c>
      <c r="H57" s="15">
        <v>125</v>
      </c>
      <c r="I57" s="15">
        <v>125</v>
      </c>
      <c r="J57" s="15">
        <v>125</v>
      </c>
      <c r="K57" s="15">
        <v>125</v>
      </c>
      <c r="L57" s="15">
        <v>125</v>
      </c>
      <c r="M57" s="15">
        <v>125</v>
      </c>
      <c r="N57" s="15">
        <v>125</v>
      </c>
      <c r="O57" s="409">
        <f t="shared" si="21"/>
        <v>1500</v>
      </c>
      <c r="P57" s="400"/>
    </row>
    <row r="58" spans="1:16" x14ac:dyDescent="0.35">
      <c r="B58" s="91" t="s">
        <v>291</v>
      </c>
      <c r="C58" s="9">
        <f t="shared" ref="C58:O58" si="22">SUM(C55:C57)</f>
        <v>375</v>
      </c>
      <c r="D58" s="93">
        <f t="shared" si="22"/>
        <v>375</v>
      </c>
      <c r="E58" s="93">
        <f t="shared" si="22"/>
        <v>375</v>
      </c>
      <c r="F58" s="93">
        <f t="shared" si="22"/>
        <v>375</v>
      </c>
      <c r="G58" s="93">
        <f t="shared" si="22"/>
        <v>375</v>
      </c>
      <c r="H58" s="93">
        <f t="shared" si="22"/>
        <v>375</v>
      </c>
      <c r="I58" s="93">
        <f t="shared" si="22"/>
        <v>375</v>
      </c>
      <c r="J58" s="93">
        <f t="shared" si="22"/>
        <v>375</v>
      </c>
      <c r="K58" s="93">
        <f t="shared" si="22"/>
        <v>375</v>
      </c>
      <c r="L58" s="93">
        <f t="shared" si="22"/>
        <v>375</v>
      </c>
      <c r="M58" s="93">
        <f t="shared" si="22"/>
        <v>375</v>
      </c>
      <c r="N58" s="93">
        <f t="shared" si="22"/>
        <v>375</v>
      </c>
      <c r="O58" s="93">
        <f t="shared" si="22"/>
        <v>4500</v>
      </c>
      <c r="P58" s="83"/>
    </row>
    <row r="60" spans="1:16" ht="17.5" x14ac:dyDescent="0.35">
      <c r="A60" s="10" t="s">
        <v>532</v>
      </c>
      <c r="B60" s="10" t="s">
        <v>535</v>
      </c>
      <c r="M60" s="84"/>
      <c r="N60" s="84"/>
    </row>
    <row r="61" spans="1:16" x14ac:dyDescent="0.35">
      <c r="C61" s="81" t="s">
        <v>0</v>
      </c>
      <c r="D61" s="81" t="s">
        <v>1</v>
      </c>
      <c r="E61" s="81" t="s">
        <v>2</v>
      </c>
      <c r="F61" s="81" t="s">
        <v>3</v>
      </c>
      <c r="G61" s="81" t="s">
        <v>4</v>
      </c>
      <c r="H61" s="81" t="s">
        <v>5</v>
      </c>
      <c r="I61" s="81" t="s">
        <v>6</v>
      </c>
      <c r="J61" s="81" t="s">
        <v>7</v>
      </c>
      <c r="K61" s="81" t="s">
        <v>8</v>
      </c>
      <c r="L61" s="81" t="s">
        <v>9</v>
      </c>
      <c r="M61" s="81" t="s">
        <v>10</v>
      </c>
      <c r="N61" s="81" t="s">
        <v>11</v>
      </c>
      <c r="O61" s="408" t="s">
        <v>12</v>
      </c>
      <c r="P61" s="14"/>
    </row>
    <row r="62" spans="1:16" x14ac:dyDescent="0.35">
      <c r="B62" s="223">
        <f>'361'!$B$1</f>
        <v>3610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2200</v>
      </c>
      <c r="L62" s="13">
        <v>0</v>
      </c>
      <c r="M62" s="13">
        <v>0</v>
      </c>
      <c r="N62" s="13">
        <v>0</v>
      </c>
      <c r="O62" s="409">
        <f>SUM(C62:N62)</f>
        <v>2200</v>
      </c>
      <c r="P62" s="400"/>
    </row>
    <row r="63" spans="1:16" x14ac:dyDescent="0.35">
      <c r="B63" s="223">
        <f>'362'!$B$1</f>
        <v>3620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1980</v>
      </c>
      <c r="L63" s="13">
        <v>0</v>
      </c>
      <c r="M63" s="13">
        <v>0</v>
      </c>
      <c r="N63" s="13">
        <v>0</v>
      </c>
      <c r="O63" s="409">
        <f t="shared" ref="O63:O64" si="23">SUM(C63:N63)</f>
        <v>1980</v>
      </c>
      <c r="P63" s="400"/>
    </row>
    <row r="64" spans="1:16" x14ac:dyDescent="0.35">
      <c r="B64" s="223">
        <f>'364'!$B$1</f>
        <v>3640</v>
      </c>
      <c r="C64" s="15">
        <v>0</v>
      </c>
      <c r="D64" s="15">
        <v>0</v>
      </c>
      <c r="E64" s="15">
        <v>0</v>
      </c>
      <c r="F64" s="15">
        <v>0</v>
      </c>
      <c r="G64" s="15">
        <v>1980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409">
        <f t="shared" si="23"/>
        <v>1980</v>
      </c>
      <c r="P64" s="400"/>
    </row>
    <row r="65" spans="1:16" x14ac:dyDescent="0.35">
      <c r="B65" s="91" t="s">
        <v>291</v>
      </c>
      <c r="C65" s="9">
        <f t="shared" ref="C65:O65" si="24">SUM(C62:C64)</f>
        <v>0</v>
      </c>
      <c r="D65" s="93">
        <f t="shared" si="24"/>
        <v>0</v>
      </c>
      <c r="E65" s="93">
        <f t="shared" si="24"/>
        <v>0</v>
      </c>
      <c r="F65" s="93">
        <f t="shared" si="24"/>
        <v>0</v>
      </c>
      <c r="G65" s="93">
        <f t="shared" si="24"/>
        <v>1980</v>
      </c>
      <c r="H65" s="93">
        <f t="shared" si="24"/>
        <v>0</v>
      </c>
      <c r="I65" s="93">
        <f t="shared" si="24"/>
        <v>0</v>
      </c>
      <c r="J65" s="93">
        <f t="shared" si="24"/>
        <v>0</v>
      </c>
      <c r="K65" s="93">
        <f t="shared" si="24"/>
        <v>4180</v>
      </c>
      <c r="L65" s="93">
        <f t="shared" si="24"/>
        <v>0</v>
      </c>
      <c r="M65" s="93">
        <f t="shared" si="24"/>
        <v>0</v>
      </c>
      <c r="N65" s="93">
        <f t="shared" si="24"/>
        <v>0</v>
      </c>
      <c r="O65" s="93">
        <f t="shared" si="24"/>
        <v>6160</v>
      </c>
      <c r="P65" s="83"/>
    </row>
    <row r="67" spans="1:16" ht="17.5" x14ac:dyDescent="0.35">
      <c r="A67" s="10" t="s">
        <v>532</v>
      </c>
      <c r="B67" s="10" t="s">
        <v>527</v>
      </c>
      <c r="M67" s="84"/>
      <c r="N67" s="84"/>
    </row>
    <row r="68" spans="1:16" x14ac:dyDescent="0.35">
      <c r="C68" s="81" t="s">
        <v>0</v>
      </c>
      <c r="D68" s="81" t="s">
        <v>1</v>
      </c>
      <c r="E68" s="81" t="s">
        <v>2</v>
      </c>
      <c r="F68" s="81" t="s">
        <v>3</v>
      </c>
      <c r="G68" s="81" t="s">
        <v>4</v>
      </c>
      <c r="H68" s="81" t="s">
        <v>5</v>
      </c>
      <c r="I68" s="81" t="s">
        <v>6</v>
      </c>
      <c r="J68" s="81" t="s">
        <v>7</v>
      </c>
      <c r="K68" s="81" t="s">
        <v>8</v>
      </c>
      <c r="L68" s="81" t="s">
        <v>9</v>
      </c>
      <c r="M68" s="81" t="s">
        <v>10</v>
      </c>
      <c r="N68" s="81" t="s">
        <v>11</v>
      </c>
      <c r="O68" s="408" t="s">
        <v>12</v>
      </c>
      <c r="P68" s="14"/>
    </row>
    <row r="69" spans="1:16" x14ac:dyDescent="0.35">
      <c r="B69" s="223">
        <f>'361'!$B$1</f>
        <v>3610</v>
      </c>
      <c r="C69" s="13">
        <v>0</v>
      </c>
      <c r="D69" s="13">
        <v>0</v>
      </c>
      <c r="E69" s="13">
        <v>0</v>
      </c>
      <c r="F69" s="13">
        <v>0</v>
      </c>
      <c r="G69" s="13">
        <v>500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500</v>
      </c>
      <c r="N69" s="13">
        <v>0</v>
      </c>
      <c r="O69" s="409">
        <f>SUM(C69:N69)</f>
        <v>1000</v>
      </c>
      <c r="P69" s="78"/>
    </row>
    <row r="70" spans="1:16" x14ac:dyDescent="0.35">
      <c r="B70" s="223">
        <f>'362'!$B$1</f>
        <v>3620</v>
      </c>
      <c r="C70" s="13">
        <v>0</v>
      </c>
      <c r="D70" s="13">
        <v>0</v>
      </c>
      <c r="E70" s="13">
        <v>0</v>
      </c>
      <c r="F70" s="13">
        <v>0</v>
      </c>
      <c r="G70" s="13">
        <v>500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500</v>
      </c>
      <c r="N70" s="13">
        <v>0</v>
      </c>
      <c r="O70" s="409">
        <f t="shared" ref="O70:O71" si="25">SUM(C70:N70)</f>
        <v>1000</v>
      </c>
      <c r="P70" s="78"/>
    </row>
    <row r="71" spans="1:16" x14ac:dyDescent="0.35">
      <c r="B71" s="223">
        <f>'364'!$B$1</f>
        <v>3640</v>
      </c>
      <c r="C71" s="15">
        <v>0</v>
      </c>
      <c r="D71" s="15">
        <v>0</v>
      </c>
      <c r="E71" s="15">
        <v>0</v>
      </c>
      <c r="F71" s="15">
        <v>0</v>
      </c>
      <c r="G71" s="15">
        <v>500</v>
      </c>
      <c r="H71" s="15">
        <v>0</v>
      </c>
      <c r="I71" s="15">
        <v>0</v>
      </c>
      <c r="J71" s="15">
        <v>0</v>
      </c>
      <c r="K71" s="15">
        <v>0</v>
      </c>
      <c r="L71" s="15">
        <v>500</v>
      </c>
      <c r="M71" s="15">
        <v>0</v>
      </c>
      <c r="N71" s="15">
        <v>0</v>
      </c>
      <c r="O71" s="409">
        <f t="shared" si="25"/>
        <v>1000</v>
      </c>
      <c r="P71" s="78"/>
    </row>
    <row r="72" spans="1:16" x14ac:dyDescent="0.35">
      <c r="B72" s="91" t="s">
        <v>291</v>
      </c>
      <c r="C72" s="9">
        <f t="shared" ref="C72:O72" si="26">SUM(C69:C71)</f>
        <v>0</v>
      </c>
      <c r="D72" s="93">
        <f t="shared" si="26"/>
        <v>0</v>
      </c>
      <c r="E72" s="93">
        <f t="shared" si="26"/>
        <v>0</v>
      </c>
      <c r="F72" s="93">
        <f t="shared" si="26"/>
        <v>0</v>
      </c>
      <c r="G72" s="93">
        <f t="shared" si="26"/>
        <v>1500</v>
      </c>
      <c r="H72" s="93">
        <f t="shared" si="26"/>
        <v>0</v>
      </c>
      <c r="I72" s="93">
        <f t="shared" si="26"/>
        <v>0</v>
      </c>
      <c r="J72" s="93">
        <f t="shared" si="26"/>
        <v>0</v>
      </c>
      <c r="K72" s="93">
        <f t="shared" si="26"/>
        <v>0</v>
      </c>
      <c r="L72" s="93">
        <f t="shared" si="26"/>
        <v>500</v>
      </c>
      <c r="M72" s="93">
        <f t="shared" si="26"/>
        <v>1000</v>
      </c>
      <c r="N72" s="93">
        <f t="shared" si="26"/>
        <v>0</v>
      </c>
      <c r="O72" s="93">
        <f t="shared" si="26"/>
        <v>3000</v>
      </c>
      <c r="P72" s="83"/>
    </row>
    <row r="74" spans="1:16" ht="17.5" x14ac:dyDescent="0.35">
      <c r="A74" s="10" t="s">
        <v>532</v>
      </c>
      <c r="B74" s="10" t="s">
        <v>526</v>
      </c>
      <c r="M74" s="84"/>
      <c r="N74" s="84"/>
    </row>
    <row r="75" spans="1:16" x14ac:dyDescent="0.35">
      <c r="C75" s="81" t="s">
        <v>0</v>
      </c>
      <c r="D75" s="81" t="s">
        <v>1</v>
      </c>
      <c r="E75" s="81" t="s">
        <v>2</v>
      </c>
      <c r="F75" s="81" t="s">
        <v>3</v>
      </c>
      <c r="G75" s="81" t="s">
        <v>4</v>
      </c>
      <c r="H75" s="81" t="s">
        <v>5</v>
      </c>
      <c r="I75" s="81" t="s">
        <v>6</v>
      </c>
      <c r="J75" s="81" t="s">
        <v>7</v>
      </c>
      <c r="K75" s="81" t="s">
        <v>8</v>
      </c>
      <c r="L75" s="81" t="s">
        <v>9</v>
      </c>
      <c r="M75" s="81" t="s">
        <v>10</v>
      </c>
      <c r="N75" s="81" t="s">
        <v>11</v>
      </c>
      <c r="O75" s="408" t="s">
        <v>12</v>
      </c>
      <c r="P75" s="14"/>
    </row>
    <row r="76" spans="1:16" x14ac:dyDescent="0.35">
      <c r="B76" s="223">
        <f>'361'!$B$1</f>
        <v>3610</v>
      </c>
      <c r="C76" s="13">
        <v>225</v>
      </c>
      <c r="D76" s="13">
        <v>0</v>
      </c>
      <c r="E76" s="13">
        <v>0</v>
      </c>
      <c r="F76" s="13">
        <v>225</v>
      </c>
      <c r="G76" s="13">
        <v>0</v>
      </c>
      <c r="H76" s="13">
        <v>0</v>
      </c>
      <c r="I76" s="13">
        <v>225</v>
      </c>
      <c r="J76" s="13">
        <v>0</v>
      </c>
      <c r="K76" s="13">
        <v>0</v>
      </c>
      <c r="L76" s="13">
        <v>225</v>
      </c>
      <c r="M76" s="13">
        <v>0</v>
      </c>
      <c r="N76" s="13">
        <v>0</v>
      </c>
      <c r="O76" s="409">
        <f t="shared" ref="O76:O78" si="27">SUM(D76:N76)</f>
        <v>675</v>
      </c>
      <c r="P76" s="78"/>
    </row>
    <row r="77" spans="1:16" x14ac:dyDescent="0.35">
      <c r="B77" s="223">
        <f>'362'!$B$1</f>
        <v>3620</v>
      </c>
      <c r="C77" s="13">
        <v>225</v>
      </c>
      <c r="D77" s="13">
        <v>0</v>
      </c>
      <c r="E77" s="13">
        <v>0</v>
      </c>
      <c r="F77" s="13">
        <v>225</v>
      </c>
      <c r="G77" s="13">
        <v>0</v>
      </c>
      <c r="H77" s="13">
        <v>0</v>
      </c>
      <c r="I77" s="13">
        <v>225</v>
      </c>
      <c r="J77" s="13">
        <v>0</v>
      </c>
      <c r="K77" s="13">
        <v>0</v>
      </c>
      <c r="L77" s="13">
        <v>225</v>
      </c>
      <c r="M77" s="13">
        <v>0</v>
      </c>
      <c r="N77" s="13">
        <v>0</v>
      </c>
      <c r="O77" s="409">
        <f t="shared" si="27"/>
        <v>675</v>
      </c>
      <c r="P77" s="78"/>
    </row>
    <row r="78" spans="1:16" x14ac:dyDescent="0.35">
      <c r="B78" s="223">
        <f>'364'!$B$1</f>
        <v>3640</v>
      </c>
      <c r="C78" s="15">
        <v>225</v>
      </c>
      <c r="D78" s="15">
        <v>0</v>
      </c>
      <c r="E78" s="15">
        <v>0</v>
      </c>
      <c r="F78" s="15">
        <v>225</v>
      </c>
      <c r="G78" s="15">
        <v>0</v>
      </c>
      <c r="H78" s="15">
        <v>0</v>
      </c>
      <c r="I78" s="15">
        <v>225</v>
      </c>
      <c r="J78" s="15">
        <v>0</v>
      </c>
      <c r="K78" s="15">
        <v>0</v>
      </c>
      <c r="L78" s="15">
        <v>225</v>
      </c>
      <c r="M78" s="15">
        <v>0</v>
      </c>
      <c r="N78" s="15">
        <v>0</v>
      </c>
      <c r="O78" s="409">
        <f t="shared" si="27"/>
        <v>675</v>
      </c>
      <c r="P78" s="78"/>
    </row>
    <row r="79" spans="1:16" x14ac:dyDescent="0.35">
      <c r="B79" s="91" t="s">
        <v>291</v>
      </c>
      <c r="C79" s="9">
        <f t="shared" ref="C79:O79" si="28">SUM(C76:C78)</f>
        <v>675</v>
      </c>
      <c r="D79" s="93">
        <f t="shared" si="28"/>
        <v>0</v>
      </c>
      <c r="E79" s="93">
        <f t="shared" si="28"/>
        <v>0</v>
      </c>
      <c r="F79" s="93">
        <f t="shared" si="28"/>
        <v>675</v>
      </c>
      <c r="G79" s="93">
        <f t="shared" si="28"/>
        <v>0</v>
      </c>
      <c r="H79" s="93">
        <f t="shared" si="28"/>
        <v>0</v>
      </c>
      <c r="I79" s="93">
        <f t="shared" si="28"/>
        <v>675</v>
      </c>
      <c r="J79" s="93">
        <f t="shared" si="28"/>
        <v>0</v>
      </c>
      <c r="K79" s="93">
        <f t="shared" si="28"/>
        <v>0</v>
      </c>
      <c r="L79" s="93">
        <f t="shared" si="28"/>
        <v>675</v>
      </c>
      <c r="M79" s="93">
        <f t="shared" si="28"/>
        <v>0</v>
      </c>
      <c r="N79" s="93">
        <f t="shared" si="28"/>
        <v>0</v>
      </c>
      <c r="O79" s="93">
        <f t="shared" si="28"/>
        <v>2025</v>
      </c>
      <c r="P79" s="83"/>
    </row>
    <row r="81" spans="1:16" ht="17.5" x14ac:dyDescent="0.35">
      <c r="A81" s="10" t="s">
        <v>532</v>
      </c>
      <c r="B81" s="10" t="s">
        <v>536</v>
      </c>
      <c r="C81" s="14"/>
      <c r="M81" s="84"/>
      <c r="N81" s="84"/>
    </row>
    <row r="82" spans="1:16" x14ac:dyDescent="0.35">
      <c r="C82" s="81" t="s">
        <v>0</v>
      </c>
      <c r="D82" s="81" t="s">
        <v>1</v>
      </c>
      <c r="E82" s="81" t="s">
        <v>2</v>
      </c>
      <c r="F82" s="81" t="s">
        <v>3</v>
      </c>
      <c r="G82" s="81" t="s">
        <v>4</v>
      </c>
      <c r="H82" s="81" t="s">
        <v>5</v>
      </c>
      <c r="I82" s="81" t="s">
        <v>6</v>
      </c>
      <c r="J82" s="81" t="s">
        <v>7</v>
      </c>
      <c r="K82" s="81" t="s">
        <v>8</v>
      </c>
      <c r="L82" s="81" t="s">
        <v>9</v>
      </c>
      <c r="M82" s="81" t="s">
        <v>10</v>
      </c>
      <c r="N82" s="81" t="s">
        <v>11</v>
      </c>
      <c r="O82" s="408" t="s">
        <v>12</v>
      </c>
      <c r="P82" s="14"/>
    </row>
    <row r="83" spans="1:16" x14ac:dyDescent="0.35">
      <c r="B83" s="223">
        <f>'361'!$B$1</f>
        <v>3610</v>
      </c>
      <c r="C83" s="13">
        <v>365</v>
      </c>
      <c r="D83" s="13">
        <v>365</v>
      </c>
      <c r="E83" s="13">
        <v>365</v>
      </c>
      <c r="F83" s="13">
        <v>365</v>
      </c>
      <c r="G83" s="13">
        <v>365</v>
      </c>
      <c r="H83" s="13">
        <v>365</v>
      </c>
      <c r="I83" s="13">
        <v>365</v>
      </c>
      <c r="J83" s="13">
        <v>365</v>
      </c>
      <c r="K83" s="13">
        <v>365</v>
      </c>
      <c r="L83" s="13">
        <v>365</v>
      </c>
      <c r="M83" s="13">
        <v>365</v>
      </c>
      <c r="N83" s="13">
        <v>365</v>
      </c>
      <c r="O83" s="409">
        <f>SUM(C83:N83)</f>
        <v>4380</v>
      </c>
      <c r="P83" s="78"/>
    </row>
    <row r="84" spans="1:16" x14ac:dyDescent="0.35">
      <c r="B84" s="223">
        <f>'362'!$B$1</f>
        <v>3620</v>
      </c>
      <c r="C84" s="13">
        <v>365</v>
      </c>
      <c r="D84" s="13">
        <v>365</v>
      </c>
      <c r="E84" s="13">
        <v>365</v>
      </c>
      <c r="F84" s="13">
        <v>365</v>
      </c>
      <c r="G84" s="13">
        <v>365</v>
      </c>
      <c r="H84" s="13">
        <v>365</v>
      </c>
      <c r="I84" s="13">
        <v>365</v>
      </c>
      <c r="J84" s="13">
        <v>365</v>
      </c>
      <c r="K84" s="13">
        <v>365</v>
      </c>
      <c r="L84" s="13">
        <v>365</v>
      </c>
      <c r="M84" s="13">
        <v>365</v>
      </c>
      <c r="N84" s="13">
        <v>365</v>
      </c>
      <c r="O84" s="409">
        <f t="shared" ref="O84:O85" si="29">SUM(C84:N84)</f>
        <v>4380</v>
      </c>
      <c r="P84" s="78"/>
    </row>
    <row r="85" spans="1:16" x14ac:dyDescent="0.35">
      <c r="B85" s="223">
        <f>'364'!$B$1</f>
        <v>3640</v>
      </c>
      <c r="C85" s="15">
        <v>365</v>
      </c>
      <c r="D85" s="15">
        <v>365</v>
      </c>
      <c r="E85" s="15">
        <v>365</v>
      </c>
      <c r="F85" s="15">
        <v>365</v>
      </c>
      <c r="G85" s="15">
        <v>365</v>
      </c>
      <c r="H85" s="15">
        <v>365</v>
      </c>
      <c r="I85" s="15">
        <v>365</v>
      </c>
      <c r="J85" s="15">
        <v>365</v>
      </c>
      <c r="K85" s="15">
        <v>365</v>
      </c>
      <c r="L85" s="15">
        <v>365</v>
      </c>
      <c r="M85" s="15">
        <v>365</v>
      </c>
      <c r="N85" s="15">
        <v>365</v>
      </c>
      <c r="O85" s="409">
        <f t="shared" si="29"/>
        <v>4380</v>
      </c>
      <c r="P85" s="78"/>
    </row>
    <row r="86" spans="1:16" x14ac:dyDescent="0.35">
      <c r="B86" s="91" t="s">
        <v>291</v>
      </c>
      <c r="C86" s="9">
        <f t="shared" ref="C86:O86" si="30">SUM(C83:C85)</f>
        <v>1095</v>
      </c>
      <c r="D86" s="9">
        <f t="shared" si="30"/>
        <v>1095</v>
      </c>
      <c r="E86" s="9">
        <f t="shared" si="30"/>
        <v>1095</v>
      </c>
      <c r="F86" s="9">
        <f t="shared" si="30"/>
        <v>1095</v>
      </c>
      <c r="G86" s="9">
        <f t="shared" si="30"/>
        <v>1095</v>
      </c>
      <c r="H86" s="9">
        <f t="shared" si="30"/>
        <v>1095</v>
      </c>
      <c r="I86" s="9">
        <f t="shared" si="30"/>
        <v>1095</v>
      </c>
      <c r="J86" s="9">
        <f t="shared" si="30"/>
        <v>1095</v>
      </c>
      <c r="K86" s="9">
        <f t="shared" si="30"/>
        <v>1095</v>
      </c>
      <c r="L86" s="9">
        <f t="shared" si="30"/>
        <v>1095</v>
      </c>
      <c r="M86" s="9">
        <f t="shared" si="30"/>
        <v>1095</v>
      </c>
      <c r="N86" s="9">
        <f t="shared" si="30"/>
        <v>1095</v>
      </c>
      <c r="O86" s="93">
        <f t="shared" si="30"/>
        <v>13140</v>
      </c>
      <c r="P86" s="83"/>
    </row>
    <row r="88" spans="1:16" ht="17.5" x14ac:dyDescent="0.35">
      <c r="A88" s="10" t="s">
        <v>532</v>
      </c>
      <c r="B88" s="10" t="s">
        <v>525</v>
      </c>
      <c r="M88" s="84"/>
      <c r="N88" s="84"/>
    </row>
    <row r="89" spans="1:16" x14ac:dyDescent="0.35">
      <c r="C89" s="81" t="s">
        <v>0</v>
      </c>
      <c r="D89" s="81" t="s">
        <v>1</v>
      </c>
      <c r="E89" s="81" t="s">
        <v>2</v>
      </c>
      <c r="F89" s="81" t="s">
        <v>3</v>
      </c>
      <c r="G89" s="81" t="s">
        <v>4</v>
      </c>
      <c r="H89" s="81" t="s">
        <v>5</v>
      </c>
      <c r="I89" s="81" t="s">
        <v>6</v>
      </c>
      <c r="J89" s="81" t="s">
        <v>7</v>
      </c>
      <c r="K89" s="81" t="s">
        <v>8</v>
      </c>
      <c r="L89" s="81" t="s">
        <v>9</v>
      </c>
      <c r="M89" s="81" t="s">
        <v>10</v>
      </c>
      <c r="N89" s="81" t="s">
        <v>11</v>
      </c>
      <c r="O89" s="408" t="s">
        <v>12</v>
      </c>
      <c r="P89" s="14"/>
    </row>
    <row r="90" spans="1:16" x14ac:dyDescent="0.35">
      <c r="B90" s="223">
        <f>'361'!$B$1</f>
        <v>3610</v>
      </c>
      <c r="C90" s="13">
        <v>1200</v>
      </c>
      <c r="D90" s="13">
        <v>1200</v>
      </c>
      <c r="E90" s="13">
        <v>1200</v>
      </c>
      <c r="F90" s="13">
        <v>1200</v>
      </c>
      <c r="G90" s="13">
        <v>1200</v>
      </c>
      <c r="H90" s="13">
        <v>1200</v>
      </c>
      <c r="I90" s="13">
        <v>1200</v>
      </c>
      <c r="J90" s="13">
        <v>1200</v>
      </c>
      <c r="K90" s="13">
        <v>1200</v>
      </c>
      <c r="L90" s="13">
        <v>1200</v>
      </c>
      <c r="M90" s="13">
        <v>1200</v>
      </c>
      <c r="N90" s="13">
        <v>1200</v>
      </c>
      <c r="O90" s="409">
        <f>SUM(C90:N90)</f>
        <v>14400</v>
      </c>
      <c r="P90" s="78"/>
    </row>
    <row r="91" spans="1:16" x14ac:dyDescent="0.35">
      <c r="B91" s="223">
        <f>'362'!$B$1</f>
        <v>3620</v>
      </c>
      <c r="C91" s="13">
        <v>1200</v>
      </c>
      <c r="D91" s="13">
        <v>1200</v>
      </c>
      <c r="E91" s="13">
        <v>1200</v>
      </c>
      <c r="F91" s="13">
        <v>1200</v>
      </c>
      <c r="G91" s="13">
        <v>1200</v>
      </c>
      <c r="H91" s="13">
        <v>1200</v>
      </c>
      <c r="I91" s="13">
        <v>1200</v>
      </c>
      <c r="J91" s="13">
        <v>1200</v>
      </c>
      <c r="K91" s="13">
        <v>1200</v>
      </c>
      <c r="L91" s="13">
        <v>1200</v>
      </c>
      <c r="M91" s="13">
        <v>1200</v>
      </c>
      <c r="N91" s="13">
        <v>1200</v>
      </c>
      <c r="O91" s="409">
        <f t="shared" ref="O91:O92" si="31">SUM(C91:N91)</f>
        <v>14400</v>
      </c>
      <c r="P91" s="78"/>
    </row>
    <row r="92" spans="1:16" x14ac:dyDescent="0.35">
      <c r="B92" s="223">
        <f>'364'!$B$1</f>
        <v>3640</v>
      </c>
      <c r="C92" s="15">
        <v>1200</v>
      </c>
      <c r="D92" s="15">
        <v>1200</v>
      </c>
      <c r="E92" s="15">
        <v>1200</v>
      </c>
      <c r="F92" s="15">
        <v>1200</v>
      </c>
      <c r="G92" s="15">
        <v>1200</v>
      </c>
      <c r="H92" s="15">
        <v>1200</v>
      </c>
      <c r="I92" s="15">
        <v>1200</v>
      </c>
      <c r="J92" s="15">
        <v>1200</v>
      </c>
      <c r="K92" s="15">
        <v>1200</v>
      </c>
      <c r="L92" s="15">
        <v>1200</v>
      </c>
      <c r="M92" s="15">
        <v>1200</v>
      </c>
      <c r="N92" s="15">
        <v>1200</v>
      </c>
      <c r="O92" s="409">
        <f t="shared" si="31"/>
        <v>14400</v>
      </c>
      <c r="P92" s="78"/>
    </row>
    <row r="93" spans="1:16" x14ac:dyDescent="0.35">
      <c r="B93" s="91" t="s">
        <v>291</v>
      </c>
      <c r="C93" s="9">
        <f t="shared" ref="C93:O93" si="32">SUM(C90:C92)</f>
        <v>3600</v>
      </c>
      <c r="D93" s="93">
        <f t="shared" si="32"/>
        <v>3600</v>
      </c>
      <c r="E93" s="93">
        <f t="shared" si="32"/>
        <v>3600</v>
      </c>
      <c r="F93" s="93">
        <f t="shared" si="32"/>
        <v>3600</v>
      </c>
      <c r="G93" s="93">
        <f t="shared" si="32"/>
        <v>3600</v>
      </c>
      <c r="H93" s="93">
        <f t="shared" si="32"/>
        <v>3600</v>
      </c>
      <c r="I93" s="93">
        <f t="shared" si="32"/>
        <v>3600</v>
      </c>
      <c r="J93" s="93">
        <f t="shared" si="32"/>
        <v>3600</v>
      </c>
      <c r="K93" s="93">
        <f t="shared" si="32"/>
        <v>3600</v>
      </c>
      <c r="L93" s="93">
        <f t="shared" si="32"/>
        <v>3600</v>
      </c>
      <c r="M93" s="93">
        <f t="shared" si="32"/>
        <v>3600</v>
      </c>
      <c r="N93" s="93">
        <f t="shared" si="32"/>
        <v>3600</v>
      </c>
      <c r="O93" s="93">
        <f t="shared" si="32"/>
        <v>43200</v>
      </c>
      <c r="P93" s="83"/>
    </row>
    <row r="95" spans="1:16" ht="17.5" x14ac:dyDescent="0.35">
      <c r="A95" s="10" t="s">
        <v>539</v>
      </c>
      <c r="B95" s="10" t="s">
        <v>524</v>
      </c>
      <c r="M95" s="84"/>
      <c r="N95" s="84"/>
    </row>
    <row r="96" spans="1:16" x14ac:dyDescent="0.35">
      <c r="C96" s="81" t="s">
        <v>0</v>
      </c>
      <c r="D96" s="81" t="s">
        <v>1</v>
      </c>
      <c r="E96" s="81" t="s">
        <v>2</v>
      </c>
      <c r="F96" s="81" t="s">
        <v>3</v>
      </c>
      <c r="G96" s="81" t="s">
        <v>4</v>
      </c>
      <c r="H96" s="81" t="s">
        <v>5</v>
      </c>
      <c r="I96" s="81" t="s">
        <v>6</v>
      </c>
      <c r="J96" s="81" t="s">
        <v>7</v>
      </c>
      <c r="K96" s="81" t="s">
        <v>8</v>
      </c>
      <c r="L96" s="81" t="s">
        <v>9</v>
      </c>
      <c r="M96" s="81" t="s">
        <v>10</v>
      </c>
      <c r="N96" s="81" t="s">
        <v>11</v>
      </c>
      <c r="O96" s="408" t="s">
        <v>12</v>
      </c>
      <c r="P96" s="14"/>
    </row>
    <row r="97" spans="1:16" x14ac:dyDescent="0.35">
      <c r="B97" s="223">
        <f>'361'!$B$1</f>
        <v>3610</v>
      </c>
      <c r="C97" s="13">
        <v>145</v>
      </c>
      <c r="D97" s="13">
        <v>145</v>
      </c>
      <c r="E97" s="13">
        <v>145</v>
      </c>
      <c r="F97" s="13">
        <v>145</v>
      </c>
      <c r="G97" s="13">
        <v>145</v>
      </c>
      <c r="H97" s="13">
        <v>145</v>
      </c>
      <c r="I97" s="13">
        <v>145</v>
      </c>
      <c r="J97" s="13">
        <v>145</v>
      </c>
      <c r="K97" s="13">
        <v>145</v>
      </c>
      <c r="L97" s="13">
        <v>145</v>
      </c>
      <c r="M97" s="13">
        <v>145</v>
      </c>
      <c r="N97" s="13">
        <v>145</v>
      </c>
      <c r="O97" s="409">
        <f>SUM(C97:N97)</f>
        <v>1740</v>
      </c>
      <c r="P97" s="78"/>
    </row>
    <row r="98" spans="1:16" x14ac:dyDescent="0.35">
      <c r="B98" s="223">
        <f>'362'!$B$1</f>
        <v>3620</v>
      </c>
      <c r="C98" s="13">
        <v>147</v>
      </c>
      <c r="D98" s="13">
        <v>147</v>
      </c>
      <c r="E98" s="13">
        <v>147</v>
      </c>
      <c r="F98" s="13">
        <v>147</v>
      </c>
      <c r="G98" s="13">
        <v>147</v>
      </c>
      <c r="H98" s="13">
        <v>147</v>
      </c>
      <c r="I98" s="13">
        <v>147</v>
      </c>
      <c r="J98" s="13">
        <v>147</v>
      </c>
      <c r="K98" s="13">
        <v>147</v>
      </c>
      <c r="L98" s="13">
        <v>147</v>
      </c>
      <c r="M98" s="13">
        <v>147</v>
      </c>
      <c r="N98" s="13">
        <v>147</v>
      </c>
      <c r="O98" s="409">
        <f t="shared" ref="O98:O99" si="33">SUM(C98:N98)</f>
        <v>1764</v>
      </c>
      <c r="P98" s="78"/>
    </row>
    <row r="99" spans="1:16" x14ac:dyDescent="0.35">
      <c r="B99" s="223">
        <f>'364'!$B$1</f>
        <v>3640</v>
      </c>
      <c r="C99" s="15">
        <v>147</v>
      </c>
      <c r="D99" s="15">
        <v>147</v>
      </c>
      <c r="E99" s="15">
        <v>147</v>
      </c>
      <c r="F99" s="15">
        <v>147</v>
      </c>
      <c r="G99" s="15">
        <v>147</v>
      </c>
      <c r="H99" s="15">
        <v>147</v>
      </c>
      <c r="I99" s="15">
        <v>147</v>
      </c>
      <c r="J99" s="15">
        <v>147</v>
      </c>
      <c r="K99" s="15">
        <v>147</v>
      </c>
      <c r="L99" s="15">
        <v>147</v>
      </c>
      <c r="M99" s="15">
        <v>147</v>
      </c>
      <c r="N99" s="15">
        <v>147</v>
      </c>
      <c r="O99" s="410">
        <f t="shared" si="33"/>
        <v>1764</v>
      </c>
      <c r="P99" s="78"/>
    </row>
    <row r="100" spans="1:16" x14ac:dyDescent="0.35">
      <c r="B100" s="91" t="s">
        <v>291</v>
      </c>
      <c r="C100" s="9">
        <f t="shared" ref="C100:O100" si="34">SUM(C97:C99)</f>
        <v>439</v>
      </c>
      <c r="D100" s="9">
        <f t="shared" si="34"/>
        <v>439</v>
      </c>
      <c r="E100" s="9">
        <f t="shared" si="34"/>
        <v>439</v>
      </c>
      <c r="F100" s="9">
        <f t="shared" si="34"/>
        <v>439</v>
      </c>
      <c r="G100" s="9">
        <f t="shared" si="34"/>
        <v>439</v>
      </c>
      <c r="H100" s="9">
        <f t="shared" si="34"/>
        <v>439</v>
      </c>
      <c r="I100" s="9">
        <f t="shared" si="34"/>
        <v>439</v>
      </c>
      <c r="J100" s="9">
        <f t="shared" si="34"/>
        <v>439</v>
      </c>
      <c r="K100" s="9">
        <f t="shared" si="34"/>
        <v>439</v>
      </c>
      <c r="L100" s="9">
        <f t="shared" si="34"/>
        <v>439</v>
      </c>
      <c r="M100" s="9">
        <f t="shared" si="34"/>
        <v>439</v>
      </c>
      <c r="N100" s="9">
        <f t="shared" si="34"/>
        <v>439</v>
      </c>
      <c r="O100" s="9">
        <f t="shared" si="34"/>
        <v>5268</v>
      </c>
      <c r="P100" s="83"/>
    </row>
    <row r="102" spans="1:16" ht="17.5" x14ac:dyDescent="0.35">
      <c r="A102" s="10" t="s">
        <v>539</v>
      </c>
      <c r="B102" s="10" t="s">
        <v>523</v>
      </c>
      <c r="C102" s="14"/>
      <c r="N102" s="84"/>
    </row>
    <row r="103" spans="1:16" x14ac:dyDescent="0.35">
      <c r="C103" s="81" t="s">
        <v>0</v>
      </c>
      <c r="D103" s="81" t="s">
        <v>1</v>
      </c>
      <c r="E103" s="81" t="s">
        <v>2</v>
      </c>
      <c r="F103" s="81" t="s">
        <v>3</v>
      </c>
      <c r="G103" s="81" t="s">
        <v>4</v>
      </c>
      <c r="H103" s="81" t="s">
        <v>5</v>
      </c>
      <c r="I103" s="81" t="s">
        <v>6</v>
      </c>
      <c r="J103" s="81" t="s">
        <v>7</v>
      </c>
      <c r="K103" s="81" t="s">
        <v>8</v>
      </c>
      <c r="L103" s="81" t="s">
        <v>9</v>
      </c>
      <c r="M103" s="81" t="s">
        <v>10</v>
      </c>
      <c r="N103" s="81" t="s">
        <v>11</v>
      </c>
      <c r="O103" s="408" t="s">
        <v>12</v>
      </c>
      <c r="P103" s="14"/>
    </row>
    <row r="104" spans="1:16" x14ac:dyDescent="0.35">
      <c r="B104" s="223">
        <f>'361'!$B$1</f>
        <v>3610</v>
      </c>
      <c r="C104" s="13">
        <v>140</v>
      </c>
      <c r="D104" s="13">
        <v>140</v>
      </c>
      <c r="E104" s="13">
        <v>140</v>
      </c>
      <c r="F104" s="13">
        <v>140</v>
      </c>
      <c r="G104" s="13">
        <v>140</v>
      </c>
      <c r="H104" s="13">
        <v>140</v>
      </c>
      <c r="I104" s="13">
        <v>140</v>
      </c>
      <c r="J104" s="13">
        <v>140</v>
      </c>
      <c r="K104" s="13">
        <v>140</v>
      </c>
      <c r="L104" s="13">
        <v>140</v>
      </c>
      <c r="M104" s="13">
        <v>140</v>
      </c>
      <c r="N104" s="13">
        <v>140</v>
      </c>
      <c r="O104" s="409">
        <f>SUM(C104:N104)</f>
        <v>1680</v>
      </c>
      <c r="P104" s="78"/>
    </row>
    <row r="105" spans="1:16" x14ac:dyDescent="0.35">
      <c r="B105" s="223">
        <f>'362'!$B$1</f>
        <v>3620</v>
      </c>
      <c r="C105" s="13">
        <v>132</v>
      </c>
      <c r="D105" s="13">
        <v>132</v>
      </c>
      <c r="E105" s="13">
        <v>132</v>
      </c>
      <c r="F105" s="13">
        <v>132</v>
      </c>
      <c r="G105" s="13">
        <v>132</v>
      </c>
      <c r="H105" s="13">
        <v>132</v>
      </c>
      <c r="I105" s="13">
        <v>132</v>
      </c>
      <c r="J105" s="13">
        <v>132</v>
      </c>
      <c r="K105" s="13">
        <v>132</v>
      </c>
      <c r="L105" s="13">
        <v>132</v>
      </c>
      <c r="M105" s="13">
        <v>132</v>
      </c>
      <c r="N105" s="13">
        <v>132</v>
      </c>
      <c r="O105" s="409">
        <f t="shared" ref="O105:O106" si="35">SUM(C105:N105)</f>
        <v>1584</v>
      </c>
      <c r="P105" s="78"/>
    </row>
    <row r="106" spans="1:16" x14ac:dyDescent="0.35">
      <c r="B106" s="223">
        <f>'364'!$B$1</f>
        <v>3640</v>
      </c>
      <c r="C106" s="15">
        <v>126</v>
      </c>
      <c r="D106" s="15">
        <v>126</v>
      </c>
      <c r="E106" s="15">
        <v>126</v>
      </c>
      <c r="F106" s="15">
        <v>126</v>
      </c>
      <c r="G106" s="15">
        <v>126</v>
      </c>
      <c r="H106" s="15">
        <v>126</v>
      </c>
      <c r="I106" s="15">
        <v>126</v>
      </c>
      <c r="J106" s="15">
        <v>126</v>
      </c>
      <c r="K106" s="15">
        <v>126</v>
      </c>
      <c r="L106" s="15">
        <v>126</v>
      </c>
      <c r="M106" s="15">
        <v>126</v>
      </c>
      <c r="N106" s="15">
        <v>126</v>
      </c>
      <c r="O106" s="409">
        <f t="shared" si="35"/>
        <v>1512</v>
      </c>
      <c r="P106" s="400"/>
    </row>
    <row r="107" spans="1:16" x14ac:dyDescent="0.35">
      <c r="B107" s="91" t="s">
        <v>291</v>
      </c>
      <c r="C107" s="9">
        <f t="shared" ref="C107:O107" si="36">SUM(C104:C106)</f>
        <v>398</v>
      </c>
      <c r="D107" s="93">
        <f t="shared" si="36"/>
        <v>398</v>
      </c>
      <c r="E107" s="93">
        <f t="shared" si="36"/>
        <v>398</v>
      </c>
      <c r="F107" s="93">
        <f t="shared" si="36"/>
        <v>398</v>
      </c>
      <c r="G107" s="93">
        <f t="shared" si="36"/>
        <v>398</v>
      </c>
      <c r="H107" s="93">
        <f t="shared" si="36"/>
        <v>398</v>
      </c>
      <c r="I107" s="93">
        <f t="shared" si="36"/>
        <v>398</v>
      </c>
      <c r="J107" s="93">
        <f t="shared" si="36"/>
        <v>398</v>
      </c>
      <c r="K107" s="93">
        <f t="shared" si="36"/>
        <v>398</v>
      </c>
      <c r="L107" s="93">
        <f t="shared" si="36"/>
        <v>398</v>
      </c>
      <c r="M107" s="93">
        <f t="shared" si="36"/>
        <v>398</v>
      </c>
      <c r="N107" s="93">
        <f t="shared" si="36"/>
        <v>398</v>
      </c>
      <c r="O107" s="93">
        <f t="shared" si="36"/>
        <v>4776</v>
      </c>
      <c r="P107" s="83"/>
    </row>
    <row r="109" spans="1:16" ht="17.5" x14ac:dyDescent="0.35">
      <c r="A109" s="10" t="s">
        <v>539</v>
      </c>
      <c r="B109" s="10" t="s">
        <v>522</v>
      </c>
      <c r="C109" s="293"/>
      <c r="M109" s="84"/>
      <c r="N109" s="84"/>
    </row>
    <row r="110" spans="1:16" x14ac:dyDescent="0.35">
      <c r="C110" s="81" t="s">
        <v>0</v>
      </c>
      <c r="D110" s="81" t="s">
        <v>1</v>
      </c>
      <c r="E110" s="81" t="s">
        <v>2</v>
      </c>
      <c r="F110" s="81" t="s">
        <v>3</v>
      </c>
      <c r="G110" s="81" t="s">
        <v>4</v>
      </c>
      <c r="H110" s="81" t="s">
        <v>5</v>
      </c>
      <c r="I110" s="81" t="s">
        <v>6</v>
      </c>
      <c r="J110" s="81" t="s">
        <v>7</v>
      </c>
      <c r="K110" s="81" t="s">
        <v>8</v>
      </c>
      <c r="L110" s="81" t="s">
        <v>9</v>
      </c>
      <c r="M110" s="81" t="s">
        <v>10</v>
      </c>
      <c r="N110" s="81" t="s">
        <v>11</v>
      </c>
      <c r="O110" s="408" t="s">
        <v>12</v>
      </c>
      <c r="P110" s="14"/>
    </row>
    <row r="111" spans="1:16" x14ac:dyDescent="0.35">
      <c r="B111" s="223">
        <f>'361'!$B$1</f>
        <v>3610</v>
      </c>
      <c r="C111" s="13">
        <v>0</v>
      </c>
      <c r="D111" s="13">
        <v>0</v>
      </c>
      <c r="E111" s="13">
        <v>810</v>
      </c>
      <c r="F111" s="13">
        <v>0</v>
      </c>
      <c r="G111" s="13">
        <v>0</v>
      </c>
      <c r="H111" s="13">
        <v>0</v>
      </c>
      <c r="I111" s="13">
        <v>0</v>
      </c>
      <c r="J111" s="13">
        <v>0</v>
      </c>
      <c r="K111" s="13">
        <v>0</v>
      </c>
      <c r="L111" s="13">
        <v>810</v>
      </c>
      <c r="M111" s="13">
        <v>0</v>
      </c>
      <c r="N111" s="13">
        <v>0</v>
      </c>
      <c r="O111" s="409">
        <f>SUM(C111:N111)</f>
        <v>1620</v>
      </c>
      <c r="P111" s="400"/>
    </row>
    <row r="112" spans="1:16" x14ac:dyDescent="0.35">
      <c r="B112" s="223">
        <f>'362'!$B$1</f>
        <v>3620</v>
      </c>
      <c r="C112" s="13">
        <v>0</v>
      </c>
      <c r="D112" s="13">
        <v>0</v>
      </c>
      <c r="E112" s="13">
        <v>0</v>
      </c>
      <c r="F112" s="13">
        <v>861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861</v>
      </c>
      <c r="M112" s="13">
        <v>0</v>
      </c>
      <c r="N112" s="13">
        <v>0</v>
      </c>
      <c r="O112" s="409">
        <f t="shared" ref="O112" si="37">SUM(C112:N112)</f>
        <v>1722</v>
      </c>
      <c r="P112" s="400"/>
    </row>
    <row r="113" spans="1:16" x14ac:dyDescent="0.35">
      <c r="B113" s="223">
        <f>'364'!$B$1</f>
        <v>3640</v>
      </c>
      <c r="C113" s="15">
        <v>0</v>
      </c>
      <c r="D113" s="15">
        <v>0</v>
      </c>
      <c r="E113" s="15">
        <v>0</v>
      </c>
      <c r="F113" s="15">
        <v>861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861</v>
      </c>
      <c r="M113" s="15">
        <v>0</v>
      </c>
      <c r="N113" s="15">
        <v>0</v>
      </c>
      <c r="O113" s="409">
        <f>SUM(C113:N113)</f>
        <v>1722</v>
      </c>
      <c r="P113" s="400"/>
    </row>
    <row r="114" spans="1:16" x14ac:dyDescent="0.35">
      <c r="B114" s="91" t="s">
        <v>291</v>
      </c>
      <c r="C114" s="9">
        <f t="shared" ref="C114:N114" si="38">SUM(C111:C113)</f>
        <v>0</v>
      </c>
      <c r="D114" s="9">
        <f t="shared" si="38"/>
        <v>0</v>
      </c>
      <c r="E114" s="9">
        <f t="shared" si="38"/>
        <v>810</v>
      </c>
      <c r="F114" s="9">
        <f t="shared" si="38"/>
        <v>1722</v>
      </c>
      <c r="G114" s="9">
        <f t="shared" si="38"/>
        <v>0</v>
      </c>
      <c r="H114" s="9">
        <f t="shared" si="38"/>
        <v>0</v>
      </c>
      <c r="I114" s="9">
        <f t="shared" si="38"/>
        <v>0</v>
      </c>
      <c r="J114" s="9">
        <f t="shared" si="38"/>
        <v>0</v>
      </c>
      <c r="K114" s="9">
        <f t="shared" si="38"/>
        <v>0</v>
      </c>
      <c r="L114" s="9">
        <f t="shared" si="38"/>
        <v>2532</v>
      </c>
      <c r="M114" s="9">
        <f t="shared" si="38"/>
        <v>0</v>
      </c>
      <c r="N114" s="9">
        <f t="shared" si="38"/>
        <v>0</v>
      </c>
      <c r="O114" s="93">
        <f t="shared" ref="O114" si="39">SUM(O111:O113)</f>
        <v>5064</v>
      </c>
      <c r="P114" s="83"/>
    </row>
    <row r="116" spans="1:16" ht="17.5" x14ac:dyDescent="0.35">
      <c r="A116" s="10" t="s">
        <v>539</v>
      </c>
      <c r="B116" s="10" t="s">
        <v>521</v>
      </c>
      <c r="M116" s="84"/>
      <c r="N116" s="84"/>
    </row>
    <row r="117" spans="1:16" x14ac:dyDescent="0.35">
      <c r="C117" s="81" t="s">
        <v>0</v>
      </c>
      <c r="D117" s="81" t="s">
        <v>1</v>
      </c>
      <c r="E117" s="81" t="s">
        <v>2</v>
      </c>
      <c r="F117" s="81" t="s">
        <v>3</v>
      </c>
      <c r="G117" s="81" t="s">
        <v>4</v>
      </c>
      <c r="H117" s="81" t="s">
        <v>5</v>
      </c>
      <c r="I117" s="81" t="s">
        <v>6</v>
      </c>
      <c r="J117" s="81" t="s">
        <v>7</v>
      </c>
      <c r="K117" s="81" t="s">
        <v>8</v>
      </c>
      <c r="L117" s="81" t="s">
        <v>9</v>
      </c>
      <c r="M117" s="81" t="s">
        <v>10</v>
      </c>
      <c r="N117" s="81" t="s">
        <v>11</v>
      </c>
      <c r="O117" s="408" t="s">
        <v>12</v>
      </c>
      <c r="P117" s="14"/>
    </row>
    <row r="118" spans="1:16" x14ac:dyDescent="0.35">
      <c r="B118" s="223">
        <f>'361'!$B$1</f>
        <v>3610</v>
      </c>
      <c r="C118" s="13">
        <v>70</v>
      </c>
      <c r="D118" s="13">
        <v>70</v>
      </c>
      <c r="E118" s="13">
        <v>70</v>
      </c>
      <c r="F118" s="13">
        <v>70</v>
      </c>
      <c r="G118" s="13">
        <v>70</v>
      </c>
      <c r="H118" s="13">
        <v>70</v>
      </c>
      <c r="I118" s="13">
        <v>70</v>
      </c>
      <c r="J118" s="13">
        <v>70</v>
      </c>
      <c r="K118" s="13">
        <v>70</v>
      </c>
      <c r="L118" s="13">
        <v>70</v>
      </c>
      <c r="M118" s="13">
        <v>70</v>
      </c>
      <c r="N118" s="13">
        <v>70</v>
      </c>
      <c r="O118" s="409">
        <f>SUM(C118:N118)</f>
        <v>840</v>
      </c>
      <c r="P118" s="400"/>
    </row>
    <row r="119" spans="1:16" x14ac:dyDescent="0.35">
      <c r="B119" s="223">
        <f>'362'!$B$1</f>
        <v>3620</v>
      </c>
      <c r="C119" s="13">
        <v>70</v>
      </c>
      <c r="D119" s="13">
        <v>70</v>
      </c>
      <c r="E119" s="13">
        <v>70</v>
      </c>
      <c r="F119" s="13">
        <v>70</v>
      </c>
      <c r="G119" s="13">
        <v>70</v>
      </c>
      <c r="H119" s="13">
        <v>70</v>
      </c>
      <c r="I119" s="13">
        <v>70</v>
      </c>
      <c r="J119" s="13">
        <v>70</v>
      </c>
      <c r="K119" s="13">
        <v>70</v>
      </c>
      <c r="L119" s="13">
        <v>70</v>
      </c>
      <c r="M119" s="13">
        <v>70</v>
      </c>
      <c r="N119" s="13">
        <v>70</v>
      </c>
      <c r="O119" s="409">
        <f t="shared" ref="O119:O120" si="40">SUM(C119:N119)</f>
        <v>840</v>
      </c>
      <c r="P119" s="400"/>
    </row>
    <row r="120" spans="1:16" x14ac:dyDescent="0.35">
      <c r="B120" s="223">
        <f>'364'!$B$1</f>
        <v>3640</v>
      </c>
      <c r="C120" s="15">
        <v>70</v>
      </c>
      <c r="D120" s="15">
        <v>70</v>
      </c>
      <c r="E120" s="15">
        <v>70</v>
      </c>
      <c r="F120" s="15">
        <v>70</v>
      </c>
      <c r="G120" s="15">
        <v>70</v>
      </c>
      <c r="H120" s="15">
        <v>70</v>
      </c>
      <c r="I120" s="15">
        <v>70</v>
      </c>
      <c r="J120" s="15">
        <v>70</v>
      </c>
      <c r="K120" s="15">
        <v>70</v>
      </c>
      <c r="L120" s="15">
        <v>70</v>
      </c>
      <c r="M120" s="15">
        <v>70</v>
      </c>
      <c r="N120" s="15">
        <v>70</v>
      </c>
      <c r="O120" s="409">
        <f t="shared" si="40"/>
        <v>840</v>
      </c>
      <c r="P120" s="400"/>
    </row>
    <row r="121" spans="1:16" x14ac:dyDescent="0.35">
      <c r="B121" s="91" t="s">
        <v>291</v>
      </c>
      <c r="C121" s="9">
        <f t="shared" ref="C121:O121" si="41">SUM(C118:C120)</f>
        <v>210</v>
      </c>
      <c r="D121" s="93">
        <f t="shared" si="41"/>
        <v>210</v>
      </c>
      <c r="E121" s="93">
        <f t="shared" si="41"/>
        <v>210</v>
      </c>
      <c r="F121" s="93">
        <f t="shared" si="41"/>
        <v>210</v>
      </c>
      <c r="G121" s="93">
        <f t="shared" si="41"/>
        <v>210</v>
      </c>
      <c r="H121" s="93">
        <f t="shared" si="41"/>
        <v>210</v>
      </c>
      <c r="I121" s="93">
        <f t="shared" si="41"/>
        <v>210</v>
      </c>
      <c r="J121" s="93">
        <f t="shared" si="41"/>
        <v>210</v>
      </c>
      <c r="K121" s="93">
        <f t="shared" si="41"/>
        <v>210</v>
      </c>
      <c r="L121" s="93">
        <f t="shared" si="41"/>
        <v>210</v>
      </c>
      <c r="M121" s="93">
        <f t="shared" si="41"/>
        <v>210</v>
      </c>
      <c r="N121" s="93">
        <f t="shared" si="41"/>
        <v>210</v>
      </c>
      <c r="O121" s="93">
        <f t="shared" si="41"/>
        <v>2520</v>
      </c>
      <c r="P121" s="83"/>
    </row>
    <row r="123" spans="1:16" ht="17.5" x14ac:dyDescent="0.35">
      <c r="A123" s="10" t="s">
        <v>539</v>
      </c>
      <c r="B123" s="10" t="s">
        <v>540</v>
      </c>
      <c r="M123" s="84"/>
      <c r="N123" s="84"/>
    </row>
    <row r="124" spans="1:16" x14ac:dyDescent="0.35">
      <c r="C124" s="81" t="s">
        <v>0</v>
      </c>
      <c r="D124" s="81" t="s">
        <v>1</v>
      </c>
      <c r="E124" s="81" t="s">
        <v>2</v>
      </c>
      <c r="F124" s="81" t="s">
        <v>3</v>
      </c>
      <c r="G124" s="81" t="s">
        <v>4</v>
      </c>
      <c r="H124" s="81" t="s">
        <v>5</v>
      </c>
      <c r="I124" s="81" t="s">
        <v>6</v>
      </c>
      <c r="J124" s="81" t="s">
        <v>7</v>
      </c>
      <c r="K124" s="81" t="s">
        <v>8</v>
      </c>
      <c r="L124" s="81" t="s">
        <v>9</v>
      </c>
      <c r="M124" s="81" t="s">
        <v>10</v>
      </c>
      <c r="N124" s="81" t="s">
        <v>11</v>
      </c>
      <c r="O124" s="408" t="s">
        <v>12</v>
      </c>
      <c r="P124" s="14"/>
    </row>
    <row r="125" spans="1:16" x14ac:dyDescent="0.35">
      <c r="B125" s="223">
        <f>'361'!$B$1</f>
        <v>3610</v>
      </c>
      <c r="C125" s="13">
        <v>655</v>
      </c>
      <c r="D125" s="13">
        <v>655</v>
      </c>
      <c r="E125" s="13">
        <v>655</v>
      </c>
      <c r="F125" s="13">
        <v>655</v>
      </c>
      <c r="G125" s="13">
        <v>655</v>
      </c>
      <c r="H125" s="13">
        <v>655</v>
      </c>
      <c r="I125" s="13">
        <v>655</v>
      </c>
      <c r="J125" s="13">
        <v>655</v>
      </c>
      <c r="K125" s="13">
        <v>655</v>
      </c>
      <c r="L125" s="13">
        <v>655</v>
      </c>
      <c r="M125" s="13">
        <v>655</v>
      </c>
      <c r="N125" s="13">
        <v>655</v>
      </c>
      <c r="O125" s="409">
        <f>SUM(C125:N125)</f>
        <v>7860</v>
      </c>
      <c r="P125" s="400"/>
    </row>
    <row r="126" spans="1:16" x14ac:dyDescent="0.35">
      <c r="B126" s="223">
        <f>'362'!$B$1</f>
        <v>3620</v>
      </c>
      <c r="C126" s="13">
        <v>657</v>
      </c>
      <c r="D126" s="13">
        <v>657</v>
      </c>
      <c r="E126" s="13">
        <v>657</v>
      </c>
      <c r="F126" s="13">
        <v>657</v>
      </c>
      <c r="G126" s="13">
        <v>657</v>
      </c>
      <c r="H126" s="13">
        <v>657</v>
      </c>
      <c r="I126" s="13">
        <v>657</v>
      </c>
      <c r="J126" s="13">
        <v>657</v>
      </c>
      <c r="K126" s="13">
        <v>657</v>
      </c>
      <c r="L126" s="13">
        <v>657</v>
      </c>
      <c r="M126" s="13">
        <v>657</v>
      </c>
      <c r="N126" s="13">
        <v>657</v>
      </c>
      <c r="O126" s="409">
        <f t="shared" ref="O126:O127" si="42">SUM(C126:N126)</f>
        <v>7884</v>
      </c>
      <c r="P126" s="400"/>
    </row>
    <row r="127" spans="1:16" x14ac:dyDescent="0.35">
      <c r="B127" s="223">
        <f>'364'!$B$1</f>
        <v>3640</v>
      </c>
      <c r="C127" s="15">
        <v>473</v>
      </c>
      <c r="D127" s="15">
        <v>473</v>
      </c>
      <c r="E127" s="15">
        <v>473</v>
      </c>
      <c r="F127" s="15">
        <v>473</v>
      </c>
      <c r="G127" s="15">
        <v>473</v>
      </c>
      <c r="H127" s="15">
        <v>473</v>
      </c>
      <c r="I127" s="15">
        <v>473</v>
      </c>
      <c r="J127" s="15">
        <v>473</v>
      </c>
      <c r="K127" s="15">
        <v>473</v>
      </c>
      <c r="L127" s="15">
        <v>473</v>
      </c>
      <c r="M127" s="15">
        <v>473</v>
      </c>
      <c r="N127" s="15">
        <v>473</v>
      </c>
      <c r="O127" s="409">
        <f t="shared" si="42"/>
        <v>5676</v>
      </c>
      <c r="P127" s="400"/>
    </row>
    <row r="128" spans="1:16" x14ac:dyDescent="0.35">
      <c r="B128" s="91" t="s">
        <v>291</v>
      </c>
      <c r="C128" s="9">
        <f t="shared" ref="C128:O128" si="43">SUM(C125:C127)</f>
        <v>1785</v>
      </c>
      <c r="D128" s="93">
        <f t="shared" si="43"/>
        <v>1785</v>
      </c>
      <c r="E128" s="93">
        <f t="shared" si="43"/>
        <v>1785</v>
      </c>
      <c r="F128" s="93">
        <f t="shared" si="43"/>
        <v>1785</v>
      </c>
      <c r="G128" s="93">
        <f t="shared" si="43"/>
        <v>1785</v>
      </c>
      <c r="H128" s="93">
        <f t="shared" si="43"/>
        <v>1785</v>
      </c>
      <c r="I128" s="93">
        <f t="shared" si="43"/>
        <v>1785</v>
      </c>
      <c r="J128" s="93">
        <f t="shared" si="43"/>
        <v>1785</v>
      </c>
      <c r="K128" s="93">
        <f t="shared" si="43"/>
        <v>1785</v>
      </c>
      <c r="L128" s="93">
        <f t="shared" si="43"/>
        <v>1785</v>
      </c>
      <c r="M128" s="93">
        <f t="shared" si="43"/>
        <v>1785</v>
      </c>
      <c r="N128" s="93">
        <f t="shared" si="43"/>
        <v>1785</v>
      </c>
      <c r="O128" s="93">
        <f t="shared" si="43"/>
        <v>21420</v>
      </c>
      <c r="P128" s="83"/>
    </row>
    <row r="130" spans="1:16" ht="17.5" x14ac:dyDescent="0.35">
      <c r="A130" s="10" t="s">
        <v>539</v>
      </c>
      <c r="B130" s="10" t="s">
        <v>520</v>
      </c>
      <c r="M130" s="84"/>
      <c r="N130" s="84"/>
    </row>
    <row r="131" spans="1:16" x14ac:dyDescent="0.35">
      <c r="C131" s="81" t="s">
        <v>0</v>
      </c>
      <c r="D131" s="81" t="s">
        <v>1</v>
      </c>
      <c r="E131" s="81" t="s">
        <v>2</v>
      </c>
      <c r="F131" s="81" t="s">
        <v>3</v>
      </c>
      <c r="G131" s="81" t="s">
        <v>4</v>
      </c>
      <c r="H131" s="81" t="s">
        <v>5</v>
      </c>
      <c r="I131" s="81" t="s">
        <v>6</v>
      </c>
      <c r="J131" s="81" t="s">
        <v>7</v>
      </c>
      <c r="K131" s="81" t="s">
        <v>8</v>
      </c>
      <c r="L131" s="81" t="s">
        <v>9</v>
      </c>
      <c r="M131" s="81" t="s">
        <v>10</v>
      </c>
      <c r="N131" s="81" t="s">
        <v>11</v>
      </c>
      <c r="O131" s="408" t="s">
        <v>12</v>
      </c>
      <c r="P131" s="14"/>
    </row>
    <row r="132" spans="1:16" x14ac:dyDescent="0.35">
      <c r="B132" s="223">
        <f>'361'!$B$1</f>
        <v>3610</v>
      </c>
      <c r="C132" s="13">
        <v>0</v>
      </c>
      <c r="D132" s="13">
        <v>650</v>
      </c>
      <c r="E132" s="13">
        <v>0</v>
      </c>
      <c r="F132" s="13">
        <v>650</v>
      </c>
      <c r="G132" s="13">
        <v>0</v>
      </c>
      <c r="H132" s="13">
        <v>0</v>
      </c>
      <c r="I132" s="13">
        <v>650</v>
      </c>
      <c r="J132" s="13">
        <v>0</v>
      </c>
      <c r="K132" s="13">
        <v>0</v>
      </c>
      <c r="L132" s="13">
        <v>650</v>
      </c>
      <c r="M132" s="13">
        <v>0</v>
      </c>
      <c r="N132" s="13">
        <v>0</v>
      </c>
      <c r="O132" s="409">
        <f>SUM(C132:N132)</f>
        <v>2600</v>
      </c>
      <c r="P132" s="400"/>
    </row>
    <row r="133" spans="1:16" x14ac:dyDescent="0.35">
      <c r="B133" s="223">
        <f>'362'!$B$1</f>
        <v>3620</v>
      </c>
      <c r="C133" s="13">
        <v>0</v>
      </c>
      <c r="D133" s="13">
        <v>750</v>
      </c>
      <c r="E133" s="13">
        <v>0</v>
      </c>
      <c r="F133" s="13">
        <v>0</v>
      </c>
      <c r="G133" s="13">
        <v>750</v>
      </c>
      <c r="H133" s="13">
        <v>0</v>
      </c>
      <c r="I133" s="13">
        <v>0</v>
      </c>
      <c r="J133" s="13">
        <v>750</v>
      </c>
      <c r="K133" s="13">
        <v>0</v>
      </c>
      <c r="L133" s="13">
        <v>0</v>
      </c>
      <c r="M133" s="13">
        <v>750</v>
      </c>
      <c r="N133" s="13">
        <v>0</v>
      </c>
      <c r="O133" s="409">
        <f t="shared" ref="O133:O134" si="44">SUM(C133:N133)</f>
        <v>3000</v>
      </c>
      <c r="P133" s="400"/>
    </row>
    <row r="134" spans="1:16" x14ac:dyDescent="0.35">
      <c r="B134" s="223">
        <f>'364'!$B$1</f>
        <v>3640</v>
      </c>
      <c r="C134" s="15">
        <v>0</v>
      </c>
      <c r="D134" s="15">
        <v>750</v>
      </c>
      <c r="E134" s="15">
        <v>0</v>
      </c>
      <c r="F134" s="15">
        <v>0</v>
      </c>
      <c r="G134" s="15">
        <v>750</v>
      </c>
      <c r="H134" s="15">
        <v>0</v>
      </c>
      <c r="I134" s="15">
        <v>0</v>
      </c>
      <c r="J134" s="15">
        <v>750</v>
      </c>
      <c r="K134" s="15">
        <v>0</v>
      </c>
      <c r="L134" s="15">
        <v>0</v>
      </c>
      <c r="M134" s="15">
        <v>750</v>
      </c>
      <c r="N134" s="15">
        <v>0</v>
      </c>
      <c r="O134" s="409">
        <f t="shared" si="44"/>
        <v>3000</v>
      </c>
      <c r="P134" s="400"/>
    </row>
    <row r="135" spans="1:16" x14ac:dyDescent="0.35">
      <c r="B135" s="91" t="s">
        <v>291</v>
      </c>
      <c r="C135" s="9">
        <f t="shared" ref="C135:O135" si="45">SUM(C132:C134)</f>
        <v>0</v>
      </c>
      <c r="D135" s="93">
        <f t="shared" si="45"/>
        <v>2150</v>
      </c>
      <c r="E135" s="93">
        <f t="shared" si="45"/>
        <v>0</v>
      </c>
      <c r="F135" s="93">
        <f t="shared" si="45"/>
        <v>650</v>
      </c>
      <c r="G135" s="93">
        <f t="shared" si="45"/>
        <v>1500</v>
      </c>
      <c r="H135" s="93">
        <f t="shared" si="45"/>
        <v>0</v>
      </c>
      <c r="I135" s="93">
        <f t="shared" si="45"/>
        <v>650</v>
      </c>
      <c r="J135" s="93">
        <f t="shared" si="45"/>
        <v>1500</v>
      </c>
      <c r="K135" s="93">
        <f t="shared" si="45"/>
        <v>0</v>
      </c>
      <c r="L135" s="93">
        <f t="shared" si="45"/>
        <v>650</v>
      </c>
      <c r="M135" s="93">
        <f t="shared" si="45"/>
        <v>1500</v>
      </c>
      <c r="N135" s="93">
        <f t="shared" si="45"/>
        <v>0</v>
      </c>
      <c r="O135" s="93">
        <f t="shared" si="45"/>
        <v>8600</v>
      </c>
      <c r="P135" s="83"/>
    </row>
    <row r="137" spans="1:16" ht="17.5" x14ac:dyDescent="0.35">
      <c r="A137" s="10" t="s">
        <v>539</v>
      </c>
      <c r="B137" s="10" t="s">
        <v>519</v>
      </c>
      <c r="M137" s="84"/>
      <c r="N137" s="84"/>
    </row>
    <row r="138" spans="1:16" x14ac:dyDescent="0.35">
      <c r="C138" s="81" t="s">
        <v>0</v>
      </c>
      <c r="D138" s="81" t="s">
        <v>1</v>
      </c>
      <c r="E138" s="81" t="s">
        <v>2</v>
      </c>
      <c r="F138" s="81" t="s">
        <v>3</v>
      </c>
      <c r="G138" s="81" t="s">
        <v>4</v>
      </c>
      <c r="H138" s="81" t="s">
        <v>5</v>
      </c>
      <c r="I138" s="81" t="s">
        <v>6</v>
      </c>
      <c r="J138" s="81" t="s">
        <v>7</v>
      </c>
      <c r="K138" s="81" t="s">
        <v>8</v>
      </c>
      <c r="L138" s="81" t="s">
        <v>9</v>
      </c>
      <c r="M138" s="81" t="s">
        <v>10</v>
      </c>
      <c r="N138" s="81" t="s">
        <v>11</v>
      </c>
      <c r="O138" s="408" t="s">
        <v>12</v>
      </c>
      <c r="P138" s="14"/>
    </row>
    <row r="139" spans="1:16" x14ac:dyDescent="0.35">
      <c r="B139" s="223">
        <f>'361'!$B$1</f>
        <v>3610</v>
      </c>
      <c r="C139" s="13">
        <v>950</v>
      </c>
      <c r="D139" s="13">
        <v>0</v>
      </c>
      <c r="E139" s="13">
        <v>0</v>
      </c>
      <c r="F139" s="13">
        <v>950</v>
      </c>
      <c r="G139" s="13">
        <v>0</v>
      </c>
      <c r="H139" s="13">
        <v>0</v>
      </c>
      <c r="I139" s="13">
        <v>950</v>
      </c>
      <c r="J139" s="13">
        <v>0</v>
      </c>
      <c r="K139" s="13">
        <v>0</v>
      </c>
      <c r="L139" s="13">
        <v>950</v>
      </c>
      <c r="M139" s="13">
        <v>0</v>
      </c>
      <c r="N139" s="13">
        <v>0</v>
      </c>
      <c r="O139" s="409">
        <f>SUM(C139:N139)</f>
        <v>3800</v>
      </c>
      <c r="P139" s="400"/>
    </row>
    <row r="140" spans="1:16" x14ac:dyDescent="0.35">
      <c r="B140" s="223">
        <f>'362'!$B$1</f>
        <v>3620</v>
      </c>
      <c r="C140" s="13">
        <v>925</v>
      </c>
      <c r="D140" s="13">
        <v>0</v>
      </c>
      <c r="E140" s="13">
        <v>0</v>
      </c>
      <c r="F140" s="13">
        <v>925</v>
      </c>
      <c r="G140" s="13">
        <v>0</v>
      </c>
      <c r="H140" s="13">
        <v>0</v>
      </c>
      <c r="I140" s="13">
        <v>925</v>
      </c>
      <c r="J140" s="13">
        <v>0</v>
      </c>
      <c r="K140" s="13">
        <v>0</v>
      </c>
      <c r="L140" s="13">
        <v>925</v>
      </c>
      <c r="M140" s="13">
        <v>0</v>
      </c>
      <c r="N140" s="13">
        <v>0</v>
      </c>
      <c r="O140" s="409">
        <f t="shared" ref="O140:O141" si="46">SUM(C140:N140)</f>
        <v>3700</v>
      </c>
      <c r="P140" s="400"/>
    </row>
    <row r="141" spans="1:16" x14ac:dyDescent="0.35">
      <c r="B141" s="223">
        <f>'364'!$B$1</f>
        <v>3640</v>
      </c>
      <c r="C141" s="15">
        <v>950</v>
      </c>
      <c r="D141" s="15">
        <v>0</v>
      </c>
      <c r="E141" s="15">
        <v>0</v>
      </c>
      <c r="F141" s="15">
        <v>950</v>
      </c>
      <c r="G141" s="15">
        <v>0</v>
      </c>
      <c r="H141" s="15">
        <v>0</v>
      </c>
      <c r="I141" s="15">
        <v>950</v>
      </c>
      <c r="J141" s="15">
        <v>0</v>
      </c>
      <c r="K141" s="15">
        <v>0</v>
      </c>
      <c r="L141" s="15">
        <v>950</v>
      </c>
      <c r="M141" s="15">
        <v>0</v>
      </c>
      <c r="N141" s="15">
        <v>0</v>
      </c>
      <c r="O141" s="409">
        <f t="shared" si="46"/>
        <v>3800</v>
      </c>
      <c r="P141" s="400"/>
    </row>
    <row r="142" spans="1:16" x14ac:dyDescent="0.35">
      <c r="B142" s="91" t="s">
        <v>291</v>
      </c>
      <c r="C142" s="9">
        <f t="shared" ref="C142:O142" si="47">SUM(C139:C141)</f>
        <v>2825</v>
      </c>
      <c r="D142" s="93">
        <f t="shared" si="47"/>
        <v>0</v>
      </c>
      <c r="E142" s="93">
        <f t="shared" si="47"/>
        <v>0</v>
      </c>
      <c r="F142" s="93">
        <f t="shared" si="47"/>
        <v>2825</v>
      </c>
      <c r="G142" s="93">
        <f t="shared" si="47"/>
        <v>0</v>
      </c>
      <c r="H142" s="93">
        <f t="shared" si="47"/>
        <v>0</v>
      </c>
      <c r="I142" s="93">
        <f t="shared" si="47"/>
        <v>2825</v>
      </c>
      <c r="J142" s="93">
        <f t="shared" si="47"/>
        <v>0</v>
      </c>
      <c r="K142" s="93">
        <f t="shared" si="47"/>
        <v>0</v>
      </c>
      <c r="L142" s="93">
        <f t="shared" si="47"/>
        <v>2825</v>
      </c>
      <c r="M142" s="93">
        <f t="shared" si="47"/>
        <v>0</v>
      </c>
      <c r="N142" s="93">
        <f t="shared" si="47"/>
        <v>0</v>
      </c>
      <c r="O142" s="93">
        <f t="shared" si="47"/>
        <v>11300</v>
      </c>
      <c r="P142" s="83"/>
    </row>
    <row r="144" spans="1:16" ht="17.5" x14ac:dyDescent="0.35">
      <c r="A144" s="10" t="s">
        <v>542</v>
      </c>
      <c r="B144" s="10" t="s">
        <v>518</v>
      </c>
      <c r="M144" s="84"/>
      <c r="N144" s="84"/>
    </row>
    <row r="145" spans="1:16" x14ac:dyDescent="0.35">
      <c r="A145" s="7" t="s">
        <v>115</v>
      </c>
      <c r="C145" s="81" t="s">
        <v>0</v>
      </c>
      <c r="D145" s="81" t="s">
        <v>1</v>
      </c>
      <c r="E145" s="81" t="s">
        <v>2</v>
      </c>
      <c r="F145" s="81" t="s">
        <v>3</v>
      </c>
      <c r="G145" s="81" t="s">
        <v>4</v>
      </c>
      <c r="H145" s="81" t="s">
        <v>5</v>
      </c>
      <c r="I145" s="81" t="s">
        <v>6</v>
      </c>
      <c r="J145" s="81" t="s">
        <v>7</v>
      </c>
      <c r="K145" s="81" t="s">
        <v>8</v>
      </c>
      <c r="L145" s="81" t="s">
        <v>9</v>
      </c>
      <c r="M145" s="81" t="s">
        <v>10</v>
      </c>
      <c r="N145" s="81" t="s">
        <v>11</v>
      </c>
      <c r="O145" s="408" t="s">
        <v>12</v>
      </c>
      <c r="P145" s="14"/>
    </row>
    <row r="146" spans="1:16" x14ac:dyDescent="0.35">
      <c r="B146" s="223">
        <f>'361'!$B$1</f>
        <v>3610</v>
      </c>
      <c r="C146" s="13">
        <v>100</v>
      </c>
      <c r="D146" s="13">
        <v>100</v>
      </c>
      <c r="E146" s="13">
        <v>100</v>
      </c>
      <c r="F146" s="13">
        <v>100</v>
      </c>
      <c r="G146" s="13">
        <v>100</v>
      </c>
      <c r="H146" s="13">
        <v>100</v>
      </c>
      <c r="I146" s="13">
        <v>100</v>
      </c>
      <c r="J146" s="13">
        <v>100</v>
      </c>
      <c r="K146" s="13">
        <v>100</v>
      </c>
      <c r="L146" s="13">
        <v>100</v>
      </c>
      <c r="M146" s="13">
        <v>100</v>
      </c>
      <c r="N146" s="13">
        <v>100</v>
      </c>
      <c r="O146" s="409">
        <f>SUM(C146:N146)</f>
        <v>1200</v>
      </c>
      <c r="P146" s="78"/>
    </row>
    <row r="147" spans="1:16" x14ac:dyDescent="0.35">
      <c r="B147" s="223">
        <f>'362'!$B$1</f>
        <v>3620</v>
      </c>
      <c r="C147" s="13">
        <v>100</v>
      </c>
      <c r="D147" s="13">
        <v>100</v>
      </c>
      <c r="E147" s="13">
        <v>100</v>
      </c>
      <c r="F147" s="13">
        <v>100</v>
      </c>
      <c r="G147" s="13">
        <v>100</v>
      </c>
      <c r="H147" s="13">
        <v>100</v>
      </c>
      <c r="I147" s="13">
        <v>100</v>
      </c>
      <c r="J147" s="13">
        <v>100</v>
      </c>
      <c r="K147" s="13">
        <v>100</v>
      </c>
      <c r="L147" s="13">
        <v>100</v>
      </c>
      <c r="M147" s="13">
        <v>100</v>
      </c>
      <c r="N147" s="13">
        <v>100</v>
      </c>
      <c r="O147" s="409">
        <f t="shared" ref="O147:O148" si="48">SUM(C147:N147)</f>
        <v>1200</v>
      </c>
      <c r="P147" s="78"/>
    </row>
    <row r="148" spans="1:16" x14ac:dyDescent="0.35">
      <c r="B148" s="223">
        <f>'364'!$B$1</f>
        <v>3640</v>
      </c>
      <c r="C148" s="15">
        <v>100</v>
      </c>
      <c r="D148" s="15">
        <v>100</v>
      </c>
      <c r="E148" s="15">
        <v>100</v>
      </c>
      <c r="F148" s="15">
        <v>100</v>
      </c>
      <c r="G148" s="15">
        <v>100</v>
      </c>
      <c r="H148" s="15">
        <v>100</v>
      </c>
      <c r="I148" s="15">
        <v>100</v>
      </c>
      <c r="J148" s="15">
        <v>100</v>
      </c>
      <c r="K148" s="15">
        <v>100</v>
      </c>
      <c r="L148" s="15">
        <v>100</v>
      </c>
      <c r="M148" s="15">
        <v>100</v>
      </c>
      <c r="N148" s="15">
        <v>100</v>
      </c>
      <c r="O148" s="409">
        <f t="shared" si="48"/>
        <v>1200</v>
      </c>
      <c r="P148" s="78"/>
    </row>
    <row r="149" spans="1:16" x14ac:dyDescent="0.35">
      <c r="B149" s="91" t="s">
        <v>291</v>
      </c>
      <c r="C149" s="9">
        <f t="shared" ref="C149:O149" si="49">SUM(C146:C148)</f>
        <v>300</v>
      </c>
      <c r="D149" s="93">
        <f t="shared" si="49"/>
        <v>300</v>
      </c>
      <c r="E149" s="93">
        <f t="shared" si="49"/>
        <v>300</v>
      </c>
      <c r="F149" s="93">
        <f t="shared" si="49"/>
        <v>300</v>
      </c>
      <c r="G149" s="93">
        <f t="shared" si="49"/>
        <v>300</v>
      </c>
      <c r="H149" s="93">
        <f t="shared" si="49"/>
        <v>300</v>
      </c>
      <c r="I149" s="93">
        <f t="shared" si="49"/>
        <v>300</v>
      </c>
      <c r="J149" s="93">
        <f t="shared" si="49"/>
        <v>300</v>
      </c>
      <c r="K149" s="93">
        <f t="shared" si="49"/>
        <v>300</v>
      </c>
      <c r="L149" s="93">
        <f t="shared" si="49"/>
        <v>300</v>
      </c>
      <c r="M149" s="93">
        <f t="shared" si="49"/>
        <v>300</v>
      </c>
      <c r="N149" s="93">
        <f t="shared" si="49"/>
        <v>300</v>
      </c>
      <c r="O149" s="93">
        <f t="shared" si="49"/>
        <v>3600</v>
      </c>
      <c r="P149" s="83"/>
    </row>
    <row r="151" spans="1:16" ht="17.5" x14ac:dyDescent="0.35">
      <c r="A151" s="10" t="s">
        <v>542</v>
      </c>
      <c r="B151" s="10" t="s">
        <v>517</v>
      </c>
      <c r="M151" s="84"/>
      <c r="N151" s="84"/>
    </row>
    <row r="152" spans="1:16" x14ac:dyDescent="0.35">
      <c r="A152" s="7" t="s">
        <v>115</v>
      </c>
      <c r="C152" s="81" t="s">
        <v>0</v>
      </c>
      <c r="D152" s="81" t="s">
        <v>1</v>
      </c>
      <c r="E152" s="81" t="s">
        <v>2</v>
      </c>
      <c r="F152" s="81" t="s">
        <v>3</v>
      </c>
      <c r="G152" s="81" t="s">
        <v>4</v>
      </c>
      <c r="H152" s="81" t="s">
        <v>5</v>
      </c>
      <c r="I152" s="81" t="s">
        <v>6</v>
      </c>
      <c r="J152" s="81" t="s">
        <v>7</v>
      </c>
      <c r="K152" s="81" t="s">
        <v>8</v>
      </c>
      <c r="L152" s="81" t="s">
        <v>9</v>
      </c>
      <c r="M152" s="81" t="s">
        <v>10</v>
      </c>
      <c r="N152" s="81" t="s">
        <v>11</v>
      </c>
      <c r="O152" s="408" t="s">
        <v>12</v>
      </c>
      <c r="P152" s="14"/>
    </row>
    <row r="153" spans="1:16" x14ac:dyDescent="0.35">
      <c r="B153" s="223">
        <f>'361'!$B$1</f>
        <v>3610</v>
      </c>
      <c r="C153" s="13">
        <v>165</v>
      </c>
      <c r="D153" s="13">
        <v>165</v>
      </c>
      <c r="E153" s="13">
        <v>165</v>
      </c>
      <c r="F153" s="13">
        <v>165</v>
      </c>
      <c r="G153" s="13">
        <v>165</v>
      </c>
      <c r="H153" s="13">
        <v>165</v>
      </c>
      <c r="I153" s="13">
        <v>165</v>
      </c>
      <c r="J153" s="13">
        <v>165</v>
      </c>
      <c r="K153" s="13">
        <v>165</v>
      </c>
      <c r="L153" s="13">
        <v>165</v>
      </c>
      <c r="M153" s="13">
        <v>165</v>
      </c>
      <c r="N153" s="13">
        <v>165</v>
      </c>
      <c r="O153" s="409">
        <f t="shared" ref="O153:O155" si="50">SUM(D153:N153)</f>
        <v>1815</v>
      </c>
      <c r="P153" s="78"/>
    </row>
    <row r="154" spans="1:16" x14ac:dyDescent="0.35">
      <c r="B154" s="223">
        <f>'362'!$B$1</f>
        <v>3620</v>
      </c>
      <c r="C154" s="13">
        <v>160</v>
      </c>
      <c r="D154" s="13">
        <v>160</v>
      </c>
      <c r="E154" s="13">
        <v>160</v>
      </c>
      <c r="F154" s="13">
        <v>160</v>
      </c>
      <c r="G154" s="13">
        <v>160</v>
      </c>
      <c r="H154" s="13">
        <v>160</v>
      </c>
      <c r="I154" s="13">
        <v>160</v>
      </c>
      <c r="J154" s="13">
        <v>160</v>
      </c>
      <c r="K154" s="13">
        <v>160</v>
      </c>
      <c r="L154" s="13">
        <v>160</v>
      </c>
      <c r="M154" s="13">
        <v>160</v>
      </c>
      <c r="N154" s="13">
        <v>160</v>
      </c>
      <c r="O154" s="409">
        <f t="shared" si="50"/>
        <v>1760</v>
      </c>
      <c r="P154" s="78"/>
    </row>
    <row r="155" spans="1:16" x14ac:dyDescent="0.35">
      <c r="B155" s="223">
        <f>'364'!$B$1</f>
        <v>3640</v>
      </c>
      <c r="C155" s="15">
        <v>160</v>
      </c>
      <c r="D155" s="15">
        <v>160</v>
      </c>
      <c r="E155" s="15">
        <v>160</v>
      </c>
      <c r="F155" s="15">
        <v>160</v>
      </c>
      <c r="G155" s="15">
        <v>160</v>
      </c>
      <c r="H155" s="15">
        <v>160</v>
      </c>
      <c r="I155" s="15">
        <v>160</v>
      </c>
      <c r="J155" s="15">
        <v>160</v>
      </c>
      <c r="K155" s="15">
        <v>160</v>
      </c>
      <c r="L155" s="15">
        <v>160</v>
      </c>
      <c r="M155" s="15">
        <v>160</v>
      </c>
      <c r="N155" s="15">
        <v>160</v>
      </c>
      <c r="O155" s="409">
        <f t="shared" si="50"/>
        <v>1760</v>
      </c>
      <c r="P155" s="78"/>
    </row>
    <row r="156" spans="1:16" x14ac:dyDescent="0.35">
      <c r="B156" s="91" t="s">
        <v>291</v>
      </c>
      <c r="C156" s="9">
        <f t="shared" ref="C156:O156" si="51">SUM(C153:C155)</f>
        <v>485</v>
      </c>
      <c r="D156" s="93">
        <f t="shared" si="51"/>
        <v>485</v>
      </c>
      <c r="E156" s="93">
        <f t="shared" si="51"/>
        <v>485</v>
      </c>
      <c r="F156" s="93">
        <f t="shared" si="51"/>
        <v>485</v>
      </c>
      <c r="G156" s="93">
        <f t="shared" si="51"/>
        <v>485</v>
      </c>
      <c r="H156" s="93">
        <f t="shared" si="51"/>
        <v>485</v>
      </c>
      <c r="I156" s="93">
        <f t="shared" si="51"/>
        <v>485</v>
      </c>
      <c r="J156" s="93">
        <f t="shared" si="51"/>
        <v>485</v>
      </c>
      <c r="K156" s="93">
        <f t="shared" si="51"/>
        <v>485</v>
      </c>
      <c r="L156" s="93">
        <f t="shared" si="51"/>
        <v>485</v>
      </c>
      <c r="M156" s="93">
        <f t="shared" si="51"/>
        <v>485</v>
      </c>
      <c r="N156" s="93">
        <f t="shared" si="51"/>
        <v>485</v>
      </c>
      <c r="O156" s="93">
        <f t="shared" si="51"/>
        <v>5335</v>
      </c>
      <c r="P156" s="83"/>
    </row>
    <row r="158" spans="1:16" ht="17.5" x14ac:dyDescent="0.35">
      <c r="A158" s="10" t="s">
        <v>542</v>
      </c>
      <c r="B158" s="10" t="s">
        <v>516</v>
      </c>
      <c r="C158" s="14"/>
      <c r="M158" s="84"/>
      <c r="N158" s="84"/>
    </row>
    <row r="159" spans="1:16" x14ac:dyDescent="0.35">
      <c r="A159" s="7" t="s">
        <v>115</v>
      </c>
      <c r="C159" s="81" t="s">
        <v>0</v>
      </c>
      <c r="D159" s="81" t="s">
        <v>1</v>
      </c>
      <c r="E159" s="81" t="s">
        <v>2</v>
      </c>
      <c r="F159" s="81" t="s">
        <v>3</v>
      </c>
      <c r="G159" s="81" t="s">
        <v>4</v>
      </c>
      <c r="H159" s="81" t="s">
        <v>5</v>
      </c>
      <c r="I159" s="81" t="s">
        <v>6</v>
      </c>
      <c r="J159" s="81" t="s">
        <v>7</v>
      </c>
      <c r="K159" s="81" t="s">
        <v>8</v>
      </c>
      <c r="L159" s="81" t="s">
        <v>9</v>
      </c>
      <c r="M159" s="81" t="s">
        <v>10</v>
      </c>
      <c r="N159" s="81" t="s">
        <v>11</v>
      </c>
      <c r="O159" s="408" t="s">
        <v>12</v>
      </c>
      <c r="P159" s="14"/>
    </row>
    <row r="160" spans="1:16" x14ac:dyDescent="0.35">
      <c r="B160" s="223">
        <f>'361'!$B$1</f>
        <v>3610</v>
      </c>
      <c r="C160" s="13">
        <v>650</v>
      </c>
      <c r="D160" s="13">
        <v>650</v>
      </c>
      <c r="E160" s="13">
        <v>650</v>
      </c>
      <c r="F160" s="13">
        <v>650</v>
      </c>
      <c r="G160" s="13">
        <v>650</v>
      </c>
      <c r="H160" s="13">
        <v>650</v>
      </c>
      <c r="I160" s="13">
        <v>650</v>
      </c>
      <c r="J160" s="13">
        <v>650</v>
      </c>
      <c r="K160" s="13">
        <v>650</v>
      </c>
      <c r="L160" s="13">
        <v>650</v>
      </c>
      <c r="M160" s="13">
        <v>650</v>
      </c>
      <c r="N160" s="13">
        <v>650</v>
      </c>
      <c r="O160" s="409">
        <f>SUM(C160:N160)</f>
        <v>7800</v>
      </c>
      <c r="P160" s="78"/>
    </row>
    <row r="161" spans="2:16" x14ac:dyDescent="0.35">
      <c r="B161" s="223">
        <f>'362'!$B$1</f>
        <v>3620</v>
      </c>
      <c r="C161" s="13">
        <v>650</v>
      </c>
      <c r="D161" s="13">
        <v>650</v>
      </c>
      <c r="E161" s="13">
        <v>650</v>
      </c>
      <c r="F161" s="13">
        <v>650</v>
      </c>
      <c r="G161" s="13">
        <v>650</v>
      </c>
      <c r="H161" s="13">
        <v>650</v>
      </c>
      <c r="I161" s="13">
        <v>650</v>
      </c>
      <c r="J161" s="13">
        <v>650</v>
      </c>
      <c r="K161" s="13">
        <v>650</v>
      </c>
      <c r="L161" s="13">
        <v>650</v>
      </c>
      <c r="M161" s="13">
        <v>650</v>
      </c>
      <c r="N161" s="13">
        <v>650</v>
      </c>
      <c r="O161" s="409">
        <f t="shared" ref="O161:O162" si="52">SUM(C161:N161)</f>
        <v>7800</v>
      </c>
      <c r="P161" s="78"/>
    </row>
    <row r="162" spans="2:16" x14ac:dyDescent="0.35">
      <c r="B162" s="223">
        <f>'364'!$B$1</f>
        <v>3640</v>
      </c>
      <c r="C162" s="15">
        <v>650</v>
      </c>
      <c r="D162" s="15">
        <v>650</v>
      </c>
      <c r="E162" s="15">
        <v>650</v>
      </c>
      <c r="F162" s="15">
        <v>650</v>
      </c>
      <c r="G162" s="15">
        <v>650</v>
      </c>
      <c r="H162" s="15">
        <v>650</v>
      </c>
      <c r="I162" s="15">
        <v>650</v>
      </c>
      <c r="J162" s="15">
        <v>650</v>
      </c>
      <c r="K162" s="15">
        <v>650</v>
      </c>
      <c r="L162" s="15">
        <v>650</v>
      </c>
      <c r="M162" s="15">
        <v>650</v>
      </c>
      <c r="N162" s="15">
        <v>650</v>
      </c>
      <c r="O162" s="409">
        <f t="shared" si="52"/>
        <v>7800</v>
      </c>
      <c r="P162" s="78"/>
    </row>
    <row r="163" spans="2:16" x14ac:dyDescent="0.35">
      <c r="B163" s="91" t="s">
        <v>291</v>
      </c>
      <c r="C163" s="9">
        <f t="shared" ref="C163:O163" si="53">SUM(C160:C162)</f>
        <v>1950</v>
      </c>
      <c r="D163" s="9">
        <f t="shared" si="53"/>
        <v>1950</v>
      </c>
      <c r="E163" s="9">
        <f t="shared" si="53"/>
        <v>1950</v>
      </c>
      <c r="F163" s="9">
        <f t="shared" si="53"/>
        <v>1950</v>
      </c>
      <c r="G163" s="9">
        <f t="shared" si="53"/>
        <v>1950</v>
      </c>
      <c r="H163" s="9">
        <f t="shared" si="53"/>
        <v>1950</v>
      </c>
      <c r="I163" s="9">
        <f t="shared" si="53"/>
        <v>1950</v>
      </c>
      <c r="J163" s="9">
        <f t="shared" si="53"/>
        <v>1950</v>
      </c>
      <c r="K163" s="9">
        <f t="shared" si="53"/>
        <v>1950</v>
      </c>
      <c r="L163" s="9">
        <f t="shared" si="53"/>
        <v>1950</v>
      </c>
      <c r="M163" s="9">
        <f t="shared" si="53"/>
        <v>1950</v>
      </c>
      <c r="N163" s="9">
        <f t="shared" si="53"/>
        <v>1950</v>
      </c>
      <c r="O163" s="93">
        <f t="shared" si="53"/>
        <v>23400</v>
      </c>
      <c r="P163" s="83"/>
    </row>
  </sheetData>
  <sheetProtection selectLockedCells="1"/>
  <printOptions horizontalCentered="1" verticalCentered="1"/>
  <pageMargins left="0.25" right="0.25" top="0" bottom="0" header="0.05" footer="0.25"/>
  <pageSetup scale="79" fitToHeight="0" orientation="landscape" verticalDpi="300" r:id="rId1"/>
  <headerFooter>
    <oddHeader>&amp;R&amp;D</oddHeader>
    <oddFooter>Page &amp;P of &amp;N</oddFooter>
  </headerFooter>
  <rowBreaks count="2" manualBreakCount="2">
    <brk id="38" max="14" man="1"/>
    <brk id="80" max="14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8"/>
  <dimension ref="A3:N63"/>
  <sheetViews>
    <sheetView workbookViewId="0"/>
  </sheetViews>
  <sheetFormatPr defaultRowHeight="12.5" x14ac:dyDescent="0.25"/>
  <cols>
    <col min="1" max="1" width="15" customWidth="1"/>
    <col min="2" max="2" width="18.1796875" bestFit="1" customWidth="1"/>
    <col min="3" max="13" width="11.1796875" bestFit="1" customWidth="1"/>
    <col min="14" max="15" width="12.81640625" bestFit="1" customWidth="1"/>
  </cols>
  <sheetData>
    <row r="3" spans="1:14" x14ac:dyDescent="0.25">
      <c r="B3" s="1" t="s">
        <v>199</v>
      </c>
    </row>
    <row r="4" spans="1:14" x14ac:dyDescent="0.25">
      <c r="A4" s="1" t="s">
        <v>197</v>
      </c>
      <c r="B4" t="s">
        <v>238</v>
      </c>
      <c r="C4" t="s">
        <v>239</v>
      </c>
      <c r="D4" t="s">
        <v>240</v>
      </c>
      <c r="E4" t="s">
        <v>241</v>
      </c>
      <c r="F4" t="s">
        <v>242</v>
      </c>
      <c r="G4" t="s">
        <v>243</v>
      </c>
      <c r="H4" t="s">
        <v>244</v>
      </c>
      <c r="I4" t="s">
        <v>245</v>
      </c>
      <c r="J4" t="s">
        <v>246</v>
      </c>
      <c r="K4" t="s">
        <v>247</v>
      </c>
      <c r="L4" t="s">
        <v>248</v>
      </c>
      <c r="M4" t="s">
        <v>249</v>
      </c>
      <c r="N4" t="s">
        <v>198</v>
      </c>
    </row>
    <row r="5" spans="1:14" x14ac:dyDescent="0.25">
      <c r="A5" s="2" t="s">
        <v>163</v>
      </c>
    </row>
    <row r="6" spans="1:14" x14ac:dyDescent="0.25">
      <c r="A6" s="5" t="s">
        <v>165</v>
      </c>
    </row>
    <row r="7" spans="1:14" x14ac:dyDescent="0.25">
      <c r="A7" s="5" t="s">
        <v>219</v>
      </c>
    </row>
    <row r="8" spans="1:14" x14ac:dyDescent="0.25">
      <c r="A8" s="5" t="s">
        <v>220</v>
      </c>
    </row>
    <row r="9" spans="1:14" x14ac:dyDescent="0.25">
      <c r="A9" s="5" t="s">
        <v>215</v>
      </c>
    </row>
    <row r="10" spans="1:14" x14ac:dyDescent="0.25">
      <c r="A10" s="5" t="s">
        <v>166</v>
      </c>
    </row>
    <row r="11" spans="1:14" x14ac:dyDescent="0.25">
      <c r="A11" s="5" t="s">
        <v>221</v>
      </c>
    </row>
    <row r="12" spans="1:14" x14ac:dyDescent="0.25">
      <c r="A12" s="5" t="s">
        <v>167</v>
      </c>
    </row>
    <row r="13" spans="1:14" x14ac:dyDescent="0.25">
      <c r="A13" s="5" t="s">
        <v>250</v>
      </c>
    </row>
    <row r="14" spans="1:14" x14ac:dyDescent="0.25">
      <c r="A14" s="5" t="s">
        <v>222</v>
      </c>
    </row>
    <row r="15" spans="1:14" x14ac:dyDescent="0.25">
      <c r="A15" s="2" t="s">
        <v>168</v>
      </c>
    </row>
    <row r="16" spans="1:14" x14ac:dyDescent="0.25">
      <c r="A16" s="5" t="s">
        <v>251</v>
      </c>
    </row>
    <row r="17" spans="1:1" x14ac:dyDescent="0.25">
      <c r="A17" s="5" t="s">
        <v>228</v>
      </c>
    </row>
    <row r="18" spans="1:1" x14ac:dyDescent="0.25">
      <c r="A18" s="5" t="s">
        <v>169</v>
      </c>
    </row>
    <row r="19" spans="1:1" x14ac:dyDescent="0.25">
      <c r="A19" s="5" t="s">
        <v>252</v>
      </c>
    </row>
    <row r="20" spans="1:1" x14ac:dyDescent="0.25">
      <c r="A20" s="5" t="s">
        <v>170</v>
      </c>
    </row>
    <row r="21" spans="1:1" x14ac:dyDescent="0.25">
      <c r="A21" s="5" t="s">
        <v>223</v>
      </c>
    </row>
    <row r="22" spans="1:1" x14ac:dyDescent="0.25">
      <c r="A22" s="5" t="s">
        <v>227</v>
      </c>
    </row>
    <row r="23" spans="1:1" x14ac:dyDescent="0.25">
      <c r="A23" s="5" t="s">
        <v>171</v>
      </c>
    </row>
    <row r="24" spans="1:1" x14ac:dyDescent="0.25">
      <c r="A24" s="5" t="s">
        <v>172</v>
      </c>
    </row>
    <row r="25" spans="1:1" x14ac:dyDescent="0.25">
      <c r="A25" s="5" t="s">
        <v>173</v>
      </c>
    </row>
    <row r="26" spans="1:1" x14ac:dyDescent="0.25">
      <c r="A26" s="5" t="s">
        <v>174</v>
      </c>
    </row>
    <row r="27" spans="1:1" x14ac:dyDescent="0.25">
      <c r="A27" s="5" t="s">
        <v>175</v>
      </c>
    </row>
    <row r="28" spans="1:1" x14ac:dyDescent="0.25">
      <c r="A28" s="5" t="s">
        <v>176</v>
      </c>
    </row>
    <row r="29" spans="1:1" x14ac:dyDescent="0.25">
      <c r="A29" s="2" t="s">
        <v>177</v>
      </c>
    </row>
    <row r="30" spans="1:1" x14ac:dyDescent="0.25">
      <c r="A30" s="5" t="s">
        <v>178</v>
      </c>
    </row>
    <row r="31" spans="1:1" x14ac:dyDescent="0.25">
      <c r="A31" s="5" t="s">
        <v>230</v>
      </c>
    </row>
    <row r="32" spans="1:1" x14ac:dyDescent="0.25">
      <c r="A32" s="5" t="s">
        <v>236</v>
      </c>
    </row>
    <row r="33" spans="1:1" x14ac:dyDescent="0.25">
      <c r="A33" s="5" t="s">
        <v>179</v>
      </c>
    </row>
    <row r="34" spans="1:1" x14ac:dyDescent="0.25">
      <c r="A34" s="5" t="s">
        <v>180</v>
      </c>
    </row>
    <row r="35" spans="1:1" x14ac:dyDescent="0.25">
      <c r="A35" s="5" t="s">
        <v>181</v>
      </c>
    </row>
    <row r="36" spans="1:1" x14ac:dyDescent="0.25">
      <c r="A36" s="5" t="s">
        <v>182</v>
      </c>
    </row>
    <row r="37" spans="1:1" x14ac:dyDescent="0.25">
      <c r="A37" s="5" t="s">
        <v>229</v>
      </c>
    </row>
    <row r="38" spans="1:1" x14ac:dyDescent="0.25">
      <c r="A38" s="5" t="s">
        <v>183</v>
      </c>
    </row>
    <row r="39" spans="1:1" x14ac:dyDescent="0.25">
      <c r="A39" s="2" t="s">
        <v>184</v>
      </c>
    </row>
    <row r="40" spans="1:1" x14ac:dyDescent="0.25">
      <c r="A40" s="5" t="s">
        <v>253</v>
      </c>
    </row>
    <row r="41" spans="1:1" x14ac:dyDescent="0.25">
      <c r="A41" s="5" t="s">
        <v>231</v>
      </c>
    </row>
    <row r="42" spans="1:1" x14ac:dyDescent="0.25">
      <c r="A42" s="5" t="s">
        <v>185</v>
      </c>
    </row>
    <row r="43" spans="1:1" x14ac:dyDescent="0.25">
      <c r="A43" s="5" t="s">
        <v>254</v>
      </c>
    </row>
    <row r="44" spans="1:1" x14ac:dyDescent="0.25">
      <c r="A44" s="5" t="s">
        <v>255</v>
      </c>
    </row>
    <row r="45" spans="1:1" x14ac:dyDescent="0.25">
      <c r="A45" s="5" t="s">
        <v>204</v>
      </c>
    </row>
    <row r="46" spans="1:1" x14ac:dyDescent="0.25">
      <c r="A46" s="5" t="s">
        <v>186</v>
      </c>
    </row>
    <row r="47" spans="1:1" x14ac:dyDescent="0.25">
      <c r="A47" s="5" t="s">
        <v>187</v>
      </c>
    </row>
    <row r="48" spans="1:1" x14ac:dyDescent="0.25">
      <c r="A48" s="5" t="s">
        <v>224</v>
      </c>
    </row>
    <row r="49" spans="1:1" x14ac:dyDescent="0.25">
      <c r="A49" s="5" t="s">
        <v>232</v>
      </c>
    </row>
    <row r="50" spans="1:1" x14ac:dyDescent="0.25">
      <c r="A50" s="5" t="s">
        <v>188</v>
      </c>
    </row>
    <row r="51" spans="1:1" x14ac:dyDescent="0.25">
      <c r="A51" s="5" t="s">
        <v>189</v>
      </c>
    </row>
    <row r="52" spans="1:1" x14ac:dyDescent="0.25">
      <c r="A52" s="5" t="s">
        <v>256</v>
      </c>
    </row>
    <row r="53" spans="1:1" x14ac:dyDescent="0.25">
      <c r="A53" s="5" t="s">
        <v>225</v>
      </c>
    </row>
    <row r="54" spans="1:1" x14ac:dyDescent="0.25">
      <c r="A54" s="5" t="s">
        <v>214</v>
      </c>
    </row>
    <row r="55" spans="1:1" x14ac:dyDescent="0.25">
      <c r="A55" s="2" t="s">
        <v>190</v>
      </c>
    </row>
    <row r="56" spans="1:1" x14ac:dyDescent="0.25">
      <c r="A56" s="5" t="s">
        <v>192</v>
      </c>
    </row>
    <row r="57" spans="1:1" x14ac:dyDescent="0.25">
      <c r="A57" s="5" t="s">
        <v>226</v>
      </c>
    </row>
    <row r="58" spans="1:1" x14ac:dyDescent="0.25">
      <c r="A58" s="5" t="s">
        <v>191</v>
      </c>
    </row>
    <row r="59" spans="1:1" x14ac:dyDescent="0.25">
      <c r="A59" s="2" t="s">
        <v>193</v>
      </c>
    </row>
    <row r="60" spans="1:1" x14ac:dyDescent="0.25">
      <c r="A60" s="5" t="s">
        <v>194</v>
      </c>
    </row>
    <row r="61" spans="1:1" x14ac:dyDescent="0.25">
      <c r="A61" s="2" t="s">
        <v>195</v>
      </c>
    </row>
    <row r="62" spans="1:1" x14ac:dyDescent="0.25">
      <c r="A62" s="5" t="s">
        <v>196</v>
      </c>
    </row>
    <row r="63" spans="1:1" x14ac:dyDescent="0.25">
      <c r="A63" s="2" t="s">
        <v>198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9">
    <tabColor rgb="FF92D050"/>
  </sheetPr>
  <dimension ref="A1:Z970"/>
  <sheetViews>
    <sheetView topLeftCell="A115" zoomScale="85" workbookViewId="0">
      <selection activeCell="B2" sqref="B2"/>
    </sheetView>
  </sheetViews>
  <sheetFormatPr defaultColWidth="8.81640625" defaultRowHeight="16" x14ac:dyDescent="0.35"/>
  <cols>
    <col min="1" max="1" width="14.81640625" style="7" bestFit="1" customWidth="1"/>
    <col min="2" max="2" width="15.81640625" style="7" customWidth="1"/>
    <col min="3" max="3" width="39.1796875" style="7" bestFit="1" customWidth="1"/>
    <col min="4" max="4" width="17.1796875" style="7" customWidth="1"/>
    <col min="5" max="5" width="17.81640625" style="7" customWidth="1"/>
    <col min="6" max="6" width="15.81640625" style="7" customWidth="1"/>
    <col min="7" max="7" width="19.1796875" style="115" bestFit="1" customWidth="1"/>
    <col min="8" max="8" width="9.453125" style="207" customWidth="1"/>
    <col min="9" max="9" width="8.81640625" style="7"/>
    <col min="10" max="10" width="10.1796875" style="7" bestFit="1" customWidth="1"/>
    <col min="11" max="11" width="37" style="7" bestFit="1" customWidth="1"/>
    <col min="12" max="12" width="18.1796875" style="7" bestFit="1" customWidth="1"/>
    <col min="13" max="14" width="10" style="7" bestFit="1" customWidth="1"/>
    <col min="15" max="23" width="9" style="7" bestFit="1" customWidth="1"/>
    <col min="24" max="24" width="11.81640625" style="7" bestFit="1" customWidth="1"/>
    <col min="25" max="25" width="6.54296875" style="7" bestFit="1" customWidth="1"/>
    <col min="26" max="26" width="12.453125" style="7" bestFit="1" customWidth="1"/>
    <col min="27" max="16384" width="8.81640625" style="7"/>
  </cols>
  <sheetData>
    <row r="1" spans="1:24" x14ac:dyDescent="0.35">
      <c r="A1" s="16" t="s">
        <v>257</v>
      </c>
      <c r="B1" s="16" t="s">
        <v>258</v>
      </c>
      <c r="C1" s="16" t="s">
        <v>160</v>
      </c>
      <c r="D1" s="16" t="s">
        <v>161</v>
      </c>
      <c r="E1" s="16" t="s">
        <v>162</v>
      </c>
      <c r="F1" s="16" t="s">
        <v>259</v>
      </c>
      <c r="G1" s="114" t="s">
        <v>260</v>
      </c>
      <c r="H1" s="208" t="s">
        <v>213</v>
      </c>
      <c r="K1" s="67" t="s">
        <v>317</v>
      </c>
      <c r="L1" s="67"/>
      <c r="M1" s="67"/>
      <c r="N1" s="67"/>
      <c r="O1" s="67"/>
    </row>
    <row r="2" spans="1:24" x14ac:dyDescent="0.35">
      <c r="A2" s="11" t="s">
        <v>347</v>
      </c>
      <c r="B2" s="11" t="s">
        <v>348</v>
      </c>
      <c r="C2" s="11" t="s">
        <v>349</v>
      </c>
      <c r="D2" s="11" t="s">
        <v>305</v>
      </c>
      <c r="E2" s="11" t="s">
        <v>164</v>
      </c>
      <c r="F2" s="11" t="s">
        <v>131</v>
      </c>
      <c r="G2" s="209">
        <v>1795.5</v>
      </c>
      <c r="H2" s="207">
        <f t="shared" ref="H2:H112" si="0">IF(D2="",0,MONTH(D2))</f>
        <v>1</v>
      </c>
      <c r="K2" s="67" t="s">
        <v>318</v>
      </c>
      <c r="L2" s="67"/>
      <c r="M2" s="67"/>
      <c r="N2" s="67"/>
      <c r="O2" s="67"/>
    </row>
    <row r="3" spans="1:24" x14ac:dyDescent="0.35">
      <c r="A3" s="11" t="s">
        <v>347</v>
      </c>
      <c r="B3" s="11" t="s">
        <v>348</v>
      </c>
      <c r="C3" s="11" t="s">
        <v>349</v>
      </c>
      <c r="D3" s="11" t="s">
        <v>306</v>
      </c>
      <c r="E3" s="11" t="s">
        <v>164</v>
      </c>
      <c r="F3" s="11" t="s">
        <v>131</v>
      </c>
      <c r="G3" s="209">
        <v>1795.5</v>
      </c>
      <c r="H3" s="207">
        <f t="shared" si="0"/>
        <v>2</v>
      </c>
    </row>
    <row r="4" spans="1:24" x14ac:dyDescent="0.35">
      <c r="A4" s="11" t="s">
        <v>347</v>
      </c>
      <c r="B4" s="11" t="s">
        <v>350</v>
      </c>
      <c r="C4" s="11" t="s">
        <v>351</v>
      </c>
      <c r="D4" s="11" t="s">
        <v>305</v>
      </c>
      <c r="E4" s="11" t="s">
        <v>164</v>
      </c>
      <c r="F4" s="11" t="s">
        <v>131</v>
      </c>
      <c r="G4" s="209">
        <v>2727.67</v>
      </c>
      <c r="H4" s="207">
        <f t="shared" si="0"/>
        <v>1</v>
      </c>
      <c r="K4" s="7" t="s">
        <v>416</v>
      </c>
    </row>
    <row r="5" spans="1:24" x14ac:dyDescent="0.35">
      <c r="A5" s="11" t="s">
        <v>347</v>
      </c>
      <c r="B5" s="11" t="s">
        <v>350</v>
      </c>
      <c r="C5" s="11" t="s">
        <v>351</v>
      </c>
      <c r="D5" s="11" t="s">
        <v>306</v>
      </c>
      <c r="E5" s="11" t="s">
        <v>164</v>
      </c>
      <c r="F5" s="11" t="s">
        <v>131</v>
      </c>
      <c r="G5" s="209">
        <v>2727.67</v>
      </c>
      <c r="H5" s="207">
        <f t="shared" si="0"/>
        <v>2</v>
      </c>
    </row>
    <row r="6" spans="1:24" x14ac:dyDescent="0.35">
      <c r="A6" s="11" t="s">
        <v>347</v>
      </c>
      <c r="B6" s="11" t="s">
        <v>350</v>
      </c>
      <c r="C6" s="11" t="s">
        <v>351</v>
      </c>
      <c r="D6" s="11" t="s">
        <v>307</v>
      </c>
      <c r="E6" s="11" t="s">
        <v>164</v>
      </c>
      <c r="F6" s="11" t="s">
        <v>131</v>
      </c>
      <c r="G6" s="209">
        <v>2727.67</v>
      </c>
      <c r="H6" s="207">
        <f t="shared" si="0"/>
        <v>3</v>
      </c>
    </row>
    <row r="7" spans="1:24" x14ac:dyDescent="0.35">
      <c r="A7" s="11" t="s">
        <v>347</v>
      </c>
      <c r="B7" s="11" t="s">
        <v>350</v>
      </c>
      <c r="C7" s="11" t="s">
        <v>351</v>
      </c>
      <c r="D7" s="11" t="s">
        <v>308</v>
      </c>
      <c r="E7" s="11" t="s">
        <v>164</v>
      </c>
      <c r="F7" s="11" t="s">
        <v>131</v>
      </c>
      <c r="G7" s="209">
        <v>2727.67</v>
      </c>
      <c r="H7" s="207">
        <f t="shared" si="0"/>
        <v>4</v>
      </c>
    </row>
    <row r="8" spans="1:24" x14ac:dyDescent="0.35">
      <c r="A8" s="11" t="s">
        <v>347</v>
      </c>
      <c r="B8" s="11" t="s">
        <v>350</v>
      </c>
      <c r="C8" s="11" t="s">
        <v>351</v>
      </c>
      <c r="D8" s="11" t="s">
        <v>309</v>
      </c>
      <c r="E8" s="11" t="s">
        <v>164</v>
      </c>
      <c r="F8" s="11" t="s">
        <v>131</v>
      </c>
      <c r="G8" s="209">
        <v>2727.67</v>
      </c>
      <c r="H8" s="207">
        <f t="shared" si="0"/>
        <v>5</v>
      </c>
      <c r="K8" s="1" t="s">
        <v>588</v>
      </c>
      <c r="L8" s="1" t="s">
        <v>199</v>
      </c>
      <c r="M8"/>
      <c r="N8"/>
      <c r="O8"/>
      <c r="P8"/>
      <c r="Q8"/>
      <c r="R8"/>
      <c r="S8"/>
      <c r="T8"/>
      <c r="U8"/>
      <c r="V8"/>
      <c r="W8"/>
      <c r="X8"/>
    </row>
    <row r="9" spans="1:24" x14ac:dyDescent="0.35">
      <c r="A9" s="11" t="s">
        <v>347</v>
      </c>
      <c r="B9" s="11" t="s">
        <v>350</v>
      </c>
      <c r="C9" s="11" t="s">
        <v>351</v>
      </c>
      <c r="D9" s="11" t="s">
        <v>310</v>
      </c>
      <c r="E9" s="11" t="s">
        <v>164</v>
      </c>
      <c r="F9" s="11" t="s">
        <v>131</v>
      </c>
      <c r="G9" s="209">
        <v>2727.67</v>
      </c>
      <c r="H9" s="207">
        <f t="shared" si="0"/>
        <v>6</v>
      </c>
      <c r="K9" s="1" t="s">
        <v>197</v>
      </c>
      <c r="L9" s="427">
        <v>1</v>
      </c>
      <c r="M9" s="427">
        <v>2</v>
      </c>
      <c r="N9" s="427">
        <v>3</v>
      </c>
      <c r="O9" s="427">
        <v>4</v>
      </c>
      <c r="P9" s="427">
        <v>5</v>
      </c>
      <c r="Q9" s="427">
        <v>6</v>
      </c>
      <c r="R9" s="427">
        <v>7</v>
      </c>
      <c r="S9" s="427">
        <v>8</v>
      </c>
      <c r="T9" s="427">
        <v>9</v>
      </c>
      <c r="U9" s="427">
        <v>10</v>
      </c>
      <c r="V9" s="427">
        <v>11</v>
      </c>
      <c r="W9" s="427">
        <v>12</v>
      </c>
      <c r="X9" s="427" t="s">
        <v>198</v>
      </c>
    </row>
    <row r="10" spans="1:24" x14ac:dyDescent="0.35">
      <c r="A10" s="11" t="s">
        <v>347</v>
      </c>
      <c r="B10" s="11" t="s">
        <v>350</v>
      </c>
      <c r="C10" s="11" t="s">
        <v>351</v>
      </c>
      <c r="D10" s="11" t="s">
        <v>311</v>
      </c>
      <c r="E10" s="11" t="s">
        <v>164</v>
      </c>
      <c r="F10" s="11" t="s">
        <v>131</v>
      </c>
      <c r="G10" s="209">
        <v>2727.67</v>
      </c>
      <c r="H10" s="207">
        <f t="shared" si="0"/>
        <v>7</v>
      </c>
      <c r="K10" s="2" t="s">
        <v>347</v>
      </c>
      <c r="L10" s="429">
        <v>25265.129999999997</v>
      </c>
      <c r="M10" s="429">
        <v>21061.799999999996</v>
      </c>
      <c r="N10" s="429">
        <v>19266.299999999996</v>
      </c>
      <c r="O10" s="429">
        <v>17241.88</v>
      </c>
      <c r="P10" s="429">
        <v>15196.88</v>
      </c>
      <c r="Q10" s="429">
        <v>9190.630000000001</v>
      </c>
      <c r="R10" s="429">
        <v>7388</v>
      </c>
      <c r="S10" s="429">
        <v>6171.75</v>
      </c>
      <c r="T10" s="429">
        <v>6171.75</v>
      </c>
      <c r="U10" s="429">
        <v>4414.25</v>
      </c>
      <c r="V10" s="429">
        <v>4414.25</v>
      </c>
      <c r="W10" s="429">
        <v>4414.25</v>
      </c>
      <c r="X10" s="429">
        <v>140196.87</v>
      </c>
    </row>
    <row r="11" spans="1:24" x14ac:dyDescent="0.35">
      <c r="A11" s="11" t="s">
        <v>347</v>
      </c>
      <c r="B11" s="11" t="s">
        <v>350</v>
      </c>
      <c r="C11" s="11" t="s">
        <v>351</v>
      </c>
      <c r="D11" s="11" t="s">
        <v>312</v>
      </c>
      <c r="E11" s="11" t="s">
        <v>164</v>
      </c>
      <c r="F11" s="11" t="s">
        <v>131</v>
      </c>
      <c r="G11" s="209">
        <v>2727.67</v>
      </c>
      <c r="H11" s="207">
        <f t="shared" si="0"/>
        <v>8</v>
      </c>
      <c r="K11" s="5" t="s">
        <v>348</v>
      </c>
      <c r="L11" s="429">
        <v>1795.5</v>
      </c>
      <c r="M11" s="429">
        <v>1795.5</v>
      </c>
      <c r="N11" s="429"/>
      <c r="O11" s="429"/>
      <c r="P11" s="429"/>
      <c r="Q11" s="429"/>
      <c r="R11" s="429"/>
      <c r="S11" s="429"/>
      <c r="T11" s="429"/>
      <c r="U11" s="429"/>
      <c r="V11" s="429"/>
      <c r="W11" s="429"/>
      <c r="X11" s="429">
        <v>3591</v>
      </c>
    </row>
    <row r="12" spans="1:24" x14ac:dyDescent="0.35">
      <c r="A12" s="11" t="s">
        <v>347</v>
      </c>
      <c r="B12" s="11" t="s">
        <v>350</v>
      </c>
      <c r="C12" s="11" t="s">
        <v>351</v>
      </c>
      <c r="D12" s="11" t="s">
        <v>313</v>
      </c>
      <c r="E12" s="11" t="s">
        <v>164</v>
      </c>
      <c r="F12" s="11" t="s">
        <v>131</v>
      </c>
      <c r="G12" s="209">
        <v>2727.67</v>
      </c>
      <c r="H12" s="207">
        <f t="shared" si="0"/>
        <v>9</v>
      </c>
      <c r="K12" s="428" t="s">
        <v>349</v>
      </c>
      <c r="L12" s="429">
        <v>1795.5</v>
      </c>
      <c r="M12" s="429">
        <v>1795.5</v>
      </c>
      <c r="N12" s="429"/>
      <c r="O12" s="429"/>
      <c r="P12" s="429"/>
      <c r="Q12" s="429"/>
      <c r="R12" s="429"/>
      <c r="S12" s="429"/>
      <c r="T12" s="429"/>
      <c r="U12" s="429"/>
      <c r="V12" s="429"/>
      <c r="W12" s="429"/>
      <c r="X12" s="429">
        <v>3591</v>
      </c>
    </row>
    <row r="13" spans="1:24" x14ac:dyDescent="0.35">
      <c r="A13" s="11" t="s">
        <v>347</v>
      </c>
      <c r="B13" s="11" t="s">
        <v>350</v>
      </c>
      <c r="C13" s="11" t="s">
        <v>351</v>
      </c>
      <c r="D13" s="11" t="s">
        <v>314</v>
      </c>
      <c r="E13" s="11" t="s">
        <v>164</v>
      </c>
      <c r="F13" s="11" t="s">
        <v>131</v>
      </c>
      <c r="G13" s="209">
        <v>2727.67</v>
      </c>
      <c r="H13" s="207">
        <f t="shared" si="0"/>
        <v>10</v>
      </c>
      <c r="K13" s="5" t="s">
        <v>350</v>
      </c>
      <c r="L13" s="429">
        <v>2727.67</v>
      </c>
      <c r="M13" s="429">
        <v>2727.67</v>
      </c>
      <c r="N13" s="429">
        <v>2727.67</v>
      </c>
      <c r="O13" s="429">
        <v>2727.67</v>
      </c>
      <c r="P13" s="429">
        <v>2727.67</v>
      </c>
      <c r="Q13" s="429">
        <v>2727.67</v>
      </c>
      <c r="R13" s="429">
        <v>2727.67</v>
      </c>
      <c r="S13" s="429">
        <v>2727.67</v>
      </c>
      <c r="T13" s="429">
        <v>2727.67</v>
      </c>
      <c r="U13" s="429">
        <v>2727.67</v>
      </c>
      <c r="V13" s="429">
        <v>2727.67</v>
      </c>
      <c r="W13" s="429">
        <v>2727.67</v>
      </c>
      <c r="X13" s="429">
        <v>32732.039999999994</v>
      </c>
    </row>
    <row r="14" spans="1:24" x14ac:dyDescent="0.35">
      <c r="A14" s="11" t="s">
        <v>347</v>
      </c>
      <c r="B14" s="11" t="s">
        <v>350</v>
      </c>
      <c r="C14" s="11" t="s">
        <v>351</v>
      </c>
      <c r="D14" s="11" t="s">
        <v>315</v>
      </c>
      <c r="E14" s="11" t="s">
        <v>164</v>
      </c>
      <c r="F14" s="11" t="s">
        <v>131</v>
      </c>
      <c r="G14" s="209">
        <v>2727.67</v>
      </c>
      <c r="H14" s="207">
        <f t="shared" si="0"/>
        <v>11</v>
      </c>
      <c r="K14" s="428" t="s">
        <v>351</v>
      </c>
      <c r="L14" s="429">
        <v>2727.67</v>
      </c>
      <c r="M14" s="429">
        <v>2727.67</v>
      </c>
      <c r="N14" s="429">
        <v>2727.67</v>
      </c>
      <c r="O14" s="429">
        <v>2727.67</v>
      </c>
      <c r="P14" s="429">
        <v>2727.67</v>
      </c>
      <c r="Q14" s="429">
        <v>2727.67</v>
      </c>
      <c r="R14" s="429">
        <v>2727.67</v>
      </c>
      <c r="S14" s="429">
        <v>2727.67</v>
      </c>
      <c r="T14" s="429">
        <v>2727.67</v>
      </c>
      <c r="U14" s="429">
        <v>2727.67</v>
      </c>
      <c r="V14" s="429">
        <v>2727.67</v>
      </c>
      <c r="W14" s="429">
        <v>2727.67</v>
      </c>
      <c r="X14" s="429">
        <v>32732.039999999994</v>
      </c>
    </row>
    <row r="15" spans="1:24" x14ac:dyDescent="0.35">
      <c r="A15" s="11" t="s">
        <v>347</v>
      </c>
      <c r="B15" s="11" t="s">
        <v>350</v>
      </c>
      <c r="C15" s="11" t="s">
        <v>351</v>
      </c>
      <c r="D15" s="11" t="s">
        <v>316</v>
      </c>
      <c r="E15" s="11" t="s">
        <v>164</v>
      </c>
      <c r="F15" s="11" t="s">
        <v>131</v>
      </c>
      <c r="G15" s="209">
        <v>2727.67</v>
      </c>
      <c r="H15" s="207">
        <f t="shared" si="0"/>
        <v>12</v>
      </c>
      <c r="K15" s="5" t="s">
        <v>352</v>
      </c>
      <c r="L15" s="429">
        <v>4203.33</v>
      </c>
      <c r="M15" s="429"/>
      <c r="N15" s="429"/>
      <c r="O15" s="429"/>
      <c r="P15" s="429"/>
      <c r="Q15" s="429"/>
      <c r="R15" s="429"/>
      <c r="S15" s="429"/>
      <c r="T15" s="429"/>
      <c r="U15" s="429"/>
      <c r="V15" s="429"/>
      <c r="W15" s="429"/>
      <c r="X15" s="429">
        <v>4203.33</v>
      </c>
    </row>
    <row r="16" spans="1:24" x14ac:dyDescent="0.35">
      <c r="A16" s="11" t="s">
        <v>347</v>
      </c>
      <c r="B16" s="11" t="s">
        <v>352</v>
      </c>
      <c r="C16" s="11" t="s">
        <v>353</v>
      </c>
      <c r="D16" s="11" t="s">
        <v>305</v>
      </c>
      <c r="E16" s="11" t="s">
        <v>164</v>
      </c>
      <c r="F16" s="11" t="s">
        <v>131</v>
      </c>
      <c r="G16" s="209">
        <v>4203.33</v>
      </c>
      <c r="H16" s="207">
        <f t="shared" si="0"/>
        <v>1</v>
      </c>
      <c r="K16" s="428" t="s">
        <v>353</v>
      </c>
      <c r="L16" s="429">
        <v>4203.33</v>
      </c>
      <c r="M16" s="429"/>
      <c r="N16" s="429"/>
      <c r="O16" s="429"/>
      <c r="P16" s="429"/>
      <c r="Q16" s="429"/>
      <c r="R16" s="429"/>
      <c r="S16" s="429"/>
      <c r="T16" s="429"/>
      <c r="U16" s="429"/>
      <c r="V16" s="429"/>
      <c r="W16" s="429"/>
      <c r="X16" s="429">
        <v>4203.33</v>
      </c>
    </row>
    <row r="17" spans="1:26" x14ac:dyDescent="0.35">
      <c r="A17" s="11" t="s">
        <v>347</v>
      </c>
      <c r="B17" s="11" t="s">
        <v>354</v>
      </c>
      <c r="C17" s="11" t="s">
        <v>355</v>
      </c>
      <c r="D17" s="11" t="s">
        <v>305</v>
      </c>
      <c r="E17" s="11" t="s">
        <v>164</v>
      </c>
      <c r="F17" s="11" t="s">
        <v>131</v>
      </c>
      <c r="G17" s="209">
        <v>1757.5</v>
      </c>
      <c r="H17" s="207">
        <f t="shared" si="0"/>
        <v>1</v>
      </c>
      <c r="K17" s="5" t="s">
        <v>354</v>
      </c>
      <c r="L17" s="429">
        <v>1757.5</v>
      </c>
      <c r="M17" s="429">
        <v>1757.5</v>
      </c>
      <c r="N17" s="429">
        <v>1757.5</v>
      </c>
      <c r="O17" s="429">
        <v>1757.5</v>
      </c>
      <c r="P17" s="429">
        <v>1757.5</v>
      </c>
      <c r="Q17" s="429">
        <v>1757.5</v>
      </c>
      <c r="R17" s="429">
        <v>1757.5</v>
      </c>
      <c r="S17" s="429">
        <v>1757.5</v>
      </c>
      <c r="T17" s="429">
        <v>1757.5</v>
      </c>
      <c r="U17" s="429"/>
      <c r="V17" s="429"/>
      <c r="W17" s="429"/>
      <c r="X17" s="429">
        <v>15817.5</v>
      </c>
    </row>
    <row r="18" spans="1:26" x14ac:dyDescent="0.35">
      <c r="A18" s="11" t="s">
        <v>347</v>
      </c>
      <c r="B18" s="11" t="s">
        <v>354</v>
      </c>
      <c r="C18" s="11" t="s">
        <v>355</v>
      </c>
      <c r="D18" s="11" t="s">
        <v>306</v>
      </c>
      <c r="E18" s="11" t="s">
        <v>164</v>
      </c>
      <c r="F18" s="11" t="s">
        <v>131</v>
      </c>
      <c r="G18" s="209">
        <v>1757.5</v>
      </c>
      <c r="H18" s="207">
        <f t="shared" si="0"/>
        <v>2</v>
      </c>
      <c r="K18" s="428" t="s">
        <v>355</v>
      </c>
      <c r="L18" s="429">
        <v>1757.5</v>
      </c>
      <c r="M18" s="429">
        <v>1757.5</v>
      </c>
      <c r="N18" s="429">
        <v>1757.5</v>
      </c>
      <c r="O18" s="429">
        <v>1757.5</v>
      </c>
      <c r="P18" s="429">
        <v>1757.5</v>
      </c>
      <c r="Q18" s="429">
        <v>1757.5</v>
      </c>
      <c r="R18" s="429">
        <v>1757.5</v>
      </c>
      <c r="S18" s="429">
        <v>1757.5</v>
      </c>
      <c r="T18" s="429">
        <v>1757.5</v>
      </c>
      <c r="U18" s="429"/>
      <c r="V18" s="429"/>
      <c r="W18" s="429"/>
      <c r="X18" s="429">
        <v>15817.5</v>
      </c>
    </row>
    <row r="19" spans="1:26" x14ac:dyDescent="0.35">
      <c r="A19" s="11" t="s">
        <v>347</v>
      </c>
      <c r="B19" s="11" t="s">
        <v>354</v>
      </c>
      <c r="C19" s="11" t="s">
        <v>355</v>
      </c>
      <c r="D19" s="11" t="s">
        <v>307</v>
      </c>
      <c r="E19" s="11" t="s">
        <v>164</v>
      </c>
      <c r="F19" s="11" t="s">
        <v>131</v>
      </c>
      <c r="G19" s="209">
        <v>1757.5</v>
      </c>
      <c r="H19" s="207">
        <f t="shared" si="0"/>
        <v>3</v>
      </c>
      <c r="K19" s="5" t="s">
        <v>356</v>
      </c>
      <c r="L19" s="429">
        <v>2024.42</v>
      </c>
      <c r="M19" s="429">
        <v>2024.42</v>
      </c>
      <c r="N19" s="429">
        <v>2024.42</v>
      </c>
      <c r="O19" s="429"/>
      <c r="P19" s="429"/>
      <c r="Q19" s="429"/>
      <c r="R19" s="429"/>
      <c r="S19" s="429"/>
      <c r="T19" s="429"/>
      <c r="U19" s="429"/>
      <c r="V19" s="429"/>
      <c r="W19" s="429"/>
      <c r="X19" s="429">
        <v>6073.26</v>
      </c>
    </row>
    <row r="20" spans="1:26" x14ac:dyDescent="0.35">
      <c r="A20" s="11" t="s">
        <v>347</v>
      </c>
      <c r="B20" s="11" t="s">
        <v>354</v>
      </c>
      <c r="C20" s="11" t="s">
        <v>355</v>
      </c>
      <c r="D20" s="11" t="s">
        <v>308</v>
      </c>
      <c r="E20" s="11" t="s">
        <v>164</v>
      </c>
      <c r="F20" s="11" t="s">
        <v>131</v>
      </c>
      <c r="G20" s="209">
        <v>1757.5</v>
      </c>
      <c r="H20" s="207">
        <f t="shared" si="0"/>
        <v>4</v>
      </c>
      <c r="K20" s="428" t="s">
        <v>357</v>
      </c>
      <c r="L20" s="429">
        <v>2024.42</v>
      </c>
      <c r="M20" s="429">
        <v>2024.42</v>
      </c>
      <c r="N20" s="429">
        <v>2024.42</v>
      </c>
      <c r="O20" s="429"/>
      <c r="P20" s="429"/>
      <c r="Q20" s="429"/>
      <c r="R20" s="429"/>
      <c r="S20" s="429"/>
      <c r="T20" s="429"/>
      <c r="U20" s="429"/>
      <c r="V20" s="429"/>
      <c r="W20" s="429"/>
      <c r="X20" s="429">
        <v>6073.26</v>
      </c>
    </row>
    <row r="21" spans="1:26" x14ac:dyDescent="0.35">
      <c r="A21" s="11" t="s">
        <v>347</v>
      </c>
      <c r="B21" s="11" t="s">
        <v>354</v>
      </c>
      <c r="C21" s="11" t="s">
        <v>355</v>
      </c>
      <c r="D21" s="11" t="s">
        <v>309</v>
      </c>
      <c r="E21" s="11" t="s">
        <v>164</v>
      </c>
      <c r="F21" s="11" t="s">
        <v>131</v>
      </c>
      <c r="G21" s="209">
        <v>1757.5</v>
      </c>
      <c r="H21" s="207">
        <f t="shared" si="0"/>
        <v>5</v>
      </c>
      <c r="K21" s="5" t="s">
        <v>358</v>
      </c>
      <c r="L21" s="429">
        <v>1686.58</v>
      </c>
      <c r="M21" s="429">
        <v>1686.58</v>
      </c>
      <c r="N21" s="429">
        <v>1686.58</v>
      </c>
      <c r="O21" s="429">
        <v>1686.58</v>
      </c>
      <c r="P21" s="429">
        <v>1686.58</v>
      </c>
      <c r="Q21" s="429">
        <v>1686.58</v>
      </c>
      <c r="R21" s="429">
        <v>1686.58</v>
      </c>
      <c r="S21" s="429">
        <v>1686.58</v>
      </c>
      <c r="T21" s="429">
        <v>1686.58</v>
      </c>
      <c r="U21" s="429">
        <v>1686.58</v>
      </c>
      <c r="V21" s="429">
        <v>1686.58</v>
      </c>
      <c r="W21" s="429">
        <v>1686.58</v>
      </c>
      <c r="X21" s="429">
        <v>20238.96</v>
      </c>
    </row>
    <row r="22" spans="1:26" x14ac:dyDescent="0.35">
      <c r="A22" s="11" t="s">
        <v>347</v>
      </c>
      <c r="B22" s="11" t="s">
        <v>354</v>
      </c>
      <c r="C22" s="11" t="s">
        <v>355</v>
      </c>
      <c r="D22" s="11" t="s">
        <v>310</v>
      </c>
      <c r="E22" s="11" t="s">
        <v>164</v>
      </c>
      <c r="F22" s="11" t="s">
        <v>131</v>
      </c>
      <c r="G22" s="209">
        <v>1757.5</v>
      </c>
      <c r="H22" s="207">
        <f t="shared" si="0"/>
        <v>6</v>
      </c>
      <c r="K22" s="428" t="s">
        <v>359</v>
      </c>
      <c r="L22" s="429">
        <v>1686.58</v>
      </c>
      <c r="M22" s="429">
        <v>1686.58</v>
      </c>
      <c r="N22" s="429">
        <v>1686.58</v>
      </c>
      <c r="O22" s="429">
        <v>1686.58</v>
      </c>
      <c r="P22" s="429">
        <v>1686.58</v>
      </c>
      <c r="Q22" s="429">
        <v>1686.58</v>
      </c>
      <c r="R22" s="429">
        <v>1686.58</v>
      </c>
      <c r="S22" s="429">
        <v>1686.58</v>
      </c>
      <c r="T22" s="429">
        <v>1686.58</v>
      </c>
      <c r="U22" s="429">
        <v>1686.58</v>
      </c>
      <c r="V22" s="429">
        <v>1686.58</v>
      </c>
      <c r="W22" s="429">
        <v>1686.58</v>
      </c>
      <c r="X22" s="429">
        <v>20238.96</v>
      </c>
    </row>
    <row r="23" spans="1:26" x14ac:dyDescent="0.35">
      <c r="A23" s="11" t="s">
        <v>347</v>
      </c>
      <c r="B23" s="11" t="s">
        <v>354</v>
      </c>
      <c r="C23" s="11" t="s">
        <v>355</v>
      </c>
      <c r="D23" s="11" t="s">
        <v>311</v>
      </c>
      <c r="E23" s="11" t="s">
        <v>164</v>
      </c>
      <c r="F23" s="11" t="s">
        <v>131</v>
      </c>
      <c r="G23" s="209">
        <v>1757.5</v>
      </c>
      <c r="H23" s="207">
        <f t="shared" si="0"/>
        <v>7</v>
      </c>
      <c r="K23" s="5" t="s">
        <v>360</v>
      </c>
      <c r="L23" s="429">
        <v>1802.63</v>
      </c>
      <c r="M23" s="429">
        <v>1802.63</v>
      </c>
      <c r="N23" s="429">
        <v>1802.63</v>
      </c>
      <c r="O23" s="429">
        <v>1802.63</v>
      </c>
      <c r="P23" s="429">
        <v>1802.63</v>
      </c>
      <c r="Q23" s="429">
        <v>1802.63</v>
      </c>
      <c r="R23" s="429"/>
      <c r="S23" s="429"/>
      <c r="T23" s="429"/>
      <c r="U23" s="429"/>
      <c r="V23" s="429"/>
      <c r="W23" s="429"/>
      <c r="X23" s="429">
        <v>10815.780000000002</v>
      </c>
    </row>
    <row r="24" spans="1:26" x14ac:dyDescent="0.35">
      <c r="A24" s="11" t="s">
        <v>347</v>
      </c>
      <c r="B24" s="11" t="s">
        <v>354</v>
      </c>
      <c r="C24" s="11" t="s">
        <v>355</v>
      </c>
      <c r="D24" s="11" t="s">
        <v>312</v>
      </c>
      <c r="E24" s="11" t="s">
        <v>164</v>
      </c>
      <c r="F24" s="11" t="s">
        <v>131</v>
      </c>
      <c r="G24" s="209">
        <v>1757.5</v>
      </c>
      <c r="H24" s="207">
        <f t="shared" si="0"/>
        <v>8</v>
      </c>
      <c r="K24" s="428" t="s">
        <v>361</v>
      </c>
      <c r="L24" s="429">
        <v>1802.63</v>
      </c>
      <c r="M24" s="429">
        <v>1802.63</v>
      </c>
      <c r="N24" s="429">
        <v>1802.63</v>
      </c>
      <c r="O24" s="429">
        <v>1802.63</v>
      </c>
      <c r="P24" s="429">
        <v>1802.63</v>
      </c>
      <c r="Q24" s="429">
        <v>1802.63</v>
      </c>
      <c r="R24" s="429"/>
      <c r="S24" s="429"/>
      <c r="T24" s="429"/>
      <c r="U24" s="429"/>
      <c r="V24" s="429"/>
      <c r="W24" s="429"/>
      <c r="X24" s="429">
        <v>10815.780000000002</v>
      </c>
    </row>
    <row r="25" spans="1:26" x14ac:dyDescent="0.35">
      <c r="A25" s="11" t="s">
        <v>347</v>
      </c>
      <c r="B25" s="11" t="s">
        <v>354</v>
      </c>
      <c r="C25" s="11" t="s">
        <v>355</v>
      </c>
      <c r="D25" s="11" t="s">
        <v>313</v>
      </c>
      <c r="E25" s="11" t="s">
        <v>164</v>
      </c>
      <c r="F25" s="11" t="s">
        <v>131</v>
      </c>
      <c r="G25" s="209">
        <v>1757.5</v>
      </c>
      <c r="H25" s="207">
        <f t="shared" si="0"/>
        <v>9</v>
      </c>
      <c r="K25" s="5" t="s">
        <v>362</v>
      </c>
      <c r="L25" s="429">
        <v>1020</v>
      </c>
      <c r="M25" s="429">
        <v>1020</v>
      </c>
      <c r="N25" s="429">
        <v>1020</v>
      </c>
      <c r="O25" s="429">
        <v>1020</v>
      </c>
      <c r="P25" s="429"/>
      <c r="Q25" s="429"/>
      <c r="R25" s="429"/>
      <c r="S25" s="429"/>
      <c r="T25" s="429"/>
      <c r="U25" s="429"/>
      <c r="V25" s="429"/>
      <c r="W25" s="429"/>
      <c r="X25" s="429">
        <v>4080</v>
      </c>
    </row>
    <row r="26" spans="1:26" s="88" customFormat="1" x14ac:dyDescent="0.35">
      <c r="A26" s="11" t="s">
        <v>347</v>
      </c>
      <c r="B26" s="11" t="s">
        <v>356</v>
      </c>
      <c r="C26" s="11" t="s">
        <v>357</v>
      </c>
      <c r="D26" s="11" t="s">
        <v>305</v>
      </c>
      <c r="E26" s="11" t="s">
        <v>164</v>
      </c>
      <c r="F26" s="11" t="s">
        <v>131</v>
      </c>
      <c r="G26" s="209">
        <v>2024.42</v>
      </c>
      <c r="H26" s="207">
        <f t="shared" ref="H26:H37" si="1">IF(D26="",0,MONTH(D26))</f>
        <v>1</v>
      </c>
      <c r="K26" s="428" t="s">
        <v>363</v>
      </c>
      <c r="L26" s="429">
        <v>1020</v>
      </c>
      <c r="M26" s="429">
        <v>1020</v>
      </c>
      <c r="N26" s="429">
        <v>1020</v>
      </c>
      <c r="O26" s="429">
        <v>1020</v>
      </c>
      <c r="P26" s="429"/>
      <c r="Q26" s="429"/>
      <c r="R26" s="429"/>
      <c r="S26" s="429"/>
      <c r="T26" s="429"/>
      <c r="U26" s="429"/>
      <c r="V26" s="429"/>
      <c r="W26" s="429"/>
      <c r="X26" s="429">
        <v>4080</v>
      </c>
      <c r="Y26" s="7"/>
      <c r="Z26" s="7"/>
    </row>
    <row r="27" spans="1:26" s="88" customFormat="1" x14ac:dyDescent="0.35">
      <c r="A27" s="11" t="s">
        <v>347</v>
      </c>
      <c r="B27" s="11" t="s">
        <v>356</v>
      </c>
      <c r="C27" s="11" t="s">
        <v>357</v>
      </c>
      <c r="D27" s="11" t="s">
        <v>306</v>
      </c>
      <c r="E27" s="11" t="s">
        <v>164</v>
      </c>
      <c r="F27" s="11" t="s">
        <v>131</v>
      </c>
      <c r="G27" s="209">
        <v>2024.42</v>
      </c>
      <c r="H27" s="207">
        <f t="shared" si="1"/>
        <v>2</v>
      </c>
      <c r="K27" s="5" t="s">
        <v>364</v>
      </c>
      <c r="L27" s="429">
        <v>1025</v>
      </c>
      <c r="M27" s="429">
        <v>1025</v>
      </c>
      <c r="N27" s="429">
        <v>1025</v>
      </c>
      <c r="O27" s="429">
        <v>1025</v>
      </c>
      <c r="P27" s="429"/>
      <c r="Q27" s="429"/>
      <c r="R27" s="429"/>
      <c r="S27" s="429"/>
      <c r="T27" s="429"/>
      <c r="U27" s="429"/>
      <c r="V27" s="429"/>
      <c r="W27" s="429"/>
      <c r="X27" s="429">
        <v>4100</v>
      </c>
      <c r="Y27" s="7"/>
      <c r="Z27" s="7"/>
    </row>
    <row r="28" spans="1:26" s="88" customFormat="1" x14ac:dyDescent="0.35">
      <c r="A28" s="11" t="s">
        <v>347</v>
      </c>
      <c r="B28" s="11" t="s">
        <v>356</v>
      </c>
      <c r="C28" s="11" t="s">
        <v>357</v>
      </c>
      <c r="D28" s="11" t="s">
        <v>307</v>
      </c>
      <c r="E28" s="11" t="s">
        <v>164</v>
      </c>
      <c r="F28" s="11" t="s">
        <v>131</v>
      </c>
      <c r="G28" s="209">
        <v>2024.42</v>
      </c>
      <c r="H28" s="207">
        <f t="shared" si="1"/>
        <v>3</v>
      </c>
      <c r="K28" s="428" t="s">
        <v>365</v>
      </c>
      <c r="L28" s="429">
        <v>1025</v>
      </c>
      <c r="M28" s="429">
        <v>1025</v>
      </c>
      <c r="N28" s="429">
        <v>1025</v>
      </c>
      <c r="O28" s="429">
        <v>1025</v>
      </c>
      <c r="P28" s="429"/>
      <c r="Q28" s="429"/>
      <c r="R28" s="429"/>
      <c r="S28" s="429"/>
      <c r="T28" s="429"/>
      <c r="U28" s="429"/>
      <c r="V28" s="429"/>
      <c r="W28" s="429"/>
      <c r="X28" s="429">
        <v>4100</v>
      </c>
      <c r="Y28" s="7"/>
      <c r="Z28" s="7"/>
    </row>
    <row r="29" spans="1:26" s="88" customFormat="1" x14ac:dyDescent="0.35">
      <c r="A29" s="11" t="s">
        <v>347</v>
      </c>
      <c r="B29" s="11" t="s">
        <v>358</v>
      </c>
      <c r="C29" s="11" t="s">
        <v>359</v>
      </c>
      <c r="D29" s="11" t="s">
        <v>305</v>
      </c>
      <c r="E29" s="11" t="s">
        <v>164</v>
      </c>
      <c r="F29" s="11" t="s">
        <v>131</v>
      </c>
      <c r="G29" s="209">
        <v>1686.58</v>
      </c>
      <c r="H29" s="207">
        <f t="shared" si="1"/>
        <v>1</v>
      </c>
      <c r="K29" s="5" t="s">
        <v>366</v>
      </c>
      <c r="L29" s="429">
        <v>4193.33</v>
      </c>
      <c r="M29" s="429">
        <v>4193.33</v>
      </c>
      <c r="N29" s="429">
        <v>4193.33</v>
      </c>
      <c r="O29" s="429">
        <v>4193.33</v>
      </c>
      <c r="P29" s="429">
        <v>4193.33</v>
      </c>
      <c r="Q29" s="429"/>
      <c r="R29" s="429"/>
      <c r="S29" s="429"/>
      <c r="T29" s="429"/>
      <c r="U29" s="429"/>
      <c r="V29" s="429"/>
      <c r="W29" s="429"/>
      <c r="X29" s="429">
        <v>20966.650000000001</v>
      </c>
      <c r="Y29" s="7"/>
      <c r="Z29" s="7"/>
    </row>
    <row r="30" spans="1:26" s="88" customFormat="1" x14ac:dyDescent="0.35">
      <c r="A30" s="11" t="s">
        <v>347</v>
      </c>
      <c r="B30" s="11" t="s">
        <v>358</v>
      </c>
      <c r="C30" s="11" t="s">
        <v>359</v>
      </c>
      <c r="D30" s="11" t="s">
        <v>306</v>
      </c>
      <c r="E30" s="11" t="s">
        <v>164</v>
      </c>
      <c r="F30" s="11" t="s">
        <v>131</v>
      </c>
      <c r="G30" s="209">
        <v>1686.58</v>
      </c>
      <c r="H30" s="207">
        <f t="shared" si="1"/>
        <v>2</v>
      </c>
      <c r="K30" s="428" t="s">
        <v>367</v>
      </c>
      <c r="L30" s="429">
        <v>4193.33</v>
      </c>
      <c r="M30" s="429">
        <v>4193.33</v>
      </c>
      <c r="N30" s="429">
        <v>4193.33</v>
      </c>
      <c r="O30" s="429">
        <v>4193.33</v>
      </c>
      <c r="P30" s="429">
        <v>4193.33</v>
      </c>
      <c r="Q30" s="429"/>
      <c r="R30" s="429"/>
      <c r="S30" s="429"/>
      <c r="T30" s="429"/>
      <c r="U30" s="429"/>
      <c r="V30" s="429"/>
      <c r="W30" s="429"/>
      <c r="X30" s="429">
        <v>20966.650000000001</v>
      </c>
      <c r="Y30" s="7"/>
      <c r="Z30" s="7"/>
    </row>
    <row r="31" spans="1:26" s="88" customFormat="1" x14ac:dyDescent="0.35">
      <c r="A31" s="11" t="s">
        <v>347</v>
      </c>
      <c r="B31" s="11" t="s">
        <v>358</v>
      </c>
      <c r="C31" s="11" t="s">
        <v>359</v>
      </c>
      <c r="D31" s="11" t="s">
        <v>307</v>
      </c>
      <c r="E31" s="11" t="s">
        <v>164</v>
      </c>
      <c r="F31" s="11" t="s">
        <v>131</v>
      </c>
      <c r="G31" s="209">
        <v>1686.58</v>
      </c>
      <c r="H31" s="207">
        <f t="shared" si="1"/>
        <v>3</v>
      </c>
      <c r="K31" s="5" t="s">
        <v>368</v>
      </c>
      <c r="L31" s="429">
        <v>1216.25</v>
      </c>
      <c r="M31" s="429">
        <v>1216.25</v>
      </c>
      <c r="N31" s="429">
        <v>1216.25</v>
      </c>
      <c r="O31" s="429">
        <v>1216.25</v>
      </c>
      <c r="P31" s="429">
        <v>1216.25</v>
      </c>
      <c r="Q31" s="429">
        <v>1216.25</v>
      </c>
      <c r="R31" s="429">
        <v>1216.25</v>
      </c>
      <c r="S31" s="429"/>
      <c r="T31" s="429"/>
      <c r="U31" s="429"/>
      <c r="V31" s="429"/>
      <c r="W31" s="429"/>
      <c r="X31" s="429">
        <v>8513.75</v>
      </c>
      <c r="Y31" s="7"/>
      <c r="Z31" s="7"/>
    </row>
    <row r="32" spans="1:26" s="88" customFormat="1" x14ac:dyDescent="0.35">
      <c r="A32" s="11" t="s">
        <v>347</v>
      </c>
      <c r="B32" s="11" t="s">
        <v>358</v>
      </c>
      <c r="C32" s="11" t="s">
        <v>359</v>
      </c>
      <c r="D32" s="11" t="s">
        <v>308</v>
      </c>
      <c r="E32" s="11" t="s">
        <v>164</v>
      </c>
      <c r="F32" s="11" t="s">
        <v>131</v>
      </c>
      <c r="G32" s="209">
        <v>1686.58</v>
      </c>
      <c r="H32" s="207">
        <f t="shared" si="1"/>
        <v>4</v>
      </c>
      <c r="K32" s="428" t="s">
        <v>369</v>
      </c>
      <c r="L32" s="429">
        <v>1216.25</v>
      </c>
      <c r="M32" s="429">
        <v>1216.25</v>
      </c>
      <c r="N32" s="429">
        <v>1216.25</v>
      </c>
      <c r="O32" s="429">
        <v>1216.25</v>
      </c>
      <c r="P32" s="429">
        <v>1216.25</v>
      </c>
      <c r="Q32" s="429">
        <v>1216.25</v>
      </c>
      <c r="R32" s="429">
        <v>1216.25</v>
      </c>
      <c r="S32" s="429"/>
      <c r="T32" s="429"/>
      <c r="U32" s="429"/>
      <c r="V32" s="429"/>
      <c r="W32" s="429"/>
      <c r="X32" s="429">
        <v>8513.75</v>
      </c>
      <c r="Y32" s="7"/>
      <c r="Z32" s="7"/>
    </row>
    <row r="33" spans="1:26" s="88" customFormat="1" x14ac:dyDescent="0.35">
      <c r="A33" s="11" t="s">
        <v>347</v>
      </c>
      <c r="B33" s="11" t="s">
        <v>358</v>
      </c>
      <c r="C33" s="11" t="s">
        <v>359</v>
      </c>
      <c r="D33" s="11" t="s">
        <v>309</v>
      </c>
      <c r="E33" s="11" t="s">
        <v>164</v>
      </c>
      <c r="F33" s="11" t="s">
        <v>131</v>
      </c>
      <c r="G33" s="209">
        <v>1686.58</v>
      </c>
      <c r="H33" s="207">
        <f t="shared" si="1"/>
        <v>5</v>
      </c>
      <c r="K33" s="5" t="s">
        <v>370</v>
      </c>
      <c r="L33" s="429">
        <v>1812.92</v>
      </c>
      <c r="M33" s="429">
        <v>1812.92</v>
      </c>
      <c r="N33" s="429">
        <v>1812.92</v>
      </c>
      <c r="O33" s="429">
        <v>1812.92</v>
      </c>
      <c r="P33" s="429">
        <v>1812.92</v>
      </c>
      <c r="Q33" s="429"/>
      <c r="R33" s="429"/>
      <c r="S33" s="429"/>
      <c r="T33" s="429"/>
      <c r="U33" s="429"/>
      <c r="V33" s="429"/>
      <c r="W33" s="429"/>
      <c r="X33" s="429">
        <v>9064.6</v>
      </c>
      <c r="Y33" s="7"/>
      <c r="Z33" s="7"/>
    </row>
    <row r="34" spans="1:26" s="88" customFormat="1" x14ac:dyDescent="0.35">
      <c r="A34" s="11" t="s">
        <v>347</v>
      </c>
      <c r="B34" s="11" t="s">
        <v>358</v>
      </c>
      <c r="C34" s="11" t="s">
        <v>359</v>
      </c>
      <c r="D34" s="11" t="s">
        <v>310</v>
      </c>
      <c r="E34" s="11" t="s">
        <v>164</v>
      </c>
      <c r="F34" s="11" t="s">
        <v>131</v>
      </c>
      <c r="G34" s="209">
        <v>1686.58</v>
      </c>
      <c r="H34" s="207">
        <f t="shared" si="1"/>
        <v>6</v>
      </c>
      <c r="K34" s="428" t="s">
        <v>371</v>
      </c>
      <c r="L34" s="429">
        <v>1812.92</v>
      </c>
      <c r="M34" s="429">
        <v>1812.92</v>
      </c>
      <c r="N34" s="429">
        <v>1812.92</v>
      </c>
      <c r="O34" s="429">
        <v>1812.92</v>
      </c>
      <c r="P34" s="429">
        <v>1812.92</v>
      </c>
      <c r="Q34" s="429"/>
      <c r="R34" s="429"/>
      <c r="S34" s="429"/>
      <c r="T34" s="429"/>
      <c r="U34" s="429"/>
      <c r="V34" s="429"/>
      <c r="W34" s="429"/>
      <c r="X34" s="429">
        <v>9064.6</v>
      </c>
      <c r="Y34" s="7"/>
      <c r="Z34" s="7"/>
    </row>
    <row r="35" spans="1:26" s="88" customFormat="1" x14ac:dyDescent="0.35">
      <c r="A35" s="11" t="s">
        <v>347</v>
      </c>
      <c r="B35" s="11" t="s">
        <v>358</v>
      </c>
      <c r="C35" s="11" t="s">
        <v>359</v>
      </c>
      <c r="D35" s="11" t="s">
        <v>311</v>
      </c>
      <c r="E35" s="11" t="s">
        <v>164</v>
      </c>
      <c r="F35" s="11" t="s">
        <v>131</v>
      </c>
      <c r="G35" s="209">
        <v>1686.58</v>
      </c>
      <c r="H35" s="207">
        <f t="shared" si="1"/>
        <v>7</v>
      </c>
      <c r="K35" s="2" t="s">
        <v>372</v>
      </c>
      <c r="L35" s="429">
        <v>30972.100000000006</v>
      </c>
      <c r="M35" s="429">
        <v>30972.100000000006</v>
      </c>
      <c r="N35" s="429">
        <v>30972.100000000006</v>
      </c>
      <c r="O35" s="429">
        <v>26791.430000000004</v>
      </c>
      <c r="P35" s="429">
        <v>25362.260000000002</v>
      </c>
      <c r="Q35" s="429">
        <v>23467.010000000002</v>
      </c>
      <c r="R35" s="429">
        <v>23467.010000000002</v>
      </c>
      <c r="S35" s="429">
        <v>23485.55</v>
      </c>
      <c r="T35" s="429">
        <v>23772.11</v>
      </c>
      <c r="U35" s="429">
        <v>23772.11</v>
      </c>
      <c r="V35" s="429">
        <v>23772.11</v>
      </c>
      <c r="W35" s="429">
        <v>23772.11</v>
      </c>
      <c r="X35" s="429">
        <v>310578</v>
      </c>
      <c r="Y35" s="7"/>
      <c r="Z35" s="7"/>
    </row>
    <row r="36" spans="1:26" s="88" customFormat="1" x14ac:dyDescent="0.35">
      <c r="A36" s="11" t="s">
        <v>347</v>
      </c>
      <c r="B36" s="11" t="s">
        <v>358</v>
      </c>
      <c r="C36" s="11" t="s">
        <v>359</v>
      </c>
      <c r="D36" s="11" t="s">
        <v>312</v>
      </c>
      <c r="E36" s="11" t="s">
        <v>164</v>
      </c>
      <c r="F36" s="11" t="s">
        <v>131</v>
      </c>
      <c r="G36" s="209">
        <v>1686.58</v>
      </c>
      <c r="H36" s="207">
        <f t="shared" si="1"/>
        <v>8</v>
      </c>
      <c r="K36" s="5" t="s">
        <v>373</v>
      </c>
      <c r="L36" s="429">
        <v>1853.54</v>
      </c>
      <c r="M36" s="429">
        <v>1853.54</v>
      </c>
      <c r="N36" s="429">
        <v>1853.54</v>
      </c>
      <c r="O36" s="429">
        <v>1853.54</v>
      </c>
      <c r="P36" s="429">
        <v>1853.54</v>
      </c>
      <c r="Q36" s="429">
        <v>1853.54</v>
      </c>
      <c r="R36" s="429">
        <v>1853.54</v>
      </c>
      <c r="S36" s="429">
        <v>1853.54</v>
      </c>
      <c r="T36" s="429">
        <v>1853.54</v>
      </c>
      <c r="U36" s="429">
        <v>1853.54</v>
      </c>
      <c r="V36" s="429">
        <v>1853.54</v>
      </c>
      <c r="W36" s="429">
        <v>1853.54</v>
      </c>
      <c r="X36" s="429">
        <v>22242.480000000007</v>
      </c>
      <c r="Y36" s="7"/>
      <c r="Z36" s="7"/>
    </row>
    <row r="37" spans="1:26" s="88" customFormat="1" x14ac:dyDescent="0.35">
      <c r="A37" s="11" t="s">
        <v>347</v>
      </c>
      <c r="B37" s="11" t="s">
        <v>358</v>
      </c>
      <c r="C37" s="11" t="s">
        <v>359</v>
      </c>
      <c r="D37" s="11" t="s">
        <v>313</v>
      </c>
      <c r="E37" s="11" t="s">
        <v>164</v>
      </c>
      <c r="F37" s="11" t="s">
        <v>131</v>
      </c>
      <c r="G37" s="209">
        <v>1686.58</v>
      </c>
      <c r="H37" s="207">
        <f t="shared" si="1"/>
        <v>9</v>
      </c>
      <c r="K37" s="428" t="s">
        <v>374</v>
      </c>
      <c r="L37" s="429">
        <v>1853.54</v>
      </c>
      <c r="M37" s="429">
        <v>1853.54</v>
      </c>
      <c r="N37" s="429">
        <v>1853.54</v>
      </c>
      <c r="O37" s="429">
        <v>1853.54</v>
      </c>
      <c r="P37" s="429">
        <v>1853.54</v>
      </c>
      <c r="Q37" s="429">
        <v>1853.54</v>
      </c>
      <c r="R37" s="429">
        <v>1853.54</v>
      </c>
      <c r="S37" s="429">
        <v>1853.54</v>
      </c>
      <c r="T37" s="429">
        <v>1853.54</v>
      </c>
      <c r="U37" s="429">
        <v>1853.54</v>
      </c>
      <c r="V37" s="429">
        <v>1853.54</v>
      </c>
      <c r="W37" s="429">
        <v>1853.54</v>
      </c>
      <c r="X37" s="429">
        <v>22242.480000000007</v>
      </c>
      <c r="Y37" s="7"/>
      <c r="Z37" s="7"/>
    </row>
    <row r="38" spans="1:26" x14ac:dyDescent="0.35">
      <c r="A38" s="11" t="s">
        <v>347</v>
      </c>
      <c r="B38" s="11" t="s">
        <v>358</v>
      </c>
      <c r="C38" s="11" t="s">
        <v>359</v>
      </c>
      <c r="D38" s="11" t="s">
        <v>314</v>
      </c>
      <c r="E38" s="11" t="s">
        <v>164</v>
      </c>
      <c r="F38" s="11" t="s">
        <v>131</v>
      </c>
      <c r="G38" s="209">
        <v>1686.58</v>
      </c>
      <c r="H38" s="207">
        <f t="shared" si="0"/>
        <v>10</v>
      </c>
      <c r="K38" s="5" t="s">
        <v>375</v>
      </c>
      <c r="L38" s="429">
        <v>1895.25</v>
      </c>
      <c r="M38" s="429">
        <v>1895.25</v>
      </c>
      <c r="N38" s="429">
        <v>1895.25</v>
      </c>
      <c r="O38" s="429">
        <v>1895.25</v>
      </c>
      <c r="P38" s="429">
        <v>1895.25</v>
      </c>
      <c r="Q38" s="429"/>
      <c r="R38" s="429"/>
      <c r="S38" s="429"/>
      <c r="T38" s="429"/>
      <c r="U38" s="429"/>
      <c r="V38" s="429"/>
      <c r="W38" s="429"/>
      <c r="X38" s="429">
        <v>9476.25</v>
      </c>
    </row>
    <row r="39" spans="1:26" x14ac:dyDescent="0.35">
      <c r="A39" s="11" t="s">
        <v>347</v>
      </c>
      <c r="B39" s="11" t="s">
        <v>358</v>
      </c>
      <c r="C39" s="11" t="s">
        <v>359</v>
      </c>
      <c r="D39" s="11" t="s">
        <v>315</v>
      </c>
      <c r="E39" s="11" t="s">
        <v>164</v>
      </c>
      <c r="F39" s="11" t="s">
        <v>131</v>
      </c>
      <c r="G39" s="209">
        <v>1686.58</v>
      </c>
      <c r="H39" s="207">
        <f t="shared" si="0"/>
        <v>11</v>
      </c>
      <c r="K39" s="428" t="s">
        <v>376</v>
      </c>
      <c r="L39" s="429">
        <v>1895.25</v>
      </c>
      <c r="M39" s="429">
        <v>1895.25</v>
      </c>
      <c r="N39" s="429">
        <v>1895.25</v>
      </c>
      <c r="O39" s="429">
        <v>1895.25</v>
      </c>
      <c r="P39" s="429">
        <v>1895.25</v>
      </c>
      <c r="Q39" s="429"/>
      <c r="R39" s="429"/>
      <c r="S39" s="429"/>
      <c r="T39" s="429"/>
      <c r="U39" s="429"/>
      <c r="V39" s="429"/>
      <c r="W39" s="429"/>
      <c r="X39" s="429">
        <v>9476.25</v>
      </c>
    </row>
    <row r="40" spans="1:26" x14ac:dyDescent="0.35">
      <c r="A40" s="11" t="s">
        <v>347</v>
      </c>
      <c r="B40" s="11" t="s">
        <v>358</v>
      </c>
      <c r="C40" s="11" t="s">
        <v>359</v>
      </c>
      <c r="D40" s="11" t="s">
        <v>316</v>
      </c>
      <c r="E40" s="11" t="s">
        <v>164</v>
      </c>
      <c r="F40" s="11" t="s">
        <v>131</v>
      </c>
      <c r="G40" s="209">
        <v>1686.58</v>
      </c>
      <c r="H40" s="207">
        <f t="shared" si="0"/>
        <v>12</v>
      </c>
      <c r="K40" s="5" t="s">
        <v>377</v>
      </c>
      <c r="L40" s="429">
        <v>4134.17</v>
      </c>
      <c r="M40" s="429">
        <v>4134.17</v>
      </c>
      <c r="N40" s="429">
        <v>4134.17</v>
      </c>
      <c r="O40" s="429">
        <v>4134.17</v>
      </c>
      <c r="P40" s="429">
        <v>4134.17</v>
      </c>
      <c r="Q40" s="429">
        <v>4134.17</v>
      </c>
      <c r="R40" s="429">
        <v>4134.17</v>
      </c>
      <c r="S40" s="429">
        <v>4134.17</v>
      </c>
      <c r="T40" s="429">
        <v>4134.17</v>
      </c>
      <c r="U40" s="429">
        <v>4134.17</v>
      </c>
      <c r="V40" s="429">
        <v>4134.17</v>
      </c>
      <c r="W40" s="429">
        <v>4134.17</v>
      </c>
      <c r="X40" s="429">
        <v>49610.039999999986</v>
      </c>
    </row>
    <row r="41" spans="1:26" x14ac:dyDescent="0.35">
      <c r="A41" s="11" t="s">
        <v>347</v>
      </c>
      <c r="B41" s="11" t="s">
        <v>360</v>
      </c>
      <c r="C41" s="11" t="s">
        <v>361</v>
      </c>
      <c r="D41" s="11" t="s">
        <v>305</v>
      </c>
      <c r="E41" s="11" t="s">
        <v>164</v>
      </c>
      <c r="F41" s="11" t="s">
        <v>131</v>
      </c>
      <c r="G41" s="209">
        <v>1802.63</v>
      </c>
      <c r="H41" s="207">
        <f t="shared" si="0"/>
        <v>1</v>
      </c>
      <c r="K41" s="428">
        <v>9</v>
      </c>
      <c r="L41" s="429"/>
      <c r="M41" s="429"/>
      <c r="N41" s="429"/>
      <c r="O41" s="429"/>
      <c r="P41" s="429">
        <v>4134.17</v>
      </c>
      <c r="Q41" s="429"/>
      <c r="R41" s="429"/>
      <c r="S41" s="429"/>
      <c r="T41" s="429"/>
      <c r="U41" s="429"/>
      <c r="V41" s="429"/>
      <c r="W41" s="429"/>
      <c r="X41" s="429">
        <v>4134.17</v>
      </c>
    </row>
    <row r="42" spans="1:26" x14ac:dyDescent="0.35">
      <c r="A42" s="11" t="s">
        <v>347</v>
      </c>
      <c r="B42" s="11" t="s">
        <v>360</v>
      </c>
      <c r="C42" s="11" t="s">
        <v>361</v>
      </c>
      <c r="D42" s="11" t="s">
        <v>306</v>
      </c>
      <c r="E42" s="11" t="s">
        <v>164</v>
      </c>
      <c r="F42" s="11" t="s">
        <v>131</v>
      </c>
      <c r="G42" s="209">
        <v>1802.63</v>
      </c>
      <c r="H42" s="207">
        <f t="shared" si="0"/>
        <v>2</v>
      </c>
      <c r="K42" s="428" t="s">
        <v>378</v>
      </c>
      <c r="L42" s="429">
        <v>4134.17</v>
      </c>
      <c r="M42" s="429">
        <v>4134.17</v>
      </c>
      <c r="N42" s="429">
        <v>4134.17</v>
      </c>
      <c r="O42" s="429">
        <v>4134.17</v>
      </c>
      <c r="P42" s="429"/>
      <c r="Q42" s="429">
        <v>4134.17</v>
      </c>
      <c r="R42" s="429">
        <v>4134.17</v>
      </c>
      <c r="S42" s="429">
        <v>4134.17</v>
      </c>
      <c r="T42" s="429">
        <v>4134.17</v>
      </c>
      <c r="U42" s="429">
        <v>4134.17</v>
      </c>
      <c r="V42" s="429">
        <v>4134.17</v>
      </c>
      <c r="W42" s="429">
        <v>4134.17</v>
      </c>
      <c r="X42" s="429">
        <v>45475.869999999988</v>
      </c>
    </row>
    <row r="43" spans="1:26" x14ac:dyDescent="0.35">
      <c r="A43" s="11" t="s">
        <v>347</v>
      </c>
      <c r="B43" s="11" t="s">
        <v>360</v>
      </c>
      <c r="C43" s="11" t="s">
        <v>361</v>
      </c>
      <c r="D43" s="11" t="s">
        <v>307</v>
      </c>
      <c r="E43" s="11" t="s">
        <v>164</v>
      </c>
      <c r="F43" s="11" t="s">
        <v>131</v>
      </c>
      <c r="G43" s="209">
        <v>1802.63</v>
      </c>
      <c r="H43" s="207">
        <f t="shared" si="0"/>
        <v>3</v>
      </c>
      <c r="K43" s="5" t="s">
        <v>379</v>
      </c>
      <c r="L43" s="429">
        <v>1429.17</v>
      </c>
      <c r="M43" s="429">
        <v>1429.17</v>
      </c>
      <c r="N43" s="429">
        <v>1429.17</v>
      </c>
      <c r="O43" s="429">
        <v>1429.17</v>
      </c>
      <c r="P43" s="429"/>
      <c r="Q43" s="429"/>
      <c r="R43" s="429"/>
      <c r="S43" s="429"/>
      <c r="T43" s="429"/>
      <c r="U43" s="429"/>
      <c r="V43" s="429"/>
      <c r="W43" s="429"/>
      <c r="X43" s="429">
        <v>5716.68</v>
      </c>
    </row>
    <row r="44" spans="1:26" x14ac:dyDescent="0.35">
      <c r="A44" s="11" t="s">
        <v>347</v>
      </c>
      <c r="B44" s="11" t="s">
        <v>360</v>
      </c>
      <c r="C44" s="11" t="s">
        <v>361</v>
      </c>
      <c r="D44" s="11" t="s">
        <v>308</v>
      </c>
      <c r="E44" s="11" t="s">
        <v>164</v>
      </c>
      <c r="F44" s="11" t="s">
        <v>131</v>
      </c>
      <c r="G44" s="209">
        <v>1802.63</v>
      </c>
      <c r="H44" s="207">
        <f t="shared" si="0"/>
        <v>4</v>
      </c>
      <c r="K44" s="428" t="s">
        <v>380</v>
      </c>
      <c r="L44" s="429">
        <v>1429.17</v>
      </c>
      <c r="M44" s="429">
        <v>1429.17</v>
      </c>
      <c r="N44" s="429">
        <v>1429.17</v>
      </c>
      <c r="O44" s="429">
        <v>1429.17</v>
      </c>
      <c r="P44" s="429"/>
      <c r="Q44" s="429"/>
      <c r="R44" s="429"/>
      <c r="S44" s="429"/>
      <c r="T44" s="429"/>
      <c r="U44" s="429"/>
      <c r="V44" s="429"/>
      <c r="W44" s="429"/>
      <c r="X44" s="429">
        <v>5716.68</v>
      </c>
    </row>
    <row r="45" spans="1:26" x14ac:dyDescent="0.35">
      <c r="A45" s="11" t="s">
        <v>347</v>
      </c>
      <c r="B45" s="11" t="s">
        <v>360</v>
      </c>
      <c r="C45" s="11" t="s">
        <v>361</v>
      </c>
      <c r="D45" s="11" t="s">
        <v>309</v>
      </c>
      <c r="E45" s="11" t="s">
        <v>164</v>
      </c>
      <c r="F45" s="11" t="s">
        <v>131</v>
      </c>
      <c r="G45" s="209">
        <v>1802.63</v>
      </c>
      <c r="H45" s="207">
        <f t="shared" si="0"/>
        <v>5</v>
      </c>
      <c r="K45" s="5" t="s">
        <v>381</v>
      </c>
      <c r="L45" s="429">
        <v>15943.88</v>
      </c>
      <c r="M45" s="429">
        <v>15943.88</v>
      </c>
      <c r="N45" s="429">
        <v>15943.88</v>
      </c>
      <c r="O45" s="429">
        <v>15943.88</v>
      </c>
      <c r="P45" s="429">
        <v>15943.88</v>
      </c>
      <c r="Q45" s="429">
        <v>15943.88</v>
      </c>
      <c r="R45" s="429">
        <v>15943.88</v>
      </c>
      <c r="S45" s="429">
        <v>15943.88</v>
      </c>
      <c r="T45" s="429">
        <v>16230.44</v>
      </c>
      <c r="U45" s="429">
        <v>16230.44</v>
      </c>
      <c r="V45" s="429">
        <v>16230.44</v>
      </c>
      <c r="W45" s="429">
        <v>16230.44</v>
      </c>
      <c r="X45" s="429">
        <v>192472.80000000002</v>
      </c>
    </row>
    <row r="46" spans="1:26" x14ac:dyDescent="0.35">
      <c r="A46" s="11" t="s">
        <v>347</v>
      </c>
      <c r="B46" s="11" t="s">
        <v>360</v>
      </c>
      <c r="C46" s="11" t="s">
        <v>361</v>
      </c>
      <c r="D46" s="11" t="s">
        <v>310</v>
      </c>
      <c r="E46" s="11" t="s">
        <v>164</v>
      </c>
      <c r="F46" s="11" t="s">
        <v>131</v>
      </c>
      <c r="G46" s="209">
        <v>1802.63</v>
      </c>
      <c r="H46" s="207">
        <f t="shared" si="0"/>
        <v>6</v>
      </c>
      <c r="K46" s="428" t="s">
        <v>382</v>
      </c>
      <c r="L46" s="429">
        <v>15943.88</v>
      </c>
      <c r="M46" s="429">
        <v>15943.88</v>
      </c>
      <c r="N46" s="429">
        <v>15943.88</v>
      </c>
      <c r="O46" s="429">
        <v>15943.88</v>
      </c>
      <c r="P46" s="429">
        <v>15943.88</v>
      </c>
      <c r="Q46" s="429">
        <v>15943.88</v>
      </c>
      <c r="R46" s="429">
        <v>15943.88</v>
      </c>
      <c r="S46" s="429">
        <v>15943.88</v>
      </c>
      <c r="T46" s="429">
        <v>16230.44</v>
      </c>
      <c r="U46" s="429">
        <v>16230.44</v>
      </c>
      <c r="V46" s="429">
        <v>16230.44</v>
      </c>
      <c r="W46" s="429">
        <v>16230.44</v>
      </c>
      <c r="X46" s="429">
        <v>192472.80000000002</v>
      </c>
    </row>
    <row r="47" spans="1:26" x14ac:dyDescent="0.35">
      <c r="A47" s="11" t="s">
        <v>347</v>
      </c>
      <c r="B47" s="11" t="s">
        <v>362</v>
      </c>
      <c r="C47" s="11" t="s">
        <v>363</v>
      </c>
      <c r="D47" s="11" t="s">
        <v>305</v>
      </c>
      <c r="E47" s="11" t="s">
        <v>164</v>
      </c>
      <c r="F47" s="11" t="s">
        <v>131</v>
      </c>
      <c r="G47" s="209">
        <v>1020</v>
      </c>
      <c r="H47" s="207">
        <f t="shared" si="0"/>
        <v>1</v>
      </c>
      <c r="K47" s="5" t="s">
        <v>383</v>
      </c>
      <c r="L47" s="429">
        <v>4203.88</v>
      </c>
      <c r="M47" s="429">
        <v>4203.88</v>
      </c>
      <c r="N47" s="429">
        <v>4203.88</v>
      </c>
      <c r="O47" s="429"/>
      <c r="P47" s="429"/>
      <c r="Q47" s="429"/>
      <c r="R47" s="429"/>
      <c r="S47" s="429"/>
      <c r="T47" s="429"/>
      <c r="U47" s="429"/>
      <c r="V47" s="429"/>
      <c r="W47" s="429"/>
      <c r="X47" s="429">
        <v>12611.64</v>
      </c>
    </row>
    <row r="48" spans="1:26" x14ac:dyDescent="0.35">
      <c r="A48" s="11" t="s">
        <v>347</v>
      </c>
      <c r="B48" s="11" t="s">
        <v>362</v>
      </c>
      <c r="C48" s="11" t="s">
        <v>363</v>
      </c>
      <c r="D48" s="11" t="s">
        <v>306</v>
      </c>
      <c r="E48" s="11" t="s">
        <v>164</v>
      </c>
      <c r="F48" s="11" t="s">
        <v>131</v>
      </c>
      <c r="G48" s="209">
        <v>1020</v>
      </c>
      <c r="H48" s="207">
        <f t="shared" ref="H48:H59" si="2">IF(D48="",0,MONTH(D48))</f>
        <v>2</v>
      </c>
      <c r="K48" s="428" t="s">
        <v>384</v>
      </c>
      <c r="L48" s="429">
        <v>4203.88</v>
      </c>
      <c r="M48" s="429">
        <v>4203.88</v>
      </c>
      <c r="N48" s="429">
        <v>4203.88</v>
      </c>
      <c r="O48" s="429"/>
      <c r="P48" s="429"/>
      <c r="Q48" s="429"/>
      <c r="R48" s="429"/>
      <c r="S48" s="429"/>
      <c r="T48" s="429"/>
      <c r="U48" s="429"/>
      <c r="V48" s="429"/>
      <c r="W48" s="429"/>
      <c r="X48" s="429">
        <v>12611.64</v>
      </c>
    </row>
    <row r="49" spans="1:24" x14ac:dyDescent="0.35">
      <c r="A49" s="11" t="s">
        <v>347</v>
      </c>
      <c r="B49" s="11" t="s">
        <v>362</v>
      </c>
      <c r="C49" s="11" t="s">
        <v>363</v>
      </c>
      <c r="D49" s="11" t="s">
        <v>307</v>
      </c>
      <c r="E49" s="11" t="s">
        <v>164</v>
      </c>
      <c r="F49" s="11" t="s">
        <v>131</v>
      </c>
      <c r="G49" s="209">
        <v>1020</v>
      </c>
      <c r="H49" s="207">
        <f t="shared" si="2"/>
        <v>3</v>
      </c>
      <c r="K49" s="5" t="s">
        <v>385</v>
      </c>
      <c r="L49" s="429">
        <v>789.08</v>
      </c>
      <c r="M49" s="429">
        <v>789.08</v>
      </c>
      <c r="N49" s="429">
        <v>789.08</v>
      </c>
      <c r="O49" s="429">
        <v>812.29</v>
      </c>
      <c r="P49" s="429">
        <v>812.29</v>
      </c>
      <c r="Q49" s="429">
        <v>812.29</v>
      </c>
      <c r="R49" s="429">
        <v>812.29</v>
      </c>
      <c r="S49" s="429">
        <v>812.29</v>
      </c>
      <c r="T49" s="429">
        <v>812.29</v>
      </c>
      <c r="U49" s="429">
        <v>812.29</v>
      </c>
      <c r="V49" s="429">
        <v>812.29</v>
      </c>
      <c r="W49" s="429">
        <v>812.29</v>
      </c>
      <c r="X49" s="429">
        <v>9677.8500000000022</v>
      </c>
    </row>
    <row r="50" spans="1:24" x14ac:dyDescent="0.35">
      <c r="A50" s="11" t="s">
        <v>347</v>
      </c>
      <c r="B50" s="11" t="s">
        <v>362</v>
      </c>
      <c r="C50" s="11" t="s">
        <v>363</v>
      </c>
      <c r="D50" s="11" t="s">
        <v>308</v>
      </c>
      <c r="E50" s="11" t="s">
        <v>164</v>
      </c>
      <c r="F50" s="11" t="s">
        <v>131</v>
      </c>
      <c r="G50" s="209">
        <v>1020</v>
      </c>
      <c r="H50" s="207">
        <f t="shared" si="2"/>
        <v>4</v>
      </c>
      <c r="K50" s="428" t="s">
        <v>386</v>
      </c>
      <c r="L50" s="429">
        <v>789.08</v>
      </c>
      <c r="M50" s="429">
        <v>789.08</v>
      </c>
      <c r="N50" s="429">
        <v>789.08</v>
      </c>
      <c r="O50" s="429">
        <v>812.29</v>
      </c>
      <c r="P50" s="429">
        <v>812.29</v>
      </c>
      <c r="Q50" s="429">
        <v>812.29</v>
      </c>
      <c r="R50" s="429">
        <v>812.29</v>
      </c>
      <c r="S50" s="429">
        <v>812.29</v>
      </c>
      <c r="T50" s="429">
        <v>812.29</v>
      </c>
      <c r="U50" s="429">
        <v>812.29</v>
      </c>
      <c r="V50" s="429">
        <v>812.29</v>
      </c>
      <c r="W50" s="429">
        <v>812.29</v>
      </c>
      <c r="X50" s="429">
        <v>9677.8500000000022</v>
      </c>
    </row>
    <row r="51" spans="1:24" x14ac:dyDescent="0.35">
      <c r="A51" s="11" t="s">
        <v>347</v>
      </c>
      <c r="B51" s="11" t="s">
        <v>364</v>
      </c>
      <c r="C51" s="11" t="s">
        <v>365</v>
      </c>
      <c r="D51" s="11" t="s">
        <v>305</v>
      </c>
      <c r="E51" s="11" t="s">
        <v>164</v>
      </c>
      <c r="F51" s="11" t="s">
        <v>131</v>
      </c>
      <c r="G51" s="209">
        <v>1025</v>
      </c>
      <c r="H51" s="207">
        <f t="shared" si="2"/>
        <v>1</v>
      </c>
      <c r="K51" s="5" t="s">
        <v>387</v>
      </c>
      <c r="L51" s="429">
        <v>723.13</v>
      </c>
      <c r="M51" s="429">
        <v>723.13</v>
      </c>
      <c r="N51" s="429">
        <v>723.13</v>
      </c>
      <c r="O51" s="429">
        <v>723.13</v>
      </c>
      <c r="P51" s="429">
        <v>723.13</v>
      </c>
      <c r="Q51" s="429">
        <v>723.13</v>
      </c>
      <c r="R51" s="429">
        <v>723.13</v>
      </c>
      <c r="S51" s="429">
        <v>741.67</v>
      </c>
      <c r="T51" s="429">
        <v>741.67</v>
      </c>
      <c r="U51" s="429">
        <v>741.67</v>
      </c>
      <c r="V51" s="429">
        <v>741.67</v>
      </c>
      <c r="W51" s="429">
        <v>741.67</v>
      </c>
      <c r="X51" s="429">
        <v>8770.26</v>
      </c>
    </row>
    <row r="52" spans="1:24" x14ac:dyDescent="0.35">
      <c r="A52" s="11" t="s">
        <v>347</v>
      </c>
      <c r="B52" s="11" t="s">
        <v>364</v>
      </c>
      <c r="C52" s="11" t="s">
        <v>365</v>
      </c>
      <c r="D52" s="11" t="s">
        <v>306</v>
      </c>
      <c r="E52" s="11" t="s">
        <v>164</v>
      </c>
      <c r="F52" s="11" t="s">
        <v>131</v>
      </c>
      <c r="G52" s="209">
        <v>1025</v>
      </c>
      <c r="H52" s="207">
        <f t="shared" si="2"/>
        <v>2</v>
      </c>
      <c r="K52" s="428" t="s">
        <v>388</v>
      </c>
      <c r="L52" s="429">
        <v>723.13</v>
      </c>
      <c r="M52" s="429">
        <v>723.13</v>
      </c>
      <c r="N52" s="429">
        <v>723.13</v>
      </c>
      <c r="O52" s="429">
        <v>723.13</v>
      </c>
      <c r="P52" s="429">
        <v>723.13</v>
      </c>
      <c r="Q52" s="429">
        <v>723.13</v>
      </c>
      <c r="R52" s="429">
        <v>723.13</v>
      </c>
      <c r="S52" s="429">
        <v>741.67</v>
      </c>
      <c r="T52" s="429">
        <v>741.67</v>
      </c>
      <c r="U52" s="429">
        <v>741.67</v>
      </c>
      <c r="V52" s="429">
        <v>741.67</v>
      </c>
      <c r="W52" s="429">
        <v>741.67</v>
      </c>
      <c r="X52" s="429">
        <v>8770.26</v>
      </c>
    </row>
    <row r="53" spans="1:24" x14ac:dyDescent="0.35">
      <c r="A53" s="11" t="s">
        <v>347</v>
      </c>
      <c r="B53" s="11" t="s">
        <v>364</v>
      </c>
      <c r="C53" s="11" t="s">
        <v>365</v>
      </c>
      <c r="D53" s="11" t="s">
        <v>307</v>
      </c>
      <c r="E53" s="11" t="s">
        <v>164</v>
      </c>
      <c r="F53" s="11" t="s">
        <v>131</v>
      </c>
      <c r="G53" s="209">
        <v>1025</v>
      </c>
      <c r="H53" s="207">
        <f t="shared" si="2"/>
        <v>3</v>
      </c>
      <c r="K53" s="5" t="s">
        <v>389</v>
      </c>
      <c r="L53" s="429">
        <v>0</v>
      </c>
      <c r="M53" s="429">
        <v>0</v>
      </c>
      <c r="N53" s="429">
        <v>0</v>
      </c>
      <c r="O53" s="429">
        <v>0</v>
      </c>
      <c r="P53" s="429">
        <v>0</v>
      </c>
      <c r="Q53" s="429">
        <v>0</v>
      </c>
      <c r="R53" s="429">
        <v>0</v>
      </c>
      <c r="S53" s="429">
        <v>0</v>
      </c>
      <c r="T53" s="429">
        <v>0</v>
      </c>
      <c r="U53" s="429">
        <v>0</v>
      </c>
      <c r="V53" s="429">
        <v>0</v>
      </c>
      <c r="W53" s="429">
        <v>0</v>
      </c>
      <c r="X53" s="429">
        <v>0</v>
      </c>
    </row>
    <row r="54" spans="1:24" x14ac:dyDescent="0.35">
      <c r="A54" s="11" t="s">
        <v>347</v>
      </c>
      <c r="B54" s="11" t="s">
        <v>364</v>
      </c>
      <c r="C54" s="11" t="s">
        <v>365</v>
      </c>
      <c r="D54" s="11" t="s">
        <v>308</v>
      </c>
      <c r="E54" s="11" t="s">
        <v>164</v>
      </c>
      <c r="F54" s="11" t="s">
        <v>131</v>
      </c>
      <c r="G54" s="209">
        <v>1025</v>
      </c>
      <c r="H54" s="207">
        <f t="shared" si="2"/>
        <v>4</v>
      </c>
      <c r="K54" s="428" t="s">
        <v>390</v>
      </c>
      <c r="L54" s="429">
        <v>0</v>
      </c>
      <c r="M54" s="429">
        <v>0</v>
      </c>
      <c r="N54" s="429">
        <v>0</v>
      </c>
      <c r="O54" s="429">
        <v>0</v>
      </c>
      <c r="P54" s="429">
        <v>0</v>
      </c>
      <c r="Q54" s="429">
        <v>0</v>
      </c>
      <c r="R54" s="429">
        <v>0</v>
      </c>
      <c r="S54" s="429">
        <v>0</v>
      </c>
      <c r="T54" s="429">
        <v>0</v>
      </c>
      <c r="U54" s="429">
        <v>0</v>
      </c>
      <c r="V54" s="429">
        <v>0</v>
      </c>
      <c r="W54" s="429">
        <v>0</v>
      </c>
      <c r="X54" s="429">
        <v>0</v>
      </c>
    </row>
    <row r="55" spans="1:24" x14ac:dyDescent="0.35">
      <c r="A55" s="11" t="s">
        <v>347</v>
      </c>
      <c r="B55" s="11" t="s">
        <v>366</v>
      </c>
      <c r="C55" s="11" t="s">
        <v>367</v>
      </c>
      <c r="D55" s="11" t="s">
        <v>305</v>
      </c>
      <c r="E55" s="11" t="s">
        <v>164</v>
      </c>
      <c r="F55" s="11" t="s">
        <v>131</v>
      </c>
      <c r="G55" s="209">
        <v>4193.33</v>
      </c>
      <c r="H55" s="207">
        <f t="shared" si="2"/>
        <v>1</v>
      </c>
      <c r="K55" s="2" t="s">
        <v>391</v>
      </c>
      <c r="L55" s="429">
        <v>61074.26</v>
      </c>
      <c r="M55" s="429">
        <v>61074.26</v>
      </c>
      <c r="N55" s="429">
        <v>58357.59</v>
      </c>
      <c r="O55" s="429">
        <v>46332.59</v>
      </c>
      <c r="P55" s="429">
        <v>46332.59</v>
      </c>
      <c r="Q55" s="429">
        <v>46332.59</v>
      </c>
      <c r="R55" s="429">
        <v>36784.42</v>
      </c>
      <c r="S55" s="429">
        <v>42087.67</v>
      </c>
      <c r="T55" s="429">
        <v>42087.67</v>
      </c>
      <c r="U55" s="429">
        <v>28542.92</v>
      </c>
      <c r="V55" s="429">
        <v>27121.5</v>
      </c>
      <c r="W55" s="429">
        <v>32308.5</v>
      </c>
      <c r="X55" s="429">
        <v>528436.56000000006</v>
      </c>
    </row>
    <row r="56" spans="1:24" x14ac:dyDescent="0.35">
      <c r="A56" s="11" t="s">
        <v>347</v>
      </c>
      <c r="B56" s="11" t="s">
        <v>366</v>
      </c>
      <c r="C56" s="11" t="s">
        <v>367</v>
      </c>
      <c r="D56" s="11" t="s">
        <v>306</v>
      </c>
      <c r="E56" s="11" t="s">
        <v>164</v>
      </c>
      <c r="F56" s="11" t="s">
        <v>131</v>
      </c>
      <c r="G56" s="209">
        <v>4193.33</v>
      </c>
      <c r="H56" s="207">
        <f t="shared" si="2"/>
        <v>2</v>
      </c>
      <c r="K56" s="5" t="s">
        <v>392</v>
      </c>
      <c r="L56" s="429">
        <v>2716.67</v>
      </c>
      <c r="M56" s="429">
        <v>2716.67</v>
      </c>
      <c r="N56" s="429"/>
      <c r="O56" s="429"/>
      <c r="P56" s="429"/>
      <c r="Q56" s="429"/>
      <c r="R56" s="429"/>
      <c r="S56" s="429"/>
      <c r="T56" s="429"/>
      <c r="U56" s="429"/>
      <c r="V56" s="429"/>
      <c r="W56" s="429"/>
      <c r="X56" s="429">
        <v>5433.34</v>
      </c>
    </row>
    <row r="57" spans="1:24" x14ac:dyDescent="0.35">
      <c r="A57" s="11" t="s">
        <v>347</v>
      </c>
      <c r="B57" s="11" t="s">
        <v>366</v>
      </c>
      <c r="C57" s="11" t="s">
        <v>367</v>
      </c>
      <c r="D57" s="11" t="s">
        <v>307</v>
      </c>
      <c r="E57" s="11" t="s">
        <v>164</v>
      </c>
      <c r="F57" s="11" t="s">
        <v>131</v>
      </c>
      <c r="G57" s="209">
        <v>4193.33</v>
      </c>
      <c r="H57" s="207">
        <f t="shared" si="2"/>
        <v>3</v>
      </c>
      <c r="K57" s="428" t="s">
        <v>393</v>
      </c>
      <c r="L57" s="429">
        <v>2716.67</v>
      </c>
      <c r="M57" s="429">
        <v>2716.67</v>
      </c>
      <c r="N57" s="429"/>
      <c r="O57" s="429"/>
      <c r="P57" s="429"/>
      <c r="Q57" s="429"/>
      <c r="R57" s="429"/>
      <c r="S57" s="429"/>
      <c r="T57" s="429"/>
      <c r="U57" s="429"/>
      <c r="V57" s="429"/>
      <c r="W57" s="429"/>
      <c r="X57" s="429">
        <v>5433.34</v>
      </c>
    </row>
    <row r="58" spans="1:24" x14ac:dyDescent="0.35">
      <c r="A58" s="11" t="s">
        <v>347</v>
      </c>
      <c r="B58" s="11" t="s">
        <v>366</v>
      </c>
      <c r="C58" s="11" t="s">
        <v>367</v>
      </c>
      <c r="D58" s="11" t="s">
        <v>308</v>
      </c>
      <c r="E58" s="11" t="s">
        <v>164</v>
      </c>
      <c r="F58" s="11" t="s">
        <v>131</v>
      </c>
      <c r="G58" s="209">
        <v>4193.33</v>
      </c>
      <c r="H58" s="207">
        <f t="shared" si="2"/>
        <v>4</v>
      </c>
      <c r="K58" s="5" t="s">
        <v>394</v>
      </c>
      <c r="L58" s="429">
        <v>1831.92</v>
      </c>
      <c r="M58" s="429">
        <v>1831.92</v>
      </c>
      <c r="N58" s="429">
        <v>1831.92</v>
      </c>
      <c r="O58" s="429">
        <v>1831.92</v>
      </c>
      <c r="P58" s="429">
        <v>1831.92</v>
      </c>
      <c r="Q58" s="429">
        <v>1831.92</v>
      </c>
      <c r="R58" s="429"/>
      <c r="S58" s="429"/>
      <c r="T58" s="429"/>
      <c r="U58" s="429"/>
      <c r="V58" s="429"/>
      <c r="W58" s="429"/>
      <c r="X58" s="429">
        <v>10991.52</v>
      </c>
    </row>
    <row r="59" spans="1:24" x14ac:dyDescent="0.35">
      <c r="A59" s="11" t="s">
        <v>347</v>
      </c>
      <c r="B59" s="11" t="s">
        <v>366</v>
      </c>
      <c r="C59" s="11" t="s">
        <v>367</v>
      </c>
      <c r="D59" s="11" t="s">
        <v>309</v>
      </c>
      <c r="E59" s="11" t="s">
        <v>164</v>
      </c>
      <c r="F59" s="11" t="s">
        <v>131</v>
      </c>
      <c r="G59" s="209">
        <v>4193.33</v>
      </c>
      <c r="H59" s="207">
        <f t="shared" si="2"/>
        <v>5</v>
      </c>
      <c r="K59" s="428" t="s">
        <v>395</v>
      </c>
      <c r="L59" s="429">
        <v>1831.92</v>
      </c>
      <c r="M59" s="429">
        <v>1831.92</v>
      </c>
      <c r="N59" s="429">
        <v>1831.92</v>
      </c>
      <c r="O59" s="429">
        <v>1831.92</v>
      </c>
      <c r="P59" s="429">
        <v>1831.92</v>
      </c>
      <c r="Q59" s="429">
        <v>1831.92</v>
      </c>
      <c r="R59" s="429"/>
      <c r="S59" s="429"/>
      <c r="T59" s="429"/>
      <c r="U59" s="429"/>
      <c r="V59" s="429"/>
      <c r="W59" s="429"/>
      <c r="X59" s="429">
        <v>10991.52</v>
      </c>
    </row>
    <row r="60" spans="1:24" x14ac:dyDescent="0.35">
      <c r="A60" s="11" t="s">
        <v>347</v>
      </c>
      <c r="B60" s="11" t="s">
        <v>368</v>
      </c>
      <c r="C60" s="11" t="s">
        <v>369</v>
      </c>
      <c r="D60" s="11" t="s">
        <v>305</v>
      </c>
      <c r="E60" s="11" t="s">
        <v>164</v>
      </c>
      <c r="F60" s="11" t="s">
        <v>131</v>
      </c>
      <c r="G60" s="209">
        <v>1216.25</v>
      </c>
      <c r="H60" s="207">
        <f t="shared" si="0"/>
        <v>1</v>
      </c>
      <c r="K60" s="5" t="s">
        <v>396</v>
      </c>
      <c r="L60" s="429">
        <v>1421.42</v>
      </c>
      <c r="M60" s="429">
        <v>1421.42</v>
      </c>
      <c r="N60" s="429">
        <v>1421.42</v>
      </c>
      <c r="O60" s="429">
        <v>1421.42</v>
      </c>
      <c r="P60" s="429">
        <v>1421.42</v>
      </c>
      <c r="Q60" s="429">
        <v>1421.42</v>
      </c>
      <c r="R60" s="429">
        <v>1421.42</v>
      </c>
      <c r="S60" s="429">
        <v>1421.42</v>
      </c>
      <c r="T60" s="429">
        <v>1421.42</v>
      </c>
      <c r="U60" s="429">
        <v>1421.42</v>
      </c>
      <c r="V60" s="429"/>
      <c r="W60" s="429"/>
      <c r="X60" s="429">
        <v>14214.2</v>
      </c>
    </row>
    <row r="61" spans="1:24" x14ac:dyDescent="0.35">
      <c r="A61" s="11" t="s">
        <v>347</v>
      </c>
      <c r="B61" s="11" t="s">
        <v>368</v>
      </c>
      <c r="C61" s="11" t="s">
        <v>369</v>
      </c>
      <c r="D61" s="11" t="s">
        <v>306</v>
      </c>
      <c r="E61" s="11" t="s">
        <v>164</v>
      </c>
      <c r="F61" s="11" t="s">
        <v>131</v>
      </c>
      <c r="G61" s="209">
        <v>1216.25</v>
      </c>
      <c r="H61" s="207">
        <f t="shared" si="0"/>
        <v>2</v>
      </c>
      <c r="K61" s="428" t="s">
        <v>397</v>
      </c>
      <c r="L61" s="429">
        <v>1421.42</v>
      </c>
      <c r="M61" s="429">
        <v>1421.42</v>
      </c>
      <c r="N61" s="429">
        <v>1421.42</v>
      </c>
      <c r="O61" s="429">
        <v>1421.42</v>
      </c>
      <c r="P61" s="429">
        <v>1421.42</v>
      </c>
      <c r="Q61" s="429">
        <v>1421.42</v>
      </c>
      <c r="R61" s="429">
        <v>1421.42</v>
      </c>
      <c r="S61" s="429">
        <v>1421.42</v>
      </c>
      <c r="T61" s="429">
        <v>1421.42</v>
      </c>
      <c r="U61" s="429">
        <v>1421.42</v>
      </c>
      <c r="V61" s="429"/>
      <c r="W61" s="429"/>
      <c r="X61" s="429">
        <v>14214.2</v>
      </c>
    </row>
    <row r="62" spans="1:24" x14ac:dyDescent="0.35">
      <c r="A62" s="11" t="s">
        <v>347</v>
      </c>
      <c r="B62" s="11" t="s">
        <v>368</v>
      </c>
      <c r="C62" s="11" t="s">
        <v>369</v>
      </c>
      <c r="D62" s="11" t="s">
        <v>307</v>
      </c>
      <c r="E62" s="11" t="s">
        <v>164</v>
      </c>
      <c r="F62" s="11" t="s">
        <v>131</v>
      </c>
      <c r="G62" s="209">
        <v>1216.25</v>
      </c>
      <c r="H62" s="207">
        <f t="shared" si="0"/>
        <v>3</v>
      </c>
      <c r="K62" s="5" t="s">
        <v>398</v>
      </c>
      <c r="L62" s="429">
        <v>5010</v>
      </c>
      <c r="M62" s="429">
        <v>5010</v>
      </c>
      <c r="N62" s="429">
        <v>5010</v>
      </c>
      <c r="O62" s="429">
        <v>5010</v>
      </c>
      <c r="P62" s="429">
        <v>5010</v>
      </c>
      <c r="Q62" s="429">
        <v>5010</v>
      </c>
      <c r="R62" s="429">
        <v>5010</v>
      </c>
      <c r="S62" s="429">
        <v>5010</v>
      </c>
      <c r="T62" s="429">
        <v>5010</v>
      </c>
      <c r="U62" s="429">
        <v>5010</v>
      </c>
      <c r="V62" s="429">
        <v>5010</v>
      </c>
      <c r="W62" s="429">
        <v>5010</v>
      </c>
      <c r="X62" s="429">
        <v>60120</v>
      </c>
    </row>
    <row r="63" spans="1:24" x14ac:dyDescent="0.35">
      <c r="A63" s="11" t="s">
        <v>347</v>
      </c>
      <c r="B63" s="11" t="s">
        <v>368</v>
      </c>
      <c r="C63" s="11" t="s">
        <v>369</v>
      </c>
      <c r="D63" s="11" t="s">
        <v>308</v>
      </c>
      <c r="E63" s="11" t="s">
        <v>164</v>
      </c>
      <c r="F63" s="11" t="s">
        <v>131</v>
      </c>
      <c r="G63" s="209">
        <v>1216.25</v>
      </c>
      <c r="H63" s="207">
        <f t="shared" si="0"/>
        <v>4</v>
      </c>
      <c r="K63" s="428" t="s">
        <v>399</v>
      </c>
      <c r="L63" s="429">
        <v>5010</v>
      </c>
      <c r="M63" s="429">
        <v>5010</v>
      </c>
      <c r="N63" s="429">
        <v>5010</v>
      </c>
      <c r="O63" s="429">
        <v>5010</v>
      </c>
      <c r="P63" s="429">
        <v>5010</v>
      </c>
      <c r="Q63" s="429">
        <v>5010</v>
      </c>
      <c r="R63" s="429">
        <v>5010</v>
      </c>
      <c r="S63" s="429">
        <v>5010</v>
      </c>
      <c r="T63" s="429">
        <v>5010</v>
      </c>
      <c r="U63" s="429">
        <v>5010</v>
      </c>
      <c r="V63" s="429">
        <v>5010</v>
      </c>
      <c r="W63" s="429">
        <v>5010</v>
      </c>
      <c r="X63" s="429">
        <v>60120</v>
      </c>
    </row>
    <row r="64" spans="1:24" x14ac:dyDescent="0.35">
      <c r="A64" s="11" t="s">
        <v>347</v>
      </c>
      <c r="B64" s="11" t="s">
        <v>368</v>
      </c>
      <c r="C64" s="11" t="s">
        <v>369</v>
      </c>
      <c r="D64" s="11" t="s">
        <v>309</v>
      </c>
      <c r="E64" s="11" t="s">
        <v>164</v>
      </c>
      <c r="F64" s="11" t="s">
        <v>131</v>
      </c>
      <c r="G64" s="209">
        <v>1216.25</v>
      </c>
      <c r="H64" s="207">
        <f t="shared" si="0"/>
        <v>5</v>
      </c>
      <c r="K64" s="5" t="s">
        <v>400</v>
      </c>
      <c r="L64" s="429">
        <v>1270.75</v>
      </c>
      <c r="M64" s="429">
        <v>1270.75</v>
      </c>
      <c r="N64" s="429">
        <v>1270.75</v>
      </c>
      <c r="O64" s="429">
        <v>1270.75</v>
      </c>
      <c r="P64" s="429">
        <v>1270.75</v>
      </c>
      <c r="Q64" s="429">
        <v>1270.75</v>
      </c>
      <c r="R64" s="429"/>
      <c r="S64" s="429"/>
      <c r="T64" s="429"/>
      <c r="U64" s="429"/>
      <c r="V64" s="429"/>
      <c r="W64" s="429"/>
      <c r="X64" s="429">
        <v>7624.5</v>
      </c>
    </row>
    <row r="65" spans="1:24" x14ac:dyDescent="0.35">
      <c r="A65" s="11" t="s">
        <v>347</v>
      </c>
      <c r="B65" s="11" t="s">
        <v>368</v>
      </c>
      <c r="C65" s="11" t="s">
        <v>369</v>
      </c>
      <c r="D65" s="11" t="s">
        <v>310</v>
      </c>
      <c r="E65" s="11" t="s">
        <v>164</v>
      </c>
      <c r="F65" s="11" t="s">
        <v>131</v>
      </c>
      <c r="G65" s="209">
        <v>1216.25</v>
      </c>
      <c r="H65" s="207">
        <f t="shared" si="0"/>
        <v>6</v>
      </c>
      <c r="K65" s="428" t="s">
        <v>401</v>
      </c>
      <c r="L65" s="429">
        <v>1270.75</v>
      </c>
      <c r="M65" s="429">
        <v>1270.75</v>
      </c>
      <c r="N65" s="429">
        <v>1270.75</v>
      </c>
      <c r="O65" s="429">
        <v>1270.75</v>
      </c>
      <c r="P65" s="429">
        <v>1270.75</v>
      </c>
      <c r="Q65" s="429">
        <v>1270.75</v>
      </c>
      <c r="R65" s="429"/>
      <c r="S65" s="429"/>
      <c r="T65" s="429"/>
      <c r="U65" s="429"/>
      <c r="V65" s="429"/>
      <c r="W65" s="429"/>
      <c r="X65" s="429">
        <v>7624.5</v>
      </c>
    </row>
    <row r="66" spans="1:24" x14ac:dyDescent="0.35">
      <c r="A66" s="11" t="s">
        <v>347</v>
      </c>
      <c r="B66" s="11" t="s">
        <v>368</v>
      </c>
      <c r="C66" s="11" t="s">
        <v>369</v>
      </c>
      <c r="D66" s="11" t="s">
        <v>311</v>
      </c>
      <c r="E66" s="11" t="s">
        <v>164</v>
      </c>
      <c r="F66" s="11" t="s">
        <v>131</v>
      </c>
      <c r="G66" s="209">
        <v>1216.25</v>
      </c>
      <c r="H66" s="207">
        <f t="shared" si="0"/>
        <v>7</v>
      </c>
      <c r="K66" s="5" t="s">
        <v>402</v>
      </c>
      <c r="L66" s="429">
        <v>2093</v>
      </c>
      <c r="M66" s="429">
        <v>2093</v>
      </c>
      <c r="N66" s="429">
        <v>2093</v>
      </c>
      <c r="O66" s="429">
        <v>2093</v>
      </c>
      <c r="P66" s="429">
        <v>2093</v>
      </c>
      <c r="Q66" s="429">
        <v>2093</v>
      </c>
      <c r="R66" s="429">
        <v>2093</v>
      </c>
      <c r="S66" s="429">
        <v>2093</v>
      </c>
      <c r="T66" s="429">
        <v>2093</v>
      </c>
      <c r="U66" s="429">
        <v>2093</v>
      </c>
      <c r="V66" s="429">
        <v>2093</v>
      </c>
      <c r="W66" s="429">
        <v>2093</v>
      </c>
      <c r="X66" s="429">
        <v>25116</v>
      </c>
    </row>
    <row r="67" spans="1:24" x14ac:dyDescent="0.35">
      <c r="A67" s="11" t="s">
        <v>347</v>
      </c>
      <c r="B67" s="11" t="s">
        <v>370</v>
      </c>
      <c r="C67" s="11" t="s">
        <v>371</v>
      </c>
      <c r="D67" s="11" t="s">
        <v>305</v>
      </c>
      <c r="E67" s="11" t="s">
        <v>164</v>
      </c>
      <c r="F67" s="11" t="s">
        <v>131</v>
      </c>
      <c r="G67" s="209">
        <v>1812.92</v>
      </c>
      <c r="H67" s="207">
        <f t="shared" si="0"/>
        <v>1</v>
      </c>
      <c r="K67" s="428" t="s">
        <v>403</v>
      </c>
      <c r="L67" s="429">
        <v>2093</v>
      </c>
      <c r="M67" s="429">
        <v>2093</v>
      </c>
      <c r="N67" s="429">
        <v>2093</v>
      </c>
      <c r="O67" s="429">
        <v>2093</v>
      </c>
      <c r="P67" s="429">
        <v>2093</v>
      </c>
      <c r="Q67" s="429">
        <v>2093</v>
      </c>
      <c r="R67" s="429">
        <v>2093</v>
      </c>
      <c r="S67" s="429">
        <v>2093</v>
      </c>
      <c r="T67" s="429">
        <v>2093</v>
      </c>
      <c r="U67" s="429">
        <v>2093</v>
      </c>
      <c r="V67" s="429">
        <v>2093</v>
      </c>
      <c r="W67" s="429">
        <v>2093</v>
      </c>
      <c r="X67" s="429">
        <v>25116</v>
      </c>
    </row>
    <row r="68" spans="1:24" x14ac:dyDescent="0.35">
      <c r="A68" s="11" t="s">
        <v>347</v>
      </c>
      <c r="B68" s="11" t="s">
        <v>370</v>
      </c>
      <c r="C68" s="11" t="s">
        <v>371</v>
      </c>
      <c r="D68" s="11" t="s">
        <v>306</v>
      </c>
      <c r="E68" s="11" t="s">
        <v>164</v>
      </c>
      <c r="F68" s="11" t="s">
        <v>131</v>
      </c>
      <c r="G68" s="209">
        <v>1812.92</v>
      </c>
      <c r="H68" s="207">
        <f t="shared" si="0"/>
        <v>2</v>
      </c>
      <c r="K68" s="5" t="s">
        <v>404</v>
      </c>
      <c r="L68" s="429">
        <v>5120.5</v>
      </c>
      <c r="M68" s="429">
        <v>5120.5</v>
      </c>
      <c r="N68" s="429">
        <v>5120.5</v>
      </c>
      <c r="O68" s="429">
        <v>5120.5</v>
      </c>
      <c r="P68" s="429">
        <v>5120.5</v>
      </c>
      <c r="Q68" s="429">
        <v>5120.5</v>
      </c>
      <c r="R68" s="429"/>
      <c r="S68" s="429">
        <v>5187</v>
      </c>
      <c r="T68" s="429">
        <v>5187</v>
      </c>
      <c r="U68" s="429">
        <v>5187</v>
      </c>
      <c r="V68" s="429">
        <v>5187</v>
      </c>
      <c r="W68" s="429">
        <v>10374</v>
      </c>
      <c r="X68" s="429">
        <v>61845</v>
      </c>
    </row>
    <row r="69" spans="1:24" x14ac:dyDescent="0.35">
      <c r="A69" s="11" t="s">
        <v>347</v>
      </c>
      <c r="B69" s="11" t="s">
        <v>370</v>
      </c>
      <c r="C69" s="11" t="s">
        <v>371</v>
      </c>
      <c r="D69" s="11" t="s">
        <v>307</v>
      </c>
      <c r="E69" s="11" t="s">
        <v>164</v>
      </c>
      <c r="F69" s="11" t="s">
        <v>131</v>
      </c>
      <c r="G69" s="209">
        <v>1812.92</v>
      </c>
      <c r="H69" s="207">
        <f t="shared" si="0"/>
        <v>3</v>
      </c>
      <c r="K69" s="428" t="s">
        <v>405</v>
      </c>
      <c r="L69" s="429">
        <v>5120.5</v>
      </c>
      <c r="M69" s="429">
        <v>5120.5</v>
      </c>
      <c r="N69" s="429">
        <v>5120.5</v>
      </c>
      <c r="O69" s="429">
        <v>5120.5</v>
      </c>
      <c r="P69" s="429">
        <v>5120.5</v>
      </c>
      <c r="Q69" s="429">
        <v>5120.5</v>
      </c>
      <c r="R69" s="429"/>
      <c r="S69" s="429">
        <v>5187</v>
      </c>
      <c r="T69" s="429">
        <v>5187</v>
      </c>
      <c r="U69" s="429">
        <v>5187</v>
      </c>
      <c r="V69" s="429">
        <v>5187</v>
      </c>
      <c r="W69" s="429">
        <v>10374</v>
      </c>
      <c r="X69" s="429">
        <v>61845</v>
      </c>
    </row>
    <row r="70" spans="1:24" x14ac:dyDescent="0.35">
      <c r="A70" s="11" t="s">
        <v>347</v>
      </c>
      <c r="B70" s="11" t="s">
        <v>370</v>
      </c>
      <c r="C70" s="11" t="s">
        <v>371</v>
      </c>
      <c r="D70" s="11" t="s">
        <v>308</v>
      </c>
      <c r="E70" s="11" t="s">
        <v>164</v>
      </c>
      <c r="F70" s="11" t="s">
        <v>131</v>
      </c>
      <c r="G70" s="209">
        <v>1812.92</v>
      </c>
      <c r="H70" s="207">
        <f t="shared" si="0"/>
        <v>4</v>
      </c>
      <c r="K70" s="5" t="s">
        <v>406</v>
      </c>
      <c r="L70" s="429">
        <v>10879</v>
      </c>
      <c r="M70" s="429">
        <v>10879</v>
      </c>
      <c r="N70" s="429">
        <v>10879</v>
      </c>
      <c r="O70" s="429">
        <v>10879</v>
      </c>
      <c r="P70" s="429">
        <v>10879</v>
      </c>
      <c r="Q70" s="429">
        <v>10879</v>
      </c>
      <c r="R70" s="429">
        <v>10879</v>
      </c>
      <c r="S70" s="429">
        <v>10879</v>
      </c>
      <c r="T70" s="429">
        <v>10879</v>
      </c>
      <c r="U70" s="429">
        <v>10879</v>
      </c>
      <c r="V70" s="429">
        <v>10879</v>
      </c>
      <c r="W70" s="429">
        <v>10879</v>
      </c>
      <c r="X70" s="429">
        <v>130548</v>
      </c>
    </row>
    <row r="71" spans="1:24" x14ac:dyDescent="0.35">
      <c r="A71" s="11" t="s">
        <v>347</v>
      </c>
      <c r="B71" s="11" t="s">
        <v>370</v>
      </c>
      <c r="C71" s="11" t="s">
        <v>371</v>
      </c>
      <c r="D71" s="11" t="s">
        <v>309</v>
      </c>
      <c r="E71" s="11" t="s">
        <v>164</v>
      </c>
      <c r="F71" s="11" t="s">
        <v>131</v>
      </c>
      <c r="G71" s="209">
        <v>1812.92</v>
      </c>
      <c r="H71" s="207">
        <f t="shared" si="0"/>
        <v>5</v>
      </c>
      <c r="K71" s="428" t="s">
        <v>407</v>
      </c>
      <c r="L71" s="429">
        <v>10879</v>
      </c>
      <c r="M71" s="429">
        <v>10879</v>
      </c>
      <c r="N71" s="429">
        <v>10879</v>
      </c>
      <c r="O71" s="429">
        <v>10879</v>
      </c>
      <c r="P71" s="429">
        <v>10879</v>
      </c>
      <c r="Q71" s="429">
        <v>10879</v>
      </c>
      <c r="R71" s="429">
        <v>10879</v>
      </c>
      <c r="S71" s="429">
        <v>10879</v>
      </c>
      <c r="T71" s="429">
        <v>10879</v>
      </c>
      <c r="U71" s="429">
        <v>10879</v>
      </c>
      <c r="V71" s="429">
        <v>10879</v>
      </c>
      <c r="W71" s="429">
        <v>10879</v>
      </c>
      <c r="X71" s="429">
        <v>130548</v>
      </c>
    </row>
    <row r="72" spans="1:24" x14ac:dyDescent="0.35">
      <c r="A72" s="11" t="s">
        <v>372</v>
      </c>
      <c r="B72" s="11" t="s">
        <v>373</v>
      </c>
      <c r="C72" s="11" t="s">
        <v>374</v>
      </c>
      <c r="D72" s="11" t="s">
        <v>305</v>
      </c>
      <c r="E72" s="11" t="s">
        <v>164</v>
      </c>
      <c r="F72" s="11" t="s">
        <v>131</v>
      </c>
      <c r="G72" s="209">
        <v>1853.54</v>
      </c>
      <c r="H72" s="207">
        <f t="shared" si="0"/>
        <v>1</v>
      </c>
      <c r="K72" s="5" t="s">
        <v>408</v>
      </c>
      <c r="L72" s="429">
        <v>3836.25</v>
      </c>
      <c r="M72" s="429">
        <v>3836.25</v>
      </c>
      <c r="N72" s="429">
        <v>3836.25</v>
      </c>
      <c r="O72" s="429">
        <v>3836.25</v>
      </c>
      <c r="P72" s="429">
        <v>3836.25</v>
      </c>
      <c r="Q72" s="429">
        <v>3836.25</v>
      </c>
      <c r="R72" s="429">
        <v>3836.25</v>
      </c>
      <c r="S72" s="429">
        <v>3952.5</v>
      </c>
      <c r="T72" s="429">
        <v>3952.5</v>
      </c>
      <c r="U72" s="429">
        <v>3952.5</v>
      </c>
      <c r="V72" s="429">
        <v>3952.5</v>
      </c>
      <c r="W72" s="429">
        <v>3952.5</v>
      </c>
      <c r="X72" s="429">
        <v>46616.25</v>
      </c>
    </row>
    <row r="73" spans="1:24" x14ac:dyDescent="0.35">
      <c r="A73" s="11" t="s">
        <v>372</v>
      </c>
      <c r="B73" s="11" t="s">
        <v>373</v>
      </c>
      <c r="C73" s="11" t="s">
        <v>374</v>
      </c>
      <c r="D73" s="11" t="s">
        <v>306</v>
      </c>
      <c r="E73" s="11" t="s">
        <v>164</v>
      </c>
      <c r="F73" s="11" t="s">
        <v>131</v>
      </c>
      <c r="G73" s="209">
        <v>1853.54</v>
      </c>
      <c r="H73" s="207">
        <f t="shared" si="0"/>
        <v>2</v>
      </c>
      <c r="K73" s="428" t="s">
        <v>409</v>
      </c>
      <c r="L73" s="429">
        <v>3836.25</v>
      </c>
      <c r="M73" s="429">
        <v>3836.25</v>
      </c>
      <c r="N73" s="429">
        <v>3836.25</v>
      </c>
      <c r="O73" s="429">
        <v>3836.25</v>
      </c>
      <c r="P73" s="429">
        <v>3836.25</v>
      </c>
      <c r="Q73" s="429">
        <v>3836.25</v>
      </c>
      <c r="R73" s="429">
        <v>3836.25</v>
      </c>
      <c r="S73" s="429">
        <v>3952.5</v>
      </c>
      <c r="T73" s="429">
        <v>3952.5</v>
      </c>
      <c r="U73" s="429">
        <v>3952.5</v>
      </c>
      <c r="V73" s="429">
        <v>3952.5</v>
      </c>
      <c r="W73" s="429">
        <v>3952.5</v>
      </c>
      <c r="X73" s="429">
        <v>46616.25</v>
      </c>
    </row>
    <row r="74" spans="1:24" x14ac:dyDescent="0.35">
      <c r="A74" s="11" t="s">
        <v>372</v>
      </c>
      <c r="B74" s="11" t="s">
        <v>373</v>
      </c>
      <c r="C74" s="11" t="s">
        <v>374</v>
      </c>
      <c r="D74" s="11" t="s">
        <v>307</v>
      </c>
      <c r="E74" s="11" t="s">
        <v>164</v>
      </c>
      <c r="F74" s="11" t="s">
        <v>131</v>
      </c>
      <c r="G74" s="209">
        <v>1853.54</v>
      </c>
      <c r="H74" s="207">
        <f t="shared" si="0"/>
        <v>3</v>
      </c>
      <c r="K74" s="5" t="s">
        <v>410</v>
      </c>
      <c r="L74" s="429">
        <v>1325</v>
      </c>
      <c r="M74" s="429">
        <v>1325</v>
      </c>
      <c r="N74" s="429">
        <v>1325</v>
      </c>
      <c r="O74" s="429">
        <v>1325</v>
      </c>
      <c r="P74" s="429">
        <v>1325</v>
      </c>
      <c r="Q74" s="429">
        <v>1325</v>
      </c>
      <c r="R74" s="429"/>
      <c r="S74" s="429"/>
      <c r="T74" s="429"/>
      <c r="U74" s="429"/>
      <c r="V74" s="429"/>
      <c r="W74" s="429"/>
      <c r="X74" s="429">
        <v>7950</v>
      </c>
    </row>
    <row r="75" spans="1:24" x14ac:dyDescent="0.35">
      <c r="A75" s="11" t="s">
        <v>372</v>
      </c>
      <c r="B75" s="11" t="s">
        <v>373</v>
      </c>
      <c r="C75" s="11" t="s">
        <v>374</v>
      </c>
      <c r="D75" s="11" t="s">
        <v>308</v>
      </c>
      <c r="E75" s="11" t="s">
        <v>164</v>
      </c>
      <c r="F75" s="11" t="s">
        <v>131</v>
      </c>
      <c r="G75" s="209">
        <v>1853.54</v>
      </c>
      <c r="H75" s="207">
        <f t="shared" si="0"/>
        <v>4</v>
      </c>
      <c r="K75" s="428" t="s">
        <v>411</v>
      </c>
      <c r="L75" s="429">
        <v>1325</v>
      </c>
      <c r="M75" s="429">
        <v>1325</v>
      </c>
      <c r="N75" s="429">
        <v>1325</v>
      </c>
      <c r="O75" s="429">
        <v>1325</v>
      </c>
      <c r="P75" s="429">
        <v>1325</v>
      </c>
      <c r="Q75" s="429">
        <v>1325</v>
      </c>
      <c r="R75" s="429"/>
      <c r="S75" s="429"/>
      <c r="T75" s="429"/>
      <c r="U75" s="429"/>
      <c r="V75" s="429"/>
      <c r="W75" s="429"/>
      <c r="X75" s="429">
        <v>7950</v>
      </c>
    </row>
    <row r="76" spans="1:24" x14ac:dyDescent="0.35">
      <c r="A76" s="11" t="s">
        <v>372</v>
      </c>
      <c r="B76" s="11" t="s">
        <v>373</v>
      </c>
      <c r="C76" s="11" t="s">
        <v>374</v>
      </c>
      <c r="D76" s="11" t="s">
        <v>309</v>
      </c>
      <c r="E76" s="11" t="s">
        <v>164</v>
      </c>
      <c r="F76" s="11" t="s">
        <v>131</v>
      </c>
      <c r="G76" s="209">
        <v>1853.54</v>
      </c>
      <c r="H76" s="207">
        <f t="shared" si="0"/>
        <v>5</v>
      </c>
      <c r="K76" s="5" t="s">
        <v>412</v>
      </c>
      <c r="L76" s="429">
        <v>13544.75</v>
      </c>
      <c r="M76" s="429">
        <v>13544.75</v>
      </c>
      <c r="N76" s="429">
        <v>13544.75</v>
      </c>
      <c r="O76" s="429">
        <v>13544.75</v>
      </c>
      <c r="P76" s="429">
        <v>13544.75</v>
      </c>
      <c r="Q76" s="429">
        <v>13544.75</v>
      </c>
      <c r="R76" s="429">
        <v>13544.75</v>
      </c>
      <c r="S76" s="429">
        <v>13544.75</v>
      </c>
      <c r="T76" s="429">
        <v>13544.75</v>
      </c>
      <c r="U76" s="429"/>
      <c r="V76" s="429"/>
      <c r="W76" s="429"/>
      <c r="X76" s="429">
        <v>121902.75</v>
      </c>
    </row>
    <row r="77" spans="1:24" x14ac:dyDescent="0.35">
      <c r="A77" s="11" t="s">
        <v>372</v>
      </c>
      <c r="B77" s="11" t="s">
        <v>373</v>
      </c>
      <c r="C77" s="11" t="s">
        <v>374</v>
      </c>
      <c r="D77" s="11" t="s">
        <v>310</v>
      </c>
      <c r="E77" s="11" t="s">
        <v>164</v>
      </c>
      <c r="F77" s="11" t="s">
        <v>131</v>
      </c>
      <c r="G77" s="209">
        <v>1853.54</v>
      </c>
      <c r="H77" s="207">
        <f t="shared" si="0"/>
        <v>6</v>
      </c>
      <c r="K77" s="428" t="s">
        <v>413</v>
      </c>
      <c r="L77" s="429">
        <v>13544.75</v>
      </c>
      <c r="M77" s="429">
        <v>13544.75</v>
      </c>
      <c r="N77" s="429">
        <v>13544.75</v>
      </c>
      <c r="O77" s="429">
        <v>13544.75</v>
      </c>
      <c r="P77" s="429">
        <v>13544.75</v>
      </c>
      <c r="Q77" s="429">
        <v>13544.75</v>
      </c>
      <c r="R77" s="429">
        <v>13544.75</v>
      </c>
      <c r="S77" s="429">
        <v>13544.75</v>
      </c>
      <c r="T77" s="429">
        <v>13544.75</v>
      </c>
      <c r="U77" s="429"/>
      <c r="V77" s="429"/>
      <c r="W77" s="429"/>
      <c r="X77" s="429">
        <v>121902.75</v>
      </c>
    </row>
    <row r="78" spans="1:24" x14ac:dyDescent="0.35">
      <c r="A78" s="11" t="s">
        <v>372</v>
      </c>
      <c r="B78" s="11" t="s">
        <v>373</v>
      </c>
      <c r="C78" s="11" t="s">
        <v>374</v>
      </c>
      <c r="D78" s="11" t="s">
        <v>311</v>
      </c>
      <c r="E78" s="11" t="s">
        <v>164</v>
      </c>
      <c r="F78" s="11" t="s">
        <v>131</v>
      </c>
      <c r="G78" s="209">
        <v>1853.54</v>
      </c>
      <c r="H78" s="207">
        <f t="shared" si="0"/>
        <v>7</v>
      </c>
      <c r="K78" s="5" t="s">
        <v>414</v>
      </c>
      <c r="L78" s="429">
        <v>12025</v>
      </c>
      <c r="M78" s="429">
        <v>12025</v>
      </c>
      <c r="N78" s="429">
        <v>12025</v>
      </c>
      <c r="O78" s="429"/>
      <c r="P78" s="429"/>
      <c r="Q78" s="429"/>
      <c r="R78" s="429"/>
      <c r="S78" s="429"/>
      <c r="T78" s="429"/>
      <c r="U78" s="429"/>
      <c r="V78" s="429"/>
      <c r="W78" s="429"/>
      <c r="X78" s="429">
        <v>36075</v>
      </c>
    </row>
    <row r="79" spans="1:24" x14ac:dyDescent="0.35">
      <c r="A79" s="11" t="s">
        <v>372</v>
      </c>
      <c r="B79" s="11" t="s">
        <v>373</v>
      </c>
      <c r="C79" s="11" t="s">
        <v>374</v>
      </c>
      <c r="D79" s="11" t="s">
        <v>312</v>
      </c>
      <c r="E79" s="11" t="s">
        <v>164</v>
      </c>
      <c r="F79" s="11" t="s">
        <v>131</v>
      </c>
      <c r="G79" s="209">
        <v>1853.54</v>
      </c>
      <c r="H79" s="207">
        <f t="shared" si="0"/>
        <v>8</v>
      </c>
      <c r="K79" s="428" t="s">
        <v>415</v>
      </c>
      <c r="L79" s="429">
        <v>12025</v>
      </c>
      <c r="M79" s="429">
        <v>12025</v>
      </c>
      <c r="N79" s="429">
        <v>12025</v>
      </c>
      <c r="O79" s="429"/>
      <c r="P79" s="429"/>
      <c r="Q79" s="429"/>
      <c r="R79" s="429"/>
      <c r="S79" s="429"/>
      <c r="T79" s="429"/>
      <c r="U79" s="429"/>
      <c r="V79" s="429"/>
      <c r="W79" s="429"/>
      <c r="X79" s="429">
        <v>36075</v>
      </c>
    </row>
    <row r="80" spans="1:24" x14ac:dyDescent="0.35">
      <c r="A80" s="11" t="s">
        <v>372</v>
      </c>
      <c r="B80" s="11" t="s">
        <v>373</v>
      </c>
      <c r="C80" s="11" t="s">
        <v>374</v>
      </c>
      <c r="D80" s="11" t="s">
        <v>313</v>
      </c>
      <c r="E80" s="11" t="s">
        <v>164</v>
      </c>
      <c r="F80" s="11" t="s">
        <v>131</v>
      </c>
      <c r="G80" s="209">
        <v>1853.54</v>
      </c>
      <c r="H80" s="207">
        <f t="shared" si="0"/>
        <v>9</v>
      </c>
      <c r="K80" s="2" t="s">
        <v>198</v>
      </c>
      <c r="L80" s="429">
        <v>117311.48999999999</v>
      </c>
      <c r="M80" s="429">
        <v>113108.15999999997</v>
      </c>
      <c r="N80" s="429">
        <v>108595.98999999999</v>
      </c>
      <c r="O80" s="429">
        <v>90365.9</v>
      </c>
      <c r="P80" s="429">
        <v>86891.729999999981</v>
      </c>
      <c r="Q80" s="429">
        <v>78990.23000000001</v>
      </c>
      <c r="R80" s="429">
        <v>67639.429999999993</v>
      </c>
      <c r="S80" s="429">
        <v>71744.97</v>
      </c>
      <c r="T80" s="429">
        <v>72031.53</v>
      </c>
      <c r="U80" s="429">
        <v>56729.279999999999</v>
      </c>
      <c r="V80" s="429">
        <v>55307.86</v>
      </c>
      <c r="W80" s="429">
        <v>60494.86</v>
      </c>
      <c r="X80" s="429">
        <v>979211.43</v>
      </c>
    </row>
    <row r="81" spans="1:8" x14ac:dyDescent="0.35">
      <c r="A81" s="11" t="s">
        <v>372</v>
      </c>
      <c r="B81" s="11" t="s">
        <v>373</v>
      </c>
      <c r="C81" s="11" t="s">
        <v>374</v>
      </c>
      <c r="D81" s="11" t="s">
        <v>314</v>
      </c>
      <c r="E81" s="11" t="s">
        <v>164</v>
      </c>
      <c r="F81" s="11" t="s">
        <v>131</v>
      </c>
      <c r="G81" s="209">
        <v>1853.54</v>
      </c>
      <c r="H81" s="207">
        <f t="shared" si="0"/>
        <v>10</v>
      </c>
    </row>
    <row r="82" spans="1:8" x14ac:dyDescent="0.35">
      <c r="A82" s="11" t="s">
        <v>372</v>
      </c>
      <c r="B82" s="11" t="s">
        <v>373</v>
      </c>
      <c r="C82" s="11" t="s">
        <v>374</v>
      </c>
      <c r="D82" s="11" t="s">
        <v>315</v>
      </c>
      <c r="E82" s="11" t="s">
        <v>164</v>
      </c>
      <c r="F82" s="11" t="s">
        <v>131</v>
      </c>
      <c r="G82" s="209">
        <v>1853.54</v>
      </c>
      <c r="H82" s="207">
        <f t="shared" si="0"/>
        <v>11</v>
      </c>
    </row>
    <row r="83" spans="1:8" x14ac:dyDescent="0.35">
      <c r="A83" s="11" t="s">
        <v>372</v>
      </c>
      <c r="B83" s="11" t="s">
        <v>373</v>
      </c>
      <c r="C83" s="11" t="s">
        <v>374</v>
      </c>
      <c r="D83" s="11" t="s">
        <v>316</v>
      </c>
      <c r="E83" s="11" t="s">
        <v>164</v>
      </c>
      <c r="F83" s="11" t="s">
        <v>131</v>
      </c>
      <c r="G83" s="209">
        <v>1853.54</v>
      </c>
      <c r="H83" s="207">
        <f t="shared" si="0"/>
        <v>12</v>
      </c>
    </row>
    <row r="84" spans="1:8" s="88" customFormat="1" x14ac:dyDescent="0.35">
      <c r="A84" s="11" t="s">
        <v>372</v>
      </c>
      <c r="B84" s="11" t="s">
        <v>375</v>
      </c>
      <c r="C84" s="11" t="s">
        <v>376</v>
      </c>
      <c r="D84" s="11" t="s">
        <v>305</v>
      </c>
      <c r="E84" s="11" t="s">
        <v>164</v>
      </c>
      <c r="F84" s="11" t="s">
        <v>131</v>
      </c>
      <c r="G84" s="209">
        <v>1895.25</v>
      </c>
      <c r="H84" s="207">
        <f t="shared" ref="H84:H91" si="3">IF(D84="",0,MONTH(D84))</f>
        <v>1</v>
      </c>
    </row>
    <row r="85" spans="1:8" s="88" customFormat="1" x14ac:dyDescent="0.35">
      <c r="A85" s="11" t="s">
        <v>372</v>
      </c>
      <c r="B85" s="11" t="s">
        <v>375</v>
      </c>
      <c r="C85" s="11" t="s">
        <v>376</v>
      </c>
      <c r="D85" s="11" t="s">
        <v>306</v>
      </c>
      <c r="E85" s="11" t="s">
        <v>164</v>
      </c>
      <c r="F85" s="11" t="s">
        <v>131</v>
      </c>
      <c r="G85" s="209">
        <v>1895.25</v>
      </c>
      <c r="H85" s="207">
        <f t="shared" si="3"/>
        <v>2</v>
      </c>
    </row>
    <row r="86" spans="1:8" s="88" customFormat="1" x14ac:dyDescent="0.35">
      <c r="A86" s="11" t="s">
        <v>372</v>
      </c>
      <c r="B86" s="11" t="s">
        <v>375</v>
      </c>
      <c r="C86" s="11" t="s">
        <v>376</v>
      </c>
      <c r="D86" s="11" t="s">
        <v>307</v>
      </c>
      <c r="E86" s="11" t="s">
        <v>164</v>
      </c>
      <c r="F86" s="11" t="s">
        <v>131</v>
      </c>
      <c r="G86" s="209">
        <v>1895.25</v>
      </c>
      <c r="H86" s="207">
        <f t="shared" si="3"/>
        <v>3</v>
      </c>
    </row>
    <row r="87" spans="1:8" s="88" customFormat="1" x14ac:dyDescent="0.35">
      <c r="A87" s="11" t="s">
        <v>372</v>
      </c>
      <c r="B87" s="11" t="s">
        <v>375</v>
      </c>
      <c r="C87" s="11" t="s">
        <v>376</v>
      </c>
      <c r="D87" s="11" t="s">
        <v>308</v>
      </c>
      <c r="E87" s="11" t="s">
        <v>164</v>
      </c>
      <c r="F87" s="11" t="s">
        <v>131</v>
      </c>
      <c r="G87" s="209">
        <v>1895.25</v>
      </c>
      <c r="H87" s="207">
        <f t="shared" si="3"/>
        <v>4</v>
      </c>
    </row>
    <row r="88" spans="1:8" s="88" customFormat="1" x14ac:dyDescent="0.35">
      <c r="A88" s="11" t="s">
        <v>372</v>
      </c>
      <c r="B88" s="11" t="s">
        <v>375</v>
      </c>
      <c r="C88" s="11" t="s">
        <v>376</v>
      </c>
      <c r="D88" s="11" t="s">
        <v>309</v>
      </c>
      <c r="E88" s="11" t="s">
        <v>164</v>
      </c>
      <c r="F88" s="11" t="s">
        <v>131</v>
      </c>
      <c r="G88" s="209">
        <v>1895.25</v>
      </c>
      <c r="H88" s="207">
        <f t="shared" si="3"/>
        <v>5</v>
      </c>
    </row>
    <row r="89" spans="1:8" s="88" customFormat="1" x14ac:dyDescent="0.35">
      <c r="A89" s="11" t="s">
        <v>372</v>
      </c>
      <c r="B89" s="11" t="s">
        <v>377</v>
      </c>
      <c r="C89" s="11" t="s">
        <v>378</v>
      </c>
      <c r="D89" s="11" t="s">
        <v>305</v>
      </c>
      <c r="E89" s="11" t="s">
        <v>164</v>
      </c>
      <c r="F89" s="11" t="s">
        <v>131</v>
      </c>
      <c r="G89" s="209">
        <v>4134.17</v>
      </c>
      <c r="H89" s="207">
        <f t="shared" si="3"/>
        <v>1</v>
      </c>
    </row>
    <row r="90" spans="1:8" s="88" customFormat="1" x14ac:dyDescent="0.35">
      <c r="A90" s="11" t="s">
        <v>372</v>
      </c>
      <c r="B90" s="11" t="s">
        <v>377</v>
      </c>
      <c r="C90" s="11" t="s">
        <v>378</v>
      </c>
      <c r="D90" s="11" t="s">
        <v>306</v>
      </c>
      <c r="E90" s="11" t="s">
        <v>164</v>
      </c>
      <c r="F90" s="11" t="s">
        <v>131</v>
      </c>
      <c r="G90" s="209">
        <v>4134.17</v>
      </c>
      <c r="H90" s="207">
        <f t="shared" si="3"/>
        <v>2</v>
      </c>
    </row>
    <row r="91" spans="1:8" s="88" customFormat="1" x14ac:dyDescent="0.35">
      <c r="A91" s="11" t="s">
        <v>372</v>
      </c>
      <c r="B91" s="11" t="s">
        <v>377</v>
      </c>
      <c r="C91" s="11" t="s">
        <v>378</v>
      </c>
      <c r="D91" s="11" t="s">
        <v>307</v>
      </c>
      <c r="E91" s="11" t="s">
        <v>164</v>
      </c>
      <c r="F91" s="11" t="s">
        <v>131</v>
      </c>
      <c r="G91" s="209">
        <v>4134.17</v>
      </c>
      <c r="H91" s="207">
        <f t="shared" si="3"/>
        <v>3</v>
      </c>
    </row>
    <row r="92" spans="1:8" x14ac:dyDescent="0.35">
      <c r="A92" s="11" t="s">
        <v>372</v>
      </c>
      <c r="B92" s="11" t="s">
        <v>377</v>
      </c>
      <c r="C92" s="11" t="s">
        <v>378</v>
      </c>
      <c r="D92" s="11" t="s">
        <v>308</v>
      </c>
      <c r="E92" s="11" t="s">
        <v>164</v>
      </c>
      <c r="F92" s="11" t="s">
        <v>131</v>
      </c>
      <c r="G92" s="209">
        <v>4134.17</v>
      </c>
      <c r="H92" s="207">
        <f t="shared" ref="H92:H106" si="4">IF(D92="",0,MONTH(D92))</f>
        <v>4</v>
      </c>
    </row>
    <row r="93" spans="1:8" x14ac:dyDescent="0.35">
      <c r="A93" s="11" t="s">
        <v>372</v>
      </c>
      <c r="B93" s="11" t="s">
        <v>377</v>
      </c>
      <c r="C93" s="11" t="s">
        <v>378</v>
      </c>
      <c r="D93" s="11" t="s">
        <v>309</v>
      </c>
      <c r="E93" s="11" t="s">
        <v>164</v>
      </c>
      <c r="F93" s="11" t="s">
        <v>131</v>
      </c>
      <c r="G93" s="209">
        <v>4134.17</v>
      </c>
      <c r="H93" s="207">
        <f t="shared" si="4"/>
        <v>5</v>
      </c>
    </row>
    <row r="94" spans="1:8" x14ac:dyDescent="0.35">
      <c r="A94" s="11" t="s">
        <v>372</v>
      </c>
      <c r="B94" s="11" t="s">
        <v>377</v>
      </c>
      <c r="C94" s="11" t="s">
        <v>378</v>
      </c>
      <c r="D94" s="11" t="s">
        <v>310</v>
      </c>
      <c r="E94" s="11" t="s">
        <v>164</v>
      </c>
      <c r="F94" s="11" t="s">
        <v>131</v>
      </c>
      <c r="G94" s="209">
        <v>4134.17</v>
      </c>
      <c r="H94" s="207">
        <f t="shared" si="4"/>
        <v>6</v>
      </c>
    </row>
    <row r="95" spans="1:8" s="88" customFormat="1" x14ac:dyDescent="0.35">
      <c r="A95" s="11" t="s">
        <v>372</v>
      </c>
      <c r="B95" s="11" t="s">
        <v>377</v>
      </c>
      <c r="C95" s="11" t="s">
        <v>378</v>
      </c>
      <c r="D95" s="11" t="s">
        <v>311</v>
      </c>
      <c r="E95" s="11" t="s">
        <v>164</v>
      </c>
      <c r="F95" s="11" t="s">
        <v>131</v>
      </c>
      <c r="G95" s="209">
        <v>4134.17</v>
      </c>
      <c r="H95" s="207">
        <f t="shared" si="4"/>
        <v>7</v>
      </c>
    </row>
    <row r="96" spans="1:8" s="88" customFormat="1" x14ac:dyDescent="0.35">
      <c r="A96" s="11" t="s">
        <v>372</v>
      </c>
      <c r="B96" s="11" t="s">
        <v>377</v>
      </c>
      <c r="C96" s="11" t="s">
        <v>378</v>
      </c>
      <c r="D96" s="11" t="s">
        <v>312</v>
      </c>
      <c r="E96" s="11" t="s">
        <v>164</v>
      </c>
      <c r="F96" s="11" t="s">
        <v>131</v>
      </c>
      <c r="G96" s="209">
        <v>4134.17</v>
      </c>
      <c r="H96" s="207">
        <f t="shared" si="4"/>
        <v>8</v>
      </c>
    </row>
    <row r="97" spans="1:8" s="88" customFormat="1" x14ac:dyDescent="0.35">
      <c r="A97" s="11" t="s">
        <v>372</v>
      </c>
      <c r="B97" s="11" t="s">
        <v>377</v>
      </c>
      <c r="C97" s="11" t="s">
        <v>378</v>
      </c>
      <c r="D97" s="11" t="s">
        <v>313</v>
      </c>
      <c r="E97" s="11" t="s">
        <v>164</v>
      </c>
      <c r="F97" s="11" t="s">
        <v>131</v>
      </c>
      <c r="G97" s="209">
        <v>4134.17</v>
      </c>
      <c r="H97" s="207">
        <f t="shared" si="4"/>
        <v>9</v>
      </c>
    </row>
    <row r="98" spans="1:8" s="88" customFormat="1" x14ac:dyDescent="0.35">
      <c r="A98" s="11" t="s">
        <v>372</v>
      </c>
      <c r="B98" s="11" t="s">
        <v>377</v>
      </c>
      <c r="C98" s="11" t="s">
        <v>378</v>
      </c>
      <c r="D98" s="11" t="s">
        <v>314</v>
      </c>
      <c r="E98" s="11" t="s">
        <v>164</v>
      </c>
      <c r="F98" s="11" t="s">
        <v>131</v>
      </c>
      <c r="G98" s="209">
        <v>4134.17</v>
      </c>
      <c r="H98" s="207">
        <f t="shared" si="4"/>
        <v>10</v>
      </c>
    </row>
    <row r="99" spans="1:8" s="88" customFormat="1" x14ac:dyDescent="0.35">
      <c r="A99" s="11" t="s">
        <v>372</v>
      </c>
      <c r="B99" s="11" t="s">
        <v>377</v>
      </c>
      <c r="C99" s="11" t="s">
        <v>378</v>
      </c>
      <c r="D99" s="11" t="s">
        <v>315</v>
      </c>
      <c r="E99" s="11" t="s">
        <v>164</v>
      </c>
      <c r="F99" s="11" t="s">
        <v>131</v>
      </c>
      <c r="G99" s="209">
        <v>4134.17</v>
      </c>
      <c r="H99" s="207">
        <f t="shared" si="4"/>
        <v>11</v>
      </c>
    </row>
    <row r="100" spans="1:8" s="88" customFormat="1" x14ac:dyDescent="0.35">
      <c r="A100" s="11" t="s">
        <v>372</v>
      </c>
      <c r="B100" s="11" t="s">
        <v>377</v>
      </c>
      <c r="C100" s="11" t="s">
        <v>378</v>
      </c>
      <c r="D100" s="11" t="s">
        <v>316</v>
      </c>
      <c r="E100" s="11" t="s">
        <v>164</v>
      </c>
      <c r="F100" s="11" t="s">
        <v>131</v>
      </c>
      <c r="G100" s="209">
        <v>4134.17</v>
      </c>
      <c r="H100" s="207">
        <f t="shared" si="4"/>
        <v>12</v>
      </c>
    </row>
    <row r="101" spans="1:8" s="88" customFormat="1" x14ac:dyDescent="0.35">
      <c r="A101" s="11" t="s">
        <v>372</v>
      </c>
      <c r="B101" s="11" t="s">
        <v>379</v>
      </c>
      <c r="C101" s="11" t="s">
        <v>380</v>
      </c>
      <c r="D101" s="11" t="s">
        <v>305</v>
      </c>
      <c r="E101" s="11" t="s">
        <v>164</v>
      </c>
      <c r="F101" s="11" t="s">
        <v>131</v>
      </c>
      <c r="G101" s="209">
        <v>1429.17</v>
      </c>
      <c r="H101" s="207">
        <f t="shared" si="4"/>
        <v>1</v>
      </c>
    </row>
    <row r="102" spans="1:8" s="88" customFormat="1" x14ac:dyDescent="0.35">
      <c r="A102" s="11" t="s">
        <v>372</v>
      </c>
      <c r="B102" s="11" t="s">
        <v>379</v>
      </c>
      <c r="C102" s="11" t="s">
        <v>380</v>
      </c>
      <c r="D102" s="11" t="s">
        <v>306</v>
      </c>
      <c r="E102" s="11" t="s">
        <v>164</v>
      </c>
      <c r="F102" s="11" t="s">
        <v>131</v>
      </c>
      <c r="G102" s="209">
        <v>1429.17</v>
      </c>
      <c r="H102" s="207">
        <f t="shared" si="4"/>
        <v>2</v>
      </c>
    </row>
    <row r="103" spans="1:8" s="88" customFormat="1" x14ac:dyDescent="0.35">
      <c r="A103" s="11" t="s">
        <v>372</v>
      </c>
      <c r="B103" s="11" t="s">
        <v>379</v>
      </c>
      <c r="C103" s="11" t="s">
        <v>380</v>
      </c>
      <c r="D103" s="11" t="s">
        <v>307</v>
      </c>
      <c r="E103" s="11" t="s">
        <v>164</v>
      </c>
      <c r="F103" s="11" t="s">
        <v>131</v>
      </c>
      <c r="G103" s="209">
        <v>1429.17</v>
      </c>
      <c r="H103" s="207">
        <f t="shared" si="4"/>
        <v>3</v>
      </c>
    </row>
    <row r="104" spans="1:8" s="88" customFormat="1" x14ac:dyDescent="0.35">
      <c r="A104" s="11" t="s">
        <v>372</v>
      </c>
      <c r="B104" s="11" t="s">
        <v>379</v>
      </c>
      <c r="C104" s="11" t="s">
        <v>380</v>
      </c>
      <c r="D104" s="11" t="s">
        <v>308</v>
      </c>
      <c r="E104" s="11" t="s">
        <v>164</v>
      </c>
      <c r="F104" s="11" t="s">
        <v>131</v>
      </c>
      <c r="G104" s="209">
        <v>1429.17</v>
      </c>
      <c r="H104" s="207">
        <f t="shared" si="4"/>
        <v>4</v>
      </c>
    </row>
    <row r="105" spans="1:8" s="88" customFormat="1" x14ac:dyDescent="0.35">
      <c r="A105" s="11" t="s">
        <v>372</v>
      </c>
      <c r="B105" s="11" t="s">
        <v>381</v>
      </c>
      <c r="C105" s="11" t="s">
        <v>382</v>
      </c>
      <c r="D105" s="11" t="s">
        <v>305</v>
      </c>
      <c r="E105" s="11" t="s">
        <v>164</v>
      </c>
      <c r="F105" s="11" t="s">
        <v>131</v>
      </c>
      <c r="G105" s="209">
        <v>15943.88</v>
      </c>
      <c r="H105" s="207">
        <f t="shared" si="4"/>
        <v>1</v>
      </c>
    </row>
    <row r="106" spans="1:8" s="88" customFormat="1" x14ac:dyDescent="0.35">
      <c r="A106" s="11" t="s">
        <v>372</v>
      </c>
      <c r="B106" s="11" t="s">
        <v>381</v>
      </c>
      <c r="C106" s="11" t="s">
        <v>382</v>
      </c>
      <c r="D106" s="11" t="s">
        <v>306</v>
      </c>
      <c r="E106" s="11" t="s">
        <v>164</v>
      </c>
      <c r="F106" s="11" t="s">
        <v>131</v>
      </c>
      <c r="G106" s="209">
        <v>15943.88</v>
      </c>
      <c r="H106" s="207">
        <f t="shared" si="4"/>
        <v>2</v>
      </c>
    </row>
    <row r="107" spans="1:8" s="88" customFormat="1" x14ac:dyDescent="0.35">
      <c r="A107" s="11" t="s">
        <v>372</v>
      </c>
      <c r="B107" s="11" t="s">
        <v>381</v>
      </c>
      <c r="C107" s="11" t="s">
        <v>382</v>
      </c>
      <c r="D107" s="11" t="s">
        <v>307</v>
      </c>
      <c r="E107" s="11" t="s">
        <v>164</v>
      </c>
      <c r="F107" s="11" t="s">
        <v>131</v>
      </c>
      <c r="G107" s="209">
        <v>15943.88</v>
      </c>
      <c r="H107" s="207">
        <f t="shared" si="0"/>
        <v>3</v>
      </c>
    </row>
    <row r="108" spans="1:8" s="88" customFormat="1" x14ac:dyDescent="0.35">
      <c r="A108" s="11" t="s">
        <v>372</v>
      </c>
      <c r="B108" s="11" t="s">
        <v>381</v>
      </c>
      <c r="C108" s="11" t="s">
        <v>382</v>
      </c>
      <c r="D108" s="11" t="s">
        <v>308</v>
      </c>
      <c r="E108" s="11" t="s">
        <v>164</v>
      </c>
      <c r="F108" s="11" t="s">
        <v>131</v>
      </c>
      <c r="G108" s="209">
        <v>15943.88</v>
      </c>
      <c r="H108" s="207">
        <f t="shared" si="0"/>
        <v>4</v>
      </c>
    </row>
    <row r="109" spans="1:8" s="88" customFormat="1" x14ac:dyDescent="0.35">
      <c r="A109" s="11" t="s">
        <v>372</v>
      </c>
      <c r="B109" s="11" t="s">
        <v>381</v>
      </c>
      <c r="C109" s="11" t="s">
        <v>382</v>
      </c>
      <c r="D109" s="11" t="s">
        <v>309</v>
      </c>
      <c r="E109" s="11" t="s">
        <v>164</v>
      </c>
      <c r="F109" s="11" t="s">
        <v>131</v>
      </c>
      <c r="G109" s="209">
        <v>15943.88</v>
      </c>
      <c r="H109" s="207">
        <f t="shared" si="0"/>
        <v>5</v>
      </c>
    </row>
    <row r="110" spans="1:8" s="88" customFormat="1" x14ac:dyDescent="0.35">
      <c r="A110" s="11" t="s">
        <v>372</v>
      </c>
      <c r="B110" s="11" t="s">
        <v>381</v>
      </c>
      <c r="C110" s="11" t="s">
        <v>382</v>
      </c>
      <c r="D110" s="11" t="s">
        <v>310</v>
      </c>
      <c r="E110" s="11" t="s">
        <v>164</v>
      </c>
      <c r="F110" s="11" t="s">
        <v>131</v>
      </c>
      <c r="G110" s="209">
        <v>15943.88</v>
      </c>
      <c r="H110" s="207">
        <f t="shared" si="0"/>
        <v>6</v>
      </c>
    </row>
    <row r="111" spans="1:8" s="88" customFormat="1" x14ac:dyDescent="0.35">
      <c r="A111" s="11" t="s">
        <v>372</v>
      </c>
      <c r="B111" s="11" t="s">
        <v>381</v>
      </c>
      <c r="C111" s="11" t="s">
        <v>382</v>
      </c>
      <c r="D111" s="11" t="s">
        <v>311</v>
      </c>
      <c r="E111" s="11" t="s">
        <v>164</v>
      </c>
      <c r="F111" s="11" t="s">
        <v>131</v>
      </c>
      <c r="G111" s="209">
        <v>15943.88</v>
      </c>
      <c r="H111" s="207">
        <f t="shared" si="0"/>
        <v>7</v>
      </c>
    </row>
    <row r="112" spans="1:8" s="88" customFormat="1" x14ac:dyDescent="0.35">
      <c r="A112" s="11" t="s">
        <v>372</v>
      </c>
      <c r="B112" s="11" t="s">
        <v>381</v>
      </c>
      <c r="C112" s="11" t="s">
        <v>382</v>
      </c>
      <c r="D112" s="11" t="s">
        <v>312</v>
      </c>
      <c r="E112" s="11" t="s">
        <v>164</v>
      </c>
      <c r="F112" s="11" t="s">
        <v>131</v>
      </c>
      <c r="G112" s="209">
        <v>15943.88</v>
      </c>
      <c r="H112" s="207">
        <f t="shared" si="0"/>
        <v>8</v>
      </c>
    </row>
    <row r="113" spans="1:8" s="88" customFormat="1" x14ac:dyDescent="0.35">
      <c r="A113" s="11" t="s">
        <v>372</v>
      </c>
      <c r="B113" s="11" t="s">
        <v>381</v>
      </c>
      <c r="C113" s="11" t="s">
        <v>382</v>
      </c>
      <c r="D113" s="11" t="s">
        <v>313</v>
      </c>
      <c r="E113" s="11" t="s">
        <v>164</v>
      </c>
      <c r="F113" s="11" t="s">
        <v>131</v>
      </c>
      <c r="G113" s="209">
        <v>16230.44</v>
      </c>
      <c r="H113" s="207">
        <f t="shared" ref="H113:H194" si="5">IF(D113="",0,MONTH(D113))</f>
        <v>9</v>
      </c>
    </row>
    <row r="114" spans="1:8" s="88" customFormat="1" x14ac:dyDescent="0.35">
      <c r="A114" s="11" t="s">
        <v>372</v>
      </c>
      <c r="B114" s="11" t="s">
        <v>381</v>
      </c>
      <c r="C114" s="11" t="s">
        <v>382</v>
      </c>
      <c r="D114" s="11" t="s">
        <v>314</v>
      </c>
      <c r="E114" s="11" t="s">
        <v>164</v>
      </c>
      <c r="F114" s="11" t="s">
        <v>131</v>
      </c>
      <c r="G114" s="209">
        <v>16230.44</v>
      </c>
      <c r="H114" s="207">
        <f t="shared" si="5"/>
        <v>10</v>
      </c>
    </row>
    <row r="115" spans="1:8" s="88" customFormat="1" x14ac:dyDescent="0.35">
      <c r="A115" s="11" t="s">
        <v>372</v>
      </c>
      <c r="B115" s="11" t="s">
        <v>381</v>
      </c>
      <c r="C115" s="11" t="s">
        <v>382</v>
      </c>
      <c r="D115" s="11" t="s">
        <v>315</v>
      </c>
      <c r="E115" s="11" t="s">
        <v>164</v>
      </c>
      <c r="F115" s="11" t="s">
        <v>131</v>
      </c>
      <c r="G115" s="209">
        <v>16230.44</v>
      </c>
      <c r="H115" s="207">
        <f t="shared" si="5"/>
        <v>11</v>
      </c>
    </row>
    <row r="116" spans="1:8" s="88" customFormat="1" x14ac:dyDescent="0.35">
      <c r="A116" s="11" t="s">
        <v>372</v>
      </c>
      <c r="B116" s="11" t="s">
        <v>381</v>
      </c>
      <c r="C116" s="11" t="s">
        <v>382</v>
      </c>
      <c r="D116" s="11" t="s">
        <v>316</v>
      </c>
      <c r="E116" s="11" t="s">
        <v>164</v>
      </c>
      <c r="F116" s="11" t="s">
        <v>131</v>
      </c>
      <c r="G116" s="209">
        <v>16230.44</v>
      </c>
      <c r="H116" s="207">
        <f t="shared" si="5"/>
        <v>12</v>
      </c>
    </row>
    <row r="117" spans="1:8" s="88" customFormat="1" x14ac:dyDescent="0.35">
      <c r="A117" s="11" t="s">
        <v>372</v>
      </c>
      <c r="B117" s="11" t="s">
        <v>383</v>
      </c>
      <c r="C117" s="11" t="s">
        <v>384</v>
      </c>
      <c r="D117" s="11" t="s">
        <v>305</v>
      </c>
      <c r="E117" s="11" t="s">
        <v>164</v>
      </c>
      <c r="F117" s="11" t="s">
        <v>131</v>
      </c>
      <c r="G117" s="209">
        <v>4203.88</v>
      </c>
      <c r="H117" s="207">
        <f t="shared" si="5"/>
        <v>1</v>
      </c>
    </row>
    <row r="118" spans="1:8" s="88" customFormat="1" x14ac:dyDescent="0.35">
      <c r="A118" s="11" t="s">
        <v>372</v>
      </c>
      <c r="B118" s="11" t="s">
        <v>383</v>
      </c>
      <c r="C118" s="11" t="s">
        <v>384</v>
      </c>
      <c r="D118" s="11" t="s">
        <v>306</v>
      </c>
      <c r="E118" s="11" t="s">
        <v>164</v>
      </c>
      <c r="F118" s="11" t="s">
        <v>131</v>
      </c>
      <c r="G118" s="209">
        <v>4203.88</v>
      </c>
      <c r="H118" s="207">
        <f t="shared" si="5"/>
        <v>2</v>
      </c>
    </row>
    <row r="119" spans="1:8" s="88" customFormat="1" x14ac:dyDescent="0.35">
      <c r="A119" s="11" t="s">
        <v>372</v>
      </c>
      <c r="B119" s="11" t="s">
        <v>383</v>
      </c>
      <c r="C119" s="11" t="s">
        <v>384</v>
      </c>
      <c r="D119" s="11" t="s">
        <v>307</v>
      </c>
      <c r="E119" s="11" t="s">
        <v>164</v>
      </c>
      <c r="F119" s="11" t="s">
        <v>131</v>
      </c>
      <c r="G119" s="209">
        <v>4203.88</v>
      </c>
      <c r="H119" s="207">
        <f t="shared" ref="H119:H136" si="6">IF(D119="",0,MONTH(D119))</f>
        <v>3</v>
      </c>
    </row>
    <row r="120" spans="1:8" s="88" customFormat="1" x14ac:dyDescent="0.35">
      <c r="A120" s="11" t="s">
        <v>372</v>
      </c>
      <c r="B120" s="11" t="s">
        <v>385</v>
      </c>
      <c r="C120" s="11" t="s">
        <v>386</v>
      </c>
      <c r="D120" s="11" t="s">
        <v>305</v>
      </c>
      <c r="E120" s="11" t="s">
        <v>164</v>
      </c>
      <c r="F120" s="11" t="s">
        <v>131</v>
      </c>
      <c r="G120" s="211">
        <v>789.08</v>
      </c>
      <c r="H120" s="207">
        <f t="shared" si="6"/>
        <v>1</v>
      </c>
    </row>
    <row r="121" spans="1:8" s="88" customFormat="1" x14ac:dyDescent="0.35">
      <c r="A121" s="11" t="s">
        <v>372</v>
      </c>
      <c r="B121" s="11" t="s">
        <v>385</v>
      </c>
      <c r="C121" s="11" t="s">
        <v>386</v>
      </c>
      <c r="D121" s="11" t="s">
        <v>306</v>
      </c>
      <c r="E121" s="11" t="s">
        <v>164</v>
      </c>
      <c r="F121" s="11" t="s">
        <v>131</v>
      </c>
      <c r="G121" s="211">
        <v>789.08</v>
      </c>
      <c r="H121" s="207">
        <f t="shared" si="6"/>
        <v>2</v>
      </c>
    </row>
    <row r="122" spans="1:8" s="88" customFormat="1" x14ac:dyDescent="0.35">
      <c r="A122" s="11" t="s">
        <v>372</v>
      </c>
      <c r="B122" s="11" t="s">
        <v>385</v>
      </c>
      <c r="C122" s="11" t="s">
        <v>386</v>
      </c>
      <c r="D122" s="11" t="s">
        <v>307</v>
      </c>
      <c r="E122" s="11" t="s">
        <v>164</v>
      </c>
      <c r="F122" s="11" t="s">
        <v>131</v>
      </c>
      <c r="G122" s="211">
        <v>789.08</v>
      </c>
      <c r="H122" s="207">
        <f t="shared" si="6"/>
        <v>3</v>
      </c>
    </row>
    <row r="123" spans="1:8" s="88" customFormat="1" x14ac:dyDescent="0.35">
      <c r="A123" s="11" t="s">
        <v>372</v>
      </c>
      <c r="B123" s="11" t="s">
        <v>385</v>
      </c>
      <c r="C123" s="11" t="s">
        <v>386</v>
      </c>
      <c r="D123" s="11" t="s">
        <v>308</v>
      </c>
      <c r="E123" s="11" t="s">
        <v>164</v>
      </c>
      <c r="F123" s="11" t="s">
        <v>131</v>
      </c>
      <c r="G123" s="211">
        <v>812.29</v>
      </c>
      <c r="H123" s="207">
        <f t="shared" si="6"/>
        <v>4</v>
      </c>
    </row>
    <row r="124" spans="1:8" s="88" customFormat="1" x14ac:dyDescent="0.35">
      <c r="A124" s="11" t="s">
        <v>372</v>
      </c>
      <c r="B124" s="11" t="s">
        <v>385</v>
      </c>
      <c r="C124" s="11" t="s">
        <v>386</v>
      </c>
      <c r="D124" s="11" t="s">
        <v>309</v>
      </c>
      <c r="E124" s="11" t="s">
        <v>164</v>
      </c>
      <c r="F124" s="11" t="s">
        <v>131</v>
      </c>
      <c r="G124" s="211">
        <v>812.29</v>
      </c>
      <c r="H124" s="207">
        <f t="shared" si="6"/>
        <v>5</v>
      </c>
    </row>
    <row r="125" spans="1:8" x14ac:dyDescent="0.35">
      <c r="A125" s="11" t="s">
        <v>372</v>
      </c>
      <c r="B125" s="11" t="s">
        <v>385</v>
      </c>
      <c r="C125" s="11" t="s">
        <v>386</v>
      </c>
      <c r="D125" s="11" t="s">
        <v>310</v>
      </c>
      <c r="E125" s="11" t="s">
        <v>164</v>
      </c>
      <c r="F125" s="11" t="s">
        <v>131</v>
      </c>
      <c r="G125" s="211">
        <v>812.29</v>
      </c>
      <c r="H125" s="207">
        <f t="shared" si="6"/>
        <v>6</v>
      </c>
    </row>
    <row r="126" spans="1:8" x14ac:dyDescent="0.35">
      <c r="A126" s="11" t="s">
        <v>372</v>
      </c>
      <c r="B126" s="11" t="s">
        <v>385</v>
      </c>
      <c r="C126" s="11" t="s">
        <v>386</v>
      </c>
      <c r="D126" s="11" t="s">
        <v>311</v>
      </c>
      <c r="E126" s="11" t="s">
        <v>164</v>
      </c>
      <c r="F126" s="11" t="s">
        <v>131</v>
      </c>
      <c r="G126" s="211">
        <v>812.29</v>
      </c>
      <c r="H126" s="207">
        <f t="shared" si="6"/>
        <v>7</v>
      </c>
    </row>
    <row r="127" spans="1:8" x14ac:dyDescent="0.35">
      <c r="A127" s="11" t="s">
        <v>372</v>
      </c>
      <c r="B127" s="11" t="s">
        <v>385</v>
      </c>
      <c r="C127" s="11" t="s">
        <v>386</v>
      </c>
      <c r="D127" s="11" t="s">
        <v>312</v>
      </c>
      <c r="E127" s="11" t="s">
        <v>164</v>
      </c>
      <c r="F127" s="11" t="s">
        <v>131</v>
      </c>
      <c r="G127" s="211">
        <v>812.29</v>
      </c>
      <c r="H127" s="207">
        <f t="shared" si="6"/>
        <v>8</v>
      </c>
    </row>
    <row r="128" spans="1:8" x14ac:dyDescent="0.35">
      <c r="A128" s="11" t="s">
        <v>372</v>
      </c>
      <c r="B128" s="11" t="s">
        <v>385</v>
      </c>
      <c r="C128" s="11" t="s">
        <v>386</v>
      </c>
      <c r="D128" s="11" t="s">
        <v>313</v>
      </c>
      <c r="E128" s="11" t="s">
        <v>164</v>
      </c>
      <c r="F128" s="11" t="s">
        <v>131</v>
      </c>
      <c r="G128" s="211">
        <v>812.29</v>
      </c>
      <c r="H128" s="207">
        <f t="shared" si="6"/>
        <v>9</v>
      </c>
    </row>
    <row r="129" spans="1:8" x14ac:dyDescent="0.35">
      <c r="A129" s="11" t="s">
        <v>372</v>
      </c>
      <c r="B129" s="11" t="s">
        <v>385</v>
      </c>
      <c r="C129" s="11" t="s">
        <v>386</v>
      </c>
      <c r="D129" s="11" t="s">
        <v>314</v>
      </c>
      <c r="E129" s="11" t="s">
        <v>164</v>
      </c>
      <c r="F129" s="11" t="s">
        <v>131</v>
      </c>
      <c r="G129" s="211">
        <v>812.29</v>
      </c>
      <c r="H129" s="207">
        <f t="shared" si="6"/>
        <v>10</v>
      </c>
    </row>
    <row r="130" spans="1:8" x14ac:dyDescent="0.35">
      <c r="A130" s="11" t="s">
        <v>372</v>
      </c>
      <c r="B130" s="11" t="s">
        <v>385</v>
      </c>
      <c r="C130" s="11" t="s">
        <v>386</v>
      </c>
      <c r="D130" s="11" t="s">
        <v>315</v>
      </c>
      <c r="E130" s="11" t="s">
        <v>164</v>
      </c>
      <c r="F130" s="11" t="s">
        <v>131</v>
      </c>
      <c r="G130" s="211">
        <v>812.29</v>
      </c>
      <c r="H130" s="207">
        <f t="shared" si="6"/>
        <v>11</v>
      </c>
    </row>
    <row r="131" spans="1:8" x14ac:dyDescent="0.35">
      <c r="A131" s="11" t="s">
        <v>372</v>
      </c>
      <c r="B131" s="11" t="s">
        <v>385</v>
      </c>
      <c r="C131" s="11" t="s">
        <v>386</v>
      </c>
      <c r="D131" s="11" t="s">
        <v>316</v>
      </c>
      <c r="E131" s="11" t="s">
        <v>164</v>
      </c>
      <c r="F131" s="11" t="s">
        <v>131</v>
      </c>
      <c r="G131" s="211">
        <v>812.29</v>
      </c>
      <c r="H131" s="207">
        <f t="shared" si="6"/>
        <v>12</v>
      </c>
    </row>
    <row r="132" spans="1:8" x14ac:dyDescent="0.35">
      <c r="A132" s="11" t="s">
        <v>372</v>
      </c>
      <c r="B132" s="11" t="s">
        <v>387</v>
      </c>
      <c r="C132" s="11" t="s">
        <v>388</v>
      </c>
      <c r="D132" s="11" t="s">
        <v>305</v>
      </c>
      <c r="E132" s="11" t="s">
        <v>164</v>
      </c>
      <c r="F132" s="11" t="s">
        <v>131</v>
      </c>
      <c r="G132" s="211">
        <v>723.13</v>
      </c>
      <c r="H132" s="207">
        <f t="shared" si="6"/>
        <v>1</v>
      </c>
    </row>
    <row r="133" spans="1:8" x14ac:dyDescent="0.35">
      <c r="A133" s="11" t="s">
        <v>372</v>
      </c>
      <c r="B133" s="11" t="s">
        <v>387</v>
      </c>
      <c r="C133" s="11" t="s">
        <v>388</v>
      </c>
      <c r="D133" s="11" t="s">
        <v>306</v>
      </c>
      <c r="E133" s="11" t="s">
        <v>164</v>
      </c>
      <c r="F133" s="11" t="s">
        <v>131</v>
      </c>
      <c r="G133" s="211">
        <v>723.13</v>
      </c>
      <c r="H133" s="207">
        <f t="shared" si="6"/>
        <v>2</v>
      </c>
    </row>
    <row r="134" spans="1:8" x14ac:dyDescent="0.35">
      <c r="A134" s="11" t="s">
        <v>372</v>
      </c>
      <c r="B134" s="11" t="s">
        <v>387</v>
      </c>
      <c r="C134" s="11" t="s">
        <v>388</v>
      </c>
      <c r="D134" s="11" t="s">
        <v>307</v>
      </c>
      <c r="E134" s="11" t="s">
        <v>164</v>
      </c>
      <c r="F134" s="11" t="s">
        <v>131</v>
      </c>
      <c r="G134" s="211">
        <v>723.13</v>
      </c>
      <c r="H134" s="207">
        <f t="shared" si="6"/>
        <v>3</v>
      </c>
    </row>
    <row r="135" spans="1:8" x14ac:dyDescent="0.35">
      <c r="A135" s="11" t="s">
        <v>372</v>
      </c>
      <c r="B135" s="11" t="s">
        <v>387</v>
      </c>
      <c r="C135" s="11" t="s">
        <v>388</v>
      </c>
      <c r="D135" s="11" t="s">
        <v>308</v>
      </c>
      <c r="E135" s="11" t="s">
        <v>164</v>
      </c>
      <c r="F135" s="11" t="s">
        <v>131</v>
      </c>
      <c r="G135" s="211">
        <v>723.13</v>
      </c>
      <c r="H135" s="207">
        <f t="shared" si="6"/>
        <v>4</v>
      </c>
    </row>
    <row r="136" spans="1:8" x14ac:dyDescent="0.35">
      <c r="A136" s="11" t="s">
        <v>372</v>
      </c>
      <c r="B136" s="11" t="s">
        <v>387</v>
      </c>
      <c r="C136" s="11" t="s">
        <v>388</v>
      </c>
      <c r="D136" s="11" t="s">
        <v>309</v>
      </c>
      <c r="E136" s="11" t="s">
        <v>164</v>
      </c>
      <c r="F136" s="11" t="s">
        <v>131</v>
      </c>
      <c r="G136" s="211">
        <v>723.13</v>
      </c>
      <c r="H136" s="207">
        <f t="shared" si="6"/>
        <v>5</v>
      </c>
    </row>
    <row r="137" spans="1:8" x14ac:dyDescent="0.35">
      <c r="A137" s="11" t="s">
        <v>372</v>
      </c>
      <c r="B137" s="11" t="s">
        <v>387</v>
      </c>
      <c r="C137" s="11" t="s">
        <v>388</v>
      </c>
      <c r="D137" s="11" t="s">
        <v>310</v>
      </c>
      <c r="E137" s="11" t="s">
        <v>164</v>
      </c>
      <c r="F137" s="11" t="s">
        <v>131</v>
      </c>
      <c r="G137" s="211">
        <v>723.13</v>
      </c>
      <c r="H137" s="207">
        <f t="shared" si="5"/>
        <v>6</v>
      </c>
    </row>
    <row r="138" spans="1:8" x14ac:dyDescent="0.35">
      <c r="A138" s="11" t="s">
        <v>372</v>
      </c>
      <c r="B138" s="11" t="s">
        <v>387</v>
      </c>
      <c r="C138" s="11" t="s">
        <v>388</v>
      </c>
      <c r="D138" s="11" t="s">
        <v>311</v>
      </c>
      <c r="E138" s="11" t="s">
        <v>164</v>
      </c>
      <c r="F138" s="11" t="s">
        <v>131</v>
      </c>
      <c r="G138" s="211">
        <v>723.13</v>
      </c>
      <c r="H138" s="207">
        <f t="shared" si="5"/>
        <v>7</v>
      </c>
    </row>
    <row r="139" spans="1:8" x14ac:dyDescent="0.35">
      <c r="A139" s="11" t="s">
        <v>372</v>
      </c>
      <c r="B139" s="11" t="s">
        <v>387</v>
      </c>
      <c r="C139" s="11" t="s">
        <v>388</v>
      </c>
      <c r="D139" s="11" t="s">
        <v>312</v>
      </c>
      <c r="E139" s="11" t="s">
        <v>164</v>
      </c>
      <c r="F139" s="11" t="s">
        <v>131</v>
      </c>
      <c r="G139" s="211">
        <v>741.67</v>
      </c>
      <c r="H139" s="207">
        <f t="shared" si="5"/>
        <v>8</v>
      </c>
    </row>
    <row r="140" spans="1:8" x14ac:dyDescent="0.35">
      <c r="A140" s="11" t="s">
        <v>372</v>
      </c>
      <c r="B140" s="11" t="s">
        <v>387</v>
      </c>
      <c r="C140" s="11" t="s">
        <v>388</v>
      </c>
      <c r="D140" s="11" t="s">
        <v>313</v>
      </c>
      <c r="E140" s="11" t="s">
        <v>164</v>
      </c>
      <c r="F140" s="11" t="s">
        <v>131</v>
      </c>
      <c r="G140" s="211">
        <v>741.67</v>
      </c>
      <c r="H140" s="207">
        <f t="shared" si="5"/>
        <v>9</v>
      </c>
    </row>
    <row r="141" spans="1:8" x14ac:dyDescent="0.35">
      <c r="A141" s="11" t="s">
        <v>372</v>
      </c>
      <c r="B141" s="11" t="s">
        <v>387</v>
      </c>
      <c r="C141" s="11" t="s">
        <v>388</v>
      </c>
      <c r="D141" s="11" t="s">
        <v>314</v>
      </c>
      <c r="E141" s="11" t="s">
        <v>164</v>
      </c>
      <c r="F141" s="11" t="s">
        <v>131</v>
      </c>
      <c r="G141" s="211">
        <v>741.67</v>
      </c>
      <c r="H141" s="207">
        <f t="shared" si="5"/>
        <v>10</v>
      </c>
    </row>
    <row r="142" spans="1:8" x14ac:dyDescent="0.35">
      <c r="A142" s="11" t="s">
        <v>372</v>
      </c>
      <c r="B142" s="11" t="s">
        <v>387</v>
      </c>
      <c r="C142" s="11" t="s">
        <v>388</v>
      </c>
      <c r="D142" s="11" t="s">
        <v>315</v>
      </c>
      <c r="E142" s="11" t="s">
        <v>164</v>
      </c>
      <c r="F142" s="11" t="s">
        <v>131</v>
      </c>
      <c r="G142" s="211">
        <v>741.67</v>
      </c>
      <c r="H142" s="207">
        <f t="shared" si="5"/>
        <v>11</v>
      </c>
    </row>
    <row r="143" spans="1:8" x14ac:dyDescent="0.35">
      <c r="A143" s="11" t="s">
        <v>372</v>
      </c>
      <c r="B143" s="11" t="s">
        <v>387</v>
      </c>
      <c r="C143" s="11" t="s">
        <v>388</v>
      </c>
      <c r="D143" s="11" t="s">
        <v>316</v>
      </c>
      <c r="E143" s="11" t="s">
        <v>164</v>
      </c>
      <c r="F143" s="11" t="s">
        <v>131</v>
      </c>
      <c r="G143" s="211">
        <v>741.67</v>
      </c>
      <c r="H143" s="207">
        <f t="shared" si="5"/>
        <v>12</v>
      </c>
    </row>
    <row r="144" spans="1:8" x14ac:dyDescent="0.35">
      <c r="A144" s="11" t="s">
        <v>372</v>
      </c>
      <c r="B144" s="11" t="s">
        <v>389</v>
      </c>
      <c r="C144" s="11" t="s">
        <v>390</v>
      </c>
      <c r="D144" s="11" t="s">
        <v>305</v>
      </c>
      <c r="E144" s="11" t="s">
        <v>164</v>
      </c>
      <c r="F144" s="11" t="s">
        <v>131</v>
      </c>
      <c r="G144" s="209">
        <v>0</v>
      </c>
      <c r="H144" s="207">
        <f t="shared" si="5"/>
        <v>1</v>
      </c>
    </row>
    <row r="145" spans="1:8" x14ac:dyDescent="0.35">
      <c r="A145" s="11" t="s">
        <v>372</v>
      </c>
      <c r="B145" s="11" t="s">
        <v>389</v>
      </c>
      <c r="C145" s="11" t="s">
        <v>390</v>
      </c>
      <c r="D145" s="11" t="s">
        <v>306</v>
      </c>
      <c r="E145" s="11" t="s">
        <v>164</v>
      </c>
      <c r="F145" s="11" t="s">
        <v>131</v>
      </c>
      <c r="G145" s="209">
        <v>0</v>
      </c>
      <c r="H145" s="207">
        <f t="shared" si="5"/>
        <v>2</v>
      </c>
    </row>
    <row r="146" spans="1:8" x14ac:dyDescent="0.35">
      <c r="A146" s="11" t="s">
        <v>372</v>
      </c>
      <c r="B146" s="11" t="s">
        <v>389</v>
      </c>
      <c r="C146" s="11" t="s">
        <v>390</v>
      </c>
      <c r="D146" s="11" t="s">
        <v>307</v>
      </c>
      <c r="E146" s="11" t="s">
        <v>164</v>
      </c>
      <c r="F146" s="11" t="s">
        <v>131</v>
      </c>
      <c r="G146" s="209">
        <v>0</v>
      </c>
      <c r="H146" s="207">
        <f t="shared" si="5"/>
        <v>3</v>
      </c>
    </row>
    <row r="147" spans="1:8" x14ac:dyDescent="0.35">
      <c r="A147" s="11" t="s">
        <v>372</v>
      </c>
      <c r="B147" s="11" t="s">
        <v>389</v>
      </c>
      <c r="C147" s="11" t="s">
        <v>390</v>
      </c>
      <c r="D147" s="11" t="s">
        <v>308</v>
      </c>
      <c r="E147" s="11" t="s">
        <v>164</v>
      </c>
      <c r="F147" s="11" t="s">
        <v>131</v>
      </c>
      <c r="G147" s="209">
        <v>0</v>
      </c>
      <c r="H147" s="207">
        <f t="shared" si="5"/>
        <v>4</v>
      </c>
    </row>
    <row r="148" spans="1:8" x14ac:dyDescent="0.35">
      <c r="A148" s="11" t="s">
        <v>372</v>
      </c>
      <c r="B148" s="11" t="s">
        <v>389</v>
      </c>
      <c r="C148" s="11" t="s">
        <v>390</v>
      </c>
      <c r="D148" s="11" t="s">
        <v>309</v>
      </c>
      <c r="E148" s="11" t="s">
        <v>164</v>
      </c>
      <c r="F148" s="11" t="s">
        <v>131</v>
      </c>
      <c r="G148" s="209">
        <v>0</v>
      </c>
      <c r="H148" s="207">
        <f t="shared" si="5"/>
        <v>5</v>
      </c>
    </row>
    <row r="149" spans="1:8" x14ac:dyDescent="0.35">
      <c r="A149" s="11" t="s">
        <v>372</v>
      </c>
      <c r="B149" s="11" t="s">
        <v>389</v>
      </c>
      <c r="C149" s="11" t="s">
        <v>390</v>
      </c>
      <c r="D149" s="11" t="s">
        <v>310</v>
      </c>
      <c r="E149" s="11" t="s">
        <v>164</v>
      </c>
      <c r="F149" s="11" t="s">
        <v>131</v>
      </c>
      <c r="G149" s="209">
        <v>0</v>
      </c>
      <c r="H149" s="207">
        <f t="shared" si="5"/>
        <v>6</v>
      </c>
    </row>
    <row r="150" spans="1:8" x14ac:dyDescent="0.35">
      <c r="A150" s="11" t="s">
        <v>372</v>
      </c>
      <c r="B150" s="11" t="s">
        <v>389</v>
      </c>
      <c r="C150" s="11" t="s">
        <v>390</v>
      </c>
      <c r="D150" s="11" t="s">
        <v>311</v>
      </c>
      <c r="E150" s="11" t="s">
        <v>164</v>
      </c>
      <c r="F150" s="11" t="s">
        <v>131</v>
      </c>
      <c r="G150" s="209">
        <v>0</v>
      </c>
      <c r="H150" s="207">
        <f t="shared" si="5"/>
        <v>7</v>
      </c>
    </row>
    <row r="151" spans="1:8" x14ac:dyDescent="0.35">
      <c r="A151" s="11" t="s">
        <v>372</v>
      </c>
      <c r="B151" s="11" t="s">
        <v>389</v>
      </c>
      <c r="C151" s="11" t="s">
        <v>390</v>
      </c>
      <c r="D151" s="11" t="s">
        <v>312</v>
      </c>
      <c r="E151" s="11" t="s">
        <v>164</v>
      </c>
      <c r="F151" s="11" t="s">
        <v>131</v>
      </c>
      <c r="G151" s="209">
        <v>0</v>
      </c>
      <c r="H151" s="207">
        <f t="shared" si="5"/>
        <v>8</v>
      </c>
    </row>
    <row r="152" spans="1:8" x14ac:dyDescent="0.35">
      <c r="A152" s="11" t="s">
        <v>372</v>
      </c>
      <c r="B152" s="11" t="s">
        <v>389</v>
      </c>
      <c r="C152" s="11" t="s">
        <v>390</v>
      </c>
      <c r="D152" s="11" t="s">
        <v>313</v>
      </c>
      <c r="E152" s="11" t="s">
        <v>164</v>
      </c>
      <c r="F152" s="11" t="s">
        <v>131</v>
      </c>
      <c r="G152" s="209">
        <v>0</v>
      </c>
      <c r="H152" s="207">
        <f t="shared" si="5"/>
        <v>9</v>
      </c>
    </row>
    <row r="153" spans="1:8" x14ac:dyDescent="0.35">
      <c r="A153" s="11" t="s">
        <v>372</v>
      </c>
      <c r="B153" s="11" t="s">
        <v>389</v>
      </c>
      <c r="C153" s="11" t="s">
        <v>390</v>
      </c>
      <c r="D153" s="11" t="s">
        <v>314</v>
      </c>
      <c r="E153" s="11" t="s">
        <v>164</v>
      </c>
      <c r="F153" s="11" t="s">
        <v>131</v>
      </c>
      <c r="G153" s="209">
        <v>0</v>
      </c>
      <c r="H153" s="207">
        <f t="shared" si="5"/>
        <v>10</v>
      </c>
    </row>
    <row r="154" spans="1:8" x14ac:dyDescent="0.35">
      <c r="A154" s="11" t="s">
        <v>372</v>
      </c>
      <c r="B154" s="11" t="s">
        <v>389</v>
      </c>
      <c r="C154" s="11" t="s">
        <v>390</v>
      </c>
      <c r="D154" s="11" t="s">
        <v>315</v>
      </c>
      <c r="E154" s="11" t="s">
        <v>164</v>
      </c>
      <c r="F154" s="11" t="s">
        <v>131</v>
      </c>
      <c r="G154" s="209">
        <v>0</v>
      </c>
      <c r="H154" s="207">
        <f t="shared" si="5"/>
        <v>11</v>
      </c>
    </row>
    <row r="155" spans="1:8" x14ac:dyDescent="0.35">
      <c r="A155" s="11" t="s">
        <v>372</v>
      </c>
      <c r="B155" s="11" t="s">
        <v>389</v>
      </c>
      <c r="C155" s="11" t="s">
        <v>390</v>
      </c>
      <c r="D155" s="11" t="s">
        <v>316</v>
      </c>
      <c r="E155" s="11" t="s">
        <v>164</v>
      </c>
      <c r="F155" s="11" t="s">
        <v>131</v>
      </c>
      <c r="G155" s="209">
        <v>0</v>
      </c>
      <c r="H155" s="207">
        <f t="shared" si="5"/>
        <v>12</v>
      </c>
    </row>
    <row r="156" spans="1:8" x14ac:dyDescent="0.35">
      <c r="A156" s="11" t="s">
        <v>391</v>
      </c>
      <c r="B156" s="11" t="s">
        <v>392</v>
      </c>
      <c r="C156" s="11" t="s">
        <v>393</v>
      </c>
      <c r="D156" s="11" t="s">
        <v>305</v>
      </c>
      <c r="E156" s="11" t="s">
        <v>164</v>
      </c>
      <c r="F156" s="11" t="s">
        <v>131</v>
      </c>
      <c r="G156" s="209">
        <v>2716.67</v>
      </c>
      <c r="H156" s="207">
        <f t="shared" si="5"/>
        <v>1</v>
      </c>
    </row>
    <row r="157" spans="1:8" x14ac:dyDescent="0.35">
      <c r="A157" s="11" t="s">
        <v>391</v>
      </c>
      <c r="B157" s="11" t="s">
        <v>392</v>
      </c>
      <c r="C157" s="11" t="s">
        <v>393</v>
      </c>
      <c r="D157" s="11" t="s">
        <v>306</v>
      </c>
      <c r="E157" s="11" t="s">
        <v>164</v>
      </c>
      <c r="F157" s="11" t="s">
        <v>131</v>
      </c>
      <c r="G157" s="209">
        <v>2716.67</v>
      </c>
      <c r="H157" s="207">
        <f t="shared" si="5"/>
        <v>2</v>
      </c>
    </row>
    <row r="158" spans="1:8" x14ac:dyDescent="0.35">
      <c r="A158" s="11" t="s">
        <v>391</v>
      </c>
      <c r="B158" s="11" t="s">
        <v>394</v>
      </c>
      <c r="C158" s="11" t="s">
        <v>395</v>
      </c>
      <c r="D158" s="11" t="s">
        <v>305</v>
      </c>
      <c r="E158" s="11" t="s">
        <v>164</v>
      </c>
      <c r="F158" s="11" t="s">
        <v>131</v>
      </c>
      <c r="G158" s="209">
        <v>1831.92</v>
      </c>
      <c r="H158" s="207">
        <f t="shared" si="5"/>
        <v>1</v>
      </c>
    </row>
    <row r="159" spans="1:8" x14ac:dyDescent="0.35">
      <c r="A159" s="11" t="s">
        <v>391</v>
      </c>
      <c r="B159" s="11" t="s">
        <v>394</v>
      </c>
      <c r="C159" s="11" t="s">
        <v>395</v>
      </c>
      <c r="D159" s="11" t="s">
        <v>306</v>
      </c>
      <c r="E159" s="11" t="s">
        <v>164</v>
      </c>
      <c r="F159" s="11" t="s">
        <v>131</v>
      </c>
      <c r="G159" s="209">
        <v>1831.92</v>
      </c>
      <c r="H159" s="207">
        <f t="shared" si="5"/>
        <v>2</v>
      </c>
    </row>
    <row r="160" spans="1:8" x14ac:dyDescent="0.35">
      <c r="A160" s="11" t="s">
        <v>391</v>
      </c>
      <c r="B160" s="11" t="s">
        <v>394</v>
      </c>
      <c r="C160" s="11" t="s">
        <v>395</v>
      </c>
      <c r="D160" s="11" t="s">
        <v>307</v>
      </c>
      <c r="E160" s="11" t="s">
        <v>164</v>
      </c>
      <c r="F160" s="11" t="s">
        <v>131</v>
      </c>
      <c r="G160" s="209">
        <v>1831.92</v>
      </c>
      <c r="H160" s="207">
        <f t="shared" si="5"/>
        <v>3</v>
      </c>
    </row>
    <row r="161" spans="1:8" x14ac:dyDescent="0.35">
      <c r="A161" s="11" t="s">
        <v>391</v>
      </c>
      <c r="B161" s="11" t="s">
        <v>394</v>
      </c>
      <c r="C161" s="11" t="s">
        <v>395</v>
      </c>
      <c r="D161" s="11" t="s">
        <v>308</v>
      </c>
      <c r="E161" s="11" t="s">
        <v>164</v>
      </c>
      <c r="F161" s="11" t="s">
        <v>131</v>
      </c>
      <c r="G161" s="209">
        <v>1831.92</v>
      </c>
      <c r="H161" s="207">
        <f t="shared" si="5"/>
        <v>4</v>
      </c>
    </row>
    <row r="162" spans="1:8" x14ac:dyDescent="0.35">
      <c r="A162" s="11" t="s">
        <v>391</v>
      </c>
      <c r="B162" s="11" t="s">
        <v>394</v>
      </c>
      <c r="C162" s="11" t="s">
        <v>395</v>
      </c>
      <c r="D162" s="11" t="s">
        <v>309</v>
      </c>
      <c r="E162" s="11" t="s">
        <v>164</v>
      </c>
      <c r="F162" s="11" t="s">
        <v>131</v>
      </c>
      <c r="G162" s="209">
        <v>1831.92</v>
      </c>
      <c r="H162" s="207">
        <f t="shared" si="5"/>
        <v>5</v>
      </c>
    </row>
    <row r="163" spans="1:8" x14ac:dyDescent="0.35">
      <c r="A163" s="11" t="s">
        <v>391</v>
      </c>
      <c r="B163" s="11" t="s">
        <v>394</v>
      </c>
      <c r="C163" s="11" t="s">
        <v>395</v>
      </c>
      <c r="D163" s="11" t="s">
        <v>310</v>
      </c>
      <c r="E163" s="11" t="s">
        <v>164</v>
      </c>
      <c r="F163" s="11" t="s">
        <v>131</v>
      </c>
      <c r="G163" s="209">
        <v>1831.92</v>
      </c>
      <c r="H163" s="207">
        <f t="shared" si="5"/>
        <v>6</v>
      </c>
    </row>
    <row r="164" spans="1:8" x14ac:dyDescent="0.35">
      <c r="A164" s="11" t="s">
        <v>391</v>
      </c>
      <c r="B164" s="11" t="s">
        <v>396</v>
      </c>
      <c r="C164" s="11" t="s">
        <v>397</v>
      </c>
      <c r="D164" s="11" t="s">
        <v>305</v>
      </c>
      <c r="E164" s="11" t="s">
        <v>164</v>
      </c>
      <c r="F164" s="11" t="s">
        <v>131</v>
      </c>
      <c r="G164" s="209">
        <v>1421.42</v>
      </c>
      <c r="H164" s="207">
        <f t="shared" si="5"/>
        <v>1</v>
      </c>
    </row>
    <row r="165" spans="1:8" x14ac:dyDescent="0.35">
      <c r="A165" s="11" t="s">
        <v>391</v>
      </c>
      <c r="B165" s="11" t="s">
        <v>396</v>
      </c>
      <c r="C165" s="11" t="s">
        <v>397</v>
      </c>
      <c r="D165" s="11" t="s">
        <v>306</v>
      </c>
      <c r="E165" s="11" t="s">
        <v>164</v>
      </c>
      <c r="F165" s="11" t="s">
        <v>131</v>
      </c>
      <c r="G165" s="209">
        <v>1421.42</v>
      </c>
      <c r="H165" s="207">
        <f t="shared" si="5"/>
        <v>2</v>
      </c>
    </row>
    <row r="166" spans="1:8" x14ac:dyDescent="0.35">
      <c r="A166" s="11" t="s">
        <v>391</v>
      </c>
      <c r="B166" s="11" t="s">
        <v>396</v>
      </c>
      <c r="C166" s="11" t="s">
        <v>397</v>
      </c>
      <c r="D166" s="11" t="s">
        <v>307</v>
      </c>
      <c r="E166" s="11" t="s">
        <v>164</v>
      </c>
      <c r="F166" s="11" t="s">
        <v>131</v>
      </c>
      <c r="G166" s="209">
        <v>1421.42</v>
      </c>
      <c r="H166" s="207">
        <f t="shared" si="5"/>
        <v>3</v>
      </c>
    </row>
    <row r="167" spans="1:8" x14ac:dyDescent="0.35">
      <c r="A167" s="11" t="s">
        <v>391</v>
      </c>
      <c r="B167" s="11" t="s">
        <v>396</v>
      </c>
      <c r="C167" s="11" t="s">
        <v>397</v>
      </c>
      <c r="D167" s="11" t="s">
        <v>308</v>
      </c>
      <c r="E167" s="11" t="s">
        <v>164</v>
      </c>
      <c r="F167" s="11" t="s">
        <v>131</v>
      </c>
      <c r="G167" s="209">
        <v>1421.42</v>
      </c>
      <c r="H167" s="207">
        <f t="shared" si="5"/>
        <v>4</v>
      </c>
    </row>
    <row r="168" spans="1:8" x14ac:dyDescent="0.35">
      <c r="A168" s="11" t="s">
        <v>391</v>
      </c>
      <c r="B168" s="11" t="s">
        <v>396</v>
      </c>
      <c r="C168" s="11" t="s">
        <v>397</v>
      </c>
      <c r="D168" s="11" t="s">
        <v>309</v>
      </c>
      <c r="E168" s="11" t="s">
        <v>164</v>
      </c>
      <c r="F168" s="11" t="s">
        <v>131</v>
      </c>
      <c r="G168" s="209">
        <v>1421.42</v>
      </c>
      <c r="H168" s="207">
        <f t="shared" si="5"/>
        <v>5</v>
      </c>
    </row>
    <row r="169" spans="1:8" x14ac:dyDescent="0.35">
      <c r="A169" s="11" t="s">
        <v>391</v>
      </c>
      <c r="B169" s="11" t="s">
        <v>396</v>
      </c>
      <c r="C169" s="11" t="s">
        <v>397</v>
      </c>
      <c r="D169" s="11" t="s">
        <v>310</v>
      </c>
      <c r="E169" s="11" t="s">
        <v>164</v>
      </c>
      <c r="F169" s="11" t="s">
        <v>131</v>
      </c>
      <c r="G169" s="209">
        <v>1421.42</v>
      </c>
      <c r="H169" s="207">
        <f t="shared" si="5"/>
        <v>6</v>
      </c>
    </row>
    <row r="170" spans="1:8" x14ac:dyDescent="0.35">
      <c r="A170" s="11" t="s">
        <v>391</v>
      </c>
      <c r="B170" s="11" t="s">
        <v>396</v>
      </c>
      <c r="C170" s="11" t="s">
        <v>397</v>
      </c>
      <c r="D170" s="11" t="s">
        <v>311</v>
      </c>
      <c r="E170" s="11" t="s">
        <v>164</v>
      </c>
      <c r="F170" s="11" t="s">
        <v>131</v>
      </c>
      <c r="G170" s="209">
        <v>1421.42</v>
      </c>
      <c r="H170" s="207">
        <f t="shared" si="5"/>
        <v>7</v>
      </c>
    </row>
    <row r="171" spans="1:8" x14ac:dyDescent="0.35">
      <c r="A171" s="11" t="s">
        <v>391</v>
      </c>
      <c r="B171" s="11" t="s">
        <v>396</v>
      </c>
      <c r="C171" s="11" t="s">
        <v>397</v>
      </c>
      <c r="D171" s="11" t="s">
        <v>312</v>
      </c>
      <c r="E171" s="11" t="s">
        <v>164</v>
      </c>
      <c r="F171" s="11" t="s">
        <v>131</v>
      </c>
      <c r="G171" s="209">
        <v>1421.42</v>
      </c>
      <c r="H171" s="207">
        <f t="shared" si="5"/>
        <v>8</v>
      </c>
    </row>
    <row r="172" spans="1:8" x14ac:dyDescent="0.35">
      <c r="A172" s="11" t="s">
        <v>391</v>
      </c>
      <c r="B172" s="11" t="s">
        <v>396</v>
      </c>
      <c r="C172" s="11" t="s">
        <v>397</v>
      </c>
      <c r="D172" s="11" t="s">
        <v>313</v>
      </c>
      <c r="E172" s="11" t="s">
        <v>164</v>
      </c>
      <c r="F172" s="11" t="s">
        <v>131</v>
      </c>
      <c r="G172" s="209">
        <v>1421.42</v>
      </c>
      <c r="H172" s="207">
        <f t="shared" si="5"/>
        <v>9</v>
      </c>
    </row>
    <row r="173" spans="1:8" x14ac:dyDescent="0.35">
      <c r="A173" s="11" t="s">
        <v>391</v>
      </c>
      <c r="B173" s="11" t="s">
        <v>396</v>
      </c>
      <c r="C173" s="11" t="s">
        <v>397</v>
      </c>
      <c r="D173" s="11" t="s">
        <v>314</v>
      </c>
      <c r="E173" s="11" t="s">
        <v>164</v>
      </c>
      <c r="F173" s="11" t="s">
        <v>131</v>
      </c>
      <c r="G173" s="209">
        <v>1421.42</v>
      </c>
      <c r="H173" s="207">
        <f t="shared" si="5"/>
        <v>10</v>
      </c>
    </row>
    <row r="174" spans="1:8" x14ac:dyDescent="0.35">
      <c r="A174" s="11" t="s">
        <v>391</v>
      </c>
      <c r="B174" s="11" t="s">
        <v>398</v>
      </c>
      <c r="C174" s="11" t="s">
        <v>399</v>
      </c>
      <c r="D174" s="11" t="s">
        <v>305</v>
      </c>
      <c r="E174" s="11" t="s">
        <v>164</v>
      </c>
      <c r="F174" s="11" t="s">
        <v>131</v>
      </c>
      <c r="G174" s="209">
        <v>5010</v>
      </c>
      <c r="H174" s="207">
        <f t="shared" si="5"/>
        <v>1</v>
      </c>
    </row>
    <row r="175" spans="1:8" x14ac:dyDescent="0.35">
      <c r="A175" s="11" t="s">
        <v>391</v>
      </c>
      <c r="B175" s="11" t="s">
        <v>398</v>
      </c>
      <c r="C175" s="11" t="s">
        <v>399</v>
      </c>
      <c r="D175" s="11" t="s">
        <v>306</v>
      </c>
      <c r="E175" s="11" t="s">
        <v>164</v>
      </c>
      <c r="F175" s="11" t="s">
        <v>131</v>
      </c>
      <c r="G175" s="209">
        <v>5010</v>
      </c>
      <c r="H175" s="207">
        <f t="shared" si="5"/>
        <v>2</v>
      </c>
    </row>
    <row r="176" spans="1:8" x14ac:dyDescent="0.35">
      <c r="A176" s="11" t="s">
        <v>391</v>
      </c>
      <c r="B176" s="11" t="s">
        <v>398</v>
      </c>
      <c r="C176" s="11" t="s">
        <v>399</v>
      </c>
      <c r="D176" s="11" t="s">
        <v>307</v>
      </c>
      <c r="E176" s="11" t="s">
        <v>164</v>
      </c>
      <c r="F176" s="11" t="s">
        <v>131</v>
      </c>
      <c r="G176" s="209">
        <v>5010</v>
      </c>
      <c r="H176" s="207">
        <f t="shared" si="5"/>
        <v>3</v>
      </c>
    </row>
    <row r="177" spans="1:8" x14ac:dyDescent="0.35">
      <c r="A177" s="11" t="s">
        <v>391</v>
      </c>
      <c r="B177" s="11" t="s">
        <v>398</v>
      </c>
      <c r="C177" s="11" t="s">
        <v>399</v>
      </c>
      <c r="D177" s="11" t="s">
        <v>308</v>
      </c>
      <c r="E177" s="11" t="s">
        <v>164</v>
      </c>
      <c r="F177" s="11" t="s">
        <v>131</v>
      </c>
      <c r="G177" s="209">
        <v>5010</v>
      </c>
      <c r="H177" s="207">
        <f t="shared" si="5"/>
        <v>4</v>
      </c>
    </row>
    <row r="178" spans="1:8" x14ac:dyDescent="0.35">
      <c r="A178" s="11" t="s">
        <v>391</v>
      </c>
      <c r="B178" s="11" t="s">
        <v>398</v>
      </c>
      <c r="C178" s="11" t="s">
        <v>399</v>
      </c>
      <c r="D178" s="11" t="s">
        <v>309</v>
      </c>
      <c r="E178" s="11" t="s">
        <v>164</v>
      </c>
      <c r="F178" s="11" t="s">
        <v>131</v>
      </c>
      <c r="G178" s="209">
        <v>5010</v>
      </c>
      <c r="H178" s="207">
        <f t="shared" si="5"/>
        <v>5</v>
      </c>
    </row>
    <row r="179" spans="1:8" x14ac:dyDescent="0.35">
      <c r="A179" s="11" t="s">
        <v>391</v>
      </c>
      <c r="B179" s="11" t="s">
        <v>398</v>
      </c>
      <c r="C179" s="11" t="s">
        <v>399</v>
      </c>
      <c r="D179" s="11" t="s">
        <v>310</v>
      </c>
      <c r="E179" s="11" t="s">
        <v>164</v>
      </c>
      <c r="F179" s="11" t="s">
        <v>131</v>
      </c>
      <c r="G179" s="209">
        <v>5010</v>
      </c>
      <c r="H179" s="207">
        <f t="shared" si="5"/>
        <v>6</v>
      </c>
    </row>
    <row r="180" spans="1:8" x14ac:dyDescent="0.35">
      <c r="A180" s="11" t="s">
        <v>391</v>
      </c>
      <c r="B180" s="11" t="s">
        <v>398</v>
      </c>
      <c r="C180" s="11" t="s">
        <v>399</v>
      </c>
      <c r="D180" s="11" t="s">
        <v>311</v>
      </c>
      <c r="E180" s="11" t="s">
        <v>164</v>
      </c>
      <c r="F180" s="11" t="s">
        <v>131</v>
      </c>
      <c r="G180" s="209">
        <v>5010</v>
      </c>
      <c r="H180" s="207">
        <f t="shared" si="5"/>
        <v>7</v>
      </c>
    </row>
    <row r="181" spans="1:8" x14ac:dyDescent="0.35">
      <c r="A181" s="11" t="s">
        <v>391</v>
      </c>
      <c r="B181" s="11" t="s">
        <v>398</v>
      </c>
      <c r="C181" s="11" t="s">
        <v>399</v>
      </c>
      <c r="D181" s="11" t="s">
        <v>312</v>
      </c>
      <c r="E181" s="11" t="s">
        <v>164</v>
      </c>
      <c r="F181" s="11" t="s">
        <v>131</v>
      </c>
      <c r="G181" s="209">
        <v>5010</v>
      </c>
      <c r="H181" s="207">
        <f t="shared" si="5"/>
        <v>8</v>
      </c>
    </row>
    <row r="182" spans="1:8" x14ac:dyDescent="0.35">
      <c r="A182" s="11" t="s">
        <v>391</v>
      </c>
      <c r="B182" s="11" t="s">
        <v>398</v>
      </c>
      <c r="C182" s="11" t="s">
        <v>399</v>
      </c>
      <c r="D182" s="11" t="s">
        <v>313</v>
      </c>
      <c r="E182" s="11" t="s">
        <v>164</v>
      </c>
      <c r="F182" s="11" t="s">
        <v>131</v>
      </c>
      <c r="G182" s="209">
        <v>5010</v>
      </c>
      <c r="H182" s="207">
        <f t="shared" si="5"/>
        <v>9</v>
      </c>
    </row>
    <row r="183" spans="1:8" x14ac:dyDescent="0.35">
      <c r="A183" s="11" t="s">
        <v>391</v>
      </c>
      <c r="B183" s="11" t="s">
        <v>398</v>
      </c>
      <c r="C183" s="11" t="s">
        <v>399</v>
      </c>
      <c r="D183" s="11" t="s">
        <v>314</v>
      </c>
      <c r="E183" s="11" t="s">
        <v>164</v>
      </c>
      <c r="F183" s="11" t="s">
        <v>131</v>
      </c>
      <c r="G183" s="209">
        <v>5010</v>
      </c>
      <c r="H183" s="207">
        <f t="shared" si="5"/>
        <v>10</v>
      </c>
    </row>
    <row r="184" spans="1:8" x14ac:dyDescent="0.35">
      <c r="A184" s="11" t="s">
        <v>391</v>
      </c>
      <c r="B184" s="11" t="s">
        <v>398</v>
      </c>
      <c r="C184" s="11" t="s">
        <v>399</v>
      </c>
      <c r="D184" s="11" t="s">
        <v>315</v>
      </c>
      <c r="E184" s="11" t="s">
        <v>164</v>
      </c>
      <c r="F184" s="11" t="s">
        <v>131</v>
      </c>
      <c r="G184" s="209">
        <v>5010</v>
      </c>
      <c r="H184" s="207">
        <f t="shared" si="5"/>
        <v>11</v>
      </c>
    </row>
    <row r="185" spans="1:8" x14ac:dyDescent="0.35">
      <c r="A185" s="11" t="s">
        <v>391</v>
      </c>
      <c r="B185" s="11" t="s">
        <v>398</v>
      </c>
      <c r="C185" s="11" t="s">
        <v>399</v>
      </c>
      <c r="D185" s="11" t="s">
        <v>316</v>
      </c>
      <c r="E185" s="11" t="s">
        <v>164</v>
      </c>
      <c r="F185" s="11" t="s">
        <v>131</v>
      </c>
      <c r="G185" s="209">
        <v>5010</v>
      </c>
      <c r="H185" s="207">
        <f t="shared" si="5"/>
        <v>12</v>
      </c>
    </row>
    <row r="186" spans="1:8" x14ac:dyDescent="0.35">
      <c r="A186" s="11" t="s">
        <v>391</v>
      </c>
      <c r="B186" s="11" t="s">
        <v>400</v>
      </c>
      <c r="C186" s="11" t="s">
        <v>401</v>
      </c>
      <c r="D186" s="11" t="s">
        <v>305</v>
      </c>
      <c r="E186" s="11" t="s">
        <v>164</v>
      </c>
      <c r="F186" s="11" t="s">
        <v>131</v>
      </c>
      <c r="G186" s="209">
        <v>1270.75</v>
      </c>
      <c r="H186" s="207">
        <f t="shared" si="5"/>
        <v>1</v>
      </c>
    </row>
    <row r="187" spans="1:8" x14ac:dyDescent="0.35">
      <c r="A187" s="11" t="s">
        <v>391</v>
      </c>
      <c r="B187" s="11" t="s">
        <v>400</v>
      </c>
      <c r="C187" s="11" t="s">
        <v>401</v>
      </c>
      <c r="D187" s="11" t="s">
        <v>306</v>
      </c>
      <c r="E187" s="11" t="s">
        <v>164</v>
      </c>
      <c r="F187" s="11" t="s">
        <v>131</v>
      </c>
      <c r="G187" s="209">
        <v>1270.75</v>
      </c>
      <c r="H187" s="207">
        <f t="shared" si="5"/>
        <v>2</v>
      </c>
    </row>
    <row r="188" spans="1:8" x14ac:dyDescent="0.35">
      <c r="A188" s="11" t="s">
        <v>391</v>
      </c>
      <c r="B188" s="11" t="s">
        <v>400</v>
      </c>
      <c r="C188" s="11" t="s">
        <v>401</v>
      </c>
      <c r="D188" s="11" t="s">
        <v>307</v>
      </c>
      <c r="E188" s="11" t="s">
        <v>164</v>
      </c>
      <c r="F188" s="11" t="s">
        <v>131</v>
      </c>
      <c r="G188" s="209">
        <v>1270.75</v>
      </c>
      <c r="H188" s="207">
        <f t="shared" si="5"/>
        <v>3</v>
      </c>
    </row>
    <row r="189" spans="1:8" x14ac:dyDescent="0.35">
      <c r="A189" s="11" t="s">
        <v>391</v>
      </c>
      <c r="B189" s="11" t="s">
        <v>400</v>
      </c>
      <c r="C189" s="11" t="s">
        <v>401</v>
      </c>
      <c r="D189" s="11" t="s">
        <v>308</v>
      </c>
      <c r="E189" s="11" t="s">
        <v>164</v>
      </c>
      <c r="F189" s="11" t="s">
        <v>131</v>
      </c>
      <c r="G189" s="209">
        <v>1270.75</v>
      </c>
      <c r="H189" s="207">
        <f t="shared" si="5"/>
        <v>4</v>
      </c>
    </row>
    <row r="190" spans="1:8" x14ac:dyDescent="0.35">
      <c r="A190" s="11" t="s">
        <v>391</v>
      </c>
      <c r="B190" s="11" t="s">
        <v>400</v>
      </c>
      <c r="C190" s="11" t="s">
        <v>401</v>
      </c>
      <c r="D190" s="11" t="s">
        <v>309</v>
      </c>
      <c r="E190" s="11" t="s">
        <v>164</v>
      </c>
      <c r="F190" s="11" t="s">
        <v>131</v>
      </c>
      <c r="G190" s="209">
        <v>1270.75</v>
      </c>
      <c r="H190" s="207">
        <f t="shared" si="5"/>
        <v>5</v>
      </c>
    </row>
    <row r="191" spans="1:8" x14ac:dyDescent="0.35">
      <c r="A191" s="11" t="s">
        <v>391</v>
      </c>
      <c r="B191" s="11" t="s">
        <v>400</v>
      </c>
      <c r="C191" s="11" t="s">
        <v>401</v>
      </c>
      <c r="D191" s="11" t="s">
        <v>310</v>
      </c>
      <c r="E191" s="11" t="s">
        <v>164</v>
      </c>
      <c r="F191" s="11" t="s">
        <v>131</v>
      </c>
      <c r="G191" s="209">
        <v>1270.75</v>
      </c>
      <c r="H191" s="207">
        <f t="shared" si="5"/>
        <v>6</v>
      </c>
    </row>
    <row r="192" spans="1:8" x14ac:dyDescent="0.35">
      <c r="A192" s="11" t="s">
        <v>391</v>
      </c>
      <c r="B192" s="11" t="s">
        <v>402</v>
      </c>
      <c r="C192" s="11" t="s">
        <v>403</v>
      </c>
      <c r="D192" s="11" t="s">
        <v>305</v>
      </c>
      <c r="E192" s="11" t="s">
        <v>164</v>
      </c>
      <c r="F192" s="11" t="s">
        <v>131</v>
      </c>
      <c r="G192" s="209">
        <v>2093</v>
      </c>
      <c r="H192" s="207">
        <f t="shared" si="5"/>
        <v>1</v>
      </c>
    </row>
    <row r="193" spans="1:8" x14ac:dyDescent="0.35">
      <c r="A193" s="11" t="s">
        <v>391</v>
      </c>
      <c r="B193" s="11" t="s">
        <v>402</v>
      </c>
      <c r="C193" s="11" t="s">
        <v>403</v>
      </c>
      <c r="D193" s="11" t="s">
        <v>306</v>
      </c>
      <c r="E193" s="11" t="s">
        <v>164</v>
      </c>
      <c r="F193" s="11" t="s">
        <v>131</v>
      </c>
      <c r="G193" s="209">
        <v>2093</v>
      </c>
      <c r="H193" s="207">
        <f t="shared" si="5"/>
        <v>2</v>
      </c>
    </row>
    <row r="194" spans="1:8" x14ac:dyDescent="0.35">
      <c r="A194" s="11" t="s">
        <v>391</v>
      </c>
      <c r="B194" s="11" t="s">
        <v>402</v>
      </c>
      <c r="C194" s="11" t="s">
        <v>403</v>
      </c>
      <c r="D194" s="11" t="s">
        <v>307</v>
      </c>
      <c r="E194" s="11" t="s">
        <v>164</v>
      </c>
      <c r="F194" s="11" t="s">
        <v>131</v>
      </c>
      <c r="G194" s="209">
        <v>2093</v>
      </c>
      <c r="H194" s="207">
        <f t="shared" si="5"/>
        <v>3</v>
      </c>
    </row>
    <row r="195" spans="1:8" x14ac:dyDescent="0.35">
      <c r="A195" s="11" t="s">
        <v>391</v>
      </c>
      <c r="B195" s="11" t="s">
        <v>402</v>
      </c>
      <c r="C195" s="11" t="s">
        <v>403</v>
      </c>
      <c r="D195" s="11" t="s">
        <v>308</v>
      </c>
      <c r="E195" s="11" t="s">
        <v>164</v>
      </c>
      <c r="F195" s="11" t="s">
        <v>131</v>
      </c>
      <c r="G195" s="209">
        <v>2093</v>
      </c>
      <c r="H195" s="207">
        <f t="shared" ref="H195:H283" si="7">IF(D195="",0,MONTH(D195))</f>
        <v>4</v>
      </c>
    </row>
    <row r="196" spans="1:8" x14ac:dyDescent="0.35">
      <c r="A196" s="11" t="s">
        <v>391</v>
      </c>
      <c r="B196" s="11" t="s">
        <v>402</v>
      </c>
      <c r="C196" s="11" t="s">
        <v>403</v>
      </c>
      <c r="D196" s="11" t="s">
        <v>309</v>
      </c>
      <c r="E196" s="11" t="s">
        <v>164</v>
      </c>
      <c r="F196" s="11" t="s">
        <v>131</v>
      </c>
      <c r="G196" s="209">
        <v>2093</v>
      </c>
      <c r="H196" s="207">
        <f t="shared" si="7"/>
        <v>5</v>
      </c>
    </row>
    <row r="197" spans="1:8" x14ac:dyDescent="0.35">
      <c r="A197" s="11" t="s">
        <v>391</v>
      </c>
      <c r="B197" s="11" t="s">
        <v>402</v>
      </c>
      <c r="C197" s="11" t="s">
        <v>403</v>
      </c>
      <c r="D197" s="11" t="s">
        <v>310</v>
      </c>
      <c r="E197" s="11" t="s">
        <v>164</v>
      </c>
      <c r="F197" s="11" t="s">
        <v>131</v>
      </c>
      <c r="G197" s="209">
        <v>2093</v>
      </c>
      <c r="H197" s="207">
        <f t="shared" si="7"/>
        <v>6</v>
      </c>
    </row>
    <row r="198" spans="1:8" x14ac:dyDescent="0.35">
      <c r="A198" s="11" t="s">
        <v>391</v>
      </c>
      <c r="B198" s="11" t="s">
        <v>402</v>
      </c>
      <c r="C198" s="11" t="s">
        <v>403</v>
      </c>
      <c r="D198" s="11" t="s">
        <v>311</v>
      </c>
      <c r="E198" s="11" t="s">
        <v>164</v>
      </c>
      <c r="F198" s="11" t="s">
        <v>131</v>
      </c>
      <c r="G198" s="209">
        <v>2093</v>
      </c>
      <c r="H198" s="207">
        <f t="shared" si="7"/>
        <v>7</v>
      </c>
    </row>
    <row r="199" spans="1:8" x14ac:dyDescent="0.35">
      <c r="A199" s="11" t="s">
        <v>391</v>
      </c>
      <c r="B199" s="11" t="s">
        <v>402</v>
      </c>
      <c r="C199" s="11" t="s">
        <v>403</v>
      </c>
      <c r="D199" s="11" t="s">
        <v>312</v>
      </c>
      <c r="E199" s="11" t="s">
        <v>164</v>
      </c>
      <c r="F199" s="11" t="s">
        <v>131</v>
      </c>
      <c r="G199" s="209">
        <v>2093</v>
      </c>
      <c r="H199" s="207">
        <f t="shared" si="7"/>
        <v>8</v>
      </c>
    </row>
    <row r="200" spans="1:8" x14ac:dyDescent="0.35">
      <c r="A200" s="11" t="s">
        <v>391</v>
      </c>
      <c r="B200" s="11" t="s">
        <v>402</v>
      </c>
      <c r="C200" s="11" t="s">
        <v>403</v>
      </c>
      <c r="D200" s="11" t="s">
        <v>313</v>
      </c>
      <c r="E200" s="11" t="s">
        <v>164</v>
      </c>
      <c r="F200" s="11" t="s">
        <v>131</v>
      </c>
      <c r="G200" s="209">
        <v>2093</v>
      </c>
      <c r="H200" s="207">
        <f t="shared" si="7"/>
        <v>9</v>
      </c>
    </row>
    <row r="201" spans="1:8" x14ac:dyDescent="0.35">
      <c r="A201" s="11" t="s">
        <v>391</v>
      </c>
      <c r="B201" s="11" t="s">
        <v>402</v>
      </c>
      <c r="C201" s="11" t="s">
        <v>403</v>
      </c>
      <c r="D201" s="11" t="s">
        <v>314</v>
      </c>
      <c r="E201" s="11" t="s">
        <v>164</v>
      </c>
      <c r="F201" s="11" t="s">
        <v>131</v>
      </c>
      <c r="G201" s="209">
        <v>2093</v>
      </c>
      <c r="H201" s="207">
        <f t="shared" si="7"/>
        <v>10</v>
      </c>
    </row>
    <row r="202" spans="1:8" x14ac:dyDescent="0.35">
      <c r="A202" s="11" t="s">
        <v>391</v>
      </c>
      <c r="B202" s="11" t="s">
        <v>402</v>
      </c>
      <c r="C202" s="11" t="s">
        <v>403</v>
      </c>
      <c r="D202" s="11" t="s">
        <v>315</v>
      </c>
      <c r="E202" s="11" t="s">
        <v>164</v>
      </c>
      <c r="F202" s="11" t="s">
        <v>131</v>
      </c>
      <c r="G202" s="209">
        <v>2093</v>
      </c>
      <c r="H202" s="207">
        <f t="shared" si="7"/>
        <v>11</v>
      </c>
    </row>
    <row r="203" spans="1:8" x14ac:dyDescent="0.35">
      <c r="A203" s="11" t="s">
        <v>391</v>
      </c>
      <c r="B203" s="11" t="s">
        <v>402</v>
      </c>
      <c r="C203" s="11" t="s">
        <v>403</v>
      </c>
      <c r="D203" s="11" t="s">
        <v>316</v>
      </c>
      <c r="E203" s="11" t="s">
        <v>164</v>
      </c>
      <c r="F203" s="11" t="s">
        <v>131</v>
      </c>
      <c r="G203" s="209">
        <v>2093</v>
      </c>
      <c r="H203" s="207">
        <f t="shared" si="7"/>
        <v>12</v>
      </c>
    </row>
    <row r="204" spans="1:8" x14ac:dyDescent="0.35">
      <c r="A204" s="11" t="s">
        <v>391</v>
      </c>
      <c r="B204" s="11" t="s">
        <v>404</v>
      </c>
      <c r="C204" s="11" t="s">
        <v>405</v>
      </c>
      <c r="D204" s="11" t="s">
        <v>305</v>
      </c>
      <c r="E204" s="11" t="s">
        <v>164</v>
      </c>
      <c r="F204" s="11" t="s">
        <v>131</v>
      </c>
      <c r="G204" s="209">
        <v>5120.5</v>
      </c>
      <c r="H204" s="207">
        <f t="shared" si="7"/>
        <v>1</v>
      </c>
    </row>
    <row r="205" spans="1:8" x14ac:dyDescent="0.35">
      <c r="A205" s="11" t="s">
        <v>391</v>
      </c>
      <c r="B205" s="11" t="s">
        <v>404</v>
      </c>
      <c r="C205" s="11" t="s">
        <v>405</v>
      </c>
      <c r="D205" s="11" t="s">
        <v>306</v>
      </c>
      <c r="E205" s="11" t="s">
        <v>164</v>
      </c>
      <c r="F205" s="11" t="s">
        <v>131</v>
      </c>
      <c r="G205" s="209">
        <v>5120.5</v>
      </c>
      <c r="H205" s="207">
        <f t="shared" si="7"/>
        <v>2</v>
      </c>
    </row>
    <row r="206" spans="1:8" x14ac:dyDescent="0.35">
      <c r="A206" s="11" t="s">
        <v>391</v>
      </c>
      <c r="B206" s="11" t="s">
        <v>404</v>
      </c>
      <c r="C206" s="11" t="s">
        <v>405</v>
      </c>
      <c r="D206" s="11" t="s">
        <v>307</v>
      </c>
      <c r="E206" s="11" t="s">
        <v>164</v>
      </c>
      <c r="F206" s="11" t="s">
        <v>131</v>
      </c>
      <c r="G206" s="209">
        <v>5120.5</v>
      </c>
      <c r="H206" s="207">
        <f t="shared" si="7"/>
        <v>3</v>
      </c>
    </row>
    <row r="207" spans="1:8" x14ac:dyDescent="0.35">
      <c r="A207" s="11" t="s">
        <v>391</v>
      </c>
      <c r="B207" s="11" t="s">
        <v>404</v>
      </c>
      <c r="C207" s="11" t="s">
        <v>405</v>
      </c>
      <c r="D207" s="11" t="s">
        <v>308</v>
      </c>
      <c r="E207" s="11" t="s">
        <v>164</v>
      </c>
      <c r="F207" s="11" t="s">
        <v>131</v>
      </c>
      <c r="G207" s="209">
        <v>5120.5</v>
      </c>
      <c r="H207" s="207">
        <f t="shared" si="7"/>
        <v>4</v>
      </c>
    </row>
    <row r="208" spans="1:8" x14ac:dyDescent="0.35">
      <c r="A208" s="11" t="s">
        <v>391</v>
      </c>
      <c r="B208" s="11" t="s">
        <v>404</v>
      </c>
      <c r="C208" s="11" t="s">
        <v>405</v>
      </c>
      <c r="D208" s="11" t="s">
        <v>309</v>
      </c>
      <c r="E208" s="11" t="s">
        <v>164</v>
      </c>
      <c r="F208" s="11" t="s">
        <v>131</v>
      </c>
      <c r="G208" s="209">
        <v>5120.5</v>
      </c>
      <c r="H208" s="207">
        <f t="shared" si="7"/>
        <v>5</v>
      </c>
    </row>
    <row r="209" spans="1:8" x14ac:dyDescent="0.35">
      <c r="A209" s="11" t="s">
        <v>391</v>
      </c>
      <c r="B209" s="11" t="s">
        <v>404</v>
      </c>
      <c r="C209" s="11" t="s">
        <v>405</v>
      </c>
      <c r="D209" s="11" t="s">
        <v>310</v>
      </c>
      <c r="E209" s="11" t="s">
        <v>164</v>
      </c>
      <c r="F209" s="11" t="s">
        <v>131</v>
      </c>
      <c r="G209" s="209">
        <v>5120.5</v>
      </c>
      <c r="H209" s="207">
        <f t="shared" si="7"/>
        <v>6</v>
      </c>
    </row>
    <row r="210" spans="1:8" x14ac:dyDescent="0.35">
      <c r="A210" s="11" t="s">
        <v>391</v>
      </c>
      <c r="B210" s="11" t="s">
        <v>404</v>
      </c>
      <c r="C210" s="11" t="s">
        <v>405</v>
      </c>
      <c r="D210" s="11" t="s">
        <v>311</v>
      </c>
      <c r="E210" s="11" t="s">
        <v>164</v>
      </c>
      <c r="F210" s="11" t="s">
        <v>131</v>
      </c>
      <c r="G210" s="209">
        <v>5187</v>
      </c>
      <c r="H210" s="207">
        <v>12</v>
      </c>
    </row>
    <row r="211" spans="1:8" x14ac:dyDescent="0.35">
      <c r="A211" s="11" t="s">
        <v>391</v>
      </c>
      <c r="B211" s="11" t="s">
        <v>404</v>
      </c>
      <c r="C211" s="11" t="s">
        <v>405</v>
      </c>
      <c r="D211" s="11" t="s">
        <v>312</v>
      </c>
      <c r="E211" s="11" t="s">
        <v>164</v>
      </c>
      <c r="F211" s="11" t="s">
        <v>131</v>
      </c>
      <c r="G211" s="209">
        <v>5187</v>
      </c>
      <c r="H211" s="207">
        <f t="shared" si="7"/>
        <v>8</v>
      </c>
    </row>
    <row r="212" spans="1:8" x14ac:dyDescent="0.35">
      <c r="A212" s="11" t="s">
        <v>391</v>
      </c>
      <c r="B212" s="11" t="s">
        <v>404</v>
      </c>
      <c r="C212" s="11" t="s">
        <v>405</v>
      </c>
      <c r="D212" s="11" t="s">
        <v>313</v>
      </c>
      <c r="E212" s="11" t="s">
        <v>164</v>
      </c>
      <c r="F212" s="11" t="s">
        <v>131</v>
      </c>
      <c r="G212" s="209">
        <v>5187</v>
      </c>
      <c r="H212" s="207">
        <f t="shared" si="7"/>
        <v>9</v>
      </c>
    </row>
    <row r="213" spans="1:8" x14ac:dyDescent="0.35">
      <c r="A213" s="11" t="s">
        <v>391</v>
      </c>
      <c r="B213" s="11" t="s">
        <v>404</v>
      </c>
      <c r="C213" s="11" t="s">
        <v>405</v>
      </c>
      <c r="D213" s="11" t="s">
        <v>314</v>
      </c>
      <c r="E213" s="11" t="s">
        <v>164</v>
      </c>
      <c r="F213" s="11" t="s">
        <v>131</v>
      </c>
      <c r="G213" s="209">
        <v>5187</v>
      </c>
      <c r="H213" s="207">
        <f t="shared" si="7"/>
        <v>10</v>
      </c>
    </row>
    <row r="214" spans="1:8" x14ac:dyDescent="0.35">
      <c r="A214" s="11" t="s">
        <v>391</v>
      </c>
      <c r="B214" s="11" t="s">
        <v>404</v>
      </c>
      <c r="C214" s="11" t="s">
        <v>405</v>
      </c>
      <c r="D214" s="11" t="s">
        <v>315</v>
      </c>
      <c r="E214" s="11" t="s">
        <v>164</v>
      </c>
      <c r="F214" s="11" t="s">
        <v>131</v>
      </c>
      <c r="G214" s="209">
        <v>5187</v>
      </c>
      <c r="H214" s="207">
        <f t="shared" si="7"/>
        <v>11</v>
      </c>
    </row>
    <row r="215" spans="1:8" x14ac:dyDescent="0.35">
      <c r="A215" s="11" t="s">
        <v>391</v>
      </c>
      <c r="B215" s="11" t="s">
        <v>404</v>
      </c>
      <c r="C215" s="11" t="s">
        <v>405</v>
      </c>
      <c r="D215" s="11" t="s">
        <v>316</v>
      </c>
      <c r="E215" s="11" t="s">
        <v>164</v>
      </c>
      <c r="F215" s="11" t="s">
        <v>131</v>
      </c>
      <c r="G215" s="209">
        <v>5187</v>
      </c>
      <c r="H215" s="207">
        <f t="shared" si="7"/>
        <v>12</v>
      </c>
    </row>
    <row r="216" spans="1:8" x14ac:dyDescent="0.35">
      <c r="A216" s="11" t="s">
        <v>391</v>
      </c>
      <c r="B216" s="11" t="s">
        <v>406</v>
      </c>
      <c r="C216" s="11" t="s">
        <v>407</v>
      </c>
      <c r="D216" s="11" t="s">
        <v>305</v>
      </c>
      <c r="E216" s="11" t="s">
        <v>164</v>
      </c>
      <c r="F216" s="11" t="s">
        <v>131</v>
      </c>
      <c r="G216" s="209">
        <v>10879</v>
      </c>
      <c r="H216" s="207">
        <f t="shared" si="7"/>
        <v>1</v>
      </c>
    </row>
    <row r="217" spans="1:8" x14ac:dyDescent="0.35">
      <c r="A217" s="11" t="s">
        <v>391</v>
      </c>
      <c r="B217" s="11" t="s">
        <v>406</v>
      </c>
      <c r="C217" s="11" t="s">
        <v>407</v>
      </c>
      <c r="D217" s="11" t="s">
        <v>306</v>
      </c>
      <c r="E217" s="11" t="s">
        <v>164</v>
      </c>
      <c r="F217" s="11" t="s">
        <v>131</v>
      </c>
      <c r="G217" s="209">
        <v>10879</v>
      </c>
      <c r="H217" s="207">
        <f t="shared" si="7"/>
        <v>2</v>
      </c>
    </row>
    <row r="218" spans="1:8" x14ac:dyDescent="0.35">
      <c r="A218" s="11" t="s">
        <v>391</v>
      </c>
      <c r="B218" s="11" t="s">
        <v>406</v>
      </c>
      <c r="C218" s="11" t="s">
        <v>407</v>
      </c>
      <c r="D218" s="11" t="s">
        <v>307</v>
      </c>
      <c r="E218" s="11" t="s">
        <v>164</v>
      </c>
      <c r="F218" s="11" t="s">
        <v>131</v>
      </c>
      <c r="G218" s="209">
        <v>10879</v>
      </c>
      <c r="H218" s="207">
        <f t="shared" si="7"/>
        <v>3</v>
      </c>
    </row>
    <row r="219" spans="1:8" x14ac:dyDescent="0.35">
      <c r="A219" s="11" t="s">
        <v>391</v>
      </c>
      <c r="B219" s="11" t="s">
        <v>406</v>
      </c>
      <c r="C219" s="11" t="s">
        <v>407</v>
      </c>
      <c r="D219" s="11" t="s">
        <v>308</v>
      </c>
      <c r="E219" s="11" t="s">
        <v>164</v>
      </c>
      <c r="F219" s="11" t="s">
        <v>131</v>
      </c>
      <c r="G219" s="209">
        <v>10879</v>
      </c>
      <c r="H219" s="207">
        <f t="shared" si="7"/>
        <v>4</v>
      </c>
    </row>
    <row r="220" spans="1:8" x14ac:dyDescent="0.35">
      <c r="A220" s="11" t="s">
        <v>391</v>
      </c>
      <c r="B220" s="11" t="s">
        <v>406</v>
      </c>
      <c r="C220" s="11" t="s">
        <v>407</v>
      </c>
      <c r="D220" s="11" t="s">
        <v>309</v>
      </c>
      <c r="E220" s="11" t="s">
        <v>164</v>
      </c>
      <c r="F220" s="11" t="s">
        <v>131</v>
      </c>
      <c r="G220" s="209">
        <v>10879</v>
      </c>
      <c r="H220" s="207">
        <f t="shared" si="7"/>
        <v>5</v>
      </c>
    </row>
    <row r="221" spans="1:8" x14ac:dyDescent="0.35">
      <c r="A221" s="11" t="s">
        <v>391</v>
      </c>
      <c r="B221" s="11" t="s">
        <v>406</v>
      </c>
      <c r="C221" s="11" t="s">
        <v>407</v>
      </c>
      <c r="D221" s="11" t="s">
        <v>310</v>
      </c>
      <c r="E221" s="11" t="s">
        <v>164</v>
      </c>
      <c r="F221" s="11" t="s">
        <v>131</v>
      </c>
      <c r="G221" s="209">
        <v>10879</v>
      </c>
      <c r="H221" s="207">
        <f t="shared" si="7"/>
        <v>6</v>
      </c>
    </row>
    <row r="222" spans="1:8" x14ac:dyDescent="0.35">
      <c r="A222" s="11" t="s">
        <v>391</v>
      </c>
      <c r="B222" s="11" t="s">
        <v>406</v>
      </c>
      <c r="C222" s="11" t="s">
        <v>407</v>
      </c>
      <c r="D222" s="11" t="s">
        <v>311</v>
      </c>
      <c r="E222" s="11" t="s">
        <v>164</v>
      </c>
      <c r="F222" s="11" t="s">
        <v>131</v>
      </c>
      <c r="G222" s="209">
        <v>10879</v>
      </c>
      <c r="H222" s="207">
        <f t="shared" si="7"/>
        <v>7</v>
      </c>
    </row>
    <row r="223" spans="1:8" x14ac:dyDescent="0.35">
      <c r="A223" s="11" t="s">
        <v>391</v>
      </c>
      <c r="B223" s="11" t="s">
        <v>406</v>
      </c>
      <c r="C223" s="11" t="s">
        <v>407</v>
      </c>
      <c r="D223" s="11" t="s">
        <v>312</v>
      </c>
      <c r="E223" s="11" t="s">
        <v>164</v>
      </c>
      <c r="F223" s="11" t="s">
        <v>131</v>
      </c>
      <c r="G223" s="209">
        <v>10879</v>
      </c>
      <c r="H223" s="207">
        <f t="shared" si="7"/>
        <v>8</v>
      </c>
    </row>
    <row r="224" spans="1:8" x14ac:dyDescent="0.35">
      <c r="A224" s="11" t="s">
        <v>391</v>
      </c>
      <c r="B224" s="11" t="s">
        <v>406</v>
      </c>
      <c r="C224" s="11" t="s">
        <v>407</v>
      </c>
      <c r="D224" s="11" t="s">
        <v>313</v>
      </c>
      <c r="E224" s="11" t="s">
        <v>164</v>
      </c>
      <c r="F224" s="11" t="s">
        <v>131</v>
      </c>
      <c r="G224" s="209">
        <v>10879</v>
      </c>
      <c r="H224" s="207">
        <f t="shared" si="7"/>
        <v>9</v>
      </c>
    </row>
    <row r="225" spans="1:8" x14ac:dyDescent="0.35">
      <c r="A225" s="11" t="s">
        <v>391</v>
      </c>
      <c r="B225" s="11" t="s">
        <v>406</v>
      </c>
      <c r="C225" s="11" t="s">
        <v>407</v>
      </c>
      <c r="D225" s="11" t="s">
        <v>314</v>
      </c>
      <c r="E225" s="11" t="s">
        <v>164</v>
      </c>
      <c r="F225" s="11" t="s">
        <v>131</v>
      </c>
      <c r="G225" s="209">
        <v>10879</v>
      </c>
      <c r="H225" s="207">
        <f t="shared" si="7"/>
        <v>10</v>
      </c>
    </row>
    <row r="226" spans="1:8" x14ac:dyDescent="0.35">
      <c r="A226" s="11" t="s">
        <v>391</v>
      </c>
      <c r="B226" s="11" t="s">
        <v>406</v>
      </c>
      <c r="C226" s="11" t="s">
        <v>407</v>
      </c>
      <c r="D226" s="11" t="s">
        <v>315</v>
      </c>
      <c r="E226" s="11" t="s">
        <v>164</v>
      </c>
      <c r="F226" s="11" t="s">
        <v>131</v>
      </c>
      <c r="G226" s="209">
        <v>10879</v>
      </c>
      <c r="H226" s="207">
        <f t="shared" si="7"/>
        <v>11</v>
      </c>
    </row>
    <row r="227" spans="1:8" x14ac:dyDescent="0.35">
      <c r="A227" s="11" t="s">
        <v>391</v>
      </c>
      <c r="B227" s="11" t="s">
        <v>406</v>
      </c>
      <c r="C227" s="11" t="s">
        <v>407</v>
      </c>
      <c r="D227" s="11" t="s">
        <v>316</v>
      </c>
      <c r="E227" s="11" t="s">
        <v>164</v>
      </c>
      <c r="F227" s="11" t="s">
        <v>131</v>
      </c>
      <c r="G227" s="209">
        <v>10879</v>
      </c>
      <c r="H227" s="207">
        <f t="shared" si="7"/>
        <v>12</v>
      </c>
    </row>
    <row r="228" spans="1:8" x14ac:dyDescent="0.35">
      <c r="A228" s="11" t="s">
        <v>391</v>
      </c>
      <c r="B228" s="11" t="s">
        <v>408</v>
      </c>
      <c r="C228" s="11" t="s">
        <v>409</v>
      </c>
      <c r="D228" s="11" t="s">
        <v>305</v>
      </c>
      <c r="E228" s="11" t="s">
        <v>164</v>
      </c>
      <c r="F228" s="11" t="s">
        <v>131</v>
      </c>
      <c r="G228" s="209">
        <v>3836.25</v>
      </c>
      <c r="H228" s="207">
        <f t="shared" si="7"/>
        <v>1</v>
      </c>
    </row>
    <row r="229" spans="1:8" x14ac:dyDescent="0.35">
      <c r="A229" s="11" t="s">
        <v>391</v>
      </c>
      <c r="B229" s="11" t="s">
        <v>408</v>
      </c>
      <c r="C229" s="11" t="s">
        <v>409</v>
      </c>
      <c r="D229" s="11" t="s">
        <v>306</v>
      </c>
      <c r="E229" s="11" t="s">
        <v>164</v>
      </c>
      <c r="F229" s="11" t="s">
        <v>131</v>
      </c>
      <c r="G229" s="209">
        <v>3836.25</v>
      </c>
      <c r="H229" s="207">
        <f t="shared" si="7"/>
        <v>2</v>
      </c>
    </row>
    <row r="230" spans="1:8" x14ac:dyDescent="0.35">
      <c r="A230" s="11" t="s">
        <v>391</v>
      </c>
      <c r="B230" s="11" t="s">
        <v>408</v>
      </c>
      <c r="C230" s="11" t="s">
        <v>409</v>
      </c>
      <c r="D230" s="11" t="s">
        <v>307</v>
      </c>
      <c r="E230" s="11" t="s">
        <v>164</v>
      </c>
      <c r="F230" s="11" t="s">
        <v>131</v>
      </c>
      <c r="G230" s="209">
        <v>3836.25</v>
      </c>
      <c r="H230" s="207">
        <f t="shared" si="7"/>
        <v>3</v>
      </c>
    </row>
    <row r="231" spans="1:8" x14ac:dyDescent="0.35">
      <c r="A231" s="11" t="s">
        <v>391</v>
      </c>
      <c r="B231" s="11" t="s">
        <v>408</v>
      </c>
      <c r="C231" s="11" t="s">
        <v>409</v>
      </c>
      <c r="D231" s="11" t="s">
        <v>308</v>
      </c>
      <c r="E231" s="11" t="s">
        <v>164</v>
      </c>
      <c r="F231" s="11" t="s">
        <v>131</v>
      </c>
      <c r="G231" s="209">
        <v>3836.25</v>
      </c>
      <c r="H231" s="207">
        <f t="shared" si="7"/>
        <v>4</v>
      </c>
    </row>
    <row r="232" spans="1:8" x14ac:dyDescent="0.35">
      <c r="A232" s="11" t="s">
        <v>391</v>
      </c>
      <c r="B232" s="11" t="s">
        <v>408</v>
      </c>
      <c r="C232" s="11" t="s">
        <v>409</v>
      </c>
      <c r="D232" s="11" t="s">
        <v>309</v>
      </c>
      <c r="E232" s="11" t="s">
        <v>164</v>
      </c>
      <c r="F232" s="11" t="s">
        <v>131</v>
      </c>
      <c r="G232" s="209">
        <v>3836.25</v>
      </c>
      <c r="H232" s="207">
        <f t="shared" si="7"/>
        <v>5</v>
      </c>
    </row>
    <row r="233" spans="1:8" x14ac:dyDescent="0.35">
      <c r="A233" s="11" t="s">
        <v>391</v>
      </c>
      <c r="B233" s="11" t="s">
        <v>408</v>
      </c>
      <c r="C233" s="11" t="s">
        <v>409</v>
      </c>
      <c r="D233" s="11" t="s">
        <v>310</v>
      </c>
      <c r="E233" s="11" t="s">
        <v>164</v>
      </c>
      <c r="F233" s="11" t="s">
        <v>131</v>
      </c>
      <c r="G233" s="209">
        <v>3836.25</v>
      </c>
      <c r="H233" s="207">
        <f t="shared" si="7"/>
        <v>6</v>
      </c>
    </row>
    <row r="234" spans="1:8" x14ac:dyDescent="0.35">
      <c r="A234" s="11" t="s">
        <v>391</v>
      </c>
      <c r="B234" s="11" t="s">
        <v>408</v>
      </c>
      <c r="C234" s="11" t="s">
        <v>409</v>
      </c>
      <c r="D234" s="11" t="s">
        <v>311</v>
      </c>
      <c r="E234" s="11" t="s">
        <v>164</v>
      </c>
      <c r="F234" s="11" t="s">
        <v>131</v>
      </c>
      <c r="G234" s="209">
        <v>3836.25</v>
      </c>
      <c r="H234" s="207">
        <f t="shared" si="7"/>
        <v>7</v>
      </c>
    </row>
    <row r="235" spans="1:8" x14ac:dyDescent="0.35">
      <c r="A235" s="11" t="s">
        <v>391</v>
      </c>
      <c r="B235" s="11" t="s">
        <v>408</v>
      </c>
      <c r="C235" s="11" t="s">
        <v>409</v>
      </c>
      <c r="D235" s="11" t="s">
        <v>312</v>
      </c>
      <c r="E235" s="11" t="s">
        <v>164</v>
      </c>
      <c r="F235" s="11" t="s">
        <v>131</v>
      </c>
      <c r="G235" s="209">
        <v>3952.5</v>
      </c>
      <c r="H235" s="207">
        <f t="shared" si="7"/>
        <v>8</v>
      </c>
    </row>
    <row r="236" spans="1:8" x14ac:dyDescent="0.35">
      <c r="A236" s="11" t="s">
        <v>391</v>
      </c>
      <c r="B236" s="11" t="s">
        <v>408</v>
      </c>
      <c r="C236" s="11" t="s">
        <v>409</v>
      </c>
      <c r="D236" s="11" t="s">
        <v>313</v>
      </c>
      <c r="E236" s="11" t="s">
        <v>164</v>
      </c>
      <c r="F236" s="11" t="s">
        <v>131</v>
      </c>
      <c r="G236" s="209">
        <v>3952.5</v>
      </c>
      <c r="H236" s="207">
        <f t="shared" si="7"/>
        <v>9</v>
      </c>
    </row>
    <row r="237" spans="1:8" x14ac:dyDescent="0.35">
      <c r="A237" s="11" t="s">
        <v>391</v>
      </c>
      <c r="B237" s="11" t="s">
        <v>408</v>
      </c>
      <c r="C237" s="11" t="s">
        <v>409</v>
      </c>
      <c r="D237" s="11" t="s">
        <v>314</v>
      </c>
      <c r="E237" s="11" t="s">
        <v>164</v>
      </c>
      <c r="F237" s="11" t="s">
        <v>131</v>
      </c>
      <c r="G237" s="209">
        <v>3952.5</v>
      </c>
      <c r="H237" s="207">
        <f t="shared" si="7"/>
        <v>10</v>
      </c>
    </row>
    <row r="238" spans="1:8" s="88" customFormat="1" x14ac:dyDescent="0.35">
      <c r="A238" s="11" t="s">
        <v>391</v>
      </c>
      <c r="B238" s="11" t="s">
        <v>408</v>
      </c>
      <c r="C238" s="11" t="s">
        <v>409</v>
      </c>
      <c r="D238" s="11" t="s">
        <v>315</v>
      </c>
      <c r="E238" s="11" t="s">
        <v>164</v>
      </c>
      <c r="F238" s="11" t="s">
        <v>131</v>
      </c>
      <c r="G238" s="209">
        <v>3952.5</v>
      </c>
      <c r="H238" s="207">
        <f t="shared" ref="H238:H261" si="8">IF(D238="",0,MONTH(D238))</f>
        <v>11</v>
      </c>
    </row>
    <row r="239" spans="1:8" s="88" customFormat="1" x14ac:dyDescent="0.35">
      <c r="A239" s="11" t="s">
        <v>391</v>
      </c>
      <c r="B239" s="11" t="s">
        <v>408</v>
      </c>
      <c r="C239" s="11" t="s">
        <v>409</v>
      </c>
      <c r="D239" s="11" t="s">
        <v>316</v>
      </c>
      <c r="E239" s="11" t="s">
        <v>164</v>
      </c>
      <c r="F239" s="11" t="s">
        <v>131</v>
      </c>
      <c r="G239" s="209">
        <v>3952.5</v>
      </c>
      <c r="H239" s="207">
        <f t="shared" si="8"/>
        <v>12</v>
      </c>
    </row>
    <row r="240" spans="1:8" s="88" customFormat="1" x14ac:dyDescent="0.35">
      <c r="A240" s="11" t="s">
        <v>391</v>
      </c>
      <c r="B240" s="11" t="s">
        <v>410</v>
      </c>
      <c r="C240" s="11" t="s">
        <v>411</v>
      </c>
      <c r="D240" s="11" t="s">
        <v>305</v>
      </c>
      <c r="E240" s="11" t="s">
        <v>164</v>
      </c>
      <c r="F240" s="11" t="s">
        <v>131</v>
      </c>
      <c r="G240" s="209">
        <v>1325</v>
      </c>
      <c r="H240" s="207">
        <f t="shared" si="8"/>
        <v>1</v>
      </c>
    </row>
    <row r="241" spans="1:8" s="88" customFormat="1" x14ac:dyDescent="0.35">
      <c r="A241" s="11" t="s">
        <v>391</v>
      </c>
      <c r="B241" s="11" t="s">
        <v>410</v>
      </c>
      <c r="C241" s="11" t="s">
        <v>411</v>
      </c>
      <c r="D241" s="11" t="s">
        <v>306</v>
      </c>
      <c r="E241" s="11" t="s">
        <v>164</v>
      </c>
      <c r="F241" s="11" t="s">
        <v>131</v>
      </c>
      <c r="G241" s="209">
        <v>1325</v>
      </c>
      <c r="H241" s="207">
        <f t="shared" si="8"/>
        <v>2</v>
      </c>
    </row>
    <row r="242" spans="1:8" s="88" customFormat="1" x14ac:dyDescent="0.35">
      <c r="A242" s="11" t="s">
        <v>391</v>
      </c>
      <c r="B242" s="11" t="s">
        <v>410</v>
      </c>
      <c r="C242" s="11" t="s">
        <v>411</v>
      </c>
      <c r="D242" s="11" t="s">
        <v>307</v>
      </c>
      <c r="E242" s="11" t="s">
        <v>164</v>
      </c>
      <c r="F242" s="11" t="s">
        <v>131</v>
      </c>
      <c r="G242" s="209">
        <v>1325</v>
      </c>
      <c r="H242" s="207">
        <f t="shared" si="8"/>
        <v>3</v>
      </c>
    </row>
    <row r="243" spans="1:8" s="88" customFormat="1" x14ac:dyDescent="0.35">
      <c r="A243" s="11" t="s">
        <v>391</v>
      </c>
      <c r="B243" s="11" t="s">
        <v>410</v>
      </c>
      <c r="C243" s="11" t="s">
        <v>411</v>
      </c>
      <c r="D243" s="11" t="s">
        <v>308</v>
      </c>
      <c r="E243" s="11" t="s">
        <v>164</v>
      </c>
      <c r="F243" s="11" t="s">
        <v>131</v>
      </c>
      <c r="G243" s="209">
        <v>1325</v>
      </c>
      <c r="H243" s="207">
        <f t="shared" si="8"/>
        <v>4</v>
      </c>
    </row>
    <row r="244" spans="1:8" s="88" customFormat="1" x14ac:dyDescent="0.35">
      <c r="A244" s="11" t="s">
        <v>391</v>
      </c>
      <c r="B244" s="11" t="s">
        <v>410</v>
      </c>
      <c r="C244" s="11" t="s">
        <v>411</v>
      </c>
      <c r="D244" s="11" t="s">
        <v>309</v>
      </c>
      <c r="E244" s="11" t="s">
        <v>164</v>
      </c>
      <c r="F244" s="11" t="s">
        <v>131</v>
      </c>
      <c r="G244" s="209">
        <v>1325</v>
      </c>
      <c r="H244" s="207">
        <f t="shared" si="8"/>
        <v>5</v>
      </c>
    </row>
    <row r="245" spans="1:8" s="88" customFormat="1" x14ac:dyDescent="0.35">
      <c r="A245" s="11" t="s">
        <v>391</v>
      </c>
      <c r="B245" s="11" t="s">
        <v>410</v>
      </c>
      <c r="C245" s="11" t="s">
        <v>411</v>
      </c>
      <c r="D245" s="11" t="s">
        <v>310</v>
      </c>
      <c r="E245" s="11" t="s">
        <v>164</v>
      </c>
      <c r="F245" s="11" t="s">
        <v>131</v>
      </c>
      <c r="G245" s="209">
        <v>1325</v>
      </c>
      <c r="H245" s="207">
        <f t="shared" si="8"/>
        <v>6</v>
      </c>
    </row>
    <row r="246" spans="1:8" s="88" customFormat="1" x14ac:dyDescent="0.35">
      <c r="A246" s="11" t="s">
        <v>391</v>
      </c>
      <c r="B246" s="11" t="s">
        <v>412</v>
      </c>
      <c r="C246" s="11" t="s">
        <v>413</v>
      </c>
      <c r="D246" s="11" t="s">
        <v>305</v>
      </c>
      <c r="E246" s="11" t="s">
        <v>164</v>
      </c>
      <c r="F246" s="11" t="s">
        <v>131</v>
      </c>
      <c r="G246" s="209">
        <v>13544.75</v>
      </c>
      <c r="H246" s="207">
        <f t="shared" si="8"/>
        <v>1</v>
      </c>
    </row>
    <row r="247" spans="1:8" s="88" customFormat="1" x14ac:dyDescent="0.35">
      <c r="A247" s="11" t="s">
        <v>391</v>
      </c>
      <c r="B247" s="11" t="s">
        <v>412</v>
      </c>
      <c r="C247" s="11" t="s">
        <v>413</v>
      </c>
      <c r="D247" s="11" t="s">
        <v>306</v>
      </c>
      <c r="E247" s="11" t="s">
        <v>164</v>
      </c>
      <c r="F247" s="11" t="s">
        <v>131</v>
      </c>
      <c r="G247" s="209">
        <v>13544.75</v>
      </c>
      <c r="H247" s="207">
        <f t="shared" si="8"/>
        <v>2</v>
      </c>
    </row>
    <row r="248" spans="1:8" s="88" customFormat="1" x14ac:dyDescent="0.35">
      <c r="A248" s="11" t="s">
        <v>391</v>
      </c>
      <c r="B248" s="11" t="s">
        <v>412</v>
      </c>
      <c r="C248" s="11" t="s">
        <v>413</v>
      </c>
      <c r="D248" s="11" t="s">
        <v>307</v>
      </c>
      <c r="E248" s="11" t="s">
        <v>164</v>
      </c>
      <c r="F248" s="11" t="s">
        <v>131</v>
      </c>
      <c r="G248" s="209">
        <v>13544.75</v>
      </c>
      <c r="H248" s="207">
        <f t="shared" si="8"/>
        <v>3</v>
      </c>
    </row>
    <row r="249" spans="1:8" s="88" customFormat="1" x14ac:dyDescent="0.35">
      <c r="A249" s="11" t="s">
        <v>391</v>
      </c>
      <c r="B249" s="11" t="s">
        <v>412</v>
      </c>
      <c r="C249" s="11" t="s">
        <v>413</v>
      </c>
      <c r="D249" s="11" t="s">
        <v>308</v>
      </c>
      <c r="E249" s="11" t="s">
        <v>164</v>
      </c>
      <c r="F249" s="11" t="s">
        <v>131</v>
      </c>
      <c r="G249" s="209">
        <v>13544.75</v>
      </c>
      <c r="H249" s="207">
        <f t="shared" si="8"/>
        <v>4</v>
      </c>
    </row>
    <row r="250" spans="1:8" s="88" customFormat="1" x14ac:dyDescent="0.35">
      <c r="A250" s="11" t="s">
        <v>391</v>
      </c>
      <c r="B250" s="11" t="s">
        <v>412</v>
      </c>
      <c r="C250" s="11" t="s">
        <v>413</v>
      </c>
      <c r="D250" s="11" t="s">
        <v>309</v>
      </c>
      <c r="E250" s="11" t="s">
        <v>164</v>
      </c>
      <c r="F250" s="11" t="s">
        <v>131</v>
      </c>
      <c r="G250" s="209">
        <v>13544.75</v>
      </c>
      <c r="H250" s="207">
        <f t="shared" si="8"/>
        <v>5</v>
      </c>
    </row>
    <row r="251" spans="1:8" s="88" customFormat="1" x14ac:dyDescent="0.35">
      <c r="A251" s="11" t="s">
        <v>391</v>
      </c>
      <c r="B251" s="11" t="s">
        <v>412</v>
      </c>
      <c r="C251" s="11" t="s">
        <v>413</v>
      </c>
      <c r="D251" s="11" t="s">
        <v>310</v>
      </c>
      <c r="E251" s="11" t="s">
        <v>164</v>
      </c>
      <c r="F251" s="11" t="s">
        <v>131</v>
      </c>
      <c r="G251" s="209">
        <v>13544.75</v>
      </c>
      <c r="H251" s="207">
        <f t="shared" si="8"/>
        <v>6</v>
      </c>
    </row>
    <row r="252" spans="1:8" s="88" customFormat="1" x14ac:dyDescent="0.35">
      <c r="A252" s="11" t="s">
        <v>391</v>
      </c>
      <c r="B252" s="11" t="s">
        <v>412</v>
      </c>
      <c r="C252" s="11" t="s">
        <v>413</v>
      </c>
      <c r="D252" s="11" t="s">
        <v>311</v>
      </c>
      <c r="E252" s="11" t="s">
        <v>164</v>
      </c>
      <c r="F252" s="11" t="s">
        <v>131</v>
      </c>
      <c r="G252" s="209">
        <v>13544.75</v>
      </c>
      <c r="H252" s="207">
        <f t="shared" si="8"/>
        <v>7</v>
      </c>
    </row>
    <row r="253" spans="1:8" s="88" customFormat="1" x14ac:dyDescent="0.35">
      <c r="A253" s="11" t="s">
        <v>391</v>
      </c>
      <c r="B253" s="11" t="s">
        <v>412</v>
      </c>
      <c r="C253" s="11" t="s">
        <v>413</v>
      </c>
      <c r="D253" s="11" t="s">
        <v>312</v>
      </c>
      <c r="E253" s="11" t="s">
        <v>164</v>
      </c>
      <c r="F253" s="11" t="s">
        <v>131</v>
      </c>
      <c r="G253" s="209">
        <v>13544.75</v>
      </c>
      <c r="H253" s="207">
        <f t="shared" si="8"/>
        <v>8</v>
      </c>
    </row>
    <row r="254" spans="1:8" s="88" customFormat="1" x14ac:dyDescent="0.35">
      <c r="A254" s="11" t="s">
        <v>391</v>
      </c>
      <c r="B254" s="11" t="s">
        <v>412</v>
      </c>
      <c r="C254" s="11" t="s">
        <v>413</v>
      </c>
      <c r="D254" s="11" t="s">
        <v>313</v>
      </c>
      <c r="E254" s="11" t="s">
        <v>164</v>
      </c>
      <c r="F254" s="11" t="s">
        <v>131</v>
      </c>
      <c r="G254" s="209">
        <v>13544.75</v>
      </c>
      <c r="H254" s="207">
        <f t="shared" si="8"/>
        <v>9</v>
      </c>
    </row>
    <row r="255" spans="1:8" s="88" customFormat="1" x14ac:dyDescent="0.35">
      <c r="A255" s="11" t="s">
        <v>391</v>
      </c>
      <c r="B255" s="11" t="s">
        <v>414</v>
      </c>
      <c r="C255" s="11" t="s">
        <v>415</v>
      </c>
      <c r="D255" s="11" t="s">
        <v>305</v>
      </c>
      <c r="E255" s="11" t="s">
        <v>164</v>
      </c>
      <c r="F255" s="11" t="s">
        <v>131</v>
      </c>
      <c r="G255" s="209">
        <v>12025</v>
      </c>
      <c r="H255" s="207">
        <f t="shared" si="8"/>
        <v>1</v>
      </c>
    </row>
    <row r="256" spans="1:8" s="88" customFormat="1" x14ac:dyDescent="0.35">
      <c r="A256" s="11" t="s">
        <v>391</v>
      </c>
      <c r="B256" s="11" t="s">
        <v>414</v>
      </c>
      <c r="C256" s="11" t="s">
        <v>415</v>
      </c>
      <c r="D256" s="11" t="s">
        <v>306</v>
      </c>
      <c r="E256" s="11" t="s">
        <v>164</v>
      </c>
      <c r="F256" s="11" t="s">
        <v>131</v>
      </c>
      <c r="G256" s="209">
        <v>12025</v>
      </c>
      <c r="H256" s="207">
        <f t="shared" si="8"/>
        <v>2</v>
      </c>
    </row>
    <row r="257" spans="1:8" s="88" customFormat="1" x14ac:dyDescent="0.35">
      <c r="A257" s="11" t="s">
        <v>391</v>
      </c>
      <c r="B257" s="11" t="s">
        <v>414</v>
      </c>
      <c r="C257" s="11" t="s">
        <v>415</v>
      </c>
      <c r="D257" s="11" t="s">
        <v>307</v>
      </c>
      <c r="E257" s="11" t="s">
        <v>164</v>
      </c>
      <c r="F257" s="11" t="s">
        <v>131</v>
      </c>
      <c r="G257" s="209">
        <v>12025</v>
      </c>
      <c r="H257" s="207">
        <f t="shared" si="8"/>
        <v>3</v>
      </c>
    </row>
    <row r="258" spans="1:8" s="88" customFormat="1" x14ac:dyDescent="0.35">
      <c r="A258" s="11"/>
      <c r="B258" s="11"/>
      <c r="C258" s="11"/>
      <c r="D258" s="11"/>
      <c r="E258" s="11"/>
      <c r="F258" s="11"/>
      <c r="G258" s="209"/>
      <c r="H258" s="207">
        <f t="shared" si="8"/>
        <v>0</v>
      </c>
    </row>
    <row r="259" spans="1:8" s="88" customFormat="1" x14ac:dyDescent="0.35">
      <c r="A259" s="11"/>
      <c r="B259" s="11"/>
      <c r="C259" s="11"/>
      <c r="D259" s="11"/>
      <c r="E259" s="11"/>
      <c r="F259" s="11"/>
      <c r="G259" s="209"/>
      <c r="H259" s="207">
        <f t="shared" si="8"/>
        <v>0</v>
      </c>
    </row>
    <row r="260" spans="1:8" s="88" customFormat="1" x14ac:dyDescent="0.35">
      <c r="A260" s="11"/>
      <c r="B260" s="11"/>
      <c r="C260" s="11"/>
      <c r="D260" s="11"/>
      <c r="E260" s="11"/>
      <c r="F260" s="11"/>
      <c r="G260" s="209"/>
      <c r="H260" s="207">
        <f t="shared" si="8"/>
        <v>0</v>
      </c>
    </row>
    <row r="261" spans="1:8" s="88" customFormat="1" x14ac:dyDescent="0.35">
      <c r="A261" s="11"/>
      <c r="B261" s="11"/>
      <c r="C261" s="11"/>
      <c r="D261" s="11"/>
      <c r="E261" s="11"/>
      <c r="F261" s="11"/>
      <c r="G261" s="209"/>
      <c r="H261" s="207">
        <f t="shared" si="8"/>
        <v>0</v>
      </c>
    </row>
    <row r="262" spans="1:8" x14ac:dyDescent="0.35">
      <c r="A262" s="11"/>
      <c r="B262" s="11"/>
      <c r="C262" s="11"/>
      <c r="D262" s="11"/>
      <c r="E262" s="11"/>
      <c r="F262" s="11"/>
      <c r="G262" s="209"/>
      <c r="H262" s="207">
        <f t="shared" si="7"/>
        <v>0</v>
      </c>
    </row>
    <row r="263" spans="1:8" x14ac:dyDescent="0.35">
      <c r="A263" s="11"/>
      <c r="B263" s="11"/>
      <c r="C263" s="11"/>
      <c r="D263" s="11"/>
      <c r="E263" s="11"/>
      <c r="F263" s="11"/>
      <c r="G263" s="209"/>
      <c r="H263" s="207">
        <f t="shared" si="7"/>
        <v>0</v>
      </c>
    </row>
    <row r="264" spans="1:8" x14ac:dyDescent="0.35">
      <c r="A264" s="11"/>
      <c r="B264" s="11"/>
      <c r="C264" s="11"/>
      <c r="D264" s="11"/>
      <c r="E264" s="11"/>
      <c r="F264" s="11"/>
      <c r="G264" s="209"/>
      <c r="H264" s="207">
        <f t="shared" si="7"/>
        <v>0</v>
      </c>
    </row>
    <row r="265" spans="1:8" x14ac:dyDescent="0.35">
      <c r="A265" s="11"/>
      <c r="B265" s="11"/>
      <c r="C265" s="11"/>
      <c r="D265" s="11"/>
      <c r="E265" s="11"/>
      <c r="F265" s="11"/>
      <c r="G265" s="209"/>
      <c r="H265" s="207">
        <f t="shared" si="7"/>
        <v>0</v>
      </c>
    </row>
    <row r="266" spans="1:8" x14ac:dyDescent="0.35">
      <c r="A266" s="11"/>
      <c r="B266" s="11"/>
      <c r="C266" s="11"/>
      <c r="D266" s="11"/>
      <c r="E266" s="11"/>
      <c r="F266" s="11"/>
      <c r="G266" s="209"/>
      <c r="H266" s="207">
        <f t="shared" si="7"/>
        <v>0</v>
      </c>
    </row>
    <row r="267" spans="1:8" x14ac:dyDescent="0.35">
      <c r="A267" s="11"/>
      <c r="B267" s="11"/>
      <c r="C267" s="11"/>
      <c r="D267" s="11"/>
      <c r="E267" s="11"/>
      <c r="F267" s="11"/>
      <c r="G267" s="209"/>
      <c r="H267" s="207">
        <f t="shared" si="7"/>
        <v>0</v>
      </c>
    </row>
    <row r="268" spans="1:8" x14ac:dyDescent="0.35">
      <c r="A268" s="11"/>
      <c r="B268" s="11"/>
      <c r="C268" s="11"/>
      <c r="D268" s="11"/>
      <c r="E268" s="11"/>
      <c r="F268" s="11"/>
      <c r="G268" s="209"/>
      <c r="H268" s="207">
        <f t="shared" si="7"/>
        <v>0</v>
      </c>
    </row>
    <row r="269" spans="1:8" x14ac:dyDescent="0.35">
      <c r="A269" s="11"/>
      <c r="B269" s="11"/>
      <c r="C269" s="11"/>
      <c r="D269" s="11"/>
      <c r="E269" s="11"/>
      <c r="F269" s="11"/>
      <c r="G269" s="209"/>
      <c r="H269" s="207">
        <f t="shared" si="7"/>
        <v>0</v>
      </c>
    </row>
    <row r="270" spans="1:8" x14ac:dyDescent="0.35">
      <c r="A270" s="11"/>
      <c r="B270" s="11"/>
      <c r="C270" s="11"/>
      <c r="D270" s="11"/>
      <c r="E270" s="11"/>
      <c r="F270" s="11"/>
      <c r="G270" s="209"/>
      <c r="H270" s="207">
        <f t="shared" si="7"/>
        <v>0</v>
      </c>
    </row>
    <row r="271" spans="1:8" x14ac:dyDescent="0.35">
      <c r="A271" s="11"/>
      <c r="B271" s="11"/>
      <c r="C271" s="11"/>
      <c r="D271" s="11"/>
      <c r="E271" s="11"/>
      <c r="F271" s="11"/>
      <c r="G271" s="209"/>
      <c r="H271" s="207">
        <f t="shared" si="7"/>
        <v>0</v>
      </c>
    </row>
    <row r="272" spans="1:8" x14ac:dyDescent="0.35">
      <c r="A272" s="11"/>
      <c r="B272" s="11"/>
      <c r="C272" s="11"/>
      <c r="D272" s="11"/>
      <c r="E272" s="11"/>
      <c r="F272" s="11"/>
      <c r="G272" s="209"/>
      <c r="H272" s="207">
        <f t="shared" si="7"/>
        <v>0</v>
      </c>
    </row>
    <row r="273" spans="1:8" x14ac:dyDescent="0.35">
      <c r="A273" s="11"/>
      <c r="B273" s="11"/>
      <c r="C273" s="11"/>
      <c r="D273" s="11"/>
      <c r="E273" s="11"/>
      <c r="F273" s="11"/>
      <c r="G273" s="209"/>
      <c r="H273" s="207">
        <f t="shared" si="7"/>
        <v>0</v>
      </c>
    </row>
    <row r="274" spans="1:8" x14ac:dyDescent="0.35">
      <c r="A274" s="11"/>
      <c r="B274" s="11"/>
      <c r="C274" s="11"/>
      <c r="D274" s="11"/>
      <c r="E274" s="11"/>
      <c r="F274" s="11"/>
      <c r="G274" s="209"/>
      <c r="H274" s="207">
        <f t="shared" si="7"/>
        <v>0</v>
      </c>
    </row>
    <row r="275" spans="1:8" x14ac:dyDescent="0.35">
      <c r="A275" s="11"/>
      <c r="B275" s="11"/>
      <c r="C275" s="11"/>
      <c r="D275" s="11"/>
      <c r="E275" s="11"/>
      <c r="F275" s="11"/>
      <c r="G275" s="209"/>
      <c r="H275" s="207">
        <f t="shared" si="7"/>
        <v>0</v>
      </c>
    </row>
    <row r="276" spans="1:8" x14ac:dyDescent="0.35">
      <c r="A276" s="11"/>
      <c r="B276" s="11"/>
      <c r="C276" s="11"/>
      <c r="D276" s="11"/>
      <c r="E276" s="11"/>
      <c r="F276" s="11"/>
      <c r="G276" s="209"/>
      <c r="H276" s="207">
        <f t="shared" si="7"/>
        <v>0</v>
      </c>
    </row>
    <row r="277" spans="1:8" x14ac:dyDescent="0.35">
      <c r="A277" s="11"/>
      <c r="B277" s="11"/>
      <c r="C277" s="11"/>
      <c r="D277" s="11"/>
      <c r="E277" s="11"/>
      <c r="F277" s="11"/>
      <c r="G277" s="209"/>
      <c r="H277" s="207">
        <f t="shared" si="7"/>
        <v>0</v>
      </c>
    </row>
    <row r="278" spans="1:8" x14ac:dyDescent="0.35">
      <c r="A278" s="11"/>
      <c r="B278" s="11"/>
      <c r="C278" s="11"/>
      <c r="D278" s="11"/>
      <c r="E278" s="11"/>
      <c r="F278" s="11"/>
      <c r="G278" s="209"/>
      <c r="H278" s="207">
        <f t="shared" si="7"/>
        <v>0</v>
      </c>
    </row>
    <row r="279" spans="1:8" x14ac:dyDescent="0.35">
      <c r="A279" s="11"/>
      <c r="B279" s="11"/>
      <c r="C279" s="11"/>
      <c r="D279" s="11"/>
      <c r="E279" s="11"/>
      <c r="F279" s="11"/>
      <c r="G279" s="209"/>
      <c r="H279" s="207">
        <f t="shared" si="7"/>
        <v>0</v>
      </c>
    </row>
    <row r="280" spans="1:8" x14ac:dyDescent="0.35">
      <c r="A280" s="11"/>
      <c r="B280" s="11"/>
      <c r="C280" s="11"/>
      <c r="D280" s="11"/>
      <c r="E280" s="11"/>
      <c r="F280" s="11"/>
      <c r="G280" s="209"/>
      <c r="H280" s="207">
        <f t="shared" si="7"/>
        <v>0</v>
      </c>
    </row>
    <row r="281" spans="1:8" x14ac:dyDescent="0.35">
      <c r="A281" s="11"/>
      <c r="B281" s="11"/>
      <c r="C281" s="11"/>
      <c r="D281" s="11"/>
      <c r="E281" s="11"/>
      <c r="F281" s="11"/>
      <c r="G281" s="209"/>
      <c r="H281" s="207">
        <f t="shared" si="7"/>
        <v>0</v>
      </c>
    </row>
    <row r="282" spans="1:8" x14ac:dyDescent="0.35">
      <c r="A282" s="11"/>
      <c r="B282" s="11"/>
      <c r="C282" s="11"/>
      <c r="D282" s="11"/>
      <c r="E282" s="11"/>
      <c r="F282" s="11"/>
      <c r="G282" s="209"/>
      <c r="H282" s="207">
        <f t="shared" si="7"/>
        <v>0</v>
      </c>
    </row>
    <row r="283" spans="1:8" x14ac:dyDescent="0.35">
      <c r="A283" s="11"/>
      <c r="B283" s="11"/>
      <c r="C283" s="11"/>
      <c r="D283" s="11"/>
      <c r="E283" s="11"/>
      <c r="F283" s="11"/>
      <c r="G283" s="209"/>
      <c r="H283" s="207">
        <f t="shared" si="7"/>
        <v>0</v>
      </c>
    </row>
    <row r="284" spans="1:8" x14ac:dyDescent="0.35">
      <c r="A284" s="11"/>
      <c r="B284" s="11"/>
      <c r="C284" s="11"/>
      <c r="D284" s="11"/>
      <c r="E284" s="11"/>
      <c r="F284" s="11"/>
      <c r="G284" s="209"/>
      <c r="H284" s="207">
        <f t="shared" ref="H284:H348" si="9">IF(D284="",0,MONTH(D284))</f>
        <v>0</v>
      </c>
    </row>
    <row r="285" spans="1:8" x14ac:dyDescent="0.35">
      <c r="A285" s="11"/>
      <c r="B285" s="11"/>
      <c r="C285" s="11"/>
      <c r="D285" s="11"/>
      <c r="E285" s="11"/>
      <c r="F285" s="11"/>
      <c r="G285" s="209"/>
      <c r="H285" s="207">
        <f t="shared" si="9"/>
        <v>0</v>
      </c>
    </row>
    <row r="286" spans="1:8" x14ac:dyDescent="0.35">
      <c r="A286" s="11"/>
      <c r="B286" s="11"/>
      <c r="C286" s="11"/>
      <c r="D286" s="11"/>
      <c r="E286" s="11"/>
      <c r="F286" s="11"/>
      <c r="G286" s="209"/>
      <c r="H286" s="207">
        <f t="shared" si="9"/>
        <v>0</v>
      </c>
    </row>
    <row r="287" spans="1:8" x14ac:dyDescent="0.35">
      <c r="A287" s="11"/>
      <c r="B287" s="11"/>
      <c r="C287" s="11"/>
      <c r="D287" s="11"/>
      <c r="E287" s="11"/>
      <c r="F287" s="11"/>
      <c r="G287" s="209"/>
      <c r="H287" s="207">
        <f t="shared" si="9"/>
        <v>0</v>
      </c>
    </row>
    <row r="288" spans="1:8" x14ac:dyDescent="0.35">
      <c r="A288" s="11"/>
      <c r="B288" s="11"/>
      <c r="C288" s="11"/>
      <c r="D288" s="11"/>
      <c r="E288" s="11"/>
      <c r="F288" s="11"/>
      <c r="G288" s="209"/>
      <c r="H288" s="207">
        <f t="shared" si="9"/>
        <v>0</v>
      </c>
    </row>
    <row r="289" spans="1:8" x14ac:dyDescent="0.35">
      <c r="A289" s="11"/>
      <c r="B289" s="11"/>
      <c r="C289" s="11"/>
      <c r="D289" s="11"/>
      <c r="E289" s="11"/>
      <c r="F289" s="11"/>
      <c r="G289" s="209"/>
      <c r="H289" s="207">
        <f t="shared" si="9"/>
        <v>0</v>
      </c>
    </row>
    <row r="290" spans="1:8" x14ac:dyDescent="0.35">
      <c r="A290" s="11"/>
      <c r="B290" s="11"/>
      <c r="C290" s="11"/>
      <c r="D290" s="11"/>
      <c r="E290" s="11"/>
      <c r="F290" s="11"/>
      <c r="G290" s="209"/>
      <c r="H290" s="207">
        <f t="shared" si="9"/>
        <v>0</v>
      </c>
    </row>
    <row r="291" spans="1:8" x14ac:dyDescent="0.35">
      <c r="A291" s="11"/>
      <c r="B291" s="11"/>
      <c r="C291" s="11"/>
      <c r="D291" s="11"/>
      <c r="E291" s="11"/>
      <c r="F291" s="11"/>
      <c r="G291" s="209"/>
      <c r="H291" s="207">
        <f t="shared" si="9"/>
        <v>0</v>
      </c>
    </row>
    <row r="292" spans="1:8" x14ac:dyDescent="0.35">
      <c r="A292" s="11"/>
      <c r="B292" s="11"/>
      <c r="C292" s="11"/>
      <c r="D292" s="11"/>
      <c r="E292" s="11"/>
      <c r="F292" s="11"/>
      <c r="G292" s="209"/>
      <c r="H292" s="207">
        <f t="shared" si="9"/>
        <v>0</v>
      </c>
    </row>
    <row r="293" spans="1:8" x14ac:dyDescent="0.35">
      <c r="A293" s="11"/>
      <c r="B293" s="11"/>
      <c r="C293" s="11"/>
      <c r="D293" s="11"/>
      <c r="E293" s="11"/>
      <c r="F293" s="11"/>
      <c r="G293" s="209"/>
      <c r="H293" s="207">
        <f t="shared" si="9"/>
        <v>0</v>
      </c>
    </row>
    <row r="294" spans="1:8" x14ac:dyDescent="0.35">
      <c r="A294" s="11"/>
      <c r="B294" s="11"/>
      <c r="C294" s="11"/>
      <c r="D294" s="11"/>
      <c r="E294" s="11"/>
      <c r="F294" s="11"/>
      <c r="G294" s="209"/>
      <c r="H294" s="207">
        <f t="shared" si="9"/>
        <v>0</v>
      </c>
    </row>
    <row r="295" spans="1:8" x14ac:dyDescent="0.35">
      <c r="A295" s="11"/>
      <c r="B295" s="11"/>
      <c r="C295" s="11"/>
      <c r="D295" s="11"/>
      <c r="E295" s="11"/>
      <c r="F295" s="11"/>
      <c r="G295" s="209"/>
      <c r="H295" s="207">
        <f t="shared" si="9"/>
        <v>0</v>
      </c>
    </row>
    <row r="296" spans="1:8" x14ac:dyDescent="0.35">
      <c r="A296" s="11"/>
      <c r="B296" s="11"/>
      <c r="C296" s="11"/>
      <c r="D296" s="11"/>
      <c r="E296" s="11"/>
      <c r="F296" s="11"/>
      <c r="G296" s="209"/>
      <c r="H296" s="207">
        <f t="shared" si="9"/>
        <v>0</v>
      </c>
    </row>
    <row r="297" spans="1:8" x14ac:dyDescent="0.35">
      <c r="A297" s="11"/>
      <c r="B297" s="11"/>
      <c r="C297" s="11"/>
      <c r="D297" s="11"/>
      <c r="E297" s="11"/>
      <c r="F297" s="11"/>
      <c r="G297" s="209"/>
      <c r="H297" s="207">
        <f t="shared" si="9"/>
        <v>0</v>
      </c>
    </row>
    <row r="298" spans="1:8" x14ac:dyDescent="0.35">
      <c r="A298" s="11"/>
      <c r="B298" s="11"/>
      <c r="C298" s="11"/>
      <c r="D298" s="11"/>
      <c r="E298" s="11"/>
      <c r="F298" s="11"/>
      <c r="G298" s="209"/>
      <c r="H298" s="207">
        <f t="shared" si="9"/>
        <v>0</v>
      </c>
    </row>
    <row r="299" spans="1:8" x14ac:dyDescent="0.35">
      <c r="A299" s="11"/>
      <c r="B299" s="11"/>
      <c r="C299" s="11"/>
      <c r="D299" s="11"/>
      <c r="E299" s="11"/>
      <c r="F299" s="11"/>
      <c r="G299" s="209"/>
      <c r="H299" s="207">
        <f t="shared" si="9"/>
        <v>0</v>
      </c>
    </row>
    <row r="300" spans="1:8" x14ac:dyDescent="0.35">
      <c r="A300" s="11"/>
      <c r="B300" s="11"/>
      <c r="C300" s="11"/>
      <c r="D300" s="11"/>
      <c r="E300" s="11"/>
      <c r="F300" s="11"/>
      <c r="G300" s="209"/>
      <c r="H300" s="207">
        <f t="shared" si="9"/>
        <v>0</v>
      </c>
    </row>
    <row r="301" spans="1:8" x14ac:dyDescent="0.35">
      <c r="A301" s="11"/>
      <c r="B301" s="11"/>
      <c r="C301" s="11"/>
      <c r="D301" s="11"/>
      <c r="E301" s="11"/>
      <c r="F301" s="11"/>
      <c r="G301" s="209"/>
      <c r="H301" s="207">
        <f t="shared" si="9"/>
        <v>0</v>
      </c>
    </row>
    <row r="302" spans="1:8" x14ac:dyDescent="0.35">
      <c r="A302" s="11"/>
      <c r="B302" s="11"/>
      <c r="C302" s="11"/>
      <c r="D302" s="11"/>
      <c r="E302" s="11"/>
      <c r="F302" s="11"/>
      <c r="G302" s="209"/>
      <c r="H302" s="207">
        <f t="shared" si="9"/>
        <v>0</v>
      </c>
    </row>
    <row r="303" spans="1:8" x14ac:dyDescent="0.35">
      <c r="A303" s="11"/>
      <c r="B303" s="11"/>
      <c r="C303" s="11"/>
      <c r="D303" s="11"/>
      <c r="E303" s="11"/>
      <c r="F303" s="11"/>
      <c r="G303" s="209"/>
      <c r="H303" s="207">
        <f t="shared" si="9"/>
        <v>0</v>
      </c>
    </row>
    <row r="304" spans="1:8" x14ac:dyDescent="0.35">
      <c r="A304" s="11"/>
      <c r="B304" s="11"/>
      <c r="C304" s="11"/>
      <c r="D304" s="11"/>
      <c r="E304" s="11"/>
      <c r="F304" s="11"/>
      <c r="G304" s="209"/>
      <c r="H304" s="207">
        <f t="shared" si="9"/>
        <v>0</v>
      </c>
    </row>
    <row r="305" spans="1:8" x14ac:dyDescent="0.35">
      <c r="A305" s="11"/>
      <c r="B305" s="11"/>
      <c r="C305" s="11"/>
      <c r="D305" s="11"/>
      <c r="E305" s="11"/>
      <c r="F305" s="11"/>
      <c r="G305" s="209"/>
      <c r="H305" s="207">
        <f t="shared" si="9"/>
        <v>0</v>
      </c>
    </row>
    <row r="306" spans="1:8" x14ac:dyDescent="0.35">
      <c r="A306" s="11"/>
      <c r="B306" s="11"/>
      <c r="C306" s="11"/>
      <c r="D306" s="11"/>
      <c r="E306" s="11"/>
      <c r="F306" s="11"/>
      <c r="G306" s="209"/>
      <c r="H306" s="207">
        <f t="shared" si="9"/>
        <v>0</v>
      </c>
    </row>
    <row r="307" spans="1:8" x14ac:dyDescent="0.35">
      <c r="A307" s="11"/>
      <c r="B307" s="11"/>
      <c r="C307" s="11"/>
      <c r="D307" s="11"/>
      <c r="E307" s="11"/>
      <c r="F307" s="11"/>
      <c r="G307" s="209"/>
      <c r="H307" s="207">
        <f t="shared" si="9"/>
        <v>0</v>
      </c>
    </row>
    <row r="308" spans="1:8" x14ac:dyDescent="0.35">
      <c r="A308" s="11"/>
      <c r="B308" s="11"/>
      <c r="C308" s="11"/>
      <c r="D308" s="11"/>
      <c r="E308" s="11"/>
      <c r="F308" s="11"/>
      <c r="G308" s="209"/>
      <c r="H308" s="207">
        <f t="shared" si="9"/>
        <v>0</v>
      </c>
    </row>
    <row r="309" spans="1:8" x14ac:dyDescent="0.35">
      <c r="A309" s="11"/>
      <c r="B309" s="11"/>
      <c r="C309" s="11"/>
      <c r="D309" s="11"/>
      <c r="E309" s="11"/>
      <c r="F309" s="11"/>
      <c r="G309" s="209"/>
      <c r="H309" s="207">
        <f t="shared" si="9"/>
        <v>0</v>
      </c>
    </row>
    <row r="310" spans="1:8" x14ac:dyDescent="0.35">
      <c r="A310" s="11"/>
      <c r="B310" s="11"/>
      <c r="C310" s="11"/>
      <c r="D310" s="11"/>
      <c r="E310" s="11"/>
      <c r="F310" s="11"/>
      <c r="G310" s="209"/>
      <c r="H310" s="207">
        <f t="shared" si="9"/>
        <v>0</v>
      </c>
    </row>
    <row r="311" spans="1:8" x14ac:dyDescent="0.35">
      <c r="A311" s="11"/>
      <c r="B311" s="11"/>
      <c r="C311" s="11"/>
      <c r="D311" s="11"/>
      <c r="E311" s="11"/>
      <c r="F311" s="11"/>
      <c r="G311" s="209"/>
      <c r="H311" s="207">
        <f t="shared" si="9"/>
        <v>0</v>
      </c>
    </row>
    <row r="312" spans="1:8" x14ac:dyDescent="0.35">
      <c r="A312" s="11"/>
      <c r="B312" s="11"/>
      <c r="C312" s="11"/>
      <c r="D312" s="11"/>
      <c r="E312" s="11"/>
      <c r="F312" s="11"/>
      <c r="G312" s="209"/>
      <c r="H312" s="207">
        <f t="shared" si="9"/>
        <v>0</v>
      </c>
    </row>
    <row r="313" spans="1:8" x14ac:dyDescent="0.35">
      <c r="A313" s="11"/>
      <c r="B313" s="11"/>
      <c r="C313" s="11"/>
      <c r="D313" s="11"/>
      <c r="E313" s="11"/>
      <c r="F313" s="11"/>
      <c r="G313" s="209"/>
      <c r="H313" s="207">
        <f t="shared" si="9"/>
        <v>0</v>
      </c>
    </row>
    <row r="314" spans="1:8" x14ac:dyDescent="0.35">
      <c r="A314" s="11"/>
      <c r="B314" s="11"/>
      <c r="C314" s="11"/>
      <c r="D314" s="11"/>
      <c r="E314" s="11"/>
      <c r="F314" s="11"/>
      <c r="G314" s="209"/>
      <c r="H314" s="207">
        <f t="shared" si="9"/>
        <v>0</v>
      </c>
    </row>
    <row r="315" spans="1:8" x14ac:dyDescent="0.35">
      <c r="A315" s="11"/>
      <c r="B315" s="11"/>
      <c r="C315" s="11"/>
      <c r="D315" s="11"/>
      <c r="E315" s="11"/>
      <c r="F315" s="11"/>
      <c r="G315" s="209"/>
      <c r="H315" s="207">
        <f t="shared" si="9"/>
        <v>0</v>
      </c>
    </row>
    <row r="316" spans="1:8" x14ac:dyDescent="0.35">
      <c r="A316" s="11"/>
      <c r="B316" s="11"/>
      <c r="C316" s="11"/>
      <c r="D316" s="11"/>
      <c r="E316" s="11"/>
      <c r="F316" s="11"/>
      <c r="G316" s="209"/>
      <c r="H316" s="207">
        <f t="shared" si="9"/>
        <v>0</v>
      </c>
    </row>
    <row r="317" spans="1:8" x14ac:dyDescent="0.35">
      <c r="A317" s="11"/>
      <c r="B317" s="11"/>
      <c r="C317" s="11"/>
      <c r="D317" s="11"/>
      <c r="E317" s="11"/>
      <c r="F317" s="11"/>
      <c r="G317" s="209"/>
      <c r="H317" s="207">
        <f>IF(D317="",0,MONTH(D317))</f>
        <v>0</v>
      </c>
    </row>
    <row r="318" spans="1:8" x14ac:dyDescent="0.35">
      <c r="A318" s="11"/>
      <c r="B318" s="11"/>
      <c r="C318" s="11"/>
      <c r="D318" s="11"/>
      <c r="E318" s="11"/>
      <c r="F318" s="11"/>
      <c r="G318" s="209"/>
      <c r="H318" s="207">
        <f t="shared" si="9"/>
        <v>0</v>
      </c>
    </row>
    <row r="319" spans="1:8" x14ac:dyDescent="0.35">
      <c r="A319" s="11"/>
      <c r="B319" s="11"/>
      <c r="C319" s="11"/>
      <c r="D319" s="11"/>
      <c r="E319" s="11"/>
      <c r="F319" s="11"/>
      <c r="G319" s="209"/>
      <c r="H319" s="207">
        <f t="shared" si="9"/>
        <v>0</v>
      </c>
    </row>
    <row r="320" spans="1:8" x14ac:dyDescent="0.35">
      <c r="A320" s="11"/>
      <c r="B320" s="11"/>
      <c r="C320" s="11"/>
      <c r="D320" s="11"/>
      <c r="E320" s="11"/>
      <c r="F320" s="11"/>
      <c r="G320" s="209"/>
      <c r="H320" s="207">
        <f t="shared" si="9"/>
        <v>0</v>
      </c>
    </row>
    <row r="321" spans="1:8" x14ac:dyDescent="0.35">
      <c r="A321" s="11"/>
      <c r="B321" s="11"/>
      <c r="C321" s="11"/>
      <c r="D321" s="11"/>
      <c r="E321" s="11"/>
      <c r="F321" s="11"/>
      <c r="G321" s="209"/>
      <c r="H321" s="207">
        <f t="shared" si="9"/>
        <v>0</v>
      </c>
    </row>
    <row r="322" spans="1:8" x14ac:dyDescent="0.35">
      <c r="A322" s="11"/>
      <c r="B322" s="11"/>
      <c r="C322" s="11"/>
      <c r="D322" s="11"/>
      <c r="E322" s="11"/>
      <c r="F322" s="11"/>
      <c r="G322" s="209"/>
      <c r="H322" s="207">
        <f t="shared" si="9"/>
        <v>0</v>
      </c>
    </row>
    <row r="323" spans="1:8" x14ac:dyDescent="0.35">
      <c r="A323" s="11"/>
      <c r="B323" s="11"/>
      <c r="C323" s="11"/>
      <c r="D323" s="11"/>
      <c r="E323" s="11"/>
      <c r="F323" s="11"/>
      <c r="G323" s="209"/>
      <c r="H323" s="207">
        <f t="shared" si="9"/>
        <v>0</v>
      </c>
    </row>
    <row r="324" spans="1:8" x14ac:dyDescent="0.35">
      <c r="A324" s="11"/>
      <c r="B324" s="11"/>
      <c r="C324" s="11"/>
      <c r="D324" s="11"/>
      <c r="E324" s="11"/>
      <c r="F324" s="11"/>
      <c r="G324" s="209"/>
      <c r="H324" s="207">
        <f t="shared" si="9"/>
        <v>0</v>
      </c>
    </row>
    <row r="325" spans="1:8" x14ac:dyDescent="0.35">
      <c r="A325" s="11"/>
      <c r="B325" s="11"/>
      <c r="C325" s="11"/>
      <c r="D325" s="11"/>
      <c r="E325" s="11"/>
      <c r="F325" s="11"/>
      <c r="G325" s="209"/>
      <c r="H325" s="207">
        <f t="shared" si="9"/>
        <v>0</v>
      </c>
    </row>
    <row r="326" spans="1:8" x14ac:dyDescent="0.35">
      <c r="A326" s="11"/>
      <c r="B326" s="11"/>
      <c r="C326" s="11"/>
      <c r="D326" s="11"/>
      <c r="E326" s="11"/>
      <c r="F326" s="11"/>
      <c r="G326" s="209"/>
      <c r="H326" s="207">
        <f t="shared" si="9"/>
        <v>0</v>
      </c>
    </row>
    <row r="327" spans="1:8" x14ac:dyDescent="0.35">
      <c r="A327" s="11"/>
      <c r="B327" s="11"/>
      <c r="C327" s="11"/>
      <c r="D327" s="11"/>
      <c r="E327" s="11"/>
      <c r="F327" s="11"/>
      <c r="G327" s="209"/>
      <c r="H327" s="207">
        <f t="shared" si="9"/>
        <v>0</v>
      </c>
    </row>
    <row r="328" spans="1:8" x14ac:dyDescent="0.35">
      <c r="A328" s="11"/>
      <c r="B328" s="11"/>
      <c r="C328" s="11"/>
      <c r="D328" s="11"/>
      <c r="E328" s="11"/>
      <c r="F328" s="11"/>
      <c r="G328" s="209"/>
      <c r="H328" s="207">
        <f t="shared" si="9"/>
        <v>0</v>
      </c>
    </row>
    <row r="329" spans="1:8" x14ac:dyDescent="0.35">
      <c r="A329" s="11"/>
      <c r="B329" s="11"/>
      <c r="C329" s="11"/>
      <c r="D329" s="11"/>
      <c r="E329" s="11"/>
      <c r="F329" s="11"/>
      <c r="G329" s="209"/>
      <c r="H329" s="207">
        <f t="shared" si="9"/>
        <v>0</v>
      </c>
    </row>
    <row r="330" spans="1:8" x14ac:dyDescent="0.35">
      <c r="A330" s="11"/>
      <c r="B330" s="11"/>
      <c r="C330" s="11"/>
      <c r="D330" s="11"/>
      <c r="E330" s="11"/>
      <c r="F330" s="11"/>
      <c r="G330" s="209"/>
      <c r="H330" s="207">
        <f t="shared" si="9"/>
        <v>0</v>
      </c>
    </row>
    <row r="331" spans="1:8" x14ac:dyDescent="0.35">
      <c r="A331" s="11"/>
      <c r="B331" s="11"/>
      <c r="C331" s="11"/>
      <c r="D331" s="11"/>
      <c r="E331" s="11"/>
      <c r="F331" s="11"/>
      <c r="G331" s="209"/>
      <c r="H331" s="207">
        <f t="shared" si="9"/>
        <v>0</v>
      </c>
    </row>
    <row r="332" spans="1:8" x14ac:dyDescent="0.35">
      <c r="A332" s="11"/>
      <c r="B332" s="11"/>
      <c r="C332" s="11"/>
      <c r="D332" s="11"/>
      <c r="E332" s="11"/>
      <c r="F332" s="11"/>
      <c r="G332" s="209"/>
      <c r="H332" s="207">
        <f t="shared" si="9"/>
        <v>0</v>
      </c>
    </row>
    <row r="333" spans="1:8" x14ac:dyDescent="0.35">
      <c r="A333" s="11"/>
      <c r="B333" s="11"/>
      <c r="C333" s="11"/>
      <c r="D333" s="11"/>
      <c r="E333" s="11"/>
      <c r="F333" s="11"/>
      <c r="G333" s="209"/>
      <c r="H333" s="207">
        <f t="shared" si="9"/>
        <v>0</v>
      </c>
    </row>
    <row r="334" spans="1:8" x14ac:dyDescent="0.35">
      <c r="A334" s="11"/>
      <c r="B334" s="11"/>
      <c r="C334" s="11"/>
      <c r="D334" s="11"/>
      <c r="E334" s="11"/>
      <c r="F334" s="11"/>
      <c r="G334" s="209"/>
      <c r="H334" s="207">
        <f t="shared" si="9"/>
        <v>0</v>
      </c>
    </row>
    <row r="335" spans="1:8" x14ac:dyDescent="0.35">
      <c r="A335" s="11"/>
      <c r="B335" s="11"/>
      <c r="C335" s="11"/>
      <c r="D335" s="11"/>
      <c r="E335" s="11"/>
      <c r="F335" s="11"/>
      <c r="G335" s="209"/>
      <c r="H335" s="207">
        <f t="shared" si="9"/>
        <v>0</v>
      </c>
    </row>
    <row r="336" spans="1:8" x14ac:dyDescent="0.35">
      <c r="A336" s="11"/>
      <c r="B336" s="11"/>
      <c r="C336" s="11"/>
      <c r="D336" s="11"/>
      <c r="E336" s="11"/>
      <c r="F336" s="11"/>
      <c r="G336" s="209"/>
      <c r="H336" s="207">
        <f t="shared" si="9"/>
        <v>0</v>
      </c>
    </row>
    <row r="337" spans="1:8" x14ac:dyDescent="0.35">
      <c r="A337" s="11"/>
      <c r="B337" s="11"/>
      <c r="C337" s="11"/>
      <c r="D337" s="11"/>
      <c r="E337" s="11"/>
      <c r="F337" s="11"/>
      <c r="G337" s="209"/>
      <c r="H337" s="207">
        <f t="shared" si="9"/>
        <v>0</v>
      </c>
    </row>
    <row r="338" spans="1:8" x14ac:dyDescent="0.35">
      <c r="A338" s="11"/>
      <c r="B338" s="11"/>
      <c r="C338" s="11"/>
      <c r="D338" s="11"/>
      <c r="E338" s="11"/>
      <c r="F338" s="11"/>
      <c r="G338" s="209"/>
      <c r="H338" s="207">
        <f t="shared" si="9"/>
        <v>0</v>
      </c>
    </row>
    <row r="339" spans="1:8" x14ac:dyDescent="0.35">
      <c r="A339" s="11"/>
      <c r="B339" s="11"/>
      <c r="C339" s="11"/>
      <c r="D339" s="11"/>
      <c r="E339" s="11"/>
      <c r="F339" s="11"/>
      <c r="G339" s="209"/>
      <c r="H339" s="207">
        <f t="shared" si="9"/>
        <v>0</v>
      </c>
    </row>
    <row r="340" spans="1:8" x14ac:dyDescent="0.35">
      <c r="A340" s="11"/>
      <c r="B340" s="11"/>
      <c r="C340" s="11"/>
      <c r="D340" s="11"/>
      <c r="E340" s="11"/>
      <c r="F340" s="11"/>
      <c r="G340" s="209"/>
      <c r="H340" s="207">
        <f t="shared" si="9"/>
        <v>0</v>
      </c>
    </row>
    <row r="341" spans="1:8" x14ac:dyDescent="0.35">
      <c r="A341" s="11"/>
      <c r="B341" s="11"/>
      <c r="C341" s="11"/>
      <c r="D341" s="11"/>
      <c r="E341" s="11"/>
      <c r="F341" s="11"/>
      <c r="G341" s="209"/>
      <c r="H341" s="207">
        <f t="shared" si="9"/>
        <v>0</v>
      </c>
    </row>
    <row r="342" spans="1:8" x14ac:dyDescent="0.35">
      <c r="A342" s="11"/>
      <c r="B342" s="11"/>
      <c r="C342" s="11"/>
      <c r="D342" s="11"/>
      <c r="E342" s="11"/>
      <c r="F342" s="11"/>
      <c r="G342" s="209"/>
      <c r="H342" s="207">
        <f t="shared" si="9"/>
        <v>0</v>
      </c>
    </row>
    <row r="343" spans="1:8" x14ac:dyDescent="0.35">
      <c r="A343" s="11"/>
      <c r="B343" s="11"/>
      <c r="C343" s="11"/>
      <c r="D343" s="11"/>
      <c r="E343" s="11"/>
      <c r="F343" s="11"/>
      <c r="G343" s="209"/>
      <c r="H343" s="207">
        <f t="shared" si="9"/>
        <v>0</v>
      </c>
    </row>
    <row r="344" spans="1:8" x14ac:dyDescent="0.35">
      <c r="A344" s="11"/>
      <c r="B344" s="11"/>
      <c r="C344" s="11"/>
      <c r="D344" s="11"/>
      <c r="E344" s="11"/>
      <c r="F344" s="11"/>
      <c r="G344" s="209"/>
      <c r="H344" s="207">
        <f t="shared" si="9"/>
        <v>0</v>
      </c>
    </row>
    <row r="345" spans="1:8" x14ac:dyDescent="0.35">
      <c r="A345" s="11"/>
      <c r="B345" s="11"/>
      <c r="C345" s="11"/>
      <c r="D345" s="11"/>
      <c r="E345" s="11"/>
      <c r="F345" s="11"/>
      <c r="G345" s="209"/>
      <c r="H345" s="207">
        <f t="shared" si="9"/>
        <v>0</v>
      </c>
    </row>
    <row r="346" spans="1:8" x14ac:dyDescent="0.35">
      <c r="A346" s="11"/>
      <c r="B346" s="11"/>
      <c r="C346" s="11"/>
      <c r="D346" s="11"/>
      <c r="E346" s="11"/>
      <c r="F346" s="11"/>
      <c r="G346" s="209"/>
      <c r="H346" s="207">
        <f t="shared" si="9"/>
        <v>0</v>
      </c>
    </row>
    <row r="347" spans="1:8" x14ac:dyDescent="0.35">
      <c r="A347" s="11"/>
      <c r="B347" s="11"/>
      <c r="C347" s="11"/>
      <c r="D347" s="11"/>
      <c r="E347" s="11"/>
      <c r="F347" s="11"/>
      <c r="G347" s="209"/>
      <c r="H347" s="207">
        <f t="shared" si="9"/>
        <v>0</v>
      </c>
    </row>
    <row r="348" spans="1:8" x14ac:dyDescent="0.35">
      <c r="A348" s="11"/>
      <c r="B348" s="11"/>
      <c r="C348" s="11"/>
      <c r="D348" s="11"/>
      <c r="E348" s="11"/>
      <c r="F348" s="11"/>
      <c r="G348" s="209"/>
      <c r="H348" s="207">
        <f t="shared" si="9"/>
        <v>0</v>
      </c>
    </row>
    <row r="349" spans="1:8" x14ac:dyDescent="0.35">
      <c r="A349" s="11"/>
      <c r="B349" s="11"/>
      <c r="C349" s="11"/>
      <c r="D349" s="11"/>
      <c r="E349" s="11"/>
      <c r="F349" s="11"/>
      <c r="G349" s="209"/>
      <c r="H349" s="207">
        <f t="shared" ref="H349:H441" si="10">IF(D349="",0,MONTH(D349))</f>
        <v>0</v>
      </c>
    </row>
    <row r="350" spans="1:8" x14ac:dyDescent="0.35">
      <c r="A350" s="11"/>
      <c r="B350" s="11"/>
      <c r="C350" s="11"/>
      <c r="D350" s="11"/>
      <c r="E350" s="11"/>
      <c r="F350" s="11"/>
      <c r="G350" s="209"/>
      <c r="H350" s="207">
        <f t="shared" si="10"/>
        <v>0</v>
      </c>
    </row>
    <row r="351" spans="1:8" x14ac:dyDescent="0.35">
      <c r="A351" s="11"/>
      <c r="B351" s="11"/>
      <c r="C351" s="11"/>
      <c r="D351" s="11"/>
      <c r="E351" s="11"/>
      <c r="F351" s="11"/>
      <c r="G351" s="209"/>
      <c r="H351" s="207">
        <f t="shared" si="10"/>
        <v>0</v>
      </c>
    </row>
    <row r="352" spans="1:8" x14ac:dyDescent="0.35">
      <c r="A352" s="11"/>
      <c r="B352" s="11"/>
      <c r="C352" s="11"/>
      <c r="D352" s="11"/>
      <c r="E352" s="11"/>
      <c r="F352" s="11"/>
      <c r="G352" s="209"/>
      <c r="H352" s="207">
        <f t="shared" si="10"/>
        <v>0</v>
      </c>
    </row>
    <row r="353" spans="1:8" x14ac:dyDescent="0.35">
      <c r="A353" s="11"/>
      <c r="B353" s="11"/>
      <c r="C353" s="11"/>
      <c r="D353" s="11"/>
      <c r="E353" s="11"/>
      <c r="F353" s="11"/>
      <c r="G353" s="209"/>
      <c r="H353" s="207">
        <f t="shared" si="10"/>
        <v>0</v>
      </c>
    </row>
    <row r="354" spans="1:8" x14ac:dyDescent="0.35">
      <c r="A354" s="11"/>
      <c r="B354" s="11"/>
      <c r="C354" s="11"/>
      <c r="D354" s="11"/>
      <c r="E354" s="11"/>
      <c r="F354" s="11"/>
      <c r="G354" s="209"/>
      <c r="H354" s="207">
        <f t="shared" si="10"/>
        <v>0</v>
      </c>
    </row>
    <row r="355" spans="1:8" x14ac:dyDescent="0.35">
      <c r="A355" s="11"/>
      <c r="B355" s="11"/>
      <c r="C355" s="11"/>
      <c r="D355" s="11"/>
      <c r="E355" s="11"/>
      <c r="F355" s="11"/>
      <c r="G355" s="209"/>
      <c r="H355" s="207">
        <f t="shared" si="10"/>
        <v>0</v>
      </c>
    </row>
    <row r="356" spans="1:8" x14ac:dyDescent="0.35">
      <c r="A356" s="11"/>
      <c r="B356" s="11"/>
      <c r="C356" s="11"/>
      <c r="D356" s="11"/>
      <c r="E356" s="11"/>
      <c r="F356" s="11"/>
      <c r="G356" s="209"/>
      <c r="H356" s="207">
        <f t="shared" si="10"/>
        <v>0</v>
      </c>
    </row>
    <row r="357" spans="1:8" x14ac:dyDescent="0.35">
      <c r="A357" s="11"/>
      <c r="B357" s="11"/>
      <c r="C357" s="11"/>
      <c r="D357" s="11"/>
      <c r="E357" s="11"/>
      <c r="F357" s="11"/>
      <c r="G357" s="209"/>
      <c r="H357" s="207">
        <f t="shared" si="10"/>
        <v>0</v>
      </c>
    </row>
    <row r="358" spans="1:8" x14ac:dyDescent="0.35">
      <c r="A358" s="11"/>
      <c r="B358" s="11"/>
      <c r="C358" s="11"/>
      <c r="D358" s="11"/>
      <c r="E358" s="11"/>
      <c r="F358" s="11"/>
      <c r="G358" s="209"/>
      <c r="H358" s="207">
        <f t="shared" si="10"/>
        <v>0</v>
      </c>
    </row>
    <row r="359" spans="1:8" x14ac:dyDescent="0.35">
      <c r="A359" s="11"/>
      <c r="B359" s="11"/>
      <c r="C359" s="11"/>
      <c r="D359" s="11"/>
      <c r="E359" s="11"/>
      <c r="F359" s="11"/>
      <c r="G359" s="209"/>
      <c r="H359" s="207">
        <f t="shared" si="10"/>
        <v>0</v>
      </c>
    </row>
    <row r="360" spans="1:8" x14ac:dyDescent="0.35">
      <c r="A360" s="11"/>
      <c r="B360" s="11"/>
      <c r="C360" s="11"/>
      <c r="D360" s="11"/>
      <c r="E360" s="11"/>
      <c r="F360" s="11"/>
      <c r="G360" s="209"/>
      <c r="H360" s="207">
        <f t="shared" si="10"/>
        <v>0</v>
      </c>
    </row>
    <row r="361" spans="1:8" x14ac:dyDescent="0.35">
      <c r="A361" s="11"/>
      <c r="B361" s="11"/>
      <c r="C361" s="11"/>
      <c r="D361" s="11"/>
      <c r="E361" s="11"/>
      <c r="F361" s="11"/>
      <c r="G361" s="209"/>
      <c r="H361" s="207">
        <f t="shared" si="10"/>
        <v>0</v>
      </c>
    </row>
    <row r="362" spans="1:8" x14ac:dyDescent="0.35">
      <c r="A362" s="11"/>
      <c r="B362" s="11"/>
      <c r="C362" s="11"/>
      <c r="D362" s="11"/>
      <c r="E362" s="11"/>
      <c r="F362" s="11"/>
      <c r="G362" s="209"/>
      <c r="H362" s="207">
        <f t="shared" si="10"/>
        <v>0</v>
      </c>
    </row>
    <row r="363" spans="1:8" x14ac:dyDescent="0.35">
      <c r="A363" s="11"/>
      <c r="B363" s="11"/>
      <c r="C363" s="11"/>
      <c r="D363" s="11"/>
      <c r="E363" s="11"/>
      <c r="F363" s="11"/>
      <c r="G363" s="211"/>
      <c r="H363" s="207">
        <f t="shared" si="10"/>
        <v>0</v>
      </c>
    </row>
    <row r="364" spans="1:8" x14ac:dyDescent="0.35">
      <c r="A364" s="11"/>
      <c r="B364" s="11"/>
      <c r="C364" s="11"/>
      <c r="D364" s="11"/>
      <c r="E364" s="11"/>
      <c r="F364" s="11"/>
      <c r="G364" s="209"/>
      <c r="H364" s="207">
        <f t="shared" si="10"/>
        <v>0</v>
      </c>
    </row>
    <row r="365" spans="1:8" x14ac:dyDescent="0.35">
      <c r="A365" s="11"/>
      <c r="B365" s="11"/>
      <c r="C365" s="11"/>
      <c r="D365" s="11"/>
      <c r="E365" s="11"/>
      <c r="F365" s="11"/>
      <c r="G365" s="211"/>
      <c r="H365" s="207">
        <f t="shared" si="10"/>
        <v>0</v>
      </c>
    </row>
    <row r="366" spans="1:8" x14ac:dyDescent="0.35">
      <c r="A366" s="11"/>
      <c r="B366" s="11"/>
      <c r="C366" s="11"/>
      <c r="D366" s="11"/>
      <c r="E366" s="11"/>
      <c r="F366" s="11"/>
      <c r="G366" s="209"/>
      <c r="H366" s="207">
        <f>IF(D366="",0,MONTH(D366))</f>
        <v>0</v>
      </c>
    </row>
    <row r="367" spans="1:8" x14ac:dyDescent="0.35">
      <c r="A367" s="11"/>
      <c r="B367" s="11"/>
      <c r="C367" s="11"/>
      <c r="D367" s="11"/>
      <c r="E367" s="11"/>
      <c r="F367" s="11"/>
      <c r="G367" s="211"/>
      <c r="H367" s="207">
        <f>IF(D367="",0,MONTH(D367))</f>
        <v>0</v>
      </c>
    </row>
    <row r="368" spans="1:8" x14ac:dyDescent="0.35">
      <c r="A368" s="11"/>
      <c r="B368" s="11"/>
      <c r="C368" s="11"/>
      <c r="D368" s="11"/>
      <c r="E368" s="11"/>
      <c r="F368" s="11"/>
      <c r="G368" s="209"/>
      <c r="H368" s="207">
        <f>IF(D368="",0,MONTH(D368))</f>
        <v>0</v>
      </c>
    </row>
    <row r="369" spans="1:8" x14ac:dyDescent="0.35">
      <c r="A369" s="11"/>
      <c r="B369" s="11"/>
      <c r="C369" s="11"/>
      <c r="D369" s="11"/>
      <c r="E369" s="11"/>
      <c r="F369" s="11"/>
      <c r="G369" s="211"/>
      <c r="H369" s="207">
        <f>IF(D369="",0,MONTH(D369))</f>
        <v>0</v>
      </c>
    </row>
    <row r="370" spans="1:8" s="88" customFormat="1" x14ac:dyDescent="0.35">
      <c r="A370" s="11"/>
      <c r="B370" s="11"/>
      <c r="C370" s="11"/>
      <c r="D370" s="11"/>
      <c r="E370" s="11"/>
      <c r="F370" s="11"/>
      <c r="G370" s="209"/>
      <c r="H370" s="207">
        <f t="shared" ref="H370:H381" si="11">IF(D370="",0,MONTH(D370))</f>
        <v>0</v>
      </c>
    </row>
    <row r="371" spans="1:8" s="88" customFormat="1" x14ac:dyDescent="0.35">
      <c r="A371" s="11"/>
      <c r="B371" s="11"/>
      <c r="C371" s="11"/>
      <c r="D371" s="11"/>
      <c r="E371" s="11"/>
      <c r="F371" s="11"/>
      <c r="G371" s="211"/>
      <c r="H371" s="207">
        <f t="shared" si="11"/>
        <v>0</v>
      </c>
    </row>
    <row r="372" spans="1:8" s="88" customFormat="1" x14ac:dyDescent="0.35">
      <c r="A372" s="11"/>
      <c r="B372" s="11"/>
      <c r="C372" s="11"/>
      <c r="D372" s="11"/>
      <c r="E372" s="11"/>
      <c r="F372" s="11"/>
      <c r="G372" s="209"/>
      <c r="H372" s="207">
        <f t="shared" si="11"/>
        <v>0</v>
      </c>
    </row>
    <row r="373" spans="1:8" s="88" customFormat="1" x14ac:dyDescent="0.35">
      <c r="A373" s="11"/>
      <c r="B373" s="11"/>
      <c r="C373" s="11"/>
      <c r="D373" s="11"/>
      <c r="E373" s="11"/>
      <c r="F373" s="11"/>
      <c r="G373" s="211"/>
      <c r="H373" s="207">
        <f t="shared" si="11"/>
        <v>0</v>
      </c>
    </row>
    <row r="374" spans="1:8" s="88" customFormat="1" x14ac:dyDescent="0.35">
      <c r="A374" s="11"/>
      <c r="B374" s="11"/>
      <c r="C374" s="11"/>
      <c r="D374" s="11"/>
      <c r="E374" s="11"/>
      <c r="F374" s="11"/>
      <c r="G374" s="209"/>
      <c r="H374" s="207">
        <f t="shared" si="11"/>
        <v>0</v>
      </c>
    </row>
    <row r="375" spans="1:8" s="88" customFormat="1" x14ac:dyDescent="0.35">
      <c r="A375" s="11"/>
      <c r="B375" s="11"/>
      <c r="C375" s="11"/>
      <c r="D375" s="11"/>
      <c r="E375" s="11"/>
      <c r="F375" s="11"/>
      <c r="G375" s="211"/>
      <c r="H375" s="207">
        <f t="shared" si="11"/>
        <v>0</v>
      </c>
    </row>
    <row r="376" spans="1:8" s="88" customFormat="1" x14ac:dyDescent="0.35">
      <c r="A376" s="11"/>
      <c r="B376" s="11"/>
      <c r="C376" s="11"/>
      <c r="D376" s="11"/>
      <c r="E376" s="11"/>
      <c r="F376" s="11"/>
      <c r="G376" s="209"/>
      <c r="H376" s="207">
        <f t="shared" si="11"/>
        <v>0</v>
      </c>
    </row>
    <row r="377" spans="1:8" s="88" customFormat="1" x14ac:dyDescent="0.35">
      <c r="A377" s="11"/>
      <c r="B377" s="11"/>
      <c r="C377" s="11"/>
      <c r="D377" s="11"/>
      <c r="E377" s="11"/>
      <c r="F377" s="11"/>
      <c r="G377" s="211"/>
      <c r="H377" s="207">
        <f t="shared" si="11"/>
        <v>0</v>
      </c>
    </row>
    <row r="378" spans="1:8" s="88" customFormat="1" x14ac:dyDescent="0.35">
      <c r="A378" s="11"/>
      <c r="B378" s="11"/>
      <c r="C378" s="11"/>
      <c r="D378" s="11"/>
      <c r="E378" s="11"/>
      <c r="F378" s="11"/>
      <c r="G378" s="209"/>
      <c r="H378" s="207">
        <f t="shared" si="11"/>
        <v>0</v>
      </c>
    </row>
    <row r="379" spans="1:8" s="88" customFormat="1" x14ac:dyDescent="0.35">
      <c r="A379" s="11"/>
      <c r="B379" s="11"/>
      <c r="C379" s="11"/>
      <c r="D379" s="11"/>
      <c r="E379" s="11"/>
      <c r="F379" s="11"/>
      <c r="G379" s="211"/>
      <c r="H379" s="207">
        <f t="shared" si="11"/>
        <v>0</v>
      </c>
    </row>
    <row r="380" spans="1:8" s="88" customFormat="1" x14ac:dyDescent="0.35">
      <c r="A380" s="11"/>
      <c r="B380" s="11"/>
      <c r="C380" s="11"/>
      <c r="D380" s="11"/>
      <c r="E380" s="11"/>
      <c r="F380" s="11"/>
      <c r="G380" s="209"/>
      <c r="H380" s="207">
        <f t="shared" si="11"/>
        <v>0</v>
      </c>
    </row>
    <row r="381" spans="1:8" s="88" customFormat="1" x14ac:dyDescent="0.35">
      <c r="A381" s="11"/>
      <c r="B381" s="11"/>
      <c r="C381" s="11"/>
      <c r="D381" s="11"/>
      <c r="E381" s="11"/>
      <c r="F381" s="11"/>
      <c r="G381" s="209"/>
      <c r="H381" s="207">
        <f t="shared" si="11"/>
        <v>0</v>
      </c>
    </row>
    <row r="382" spans="1:8" x14ac:dyDescent="0.35">
      <c r="A382" s="11"/>
      <c r="B382" s="11"/>
      <c r="C382" s="11"/>
      <c r="D382" s="11"/>
      <c r="E382" s="11"/>
      <c r="F382" s="11"/>
      <c r="G382" s="209"/>
      <c r="H382" s="207">
        <f>IF(D382="",0,MONTH(D382))</f>
        <v>0</v>
      </c>
    </row>
    <row r="383" spans="1:8" x14ac:dyDescent="0.35">
      <c r="A383" s="11"/>
      <c r="B383" s="11"/>
      <c r="C383" s="11"/>
      <c r="D383" s="11"/>
      <c r="E383" s="11"/>
      <c r="F383" s="11"/>
      <c r="G383" s="209"/>
      <c r="H383" s="207">
        <f t="shared" si="10"/>
        <v>0</v>
      </c>
    </row>
    <row r="384" spans="1:8" x14ac:dyDescent="0.35">
      <c r="A384" s="11"/>
      <c r="B384" s="11"/>
      <c r="C384" s="11"/>
      <c r="D384" s="11"/>
      <c r="E384" s="11"/>
      <c r="F384" s="11"/>
      <c r="G384" s="209"/>
      <c r="H384" s="207">
        <f t="shared" si="10"/>
        <v>0</v>
      </c>
    </row>
    <row r="385" spans="1:8" x14ac:dyDescent="0.35">
      <c r="A385" s="11"/>
      <c r="B385" s="11"/>
      <c r="C385" s="11"/>
      <c r="D385" s="11"/>
      <c r="E385" s="11"/>
      <c r="F385" s="11"/>
      <c r="G385" s="209"/>
      <c r="H385" s="207">
        <f t="shared" si="10"/>
        <v>0</v>
      </c>
    </row>
    <row r="386" spans="1:8" x14ac:dyDescent="0.35">
      <c r="A386" s="11"/>
      <c r="B386" s="11"/>
      <c r="C386" s="11"/>
      <c r="D386" s="11"/>
      <c r="E386" s="11"/>
      <c r="F386" s="11"/>
      <c r="G386" s="209"/>
      <c r="H386" s="207">
        <f t="shared" si="10"/>
        <v>0</v>
      </c>
    </row>
    <row r="387" spans="1:8" x14ac:dyDescent="0.35">
      <c r="A387" s="11"/>
      <c r="B387" s="11"/>
      <c r="C387" s="11"/>
      <c r="D387" s="11"/>
      <c r="E387" s="11"/>
      <c r="F387" s="11"/>
      <c r="G387" s="209"/>
      <c r="H387" s="207">
        <f t="shared" si="10"/>
        <v>0</v>
      </c>
    </row>
    <row r="388" spans="1:8" x14ac:dyDescent="0.35">
      <c r="A388" s="11"/>
      <c r="B388" s="11"/>
      <c r="C388" s="11"/>
      <c r="D388" s="11"/>
      <c r="E388" s="11"/>
      <c r="F388" s="11"/>
      <c r="G388" s="209"/>
      <c r="H388" s="207">
        <f t="shared" si="10"/>
        <v>0</v>
      </c>
    </row>
    <row r="389" spans="1:8" x14ac:dyDescent="0.35">
      <c r="A389" s="11"/>
      <c r="B389" s="11"/>
      <c r="C389" s="11"/>
      <c r="D389" s="11"/>
      <c r="E389" s="11"/>
      <c r="F389" s="11"/>
      <c r="G389" s="209"/>
      <c r="H389" s="207">
        <f t="shared" si="10"/>
        <v>0</v>
      </c>
    </row>
    <row r="390" spans="1:8" x14ac:dyDescent="0.35">
      <c r="A390" s="11"/>
      <c r="B390" s="11"/>
      <c r="C390" s="11"/>
      <c r="D390" s="11"/>
      <c r="E390" s="11"/>
      <c r="F390" s="11"/>
      <c r="G390" s="209"/>
      <c r="H390" s="207">
        <f t="shared" si="10"/>
        <v>0</v>
      </c>
    </row>
    <row r="391" spans="1:8" x14ac:dyDescent="0.35">
      <c r="A391" s="11"/>
      <c r="B391" s="11"/>
      <c r="C391" s="11"/>
      <c r="D391" s="11"/>
      <c r="E391" s="11"/>
      <c r="F391" s="11"/>
      <c r="G391" s="209"/>
      <c r="H391" s="207">
        <f t="shared" si="10"/>
        <v>0</v>
      </c>
    </row>
    <row r="392" spans="1:8" x14ac:dyDescent="0.35">
      <c r="A392" s="11"/>
      <c r="B392" s="11"/>
      <c r="C392" s="11"/>
      <c r="D392" s="11"/>
      <c r="E392" s="11"/>
      <c r="F392" s="11"/>
      <c r="G392" s="209"/>
      <c r="H392" s="207">
        <f t="shared" si="10"/>
        <v>0</v>
      </c>
    </row>
    <row r="393" spans="1:8" x14ac:dyDescent="0.35">
      <c r="A393" s="11"/>
      <c r="B393" s="11"/>
      <c r="C393" s="11"/>
      <c r="D393" s="11"/>
      <c r="E393" s="11"/>
      <c r="F393" s="11"/>
      <c r="G393" s="209"/>
      <c r="H393" s="207">
        <f t="shared" si="10"/>
        <v>0</v>
      </c>
    </row>
    <row r="394" spans="1:8" x14ac:dyDescent="0.35">
      <c r="A394" s="11"/>
      <c r="B394" s="11"/>
      <c r="C394" s="11"/>
      <c r="D394" s="11"/>
      <c r="E394" s="11"/>
      <c r="F394" s="11"/>
      <c r="G394" s="209"/>
      <c r="H394" s="207">
        <f t="shared" si="10"/>
        <v>0</v>
      </c>
    </row>
    <row r="395" spans="1:8" x14ac:dyDescent="0.35">
      <c r="A395" s="11"/>
      <c r="B395" s="11"/>
      <c r="C395" s="11"/>
      <c r="D395" s="11"/>
      <c r="E395" s="11"/>
      <c r="F395" s="11"/>
      <c r="G395" s="209"/>
      <c r="H395" s="207">
        <f t="shared" si="10"/>
        <v>0</v>
      </c>
    </row>
    <row r="396" spans="1:8" x14ac:dyDescent="0.35">
      <c r="A396" s="11"/>
      <c r="B396" s="11"/>
      <c r="C396" s="11"/>
      <c r="D396" s="11"/>
      <c r="E396" s="11"/>
      <c r="F396" s="11"/>
      <c r="G396" s="209"/>
      <c r="H396" s="207">
        <f t="shared" si="10"/>
        <v>0</v>
      </c>
    </row>
    <row r="397" spans="1:8" x14ac:dyDescent="0.35">
      <c r="A397" s="11"/>
      <c r="B397" s="11"/>
      <c r="C397" s="11"/>
      <c r="D397" s="11"/>
      <c r="E397" s="11"/>
      <c r="F397" s="11"/>
      <c r="G397" s="209"/>
      <c r="H397" s="207">
        <f t="shared" si="10"/>
        <v>0</v>
      </c>
    </row>
    <row r="398" spans="1:8" x14ac:dyDescent="0.35">
      <c r="A398" s="11"/>
      <c r="B398" s="11"/>
      <c r="C398" s="11"/>
      <c r="D398" s="11"/>
      <c r="E398" s="11"/>
      <c r="F398" s="11"/>
      <c r="G398" s="209"/>
      <c r="H398" s="207">
        <f t="shared" si="10"/>
        <v>0</v>
      </c>
    </row>
    <row r="399" spans="1:8" x14ac:dyDescent="0.35">
      <c r="A399" s="11"/>
      <c r="B399" s="11"/>
      <c r="C399" s="11"/>
      <c r="D399" s="11"/>
      <c r="E399" s="11"/>
      <c r="F399" s="11"/>
      <c r="G399" s="209"/>
      <c r="H399" s="207">
        <f t="shared" si="10"/>
        <v>0</v>
      </c>
    </row>
    <row r="400" spans="1:8" x14ac:dyDescent="0.35">
      <c r="A400" s="11"/>
      <c r="B400" s="11"/>
      <c r="C400" s="11"/>
      <c r="D400" s="11"/>
      <c r="E400" s="11"/>
      <c r="F400" s="11"/>
      <c r="G400" s="209"/>
      <c r="H400" s="207">
        <f t="shared" si="10"/>
        <v>0</v>
      </c>
    </row>
    <row r="401" spans="1:8" x14ac:dyDescent="0.35">
      <c r="A401" s="11"/>
      <c r="B401" s="11"/>
      <c r="C401" s="11"/>
      <c r="D401" s="11"/>
      <c r="E401" s="11"/>
      <c r="F401" s="11"/>
      <c r="G401" s="209"/>
      <c r="H401" s="207">
        <f t="shared" si="10"/>
        <v>0</v>
      </c>
    </row>
    <row r="402" spans="1:8" x14ac:dyDescent="0.35">
      <c r="A402" s="11"/>
      <c r="B402" s="11"/>
      <c r="C402" s="11"/>
      <c r="D402" s="11"/>
      <c r="E402" s="11"/>
      <c r="F402" s="11"/>
      <c r="G402" s="209"/>
      <c r="H402" s="207">
        <f t="shared" si="10"/>
        <v>0</v>
      </c>
    </row>
    <row r="403" spans="1:8" x14ac:dyDescent="0.35">
      <c r="A403" s="11"/>
      <c r="B403" s="11"/>
      <c r="C403" s="11"/>
      <c r="D403" s="11"/>
      <c r="E403" s="11"/>
      <c r="F403" s="11"/>
      <c r="G403" s="209"/>
      <c r="H403" s="207">
        <f t="shared" si="10"/>
        <v>0</v>
      </c>
    </row>
    <row r="404" spans="1:8" x14ac:dyDescent="0.35">
      <c r="A404" s="11"/>
      <c r="B404" s="11"/>
      <c r="C404" s="11"/>
      <c r="D404" s="11"/>
      <c r="E404" s="11"/>
      <c r="F404" s="11"/>
      <c r="G404" s="209"/>
      <c r="H404" s="207">
        <f t="shared" si="10"/>
        <v>0</v>
      </c>
    </row>
    <row r="405" spans="1:8" x14ac:dyDescent="0.35">
      <c r="A405" s="11"/>
      <c r="B405" s="11"/>
      <c r="C405" s="11"/>
      <c r="D405" s="11"/>
      <c r="E405" s="11"/>
      <c r="F405" s="11"/>
      <c r="G405" s="209"/>
      <c r="H405" s="207">
        <f t="shared" si="10"/>
        <v>0</v>
      </c>
    </row>
    <row r="406" spans="1:8" x14ac:dyDescent="0.35">
      <c r="A406" s="11"/>
      <c r="B406" s="11"/>
      <c r="C406" s="11"/>
      <c r="D406" s="11"/>
      <c r="E406" s="11"/>
      <c r="F406" s="11"/>
      <c r="G406" s="209"/>
      <c r="H406" s="207">
        <f t="shared" si="10"/>
        <v>0</v>
      </c>
    </row>
    <row r="407" spans="1:8" x14ac:dyDescent="0.35">
      <c r="A407" s="11"/>
      <c r="B407" s="11"/>
      <c r="C407" s="11"/>
      <c r="D407" s="11"/>
      <c r="E407" s="11"/>
      <c r="F407" s="11"/>
      <c r="G407" s="209"/>
      <c r="H407" s="207">
        <f t="shared" si="10"/>
        <v>0</v>
      </c>
    </row>
    <row r="408" spans="1:8" x14ac:dyDescent="0.35">
      <c r="A408" s="11"/>
      <c r="B408" s="11"/>
      <c r="C408" s="11"/>
      <c r="D408" s="11"/>
      <c r="E408" s="11"/>
      <c r="F408" s="11"/>
      <c r="G408" s="209"/>
      <c r="H408" s="207">
        <f t="shared" si="10"/>
        <v>0</v>
      </c>
    </row>
    <row r="409" spans="1:8" x14ac:dyDescent="0.35">
      <c r="A409" s="11"/>
      <c r="B409" s="11"/>
      <c r="C409" s="11"/>
      <c r="D409" s="11"/>
      <c r="E409" s="11"/>
      <c r="F409" s="11"/>
      <c r="G409" s="209"/>
      <c r="H409" s="207">
        <f t="shared" si="10"/>
        <v>0</v>
      </c>
    </row>
    <row r="410" spans="1:8" x14ac:dyDescent="0.35">
      <c r="A410" s="11"/>
      <c r="B410" s="11"/>
      <c r="C410" s="11"/>
      <c r="D410" s="11"/>
      <c r="E410" s="11"/>
      <c r="F410" s="11"/>
      <c r="G410" s="209"/>
      <c r="H410" s="207">
        <f t="shared" si="10"/>
        <v>0</v>
      </c>
    </row>
    <row r="411" spans="1:8" x14ac:dyDescent="0.35">
      <c r="A411" s="11"/>
      <c r="B411" s="11"/>
      <c r="C411" s="11"/>
      <c r="D411" s="11"/>
      <c r="E411" s="11"/>
      <c r="F411" s="11"/>
      <c r="G411" s="209"/>
      <c r="H411" s="207">
        <f t="shared" si="10"/>
        <v>0</v>
      </c>
    </row>
    <row r="412" spans="1:8" x14ac:dyDescent="0.35">
      <c r="A412" s="11"/>
      <c r="B412" s="11"/>
      <c r="C412" s="11"/>
      <c r="D412" s="11"/>
      <c r="E412" s="11"/>
      <c r="F412" s="11"/>
      <c r="G412" s="209"/>
      <c r="H412" s="207">
        <f t="shared" si="10"/>
        <v>0</v>
      </c>
    </row>
    <row r="413" spans="1:8" x14ac:dyDescent="0.35">
      <c r="A413" s="11"/>
      <c r="B413" s="11"/>
      <c r="C413" s="11"/>
      <c r="D413" s="11"/>
      <c r="E413" s="11"/>
      <c r="F413" s="11"/>
      <c r="G413" s="209"/>
      <c r="H413" s="207">
        <f t="shared" si="10"/>
        <v>0</v>
      </c>
    </row>
    <row r="414" spans="1:8" x14ac:dyDescent="0.35">
      <c r="A414" s="11"/>
      <c r="B414" s="11"/>
      <c r="C414" s="11"/>
      <c r="D414" s="11"/>
      <c r="E414" s="11"/>
      <c r="F414" s="11"/>
      <c r="G414" s="209"/>
      <c r="H414" s="207">
        <f t="shared" si="10"/>
        <v>0</v>
      </c>
    </row>
    <row r="415" spans="1:8" x14ac:dyDescent="0.35">
      <c r="A415" s="11"/>
      <c r="B415" s="11"/>
      <c r="C415" s="11"/>
      <c r="D415" s="11"/>
      <c r="E415" s="11"/>
      <c r="F415" s="11"/>
      <c r="G415" s="209"/>
      <c r="H415" s="207">
        <f t="shared" si="10"/>
        <v>0</v>
      </c>
    </row>
    <row r="416" spans="1:8" x14ac:dyDescent="0.35">
      <c r="A416" s="11"/>
      <c r="B416" s="11"/>
      <c r="C416" s="11"/>
      <c r="D416" s="11"/>
      <c r="E416" s="11"/>
      <c r="F416" s="11"/>
      <c r="G416" s="209"/>
      <c r="H416" s="207">
        <f t="shared" si="10"/>
        <v>0</v>
      </c>
    </row>
    <row r="417" spans="1:8" x14ac:dyDescent="0.35">
      <c r="A417" s="11"/>
      <c r="B417" s="11"/>
      <c r="C417" s="11"/>
      <c r="D417" s="11"/>
      <c r="E417" s="11"/>
      <c r="F417" s="11"/>
      <c r="G417" s="209"/>
      <c r="H417" s="207">
        <f t="shared" si="10"/>
        <v>0</v>
      </c>
    </row>
    <row r="418" spans="1:8" s="88" customFormat="1" x14ac:dyDescent="0.35">
      <c r="A418" s="11"/>
      <c r="B418" s="11"/>
      <c r="C418" s="11"/>
      <c r="D418" s="11"/>
      <c r="E418" s="11"/>
      <c r="F418" s="11"/>
      <c r="G418" s="209"/>
      <c r="H418" s="207">
        <f t="shared" ref="H418:H429" si="12">IF(D418="",0,MONTH(D418))</f>
        <v>0</v>
      </c>
    </row>
    <row r="419" spans="1:8" s="88" customFormat="1" x14ac:dyDescent="0.35">
      <c r="A419" s="11"/>
      <c r="B419" s="11"/>
      <c r="C419" s="11"/>
      <c r="D419" s="11"/>
      <c r="E419" s="11"/>
      <c r="F419" s="11"/>
      <c r="G419" s="209"/>
      <c r="H419" s="207">
        <f t="shared" si="12"/>
        <v>0</v>
      </c>
    </row>
    <row r="420" spans="1:8" s="88" customFormat="1" x14ac:dyDescent="0.35">
      <c r="A420" s="11"/>
      <c r="B420" s="11"/>
      <c r="C420" s="11"/>
      <c r="D420" s="11"/>
      <c r="E420" s="11"/>
      <c r="F420" s="11"/>
      <c r="G420" s="209"/>
      <c r="H420" s="207">
        <f t="shared" si="12"/>
        <v>0</v>
      </c>
    </row>
    <row r="421" spans="1:8" s="88" customFormat="1" x14ac:dyDescent="0.35">
      <c r="A421" s="11"/>
      <c r="B421" s="11"/>
      <c r="C421" s="11"/>
      <c r="D421" s="11"/>
      <c r="E421" s="11"/>
      <c r="F421" s="11"/>
      <c r="G421" s="209"/>
      <c r="H421" s="207">
        <f t="shared" si="12"/>
        <v>0</v>
      </c>
    </row>
    <row r="422" spans="1:8" s="88" customFormat="1" x14ac:dyDescent="0.35">
      <c r="A422" s="11"/>
      <c r="B422" s="11"/>
      <c r="C422" s="11"/>
      <c r="D422" s="11"/>
      <c r="E422" s="11"/>
      <c r="F422" s="11"/>
      <c r="G422" s="209"/>
      <c r="H422" s="207">
        <f t="shared" si="12"/>
        <v>0</v>
      </c>
    </row>
    <row r="423" spans="1:8" s="88" customFormat="1" x14ac:dyDescent="0.35">
      <c r="A423" s="11"/>
      <c r="B423" s="11"/>
      <c r="C423" s="11"/>
      <c r="D423" s="11"/>
      <c r="E423" s="11"/>
      <c r="F423" s="11"/>
      <c r="G423" s="209"/>
      <c r="H423" s="207">
        <f t="shared" si="12"/>
        <v>0</v>
      </c>
    </row>
    <row r="424" spans="1:8" s="88" customFormat="1" x14ac:dyDescent="0.35">
      <c r="A424" s="11"/>
      <c r="B424" s="11"/>
      <c r="C424" s="11"/>
      <c r="D424" s="11"/>
      <c r="E424" s="11"/>
      <c r="F424" s="11"/>
      <c r="G424" s="209"/>
      <c r="H424" s="207">
        <f t="shared" si="12"/>
        <v>0</v>
      </c>
    </row>
    <row r="425" spans="1:8" s="88" customFormat="1" x14ac:dyDescent="0.35">
      <c r="A425" s="11"/>
      <c r="B425" s="11"/>
      <c r="C425" s="11"/>
      <c r="D425" s="11"/>
      <c r="E425" s="11"/>
      <c r="F425" s="11"/>
      <c r="G425" s="209"/>
      <c r="H425" s="207">
        <f t="shared" si="12"/>
        <v>0</v>
      </c>
    </row>
    <row r="426" spans="1:8" s="88" customFormat="1" x14ac:dyDescent="0.35">
      <c r="A426" s="11"/>
      <c r="B426" s="11"/>
      <c r="C426" s="11"/>
      <c r="D426" s="11"/>
      <c r="E426" s="11"/>
      <c r="F426" s="11"/>
      <c r="G426" s="209"/>
      <c r="H426" s="207">
        <f t="shared" si="12"/>
        <v>0</v>
      </c>
    </row>
    <row r="427" spans="1:8" s="88" customFormat="1" x14ac:dyDescent="0.35">
      <c r="A427" s="11"/>
      <c r="B427" s="11"/>
      <c r="C427" s="11"/>
      <c r="D427" s="11"/>
      <c r="E427" s="11"/>
      <c r="F427" s="11"/>
      <c r="G427" s="209"/>
      <c r="H427" s="207">
        <f t="shared" si="12"/>
        <v>0</v>
      </c>
    </row>
    <row r="428" spans="1:8" s="88" customFormat="1" x14ac:dyDescent="0.35">
      <c r="A428" s="11"/>
      <c r="B428" s="11"/>
      <c r="C428" s="11"/>
      <c r="D428" s="11"/>
      <c r="E428" s="11"/>
      <c r="F428" s="11"/>
      <c r="G428" s="209"/>
      <c r="H428" s="207">
        <f t="shared" si="12"/>
        <v>0</v>
      </c>
    </row>
    <row r="429" spans="1:8" s="88" customFormat="1" x14ac:dyDescent="0.35">
      <c r="A429" s="11"/>
      <c r="B429" s="11"/>
      <c r="C429" s="11"/>
      <c r="D429" s="11"/>
      <c r="E429" s="11"/>
      <c r="F429" s="11"/>
      <c r="G429" s="209"/>
      <c r="H429" s="207">
        <f t="shared" si="12"/>
        <v>0</v>
      </c>
    </row>
    <row r="430" spans="1:8" x14ac:dyDescent="0.35">
      <c r="A430" s="11"/>
      <c r="B430" s="11"/>
      <c r="C430" s="11"/>
      <c r="D430" s="11"/>
      <c r="E430" s="11"/>
      <c r="F430" s="11"/>
      <c r="G430" s="209"/>
      <c r="H430" s="207">
        <f t="shared" si="10"/>
        <v>0</v>
      </c>
    </row>
    <row r="431" spans="1:8" x14ac:dyDescent="0.35">
      <c r="A431" s="11"/>
      <c r="B431" s="11"/>
      <c r="C431" s="11"/>
      <c r="D431" s="11"/>
      <c r="E431" s="11"/>
      <c r="F431" s="11"/>
      <c r="G431" s="209"/>
      <c r="H431" s="207">
        <f t="shared" si="10"/>
        <v>0</v>
      </c>
    </row>
    <row r="432" spans="1:8" x14ac:dyDescent="0.35">
      <c r="A432" s="11"/>
      <c r="B432" s="11"/>
      <c r="C432" s="11"/>
      <c r="D432" s="11"/>
      <c r="E432" s="11"/>
      <c r="F432" s="11"/>
      <c r="G432" s="209"/>
      <c r="H432" s="207">
        <f t="shared" si="10"/>
        <v>0</v>
      </c>
    </row>
    <row r="433" spans="1:8" x14ac:dyDescent="0.35">
      <c r="A433" s="11"/>
      <c r="B433" s="11"/>
      <c r="C433" s="11"/>
      <c r="D433" s="11"/>
      <c r="E433" s="11"/>
      <c r="F433" s="11"/>
      <c r="G433" s="209"/>
      <c r="H433" s="207">
        <f t="shared" si="10"/>
        <v>0</v>
      </c>
    </row>
    <row r="434" spans="1:8" x14ac:dyDescent="0.35">
      <c r="A434" s="11"/>
      <c r="B434" s="11"/>
      <c r="C434" s="11"/>
      <c r="D434" s="11"/>
      <c r="E434" s="11"/>
      <c r="F434" s="11"/>
      <c r="G434" s="209"/>
      <c r="H434" s="207">
        <f t="shared" si="10"/>
        <v>0</v>
      </c>
    </row>
    <row r="435" spans="1:8" x14ac:dyDescent="0.35">
      <c r="A435" s="11"/>
      <c r="B435" s="11"/>
      <c r="C435" s="11"/>
      <c r="D435" s="11"/>
      <c r="E435" s="11"/>
      <c r="F435" s="11"/>
      <c r="G435" s="209"/>
      <c r="H435" s="207">
        <f t="shared" si="10"/>
        <v>0</v>
      </c>
    </row>
    <row r="436" spans="1:8" x14ac:dyDescent="0.35">
      <c r="A436" s="11"/>
      <c r="B436" s="11"/>
      <c r="C436" s="11"/>
      <c r="D436" s="11"/>
      <c r="E436" s="11"/>
      <c r="F436" s="11"/>
      <c r="G436" s="209"/>
      <c r="H436" s="207">
        <f t="shared" si="10"/>
        <v>0</v>
      </c>
    </row>
    <row r="437" spans="1:8" x14ac:dyDescent="0.35">
      <c r="A437" s="11"/>
      <c r="B437" s="11"/>
      <c r="C437" s="11"/>
      <c r="D437" s="11"/>
      <c r="E437" s="11"/>
      <c r="F437" s="11"/>
      <c r="G437" s="209"/>
      <c r="H437" s="207">
        <f t="shared" si="10"/>
        <v>0</v>
      </c>
    </row>
    <row r="438" spans="1:8" x14ac:dyDescent="0.35">
      <c r="A438" s="11"/>
      <c r="B438" s="11"/>
      <c r="C438" s="11"/>
      <c r="D438" s="11"/>
      <c r="E438" s="11"/>
      <c r="F438" s="11"/>
      <c r="G438" s="209"/>
      <c r="H438" s="207">
        <f t="shared" si="10"/>
        <v>0</v>
      </c>
    </row>
    <row r="439" spans="1:8" x14ac:dyDescent="0.35">
      <c r="A439" s="11"/>
      <c r="B439" s="11"/>
      <c r="C439" s="11"/>
      <c r="D439" s="11"/>
      <c r="E439" s="11"/>
      <c r="F439" s="11"/>
      <c r="G439" s="209"/>
      <c r="H439" s="207">
        <f t="shared" si="10"/>
        <v>0</v>
      </c>
    </row>
    <row r="440" spans="1:8" x14ac:dyDescent="0.35">
      <c r="A440" s="11"/>
      <c r="B440" s="11"/>
      <c r="C440" s="11"/>
      <c r="D440" s="11"/>
      <c r="E440" s="11"/>
      <c r="F440" s="11"/>
      <c r="G440" s="209"/>
      <c r="H440" s="207">
        <f t="shared" si="10"/>
        <v>0</v>
      </c>
    </row>
    <row r="441" spans="1:8" x14ac:dyDescent="0.35">
      <c r="A441" s="11"/>
      <c r="B441" s="11"/>
      <c r="C441" s="11"/>
      <c r="D441" s="11"/>
      <c r="E441" s="11"/>
      <c r="F441" s="11"/>
      <c r="G441" s="209"/>
      <c r="H441" s="207">
        <f t="shared" si="10"/>
        <v>0</v>
      </c>
    </row>
    <row r="442" spans="1:8" x14ac:dyDescent="0.35">
      <c r="A442" s="11"/>
      <c r="B442" s="11"/>
      <c r="C442" s="11"/>
      <c r="D442" s="11"/>
      <c r="E442" s="11"/>
      <c r="F442" s="11"/>
      <c r="G442" s="209"/>
      <c r="H442" s="207">
        <f t="shared" ref="H442:H541" si="13">IF(D442="",0,MONTH(D442))</f>
        <v>0</v>
      </c>
    </row>
    <row r="443" spans="1:8" x14ac:dyDescent="0.35">
      <c r="A443" s="11"/>
      <c r="B443" s="11"/>
      <c r="C443" s="11"/>
      <c r="D443" s="11"/>
      <c r="E443" s="11"/>
      <c r="F443" s="11"/>
      <c r="G443" s="209"/>
      <c r="H443" s="207">
        <f t="shared" si="13"/>
        <v>0</v>
      </c>
    </row>
    <row r="444" spans="1:8" x14ac:dyDescent="0.35">
      <c r="A444" s="11"/>
      <c r="B444" s="11"/>
      <c r="C444" s="11"/>
      <c r="D444" s="11"/>
      <c r="E444" s="11"/>
      <c r="F444" s="11"/>
      <c r="G444" s="209"/>
      <c r="H444" s="207">
        <f t="shared" si="13"/>
        <v>0</v>
      </c>
    </row>
    <row r="445" spans="1:8" x14ac:dyDescent="0.35">
      <c r="A445" s="11"/>
      <c r="B445" s="11"/>
      <c r="C445" s="11"/>
      <c r="D445" s="11"/>
      <c r="E445" s="11"/>
      <c r="F445" s="11"/>
      <c r="G445" s="209"/>
      <c r="H445" s="207">
        <f t="shared" si="13"/>
        <v>0</v>
      </c>
    </row>
    <row r="446" spans="1:8" x14ac:dyDescent="0.35">
      <c r="A446" s="11"/>
      <c r="B446" s="11"/>
      <c r="C446" s="11"/>
      <c r="D446" s="11"/>
      <c r="E446" s="11"/>
      <c r="F446" s="11"/>
      <c r="G446" s="209"/>
      <c r="H446" s="207">
        <f t="shared" si="13"/>
        <v>0</v>
      </c>
    </row>
    <row r="447" spans="1:8" x14ac:dyDescent="0.35">
      <c r="A447" s="11"/>
      <c r="B447" s="11"/>
      <c r="C447" s="11"/>
      <c r="D447" s="11"/>
      <c r="E447" s="11"/>
      <c r="F447" s="11"/>
      <c r="G447" s="209"/>
      <c r="H447" s="207">
        <f t="shared" si="13"/>
        <v>0</v>
      </c>
    </row>
    <row r="448" spans="1:8" x14ac:dyDescent="0.35">
      <c r="A448" s="11"/>
      <c r="B448" s="11"/>
      <c r="C448" s="11"/>
      <c r="D448" s="11"/>
      <c r="E448" s="11"/>
      <c r="F448" s="11"/>
      <c r="G448" s="209"/>
      <c r="H448" s="207">
        <f t="shared" si="13"/>
        <v>0</v>
      </c>
    </row>
    <row r="449" spans="1:8" x14ac:dyDescent="0.35">
      <c r="A449" s="11"/>
      <c r="B449" s="11"/>
      <c r="C449" s="11"/>
      <c r="D449" s="11"/>
      <c r="E449" s="11"/>
      <c r="F449" s="11"/>
      <c r="G449" s="209"/>
      <c r="H449" s="207">
        <f t="shared" si="13"/>
        <v>0</v>
      </c>
    </row>
    <row r="450" spans="1:8" x14ac:dyDescent="0.35">
      <c r="A450" s="11"/>
      <c r="B450" s="11"/>
      <c r="C450" s="11"/>
      <c r="D450" s="11"/>
      <c r="E450" s="11"/>
      <c r="F450" s="11"/>
      <c r="G450" s="209"/>
      <c r="H450" s="207">
        <f t="shared" si="13"/>
        <v>0</v>
      </c>
    </row>
    <row r="451" spans="1:8" s="88" customFormat="1" x14ac:dyDescent="0.35">
      <c r="A451" s="11"/>
      <c r="B451" s="11"/>
      <c r="C451" s="11"/>
      <c r="D451" s="11"/>
      <c r="E451" s="11"/>
      <c r="F451" s="11"/>
      <c r="G451" s="209"/>
      <c r="H451" s="207">
        <f t="shared" ref="H451:H462" si="14">IF(D451="",0,MONTH(D451))</f>
        <v>0</v>
      </c>
    </row>
    <row r="452" spans="1:8" s="88" customFormat="1" x14ac:dyDescent="0.35">
      <c r="A452" s="11"/>
      <c r="B452" s="11"/>
      <c r="C452" s="11"/>
      <c r="D452" s="11"/>
      <c r="E452" s="11"/>
      <c r="F452" s="11"/>
      <c r="G452" s="209"/>
      <c r="H452" s="207">
        <f t="shared" si="14"/>
        <v>0</v>
      </c>
    </row>
    <row r="453" spans="1:8" s="88" customFormat="1" x14ac:dyDescent="0.35">
      <c r="A453" s="11"/>
      <c r="B453" s="11"/>
      <c r="C453" s="11"/>
      <c r="D453" s="11"/>
      <c r="E453" s="11"/>
      <c r="F453" s="11"/>
      <c r="G453" s="209"/>
      <c r="H453" s="207">
        <f t="shared" si="14"/>
        <v>0</v>
      </c>
    </row>
    <row r="454" spans="1:8" s="88" customFormat="1" x14ac:dyDescent="0.35">
      <c r="A454" s="11"/>
      <c r="B454" s="11"/>
      <c r="C454" s="11"/>
      <c r="D454" s="11"/>
      <c r="E454" s="11"/>
      <c r="F454" s="11"/>
      <c r="G454" s="209"/>
      <c r="H454" s="207">
        <f t="shared" si="14"/>
        <v>0</v>
      </c>
    </row>
    <row r="455" spans="1:8" s="88" customFormat="1" x14ac:dyDescent="0.35">
      <c r="A455" s="11"/>
      <c r="B455" s="11"/>
      <c r="C455" s="11"/>
      <c r="D455" s="11"/>
      <c r="E455" s="11"/>
      <c r="F455" s="11"/>
      <c r="G455" s="209"/>
      <c r="H455" s="207">
        <f t="shared" si="14"/>
        <v>0</v>
      </c>
    </row>
    <row r="456" spans="1:8" s="88" customFormat="1" x14ac:dyDescent="0.35">
      <c r="A456" s="11"/>
      <c r="B456" s="11"/>
      <c r="C456" s="11"/>
      <c r="D456" s="11"/>
      <c r="E456" s="11"/>
      <c r="F456" s="11"/>
      <c r="G456" s="209"/>
      <c r="H456" s="207">
        <f t="shared" si="14"/>
        <v>0</v>
      </c>
    </row>
    <row r="457" spans="1:8" s="88" customFormat="1" x14ac:dyDescent="0.35">
      <c r="A457" s="11"/>
      <c r="B457" s="11"/>
      <c r="C457" s="11"/>
      <c r="D457" s="11"/>
      <c r="E457" s="11"/>
      <c r="F457" s="11"/>
      <c r="G457" s="209"/>
      <c r="H457" s="207">
        <f t="shared" si="14"/>
        <v>0</v>
      </c>
    </row>
    <row r="458" spans="1:8" s="88" customFormat="1" x14ac:dyDescent="0.35">
      <c r="A458" s="11"/>
      <c r="B458" s="11"/>
      <c r="C458" s="11"/>
      <c r="D458" s="11"/>
      <c r="E458" s="11"/>
      <c r="F458" s="11"/>
      <c r="G458" s="209"/>
      <c r="H458" s="207">
        <f t="shared" si="14"/>
        <v>0</v>
      </c>
    </row>
    <row r="459" spans="1:8" s="88" customFormat="1" x14ac:dyDescent="0.35">
      <c r="A459" s="11"/>
      <c r="B459" s="11"/>
      <c r="C459" s="11"/>
      <c r="D459" s="11"/>
      <c r="E459" s="11"/>
      <c r="F459" s="11"/>
      <c r="G459" s="209"/>
      <c r="H459" s="207">
        <f t="shared" si="14"/>
        <v>0</v>
      </c>
    </row>
    <row r="460" spans="1:8" s="88" customFormat="1" x14ac:dyDescent="0.35">
      <c r="A460" s="11"/>
      <c r="B460" s="11"/>
      <c r="C460" s="11"/>
      <c r="D460" s="11"/>
      <c r="E460" s="11"/>
      <c r="F460" s="11"/>
      <c r="G460" s="209"/>
      <c r="H460" s="207">
        <f t="shared" si="14"/>
        <v>0</v>
      </c>
    </row>
    <row r="461" spans="1:8" s="88" customFormat="1" x14ac:dyDescent="0.35">
      <c r="A461" s="11"/>
      <c r="B461" s="11"/>
      <c r="C461" s="11"/>
      <c r="D461" s="11"/>
      <c r="E461" s="11"/>
      <c r="F461" s="11"/>
      <c r="G461" s="209"/>
      <c r="H461" s="207">
        <f t="shared" si="14"/>
        <v>0</v>
      </c>
    </row>
    <row r="462" spans="1:8" s="88" customFormat="1" x14ac:dyDescent="0.35">
      <c r="A462" s="11"/>
      <c r="B462" s="11"/>
      <c r="C462" s="11"/>
      <c r="D462" s="11"/>
      <c r="E462" s="11"/>
      <c r="F462" s="11"/>
      <c r="G462" s="209"/>
      <c r="H462" s="207">
        <f t="shared" si="14"/>
        <v>0</v>
      </c>
    </row>
    <row r="463" spans="1:8" x14ac:dyDescent="0.35">
      <c r="A463" s="11"/>
      <c r="B463" s="11"/>
      <c r="C463" s="11"/>
      <c r="D463" s="11"/>
      <c r="E463" s="11"/>
      <c r="F463" s="11"/>
      <c r="G463" s="209"/>
      <c r="H463" s="207">
        <f t="shared" si="13"/>
        <v>0</v>
      </c>
    </row>
    <row r="464" spans="1:8" x14ac:dyDescent="0.35">
      <c r="A464" s="11"/>
      <c r="B464" s="11"/>
      <c r="C464" s="11"/>
      <c r="D464" s="11"/>
      <c r="E464" s="11"/>
      <c r="F464" s="11"/>
      <c r="G464" s="209"/>
      <c r="H464" s="207">
        <f t="shared" si="13"/>
        <v>0</v>
      </c>
    </row>
    <row r="465" spans="1:8" x14ac:dyDescent="0.35">
      <c r="A465" s="11"/>
      <c r="B465" s="11"/>
      <c r="C465" s="11"/>
      <c r="D465" s="11"/>
      <c r="E465" s="11"/>
      <c r="F465" s="11"/>
      <c r="G465" s="209"/>
      <c r="H465" s="207">
        <f t="shared" si="13"/>
        <v>0</v>
      </c>
    </row>
    <row r="466" spans="1:8" x14ac:dyDescent="0.35">
      <c r="A466" s="11"/>
      <c r="B466" s="11"/>
      <c r="C466" s="11"/>
      <c r="D466" s="11"/>
      <c r="E466" s="11"/>
      <c r="F466" s="11"/>
      <c r="G466" s="209"/>
      <c r="H466" s="207">
        <f t="shared" si="13"/>
        <v>0</v>
      </c>
    </row>
    <row r="467" spans="1:8" x14ac:dyDescent="0.35">
      <c r="A467" s="11"/>
      <c r="B467" s="11"/>
      <c r="C467" s="11"/>
      <c r="D467" s="11"/>
      <c r="E467" s="11"/>
      <c r="F467" s="11"/>
      <c r="G467" s="209"/>
      <c r="H467" s="207">
        <f t="shared" si="13"/>
        <v>0</v>
      </c>
    </row>
    <row r="468" spans="1:8" x14ac:dyDescent="0.35">
      <c r="A468" s="11"/>
      <c r="B468" s="11"/>
      <c r="C468" s="11"/>
      <c r="D468" s="11"/>
      <c r="E468" s="11"/>
      <c r="F468" s="11"/>
      <c r="G468" s="209"/>
      <c r="H468" s="207">
        <f t="shared" si="13"/>
        <v>0</v>
      </c>
    </row>
    <row r="469" spans="1:8" x14ac:dyDescent="0.35">
      <c r="A469" s="11"/>
      <c r="B469" s="11"/>
      <c r="C469" s="11"/>
      <c r="D469" s="11"/>
      <c r="E469" s="11"/>
      <c r="F469" s="11"/>
      <c r="G469" s="209"/>
      <c r="H469" s="207">
        <f t="shared" si="13"/>
        <v>0</v>
      </c>
    </row>
    <row r="470" spans="1:8" x14ac:dyDescent="0.35">
      <c r="A470" s="11"/>
      <c r="B470" s="11"/>
      <c r="C470" s="11"/>
      <c r="D470" s="11"/>
      <c r="E470" s="11"/>
      <c r="F470" s="11"/>
      <c r="G470" s="209"/>
      <c r="H470" s="207">
        <f t="shared" si="13"/>
        <v>0</v>
      </c>
    </row>
    <row r="471" spans="1:8" x14ac:dyDescent="0.35">
      <c r="A471" s="11"/>
      <c r="B471" s="11"/>
      <c r="C471" s="11"/>
      <c r="D471" s="11"/>
      <c r="E471" s="11"/>
      <c r="F471" s="11"/>
      <c r="G471" s="209"/>
      <c r="H471" s="207">
        <f t="shared" si="13"/>
        <v>0</v>
      </c>
    </row>
    <row r="472" spans="1:8" x14ac:dyDescent="0.35">
      <c r="A472" s="11"/>
      <c r="B472" s="11"/>
      <c r="C472" s="11"/>
      <c r="D472" s="11"/>
      <c r="E472" s="11"/>
      <c r="F472" s="11"/>
      <c r="G472" s="209"/>
      <c r="H472" s="207">
        <f t="shared" si="13"/>
        <v>0</v>
      </c>
    </row>
    <row r="473" spans="1:8" x14ac:dyDescent="0.35">
      <c r="A473" s="11"/>
      <c r="B473" s="11"/>
      <c r="C473" s="11"/>
      <c r="D473" s="11"/>
      <c r="E473" s="11"/>
      <c r="F473" s="11"/>
      <c r="G473" s="209"/>
      <c r="H473" s="207">
        <f t="shared" si="13"/>
        <v>0</v>
      </c>
    </row>
    <row r="474" spans="1:8" x14ac:dyDescent="0.35">
      <c r="A474" s="11"/>
      <c r="B474" s="11"/>
      <c r="C474" s="11"/>
      <c r="D474" s="11"/>
      <c r="E474" s="11"/>
      <c r="F474" s="11"/>
      <c r="G474" s="209"/>
      <c r="H474" s="207">
        <f t="shared" si="13"/>
        <v>0</v>
      </c>
    </row>
    <row r="475" spans="1:8" x14ac:dyDescent="0.35">
      <c r="A475" s="11"/>
      <c r="B475" s="11"/>
      <c r="C475" s="11"/>
      <c r="D475" s="11"/>
      <c r="E475" s="11"/>
      <c r="F475" s="11"/>
      <c r="G475" s="209"/>
      <c r="H475" s="207">
        <f t="shared" si="13"/>
        <v>0</v>
      </c>
    </row>
    <row r="476" spans="1:8" x14ac:dyDescent="0.35">
      <c r="A476" s="11"/>
      <c r="B476" s="11"/>
      <c r="C476" s="11"/>
      <c r="D476" s="11"/>
      <c r="E476" s="11"/>
      <c r="F476" s="11"/>
      <c r="G476" s="209"/>
      <c r="H476" s="207">
        <f t="shared" ref="H476:H487" si="15">IF(D476="",0,MONTH(D476))</f>
        <v>0</v>
      </c>
    </row>
    <row r="477" spans="1:8" x14ac:dyDescent="0.35">
      <c r="A477" s="11"/>
      <c r="B477" s="11"/>
      <c r="C477" s="11"/>
      <c r="D477" s="11"/>
      <c r="E477" s="11"/>
      <c r="F477" s="11"/>
      <c r="G477" s="209"/>
      <c r="H477" s="207">
        <f t="shared" si="15"/>
        <v>0</v>
      </c>
    </row>
    <row r="478" spans="1:8" x14ac:dyDescent="0.35">
      <c r="A478" s="11"/>
      <c r="B478" s="11"/>
      <c r="C478" s="11"/>
      <c r="D478" s="11"/>
      <c r="E478" s="11"/>
      <c r="F478" s="11"/>
      <c r="G478" s="209"/>
      <c r="H478" s="207">
        <f t="shared" si="15"/>
        <v>0</v>
      </c>
    </row>
    <row r="479" spans="1:8" x14ac:dyDescent="0.35">
      <c r="A479" s="11"/>
      <c r="B479" s="11"/>
      <c r="C479" s="11"/>
      <c r="D479" s="11"/>
      <c r="E479" s="11"/>
      <c r="F479" s="11"/>
      <c r="G479" s="209"/>
      <c r="H479" s="207">
        <f t="shared" si="15"/>
        <v>0</v>
      </c>
    </row>
    <row r="480" spans="1:8" x14ac:dyDescent="0.35">
      <c r="A480" s="11"/>
      <c r="B480" s="11"/>
      <c r="C480" s="11"/>
      <c r="D480" s="11"/>
      <c r="E480" s="11"/>
      <c r="F480" s="11"/>
      <c r="G480" s="209"/>
      <c r="H480" s="207">
        <f t="shared" si="15"/>
        <v>0</v>
      </c>
    </row>
    <row r="481" spans="1:8" x14ac:dyDescent="0.35">
      <c r="A481" s="11"/>
      <c r="B481" s="11"/>
      <c r="C481" s="11"/>
      <c r="D481" s="11"/>
      <c r="E481" s="11"/>
      <c r="F481" s="11"/>
      <c r="G481" s="209"/>
      <c r="H481" s="207">
        <f t="shared" si="15"/>
        <v>0</v>
      </c>
    </row>
    <row r="482" spans="1:8" x14ac:dyDescent="0.35">
      <c r="A482" s="11"/>
      <c r="B482" s="11"/>
      <c r="C482" s="11"/>
      <c r="D482" s="11"/>
      <c r="E482" s="11"/>
      <c r="F482" s="11"/>
      <c r="G482" s="209"/>
      <c r="H482" s="207">
        <f t="shared" si="15"/>
        <v>0</v>
      </c>
    </row>
    <row r="483" spans="1:8" x14ac:dyDescent="0.35">
      <c r="A483" s="11"/>
      <c r="B483" s="11"/>
      <c r="C483" s="11"/>
      <c r="D483" s="11"/>
      <c r="E483" s="11"/>
      <c r="F483" s="11"/>
      <c r="G483" s="209"/>
      <c r="H483" s="207">
        <f t="shared" si="15"/>
        <v>0</v>
      </c>
    </row>
    <row r="484" spans="1:8" x14ac:dyDescent="0.35">
      <c r="A484" s="11"/>
      <c r="B484" s="11"/>
      <c r="C484" s="11"/>
      <c r="D484" s="11"/>
      <c r="E484" s="11"/>
      <c r="F484" s="11"/>
      <c r="G484" s="209"/>
      <c r="H484" s="207">
        <f t="shared" si="15"/>
        <v>0</v>
      </c>
    </row>
    <row r="485" spans="1:8" x14ac:dyDescent="0.35">
      <c r="A485" s="11"/>
      <c r="B485" s="11"/>
      <c r="C485" s="11"/>
      <c r="D485" s="11"/>
      <c r="E485" s="11"/>
      <c r="F485" s="11"/>
      <c r="G485" s="209"/>
      <c r="H485" s="207">
        <f t="shared" si="15"/>
        <v>0</v>
      </c>
    </row>
    <row r="486" spans="1:8" x14ac:dyDescent="0.35">
      <c r="A486" s="11"/>
      <c r="B486" s="11"/>
      <c r="C486" s="11"/>
      <c r="D486" s="11"/>
      <c r="E486" s="11"/>
      <c r="F486" s="11"/>
      <c r="G486" s="209"/>
      <c r="H486" s="207">
        <f t="shared" si="15"/>
        <v>0</v>
      </c>
    </row>
    <row r="487" spans="1:8" x14ac:dyDescent="0.35">
      <c r="A487" s="11"/>
      <c r="B487" s="11"/>
      <c r="C487" s="11"/>
      <c r="D487" s="11"/>
      <c r="E487" s="11"/>
      <c r="F487" s="11"/>
      <c r="G487" s="209"/>
      <c r="H487" s="207">
        <f t="shared" si="15"/>
        <v>0</v>
      </c>
    </row>
    <row r="488" spans="1:8" x14ac:dyDescent="0.35">
      <c r="A488" s="11"/>
      <c r="B488" s="11"/>
      <c r="C488" s="11"/>
      <c r="D488" s="11"/>
      <c r="E488" s="11"/>
      <c r="F488" s="11"/>
      <c r="G488" s="209"/>
      <c r="H488" s="207">
        <f t="shared" si="13"/>
        <v>0</v>
      </c>
    </row>
    <row r="489" spans="1:8" x14ac:dyDescent="0.35">
      <c r="A489" s="11"/>
      <c r="B489" s="11"/>
      <c r="C489" s="11"/>
      <c r="D489" s="11"/>
      <c r="E489" s="11"/>
      <c r="F489" s="11"/>
      <c r="G489" s="209"/>
      <c r="H489" s="207">
        <f t="shared" si="13"/>
        <v>0</v>
      </c>
    </row>
    <row r="490" spans="1:8" x14ac:dyDescent="0.35">
      <c r="A490" s="11"/>
      <c r="B490" s="11"/>
      <c r="C490" s="11"/>
      <c r="D490" s="11"/>
      <c r="E490" s="11"/>
      <c r="F490" s="11"/>
      <c r="G490" s="209"/>
      <c r="H490" s="207">
        <f t="shared" si="13"/>
        <v>0</v>
      </c>
    </row>
    <row r="491" spans="1:8" x14ac:dyDescent="0.35">
      <c r="A491" s="11"/>
      <c r="B491" s="11"/>
      <c r="C491" s="11"/>
      <c r="D491" s="11"/>
      <c r="E491" s="11"/>
      <c r="F491" s="11"/>
      <c r="G491" s="209"/>
      <c r="H491" s="207">
        <f t="shared" si="13"/>
        <v>0</v>
      </c>
    </row>
    <row r="492" spans="1:8" x14ac:dyDescent="0.35">
      <c r="A492" s="11"/>
      <c r="B492" s="11"/>
      <c r="C492" s="11"/>
      <c r="D492" s="11"/>
      <c r="E492" s="11"/>
      <c r="F492" s="11"/>
      <c r="G492" s="209"/>
      <c r="H492" s="207">
        <f t="shared" si="13"/>
        <v>0</v>
      </c>
    </row>
    <row r="493" spans="1:8" x14ac:dyDescent="0.35">
      <c r="A493" s="11"/>
      <c r="B493" s="11"/>
      <c r="C493" s="11"/>
      <c r="D493" s="11"/>
      <c r="E493" s="11"/>
      <c r="F493" s="11"/>
      <c r="G493" s="209"/>
      <c r="H493" s="207">
        <f t="shared" si="13"/>
        <v>0</v>
      </c>
    </row>
    <row r="494" spans="1:8" x14ac:dyDescent="0.35">
      <c r="A494" s="11"/>
      <c r="B494" s="11"/>
      <c r="C494" s="11"/>
      <c r="D494" s="11"/>
      <c r="E494" s="11"/>
      <c r="F494" s="11"/>
      <c r="G494" s="209"/>
      <c r="H494" s="207">
        <f t="shared" si="13"/>
        <v>0</v>
      </c>
    </row>
    <row r="495" spans="1:8" x14ac:dyDescent="0.35">
      <c r="A495" s="11"/>
      <c r="B495" s="11"/>
      <c r="C495" s="11"/>
      <c r="D495" s="11"/>
      <c r="E495" s="11"/>
      <c r="F495" s="11"/>
      <c r="G495" s="209"/>
      <c r="H495" s="207">
        <f t="shared" si="13"/>
        <v>0</v>
      </c>
    </row>
    <row r="496" spans="1:8" x14ac:dyDescent="0.35">
      <c r="A496" s="11"/>
      <c r="B496" s="11"/>
      <c r="C496" s="11"/>
      <c r="D496" s="11"/>
      <c r="E496" s="11"/>
      <c r="F496" s="11"/>
      <c r="G496" s="209"/>
      <c r="H496" s="207">
        <f t="shared" si="13"/>
        <v>0</v>
      </c>
    </row>
    <row r="497" spans="1:8" x14ac:dyDescent="0.35">
      <c r="A497" s="11"/>
      <c r="B497" s="11"/>
      <c r="C497" s="11"/>
      <c r="D497" s="11"/>
      <c r="E497" s="11"/>
      <c r="F497" s="11"/>
      <c r="G497" s="209"/>
      <c r="H497" s="207">
        <f t="shared" si="13"/>
        <v>0</v>
      </c>
    </row>
    <row r="498" spans="1:8" x14ac:dyDescent="0.35">
      <c r="A498" s="11"/>
      <c r="B498" s="11"/>
      <c r="C498" s="11"/>
      <c r="D498" s="11"/>
      <c r="E498" s="11"/>
      <c r="F498" s="11"/>
      <c r="G498" s="209"/>
      <c r="H498" s="207">
        <f t="shared" si="13"/>
        <v>0</v>
      </c>
    </row>
    <row r="499" spans="1:8" x14ac:dyDescent="0.35">
      <c r="A499" s="11"/>
      <c r="B499" s="11"/>
      <c r="C499" s="11"/>
      <c r="D499" s="11"/>
      <c r="E499" s="11"/>
      <c r="F499" s="11"/>
      <c r="G499" s="209"/>
      <c r="H499" s="207">
        <f t="shared" si="13"/>
        <v>0</v>
      </c>
    </row>
    <row r="500" spans="1:8" x14ac:dyDescent="0.35">
      <c r="A500" s="11"/>
      <c r="B500" s="11"/>
      <c r="C500" s="11"/>
      <c r="D500" s="11"/>
      <c r="E500" s="11"/>
      <c r="F500" s="11"/>
      <c r="G500" s="209"/>
      <c r="H500" s="207">
        <f t="shared" si="13"/>
        <v>0</v>
      </c>
    </row>
    <row r="501" spans="1:8" x14ac:dyDescent="0.35">
      <c r="A501" s="11"/>
      <c r="B501" s="11"/>
      <c r="C501" s="11"/>
      <c r="D501" s="11"/>
      <c r="E501" s="11"/>
      <c r="F501" s="11"/>
      <c r="G501" s="209"/>
      <c r="H501" s="207">
        <f t="shared" si="13"/>
        <v>0</v>
      </c>
    </row>
    <row r="502" spans="1:8" x14ac:dyDescent="0.35">
      <c r="A502" s="11"/>
      <c r="B502" s="11"/>
      <c r="C502" s="11"/>
      <c r="D502" s="11"/>
      <c r="E502" s="11"/>
      <c r="F502" s="11"/>
      <c r="G502" s="209"/>
      <c r="H502" s="207">
        <f t="shared" si="13"/>
        <v>0</v>
      </c>
    </row>
    <row r="503" spans="1:8" x14ac:dyDescent="0.35">
      <c r="A503" s="11"/>
      <c r="B503" s="11"/>
      <c r="C503" s="11"/>
      <c r="D503" s="11"/>
      <c r="E503" s="11"/>
      <c r="F503" s="11"/>
      <c r="G503" s="209"/>
      <c r="H503" s="207">
        <f t="shared" si="13"/>
        <v>0</v>
      </c>
    </row>
    <row r="504" spans="1:8" x14ac:dyDescent="0.35">
      <c r="A504" s="11"/>
      <c r="B504" s="11"/>
      <c r="C504" s="11"/>
      <c r="D504" s="11"/>
      <c r="E504" s="11"/>
      <c r="F504" s="11"/>
      <c r="G504" s="209"/>
      <c r="H504" s="207">
        <f t="shared" si="13"/>
        <v>0</v>
      </c>
    </row>
    <row r="505" spans="1:8" x14ac:dyDescent="0.35">
      <c r="A505" s="11"/>
      <c r="B505" s="11"/>
      <c r="C505" s="11"/>
      <c r="D505" s="11"/>
      <c r="E505" s="11"/>
      <c r="F505" s="11"/>
      <c r="G505" s="209"/>
      <c r="H505" s="207">
        <f t="shared" si="13"/>
        <v>0</v>
      </c>
    </row>
    <row r="506" spans="1:8" x14ac:dyDescent="0.35">
      <c r="A506" s="11"/>
      <c r="B506" s="11"/>
      <c r="C506" s="11"/>
      <c r="D506" s="11"/>
      <c r="E506" s="11"/>
      <c r="F506" s="11"/>
      <c r="G506" s="209"/>
      <c r="H506" s="207">
        <f t="shared" si="13"/>
        <v>0</v>
      </c>
    </row>
    <row r="507" spans="1:8" x14ac:dyDescent="0.35">
      <c r="A507" s="11"/>
      <c r="B507" s="11"/>
      <c r="C507" s="11"/>
      <c r="D507" s="11"/>
      <c r="E507" s="11"/>
      <c r="F507" s="11"/>
      <c r="G507" s="209"/>
      <c r="H507" s="207">
        <f t="shared" si="13"/>
        <v>0</v>
      </c>
    </row>
    <row r="508" spans="1:8" x14ac:dyDescent="0.35">
      <c r="A508" s="11"/>
      <c r="B508" s="11"/>
      <c r="C508" s="11"/>
      <c r="D508" s="11"/>
      <c r="E508" s="11"/>
      <c r="F508" s="11"/>
      <c r="G508" s="209"/>
      <c r="H508" s="207">
        <f t="shared" si="13"/>
        <v>0</v>
      </c>
    </row>
    <row r="509" spans="1:8" x14ac:dyDescent="0.35">
      <c r="A509" s="11"/>
      <c r="B509" s="11"/>
      <c r="C509" s="11"/>
      <c r="D509" s="11"/>
      <c r="E509" s="11"/>
      <c r="F509" s="11"/>
      <c r="G509" s="209"/>
      <c r="H509" s="207">
        <f t="shared" si="13"/>
        <v>0</v>
      </c>
    </row>
    <row r="510" spans="1:8" x14ac:dyDescent="0.35">
      <c r="A510" s="11"/>
      <c r="B510" s="11"/>
      <c r="C510" s="11"/>
      <c r="D510" s="11"/>
      <c r="E510" s="11"/>
      <c r="F510" s="11"/>
      <c r="G510" s="209"/>
      <c r="H510" s="207">
        <f t="shared" si="13"/>
        <v>0</v>
      </c>
    </row>
    <row r="511" spans="1:8" x14ac:dyDescent="0.35">
      <c r="A511" s="11"/>
      <c r="B511" s="11"/>
      <c r="C511" s="11"/>
      <c r="D511" s="11"/>
      <c r="E511" s="11"/>
      <c r="F511" s="11"/>
      <c r="G511" s="209"/>
      <c r="H511" s="207">
        <f t="shared" si="13"/>
        <v>0</v>
      </c>
    </row>
    <row r="512" spans="1:8" x14ac:dyDescent="0.35">
      <c r="A512" s="11"/>
      <c r="B512" s="11"/>
      <c r="C512" s="11"/>
      <c r="D512" s="11"/>
      <c r="E512" s="11"/>
      <c r="F512" s="11"/>
      <c r="G512" s="209"/>
      <c r="H512" s="207">
        <f t="shared" si="13"/>
        <v>0</v>
      </c>
    </row>
    <row r="513" spans="1:8" x14ac:dyDescent="0.35">
      <c r="A513" s="11"/>
      <c r="B513" s="11"/>
      <c r="C513" s="11"/>
      <c r="D513" s="11"/>
      <c r="E513" s="11"/>
      <c r="F513" s="11"/>
      <c r="G513" s="209"/>
      <c r="H513" s="207">
        <f t="shared" si="13"/>
        <v>0</v>
      </c>
    </row>
    <row r="514" spans="1:8" x14ac:dyDescent="0.35">
      <c r="A514" s="11"/>
      <c r="B514" s="11"/>
      <c r="C514" s="11"/>
      <c r="D514" s="11"/>
      <c r="E514" s="11"/>
      <c r="F514" s="11"/>
      <c r="G514" s="209"/>
      <c r="H514" s="207">
        <f t="shared" si="13"/>
        <v>0</v>
      </c>
    </row>
    <row r="515" spans="1:8" x14ac:dyDescent="0.35">
      <c r="A515" s="11"/>
      <c r="B515" s="11"/>
      <c r="C515" s="11"/>
      <c r="D515" s="11"/>
      <c r="E515" s="11"/>
      <c r="F515" s="11"/>
      <c r="G515" s="209"/>
      <c r="H515" s="207">
        <f t="shared" si="13"/>
        <v>0</v>
      </c>
    </row>
    <row r="516" spans="1:8" x14ac:dyDescent="0.35">
      <c r="A516" s="11"/>
      <c r="B516" s="11"/>
      <c r="C516" s="11"/>
      <c r="D516" s="11"/>
      <c r="E516" s="11"/>
      <c r="F516" s="11"/>
      <c r="G516" s="209"/>
      <c r="H516" s="207">
        <f t="shared" si="13"/>
        <v>0</v>
      </c>
    </row>
    <row r="517" spans="1:8" x14ac:dyDescent="0.35">
      <c r="A517" s="11"/>
      <c r="B517" s="11"/>
      <c r="C517" s="11"/>
      <c r="D517" s="11"/>
      <c r="E517" s="11"/>
      <c r="F517" s="11"/>
      <c r="G517" s="209"/>
      <c r="H517" s="207">
        <f t="shared" si="13"/>
        <v>0</v>
      </c>
    </row>
    <row r="518" spans="1:8" x14ac:dyDescent="0.35">
      <c r="A518" s="11"/>
      <c r="B518" s="11"/>
      <c r="C518" s="11"/>
      <c r="D518" s="11"/>
      <c r="E518" s="11"/>
      <c r="F518" s="11"/>
      <c r="G518" s="209"/>
      <c r="H518" s="207">
        <f t="shared" si="13"/>
        <v>0</v>
      </c>
    </row>
    <row r="519" spans="1:8" x14ac:dyDescent="0.35">
      <c r="A519" s="11"/>
      <c r="B519" s="11"/>
      <c r="C519" s="11"/>
      <c r="D519" s="11"/>
      <c r="E519" s="11"/>
      <c r="F519" s="11"/>
      <c r="G519" s="209"/>
      <c r="H519" s="207">
        <f t="shared" si="13"/>
        <v>0</v>
      </c>
    </row>
    <row r="520" spans="1:8" x14ac:dyDescent="0.35">
      <c r="A520" s="11"/>
      <c r="B520" s="11"/>
      <c r="C520" s="11"/>
      <c r="D520" s="11"/>
      <c r="E520" s="11"/>
      <c r="F520" s="11"/>
      <c r="G520" s="209"/>
      <c r="H520" s="207">
        <f t="shared" si="13"/>
        <v>0</v>
      </c>
    </row>
    <row r="521" spans="1:8" x14ac:dyDescent="0.35">
      <c r="A521" s="11"/>
      <c r="B521" s="11"/>
      <c r="C521" s="11"/>
      <c r="D521" s="11"/>
      <c r="E521" s="11"/>
      <c r="F521" s="11"/>
      <c r="G521" s="209"/>
      <c r="H521" s="207">
        <f t="shared" si="13"/>
        <v>0</v>
      </c>
    </row>
    <row r="522" spans="1:8" x14ac:dyDescent="0.35">
      <c r="A522" s="11"/>
      <c r="B522" s="11"/>
      <c r="C522" s="11"/>
      <c r="D522" s="11"/>
      <c r="E522" s="11"/>
      <c r="F522" s="11"/>
      <c r="G522" s="209"/>
      <c r="H522" s="207">
        <f t="shared" si="13"/>
        <v>0</v>
      </c>
    </row>
    <row r="523" spans="1:8" x14ac:dyDescent="0.35">
      <c r="A523" s="11"/>
      <c r="B523" s="11"/>
      <c r="C523" s="11"/>
      <c r="D523" s="11"/>
      <c r="E523" s="11"/>
      <c r="F523" s="11"/>
      <c r="G523" s="209"/>
      <c r="H523" s="207">
        <f t="shared" si="13"/>
        <v>0</v>
      </c>
    </row>
    <row r="524" spans="1:8" x14ac:dyDescent="0.35">
      <c r="A524" s="11"/>
      <c r="B524" s="11"/>
      <c r="C524" s="11"/>
      <c r="D524" s="11"/>
      <c r="E524" s="11"/>
      <c r="F524" s="11"/>
      <c r="G524" s="209"/>
      <c r="H524" s="207">
        <f t="shared" si="13"/>
        <v>0</v>
      </c>
    </row>
    <row r="525" spans="1:8" x14ac:dyDescent="0.35">
      <c r="A525" s="11"/>
      <c r="B525" s="11"/>
      <c r="C525" s="11"/>
      <c r="D525" s="11"/>
      <c r="E525" s="11"/>
      <c r="F525" s="11"/>
      <c r="G525" s="209"/>
      <c r="H525" s="207">
        <f t="shared" si="13"/>
        <v>0</v>
      </c>
    </row>
    <row r="526" spans="1:8" x14ac:dyDescent="0.35">
      <c r="A526" s="11"/>
      <c r="B526" s="11"/>
      <c r="C526" s="11"/>
      <c r="D526" s="11"/>
      <c r="E526" s="11"/>
      <c r="F526" s="11"/>
      <c r="G526" s="209"/>
      <c r="H526" s="207">
        <f t="shared" si="13"/>
        <v>0</v>
      </c>
    </row>
    <row r="527" spans="1:8" x14ac:dyDescent="0.35">
      <c r="A527" s="11"/>
      <c r="B527" s="11"/>
      <c r="C527" s="11"/>
      <c r="D527" s="11"/>
      <c r="E527" s="11"/>
      <c r="F527" s="11"/>
      <c r="G527" s="209"/>
      <c r="H527" s="207">
        <f t="shared" si="13"/>
        <v>0</v>
      </c>
    </row>
    <row r="528" spans="1:8" x14ac:dyDescent="0.35">
      <c r="A528" s="11"/>
      <c r="B528" s="11"/>
      <c r="C528" s="11"/>
      <c r="D528" s="11"/>
      <c r="E528" s="11"/>
      <c r="F528" s="11"/>
      <c r="G528" s="209"/>
      <c r="H528" s="207">
        <f t="shared" si="13"/>
        <v>0</v>
      </c>
    </row>
    <row r="529" spans="1:8" x14ac:dyDescent="0.35">
      <c r="A529" s="11"/>
      <c r="B529" s="11"/>
      <c r="C529" s="11"/>
      <c r="D529" s="11"/>
      <c r="E529" s="11"/>
      <c r="F529" s="11"/>
      <c r="G529" s="209"/>
      <c r="H529" s="207">
        <f t="shared" si="13"/>
        <v>0</v>
      </c>
    </row>
    <row r="530" spans="1:8" x14ac:dyDescent="0.35">
      <c r="A530" s="11"/>
      <c r="B530" s="11"/>
      <c r="C530" s="11"/>
      <c r="D530" s="11"/>
      <c r="E530" s="11"/>
      <c r="F530" s="11"/>
      <c r="G530" s="209"/>
      <c r="H530" s="207">
        <f t="shared" si="13"/>
        <v>0</v>
      </c>
    </row>
    <row r="531" spans="1:8" x14ac:dyDescent="0.35">
      <c r="A531" s="11"/>
      <c r="B531" s="11"/>
      <c r="C531" s="11"/>
      <c r="D531" s="11"/>
      <c r="E531" s="11"/>
      <c r="F531" s="11"/>
      <c r="G531" s="209"/>
      <c r="H531" s="207">
        <f t="shared" si="13"/>
        <v>0</v>
      </c>
    </row>
    <row r="532" spans="1:8" x14ac:dyDescent="0.35">
      <c r="A532" s="11"/>
      <c r="B532" s="11"/>
      <c r="C532" s="11"/>
      <c r="D532" s="11"/>
      <c r="E532" s="11"/>
      <c r="F532" s="11"/>
      <c r="G532" s="209"/>
      <c r="H532" s="207">
        <f t="shared" si="13"/>
        <v>0</v>
      </c>
    </row>
    <row r="533" spans="1:8" x14ac:dyDescent="0.35">
      <c r="A533" s="11"/>
      <c r="B533" s="11"/>
      <c r="C533" s="11"/>
      <c r="D533" s="11"/>
      <c r="E533" s="11"/>
      <c r="F533" s="11"/>
      <c r="G533" s="209"/>
      <c r="H533" s="207">
        <f t="shared" si="13"/>
        <v>0</v>
      </c>
    </row>
    <row r="534" spans="1:8" x14ac:dyDescent="0.35">
      <c r="A534" s="11"/>
      <c r="B534" s="11"/>
      <c r="C534" s="11"/>
      <c r="D534" s="11"/>
      <c r="E534" s="11"/>
      <c r="F534" s="11"/>
      <c r="G534" s="210"/>
      <c r="H534" s="207">
        <f t="shared" si="13"/>
        <v>0</v>
      </c>
    </row>
    <row r="535" spans="1:8" x14ac:dyDescent="0.35">
      <c r="A535" s="11"/>
      <c r="B535" s="11"/>
      <c r="C535" s="11"/>
      <c r="D535" s="11"/>
      <c r="E535" s="11"/>
      <c r="F535" s="11"/>
      <c r="G535" s="210"/>
      <c r="H535" s="207">
        <f t="shared" si="13"/>
        <v>0</v>
      </c>
    </row>
    <row r="536" spans="1:8" x14ac:dyDescent="0.35">
      <c r="A536" s="11"/>
      <c r="B536" s="11"/>
      <c r="C536" s="11"/>
      <c r="D536" s="11"/>
      <c r="E536" s="11"/>
      <c r="F536" s="11"/>
      <c r="G536" s="210"/>
      <c r="H536" s="207">
        <f t="shared" si="13"/>
        <v>0</v>
      </c>
    </row>
    <row r="537" spans="1:8" x14ac:dyDescent="0.35">
      <c r="A537" s="11"/>
      <c r="B537" s="11"/>
      <c r="C537" s="11"/>
      <c r="D537" s="11"/>
      <c r="E537" s="11"/>
      <c r="F537" s="11"/>
      <c r="G537" s="210"/>
      <c r="H537" s="207">
        <f t="shared" si="13"/>
        <v>0</v>
      </c>
    </row>
    <row r="538" spans="1:8" x14ac:dyDescent="0.35">
      <c r="A538" s="11"/>
      <c r="B538" s="11"/>
      <c r="C538" s="11"/>
      <c r="D538" s="11"/>
      <c r="E538" s="11"/>
      <c r="F538" s="11"/>
      <c r="G538" s="210"/>
      <c r="H538" s="207">
        <f t="shared" si="13"/>
        <v>0</v>
      </c>
    </row>
    <row r="539" spans="1:8" x14ac:dyDescent="0.35">
      <c r="A539" s="11"/>
      <c r="B539" s="11"/>
      <c r="C539" s="11"/>
      <c r="D539" s="11"/>
      <c r="E539" s="11"/>
      <c r="F539" s="11"/>
      <c r="G539" s="210"/>
      <c r="H539" s="207">
        <f t="shared" si="13"/>
        <v>0</v>
      </c>
    </row>
    <row r="540" spans="1:8" x14ac:dyDescent="0.35">
      <c r="A540" s="11"/>
      <c r="B540" s="11"/>
      <c r="C540" s="11"/>
      <c r="D540" s="11"/>
      <c r="E540" s="11"/>
      <c r="F540" s="11"/>
      <c r="G540" s="210"/>
      <c r="H540" s="207">
        <f t="shared" si="13"/>
        <v>0</v>
      </c>
    </row>
    <row r="541" spans="1:8" x14ac:dyDescent="0.35">
      <c r="A541" s="11"/>
      <c r="B541" s="11"/>
      <c r="C541" s="11"/>
      <c r="D541" s="11"/>
      <c r="E541" s="11"/>
      <c r="F541" s="11"/>
      <c r="G541" s="210"/>
      <c r="H541" s="207">
        <f t="shared" si="13"/>
        <v>0</v>
      </c>
    </row>
    <row r="542" spans="1:8" x14ac:dyDescent="0.35">
      <c r="A542" s="11"/>
      <c r="B542" s="11"/>
      <c r="C542" s="11"/>
      <c r="D542" s="11"/>
      <c r="E542" s="11"/>
      <c r="F542" s="11"/>
      <c r="G542" s="210"/>
      <c r="H542" s="207">
        <f t="shared" ref="H542:H602" si="16">IF(D542="",0,MONTH(D542))</f>
        <v>0</v>
      </c>
    </row>
    <row r="543" spans="1:8" x14ac:dyDescent="0.35">
      <c r="A543" s="11"/>
      <c r="B543" s="11"/>
      <c r="C543" s="11"/>
      <c r="D543" s="11"/>
      <c r="E543" s="11"/>
      <c r="F543" s="11"/>
      <c r="G543" s="210"/>
      <c r="H543" s="207">
        <f t="shared" si="16"/>
        <v>0</v>
      </c>
    </row>
    <row r="544" spans="1:8" x14ac:dyDescent="0.35">
      <c r="A544" s="11"/>
      <c r="B544" s="11"/>
      <c r="C544" s="11"/>
      <c r="D544" s="11"/>
      <c r="E544" s="11"/>
      <c r="F544" s="11"/>
      <c r="G544" s="210"/>
      <c r="H544" s="207">
        <f t="shared" si="16"/>
        <v>0</v>
      </c>
    </row>
    <row r="545" spans="1:8" x14ac:dyDescent="0.35">
      <c r="A545" s="11"/>
      <c r="B545" s="11"/>
      <c r="C545" s="11"/>
      <c r="D545" s="11"/>
      <c r="E545" s="11"/>
      <c r="F545" s="11"/>
      <c r="G545" s="210"/>
      <c r="H545" s="207">
        <f t="shared" si="16"/>
        <v>0</v>
      </c>
    </row>
    <row r="546" spans="1:8" x14ac:dyDescent="0.35">
      <c r="A546" s="11"/>
      <c r="B546" s="11"/>
      <c r="C546" s="11"/>
      <c r="D546" s="11"/>
      <c r="E546" s="11"/>
      <c r="F546" s="11"/>
      <c r="G546" s="210"/>
      <c r="H546" s="207">
        <f t="shared" si="16"/>
        <v>0</v>
      </c>
    </row>
    <row r="547" spans="1:8" x14ac:dyDescent="0.35">
      <c r="A547" s="11"/>
      <c r="B547" s="11"/>
      <c r="C547" s="11"/>
      <c r="D547" s="11"/>
      <c r="E547" s="11"/>
      <c r="F547" s="11"/>
      <c r="G547" s="210"/>
      <c r="H547" s="207">
        <f t="shared" si="16"/>
        <v>0</v>
      </c>
    </row>
    <row r="548" spans="1:8" x14ac:dyDescent="0.35">
      <c r="A548" s="11"/>
      <c r="B548" s="11"/>
      <c r="C548" s="11"/>
      <c r="D548" s="11"/>
      <c r="E548" s="11"/>
      <c r="F548" s="11"/>
      <c r="G548" s="210"/>
      <c r="H548" s="207">
        <f t="shared" si="16"/>
        <v>0</v>
      </c>
    </row>
    <row r="549" spans="1:8" x14ac:dyDescent="0.35">
      <c r="A549" s="11"/>
      <c r="B549" s="11"/>
      <c r="C549" s="11"/>
      <c r="D549" s="11"/>
      <c r="E549" s="11"/>
      <c r="F549" s="11"/>
      <c r="G549" s="210"/>
      <c r="H549" s="207">
        <f t="shared" si="16"/>
        <v>0</v>
      </c>
    </row>
    <row r="550" spans="1:8" x14ac:dyDescent="0.35">
      <c r="A550" s="11"/>
      <c r="B550" s="11"/>
      <c r="C550" s="11"/>
      <c r="D550" s="11"/>
      <c r="E550" s="11"/>
      <c r="F550" s="11"/>
      <c r="G550" s="210"/>
      <c r="H550" s="207">
        <f t="shared" si="16"/>
        <v>0</v>
      </c>
    </row>
    <row r="551" spans="1:8" x14ac:dyDescent="0.35">
      <c r="A551" s="11"/>
      <c r="B551" s="11"/>
      <c r="C551" s="11"/>
      <c r="D551" s="11"/>
      <c r="E551" s="11"/>
      <c r="F551" s="11"/>
      <c r="G551" s="210"/>
      <c r="H551" s="207">
        <f t="shared" si="16"/>
        <v>0</v>
      </c>
    </row>
    <row r="552" spans="1:8" s="88" customFormat="1" x14ac:dyDescent="0.35">
      <c r="A552" s="11"/>
      <c r="B552" s="11"/>
      <c r="C552" s="11"/>
      <c r="D552" s="11"/>
      <c r="E552" s="11"/>
      <c r="F552" s="11"/>
      <c r="G552" s="210"/>
      <c r="H552" s="207">
        <f t="shared" ref="H552:H559" si="17">IF(D552="",0,MONTH(D552))</f>
        <v>0</v>
      </c>
    </row>
    <row r="553" spans="1:8" s="88" customFormat="1" x14ac:dyDescent="0.35">
      <c r="A553" s="11"/>
      <c r="B553" s="11"/>
      <c r="C553" s="11"/>
      <c r="D553" s="11"/>
      <c r="E553" s="11"/>
      <c r="F553" s="11"/>
      <c r="G553" s="210"/>
      <c r="H553" s="207">
        <f t="shared" si="17"/>
        <v>0</v>
      </c>
    </row>
    <row r="554" spans="1:8" s="88" customFormat="1" x14ac:dyDescent="0.35">
      <c r="A554" s="11"/>
      <c r="B554" s="11"/>
      <c r="C554" s="11"/>
      <c r="D554" s="11"/>
      <c r="E554" s="11"/>
      <c r="F554" s="11"/>
      <c r="G554" s="210"/>
      <c r="H554" s="207">
        <f t="shared" si="17"/>
        <v>0</v>
      </c>
    </row>
    <row r="555" spans="1:8" s="88" customFormat="1" x14ac:dyDescent="0.35">
      <c r="A555" s="11"/>
      <c r="B555" s="11"/>
      <c r="C555" s="11"/>
      <c r="D555" s="11"/>
      <c r="E555" s="11"/>
      <c r="F555" s="11"/>
      <c r="G555" s="210"/>
      <c r="H555" s="207">
        <f t="shared" si="17"/>
        <v>0</v>
      </c>
    </row>
    <row r="556" spans="1:8" s="88" customFormat="1" x14ac:dyDescent="0.35">
      <c r="A556" s="11"/>
      <c r="B556" s="11"/>
      <c r="C556" s="11"/>
      <c r="D556" s="11"/>
      <c r="E556" s="11"/>
      <c r="F556" s="11"/>
      <c r="G556" s="210"/>
      <c r="H556" s="207">
        <f t="shared" si="17"/>
        <v>0</v>
      </c>
    </row>
    <row r="557" spans="1:8" s="88" customFormat="1" x14ac:dyDescent="0.35">
      <c r="A557" s="11"/>
      <c r="B557" s="11"/>
      <c r="C557" s="11"/>
      <c r="D557" s="11"/>
      <c r="E557" s="11"/>
      <c r="F557" s="11"/>
      <c r="G557" s="210"/>
      <c r="H557" s="207">
        <f t="shared" si="17"/>
        <v>0</v>
      </c>
    </row>
    <row r="558" spans="1:8" s="88" customFormat="1" x14ac:dyDescent="0.35">
      <c r="A558" s="11"/>
      <c r="B558" s="11"/>
      <c r="C558" s="11"/>
      <c r="D558" s="11"/>
      <c r="E558" s="11"/>
      <c r="F558" s="11"/>
      <c r="G558" s="210"/>
      <c r="H558" s="207">
        <f t="shared" si="17"/>
        <v>0</v>
      </c>
    </row>
    <row r="559" spans="1:8" s="88" customFormat="1" x14ac:dyDescent="0.35">
      <c r="A559" s="11"/>
      <c r="B559" s="11"/>
      <c r="C559" s="11"/>
      <c r="D559" s="11"/>
      <c r="E559" s="11"/>
      <c r="F559" s="11"/>
      <c r="G559" s="210"/>
      <c r="H559" s="207">
        <f t="shared" si="17"/>
        <v>0</v>
      </c>
    </row>
    <row r="560" spans="1:8" x14ac:dyDescent="0.35">
      <c r="A560" s="11"/>
      <c r="B560" s="11"/>
      <c r="C560" s="11"/>
      <c r="D560" s="11"/>
      <c r="E560" s="11"/>
      <c r="F560" s="11"/>
      <c r="G560" s="210"/>
      <c r="H560" s="207">
        <f t="shared" si="16"/>
        <v>0</v>
      </c>
    </row>
    <row r="561" spans="1:8" x14ac:dyDescent="0.35">
      <c r="A561" s="11"/>
      <c r="B561" s="11"/>
      <c r="C561" s="11"/>
      <c r="D561" s="11"/>
      <c r="E561" s="11"/>
      <c r="F561" s="11"/>
      <c r="G561" s="210"/>
      <c r="H561" s="207">
        <f t="shared" si="16"/>
        <v>0</v>
      </c>
    </row>
    <row r="562" spans="1:8" x14ac:dyDescent="0.35">
      <c r="A562" s="11"/>
      <c r="B562" s="11"/>
      <c r="C562" s="11"/>
      <c r="D562" s="11"/>
      <c r="E562" s="11"/>
      <c r="F562" s="11"/>
      <c r="G562" s="210"/>
      <c r="H562" s="207">
        <f t="shared" si="16"/>
        <v>0</v>
      </c>
    </row>
    <row r="563" spans="1:8" x14ac:dyDescent="0.35">
      <c r="A563" s="11"/>
      <c r="B563" s="11"/>
      <c r="C563" s="11"/>
      <c r="D563" s="11"/>
      <c r="E563" s="11"/>
      <c r="F563" s="11"/>
      <c r="G563" s="210"/>
      <c r="H563" s="207">
        <f t="shared" si="16"/>
        <v>0</v>
      </c>
    </row>
    <row r="564" spans="1:8" x14ac:dyDescent="0.35">
      <c r="A564" s="11"/>
      <c r="B564" s="11"/>
      <c r="C564" s="11"/>
      <c r="D564" s="11"/>
      <c r="E564" s="11"/>
      <c r="F564" s="11"/>
      <c r="G564" s="210"/>
      <c r="H564" s="207">
        <f t="shared" si="16"/>
        <v>0</v>
      </c>
    </row>
    <row r="565" spans="1:8" x14ac:dyDescent="0.35">
      <c r="A565" s="11"/>
      <c r="B565" s="11"/>
      <c r="C565" s="11"/>
      <c r="D565" s="11"/>
      <c r="E565" s="11"/>
      <c r="F565" s="11"/>
      <c r="G565" s="210"/>
      <c r="H565" s="207">
        <f t="shared" si="16"/>
        <v>0</v>
      </c>
    </row>
    <row r="566" spans="1:8" x14ac:dyDescent="0.35">
      <c r="A566" s="11"/>
      <c r="B566" s="11"/>
      <c r="C566" s="11"/>
      <c r="D566" s="11"/>
      <c r="E566" s="11"/>
      <c r="F566" s="11"/>
      <c r="G566" s="210"/>
      <c r="H566" s="207">
        <f t="shared" si="16"/>
        <v>0</v>
      </c>
    </row>
    <row r="567" spans="1:8" x14ac:dyDescent="0.35">
      <c r="A567" s="11"/>
      <c r="B567" s="11"/>
      <c r="C567" s="11"/>
      <c r="D567" s="11"/>
      <c r="E567" s="11"/>
      <c r="F567" s="11"/>
      <c r="G567" s="210"/>
      <c r="H567" s="207">
        <f t="shared" si="16"/>
        <v>0</v>
      </c>
    </row>
    <row r="568" spans="1:8" x14ac:dyDescent="0.35">
      <c r="A568" s="11"/>
      <c r="B568" s="11"/>
      <c r="C568" s="11"/>
      <c r="D568" s="11"/>
      <c r="E568" s="11"/>
      <c r="F568" s="11"/>
      <c r="G568" s="210"/>
      <c r="H568" s="207">
        <f t="shared" si="16"/>
        <v>0</v>
      </c>
    </row>
    <row r="569" spans="1:8" x14ac:dyDescent="0.35">
      <c r="A569" s="11"/>
      <c r="B569" s="11"/>
      <c r="C569" s="11"/>
      <c r="D569" s="11"/>
      <c r="E569" s="11"/>
      <c r="F569" s="11"/>
      <c r="G569" s="210"/>
      <c r="H569" s="207">
        <f t="shared" si="16"/>
        <v>0</v>
      </c>
    </row>
    <row r="570" spans="1:8" x14ac:dyDescent="0.35">
      <c r="A570" s="11"/>
      <c r="B570" s="11"/>
      <c r="C570" s="11"/>
      <c r="D570" s="11"/>
      <c r="E570" s="11"/>
      <c r="F570" s="11"/>
      <c r="G570" s="210"/>
      <c r="H570" s="207">
        <f t="shared" si="16"/>
        <v>0</v>
      </c>
    </row>
    <row r="571" spans="1:8" x14ac:dyDescent="0.35">
      <c r="A571" s="11"/>
      <c r="B571" s="11"/>
      <c r="C571" s="11"/>
      <c r="D571" s="11"/>
      <c r="E571" s="11"/>
      <c r="F571" s="11"/>
      <c r="G571" s="210"/>
      <c r="H571" s="207">
        <f t="shared" si="16"/>
        <v>0</v>
      </c>
    </row>
    <row r="572" spans="1:8" s="88" customFormat="1" x14ac:dyDescent="0.35">
      <c r="A572" s="11"/>
      <c r="B572" s="11"/>
      <c r="C572" s="11"/>
      <c r="D572" s="11"/>
      <c r="E572" s="11"/>
      <c r="F572" s="11"/>
      <c r="G572" s="210"/>
      <c r="H572" s="207">
        <f t="shared" ref="H572:H590" si="18">IF(D572="",0,MONTH(D572))</f>
        <v>0</v>
      </c>
    </row>
    <row r="573" spans="1:8" s="88" customFormat="1" x14ac:dyDescent="0.35">
      <c r="A573" s="11"/>
      <c r="B573" s="11"/>
      <c r="C573" s="11"/>
      <c r="D573" s="11"/>
      <c r="E573" s="11"/>
      <c r="F573" s="11"/>
      <c r="G573" s="210"/>
      <c r="H573" s="207">
        <f t="shared" si="18"/>
        <v>0</v>
      </c>
    </row>
    <row r="574" spans="1:8" s="88" customFormat="1" x14ac:dyDescent="0.35">
      <c r="A574" s="11"/>
      <c r="B574" s="11"/>
      <c r="C574" s="11"/>
      <c r="D574" s="11"/>
      <c r="E574" s="11"/>
      <c r="F574" s="11"/>
      <c r="G574" s="210"/>
      <c r="H574" s="207">
        <f t="shared" si="18"/>
        <v>0</v>
      </c>
    </row>
    <row r="575" spans="1:8" s="88" customFormat="1" x14ac:dyDescent="0.35">
      <c r="A575" s="11"/>
      <c r="B575" s="11"/>
      <c r="C575" s="11"/>
      <c r="D575" s="11"/>
      <c r="E575" s="11"/>
      <c r="F575" s="11"/>
      <c r="G575" s="210"/>
      <c r="H575" s="207">
        <f t="shared" si="18"/>
        <v>0</v>
      </c>
    </row>
    <row r="576" spans="1:8" s="88" customFormat="1" x14ac:dyDescent="0.35">
      <c r="A576" s="11"/>
      <c r="B576" s="11"/>
      <c r="C576" s="11"/>
      <c r="D576" s="11"/>
      <c r="E576" s="11"/>
      <c r="F576" s="11"/>
      <c r="G576" s="210"/>
      <c r="H576" s="207">
        <f t="shared" si="18"/>
        <v>0</v>
      </c>
    </row>
    <row r="577" spans="1:8" s="88" customFormat="1" x14ac:dyDescent="0.35">
      <c r="A577" s="11"/>
      <c r="B577" s="11"/>
      <c r="C577" s="11"/>
      <c r="D577" s="11"/>
      <c r="E577" s="11"/>
      <c r="F577" s="11"/>
      <c r="G577" s="210"/>
      <c r="H577" s="207">
        <f t="shared" si="18"/>
        <v>0</v>
      </c>
    </row>
    <row r="578" spans="1:8" s="88" customFormat="1" x14ac:dyDescent="0.35">
      <c r="A578" s="11"/>
      <c r="B578" s="11"/>
      <c r="C578" s="11"/>
      <c r="D578" s="11"/>
      <c r="E578" s="11"/>
      <c r="F578" s="11"/>
      <c r="G578" s="210"/>
      <c r="H578" s="207">
        <f t="shared" si="18"/>
        <v>0</v>
      </c>
    </row>
    <row r="579" spans="1:8" s="88" customFormat="1" x14ac:dyDescent="0.35">
      <c r="A579" s="11"/>
      <c r="B579" s="11"/>
      <c r="C579" s="11"/>
      <c r="D579" s="11"/>
      <c r="E579" s="11"/>
      <c r="F579" s="11"/>
      <c r="G579" s="210"/>
      <c r="H579" s="207">
        <f t="shared" si="18"/>
        <v>0</v>
      </c>
    </row>
    <row r="580" spans="1:8" s="88" customFormat="1" x14ac:dyDescent="0.35">
      <c r="A580" s="11"/>
      <c r="B580" s="11"/>
      <c r="C580" s="11"/>
      <c r="D580" s="11"/>
      <c r="E580" s="11"/>
      <c r="F580" s="11"/>
      <c r="G580" s="210"/>
      <c r="H580" s="207">
        <f t="shared" si="18"/>
        <v>0</v>
      </c>
    </row>
    <row r="581" spans="1:8" s="88" customFormat="1" x14ac:dyDescent="0.35">
      <c r="A581" s="11"/>
      <c r="B581" s="11"/>
      <c r="C581" s="11"/>
      <c r="D581" s="11"/>
      <c r="E581" s="11"/>
      <c r="F581" s="11"/>
      <c r="G581" s="210"/>
      <c r="H581" s="207">
        <f t="shared" si="18"/>
        <v>0</v>
      </c>
    </row>
    <row r="582" spans="1:8" s="88" customFormat="1" x14ac:dyDescent="0.35">
      <c r="A582" s="11"/>
      <c r="B582" s="11"/>
      <c r="C582" s="11"/>
      <c r="D582" s="11"/>
      <c r="E582" s="11"/>
      <c r="F582" s="11"/>
      <c r="G582" s="210"/>
      <c r="H582" s="207">
        <f t="shared" si="18"/>
        <v>0</v>
      </c>
    </row>
    <row r="583" spans="1:8" s="88" customFormat="1" x14ac:dyDescent="0.35">
      <c r="A583" s="11"/>
      <c r="B583" s="11"/>
      <c r="C583" s="11"/>
      <c r="D583" s="11"/>
      <c r="E583" s="11"/>
      <c r="F583" s="11"/>
      <c r="G583" s="210"/>
      <c r="H583" s="207">
        <f t="shared" si="18"/>
        <v>0</v>
      </c>
    </row>
    <row r="584" spans="1:8" s="88" customFormat="1" x14ac:dyDescent="0.35">
      <c r="A584" s="11"/>
      <c r="B584" s="11"/>
      <c r="C584" s="11"/>
      <c r="D584" s="11"/>
      <c r="E584" s="11"/>
      <c r="F584" s="11"/>
      <c r="G584" s="210"/>
      <c r="H584" s="207">
        <f t="shared" si="18"/>
        <v>0</v>
      </c>
    </row>
    <row r="585" spans="1:8" s="88" customFormat="1" x14ac:dyDescent="0.35">
      <c r="A585" s="11"/>
      <c r="B585" s="11"/>
      <c r="C585" s="11"/>
      <c r="D585" s="11"/>
      <c r="E585" s="11"/>
      <c r="F585" s="11"/>
      <c r="G585" s="210"/>
      <c r="H585" s="207">
        <f t="shared" si="18"/>
        <v>0</v>
      </c>
    </row>
    <row r="586" spans="1:8" s="88" customFormat="1" x14ac:dyDescent="0.35">
      <c r="A586" s="11"/>
      <c r="B586" s="11"/>
      <c r="C586" s="11"/>
      <c r="D586" s="11"/>
      <c r="E586" s="11"/>
      <c r="F586" s="11"/>
      <c r="G586" s="210"/>
      <c r="H586" s="207">
        <f t="shared" si="18"/>
        <v>0</v>
      </c>
    </row>
    <row r="587" spans="1:8" s="88" customFormat="1" x14ac:dyDescent="0.35">
      <c r="A587" s="11"/>
      <c r="B587" s="11"/>
      <c r="C587" s="11"/>
      <c r="D587" s="11"/>
      <c r="E587" s="11"/>
      <c r="F587" s="11"/>
      <c r="G587" s="210"/>
      <c r="H587" s="207">
        <f t="shared" si="18"/>
        <v>0</v>
      </c>
    </row>
    <row r="588" spans="1:8" s="88" customFormat="1" x14ac:dyDescent="0.35">
      <c r="A588" s="11"/>
      <c r="B588" s="11"/>
      <c r="C588" s="11"/>
      <c r="D588" s="11"/>
      <c r="E588" s="11"/>
      <c r="F588" s="11"/>
      <c r="G588" s="210"/>
      <c r="H588" s="207">
        <f t="shared" si="18"/>
        <v>0</v>
      </c>
    </row>
    <row r="589" spans="1:8" s="88" customFormat="1" x14ac:dyDescent="0.35">
      <c r="A589" s="11"/>
      <c r="B589" s="11"/>
      <c r="C589" s="11"/>
      <c r="D589" s="11"/>
      <c r="E589" s="11"/>
      <c r="F589" s="11"/>
      <c r="G589" s="210"/>
      <c r="H589" s="207">
        <f t="shared" si="18"/>
        <v>0</v>
      </c>
    </row>
    <row r="590" spans="1:8" s="88" customFormat="1" x14ac:dyDescent="0.35">
      <c r="A590" s="11"/>
      <c r="B590" s="11"/>
      <c r="C590" s="11"/>
      <c r="D590" s="11"/>
      <c r="E590" s="11"/>
      <c r="F590" s="11"/>
      <c r="G590" s="210"/>
      <c r="H590" s="207">
        <f t="shared" si="18"/>
        <v>0</v>
      </c>
    </row>
    <row r="591" spans="1:8" x14ac:dyDescent="0.35">
      <c r="A591" s="11"/>
      <c r="B591" s="11"/>
      <c r="C591" s="11"/>
      <c r="D591" s="11"/>
      <c r="E591" s="11"/>
      <c r="F591" s="11"/>
      <c r="G591" s="210"/>
      <c r="H591" s="207">
        <f t="shared" si="16"/>
        <v>0</v>
      </c>
    </row>
    <row r="592" spans="1:8" x14ac:dyDescent="0.35">
      <c r="A592" s="11"/>
      <c r="B592" s="11"/>
      <c r="C592" s="11"/>
      <c r="D592" s="11"/>
      <c r="E592" s="11"/>
      <c r="F592" s="11"/>
      <c r="G592" s="210"/>
      <c r="H592" s="207">
        <f t="shared" si="16"/>
        <v>0</v>
      </c>
    </row>
    <row r="593" spans="1:8" x14ac:dyDescent="0.35">
      <c r="A593" s="11"/>
      <c r="B593" s="11"/>
      <c r="C593" s="11"/>
      <c r="D593" s="11"/>
      <c r="E593" s="11"/>
      <c r="F593" s="11"/>
      <c r="G593" s="210"/>
      <c r="H593" s="207">
        <f t="shared" si="16"/>
        <v>0</v>
      </c>
    </row>
    <row r="594" spans="1:8" x14ac:dyDescent="0.35">
      <c r="A594" s="11"/>
      <c r="B594" s="11"/>
      <c r="C594" s="11"/>
      <c r="D594" s="11"/>
      <c r="E594" s="11"/>
      <c r="F594" s="11"/>
      <c r="G594" s="210"/>
      <c r="H594" s="207">
        <f t="shared" si="16"/>
        <v>0</v>
      </c>
    </row>
    <row r="595" spans="1:8" x14ac:dyDescent="0.35">
      <c r="A595" s="11"/>
      <c r="B595" s="11"/>
      <c r="C595" s="11"/>
      <c r="D595" s="11"/>
      <c r="E595" s="11"/>
      <c r="F595" s="11"/>
      <c r="G595" s="210"/>
      <c r="H595" s="207">
        <f t="shared" si="16"/>
        <v>0</v>
      </c>
    </row>
    <row r="596" spans="1:8" x14ac:dyDescent="0.35">
      <c r="A596" s="11"/>
      <c r="B596" s="11"/>
      <c r="C596" s="11"/>
      <c r="D596" s="11"/>
      <c r="E596" s="11"/>
      <c r="F596" s="11"/>
      <c r="G596" s="210"/>
      <c r="H596" s="207">
        <f t="shared" si="16"/>
        <v>0</v>
      </c>
    </row>
    <row r="597" spans="1:8" x14ac:dyDescent="0.35">
      <c r="A597" s="11"/>
      <c r="B597" s="11"/>
      <c r="C597" s="11"/>
      <c r="D597" s="11"/>
      <c r="E597" s="11"/>
      <c r="F597" s="11"/>
      <c r="G597" s="210"/>
      <c r="H597" s="207">
        <f t="shared" si="16"/>
        <v>0</v>
      </c>
    </row>
    <row r="598" spans="1:8" x14ac:dyDescent="0.35">
      <c r="A598" s="11"/>
      <c r="B598" s="11"/>
      <c r="C598" s="11"/>
      <c r="D598" s="11"/>
      <c r="E598" s="11"/>
      <c r="F598" s="11"/>
      <c r="G598" s="210"/>
      <c r="H598" s="207">
        <f t="shared" si="16"/>
        <v>0</v>
      </c>
    </row>
    <row r="599" spans="1:8" x14ac:dyDescent="0.35">
      <c r="A599" s="11"/>
      <c r="B599" s="11"/>
      <c r="C599" s="11"/>
      <c r="D599" s="11"/>
      <c r="E599" s="11"/>
      <c r="F599" s="11"/>
      <c r="G599" s="210"/>
      <c r="H599" s="207">
        <f t="shared" si="16"/>
        <v>0</v>
      </c>
    </row>
    <row r="600" spans="1:8" x14ac:dyDescent="0.35">
      <c r="A600" s="11"/>
      <c r="B600" s="11"/>
      <c r="C600" s="11"/>
      <c r="D600" s="11"/>
      <c r="E600" s="11"/>
      <c r="F600" s="11"/>
      <c r="G600" s="210"/>
      <c r="H600" s="207">
        <f t="shared" si="16"/>
        <v>0</v>
      </c>
    </row>
    <row r="601" spans="1:8" x14ac:dyDescent="0.35">
      <c r="A601" s="11"/>
      <c r="B601" s="11"/>
      <c r="C601" s="11"/>
      <c r="D601" s="11"/>
      <c r="E601" s="11"/>
      <c r="F601" s="11"/>
      <c r="G601" s="210"/>
      <c r="H601" s="207">
        <f t="shared" si="16"/>
        <v>0</v>
      </c>
    </row>
    <row r="602" spans="1:8" x14ac:dyDescent="0.35">
      <c r="A602" s="11"/>
      <c r="B602" s="11"/>
      <c r="C602" s="11"/>
      <c r="D602" s="11"/>
      <c r="E602" s="11"/>
      <c r="F602" s="11"/>
      <c r="G602" s="210"/>
      <c r="H602" s="207">
        <f t="shared" si="16"/>
        <v>0</v>
      </c>
    </row>
    <row r="603" spans="1:8" x14ac:dyDescent="0.35">
      <c r="A603" s="212"/>
      <c r="B603" s="212"/>
      <c r="C603" s="212"/>
      <c r="D603" s="213"/>
      <c r="E603" s="214"/>
      <c r="F603" s="214"/>
      <c r="G603" s="215"/>
      <c r="H603" s="207">
        <f t="shared" ref="H603:H610" si="19">IF(D603="",0,MONTH(D603))</f>
        <v>0</v>
      </c>
    </row>
    <row r="604" spans="1:8" x14ac:dyDescent="0.35">
      <c r="A604" s="212"/>
      <c r="B604" s="212"/>
      <c r="C604" s="212"/>
      <c r="D604" s="213"/>
      <c r="E604" s="214"/>
      <c r="F604" s="214"/>
      <c r="G604" s="215"/>
      <c r="H604" s="207">
        <f t="shared" si="19"/>
        <v>0</v>
      </c>
    </row>
    <row r="605" spans="1:8" x14ac:dyDescent="0.35">
      <c r="A605" s="212"/>
      <c r="B605" s="212"/>
      <c r="C605" s="212"/>
      <c r="D605" s="213"/>
      <c r="E605" s="214"/>
      <c r="F605" s="214"/>
      <c r="G605" s="215"/>
      <c r="H605" s="207">
        <f t="shared" si="19"/>
        <v>0</v>
      </c>
    </row>
    <row r="606" spans="1:8" x14ac:dyDescent="0.35">
      <c r="A606" s="212"/>
      <c r="B606" s="212"/>
      <c r="C606" s="212"/>
      <c r="D606" s="213"/>
      <c r="E606" s="214"/>
      <c r="F606" s="214"/>
      <c r="G606" s="215"/>
      <c r="H606" s="207">
        <f t="shared" si="19"/>
        <v>0</v>
      </c>
    </row>
    <row r="607" spans="1:8" x14ac:dyDescent="0.35">
      <c r="A607" s="212"/>
      <c r="B607" s="212"/>
      <c r="C607" s="212"/>
      <c r="D607" s="213"/>
      <c r="E607" s="214"/>
      <c r="F607" s="214"/>
      <c r="G607" s="215"/>
      <c r="H607" s="207">
        <f t="shared" si="19"/>
        <v>0</v>
      </c>
    </row>
    <row r="608" spans="1:8" x14ac:dyDescent="0.35">
      <c r="A608" s="212"/>
      <c r="B608" s="212"/>
      <c r="C608" s="212"/>
      <c r="D608" s="213"/>
      <c r="E608" s="214"/>
      <c r="F608" s="214"/>
      <c r="G608" s="215"/>
      <c r="H608" s="207">
        <f t="shared" si="19"/>
        <v>0</v>
      </c>
    </row>
    <row r="609" spans="1:8" x14ac:dyDescent="0.35">
      <c r="A609" s="212"/>
      <c r="B609" s="212"/>
      <c r="C609" s="212"/>
      <c r="D609" s="213"/>
      <c r="E609" s="214"/>
      <c r="F609" s="214"/>
      <c r="G609" s="215"/>
      <c r="H609" s="207">
        <f t="shared" si="19"/>
        <v>0</v>
      </c>
    </row>
    <row r="610" spans="1:8" x14ac:dyDescent="0.35">
      <c r="A610" s="212"/>
      <c r="B610" s="212"/>
      <c r="C610" s="212"/>
      <c r="D610" s="213"/>
      <c r="E610" s="214"/>
      <c r="F610" s="214"/>
      <c r="G610" s="215"/>
      <c r="H610" s="207">
        <f t="shared" si="19"/>
        <v>0</v>
      </c>
    </row>
    <row r="611" spans="1:8" x14ac:dyDescent="0.35">
      <c r="A611" s="116"/>
      <c r="B611" s="116"/>
      <c r="C611" s="116"/>
      <c r="D611" s="117"/>
      <c r="E611" s="118"/>
      <c r="F611" s="118"/>
      <c r="G611" s="119"/>
    </row>
    <row r="612" spans="1:8" x14ac:dyDescent="0.35">
      <c r="A612" s="116"/>
      <c r="B612" s="116"/>
      <c r="C612" s="116"/>
      <c r="D612" s="117"/>
      <c r="E612" s="118"/>
      <c r="F612" s="118"/>
      <c r="G612" s="119"/>
    </row>
    <row r="613" spans="1:8" x14ac:dyDescent="0.35">
      <c r="A613" s="116"/>
      <c r="B613" s="116"/>
      <c r="C613" s="116"/>
      <c r="D613" s="117"/>
      <c r="E613" s="118"/>
      <c r="F613" s="118"/>
      <c r="G613" s="119"/>
    </row>
    <row r="614" spans="1:8" x14ac:dyDescent="0.35">
      <c r="A614" s="116"/>
      <c r="B614" s="116"/>
      <c r="C614" s="116"/>
      <c r="D614" s="117"/>
      <c r="E614" s="118"/>
      <c r="F614" s="118"/>
      <c r="G614" s="119"/>
    </row>
    <row r="615" spans="1:8" x14ac:dyDescent="0.35">
      <c r="A615" s="116"/>
      <c r="B615" s="116"/>
      <c r="C615" s="116"/>
      <c r="D615" s="117"/>
      <c r="E615" s="118"/>
      <c r="F615" s="118"/>
      <c r="G615" s="119"/>
    </row>
    <row r="616" spans="1:8" x14ac:dyDescent="0.35">
      <c r="A616" s="116"/>
      <c r="B616" s="116"/>
      <c r="C616" s="116"/>
      <c r="D616" s="117"/>
      <c r="E616" s="118"/>
      <c r="F616" s="118"/>
      <c r="G616" s="119"/>
    </row>
    <row r="617" spans="1:8" x14ac:dyDescent="0.35">
      <c r="A617" s="116"/>
      <c r="B617" s="116"/>
      <c r="C617" s="116"/>
      <c r="D617" s="117"/>
      <c r="E617" s="118"/>
      <c r="F617" s="118"/>
      <c r="G617" s="119"/>
    </row>
    <row r="618" spans="1:8" x14ac:dyDescent="0.35">
      <c r="A618" s="116"/>
      <c r="B618" s="116"/>
      <c r="C618" s="116"/>
      <c r="D618" s="117"/>
      <c r="E618" s="118"/>
      <c r="F618" s="118"/>
      <c r="G618" s="119"/>
    </row>
    <row r="619" spans="1:8" x14ac:dyDescent="0.35">
      <c r="A619" s="116"/>
      <c r="B619" s="116"/>
      <c r="C619" s="116"/>
      <c r="D619" s="117"/>
      <c r="E619" s="118"/>
      <c r="F619" s="118"/>
      <c r="G619" s="119"/>
    </row>
    <row r="620" spans="1:8" x14ac:dyDescent="0.35">
      <c r="A620" s="116"/>
      <c r="B620" s="116"/>
      <c r="C620" s="116"/>
      <c r="D620" s="117"/>
      <c r="E620" s="118"/>
      <c r="F620" s="118"/>
      <c r="G620" s="119"/>
    </row>
    <row r="621" spans="1:8" x14ac:dyDescent="0.35">
      <c r="A621" s="116"/>
      <c r="B621" s="116"/>
      <c r="C621" s="116"/>
      <c r="D621" s="117"/>
      <c r="E621" s="118"/>
      <c r="F621" s="118"/>
      <c r="G621" s="119"/>
    </row>
    <row r="622" spans="1:8" x14ac:dyDescent="0.35">
      <c r="A622" s="116"/>
      <c r="B622" s="116"/>
      <c r="C622" s="116"/>
      <c r="D622" s="117"/>
      <c r="E622" s="118"/>
      <c r="F622" s="118"/>
      <c r="G622" s="119"/>
    </row>
    <row r="623" spans="1:8" x14ac:dyDescent="0.35">
      <c r="A623" s="116"/>
      <c r="B623" s="116"/>
      <c r="C623" s="116"/>
      <c r="D623" s="117"/>
      <c r="E623" s="118"/>
      <c r="F623" s="118"/>
      <c r="G623" s="119"/>
    </row>
    <row r="624" spans="1:8" x14ac:dyDescent="0.35">
      <c r="A624" s="116"/>
      <c r="B624" s="116"/>
      <c r="C624" s="116"/>
      <c r="D624" s="117"/>
      <c r="E624" s="118"/>
      <c r="F624" s="118"/>
      <c r="G624" s="119"/>
    </row>
    <row r="625" spans="1:7" x14ac:dyDescent="0.35">
      <c r="A625" s="116"/>
      <c r="B625" s="116"/>
      <c r="C625" s="116"/>
      <c r="D625" s="117"/>
      <c r="E625" s="118"/>
      <c r="F625" s="118"/>
      <c r="G625" s="119"/>
    </row>
    <row r="626" spans="1:7" x14ac:dyDescent="0.35">
      <c r="A626" s="116"/>
      <c r="B626" s="116"/>
      <c r="C626" s="116"/>
      <c r="D626" s="117"/>
      <c r="E626" s="118"/>
      <c r="F626" s="118"/>
      <c r="G626" s="119"/>
    </row>
    <row r="627" spans="1:7" x14ac:dyDescent="0.35">
      <c r="A627" s="116"/>
      <c r="B627" s="116"/>
      <c r="C627" s="116"/>
      <c r="D627" s="117"/>
      <c r="E627" s="118"/>
      <c r="F627" s="118"/>
      <c r="G627" s="119"/>
    </row>
    <row r="628" spans="1:7" x14ac:dyDescent="0.35">
      <c r="A628" s="116"/>
      <c r="B628" s="116"/>
      <c r="C628" s="116"/>
      <c r="D628" s="117"/>
      <c r="E628" s="118"/>
      <c r="F628" s="118"/>
      <c r="G628" s="119"/>
    </row>
    <row r="629" spans="1:7" x14ac:dyDescent="0.35">
      <c r="A629" s="116"/>
      <c r="B629" s="116"/>
      <c r="C629" s="116"/>
      <c r="D629" s="117"/>
      <c r="E629" s="118"/>
      <c r="F629" s="118"/>
      <c r="G629" s="119"/>
    </row>
    <row r="630" spans="1:7" x14ac:dyDescent="0.35">
      <c r="A630" s="116"/>
      <c r="B630" s="116"/>
      <c r="C630" s="116"/>
      <c r="D630" s="117"/>
      <c r="E630" s="118"/>
      <c r="F630" s="118"/>
      <c r="G630" s="119"/>
    </row>
    <row r="631" spans="1:7" x14ac:dyDescent="0.35">
      <c r="A631" s="116"/>
      <c r="B631" s="116"/>
      <c r="C631" s="116"/>
      <c r="D631" s="117"/>
      <c r="E631" s="118"/>
      <c r="F631" s="118"/>
      <c r="G631" s="119"/>
    </row>
    <row r="632" spans="1:7" x14ac:dyDescent="0.35">
      <c r="A632" s="116"/>
      <c r="B632" s="116"/>
      <c r="C632" s="116"/>
      <c r="D632" s="117"/>
      <c r="E632" s="118"/>
      <c r="F632" s="118"/>
      <c r="G632" s="119"/>
    </row>
    <row r="633" spans="1:7" x14ac:dyDescent="0.35">
      <c r="A633" s="116"/>
      <c r="B633" s="116"/>
      <c r="C633" s="116"/>
      <c r="D633" s="117"/>
      <c r="E633" s="118"/>
      <c r="F633" s="118"/>
      <c r="G633" s="119"/>
    </row>
    <row r="634" spans="1:7" x14ac:dyDescent="0.35">
      <c r="A634" s="116"/>
      <c r="B634" s="116"/>
      <c r="C634" s="116"/>
      <c r="D634" s="117"/>
      <c r="E634" s="118"/>
      <c r="F634" s="118"/>
      <c r="G634" s="119"/>
    </row>
    <row r="635" spans="1:7" x14ac:dyDescent="0.35">
      <c r="A635" s="116"/>
      <c r="B635" s="116"/>
      <c r="C635" s="116"/>
      <c r="D635" s="117"/>
      <c r="E635" s="118"/>
      <c r="F635" s="118"/>
      <c r="G635" s="119"/>
    </row>
    <row r="636" spans="1:7" x14ac:dyDescent="0.35">
      <c r="A636" s="116"/>
      <c r="B636" s="116"/>
      <c r="C636" s="116"/>
      <c r="D636" s="117"/>
      <c r="E636" s="118"/>
      <c r="F636" s="118"/>
      <c r="G636" s="119"/>
    </row>
    <row r="637" spans="1:7" x14ac:dyDescent="0.35">
      <c r="A637" s="116"/>
      <c r="B637" s="116"/>
      <c r="C637" s="116"/>
      <c r="D637" s="117"/>
      <c r="E637" s="118"/>
      <c r="F637" s="118"/>
      <c r="G637" s="119"/>
    </row>
    <row r="638" spans="1:7" x14ac:dyDescent="0.35">
      <c r="A638" s="116"/>
      <c r="B638" s="116"/>
      <c r="C638" s="116"/>
      <c r="D638" s="117"/>
      <c r="E638" s="118"/>
      <c r="F638" s="118"/>
      <c r="G638" s="119"/>
    </row>
    <row r="639" spans="1:7" x14ac:dyDescent="0.35">
      <c r="A639" s="116"/>
      <c r="B639" s="116"/>
      <c r="C639" s="116"/>
      <c r="D639" s="117"/>
      <c r="E639" s="118"/>
      <c r="F639" s="118"/>
      <c r="G639" s="119"/>
    </row>
    <row r="640" spans="1:7" x14ac:dyDescent="0.35">
      <c r="A640" s="116"/>
      <c r="B640" s="116"/>
      <c r="C640" s="116"/>
      <c r="D640" s="117"/>
      <c r="E640" s="118"/>
      <c r="F640" s="118"/>
      <c r="G640" s="119"/>
    </row>
    <row r="641" spans="1:7" x14ac:dyDescent="0.35">
      <c r="A641" s="116"/>
      <c r="B641" s="116"/>
      <c r="C641" s="116"/>
      <c r="D641" s="117"/>
      <c r="E641" s="118"/>
      <c r="F641" s="118"/>
      <c r="G641" s="119"/>
    </row>
    <row r="642" spans="1:7" x14ac:dyDescent="0.35">
      <c r="A642" s="116"/>
      <c r="B642" s="116"/>
      <c r="C642" s="116"/>
      <c r="D642" s="117"/>
      <c r="E642" s="118"/>
      <c r="F642" s="118"/>
      <c r="G642" s="119"/>
    </row>
    <row r="643" spans="1:7" x14ac:dyDescent="0.35">
      <c r="A643" s="116"/>
      <c r="B643" s="116"/>
      <c r="C643" s="116"/>
      <c r="D643" s="117"/>
      <c r="E643" s="118"/>
      <c r="F643" s="118"/>
      <c r="G643" s="119"/>
    </row>
    <row r="644" spans="1:7" x14ac:dyDescent="0.35">
      <c r="A644" s="116"/>
      <c r="B644" s="116"/>
      <c r="C644" s="116"/>
      <c r="D644" s="117"/>
      <c r="E644" s="118"/>
      <c r="F644" s="118"/>
      <c r="G644" s="119"/>
    </row>
    <row r="645" spans="1:7" x14ac:dyDescent="0.35">
      <c r="A645" s="116"/>
      <c r="B645" s="116"/>
      <c r="C645" s="116"/>
      <c r="D645" s="117"/>
      <c r="E645" s="118"/>
      <c r="F645" s="118"/>
      <c r="G645" s="119"/>
    </row>
    <row r="646" spans="1:7" x14ac:dyDescent="0.35">
      <c r="A646" s="116"/>
      <c r="B646" s="116"/>
      <c r="C646" s="116"/>
      <c r="D646" s="117"/>
      <c r="E646" s="118"/>
      <c r="F646" s="118"/>
      <c r="G646" s="119"/>
    </row>
    <row r="647" spans="1:7" x14ac:dyDescent="0.35">
      <c r="A647" s="116"/>
      <c r="B647" s="116"/>
      <c r="C647" s="116"/>
      <c r="D647" s="117"/>
      <c r="E647" s="118"/>
      <c r="F647" s="118"/>
      <c r="G647" s="119"/>
    </row>
    <row r="648" spans="1:7" x14ac:dyDescent="0.35">
      <c r="A648" s="116"/>
      <c r="B648" s="116"/>
      <c r="C648" s="116"/>
      <c r="D648" s="117"/>
      <c r="E648" s="118"/>
      <c r="F648" s="118"/>
      <c r="G648" s="119"/>
    </row>
    <row r="649" spans="1:7" x14ac:dyDescent="0.35">
      <c r="A649" s="116"/>
      <c r="B649" s="116"/>
      <c r="C649" s="116"/>
      <c r="D649" s="117"/>
      <c r="E649" s="118"/>
      <c r="F649" s="118"/>
      <c r="G649" s="119"/>
    </row>
    <row r="650" spans="1:7" x14ac:dyDescent="0.35">
      <c r="A650" s="116"/>
      <c r="B650" s="116"/>
      <c r="C650" s="116"/>
      <c r="D650" s="117"/>
      <c r="E650" s="118"/>
      <c r="F650" s="118"/>
      <c r="G650" s="119"/>
    </row>
    <row r="651" spans="1:7" x14ac:dyDescent="0.35">
      <c r="A651" s="116"/>
      <c r="B651" s="116"/>
      <c r="C651" s="116"/>
      <c r="D651" s="117"/>
      <c r="E651" s="118"/>
      <c r="F651" s="118"/>
      <c r="G651" s="119"/>
    </row>
    <row r="652" spans="1:7" x14ac:dyDescent="0.35">
      <c r="A652" s="116"/>
      <c r="B652" s="116"/>
      <c r="C652" s="116"/>
      <c r="D652" s="117"/>
      <c r="E652" s="118"/>
      <c r="F652" s="118"/>
      <c r="G652" s="119"/>
    </row>
    <row r="653" spans="1:7" x14ac:dyDescent="0.35">
      <c r="A653" s="116"/>
      <c r="B653" s="116"/>
      <c r="C653" s="116"/>
      <c r="D653" s="117"/>
      <c r="E653" s="118"/>
      <c r="F653" s="118"/>
      <c r="G653" s="119"/>
    </row>
    <row r="654" spans="1:7" x14ac:dyDescent="0.35">
      <c r="A654" s="116"/>
      <c r="B654" s="116"/>
      <c r="C654" s="116"/>
      <c r="D654" s="117"/>
      <c r="E654" s="118"/>
      <c r="F654" s="118"/>
      <c r="G654" s="119"/>
    </row>
    <row r="655" spans="1:7" x14ac:dyDescent="0.35">
      <c r="A655" s="116"/>
      <c r="B655" s="116"/>
      <c r="C655" s="116"/>
      <c r="D655" s="117"/>
      <c r="E655" s="118"/>
      <c r="F655" s="118"/>
      <c r="G655" s="119"/>
    </row>
    <row r="656" spans="1:7" x14ac:dyDescent="0.35">
      <c r="A656" s="116"/>
      <c r="B656" s="116"/>
      <c r="C656" s="116"/>
      <c r="D656" s="117"/>
      <c r="E656" s="118"/>
      <c r="F656" s="118"/>
      <c r="G656" s="119"/>
    </row>
    <row r="657" spans="1:7" x14ac:dyDescent="0.35">
      <c r="A657" s="116"/>
      <c r="B657" s="116"/>
      <c r="C657" s="116"/>
      <c r="D657" s="117"/>
      <c r="E657" s="118"/>
      <c r="F657" s="118"/>
      <c r="G657" s="119"/>
    </row>
    <row r="658" spans="1:7" x14ac:dyDescent="0.35">
      <c r="A658" s="116"/>
      <c r="B658" s="116"/>
      <c r="C658" s="116"/>
      <c r="D658" s="117"/>
      <c r="E658" s="118"/>
      <c r="F658" s="118"/>
      <c r="G658" s="119"/>
    </row>
    <row r="659" spans="1:7" x14ac:dyDescent="0.35">
      <c r="A659" s="116"/>
      <c r="B659" s="116"/>
      <c r="C659" s="116"/>
      <c r="D659" s="117"/>
      <c r="E659" s="118"/>
      <c r="F659" s="118"/>
      <c r="G659" s="119"/>
    </row>
    <row r="660" spans="1:7" x14ac:dyDescent="0.35">
      <c r="A660" s="116"/>
      <c r="B660" s="116"/>
      <c r="C660" s="116"/>
      <c r="D660" s="117"/>
      <c r="E660" s="118"/>
      <c r="F660" s="118"/>
      <c r="G660" s="119"/>
    </row>
    <row r="661" spans="1:7" x14ac:dyDescent="0.35">
      <c r="A661" s="116"/>
      <c r="B661" s="116"/>
      <c r="C661" s="116"/>
      <c r="D661" s="117"/>
      <c r="E661" s="118"/>
      <c r="F661" s="118"/>
      <c r="G661" s="119"/>
    </row>
    <row r="662" spans="1:7" x14ac:dyDescent="0.35">
      <c r="A662" s="116"/>
      <c r="B662" s="116"/>
      <c r="C662" s="116"/>
      <c r="D662" s="117"/>
      <c r="E662" s="118"/>
      <c r="F662" s="118"/>
      <c r="G662" s="119"/>
    </row>
    <row r="663" spans="1:7" x14ac:dyDescent="0.35">
      <c r="A663" s="116"/>
      <c r="B663" s="116"/>
      <c r="C663" s="116"/>
      <c r="D663" s="117"/>
      <c r="E663" s="118"/>
      <c r="F663" s="118"/>
      <c r="G663" s="119"/>
    </row>
    <row r="664" spans="1:7" x14ac:dyDescent="0.35">
      <c r="A664" s="116"/>
      <c r="B664" s="116"/>
      <c r="C664" s="116"/>
      <c r="D664" s="117"/>
      <c r="E664" s="118"/>
      <c r="F664" s="118"/>
      <c r="G664" s="119"/>
    </row>
    <row r="665" spans="1:7" x14ac:dyDescent="0.35">
      <c r="A665" s="116"/>
      <c r="B665" s="116"/>
      <c r="C665" s="116"/>
      <c r="D665" s="117"/>
      <c r="E665" s="118"/>
      <c r="F665" s="118"/>
      <c r="G665" s="119"/>
    </row>
    <row r="666" spans="1:7" x14ac:dyDescent="0.35">
      <c r="A666" s="116"/>
      <c r="B666" s="116"/>
      <c r="C666" s="116"/>
      <c r="D666" s="117"/>
      <c r="E666" s="118"/>
      <c r="F666" s="118"/>
      <c r="G666" s="119"/>
    </row>
    <row r="667" spans="1:7" x14ac:dyDescent="0.35">
      <c r="A667" s="116"/>
      <c r="B667" s="116"/>
      <c r="C667" s="116"/>
      <c r="D667" s="117"/>
      <c r="E667" s="118"/>
      <c r="F667" s="118"/>
      <c r="G667" s="119"/>
    </row>
    <row r="668" spans="1:7" x14ac:dyDescent="0.35">
      <c r="A668" s="116"/>
      <c r="B668" s="116"/>
      <c r="C668" s="116"/>
      <c r="D668" s="117"/>
      <c r="E668" s="118"/>
      <c r="F668" s="118"/>
      <c r="G668" s="119"/>
    </row>
    <row r="669" spans="1:7" x14ac:dyDescent="0.35">
      <c r="A669" s="116"/>
      <c r="B669" s="116"/>
      <c r="C669" s="116"/>
      <c r="D669" s="117"/>
      <c r="E669" s="118"/>
      <c r="F669" s="118"/>
      <c r="G669" s="119"/>
    </row>
    <row r="670" spans="1:7" x14ac:dyDescent="0.35">
      <c r="A670" s="116"/>
      <c r="B670" s="116"/>
      <c r="C670" s="116"/>
      <c r="D670" s="117"/>
      <c r="E670" s="118"/>
      <c r="F670" s="118"/>
      <c r="G670" s="119"/>
    </row>
    <row r="671" spans="1:7" x14ac:dyDescent="0.35">
      <c r="A671" s="116"/>
      <c r="B671" s="116"/>
      <c r="C671" s="116"/>
      <c r="D671" s="117"/>
      <c r="E671" s="118"/>
      <c r="F671" s="118"/>
      <c r="G671" s="119"/>
    </row>
    <row r="672" spans="1:7" x14ac:dyDescent="0.35">
      <c r="A672" s="116"/>
      <c r="B672" s="116"/>
      <c r="C672" s="116"/>
      <c r="D672" s="117"/>
      <c r="E672" s="118"/>
      <c r="F672" s="118"/>
      <c r="G672" s="119"/>
    </row>
    <row r="673" spans="1:7" x14ac:dyDescent="0.35">
      <c r="A673" s="116"/>
      <c r="B673" s="116"/>
      <c r="C673" s="116"/>
      <c r="D673" s="117"/>
      <c r="E673" s="118"/>
      <c r="F673" s="118"/>
      <c r="G673" s="119"/>
    </row>
    <row r="674" spans="1:7" x14ac:dyDescent="0.35">
      <c r="A674" s="116"/>
      <c r="B674" s="116"/>
      <c r="C674" s="116"/>
      <c r="D674" s="117"/>
      <c r="E674" s="118"/>
      <c r="F674" s="118"/>
      <c r="G674" s="119"/>
    </row>
    <row r="675" spans="1:7" x14ac:dyDescent="0.35">
      <c r="A675" s="116"/>
      <c r="B675" s="116"/>
      <c r="C675" s="116"/>
      <c r="D675" s="117"/>
      <c r="E675" s="118"/>
      <c r="F675" s="118"/>
      <c r="G675" s="119"/>
    </row>
    <row r="676" spans="1:7" x14ac:dyDescent="0.35">
      <c r="A676" s="116"/>
      <c r="B676" s="116"/>
      <c r="C676" s="116"/>
      <c r="D676" s="117"/>
      <c r="E676" s="118"/>
      <c r="F676" s="118"/>
      <c r="G676" s="119"/>
    </row>
    <row r="677" spans="1:7" x14ac:dyDescent="0.35">
      <c r="A677" s="116"/>
      <c r="B677" s="116"/>
      <c r="C677" s="116"/>
      <c r="D677" s="117"/>
      <c r="E677" s="118"/>
      <c r="F677" s="118"/>
      <c r="G677" s="119"/>
    </row>
    <row r="678" spans="1:7" x14ac:dyDescent="0.35">
      <c r="A678" s="116"/>
      <c r="B678" s="116"/>
      <c r="C678" s="116"/>
      <c r="D678" s="117"/>
      <c r="E678" s="118"/>
      <c r="F678" s="118"/>
      <c r="G678" s="119"/>
    </row>
    <row r="679" spans="1:7" x14ac:dyDescent="0.35">
      <c r="A679" s="116"/>
      <c r="B679" s="116"/>
      <c r="C679" s="116"/>
      <c r="D679" s="117"/>
      <c r="E679" s="118"/>
      <c r="F679" s="118"/>
      <c r="G679" s="119"/>
    </row>
    <row r="680" spans="1:7" x14ac:dyDescent="0.35">
      <c r="A680" s="116"/>
      <c r="B680" s="116"/>
      <c r="C680" s="116"/>
      <c r="D680" s="117"/>
      <c r="E680" s="118"/>
      <c r="F680" s="118"/>
      <c r="G680" s="119"/>
    </row>
    <row r="681" spans="1:7" x14ac:dyDescent="0.35">
      <c r="A681" s="116"/>
      <c r="B681" s="116"/>
      <c r="C681" s="116"/>
      <c r="D681" s="117"/>
      <c r="E681" s="118"/>
      <c r="F681" s="118"/>
      <c r="G681" s="119"/>
    </row>
    <row r="682" spans="1:7" x14ac:dyDescent="0.35">
      <c r="A682" s="116"/>
      <c r="B682" s="116"/>
      <c r="C682" s="116"/>
      <c r="D682" s="117"/>
      <c r="E682" s="118"/>
      <c r="F682" s="118"/>
      <c r="G682" s="119"/>
    </row>
    <row r="683" spans="1:7" x14ac:dyDescent="0.35">
      <c r="A683" s="116"/>
      <c r="B683" s="116"/>
      <c r="C683" s="116"/>
      <c r="D683" s="117"/>
      <c r="E683" s="118"/>
      <c r="F683" s="118"/>
      <c r="G683" s="119"/>
    </row>
    <row r="684" spans="1:7" x14ac:dyDescent="0.35">
      <c r="A684" s="116"/>
      <c r="B684" s="116"/>
      <c r="C684" s="116"/>
      <c r="D684" s="117"/>
      <c r="E684" s="118"/>
      <c r="F684" s="118"/>
      <c r="G684" s="119"/>
    </row>
    <row r="685" spans="1:7" x14ac:dyDescent="0.35">
      <c r="A685" s="116"/>
      <c r="B685" s="116"/>
      <c r="C685" s="116"/>
      <c r="D685" s="117"/>
      <c r="E685" s="118"/>
      <c r="F685" s="118"/>
      <c r="G685" s="119"/>
    </row>
    <row r="686" spans="1:7" x14ac:dyDescent="0.35">
      <c r="A686" s="116"/>
      <c r="B686" s="116"/>
      <c r="C686" s="116"/>
      <c r="D686" s="117"/>
      <c r="E686" s="118"/>
      <c r="F686" s="118"/>
      <c r="G686" s="119"/>
    </row>
    <row r="687" spans="1:7" x14ac:dyDescent="0.35">
      <c r="A687" s="116"/>
      <c r="B687" s="116"/>
      <c r="C687" s="116"/>
      <c r="D687" s="117"/>
      <c r="E687" s="118"/>
      <c r="F687" s="118"/>
      <c r="G687" s="119"/>
    </row>
    <row r="688" spans="1:7" x14ac:dyDescent="0.35">
      <c r="A688" s="116"/>
      <c r="B688" s="116"/>
      <c r="C688" s="116"/>
      <c r="D688" s="117"/>
      <c r="E688" s="118"/>
      <c r="F688" s="118"/>
      <c r="G688" s="119"/>
    </row>
    <row r="689" spans="1:7" x14ac:dyDescent="0.35">
      <c r="A689" s="116"/>
      <c r="B689" s="116"/>
      <c r="C689" s="116"/>
      <c r="D689" s="117"/>
      <c r="E689" s="118"/>
      <c r="F689" s="118"/>
      <c r="G689" s="119"/>
    </row>
    <row r="690" spans="1:7" x14ac:dyDescent="0.35">
      <c r="A690" s="116"/>
      <c r="B690" s="116"/>
      <c r="C690" s="116"/>
      <c r="D690" s="117"/>
      <c r="E690" s="118"/>
      <c r="F690" s="118"/>
      <c r="G690" s="119"/>
    </row>
    <row r="691" spans="1:7" x14ac:dyDescent="0.35">
      <c r="A691" s="116"/>
      <c r="B691" s="116"/>
      <c r="C691" s="116"/>
      <c r="D691" s="117"/>
      <c r="E691" s="118"/>
      <c r="F691" s="118"/>
      <c r="G691" s="119"/>
    </row>
    <row r="692" spans="1:7" x14ac:dyDescent="0.35">
      <c r="A692" s="116"/>
      <c r="B692" s="116"/>
      <c r="C692" s="116"/>
      <c r="D692" s="117"/>
      <c r="E692" s="118"/>
      <c r="F692" s="118"/>
      <c r="G692" s="119"/>
    </row>
    <row r="693" spans="1:7" x14ac:dyDescent="0.35">
      <c r="A693" s="116"/>
      <c r="B693" s="116"/>
      <c r="C693" s="116"/>
      <c r="D693" s="117"/>
      <c r="E693" s="118"/>
      <c r="F693" s="118"/>
      <c r="G693" s="119"/>
    </row>
    <row r="694" spans="1:7" x14ac:dyDescent="0.35">
      <c r="A694" s="116"/>
      <c r="B694" s="116"/>
      <c r="C694" s="116"/>
      <c r="D694" s="117"/>
      <c r="E694" s="118"/>
      <c r="F694" s="118"/>
      <c r="G694" s="119"/>
    </row>
    <row r="695" spans="1:7" x14ac:dyDescent="0.35">
      <c r="A695" s="116"/>
      <c r="B695" s="116"/>
      <c r="C695" s="116"/>
      <c r="D695" s="117"/>
      <c r="E695" s="118"/>
      <c r="F695" s="118"/>
      <c r="G695" s="119"/>
    </row>
    <row r="696" spans="1:7" x14ac:dyDescent="0.35">
      <c r="A696" s="116"/>
      <c r="B696" s="116"/>
      <c r="C696" s="116"/>
      <c r="D696" s="117"/>
      <c r="E696" s="118"/>
      <c r="F696" s="118"/>
      <c r="G696" s="119"/>
    </row>
    <row r="697" spans="1:7" x14ac:dyDescent="0.35">
      <c r="A697" s="116"/>
      <c r="B697" s="116"/>
      <c r="C697" s="116"/>
      <c r="D697" s="117"/>
      <c r="E697" s="118"/>
      <c r="F697" s="118"/>
      <c r="G697" s="119"/>
    </row>
    <row r="698" spans="1:7" x14ac:dyDescent="0.35">
      <c r="A698" s="116"/>
      <c r="B698" s="116"/>
      <c r="C698" s="116"/>
      <c r="D698" s="117"/>
      <c r="E698" s="118"/>
      <c r="F698" s="118"/>
      <c r="G698" s="119"/>
    </row>
    <row r="699" spans="1:7" x14ac:dyDescent="0.35">
      <c r="A699" s="116"/>
      <c r="B699" s="116"/>
      <c r="C699" s="116"/>
      <c r="D699" s="117"/>
      <c r="E699" s="118"/>
      <c r="F699" s="118"/>
      <c r="G699" s="119"/>
    </row>
    <row r="700" spans="1:7" x14ac:dyDescent="0.35">
      <c r="A700" s="116"/>
      <c r="B700" s="116"/>
      <c r="C700" s="116"/>
      <c r="D700" s="117"/>
      <c r="E700" s="118"/>
      <c r="F700" s="118"/>
      <c r="G700" s="119"/>
    </row>
    <row r="701" spans="1:7" x14ac:dyDescent="0.35">
      <c r="A701" s="116"/>
      <c r="B701" s="116"/>
      <c r="C701" s="116"/>
      <c r="D701" s="117"/>
      <c r="E701" s="118"/>
      <c r="F701" s="118"/>
      <c r="G701" s="119"/>
    </row>
    <row r="702" spans="1:7" x14ac:dyDescent="0.35">
      <c r="A702" s="116"/>
      <c r="B702" s="116"/>
      <c r="C702" s="116"/>
      <c r="D702" s="117"/>
      <c r="E702" s="118"/>
      <c r="F702" s="118"/>
      <c r="G702" s="119"/>
    </row>
    <row r="703" spans="1:7" x14ac:dyDescent="0.35">
      <c r="A703" s="116"/>
      <c r="B703" s="116"/>
      <c r="C703" s="116"/>
      <c r="D703" s="117"/>
      <c r="E703" s="118"/>
      <c r="F703" s="118"/>
      <c r="G703" s="119"/>
    </row>
    <row r="704" spans="1:7" x14ac:dyDescent="0.35">
      <c r="A704" s="116"/>
      <c r="B704" s="116"/>
      <c r="C704" s="116"/>
      <c r="D704" s="117"/>
      <c r="E704" s="118"/>
      <c r="F704" s="118"/>
      <c r="G704" s="119"/>
    </row>
    <row r="705" spans="1:7" x14ac:dyDescent="0.35">
      <c r="A705" s="116"/>
      <c r="B705" s="116"/>
      <c r="C705" s="116"/>
      <c r="D705" s="117"/>
      <c r="E705" s="118"/>
      <c r="F705" s="118"/>
      <c r="G705" s="119"/>
    </row>
    <row r="706" spans="1:7" x14ac:dyDescent="0.35">
      <c r="A706" s="116"/>
      <c r="B706" s="116"/>
      <c r="C706" s="116"/>
      <c r="D706" s="117"/>
      <c r="E706" s="118"/>
      <c r="F706" s="118"/>
      <c r="G706" s="119"/>
    </row>
    <row r="707" spans="1:7" x14ac:dyDescent="0.35">
      <c r="A707" s="116"/>
      <c r="B707" s="116"/>
      <c r="C707" s="116"/>
      <c r="D707" s="117"/>
      <c r="E707" s="118"/>
      <c r="F707" s="118"/>
      <c r="G707" s="119"/>
    </row>
    <row r="708" spans="1:7" x14ac:dyDescent="0.35">
      <c r="A708" s="116"/>
      <c r="B708" s="116"/>
      <c r="C708" s="116"/>
      <c r="D708" s="117"/>
      <c r="E708" s="118"/>
      <c r="F708" s="118"/>
      <c r="G708" s="119"/>
    </row>
    <row r="709" spans="1:7" x14ac:dyDescent="0.35">
      <c r="A709" s="116"/>
      <c r="B709" s="116"/>
      <c r="C709" s="116"/>
      <c r="D709" s="117"/>
      <c r="E709" s="118"/>
      <c r="F709" s="118"/>
      <c r="G709" s="119"/>
    </row>
    <row r="710" spans="1:7" x14ac:dyDescent="0.35">
      <c r="A710" s="116"/>
      <c r="B710" s="116"/>
      <c r="C710" s="116"/>
      <c r="D710" s="117"/>
      <c r="E710" s="118"/>
      <c r="F710" s="118"/>
      <c r="G710" s="119"/>
    </row>
    <row r="711" spans="1:7" x14ac:dyDescent="0.35">
      <c r="A711" s="116"/>
      <c r="B711" s="116"/>
      <c r="C711" s="116"/>
      <c r="D711" s="117"/>
      <c r="E711" s="118"/>
      <c r="F711" s="118"/>
      <c r="G711" s="119"/>
    </row>
    <row r="712" spans="1:7" x14ac:dyDescent="0.35">
      <c r="A712" s="116"/>
      <c r="B712" s="116"/>
      <c r="C712" s="116"/>
      <c r="D712" s="117"/>
      <c r="E712" s="118"/>
      <c r="F712" s="118"/>
      <c r="G712" s="119"/>
    </row>
    <row r="713" spans="1:7" x14ac:dyDescent="0.35">
      <c r="A713" s="116"/>
      <c r="B713" s="116"/>
      <c r="C713" s="116"/>
      <c r="D713" s="117"/>
      <c r="E713" s="118"/>
      <c r="F713" s="118"/>
      <c r="G713" s="119"/>
    </row>
    <row r="714" spans="1:7" x14ac:dyDescent="0.35">
      <c r="A714" s="116"/>
      <c r="B714" s="116"/>
      <c r="C714" s="116"/>
      <c r="D714" s="117"/>
      <c r="E714" s="118"/>
      <c r="F714" s="118"/>
      <c r="G714" s="119"/>
    </row>
    <row r="715" spans="1:7" x14ac:dyDescent="0.35">
      <c r="A715" s="116"/>
      <c r="B715" s="116"/>
      <c r="C715" s="116"/>
      <c r="D715" s="117"/>
      <c r="E715" s="118"/>
      <c r="F715" s="118"/>
      <c r="G715" s="119"/>
    </row>
    <row r="716" spans="1:7" x14ac:dyDescent="0.35">
      <c r="A716" s="116"/>
      <c r="B716" s="116"/>
      <c r="C716" s="116"/>
      <c r="D716" s="117"/>
      <c r="E716" s="118"/>
      <c r="F716" s="118"/>
      <c r="G716" s="119"/>
    </row>
    <row r="717" spans="1:7" x14ac:dyDescent="0.35">
      <c r="A717" s="116"/>
      <c r="B717" s="116"/>
      <c r="C717" s="116"/>
      <c r="D717" s="117"/>
      <c r="E717" s="118"/>
      <c r="F717" s="118"/>
      <c r="G717" s="119"/>
    </row>
    <row r="718" spans="1:7" x14ac:dyDescent="0.35">
      <c r="A718" s="116"/>
      <c r="B718" s="116"/>
      <c r="C718" s="116"/>
      <c r="D718" s="117"/>
      <c r="E718" s="118"/>
      <c r="F718" s="118"/>
      <c r="G718" s="119"/>
    </row>
    <row r="719" spans="1:7" x14ac:dyDescent="0.35">
      <c r="A719" s="116"/>
      <c r="B719" s="116"/>
      <c r="C719" s="116"/>
      <c r="D719" s="117"/>
      <c r="E719" s="118"/>
      <c r="F719" s="118"/>
      <c r="G719" s="119"/>
    </row>
    <row r="720" spans="1:7" x14ac:dyDescent="0.35">
      <c r="A720" s="116"/>
      <c r="B720" s="116"/>
      <c r="C720" s="116"/>
      <c r="D720" s="117"/>
      <c r="E720" s="118"/>
      <c r="F720" s="118"/>
      <c r="G720" s="119"/>
    </row>
    <row r="721" spans="1:7" x14ac:dyDescent="0.35">
      <c r="A721" s="116"/>
      <c r="B721" s="116"/>
      <c r="C721" s="116"/>
      <c r="D721" s="117"/>
      <c r="E721" s="118"/>
      <c r="F721" s="118"/>
      <c r="G721" s="119"/>
    </row>
    <row r="722" spans="1:7" x14ac:dyDescent="0.35">
      <c r="A722" s="116"/>
      <c r="B722" s="116"/>
      <c r="C722" s="116"/>
      <c r="D722" s="117"/>
      <c r="E722" s="118"/>
      <c r="F722" s="118"/>
      <c r="G722" s="119"/>
    </row>
    <row r="723" spans="1:7" x14ac:dyDescent="0.35">
      <c r="A723" s="116"/>
      <c r="B723" s="116"/>
      <c r="C723" s="116"/>
      <c r="D723" s="117"/>
      <c r="E723" s="118"/>
      <c r="F723" s="118"/>
      <c r="G723" s="119"/>
    </row>
    <row r="724" spans="1:7" x14ac:dyDescent="0.35">
      <c r="A724" s="116"/>
      <c r="B724" s="116"/>
      <c r="C724" s="116"/>
      <c r="D724" s="117"/>
      <c r="E724" s="118"/>
      <c r="F724" s="118"/>
      <c r="G724" s="119"/>
    </row>
    <row r="725" spans="1:7" x14ac:dyDescent="0.35">
      <c r="A725" s="116"/>
      <c r="B725" s="116"/>
      <c r="C725" s="116"/>
      <c r="D725" s="117"/>
      <c r="E725" s="118"/>
      <c r="F725" s="118"/>
      <c r="G725" s="119"/>
    </row>
    <row r="726" spans="1:7" x14ac:dyDescent="0.35">
      <c r="A726" s="116"/>
      <c r="B726" s="116"/>
      <c r="C726" s="116"/>
      <c r="D726" s="117"/>
      <c r="E726" s="118"/>
      <c r="F726" s="118"/>
      <c r="G726" s="119"/>
    </row>
    <row r="727" spans="1:7" x14ac:dyDescent="0.35">
      <c r="A727" s="116"/>
      <c r="B727" s="116"/>
      <c r="C727" s="116"/>
      <c r="D727" s="117"/>
      <c r="E727" s="118"/>
      <c r="F727" s="118"/>
      <c r="G727" s="119"/>
    </row>
    <row r="728" spans="1:7" x14ac:dyDescent="0.35">
      <c r="A728" s="116"/>
      <c r="B728" s="116"/>
      <c r="C728" s="116"/>
      <c r="D728" s="117"/>
      <c r="E728" s="118"/>
      <c r="F728" s="118"/>
      <c r="G728" s="119"/>
    </row>
    <row r="729" spans="1:7" x14ac:dyDescent="0.35">
      <c r="A729" s="116"/>
      <c r="B729" s="116"/>
      <c r="C729" s="116"/>
      <c r="D729" s="117"/>
      <c r="E729" s="118"/>
      <c r="F729" s="118"/>
      <c r="G729" s="119"/>
    </row>
    <row r="730" spans="1:7" x14ac:dyDescent="0.35">
      <c r="A730" s="116"/>
      <c r="B730" s="116"/>
      <c r="C730" s="116"/>
      <c r="D730" s="117"/>
      <c r="E730" s="118"/>
      <c r="F730" s="118"/>
      <c r="G730" s="119"/>
    </row>
    <row r="731" spans="1:7" x14ac:dyDescent="0.35">
      <c r="A731" s="116"/>
      <c r="B731" s="116"/>
      <c r="C731" s="116"/>
      <c r="D731" s="117"/>
      <c r="E731" s="118"/>
      <c r="F731" s="118"/>
      <c r="G731" s="119"/>
    </row>
    <row r="732" spans="1:7" x14ac:dyDescent="0.35">
      <c r="A732" s="116"/>
      <c r="B732" s="116"/>
      <c r="C732" s="116"/>
      <c r="D732" s="117"/>
      <c r="E732" s="118"/>
      <c r="F732" s="118"/>
      <c r="G732" s="119"/>
    </row>
    <row r="733" spans="1:7" x14ac:dyDescent="0.35">
      <c r="A733" s="116"/>
      <c r="B733" s="116"/>
      <c r="C733" s="116"/>
      <c r="D733" s="117"/>
      <c r="E733" s="118"/>
      <c r="F733" s="118"/>
      <c r="G733" s="119"/>
    </row>
    <row r="734" spans="1:7" x14ac:dyDescent="0.35">
      <c r="A734" s="116"/>
      <c r="B734" s="116"/>
      <c r="C734" s="116"/>
      <c r="D734" s="117"/>
      <c r="E734" s="118"/>
      <c r="F734" s="118"/>
      <c r="G734" s="119"/>
    </row>
    <row r="735" spans="1:7" x14ac:dyDescent="0.35">
      <c r="A735" s="116"/>
      <c r="B735" s="116"/>
      <c r="C735" s="116"/>
      <c r="D735" s="117"/>
      <c r="E735" s="118"/>
      <c r="F735" s="118"/>
      <c r="G735" s="119"/>
    </row>
    <row r="736" spans="1:7" x14ac:dyDescent="0.35">
      <c r="A736" s="116"/>
      <c r="B736" s="116"/>
      <c r="C736" s="116"/>
      <c r="D736" s="117"/>
      <c r="E736" s="118"/>
      <c r="F736" s="118"/>
      <c r="G736" s="119"/>
    </row>
    <row r="737" spans="1:7" x14ac:dyDescent="0.35">
      <c r="A737" s="116"/>
      <c r="B737" s="116"/>
      <c r="C737" s="116"/>
      <c r="D737" s="117"/>
      <c r="E737" s="118"/>
      <c r="F737" s="118"/>
      <c r="G737" s="119"/>
    </row>
    <row r="738" spans="1:7" x14ac:dyDescent="0.35">
      <c r="A738" s="116"/>
      <c r="B738" s="116"/>
      <c r="C738" s="116"/>
      <c r="D738" s="117"/>
      <c r="E738" s="118"/>
      <c r="F738" s="118"/>
      <c r="G738" s="119"/>
    </row>
    <row r="739" spans="1:7" x14ac:dyDescent="0.35">
      <c r="A739" s="116"/>
      <c r="B739" s="116"/>
      <c r="C739" s="116"/>
      <c r="D739" s="117"/>
      <c r="E739" s="118"/>
      <c r="F739" s="118"/>
      <c r="G739" s="119"/>
    </row>
    <row r="740" spans="1:7" x14ac:dyDescent="0.35">
      <c r="A740" s="116"/>
      <c r="B740" s="116"/>
      <c r="C740" s="116"/>
      <c r="D740" s="117"/>
      <c r="E740" s="118"/>
      <c r="F740" s="118"/>
      <c r="G740" s="119"/>
    </row>
    <row r="741" spans="1:7" x14ac:dyDescent="0.35">
      <c r="A741" s="116"/>
      <c r="B741" s="116"/>
      <c r="C741" s="116"/>
      <c r="D741" s="117"/>
      <c r="E741" s="118"/>
      <c r="F741" s="118"/>
      <c r="G741" s="119"/>
    </row>
    <row r="742" spans="1:7" x14ac:dyDescent="0.35">
      <c r="A742" s="116"/>
      <c r="B742" s="116"/>
      <c r="C742" s="116"/>
      <c r="D742" s="117"/>
      <c r="E742" s="118"/>
      <c r="F742" s="118"/>
      <c r="G742" s="119"/>
    </row>
    <row r="743" spans="1:7" x14ac:dyDescent="0.35">
      <c r="A743" s="116"/>
      <c r="B743" s="116"/>
      <c r="C743" s="116"/>
      <c r="D743" s="117"/>
      <c r="E743" s="118"/>
      <c r="F743" s="118"/>
      <c r="G743" s="119"/>
    </row>
    <row r="744" spans="1:7" x14ac:dyDescent="0.35">
      <c r="A744" s="116"/>
      <c r="B744" s="116"/>
      <c r="C744" s="116"/>
      <c r="D744" s="117"/>
      <c r="E744" s="118"/>
      <c r="F744" s="118"/>
      <c r="G744" s="119"/>
    </row>
    <row r="745" spans="1:7" x14ac:dyDescent="0.35">
      <c r="A745" s="116"/>
      <c r="B745" s="116"/>
      <c r="C745" s="116"/>
      <c r="D745" s="117"/>
      <c r="E745" s="118"/>
      <c r="F745" s="118"/>
      <c r="G745" s="119"/>
    </row>
    <row r="746" spans="1:7" x14ac:dyDescent="0.35">
      <c r="A746" s="116"/>
      <c r="B746" s="116"/>
      <c r="C746" s="116"/>
      <c r="D746" s="117"/>
      <c r="E746" s="118"/>
      <c r="F746" s="118"/>
      <c r="G746" s="119"/>
    </row>
    <row r="747" spans="1:7" x14ac:dyDescent="0.35">
      <c r="A747" s="116"/>
      <c r="B747" s="116"/>
      <c r="C747" s="116"/>
      <c r="D747" s="117"/>
      <c r="E747" s="118"/>
      <c r="F747" s="118"/>
      <c r="G747" s="119"/>
    </row>
    <row r="748" spans="1:7" x14ac:dyDescent="0.35">
      <c r="A748" s="116"/>
      <c r="B748" s="116"/>
      <c r="C748" s="116"/>
      <c r="D748" s="117"/>
      <c r="E748" s="118"/>
      <c r="F748" s="118"/>
      <c r="G748" s="119"/>
    </row>
    <row r="749" spans="1:7" x14ac:dyDescent="0.35">
      <c r="A749" s="116"/>
      <c r="B749" s="116"/>
      <c r="C749" s="116"/>
      <c r="D749" s="117"/>
      <c r="E749" s="118"/>
      <c r="F749" s="118"/>
      <c r="G749" s="119"/>
    </row>
    <row r="750" spans="1:7" x14ac:dyDescent="0.35">
      <c r="A750" s="116"/>
      <c r="B750" s="116"/>
      <c r="C750" s="116"/>
      <c r="D750" s="117"/>
      <c r="E750" s="118"/>
      <c r="F750" s="118"/>
      <c r="G750" s="119"/>
    </row>
    <row r="751" spans="1:7" x14ac:dyDescent="0.35">
      <c r="A751" s="116"/>
      <c r="B751" s="116"/>
      <c r="C751" s="116"/>
      <c r="D751" s="117"/>
      <c r="E751" s="118"/>
      <c r="F751" s="118"/>
      <c r="G751" s="119"/>
    </row>
    <row r="752" spans="1:7" x14ac:dyDescent="0.35">
      <c r="A752" s="116"/>
      <c r="B752" s="116"/>
      <c r="C752" s="116"/>
      <c r="D752" s="117"/>
      <c r="E752" s="118"/>
      <c r="F752" s="118"/>
      <c r="G752" s="119"/>
    </row>
    <row r="753" spans="1:7" x14ac:dyDescent="0.35">
      <c r="A753" s="116"/>
      <c r="B753" s="116"/>
      <c r="C753" s="116"/>
      <c r="D753" s="117"/>
      <c r="E753" s="118"/>
      <c r="F753" s="118"/>
      <c r="G753" s="119"/>
    </row>
    <row r="754" spans="1:7" x14ac:dyDescent="0.35">
      <c r="A754" s="116"/>
      <c r="B754" s="116"/>
      <c r="C754" s="116"/>
      <c r="D754" s="117"/>
      <c r="E754" s="118"/>
      <c r="F754" s="118"/>
      <c r="G754" s="119"/>
    </row>
    <row r="755" spans="1:7" x14ac:dyDescent="0.35">
      <c r="A755" s="116"/>
      <c r="B755" s="116"/>
      <c r="C755" s="116"/>
      <c r="D755" s="117"/>
      <c r="E755" s="118"/>
      <c r="F755" s="118"/>
      <c r="G755" s="119"/>
    </row>
    <row r="756" spans="1:7" x14ac:dyDescent="0.35">
      <c r="A756" s="116"/>
      <c r="B756" s="116"/>
      <c r="C756" s="116"/>
      <c r="D756" s="117"/>
      <c r="E756" s="118"/>
      <c r="F756" s="118"/>
      <c r="G756" s="119"/>
    </row>
    <row r="757" spans="1:7" x14ac:dyDescent="0.35">
      <c r="A757" s="116"/>
      <c r="B757" s="116"/>
      <c r="C757" s="116"/>
      <c r="D757" s="117"/>
      <c r="E757" s="118"/>
      <c r="F757" s="118"/>
      <c r="G757" s="119"/>
    </row>
    <row r="758" spans="1:7" x14ac:dyDescent="0.35">
      <c r="A758" s="116"/>
      <c r="B758" s="116"/>
      <c r="C758" s="116"/>
      <c r="D758" s="117"/>
      <c r="E758" s="118"/>
      <c r="F758" s="118"/>
      <c r="G758" s="119"/>
    </row>
    <row r="759" spans="1:7" x14ac:dyDescent="0.35">
      <c r="A759" s="116"/>
      <c r="B759" s="116"/>
      <c r="C759" s="116"/>
      <c r="D759" s="117"/>
      <c r="E759" s="118"/>
      <c r="F759" s="118"/>
      <c r="G759" s="119"/>
    </row>
    <row r="760" spans="1:7" x14ac:dyDescent="0.35">
      <c r="A760" s="116"/>
      <c r="B760" s="116"/>
      <c r="C760" s="116"/>
      <c r="D760" s="117"/>
      <c r="E760" s="118"/>
      <c r="F760" s="118"/>
      <c r="G760" s="119"/>
    </row>
    <row r="761" spans="1:7" x14ac:dyDescent="0.35">
      <c r="A761" s="116"/>
      <c r="B761" s="116"/>
      <c r="C761" s="116"/>
      <c r="D761" s="117"/>
      <c r="E761" s="118"/>
      <c r="F761" s="118"/>
      <c r="G761" s="119"/>
    </row>
    <row r="762" spans="1:7" x14ac:dyDescent="0.35">
      <c r="A762" s="116"/>
      <c r="B762" s="116"/>
      <c r="C762" s="116"/>
      <c r="D762" s="117"/>
      <c r="E762" s="118"/>
      <c r="F762" s="118"/>
      <c r="G762" s="119"/>
    </row>
    <row r="763" spans="1:7" x14ac:dyDescent="0.35">
      <c r="A763" s="116"/>
      <c r="B763" s="116"/>
      <c r="C763" s="116"/>
      <c r="D763" s="117"/>
      <c r="E763" s="118"/>
      <c r="F763" s="118"/>
      <c r="G763" s="119"/>
    </row>
    <row r="764" spans="1:7" x14ac:dyDescent="0.35">
      <c r="A764" s="116"/>
      <c r="B764" s="116"/>
      <c r="C764" s="116"/>
      <c r="D764" s="117"/>
      <c r="E764" s="118"/>
      <c r="F764" s="118"/>
      <c r="G764" s="119"/>
    </row>
    <row r="765" spans="1:7" x14ac:dyDescent="0.35">
      <c r="A765" s="116"/>
      <c r="B765" s="116"/>
      <c r="C765" s="116"/>
      <c r="D765" s="117"/>
      <c r="E765" s="118"/>
      <c r="F765" s="118"/>
      <c r="G765" s="119"/>
    </row>
    <row r="766" spans="1:7" x14ac:dyDescent="0.35">
      <c r="A766" s="116"/>
      <c r="B766" s="116"/>
      <c r="C766" s="116"/>
      <c r="D766" s="117"/>
      <c r="E766" s="118"/>
      <c r="F766" s="118"/>
      <c r="G766" s="119"/>
    </row>
    <row r="767" spans="1:7" x14ac:dyDescent="0.35">
      <c r="A767" s="116"/>
      <c r="B767" s="116"/>
      <c r="C767" s="116"/>
      <c r="D767" s="117"/>
      <c r="E767" s="118"/>
      <c r="F767" s="118"/>
      <c r="G767" s="119"/>
    </row>
    <row r="768" spans="1:7" x14ac:dyDescent="0.35">
      <c r="A768" s="116"/>
      <c r="B768" s="116"/>
      <c r="C768" s="116"/>
      <c r="D768" s="117"/>
      <c r="E768" s="118"/>
      <c r="F768" s="118"/>
      <c r="G768" s="119"/>
    </row>
    <row r="769" spans="1:7" x14ac:dyDescent="0.35">
      <c r="A769" s="116"/>
      <c r="B769" s="116"/>
      <c r="C769" s="116"/>
      <c r="D769" s="117"/>
      <c r="E769" s="118"/>
      <c r="F769" s="118"/>
      <c r="G769" s="119"/>
    </row>
    <row r="770" spans="1:7" x14ac:dyDescent="0.35">
      <c r="A770" s="116"/>
      <c r="B770" s="116"/>
      <c r="C770" s="116"/>
      <c r="D770" s="117"/>
      <c r="E770" s="118"/>
      <c r="F770" s="118"/>
      <c r="G770" s="119"/>
    </row>
    <row r="771" spans="1:7" x14ac:dyDescent="0.35">
      <c r="A771" s="116"/>
      <c r="B771" s="116"/>
      <c r="C771" s="116"/>
      <c r="D771" s="117"/>
      <c r="E771" s="118"/>
      <c r="F771" s="118"/>
      <c r="G771" s="119"/>
    </row>
    <row r="772" spans="1:7" x14ac:dyDescent="0.35">
      <c r="A772" s="116"/>
      <c r="B772" s="116"/>
      <c r="C772" s="116"/>
      <c r="D772" s="117"/>
      <c r="E772" s="118"/>
      <c r="F772" s="118"/>
      <c r="G772" s="119"/>
    </row>
    <row r="773" spans="1:7" x14ac:dyDescent="0.35">
      <c r="A773" s="116"/>
      <c r="B773" s="116"/>
      <c r="C773" s="116"/>
      <c r="D773" s="117"/>
      <c r="E773" s="118"/>
      <c r="F773" s="118"/>
      <c r="G773" s="119"/>
    </row>
    <row r="774" spans="1:7" x14ac:dyDescent="0.35">
      <c r="A774" s="116"/>
      <c r="B774" s="116"/>
      <c r="C774" s="116"/>
      <c r="D774" s="117"/>
      <c r="E774" s="118"/>
      <c r="F774" s="118"/>
      <c r="G774" s="119"/>
    </row>
    <row r="775" spans="1:7" x14ac:dyDescent="0.35">
      <c r="A775" s="116"/>
      <c r="B775" s="116"/>
      <c r="C775" s="116"/>
      <c r="D775" s="117"/>
      <c r="E775" s="118"/>
      <c r="F775" s="118"/>
      <c r="G775" s="119"/>
    </row>
    <row r="776" spans="1:7" x14ac:dyDescent="0.35">
      <c r="A776" s="116"/>
      <c r="B776" s="116"/>
      <c r="C776" s="116"/>
      <c r="D776" s="117"/>
      <c r="E776" s="118"/>
      <c r="F776" s="118"/>
      <c r="G776" s="119"/>
    </row>
    <row r="777" spans="1:7" x14ac:dyDescent="0.35">
      <c r="A777" s="116"/>
      <c r="B777" s="116"/>
      <c r="C777" s="116"/>
      <c r="D777" s="117"/>
      <c r="E777" s="118"/>
      <c r="F777" s="118"/>
      <c r="G777" s="119"/>
    </row>
    <row r="778" spans="1:7" x14ac:dyDescent="0.35">
      <c r="A778" s="116"/>
      <c r="B778" s="116"/>
      <c r="C778" s="116"/>
      <c r="D778" s="117"/>
      <c r="E778" s="118"/>
      <c r="F778" s="118"/>
      <c r="G778" s="119"/>
    </row>
    <row r="779" spans="1:7" x14ac:dyDescent="0.35">
      <c r="A779" s="116"/>
      <c r="B779" s="116"/>
      <c r="C779" s="116"/>
      <c r="D779" s="117"/>
      <c r="E779" s="118"/>
      <c r="F779" s="118"/>
      <c r="G779" s="119"/>
    </row>
    <row r="780" spans="1:7" x14ac:dyDescent="0.35">
      <c r="A780" s="116"/>
      <c r="B780" s="116"/>
      <c r="C780" s="116"/>
      <c r="D780" s="117"/>
      <c r="E780" s="118"/>
      <c r="F780" s="118"/>
      <c r="G780" s="119"/>
    </row>
    <row r="781" spans="1:7" x14ac:dyDescent="0.35">
      <c r="A781" s="116"/>
      <c r="B781" s="116"/>
      <c r="C781" s="116"/>
      <c r="D781" s="117"/>
      <c r="E781" s="118"/>
      <c r="F781" s="118"/>
      <c r="G781" s="119"/>
    </row>
    <row r="782" spans="1:7" x14ac:dyDescent="0.35">
      <c r="A782" s="116"/>
      <c r="B782" s="116"/>
      <c r="C782" s="116"/>
      <c r="D782" s="117"/>
      <c r="E782" s="118"/>
      <c r="F782" s="118"/>
      <c r="G782" s="119"/>
    </row>
    <row r="783" spans="1:7" x14ac:dyDescent="0.35">
      <c r="A783" s="116"/>
      <c r="B783" s="116"/>
      <c r="C783" s="116"/>
      <c r="D783" s="117"/>
      <c r="E783" s="118"/>
      <c r="F783" s="118"/>
      <c r="G783" s="119"/>
    </row>
    <row r="784" spans="1:7" x14ac:dyDescent="0.35">
      <c r="A784" s="116"/>
      <c r="B784" s="116"/>
      <c r="C784" s="116"/>
      <c r="D784" s="117"/>
      <c r="E784" s="118"/>
      <c r="F784" s="118"/>
      <c r="G784" s="119"/>
    </row>
    <row r="785" spans="1:7" x14ac:dyDescent="0.35">
      <c r="A785" s="116"/>
      <c r="B785" s="116"/>
      <c r="C785" s="116"/>
      <c r="D785" s="117"/>
      <c r="E785" s="118"/>
      <c r="F785" s="118"/>
      <c r="G785" s="119"/>
    </row>
    <row r="786" spans="1:7" x14ac:dyDescent="0.35">
      <c r="A786" s="116"/>
      <c r="B786" s="116"/>
      <c r="C786" s="116"/>
      <c r="D786" s="117"/>
      <c r="E786" s="118"/>
      <c r="F786" s="118"/>
      <c r="G786" s="119"/>
    </row>
    <row r="787" spans="1:7" x14ac:dyDescent="0.35">
      <c r="A787" s="116"/>
      <c r="B787" s="116"/>
      <c r="C787" s="116"/>
      <c r="D787" s="117"/>
      <c r="E787" s="118"/>
      <c r="F787" s="118"/>
      <c r="G787" s="119"/>
    </row>
    <row r="788" spans="1:7" x14ac:dyDescent="0.35">
      <c r="A788" s="116"/>
      <c r="B788" s="116"/>
      <c r="C788" s="116"/>
      <c r="D788" s="117"/>
      <c r="E788" s="118"/>
      <c r="F788" s="118"/>
      <c r="G788" s="119"/>
    </row>
    <row r="789" spans="1:7" x14ac:dyDescent="0.35">
      <c r="A789" s="116"/>
      <c r="B789" s="116"/>
      <c r="C789" s="116"/>
      <c r="D789" s="117"/>
      <c r="E789" s="118"/>
      <c r="F789" s="118"/>
      <c r="G789" s="119"/>
    </row>
    <row r="790" spans="1:7" x14ac:dyDescent="0.35">
      <c r="A790" s="116"/>
      <c r="B790" s="116"/>
      <c r="C790" s="116"/>
      <c r="D790" s="117"/>
      <c r="E790" s="118"/>
      <c r="F790" s="118"/>
      <c r="G790" s="119"/>
    </row>
    <row r="791" spans="1:7" x14ac:dyDescent="0.35">
      <c r="A791" s="116"/>
      <c r="B791" s="116"/>
      <c r="C791" s="116"/>
      <c r="D791" s="117"/>
      <c r="E791" s="118"/>
      <c r="F791" s="118"/>
      <c r="G791" s="119"/>
    </row>
    <row r="792" spans="1:7" x14ac:dyDescent="0.35">
      <c r="A792" s="116"/>
      <c r="B792" s="116"/>
      <c r="C792" s="116"/>
      <c r="D792" s="117"/>
      <c r="E792" s="118"/>
      <c r="F792" s="118"/>
      <c r="G792" s="119"/>
    </row>
    <row r="793" spans="1:7" x14ac:dyDescent="0.35">
      <c r="A793" s="116"/>
      <c r="B793" s="116"/>
      <c r="C793" s="116"/>
      <c r="D793" s="117"/>
      <c r="E793" s="118"/>
      <c r="F793" s="118"/>
      <c r="G793" s="119"/>
    </row>
    <row r="794" spans="1:7" x14ac:dyDescent="0.35">
      <c r="A794" s="116"/>
      <c r="B794" s="116"/>
      <c r="C794" s="116"/>
      <c r="D794" s="117"/>
      <c r="E794" s="118"/>
      <c r="F794" s="118"/>
      <c r="G794" s="119"/>
    </row>
    <row r="795" spans="1:7" x14ac:dyDescent="0.35">
      <c r="A795" s="116"/>
      <c r="B795" s="116"/>
      <c r="C795" s="116"/>
      <c r="D795" s="117"/>
      <c r="E795" s="118"/>
      <c r="F795" s="118"/>
      <c r="G795" s="119"/>
    </row>
    <row r="796" spans="1:7" x14ac:dyDescent="0.35">
      <c r="A796" s="116"/>
      <c r="B796" s="116"/>
      <c r="C796" s="116"/>
      <c r="D796" s="117"/>
      <c r="E796" s="118"/>
      <c r="F796" s="118"/>
      <c r="G796" s="119"/>
    </row>
    <row r="797" spans="1:7" x14ac:dyDescent="0.35">
      <c r="A797" s="116"/>
      <c r="B797" s="116"/>
      <c r="C797" s="116"/>
      <c r="D797" s="117"/>
      <c r="E797" s="118"/>
      <c r="F797" s="118"/>
      <c r="G797" s="119"/>
    </row>
    <row r="798" spans="1:7" x14ac:dyDescent="0.35">
      <c r="A798" s="116"/>
      <c r="B798" s="116"/>
      <c r="C798" s="116"/>
      <c r="D798" s="117"/>
      <c r="E798" s="118"/>
      <c r="F798" s="118"/>
      <c r="G798" s="119"/>
    </row>
    <row r="799" spans="1:7" x14ac:dyDescent="0.35">
      <c r="A799" s="116"/>
      <c r="B799" s="116"/>
      <c r="C799" s="116"/>
      <c r="D799" s="117"/>
      <c r="E799" s="118"/>
      <c r="F799" s="118"/>
      <c r="G799" s="119"/>
    </row>
    <row r="800" spans="1:7" x14ac:dyDescent="0.35">
      <c r="A800" s="116"/>
      <c r="B800" s="116"/>
      <c r="C800" s="116"/>
      <c r="D800" s="117"/>
      <c r="E800" s="118"/>
      <c r="F800" s="118"/>
      <c r="G800" s="119"/>
    </row>
    <row r="801" spans="1:7" x14ac:dyDescent="0.35">
      <c r="A801" s="116"/>
      <c r="B801" s="116"/>
      <c r="C801" s="116"/>
      <c r="D801" s="117"/>
      <c r="E801" s="118"/>
      <c r="F801" s="118"/>
      <c r="G801" s="119"/>
    </row>
    <row r="802" spans="1:7" x14ac:dyDescent="0.35">
      <c r="A802" s="116"/>
      <c r="B802" s="116"/>
      <c r="C802" s="116"/>
      <c r="D802" s="117"/>
      <c r="E802" s="118"/>
      <c r="F802" s="118"/>
      <c r="G802" s="119"/>
    </row>
    <row r="803" spans="1:7" x14ac:dyDescent="0.35">
      <c r="A803" s="116"/>
      <c r="B803" s="116"/>
      <c r="C803" s="116"/>
      <c r="D803" s="117"/>
      <c r="E803" s="118"/>
      <c r="F803" s="118"/>
      <c r="G803" s="119"/>
    </row>
    <row r="804" spans="1:7" x14ac:dyDescent="0.35">
      <c r="A804" s="116"/>
      <c r="B804" s="116"/>
      <c r="C804" s="116"/>
      <c r="D804" s="117"/>
      <c r="E804" s="118"/>
      <c r="F804" s="118"/>
      <c r="G804" s="119"/>
    </row>
    <row r="805" spans="1:7" x14ac:dyDescent="0.35">
      <c r="A805" s="116"/>
      <c r="B805" s="116"/>
      <c r="C805" s="116"/>
      <c r="D805" s="117"/>
      <c r="E805" s="118"/>
      <c r="F805" s="118"/>
      <c r="G805" s="119"/>
    </row>
    <row r="806" spans="1:7" x14ac:dyDescent="0.35">
      <c r="A806" s="116"/>
      <c r="B806" s="116"/>
      <c r="C806" s="116"/>
      <c r="D806" s="117"/>
      <c r="E806" s="118"/>
      <c r="F806" s="118"/>
      <c r="G806" s="119"/>
    </row>
    <row r="807" spans="1:7" x14ac:dyDescent="0.35">
      <c r="A807" s="116"/>
      <c r="B807" s="116"/>
      <c r="C807" s="116"/>
      <c r="D807" s="117"/>
      <c r="E807" s="118"/>
      <c r="F807" s="118"/>
      <c r="G807" s="119"/>
    </row>
    <row r="808" spans="1:7" x14ac:dyDescent="0.35">
      <c r="A808" s="116"/>
      <c r="B808" s="116"/>
      <c r="C808" s="116"/>
      <c r="D808" s="117"/>
      <c r="E808" s="118"/>
      <c r="F808" s="118"/>
      <c r="G808" s="119"/>
    </row>
    <row r="809" spans="1:7" x14ac:dyDescent="0.35">
      <c r="A809" s="116"/>
      <c r="B809" s="116"/>
      <c r="C809" s="116"/>
      <c r="D809" s="117"/>
      <c r="E809" s="118"/>
      <c r="F809" s="118"/>
      <c r="G809" s="119"/>
    </row>
    <row r="810" spans="1:7" x14ac:dyDescent="0.35">
      <c r="A810" s="116"/>
      <c r="B810" s="116"/>
      <c r="C810" s="116"/>
      <c r="D810" s="117"/>
      <c r="E810" s="118"/>
      <c r="F810" s="118"/>
      <c r="G810" s="119"/>
    </row>
    <row r="811" spans="1:7" x14ac:dyDescent="0.35">
      <c r="A811" s="116"/>
      <c r="B811" s="116"/>
      <c r="C811" s="116"/>
      <c r="D811" s="117"/>
      <c r="E811" s="118"/>
      <c r="F811" s="118"/>
      <c r="G811" s="119"/>
    </row>
    <row r="812" spans="1:7" x14ac:dyDescent="0.35">
      <c r="A812" s="116"/>
      <c r="B812" s="116"/>
      <c r="C812" s="116"/>
      <c r="D812" s="117"/>
      <c r="E812" s="118"/>
      <c r="F812" s="118"/>
      <c r="G812" s="119"/>
    </row>
    <row r="813" spans="1:7" x14ac:dyDescent="0.35">
      <c r="A813" s="116"/>
      <c r="B813" s="116"/>
      <c r="C813" s="116"/>
      <c r="D813" s="117"/>
      <c r="E813" s="118"/>
      <c r="F813" s="118"/>
      <c r="G813" s="119"/>
    </row>
    <row r="814" spans="1:7" x14ac:dyDescent="0.35">
      <c r="A814" s="116"/>
      <c r="B814" s="116"/>
      <c r="C814" s="116"/>
      <c r="D814" s="117"/>
      <c r="E814" s="118"/>
      <c r="F814" s="118"/>
      <c r="G814" s="119"/>
    </row>
    <row r="815" spans="1:7" x14ac:dyDescent="0.35">
      <c r="A815" s="116"/>
      <c r="B815" s="116"/>
      <c r="C815" s="116"/>
      <c r="D815" s="117"/>
      <c r="E815" s="118"/>
      <c r="F815" s="118"/>
      <c r="G815" s="119"/>
    </row>
    <row r="816" spans="1:7" x14ac:dyDescent="0.35">
      <c r="A816" s="116"/>
      <c r="B816" s="116"/>
      <c r="C816" s="116"/>
      <c r="D816" s="117"/>
      <c r="E816" s="118"/>
      <c r="F816" s="118"/>
      <c r="G816" s="119"/>
    </row>
    <row r="817" spans="1:7" x14ac:dyDescent="0.35">
      <c r="A817" s="116"/>
      <c r="B817" s="116"/>
      <c r="C817" s="116"/>
      <c r="D817" s="117"/>
      <c r="E817" s="118"/>
      <c r="F817" s="118"/>
      <c r="G817" s="119"/>
    </row>
    <row r="818" spans="1:7" x14ac:dyDescent="0.35">
      <c r="A818" s="116"/>
      <c r="B818" s="116"/>
      <c r="C818" s="116"/>
      <c r="D818" s="117"/>
      <c r="E818" s="118"/>
      <c r="F818" s="118"/>
      <c r="G818" s="119"/>
    </row>
    <row r="819" spans="1:7" x14ac:dyDescent="0.35">
      <c r="A819" s="116"/>
      <c r="B819" s="116"/>
      <c r="C819" s="116"/>
      <c r="D819" s="117"/>
      <c r="E819" s="118"/>
      <c r="F819" s="118"/>
      <c r="G819" s="119"/>
    </row>
    <row r="820" spans="1:7" x14ac:dyDescent="0.35">
      <c r="A820" s="116"/>
      <c r="B820" s="116"/>
      <c r="C820" s="116"/>
      <c r="D820" s="117"/>
      <c r="E820" s="118"/>
      <c r="F820" s="118"/>
      <c r="G820" s="119"/>
    </row>
    <row r="821" spans="1:7" x14ac:dyDescent="0.35">
      <c r="A821" s="116"/>
      <c r="B821" s="116"/>
      <c r="C821" s="116"/>
      <c r="D821" s="117"/>
      <c r="E821" s="118"/>
      <c r="F821" s="118"/>
      <c r="G821" s="119"/>
    </row>
    <row r="822" spans="1:7" x14ac:dyDescent="0.35">
      <c r="A822" s="116"/>
      <c r="B822" s="116"/>
      <c r="C822" s="116"/>
      <c r="D822" s="117"/>
      <c r="E822" s="118"/>
      <c r="F822" s="118"/>
      <c r="G822" s="119"/>
    </row>
    <row r="823" spans="1:7" x14ac:dyDescent="0.35">
      <c r="A823" s="116"/>
      <c r="B823" s="116"/>
      <c r="C823" s="116"/>
      <c r="D823" s="117"/>
      <c r="E823" s="118"/>
      <c r="F823" s="118"/>
      <c r="G823" s="119"/>
    </row>
    <row r="824" spans="1:7" x14ac:dyDescent="0.35">
      <c r="A824" s="116"/>
      <c r="B824" s="116"/>
      <c r="C824" s="116"/>
      <c r="D824" s="117"/>
      <c r="E824" s="118"/>
      <c r="F824" s="118"/>
      <c r="G824" s="119"/>
    </row>
    <row r="825" spans="1:7" x14ac:dyDescent="0.35">
      <c r="A825" s="116"/>
      <c r="B825" s="116"/>
      <c r="C825" s="116"/>
      <c r="D825" s="117"/>
      <c r="E825" s="118"/>
      <c r="F825" s="118"/>
      <c r="G825" s="119"/>
    </row>
    <row r="826" spans="1:7" x14ac:dyDescent="0.35">
      <c r="A826" s="116"/>
      <c r="B826" s="116"/>
      <c r="C826" s="116"/>
      <c r="D826" s="117"/>
      <c r="E826" s="118"/>
      <c r="F826" s="118"/>
      <c r="G826" s="119"/>
    </row>
    <row r="827" spans="1:7" x14ac:dyDescent="0.35">
      <c r="A827" s="116"/>
      <c r="B827" s="116"/>
      <c r="C827" s="116"/>
      <c r="D827" s="117"/>
      <c r="E827" s="118"/>
      <c r="F827" s="118"/>
      <c r="G827" s="119"/>
    </row>
    <row r="828" spans="1:7" x14ac:dyDescent="0.35">
      <c r="A828" s="116"/>
      <c r="B828" s="116"/>
      <c r="C828" s="116"/>
      <c r="D828" s="117"/>
      <c r="E828" s="118"/>
      <c r="F828" s="118"/>
      <c r="G828" s="119"/>
    </row>
    <row r="829" spans="1:7" x14ac:dyDescent="0.35">
      <c r="A829" s="116"/>
      <c r="B829" s="116"/>
      <c r="C829" s="116"/>
      <c r="D829" s="117"/>
      <c r="E829" s="118"/>
      <c r="F829" s="118"/>
      <c r="G829" s="119"/>
    </row>
    <row r="830" spans="1:7" x14ac:dyDescent="0.35">
      <c r="A830" s="116"/>
      <c r="B830" s="116"/>
      <c r="C830" s="116"/>
      <c r="D830" s="117"/>
      <c r="E830" s="118"/>
      <c r="F830" s="118"/>
      <c r="G830" s="119"/>
    </row>
    <row r="831" spans="1:7" x14ac:dyDescent="0.35">
      <c r="A831" s="116"/>
      <c r="B831" s="116"/>
      <c r="C831" s="116"/>
      <c r="D831" s="117"/>
      <c r="E831" s="118"/>
      <c r="F831" s="118"/>
      <c r="G831" s="119"/>
    </row>
    <row r="832" spans="1:7" x14ac:dyDescent="0.35">
      <c r="A832" s="116"/>
      <c r="B832" s="116"/>
      <c r="C832" s="116"/>
      <c r="D832" s="117"/>
      <c r="E832" s="118"/>
      <c r="F832" s="118"/>
      <c r="G832" s="119"/>
    </row>
    <row r="833" spans="1:7" x14ac:dyDescent="0.35">
      <c r="A833" s="116"/>
      <c r="B833" s="116"/>
      <c r="C833" s="116"/>
      <c r="D833" s="117"/>
      <c r="E833" s="118"/>
      <c r="F833" s="118"/>
      <c r="G833" s="119"/>
    </row>
    <row r="834" spans="1:7" x14ac:dyDescent="0.35">
      <c r="A834" s="116"/>
      <c r="B834" s="116"/>
      <c r="C834" s="116"/>
      <c r="D834" s="117"/>
      <c r="E834" s="118"/>
      <c r="F834" s="118"/>
      <c r="G834" s="119"/>
    </row>
    <row r="835" spans="1:7" x14ac:dyDescent="0.35">
      <c r="A835" s="116"/>
      <c r="B835" s="116"/>
      <c r="C835" s="116"/>
      <c r="D835" s="117"/>
      <c r="E835" s="118"/>
      <c r="F835" s="118"/>
      <c r="G835" s="119"/>
    </row>
    <row r="836" spans="1:7" x14ac:dyDescent="0.35">
      <c r="A836" s="116"/>
      <c r="B836" s="116"/>
      <c r="C836" s="116"/>
      <c r="D836" s="117"/>
      <c r="E836" s="118"/>
      <c r="F836" s="118"/>
      <c r="G836" s="119"/>
    </row>
    <row r="837" spans="1:7" x14ac:dyDescent="0.35">
      <c r="A837" s="116"/>
      <c r="B837" s="116"/>
      <c r="C837" s="116"/>
      <c r="D837" s="117"/>
      <c r="E837" s="118"/>
      <c r="F837" s="118"/>
      <c r="G837" s="119"/>
    </row>
    <row r="838" spans="1:7" x14ac:dyDescent="0.35">
      <c r="A838" s="116"/>
      <c r="B838" s="116"/>
      <c r="C838" s="116"/>
      <c r="D838" s="117"/>
      <c r="E838" s="118"/>
      <c r="F838" s="118"/>
      <c r="G838" s="119"/>
    </row>
    <row r="839" spans="1:7" x14ac:dyDescent="0.35">
      <c r="A839" s="116"/>
      <c r="B839" s="116"/>
      <c r="C839" s="116"/>
      <c r="D839" s="117"/>
      <c r="E839" s="118"/>
      <c r="F839" s="118"/>
      <c r="G839" s="119"/>
    </row>
    <row r="840" spans="1:7" x14ac:dyDescent="0.35">
      <c r="A840" s="116"/>
      <c r="B840" s="116"/>
      <c r="C840" s="116"/>
      <c r="D840" s="117"/>
      <c r="E840" s="118"/>
      <c r="F840" s="118"/>
      <c r="G840" s="119"/>
    </row>
    <row r="841" spans="1:7" x14ac:dyDescent="0.35">
      <c r="A841" s="116"/>
      <c r="B841" s="116"/>
      <c r="C841" s="116"/>
      <c r="D841" s="117"/>
      <c r="E841" s="118"/>
      <c r="F841" s="118"/>
      <c r="G841" s="119"/>
    </row>
    <row r="842" spans="1:7" x14ac:dyDescent="0.35">
      <c r="A842" s="116"/>
      <c r="B842" s="116"/>
      <c r="C842" s="116"/>
      <c r="D842" s="117"/>
      <c r="E842" s="118"/>
      <c r="F842" s="118"/>
      <c r="G842" s="119"/>
    </row>
    <row r="843" spans="1:7" x14ac:dyDescent="0.35">
      <c r="A843" s="116"/>
      <c r="B843" s="116"/>
      <c r="C843" s="116"/>
      <c r="D843" s="117"/>
      <c r="E843" s="118"/>
      <c r="F843" s="118"/>
      <c r="G843" s="119"/>
    </row>
    <row r="844" spans="1:7" x14ac:dyDescent="0.35">
      <c r="A844" s="116"/>
      <c r="B844" s="116"/>
      <c r="C844" s="116"/>
      <c r="D844" s="117"/>
      <c r="E844" s="118"/>
      <c r="F844" s="118"/>
      <c r="G844" s="119"/>
    </row>
    <row r="845" spans="1:7" x14ac:dyDescent="0.35">
      <c r="A845" s="116"/>
      <c r="B845" s="116"/>
      <c r="C845" s="116"/>
      <c r="D845" s="117"/>
      <c r="E845" s="118"/>
      <c r="F845" s="118"/>
      <c r="G845" s="119"/>
    </row>
    <row r="846" spans="1:7" x14ac:dyDescent="0.35">
      <c r="A846" s="116"/>
      <c r="B846" s="116"/>
      <c r="C846" s="116"/>
      <c r="D846" s="117"/>
      <c r="E846" s="118"/>
      <c r="F846" s="118"/>
      <c r="G846" s="119"/>
    </row>
    <row r="847" spans="1:7" x14ac:dyDescent="0.35">
      <c r="A847" s="116"/>
      <c r="B847" s="116"/>
      <c r="C847" s="116"/>
      <c r="D847" s="117"/>
      <c r="E847" s="118"/>
      <c r="F847" s="118"/>
      <c r="G847" s="119"/>
    </row>
    <row r="848" spans="1:7" x14ac:dyDescent="0.35">
      <c r="A848" s="116"/>
      <c r="B848" s="116"/>
      <c r="C848" s="116"/>
      <c r="D848" s="117"/>
      <c r="E848" s="118"/>
      <c r="F848" s="118"/>
      <c r="G848" s="119"/>
    </row>
    <row r="849" spans="1:7" x14ac:dyDescent="0.35">
      <c r="A849" s="116"/>
      <c r="B849" s="116"/>
      <c r="C849" s="116"/>
      <c r="D849" s="117"/>
      <c r="E849" s="118"/>
      <c r="F849" s="118"/>
      <c r="G849" s="119"/>
    </row>
    <row r="850" spans="1:7" x14ac:dyDescent="0.35">
      <c r="A850" s="116"/>
      <c r="B850" s="116"/>
      <c r="C850" s="116"/>
      <c r="D850" s="117"/>
      <c r="E850" s="118"/>
      <c r="F850" s="118"/>
      <c r="G850" s="119"/>
    </row>
    <row r="851" spans="1:7" x14ac:dyDescent="0.35">
      <c r="A851" s="116"/>
      <c r="B851" s="116"/>
      <c r="C851" s="116"/>
      <c r="D851" s="117"/>
      <c r="E851" s="118"/>
      <c r="F851" s="118"/>
      <c r="G851" s="119"/>
    </row>
    <row r="852" spans="1:7" x14ac:dyDescent="0.35">
      <c r="A852" s="116"/>
      <c r="B852" s="116"/>
      <c r="C852" s="116"/>
      <c r="D852" s="117"/>
      <c r="E852" s="118"/>
      <c r="F852" s="118"/>
      <c r="G852" s="119"/>
    </row>
    <row r="853" spans="1:7" x14ac:dyDescent="0.35">
      <c r="A853" s="116"/>
      <c r="B853" s="116"/>
      <c r="C853" s="116"/>
      <c r="D853" s="117"/>
      <c r="E853" s="118"/>
      <c r="F853" s="118"/>
      <c r="G853" s="119"/>
    </row>
    <row r="854" spans="1:7" x14ac:dyDescent="0.35">
      <c r="A854" s="116"/>
      <c r="B854" s="116"/>
      <c r="C854" s="116"/>
      <c r="D854" s="117"/>
      <c r="E854" s="118"/>
      <c r="F854" s="118"/>
      <c r="G854" s="119"/>
    </row>
    <row r="855" spans="1:7" x14ac:dyDescent="0.35">
      <c r="A855" s="116"/>
      <c r="B855" s="116"/>
      <c r="C855" s="116"/>
      <c r="D855" s="117"/>
      <c r="E855" s="118"/>
      <c r="F855" s="118"/>
      <c r="G855" s="119"/>
    </row>
    <row r="856" spans="1:7" x14ac:dyDescent="0.35">
      <c r="A856" s="116"/>
      <c r="B856" s="116"/>
      <c r="C856" s="116"/>
      <c r="D856" s="117"/>
      <c r="E856" s="118"/>
      <c r="F856" s="118"/>
      <c r="G856" s="119"/>
    </row>
    <row r="857" spans="1:7" x14ac:dyDescent="0.35">
      <c r="A857" s="116"/>
      <c r="B857" s="116"/>
      <c r="C857" s="116"/>
      <c r="D857" s="117"/>
      <c r="E857" s="118"/>
      <c r="F857" s="118"/>
      <c r="G857" s="119"/>
    </row>
    <row r="858" spans="1:7" x14ac:dyDescent="0.35">
      <c r="A858" s="116"/>
      <c r="B858" s="116"/>
      <c r="C858" s="116"/>
      <c r="D858" s="117"/>
      <c r="E858" s="118"/>
      <c r="F858" s="118"/>
      <c r="G858" s="119"/>
    </row>
    <row r="859" spans="1:7" x14ac:dyDescent="0.35">
      <c r="A859" s="116"/>
      <c r="B859" s="116"/>
      <c r="C859" s="116"/>
      <c r="D859" s="117"/>
      <c r="E859" s="118"/>
      <c r="F859" s="118"/>
      <c r="G859" s="119"/>
    </row>
    <row r="860" spans="1:7" x14ac:dyDescent="0.35">
      <c r="A860" s="116"/>
      <c r="B860" s="116"/>
      <c r="C860" s="116"/>
      <c r="D860" s="117"/>
      <c r="E860" s="118"/>
      <c r="F860" s="118"/>
      <c r="G860" s="119"/>
    </row>
    <row r="861" spans="1:7" x14ac:dyDescent="0.35">
      <c r="A861" s="116"/>
      <c r="B861" s="116"/>
      <c r="C861" s="116"/>
      <c r="D861" s="117"/>
      <c r="E861" s="118"/>
      <c r="F861" s="118"/>
      <c r="G861" s="119"/>
    </row>
    <row r="862" spans="1:7" x14ac:dyDescent="0.35">
      <c r="A862" s="116"/>
      <c r="B862" s="116"/>
      <c r="C862" s="116"/>
      <c r="D862" s="117"/>
      <c r="E862" s="118"/>
      <c r="F862" s="118"/>
      <c r="G862" s="119"/>
    </row>
    <row r="863" spans="1:7" x14ac:dyDescent="0.35">
      <c r="A863" s="116"/>
      <c r="B863" s="116"/>
      <c r="C863" s="116"/>
      <c r="D863" s="117"/>
      <c r="E863" s="118"/>
      <c r="F863" s="118"/>
      <c r="G863" s="119"/>
    </row>
    <row r="864" spans="1:7" x14ac:dyDescent="0.35">
      <c r="A864" s="116"/>
      <c r="B864" s="116"/>
      <c r="C864" s="116"/>
      <c r="D864" s="117"/>
      <c r="E864" s="118"/>
      <c r="F864" s="118"/>
      <c r="G864" s="119"/>
    </row>
    <row r="865" spans="1:7" x14ac:dyDescent="0.35">
      <c r="A865" s="116"/>
      <c r="B865" s="116"/>
      <c r="C865" s="116"/>
      <c r="D865" s="117"/>
      <c r="E865" s="118"/>
      <c r="F865" s="118"/>
      <c r="G865" s="119"/>
    </row>
    <row r="866" spans="1:7" x14ac:dyDescent="0.35">
      <c r="A866" s="116"/>
      <c r="B866" s="116"/>
      <c r="C866" s="116"/>
      <c r="D866" s="117"/>
      <c r="E866" s="118"/>
      <c r="F866" s="118"/>
      <c r="G866" s="119"/>
    </row>
    <row r="867" spans="1:7" x14ac:dyDescent="0.35">
      <c r="A867" s="116"/>
      <c r="B867" s="116"/>
      <c r="C867" s="116"/>
      <c r="D867" s="117"/>
      <c r="E867" s="118"/>
      <c r="F867" s="118"/>
      <c r="G867" s="119"/>
    </row>
    <row r="868" spans="1:7" x14ac:dyDescent="0.35">
      <c r="A868" s="116"/>
      <c r="B868" s="116"/>
      <c r="C868" s="116"/>
      <c r="D868" s="117"/>
      <c r="E868" s="118"/>
      <c r="F868" s="118"/>
      <c r="G868" s="119"/>
    </row>
    <row r="869" spans="1:7" x14ac:dyDescent="0.35">
      <c r="A869" s="116"/>
      <c r="B869" s="116"/>
      <c r="C869" s="116"/>
      <c r="D869" s="117"/>
      <c r="E869" s="118"/>
      <c r="F869" s="118"/>
      <c r="G869" s="119"/>
    </row>
    <row r="870" spans="1:7" x14ac:dyDescent="0.35">
      <c r="A870" s="116"/>
      <c r="B870" s="116"/>
      <c r="C870" s="116"/>
      <c r="D870" s="117"/>
      <c r="E870" s="118"/>
      <c r="F870" s="118"/>
      <c r="G870" s="119"/>
    </row>
    <row r="871" spans="1:7" x14ac:dyDescent="0.35">
      <c r="A871" s="116"/>
      <c r="B871" s="116"/>
      <c r="C871" s="116"/>
      <c r="D871" s="117"/>
      <c r="E871" s="118"/>
      <c r="F871" s="118"/>
      <c r="G871" s="119"/>
    </row>
    <row r="872" spans="1:7" x14ac:dyDescent="0.35">
      <c r="A872" s="116"/>
      <c r="B872" s="116"/>
      <c r="C872" s="116"/>
      <c r="D872" s="117"/>
      <c r="E872" s="118"/>
      <c r="F872" s="118"/>
      <c r="G872" s="119"/>
    </row>
    <row r="873" spans="1:7" x14ac:dyDescent="0.35">
      <c r="A873" s="116"/>
      <c r="B873" s="116"/>
      <c r="C873" s="116"/>
      <c r="D873" s="117"/>
      <c r="E873" s="118"/>
      <c r="F873" s="118"/>
      <c r="G873" s="119"/>
    </row>
    <row r="874" spans="1:7" x14ac:dyDescent="0.35">
      <c r="A874" s="116"/>
      <c r="B874" s="116"/>
      <c r="C874" s="116"/>
      <c r="D874" s="117"/>
      <c r="E874" s="118"/>
      <c r="F874" s="118"/>
      <c r="G874" s="119"/>
    </row>
    <row r="875" spans="1:7" x14ac:dyDescent="0.35">
      <c r="A875" s="116"/>
      <c r="B875" s="116"/>
      <c r="C875" s="116"/>
      <c r="D875" s="117"/>
      <c r="E875" s="118"/>
      <c r="F875" s="118"/>
      <c r="G875" s="119"/>
    </row>
    <row r="876" spans="1:7" x14ac:dyDescent="0.35">
      <c r="A876" s="116"/>
      <c r="B876" s="116"/>
      <c r="C876" s="116"/>
      <c r="D876" s="117"/>
      <c r="E876" s="118"/>
      <c r="F876" s="118"/>
      <c r="G876" s="119"/>
    </row>
    <row r="877" spans="1:7" x14ac:dyDescent="0.35">
      <c r="A877" s="116"/>
      <c r="B877" s="116"/>
      <c r="C877" s="116"/>
      <c r="D877" s="117"/>
      <c r="E877" s="118"/>
      <c r="F877" s="118"/>
      <c r="G877" s="119"/>
    </row>
    <row r="878" spans="1:7" x14ac:dyDescent="0.35">
      <c r="A878" s="116"/>
      <c r="B878" s="116"/>
      <c r="C878" s="116"/>
      <c r="D878" s="117"/>
      <c r="E878" s="118"/>
      <c r="F878" s="118"/>
      <c r="G878" s="119"/>
    </row>
    <row r="879" spans="1:7" x14ac:dyDescent="0.35">
      <c r="A879" s="116"/>
      <c r="B879" s="116"/>
      <c r="C879" s="116"/>
      <c r="D879" s="117"/>
      <c r="E879" s="118"/>
      <c r="F879" s="118"/>
      <c r="G879" s="119"/>
    </row>
    <row r="880" spans="1:7" x14ac:dyDescent="0.35">
      <c r="A880" s="116"/>
      <c r="B880" s="116"/>
      <c r="C880" s="116"/>
      <c r="D880" s="117"/>
      <c r="E880" s="118"/>
      <c r="F880" s="118"/>
      <c r="G880" s="119"/>
    </row>
    <row r="881" spans="1:7" x14ac:dyDescent="0.35">
      <c r="A881" s="116"/>
      <c r="B881" s="116"/>
      <c r="C881" s="116"/>
      <c r="D881" s="117"/>
      <c r="E881" s="118"/>
      <c r="F881" s="118"/>
      <c r="G881" s="119"/>
    </row>
    <row r="882" spans="1:7" x14ac:dyDescent="0.35">
      <c r="A882" s="116"/>
      <c r="B882" s="116"/>
      <c r="C882" s="116"/>
      <c r="D882" s="117"/>
      <c r="E882" s="118"/>
      <c r="F882" s="118"/>
      <c r="G882" s="119"/>
    </row>
    <row r="883" spans="1:7" x14ac:dyDescent="0.35">
      <c r="A883" s="116"/>
      <c r="B883" s="116"/>
      <c r="C883" s="116"/>
      <c r="D883" s="117"/>
      <c r="E883" s="118"/>
      <c r="F883" s="118"/>
      <c r="G883" s="119"/>
    </row>
    <row r="884" spans="1:7" x14ac:dyDescent="0.35">
      <c r="A884" s="116"/>
      <c r="B884" s="116"/>
      <c r="C884" s="116"/>
      <c r="D884" s="117"/>
      <c r="E884" s="118"/>
      <c r="F884" s="118"/>
      <c r="G884" s="119"/>
    </row>
    <row r="885" spans="1:7" x14ac:dyDescent="0.35">
      <c r="A885" s="116"/>
      <c r="B885" s="116"/>
      <c r="C885" s="116"/>
      <c r="D885" s="117"/>
      <c r="E885" s="118"/>
      <c r="F885" s="118"/>
      <c r="G885" s="119"/>
    </row>
    <row r="886" spans="1:7" x14ac:dyDescent="0.35">
      <c r="A886" s="116"/>
      <c r="B886" s="116"/>
      <c r="C886" s="116"/>
      <c r="D886" s="117"/>
      <c r="E886" s="118"/>
      <c r="F886" s="118"/>
      <c r="G886" s="119"/>
    </row>
    <row r="887" spans="1:7" x14ac:dyDescent="0.35">
      <c r="A887" s="116"/>
      <c r="B887" s="116"/>
      <c r="C887" s="116"/>
      <c r="D887" s="117"/>
      <c r="E887" s="118"/>
      <c r="F887" s="118"/>
      <c r="G887" s="119"/>
    </row>
    <row r="888" spans="1:7" x14ac:dyDescent="0.35">
      <c r="A888" s="116"/>
      <c r="B888" s="116"/>
      <c r="C888" s="116"/>
      <c r="D888" s="117"/>
      <c r="E888" s="118"/>
      <c r="F888" s="118"/>
      <c r="G888" s="119"/>
    </row>
    <row r="889" spans="1:7" x14ac:dyDescent="0.35">
      <c r="A889" s="116"/>
      <c r="B889" s="116"/>
      <c r="C889" s="116"/>
      <c r="D889" s="117"/>
      <c r="E889" s="118"/>
      <c r="F889" s="118"/>
      <c r="G889" s="119"/>
    </row>
    <row r="890" spans="1:7" x14ac:dyDescent="0.35">
      <c r="A890" s="116"/>
      <c r="B890" s="116"/>
      <c r="C890" s="116"/>
      <c r="D890" s="117"/>
      <c r="E890" s="118"/>
      <c r="F890" s="118"/>
      <c r="G890" s="119"/>
    </row>
    <row r="891" spans="1:7" x14ac:dyDescent="0.35">
      <c r="A891" s="116"/>
      <c r="B891" s="116"/>
      <c r="C891" s="116"/>
      <c r="D891" s="117"/>
      <c r="E891" s="118"/>
      <c r="F891" s="118"/>
      <c r="G891" s="119"/>
    </row>
    <row r="892" spans="1:7" x14ac:dyDescent="0.35">
      <c r="A892" s="116"/>
      <c r="B892" s="116"/>
      <c r="C892" s="116"/>
      <c r="D892" s="117"/>
      <c r="E892" s="118"/>
      <c r="F892" s="118"/>
      <c r="G892" s="119"/>
    </row>
    <row r="893" spans="1:7" x14ac:dyDescent="0.35">
      <c r="A893" s="116"/>
      <c r="B893" s="116"/>
      <c r="C893" s="116"/>
      <c r="D893" s="117"/>
      <c r="E893" s="118"/>
      <c r="F893" s="118"/>
      <c r="G893" s="119"/>
    </row>
    <row r="894" spans="1:7" x14ac:dyDescent="0.35">
      <c r="A894" s="116"/>
      <c r="B894" s="116"/>
      <c r="C894" s="116"/>
      <c r="D894" s="117"/>
      <c r="E894" s="118"/>
      <c r="F894" s="118"/>
      <c r="G894" s="119"/>
    </row>
    <row r="895" spans="1:7" x14ac:dyDescent="0.35">
      <c r="A895" s="116"/>
      <c r="B895" s="116"/>
      <c r="C895" s="116"/>
      <c r="D895" s="117"/>
      <c r="E895" s="118"/>
      <c r="F895" s="118"/>
      <c r="G895" s="119"/>
    </row>
    <row r="896" spans="1:7" x14ac:dyDescent="0.35">
      <c r="A896" s="116"/>
      <c r="B896" s="116"/>
      <c r="C896" s="116"/>
      <c r="D896" s="117"/>
      <c r="E896" s="118"/>
      <c r="F896" s="118"/>
      <c r="G896" s="119"/>
    </row>
    <row r="897" spans="1:7" x14ac:dyDescent="0.35">
      <c r="A897" s="116"/>
      <c r="B897" s="116"/>
      <c r="C897" s="116"/>
      <c r="D897" s="117"/>
      <c r="E897" s="118"/>
      <c r="F897" s="118"/>
      <c r="G897" s="119"/>
    </row>
    <row r="898" spans="1:7" x14ac:dyDescent="0.35">
      <c r="A898" s="116"/>
      <c r="B898" s="116"/>
      <c r="C898" s="116"/>
      <c r="D898" s="117"/>
      <c r="E898" s="118"/>
      <c r="F898" s="118"/>
      <c r="G898" s="119"/>
    </row>
    <row r="899" spans="1:7" x14ac:dyDescent="0.35">
      <c r="A899" s="116"/>
      <c r="B899" s="116"/>
      <c r="C899" s="116"/>
      <c r="D899" s="117"/>
      <c r="E899" s="118"/>
      <c r="F899" s="118"/>
      <c r="G899" s="119"/>
    </row>
    <row r="900" spans="1:7" x14ac:dyDescent="0.35">
      <c r="A900" s="116"/>
      <c r="B900" s="116"/>
      <c r="C900" s="116"/>
      <c r="D900" s="117"/>
      <c r="E900" s="118"/>
      <c r="F900" s="118"/>
      <c r="G900" s="119"/>
    </row>
    <row r="901" spans="1:7" x14ac:dyDescent="0.35">
      <c r="A901" s="116"/>
      <c r="B901" s="116"/>
      <c r="C901" s="116"/>
      <c r="D901" s="117"/>
      <c r="E901" s="118"/>
      <c r="F901" s="118"/>
      <c r="G901" s="119"/>
    </row>
    <row r="902" spans="1:7" x14ac:dyDescent="0.35">
      <c r="A902" s="116"/>
      <c r="B902" s="116"/>
      <c r="C902" s="116"/>
      <c r="D902" s="117"/>
      <c r="E902" s="118"/>
      <c r="F902" s="118"/>
      <c r="G902" s="119"/>
    </row>
    <row r="903" spans="1:7" x14ac:dyDescent="0.35">
      <c r="A903" s="116"/>
      <c r="B903" s="116"/>
      <c r="C903" s="116"/>
      <c r="D903" s="117"/>
      <c r="E903" s="118"/>
      <c r="F903" s="118"/>
      <c r="G903" s="119"/>
    </row>
    <row r="904" spans="1:7" x14ac:dyDescent="0.35">
      <c r="A904" s="116"/>
      <c r="B904" s="116"/>
      <c r="C904" s="116"/>
      <c r="D904" s="117"/>
      <c r="E904" s="118"/>
      <c r="F904" s="118"/>
      <c r="G904" s="119"/>
    </row>
    <row r="905" spans="1:7" x14ac:dyDescent="0.35">
      <c r="A905" s="116"/>
      <c r="B905" s="116"/>
      <c r="C905" s="116"/>
      <c r="D905" s="117"/>
      <c r="E905" s="118"/>
      <c r="F905" s="118"/>
      <c r="G905" s="119"/>
    </row>
    <row r="906" spans="1:7" x14ac:dyDescent="0.35">
      <c r="A906" s="116"/>
      <c r="B906" s="116"/>
      <c r="C906" s="116"/>
      <c r="D906" s="117"/>
      <c r="E906" s="118"/>
      <c r="F906" s="118"/>
      <c r="G906" s="119"/>
    </row>
    <row r="907" spans="1:7" x14ac:dyDescent="0.35">
      <c r="A907" s="116"/>
      <c r="B907" s="116"/>
      <c r="C907" s="116"/>
      <c r="D907" s="117"/>
      <c r="E907" s="118"/>
      <c r="F907" s="118"/>
      <c r="G907" s="119"/>
    </row>
    <row r="908" spans="1:7" x14ac:dyDescent="0.35">
      <c r="A908" s="116"/>
      <c r="B908" s="116"/>
      <c r="C908" s="116"/>
      <c r="D908" s="117"/>
      <c r="E908" s="118"/>
      <c r="F908" s="118"/>
      <c r="G908" s="119"/>
    </row>
    <row r="909" spans="1:7" x14ac:dyDescent="0.35">
      <c r="A909" s="116"/>
      <c r="B909" s="116"/>
      <c r="C909" s="116"/>
      <c r="D909" s="117"/>
      <c r="E909" s="118"/>
      <c r="F909" s="118"/>
      <c r="G909" s="119"/>
    </row>
    <row r="910" spans="1:7" x14ac:dyDescent="0.35">
      <c r="A910" s="116"/>
      <c r="B910" s="116"/>
      <c r="C910" s="116"/>
      <c r="D910" s="117"/>
      <c r="E910" s="118"/>
      <c r="F910" s="118"/>
      <c r="G910" s="119"/>
    </row>
    <row r="911" spans="1:7" x14ac:dyDescent="0.35">
      <c r="A911" s="116"/>
      <c r="B911" s="116"/>
      <c r="C911" s="116"/>
      <c r="D911" s="117"/>
      <c r="E911" s="118"/>
      <c r="F911" s="118"/>
      <c r="G911" s="119"/>
    </row>
    <row r="912" spans="1:7" x14ac:dyDescent="0.35">
      <c r="A912" s="116"/>
      <c r="B912" s="116"/>
      <c r="C912" s="116"/>
      <c r="D912" s="117"/>
      <c r="E912" s="118"/>
      <c r="F912" s="118"/>
      <c r="G912" s="119"/>
    </row>
    <row r="913" spans="1:7" x14ac:dyDescent="0.35">
      <c r="A913" s="116"/>
      <c r="B913" s="116"/>
      <c r="C913" s="116"/>
      <c r="D913" s="117"/>
      <c r="E913" s="118"/>
      <c r="F913" s="118"/>
      <c r="G913" s="119"/>
    </row>
    <row r="914" spans="1:7" x14ac:dyDescent="0.35">
      <c r="A914" s="116"/>
      <c r="B914" s="116"/>
      <c r="C914" s="116"/>
      <c r="D914" s="117"/>
      <c r="E914" s="118"/>
      <c r="F914" s="118"/>
      <c r="G914" s="119"/>
    </row>
    <row r="915" spans="1:7" x14ac:dyDescent="0.35">
      <c r="A915" s="116"/>
      <c r="B915" s="116"/>
      <c r="C915" s="116"/>
      <c r="D915" s="117"/>
      <c r="E915" s="118"/>
      <c r="F915" s="118"/>
      <c r="G915" s="119"/>
    </row>
    <row r="916" spans="1:7" x14ac:dyDescent="0.35">
      <c r="A916" s="116"/>
      <c r="B916" s="116"/>
      <c r="C916" s="116"/>
      <c r="D916" s="117"/>
      <c r="E916" s="118"/>
      <c r="F916" s="118"/>
      <c r="G916" s="119"/>
    </row>
    <row r="917" spans="1:7" x14ac:dyDescent="0.35">
      <c r="A917" s="116"/>
      <c r="B917" s="116"/>
      <c r="C917" s="116"/>
      <c r="D917" s="117"/>
      <c r="E917" s="118"/>
      <c r="F917" s="118"/>
      <c r="G917" s="119"/>
    </row>
    <row r="918" spans="1:7" x14ac:dyDescent="0.35">
      <c r="A918" s="116"/>
      <c r="B918" s="116"/>
      <c r="C918" s="116"/>
      <c r="D918" s="117"/>
      <c r="E918" s="118"/>
      <c r="F918" s="118"/>
      <c r="G918" s="119"/>
    </row>
    <row r="919" spans="1:7" x14ac:dyDescent="0.35">
      <c r="A919" s="116"/>
      <c r="B919" s="116"/>
      <c r="C919" s="116"/>
      <c r="D919" s="117"/>
      <c r="E919" s="118"/>
      <c r="F919" s="118"/>
      <c r="G919" s="119"/>
    </row>
    <row r="920" spans="1:7" x14ac:dyDescent="0.35">
      <c r="A920" s="116"/>
      <c r="B920" s="116"/>
      <c r="C920" s="116"/>
      <c r="D920" s="117"/>
      <c r="E920" s="118"/>
      <c r="F920" s="118"/>
      <c r="G920" s="119"/>
    </row>
    <row r="921" spans="1:7" x14ac:dyDescent="0.35">
      <c r="A921" s="116"/>
      <c r="B921" s="116"/>
      <c r="C921" s="116"/>
      <c r="D921" s="117"/>
      <c r="E921" s="118"/>
      <c r="F921" s="118"/>
      <c r="G921" s="119"/>
    </row>
    <row r="922" spans="1:7" x14ac:dyDescent="0.35">
      <c r="A922" s="116"/>
      <c r="B922" s="116"/>
      <c r="C922" s="116"/>
      <c r="D922" s="117"/>
      <c r="E922" s="118"/>
      <c r="F922" s="118"/>
      <c r="G922" s="119"/>
    </row>
    <row r="923" spans="1:7" x14ac:dyDescent="0.35">
      <c r="A923" s="116"/>
      <c r="B923" s="116"/>
      <c r="C923" s="116"/>
      <c r="D923" s="117"/>
      <c r="E923" s="118"/>
      <c r="F923" s="118"/>
      <c r="G923" s="119"/>
    </row>
    <row r="924" spans="1:7" x14ac:dyDescent="0.35">
      <c r="A924" s="116"/>
      <c r="B924" s="116"/>
      <c r="C924" s="116"/>
      <c r="D924" s="117"/>
      <c r="E924" s="118"/>
      <c r="F924" s="118"/>
      <c r="G924" s="119"/>
    </row>
    <row r="925" spans="1:7" x14ac:dyDescent="0.35">
      <c r="A925" s="116"/>
      <c r="B925" s="116"/>
      <c r="C925" s="116"/>
      <c r="D925" s="117"/>
      <c r="E925" s="118"/>
      <c r="F925" s="118"/>
      <c r="G925" s="119"/>
    </row>
    <row r="926" spans="1:7" x14ac:dyDescent="0.35">
      <c r="A926" s="116"/>
      <c r="B926" s="116"/>
      <c r="C926" s="116"/>
      <c r="D926" s="117"/>
      <c r="E926" s="118"/>
      <c r="F926" s="118"/>
      <c r="G926" s="119"/>
    </row>
    <row r="927" spans="1:7" x14ac:dyDescent="0.35">
      <c r="A927" s="116"/>
      <c r="B927" s="116"/>
      <c r="C927" s="116"/>
      <c r="D927" s="117"/>
      <c r="E927" s="118"/>
      <c r="F927" s="118"/>
      <c r="G927" s="119"/>
    </row>
    <row r="928" spans="1:7" x14ac:dyDescent="0.35">
      <c r="A928" s="116"/>
      <c r="B928" s="116"/>
      <c r="C928" s="116"/>
      <c r="D928" s="117"/>
      <c r="E928" s="118"/>
      <c r="F928" s="118"/>
      <c r="G928" s="119"/>
    </row>
    <row r="929" spans="1:7" x14ac:dyDescent="0.35">
      <c r="A929" s="116"/>
      <c r="B929" s="116"/>
      <c r="C929" s="116"/>
      <c r="D929" s="117"/>
      <c r="E929" s="118"/>
      <c r="F929" s="118"/>
      <c r="G929" s="119"/>
    </row>
    <row r="930" spans="1:7" x14ac:dyDescent="0.35">
      <c r="A930" s="116"/>
      <c r="B930" s="116"/>
      <c r="C930" s="116"/>
      <c r="D930" s="117"/>
      <c r="E930" s="118"/>
      <c r="F930" s="118"/>
      <c r="G930" s="119"/>
    </row>
    <row r="931" spans="1:7" x14ac:dyDescent="0.35">
      <c r="A931" s="116"/>
      <c r="B931" s="116"/>
      <c r="C931" s="116"/>
      <c r="D931" s="117"/>
      <c r="E931" s="118"/>
      <c r="F931" s="118"/>
      <c r="G931" s="119"/>
    </row>
    <row r="932" spans="1:7" x14ac:dyDescent="0.35">
      <c r="A932" s="116"/>
      <c r="B932" s="116"/>
      <c r="C932" s="116"/>
      <c r="D932" s="117"/>
      <c r="E932" s="118"/>
      <c r="F932" s="118"/>
      <c r="G932" s="119"/>
    </row>
    <row r="933" spans="1:7" x14ac:dyDescent="0.35">
      <c r="A933" s="116"/>
      <c r="B933" s="116"/>
      <c r="C933" s="116"/>
      <c r="D933" s="117"/>
      <c r="E933" s="118"/>
      <c r="F933" s="118"/>
      <c r="G933" s="119"/>
    </row>
    <row r="934" spans="1:7" x14ac:dyDescent="0.35">
      <c r="A934" s="116"/>
      <c r="B934" s="116"/>
      <c r="C934" s="116"/>
      <c r="D934" s="117"/>
      <c r="E934" s="118"/>
      <c r="F934" s="118"/>
      <c r="G934" s="119"/>
    </row>
    <row r="935" spans="1:7" x14ac:dyDescent="0.35">
      <c r="A935" s="116"/>
      <c r="B935" s="116"/>
      <c r="C935" s="116"/>
      <c r="D935" s="117"/>
      <c r="E935" s="118"/>
      <c r="F935" s="118"/>
      <c r="G935" s="119"/>
    </row>
    <row r="936" spans="1:7" x14ac:dyDescent="0.35">
      <c r="A936" s="116"/>
      <c r="B936" s="116"/>
      <c r="C936" s="116"/>
      <c r="D936" s="117"/>
      <c r="E936" s="118"/>
      <c r="F936" s="118"/>
      <c r="G936" s="119"/>
    </row>
    <row r="937" spans="1:7" x14ac:dyDescent="0.35">
      <c r="A937" s="116"/>
      <c r="B937" s="116"/>
      <c r="C937" s="116"/>
      <c r="D937" s="117"/>
      <c r="E937" s="118"/>
      <c r="F937" s="118"/>
      <c r="G937" s="119"/>
    </row>
    <row r="938" spans="1:7" x14ac:dyDescent="0.35">
      <c r="A938" s="116"/>
      <c r="B938" s="116"/>
      <c r="C938" s="116"/>
      <c r="D938" s="117"/>
      <c r="E938" s="118"/>
      <c r="F938" s="118"/>
      <c r="G938" s="119"/>
    </row>
    <row r="939" spans="1:7" x14ac:dyDescent="0.35">
      <c r="A939" s="116"/>
      <c r="B939" s="116"/>
      <c r="C939" s="116"/>
      <c r="D939" s="117"/>
      <c r="E939" s="118"/>
      <c r="F939" s="118"/>
      <c r="G939" s="119"/>
    </row>
    <row r="940" spans="1:7" x14ac:dyDescent="0.35">
      <c r="A940" s="116"/>
      <c r="B940" s="116"/>
      <c r="C940" s="116"/>
      <c r="D940" s="117"/>
      <c r="E940" s="118"/>
      <c r="F940" s="118"/>
      <c r="G940" s="119"/>
    </row>
    <row r="941" spans="1:7" x14ac:dyDescent="0.35">
      <c r="A941" s="116"/>
      <c r="B941" s="116"/>
      <c r="C941" s="116"/>
      <c r="D941" s="117"/>
      <c r="E941" s="118"/>
      <c r="F941" s="118"/>
      <c r="G941" s="119"/>
    </row>
    <row r="942" spans="1:7" x14ac:dyDescent="0.35">
      <c r="A942" s="116"/>
      <c r="B942" s="116"/>
      <c r="C942" s="116"/>
      <c r="D942" s="117"/>
      <c r="E942" s="118"/>
      <c r="F942" s="118"/>
      <c r="G942" s="119"/>
    </row>
    <row r="943" spans="1:7" x14ac:dyDescent="0.35">
      <c r="A943" s="116"/>
      <c r="B943" s="116"/>
      <c r="C943" s="116"/>
      <c r="D943" s="117"/>
      <c r="E943" s="118"/>
      <c r="F943" s="118"/>
      <c r="G943" s="119"/>
    </row>
    <row r="944" spans="1:7" x14ac:dyDescent="0.35">
      <c r="A944" s="116"/>
      <c r="B944" s="116"/>
      <c r="C944" s="116"/>
      <c r="D944" s="117"/>
      <c r="E944" s="118"/>
      <c r="F944" s="118"/>
      <c r="G944" s="119"/>
    </row>
    <row r="945" spans="1:7" x14ac:dyDescent="0.35">
      <c r="A945" s="116"/>
      <c r="B945" s="116"/>
      <c r="C945" s="116"/>
      <c r="D945" s="117"/>
      <c r="E945" s="118"/>
      <c r="F945" s="118"/>
      <c r="G945" s="119"/>
    </row>
    <row r="946" spans="1:7" x14ac:dyDescent="0.35">
      <c r="A946" s="116"/>
      <c r="B946" s="116"/>
      <c r="C946" s="116"/>
      <c r="D946" s="117"/>
      <c r="E946" s="118"/>
      <c r="F946" s="118"/>
      <c r="G946" s="119"/>
    </row>
    <row r="947" spans="1:7" x14ac:dyDescent="0.35">
      <c r="A947" s="116"/>
      <c r="B947" s="116"/>
      <c r="C947" s="116"/>
      <c r="D947" s="117"/>
      <c r="E947" s="118"/>
      <c r="F947" s="118"/>
      <c r="G947" s="119"/>
    </row>
    <row r="948" spans="1:7" x14ac:dyDescent="0.35">
      <c r="A948" s="116"/>
      <c r="B948" s="116"/>
      <c r="C948" s="116"/>
      <c r="D948" s="117"/>
      <c r="E948" s="118"/>
      <c r="F948" s="118"/>
      <c r="G948" s="119"/>
    </row>
    <row r="949" spans="1:7" x14ac:dyDescent="0.35">
      <c r="A949" s="116"/>
      <c r="B949" s="116"/>
      <c r="C949" s="116"/>
      <c r="D949" s="117"/>
      <c r="E949" s="118"/>
      <c r="F949" s="118"/>
      <c r="G949" s="119"/>
    </row>
    <row r="950" spans="1:7" x14ac:dyDescent="0.35">
      <c r="A950" s="116"/>
      <c r="B950" s="116"/>
      <c r="C950" s="116"/>
      <c r="D950" s="117"/>
      <c r="E950" s="118"/>
      <c r="F950" s="118"/>
      <c r="G950" s="119"/>
    </row>
    <row r="951" spans="1:7" x14ac:dyDescent="0.35">
      <c r="A951" s="116"/>
      <c r="B951" s="116"/>
      <c r="C951" s="116"/>
      <c r="D951" s="117"/>
      <c r="E951" s="118"/>
      <c r="F951" s="118"/>
      <c r="G951" s="119"/>
    </row>
    <row r="952" spans="1:7" x14ac:dyDescent="0.35">
      <c r="A952" s="116"/>
      <c r="B952" s="116"/>
      <c r="C952" s="116"/>
      <c r="D952" s="117"/>
      <c r="E952" s="118"/>
      <c r="F952" s="118"/>
      <c r="G952" s="119"/>
    </row>
    <row r="953" spans="1:7" x14ac:dyDescent="0.35">
      <c r="A953" s="116"/>
      <c r="B953" s="116"/>
      <c r="C953" s="116"/>
      <c r="D953" s="117"/>
      <c r="E953" s="118"/>
      <c r="F953" s="118"/>
      <c r="G953" s="119"/>
    </row>
    <row r="954" spans="1:7" x14ac:dyDescent="0.35">
      <c r="A954" s="116"/>
      <c r="B954" s="116"/>
      <c r="C954" s="116"/>
      <c r="D954" s="117"/>
      <c r="E954" s="118"/>
      <c r="F954" s="118"/>
      <c r="G954" s="119"/>
    </row>
    <row r="955" spans="1:7" x14ac:dyDescent="0.35">
      <c r="A955" s="116"/>
      <c r="B955" s="116"/>
      <c r="C955" s="116"/>
      <c r="D955" s="117"/>
      <c r="E955" s="118"/>
      <c r="F955" s="118"/>
      <c r="G955" s="119"/>
    </row>
    <row r="956" spans="1:7" x14ac:dyDescent="0.35">
      <c r="A956" s="116"/>
      <c r="B956" s="116"/>
      <c r="C956" s="116"/>
      <c r="D956" s="117"/>
      <c r="E956" s="118"/>
      <c r="F956" s="118"/>
      <c r="G956" s="119"/>
    </row>
    <row r="957" spans="1:7" x14ac:dyDescent="0.35">
      <c r="A957" s="116"/>
      <c r="B957" s="116"/>
      <c r="C957" s="116"/>
      <c r="D957" s="117"/>
      <c r="E957" s="118"/>
      <c r="F957" s="118"/>
      <c r="G957" s="119"/>
    </row>
    <row r="958" spans="1:7" x14ac:dyDescent="0.35">
      <c r="A958" s="116"/>
      <c r="B958" s="116"/>
      <c r="C958" s="116"/>
      <c r="D958" s="117"/>
      <c r="E958" s="118"/>
      <c r="F958" s="118"/>
      <c r="G958" s="119"/>
    </row>
    <row r="959" spans="1:7" x14ac:dyDescent="0.35">
      <c r="A959" s="116"/>
      <c r="B959" s="116"/>
      <c r="C959" s="116"/>
      <c r="D959" s="117"/>
      <c r="E959" s="118"/>
      <c r="F959" s="118"/>
      <c r="G959" s="119"/>
    </row>
    <row r="960" spans="1:7" x14ac:dyDescent="0.35">
      <c r="A960" s="116"/>
      <c r="B960" s="116"/>
      <c r="C960" s="116"/>
      <c r="D960" s="117"/>
      <c r="E960" s="118"/>
      <c r="F960" s="118"/>
      <c r="G960" s="119"/>
    </row>
    <row r="961" spans="1:7" x14ac:dyDescent="0.35">
      <c r="A961" s="116"/>
      <c r="B961" s="116"/>
      <c r="C961" s="116"/>
      <c r="D961" s="117"/>
      <c r="E961" s="118"/>
      <c r="F961" s="118"/>
      <c r="G961" s="119"/>
    </row>
    <row r="962" spans="1:7" x14ac:dyDescent="0.35">
      <c r="A962" s="116"/>
      <c r="B962" s="116"/>
      <c r="C962" s="116"/>
      <c r="D962" s="117"/>
      <c r="E962" s="118"/>
      <c r="F962" s="118"/>
      <c r="G962" s="119"/>
    </row>
    <row r="963" spans="1:7" x14ac:dyDescent="0.35">
      <c r="A963" s="116"/>
      <c r="B963" s="116"/>
      <c r="C963" s="116"/>
      <c r="D963" s="117"/>
      <c r="E963" s="118"/>
      <c r="F963" s="118"/>
      <c r="G963" s="119"/>
    </row>
    <row r="964" spans="1:7" x14ac:dyDescent="0.35">
      <c r="A964" s="116"/>
      <c r="B964" s="116"/>
      <c r="C964" s="116"/>
      <c r="D964" s="117"/>
      <c r="E964" s="118"/>
      <c r="F964" s="118"/>
      <c r="G964" s="119"/>
    </row>
    <row r="965" spans="1:7" x14ac:dyDescent="0.35">
      <c r="A965" s="116"/>
      <c r="B965" s="116"/>
      <c r="C965" s="116"/>
      <c r="D965" s="117"/>
      <c r="E965" s="118"/>
      <c r="F965" s="118"/>
      <c r="G965" s="119"/>
    </row>
    <row r="966" spans="1:7" x14ac:dyDescent="0.35">
      <c r="A966" s="116"/>
      <c r="B966" s="116"/>
      <c r="C966" s="116"/>
      <c r="D966" s="117"/>
      <c r="E966" s="118"/>
      <c r="F966" s="118"/>
      <c r="G966" s="119"/>
    </row>
    <row r="967" spans="1:7" x14ac:dyDescent="0.35">
      <c r="A967" s="116"/>
      <c r="B967" s="116"/>
      <c r="C967" s="116"/>
      <c r="D967" s="117"/>
      <c r="E967" s="118"/>
      <c r="F967" s="118"/>
      <c r="G967" s="119"/>
    </row>
    <row r="968" spans="1:7" x14ac:dyDescent="0.35">
      <c r="A968" s="116"/>
      <c r="B968" s="116"/>
      <c r="C968" s="116"/>
      <c r="D968" s="117"/>
      <c r="E968" s="118"/>
      <c r="F968" s="118"/>
      <c r="G968" s="119"/>
    </row>
    <row r="969" spans="1:7" x14ac:dyDescent="0.35">
      <c r="A969" s="116"/>
      <c r="B969" s="116"/>
      <c r="C969" s="116"/>
      <c r="D969" s="117"/>
      <c r="E969" s="118"/>
      <c r="F969" s="118"/>
      <c r="G969" s="119"/>
    </row>
    <row r="970" spans="1:7" x14ac:dyDescent="0.35">
      <c r="A970" s="116"/>
      <c r="B970" s="116"/>
      <c r="C970" s="116"/>
      <c r="D970" s="117"/>
      <c r="E970" s="118"/>
      <c r="F970" s="118"/>
      <c r="G970" s="119"/>
    </row>
  </sheetData>
  <sheetProtection sheet="1" selectLockedCells="1"/>
  <pageMargins left="0.7" right="0.7" top="0.75" bottom="0.75" header="0.3" footer="0.3"/>
  <pageSetup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rgb="FF92D050"/>
  </sheetPr>
  <dimension ref="A1:O22"/>
  <sheetViews>
    <sheetView workbookViewId="0">
      <selection activeCell="B2" sqref="B2"/>
    </sheetView>
  </sheetViews>
  <sheetFormatPr defaultColWidth="8.81640625" defaultRowHeight="16" x14ac:dyDescent="0.35"/>
  <cols>
    <col min="1" max="1" width="6.81640625" style="7" customWidth="1"/>
    <col min="2" max="2" width="6.54296875" style="7" bestFit="1" customWidth="1"/>
    <col min="3" max="3" width="13.1796875" style="7" bestFit="1" customWidth="1"/>
    <col min="4" max="4" width="38.1796875" style="7" bestFit="1" customWidth="1"/>
    <col min="5" max="5" width="17" style="7" bestFit="1" customWidth="1"/>
    <col min="6" max="6" width="12.453125" style="7" bestFit="1" customWidth="1"/>
    <col min="7" max="7" width="12.54296875" style="7" bestFit="1" customWidth="1"/>
    <col min="8" max="8" width="14.81640625" style="7" bestFit="1" customWidth="1"/>
    <col min="9" max="9" width="3.453125" style="7" customWidth="1"/>
    <col min="10" max="10" width="14" style="7" customWidth="1"/>
    <col min="11" max="11" width="14.81640625" style="7" bestFit="1" customWidth="1"/>
    <col min="12" max="13" width="13.54296875" style="7" bestFit="1" customWidth="1"/>
    <col min="14" max="15" width="12.453125" style="7" bestFit="1" customWidth="1"/>
    <col min="16" max="16" width="3.81640625" style="7" customWidth="1"/>
    <col min="17" max="16384" width="8.81640625" style="7"/>
  </cols>
  <sheetData>
    <row r="1" spans="1:15" ht="27" x14ac:dyDescent="0.5">
      <c r="B1" s="299" t="s">
        <v>461</v>
      </c>
      <c r="C1" s="300"/>
      <c r="D1" s="300"/>
      <c r="E1" s="300"/>
      <c r="F1" s="300"/>
      <c r="G1" s="300"/>
      <c r="H1" s="23">
        <f>'JV III Consolidated'!Q1</f>
        <v>46023</v>
      </c>
    </row>
    <row r="2" spans="1:15" x14ac:dyDescent="0.35">
      <c r="A2" s="300"/>
      <c r="B2" s="300" t="str">
        <f>'JV III Consolidated'!J2</f>
        <v>Lincoln JV III</v>
      </c>
      <c r="C2" s="300"/>
      <c r="D2" s="300"/>
      <c r="E2" s="300"/>
      <c r="F2" s="300"/>
      <c r="G2" s="300"/>
      <c r="H2" s="300"/>
      <c r="I2" s="301"/>
      <c r="J2" s="301"/>
      <c r="K2" s="301"/>
      <c r="L2" s="301"/>
      <c r="M2" s="301"/>
      <c r="N2" s="301"/>
      <c r="O2" s="301"/>
    </row>
    <row r="3" spans="1:15" x14ac:dyDescent="0.35">
      <c r="H3" s="24"/>
      <c r="I3" s="24"/>
      <c r="J3" s="24"/>
      <c r="K3" s="24"/>
      <c r="M3" s="24"/>
      <c r="N3" s="24"/>
    </row>
    <row r="4" spans="1:15" x14ac:dyDescent="0.35">
      <c r="E4" s="52" t="s">
        <v>456</v>
      </c>
      <c r="F4" s="302">
        <f>'361'!B1</f>
        <v>3610</v>
      </c>
      <c r="G4" s="302">
        <f>'362'!B1</f>
        <v>3620</v>
      </c>
      <c r="H4" s="302">
        <f>'364'!B1</f>
        <v>3640</v>
      </c>
      <c r="J4" s="7" t="s">
        <v>462</v>
      </c>
    </row>
    <row r="5" spans="1:15" x14ac:dyDescent="0.35">
      <c r="A5" s="24"/>
      <c r="B5" s="303">
        <v>2024</v>
      </c>
      <c r="C5" s="304" t="s">
        <v>102</v>
      </c>
      <c r="D5" s="305" t="s">
        <v>89</v>
      </c>
      <c r="E5" s="306">
        <f>SUM(F5:H5)</f>
        <v>44542.21</v>
      </c>
      <c r="F5" s="7">
        <f>VLOOKUP(C5,'361'!$A$26:$Q$71,17,FALSE)</f>
        <v>23159.409999999996</v>
      </c>
      <c r="G5" s="7">
        <f>VLOOKUP(C5,'362'!$A$26:$Q$71,17,FALSE)</f>
        <v>10220.69</v>
      </c>
      <c r="H5" s="7">
        <f>VLOOKUP(C5,'364'!$A$26:$Q$71,17,FALSE)</f>
        <v>11162.110000000002</v>
      </c>
    </row>
    <row r="6" spans="1:15" x14ac:dyDescent="0.35">
      <c r="B6" s="307">
        <f>+B5</f>
        <v>2024</v>
      </c>
      <c r="C6" s="308" t="s">
        <v>103</v>
      </c>
      <c r="D6" s="309" t="s">
        <v>267</v>
      </c>
      <c r="E6" s="306">
        <f t="shared" ref="E6:E16" si="0">SUM(F6:H6)</f>
        <v>199768</v>
      </c>
      <c r="F6" s="7">
        <f>VLOOKUP(C6,'361'!$A$26:$Q$71,17,FALSE)</f>
        <v>66930</v>
      </c>
      <c r="G6" s="7">
        <f>VLOOKUP(C6,'362'!$A$26:$Q$71,17,FALSE)</f>
        <v>67219</v>
      </c>
      <c r="H6" s="7">
        <f>VLOOKUP(C6,'364'!$A$26:$Q$71,17,FALSE)</f>
        <v>65619</v>
      </c>
    </row>
    <row r="7" spans="1:15" x14ac:dyDescent="0.35">
      <c r="A7" s="223"/>
      <c r="B7" s="307">
        <f t="shared" ref="B7:B15" si="1">+B6</f>
        <v>2024</v>
      </c>
      <c r="C7" s="308" t="s">
        <v>100</v>
      </c>
      <c r="D7" s="309" t="s">
        <v>27</v>
      </c>
      <c r="E7" s="306">
        <f t="shared" si="0"/>
        <v>47180.000000000007</v>
      </c>
      <c r="F7" s="7">
        <f>VLOOKUP(C7,'361'!$A$26:$Q$71,17,FALSE)</f>
        <v>14154</v>
      </c>
      <c r="G7" s="7">
        <f>VLOOKUP(C7,'362'!$A$26:$Q$71,17,FALSE)</f>
        <v>16513.000000000004</v>
      </c>
      <c r="H7" s="7">
        <f>VLOOKUP(C7,'364'!$A$26:$Q$71,17,FALSE)</f>
        <v>16513.000000000004</v>
      </c>
    </row>
    <row r="8" spans="1:15" x14ac:dyDescent="0.35">
      <c r="B8" s="307">
        <f t="shared" si="1"/>
        <v>2024</v>
      </c>
      <c r="C8" s="308" t="s">
        <v>109</v>
      </c>
      <c r="D8" s="309" t="s">
        <v>47</v>
      </c>
      <c r="E8" s="306">
        <f t="shared" si="0"/>
        <v>0</v>
      </c>
      <c r="F8" s="7">
        <f>VLOOKUP(C8,'361'!$A$26:$Q$71,17,FALSE)</f>
        <v>0</v>
      </c>
      <c r="G8" s="7">
        <f>VLOOKUP(C8,'362'!$A$26:$Q$71,17,FALSE)</f>
        <v>0</v>
      </c>
      <c r="H8" s="7">
        <f>VLOOKUP(C8,'364'!$A$26:$Q$71,17,FALSE)</f>
        <v>0</v>
      </c>
    </row>
    <row r="9" spans="1:15" x14ac:dyDescent="0.35">
      <c r="A9" s="223"/>
      <c r="B9" s="307">
        <f t="shared" si="1"/>
        <v>2024</v>
      </c>
      <c r="C9" s="308" t="s">
        <v>135</v>
      </c>
      <c r="D9" s="309" t="s">
        <v>38</v>
      </c>
      <c r="E9" s="306">
        <f t="shared" si="0"/>
        <v>0</v>
      </c>
      <c r="F9" s="7">
        <f>VLOOKUP(C9,'361'!$A$26:$Q$71,17,FALSE)</f>
        <v>0</v>
      </c>
      <c r="G9" s="7">
        <f>VLOOKUP(C9,'362'!$A$26:$Q$71,17,FALSE)</f>
        <v>0</v>
      </c>
      <c r="H9" s="7">
        <f>VLOOKUP(C9,'364'!$A$26:$Q$71,17,FALSE)</f>
        <v>0</v>
      </c>
    </row>
    <row r="10" spans="1:15" x14ac:dyDescent="0.35">
      <c r="B10" s="307">
        <f t="shared" si="1"/>
        <v>2024</v>
      </c>
      <c r="C10" s="308" t="s">
        <v>107</v>
      </c>
      <c r="D10" s="309" t="s">
        <v>44</v>
      </c>
      <c r="E10" s="306">
        <f t="shared" si="0"/>
        <v>0</v>
      </c>
      <c r="F10" s="7">
        <f>VLOOKUP(C10,'361'!$A$26:$Q$71,17,FALSE)</f>
        <v>0</v>
      </c>
      <c r="G10" s="7">
        <f>VLOOKUP(C10,'362'!$A$26:$Q$71,17,FALSE)</f>
        <v>0</v>
      </c>
      <c r="H10" s="7">
        <f>VLOOKUP(C10,'364'!$A$26:$Q$71,17,FALSE)</f>
        <v>0</v>
      </c>
    </row>
    <row r="11" spans="1:15" x14ac:dyDescent="0.35">
      <c r="A11" s="223"/>
      <c r="B11" s="307">
        <f t="shared" si="1"/>
        <v>2024</v>
      </c>
      <c r="C11" s="308" t="s">
        <v>105</v>
      </c>
      <c r="D11" s="309" t="s">
        <v>39</v>
      </c>
      <c r="E11" s="306">
        <f t="shared" si="0"/>
        <v>0</v>
      </c>
      <c r="F11" s="7">
        <f>VLOOKUP(C11,'361'!$A$26:$Q$71,17,FALSE)</f>
        <v>0</v>
      </c>
      <c r="G11" s="7">
        <f>VLOOKUP(C11,'362'!$A$26:$Q$71,17,FALSE)</f>
        <v>0</v>
      </c>
      <c r="H11" s="7">
        <f>VLOOKUP(C11,'364'!$A$26:$Q$71,17,FALSE)</f>
        <v>0</v>
      </c>
    </row>
    <row r="12" spans="1:15" x14ac:dyDescent="0.35">
      <c r="B12" s="307">
        <f t="shared" si="1"/>
        <v>2024</v>
      </c>
      <c r="C12" s="308" t="s">
        <v>106</v>
      </c>
      <c r="D12" s="309" t="s">
        <v>43</v>
      </c>
      <c r="E12" s="306">
        <f t="shared" si="0"/>
        <v>0</v>
      </c>
      <c r="F12" s="7">
        <f>VLOOKUP(C12,'361'!$A$26:$Q$71,17,FALSE)</f>
        <v>0</v>
      </c>
      <c r="G12" s="7">
        <f>VLOOKUP(C12,'362'!$A$26:$Q$71,17,FALSE)</f>
        <v>0</v>
      </c>
      <c r="H12" s="7">
        <f>VLOOKUP(C12,'364'!$A$26:$Q$71,17,FALSE)</f>
        <v>0</v>
      </c>
    </row>
    <row r="13" spans="1:15" x14ac:dyDescent="0.35">
      <c r="A13" s="223"/>
      <c r="B13" s="307">
        <f t="shared" si="1"/>
        <v>2024</v>
      </c>
      <c r="C13" s="308" t="s">
        <v>111</v>
      </c>
      <c r="D13" s="309" t="s">
        <v>23</v>
      </c>
      <c r="E13" s="306">
        <f t="shared" si="0"/>
        <v>59802.679999999993</v>
      </c>
      <c r="F13" s="7">
        <f>VLOOKUP(C13,'361'!$A$26:$Q$71,17,FALSE)</f>
        <v>17927.560000000001</v>
      </c>
      <c r="G13" s="7">
        <f>VLOOKUP(C13,'362'!$A$26:$Q$71,17,FALSE)</f>
        <v>20961.64</v>
      </c>
      <c r="H13" s="7">
        <f>VLOOKUP(C13,'364'!$A$26:$Q$71,17,FALSE)</f>
        <v>20913.48</v>
      </c>
    </row>
    <row r="14" spans="1:15" x14ac:dyDescent="0.35">
      <c r="B14" s="307">
        <f t="shared" si="1"/>
        <v>2024</v>
      </c>
      <c r="C14" s="308" t="s">
        <v>108</v>
      </c>
      <c r="D14" s="309" t="s">
        <v>46</v>
      </c>
      <c r="E14" s="306">
        <f t="shared" si="0"/>
        <v>62436</v>
      </c>
      <c r="F14" s="7">
        <f>VLOOKUP(C14,'361'!$A$26:$Q$71,17,FALSE)</f>
        <v>18161</v>
      </c>
      <c r="G14" s="7">
        <f>VLOOKUP(C14,'362'!$A$26:$Q$71,17,FALSE)</f>
        <v>18013</v>
      </c>
      <c r="H14" s="7">
        <f>VLOOKUP(C14,'364'!$A$26:$Q$71,17,FALSE)</f>
        <v>26262</v>
      </c>
    </row>
    <row r="15" spans="1:15" x14ac:dyDescent="0.35">
      <c r="A15" s="223"/>
      <c r="B15" s="307">
        <f t="shared" si="1"/>
        <v>2024</v>
      </c>
      <c r="C15" s="308" t="s">
        <v>268</v>
      </c>
      <c r="D15" s="309" t="s">
        <v>269</v>
      </c>
      <c r="E15" s="306">
        <f t="shared" si="0"/>
        <v>164720</v>
      </c>
      <c r="F15" s="7">
        <f>VLOOKUP(C15,'361'!$A$26:$Q$71,17,FALSE)</f>
        <v>49416</v>
      </c>
      <c r="G15" s="7">
        <f>VLOOKUP(C15,'362'!$A$26:$Q$71,17,FALSE)</f>
        <v>57651.999999999993</v>
      </c>
      <c r="H15" s="7">
        <f>VLOOKUP(C15,'364'!$A$26:$Q$71,17,FALSE)</f>
        <v>57651.999999999993</v>
      </c>
    </row>
    <row r="16" spans="1:15" ht="16.5" thickBot="1" x14ac:dyDescent="0.4">
      <c r="B16" s="310">
        <f>+B15</f>
        <v>2024</v>
      </c>
      <c r="C16" s="311" t="s">
        <v>112</v>
      </c>
      <c r="D16" s="312" t="s">
        <v>270</v>
      </c>
      <c r="E16" s="306">
        <f t="shared" si="0"/>
        <v>136489.81423847354</v>
      </c>
      <c r="F16" s="7">
        <f>VLOOKUP(C16,'361'!$A$26:$Q$71,17,FALSE)</f>
        <v>47921.477106255414</v>
      </c>
      <c r="G16" s="7">
        <f>VLOOKUP(C16,'362'!$A$26:$Q$71,17,FALSE)</f>
        <v>27835.104000795847</v>
      </c>
      <c r="H16" s="7">
        <f>VLOOKUP(C16,'364'!$A$26:$Q$71,17,FALSE)</f>
        <v>60733.233131422297</v>
      </c>
    </row>
    <row r="17" spans="1:10" ht="16.5" thickBot="1" x14ac:dyDescent="0.4">
      <c r="A17" s="24"/>
      <c r="D17" s="313" t="s">
        <v>291</v>
      </c>
      <c r="E17" s="314">
        <f>SUM(E5:E16)</f>
        <v>714938.70423847355</v>
      </c>
      <c r="F17" s="314">
        <f>SUM(F5:F16)</f>
        <v>237669.44710625542</v>
      </c>
      <c r="G17" s="314">
        <f t="shared" ref="G17:H17" si="2">SUM(G5:G16)</f>
        <v>218414.43400079585</v>
      </c>
      <c r="H17" s="314">
        <f t="shared" si="2"/>
        <v>258854.82313142228</v>
      </c>
    </row>
    <row r="18" spans="1:10" x14ac:dyDescent="0.35">
      <c r="D18" s="315"/>
      <c r="E18" s="315"/>
      <c r="F18" s="32"/>
    </row>
    <row r="19" spans="1:10" x14ac:dyDescent="0.35">
      <c r="A19" s="24"/>
      <c r="D19" s="298" t="s">
        <v>457</v>
      </c>
      <c r="E19" s="306">
        <f>SUM(F19:H19)</f>
        <v>60959.75</v>
      </c>
      <c r="F19" s="13">
        <v>20086.189999999999</v>
      </c>
      <c r="G19" s="13">
        <v>22818.05</v>
      </c>
      <c r="H19" s="13">
        <v>18055.509999999998</v>
      </c>
      <c r="J19" s="7" t="s">
        <v>463</v>
      </c>
    </row>
    <row r="20" spans="1:10" x14ac:dyDescent="0.35">
      <c r="A20" s="24"/>
      <c r="D20" s="298" t="s">
        <v>458</v>
      </c>
      <c r="E20" s="306">
        <f t="shared" ref="E20:E22" si="3">SUM(F20:H20)</f>
        <v>6712.26</v>
      </c>
      <c r="F20" s="13">
        <v>1618.89</v>
      </c>
      <c r="G20" s="13">
        <v>2354.1</v>
      </c>
      <c r="H20" s="13">
        <v>2739.27</v>
      </c>
      <c r="J20" s="7" t="s">
        <v>464</v>
      </c>
    </row>
    <row r="21" spans="1:10" x14ac:dyDescent="0.35">
      <c r="D21" s="298" t="s">
        <v>459</v>
      </c>
      <c r="E21" s="306">
        <f t="shared" si="3"/>
        <v>5070</v>
      </c>
      <c r="F21" s="78">
        <f t="shared" ref="F21:H22" si="4">ROUND(+F19/12,-1)</f>
        <v>1670</v>
      </c>
      <c r="G21" s="78">
        <f t="shared" si="4"/>
        <v>1900</v>
      </c>
      <c r="H21" s="78">
        <f t="shared" si="4"/>
        <v>1500</v>
      </c>
    </row>
    <row r="22" spans="1:10" x14ac:dyDescent="0.35">
      <c r="D22" s="298" t="s">
        <v>460</v>
      </c>
      <c r="E22" s="306">
        <f t="shared" si="3"/>
        <v>560</v>
      </c>
      <c r="F22" s="78">
        <f t="shared" si="4"/>
        <v>130</v>
      </c>
      <c r="G22" s="78">
        <f t="shared" si="4"/>
        <v>200</v>
      </c>
      <c r="H22" s="78">
        <f t="shared" si="4"/>
        <v>230</v>
      </c>
    </row>
  </sheetData>
  <sheetProtection sheet="1" objects="1" scenarios="1"/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120D0-6EF4-4CC5-B43F-19F5FB1B11DA}">
  <sheetPr>
    <tabColor rgb="FFFFC000"/>
  </sheetPr>
  <dimension ref="A1:P24"/>
  <sheetViews>
    <sheetView view="pageBreakPreview" zoomScale="160" zoomScaleNormal="130" zoomScaleSheetLayoutView="160" workbookViewId="0">
      <selection activeCell="K31" sqref="K31"/>
    </sheetView>
  </sheetViews>
  <sheetFormatPr defaultColWidth="8.81640625" defaultRowHeight="16" x14ac:dyDescent="0.35"/>
  <cols>
    <col min="1" max="1" width="17" style="7" customWidth="1"/>
    <col min="2" max="2" width="14.453125" style="7" customWidth="1"/>
    <col min="3" max="8" width="11.81640625" style="7" customWidth="1"/>
    <col min="9" max="9" width="10" style="7" bestFit="1" customWidth="1"/>
    <col min="10" max="14" width="9.54296875" style="7" bestFit="1" customWidth="1"/>
    <col min="15" max="15" width="12.453125" style="9" bestFit="1" customWidth="1"/>
    <col min="16" max="16" width="9.54296875" style="7" bestFit="1" customWidth="1"/>
    <col min="17" max="16384" width="8.81640625" style="7"/>
  </cols>
  <sheetData>
    <row r="1" spans="1:16" ht="29" x14ac:dyDescent="0.5">
      <c r="A1" s="8" t="s">
        <v>135</v>
      </c>
      <c r="C1" s="18" t="s">
        <v>38</v>
      </c>
      <c r="D1" s="404"/>
      <c r="E1" s="19"/>
      <c r="F1" s="19"/>
      <c r="G1" s="19"/>
      <c r="H1" s="19"/>
      <c r="I1" s="19"/>
      <c r="J1" s="19"/>
      <c r="K1" s="19"/>
      <c r="L1" s="19"/>
      <c r="M1" s="19"/>
      <c r="N1" s="19"/>
      <c r="O1" s="23">
        <f>'JV III Consolidated'!$Q$1</f>
        <v>46023</v>
      </c>
      <c r="P1" s="19"/>
    </row>
    <row r="2" spans="1:16" ht="18" x14ac:dyDescent="0.35">
      <c r="C2" s="79" t="str">
        <f>'JV III Consolidated'!J2</f>
        <v>Lincoln JV III</v>
      </c>
      <c r="D2" s="404"/>
      <c r="E2" s="19"/>
      <c r="F2" s="19"/>
      <c r="G2" s="19"/>
      <c r="H2" s="19"/>
      <c r="I2" s="19"/>
      <c r="J2" s="19"/>
      <c r="K2" s="19"/>
      <c r="L2" s="19"/>
      <c r="M2" s="19"/>
      <c r="N2" s="19"/>
      <c r="O2" s="404"/>
      <c r="P2" s="19"/>
    </row>
    <row r="3" spans="1:16" x14ac:dyDescent="0.35">
      <c r="G3" s="62"/>
    </row>
    <row r="4" spans="1:16" ht="18" x14ac:dyDescent="0.35">
      <c r="A4" s="8"/>
      <c r="B4" s="10" t="s">
        <v>537</v>
      </c>
      <c r="M4" s="84"/>
      <c r="N4" s="84"/>
    </row>
    <row r="5" spans="1:16" x14ac:dyDescent="0.35">
      <c r="C5" s="81" t="s">
        <v>0</v>
      </c>
      <c r="D5" s="81" t="s">
        <v>1</v>
      </c>
      <c r="E5" s="81" t="s">
        <v>2</v>
      </c>
      <c r="F5" s="81" t="s">
        <v>3</v>
      </c>
      <c r="G5" s="81" t="s">
        <v>4</v>
      </c>
      <c r="H5" s="81" t="s">
        <v>5</v>
      </c>
      <c r="I5" s="81" t="s">
        <v>6</v>
      </c>
      <c r="J5" s="81" t="s">
        <v>7</v>
      </c>
      <c r="K5" s="81" t="s">
        <v>8</v>
      </c>
      <c r="L5" s="81" t="s">
        <v>9</v>
      </c>
      <c r="M5" s="81" t="s">
        <v>10</v>
      </c>
      <c r="N5" s="81" t="s">
        <v>11</v>
      </c>
      <c r="O5" s="408" t="s">
        <v>12</v>
      </c>
      <c r="P5" s="14"/>
    </row>
    <row r="6" spans="1:16" x14ac:dyDescent="0.35">
      <c r="B6" s="223">
        <f>'361'!$B$1</f>
        <v>3610</v>
      </c>
      <c r="C6" s="47">
        <f>C14+C21</f>
        <v>0</v>
      </c>
      <c r="D6" s="47">
        <f t="shared" ref="D6:N6" si="0">D14+D21</f>
        <v>0</v>
      </c>
      <c r="E6" s="47">
        <f t="shared" si="0"/>
        <v>0</v>
      </c>
      <c r="F6" s="47">
        <f t="shared" si="0"/>
        <v>0</v>
      </c>
      <c r="G6" s="47">
        <f t="shared" si="0"/>
        <v>0</v>
      </c>
      <c r="H6" s="47">
        <f t="shared" si="0"/>
        <v>0</v>
      </c>
      <c r="I6" s="47">
        <f t="shared" si="0"/>
        <v>0</v>
      </c>
      <c r="J6" s="47">
        <f t="shared" si="0"/>
        <v>0</v>
      </c>
      <c r="K6" s="47">
        <f t="shared" si="0"/>
        <v>0</v>
      </c>
      <c r="L6" s="47">
        <f t="shared" si="0"/>
        <v>0</v>
      </c>
      <c r="M6" s="47">
        <f t="shared" si="0"/>
        <v>0</v>
      </c>
      <c r="N6" s="47">
        <f t="shared" si="0"/>
        <v>0</v>
      </c>
      <c r="O6" s="409">
        <f>SUM(C6:N6)</f>
        <v>0</v>
      </c>
      <c r="P6" s="78"/>
    </row>
    <row r="7" spans="1:16" x14ac:dyDescent="0.35">
      <c r="B7" s="223">
        <f>'362'!$B$1</f>
        <v>3620</v>
      </c>
      <c r="C7" s="7">
        <f t="shared" ref="C7:N7" si="1">C15+C22</f>
        <v>0</v>
      </c>
      <c r="D7" s="7">
        <f t="shared" si="1"/>
        <v>0</v>
      </c>
      <c r="E7" s="7">
        <f t="shared" si="1"/>
        <v>0</v>
      </c>
      <c r="F7" s="7">
        <f t="shared" si="1"/>
        <v>0</v>
      </c>
      <c r="G7" s="7">
        <f t="shared" si="1"/>
        <v>0</v>
      </c>
      <c r="H7" s="7">
        <f t="shared" si="1"/>
        <v>0</v>
      </c>
      <c r="I7" s="7">
        <f t="shared" si="1"/>
        <v>0</v>
      </c>
      <c r="J7" s="7">
        <f t="shared" si="1"/>
        <v>0</v>
      </c>
      <c r="K7" s="7">
        <f t="shared" si="1"/>
        <v>0</v>
      </c>
      <c r="L7" s="7">
        <f t="shared" si="1"/>
        <v>0</v>
      </c>
      <c r="M7" s="7">
        <f t="shared" si="1"/>
        <v>0</v>
      </c>
      <c r="N7" s="7">
        <f t="shared" si="1"/>
        <v>0</v>
      </c>
      <c r="O7" s="409">
        <f t="shared" ref="O7:O8" si="2">SUM(C7:N7)</f>
        <v>0</v>
      </c>
      <c r="P7" s="78"/>
    </row>
    <row r="8" spans="1:16" x14ac:dyDescent="0.35">
      <c r="B8" s="223">
        <f>'364'!$B$1</f>
        <v>3640</v>
      </c>
      <c r="C8" s="16">
        <f t="shared" ref="C8:N8" si="3">C16+C23</f>
        <v>0</v>
      </c>
      <c r="D8" s="16">
        <f t="shared" si="3"/>
        <v>0</v>
      </c>
      <c r="E8" s="16">
        <f t="shared" si="3"/>
        <v>0</v>
      </c>
      <c r="F8" s="16">
        <f t="shared" si="3"/>
        <v>0</v>
      </c>
      <c r="G8" s="16">
        <f t="shared" si="3"/>
        <v>0</v>
      </c>
      <c r="H8" s="16">
        <f t="shared" si="3"/>
        <v>0</v>
      </c>
      <c r="I8" s="16">
        <f t="shared" si="3"/>
        <v>0</v>
      </c>
      <c r="J8" s="16">
        <f t="shared" si="3"/>
        <v>0</v>
      </c>
      <c r="K8" s="16">
        <f t="shared" si="3"/>
        <v>0</v>
      </c>
      <c r="L8" s="16">
        <f t="shared" si="3"/>
        <v>0</v>
      </c>
      <c r="M8" s="16">
        <f t="shared" si="3"/>
        <v>0</v>
      </c>
      <c r="N8" s="16">
        <f t="shared" si="3"/>
        <v>0</v>
      </c>
      <c r="O8" s="410">
        <f t="shared" si="2"/>
        <v>0</v>
      </c>
      <c r="P8" s="78"/>
    </row>
    <row r="9" spans="1:16" x14ac:dyDescent="0.35">
      <c r="B9" s="91" t="s">
        <v>291</v>
      </c>
      <c r="C9" s="9">
        <f t="shared" ref="C9:O9" si="4">SUM(C6:C8)</f>
        <v>0</v>
      </c>
      <c r="D9" s="9">
        <f t="shared" si="4"/>
        <v>0</v>
      </c>
      <c r="E9" s="9">
        <f t="shared" si="4"/>
        <v>0</v>
      </c>
      <c r="F9" s="9">
        <f t="shared" si="4"/>
        <v>0</v>
      </c>
      <c r="G9" s="9">
        <f t="shared" si="4"/>
        <v>0</v>
      </c>
      <c r="H9" s="9">
        <f t="shared" si="4"/>
        <v>0</v>
      </c>
      <c r="I9" s="9">
        <f t="shared" si="4"/>
        <v>0</v>
      </c>
      <c r="J9" s="9">
        <f t="shared" si="4"/>
        <v>0</v>
      </c>
      <c r="K9" s="9">
        <f t="shared" si="4"/>
        <v>0</v>
      </c>
      <c r="L9" s="9">
        <f t="shared" si="4"/>
        <v>0</v>
      </c>
      <c r="M9" s="9">
        <f t="shared" si="4"/>
        <v>0</v>
      </c>
      <c r="N9" s="9">
        <f t="shared" si="4"/>
        <v>0</v>
      </c>
      <c r="O9" s="9">
        <f t="shared" si="4"/>
        <v>0</v>
      </c>
      <c r="P9" s="83"/>
    </row>
    <row r="10" spans="1:16" ht="16.5" thickBot="1" x14ac:dyDescent="0.4">
      <c r="A10" s="401"/>
      <c r="B10" s="401"/>
      <c r="C10" s="401"/>
      <c r="D10" s="401"/>
      <c r="E10" s="401"/>
      <c r="F10" s="401"/>
      <c r="G10" s="402"/>
      <c r="H10" s="401"/>
      <c r="I10" s="401"/>
      <c r="J10" s="401"/>
      <c r="K10" s="401"/>
      <c r="L10" s="401"/>
      <c r="M10" s="401"/>
      <c r="N10" s="401"/>
      <c r="O10" s="411"/>
    </row>
    <row r="11" spans="1:16" x14ac:dyDescent="0.35">
      <c r="G11" s="412"/>
    </row>
    <row r="12" spans="1:16" ht="17.5" x14ac:dyDescent="0.35">
      <c r="A12" s="10" t="s">
        <v>532</v>
      </c>
      <c r="B12" s="10" t="s">
        <v>545</v>
      </c>
      <c r="M12" s="84"/>
      <c r="N12" s="84"/>
    </row>
    <row r="13" spans="1:16" x14ac:dyDescent="0.35">
      <c r="C13" s="81" t="s">
        <v>0</v>
      </c>
      <c r="D13" s="81" t="s">
        <v>1</v>
      </c>
      <c r="E13" s="81" t="s">
        <v>2</v>
      </c>
      <c r="F13" s="81" t="s">
        <v>3</v>
      </c>
      <c r="G13" s="81" t="s">
        <v>4</v>
      </c>
      <c r="H13" s="81" t="s">
        <v>5</v>
      </c>
      <c r="I13" s="81" t="s">
        <v>6</v>
      </c>
      <c r="J13" s="81" t="s">
        <v>7</v>
      </c>
      <c r="K13" s="81" t="s">
        <v>8</v>
      </c>
      <c r="L13" s="81" t="s">
        <v>9</v>
      </c>
      <c r="M13" s="81" t="s">
        <v>10</v>
      </c>
      <c r="N13" s="81" t="s">
        <v>11</v>
      </c>
      <c r="O13" s="408" t="s">
        <v>12</v>
      </c>
      <c r="P13" s="14"/>
    </row>
    <row r="14" spans="1:16" x14ac:dyDescent="0.35">
      <c r="B14" s="223">
        <f>'361'!$B$1</f>
        <v>3610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409">
        <f>SUM(C14:N14)</f>
        <v>0</v>
      </c>
      <c r="P14" s="78"/>
    </row>
    <row r="15" spans="1:16" x14ac:dyDescent="0.35">
      <c r="B15" s="223">
        <f>'362'!$B$1</f>
        <v>3620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409">
        <f t="shared" ref="O15:O16" si="5">SUM(C15:N15)</f>
        <v>0</v>
      </c>
      <c r="P15" s="78"/>
    </row>
    <row r="16" spans="1:16" x14ac:dyDescent="0.35">
      <c r="B16" s="223">
        <f>'364'!$B$1</f>
        <v>3640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410">
        <f t="shared" si="5"/>
        <v>0</v>
      </c>
      <c r="P16" s="78"/>
    </row>
    <row r="17" spans="1:16" x14ac:dyDescent="0.35">
      <c r="B17" s="91" t="s">
        <v>291</v>
      </c>
      <c r="C17" s="9">
        <f t="shared" ref="C17:O17" si="6">SUM(C14:C16)</f>
        <v>0</v>
      </c>
      <c r="D17" s="9">
        <f t="shared" si="6"/>
        <v>0</v>
      </c>
      <c r="E17" s="9">
        <f t="shared" si="6"/>
        <v>0</v>
      </c>
      <c r="F17" s="9">
        <f t="shared" si="6"/>
        <v>0</v>
      </c>
      <c r="G17" s="9">
        <f t="shared" si="6"/>
        <v>0</v>
      </c>
      <c r="H17" s="9">
        <f t="shared" si="6"/>
        <v>0</v>
      </c>
      <c r="I17" s="9">
        <f t="shared" si="6"/>
        <v>0</v>
      </c>
      <c r="J17" s="9">
        <f t="shared" si="6"/>
        <v>0</v>
      </c>
      <c r="K17" s="9">
        <f t="shared" si="6"/>
        <v>0</v>
      </c>
      <c r="L17" s="9">
        <f t="shared" si="6"/>
        <v>0</v>
      </c>
      <c r="M17" s="9">
        <f t="shared" si="6"/>
        <v>0</v>
      </c>
      <c r="N17" s="9">
        <f t="shared" si="6"/>
        <v>0</v>
      </c>
      <c r="O17" s="9">
        <f t="shared" si="6"/>
        <v>0</v>
      </c>
      <c r="P17" s="83"/>
    </row>
    <row r="19" spans="1:16" ht="17.5" x14ac:dyDescent="0.35">
      <c r="A19" s="10" t="s">
        <v>532</v>
      </c>
      <c r="B19" s="10" t="s">
        <v>546</v>
      </c>
      <c r="C19" s="14"/>
      <c r="N19" s="84"/>
    </row>
    <row r="20" spans="1:16" x14ac:dyDescent="0.35">
      <c r="C20" s="81" t="s">
        <v>0</v>
      </c>
      <c r="D20" s="81" t="s">
        <v>1</v>
      </c>
      <c r="E20" s="81" t="s">
        <v>2</v>
      </c>
      <c r="F20" s="81" t="s">
        <v>3</v>
      </c>
      <c r="G20" s="81" t="s">
        <v>4</v>
      </c>
      <c r="H20" s="81" t="s">
        <v>5</v>
      </c>
      <c r="I20" s="81" t="s">
        <v>6</v>
      </c>
      <c r="J20" s="81" t="s">
        <v>7</v>
      </c>
      <c r="K20" s="81" t="s">
        <v>8</v>
      </c>
      <c r="L20" s="81" t="s">
        <v>9</v>
      </c>
      <c r="M20" s="81" t="s">
        <v>10</v>
      </c>
      <c r="N20" s="81" t="s">
        <v>11</v>
      </c>
      <c r="O20" s="408" t="s">
        <v>12</v>
      </c>
      <c r="P20" s="14"/>
    </row>
    <row r="21" spans="1:16" x14ac:dyDescent="0.35">
      <c r="B21" s="223">
        <f>'361'!$B$1</f>
        <v>3610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409">
        <f>SUM(C21:N21)</f>
        <v>0</v>
      </c>
      <c r="P21" s="78"/>
    </row>
    <row r="22" spans="1:16" x14ac:dyDescent="0.35">
      <c r="B22" s="223">
        <f>'362'!$B$1</f>
        <v>3620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409">
        <f t="shared" ref="O22:O23" si="7">SUM(C22:N22)</f>
        <v>0</v>
      </c>
      <c r="P22" s="78"/>
    </row>
    <row r="23" spans="1:16" x14ac:dyDescent="0.35">
      <c r="B23" s="223">
        <f>'364'!$B$1</f>
        <v>3640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409">
        <f t="shared" si="7"/>
        <v>0</v>
      </c>
      <c r="P23" s="400"/>
    </row>
    <row r="24" spans="1:16" x14ac:dyDescent="0.35">
      <c r="B24" s="91" t="s">
        <v>291</v>
      </c>
      <c r="C24" s="9">
        <f t="shared" ref="C24:O24" si="8">SUM(C21:C23)</f>
        <v>0</v>
      </c>
      <c r="D24" s="93">
        <f t="shared" si="8"/>
        <v>0</v>
      </c>
      <c r="E24" s="93">
        <f t="shared" si="8"/>
        <v>0</v>
      </c>
      <c r="F24" s="93">
        <f t="shared" si="8"/>
        <v>0</v>
      </c>
      <c r="G24" s="93">
        <f t="shared" si="8"/>
        <v>0</v>
      </c>
      <c r="H24" s="93">
        <f t="shared" si="8"/>
        <v>0</v>
      </c>
      <c r="I24" s="93">
        <f t="shared" si="8"/>
        <v>0</v>
      </c>
      <c r="J24" s="93">
        <f t="shared" si="8"/>
        <v>0</v>
      </c>
      <c r="K24" s="93">
        <f t="shared" si="8"/>
        <v>0</v>
      </c>
      <c r="L24" s="93">
        <f t="shared" si="8"/>
        <v>0</v>
      </c>
      <c r="M24" s="93">
        <f t="shared" si="8"/>
        <v>0</v>
      </c>
      <c r="N24" s="93">
        <f t="shared" si="8"/>
        <v>0</v>
      </c>
      <c r="O24" s="93">
        <f t="shared" si="8"/>
        <v>0</v>
      </c>
      <c r="P24" s="83"/>
    </row>
  </sheetData>
  <sheetProtection selectLockedCells="1"/>
  <printOptions horizontalCentered="1" verticalCentered="1"/>
  <pageMargins left="0.25" right="0.25" top="0.75" bottom="0.75" header="0.3" footer="0.3"/>
  <pageSetup scale="45" fitToHeight="0" orientation="landscape" verticalDpi="300" r:id="rId1"/>
  <headerFooter>
    <oddFooter>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95295-245D-4550-B987-FBA9C18D891C}">
  <sheetPr>
    <tabColor rgb="FFFFC000"/>
  </sheetPr>
  <dimension ref="A1:P31"/>
  <sheetViews>
    <sheetView view="pageBreakPreview" topLeftCell="A2" zoomScale="160" zoomScaleNormal="130" zoomScaleSheetLayoutView="160" workbookViewId="0">
      <selection activeCell="A66" sqref="A66"/>
    </sheetView>
  </sheetViews>
  <sheetFormatPr defaultColWidth="8.81640625" defaultRowHeight="16" x14ac:dyDescent="0.35"/>
  <cols>
    <col min="1" max="1" width="17" style="7" customWidth="1"/>
    <col min="2" max="2" width="14.453125" style="7" customWidth="1"/>
    <col min="3" max="8" width="11.81640625" style="7" customWidth="1"/>
    <col min="9" max="9" width="10" style="7" bestFit="1" customWidth="1"/>
    <col min="10" max="14" width="9.54296875" style="7" bestFit="1" customWidth="1"/>
    <col min="15" max="15" width="12.453125" style="9" bestFit="1" customWidth="1"/>
    <col min="16" max="16" width="9.54296875" style="7" bestFit="1" customWidth="1"/>
    <col min="17" max="16384" width="8.81640625" style="7"/>
  </cols>
  <sheetData>
    <row r="1" spans="1:16" ht="29" x14ac:dyDescent="0.5">
      <c r="A1" s="8" t="s">
        <v>106</v>
      </c>
      <c r="C1" s="18" t="s">
        <v>43</v>
      </c>
      <c r="D1" s="404"/>
      <c r="E1" s="19"/>
      <c r="F1" s="19"/>
      <c r="G1" s="19"/>
      <c r="H1" s="19"/>
      <c r="I1" s="19"/>
      <c r="J1" s="19"/>
      <c r="K1" s="19"/>
      <c r="L1" s="19"/>
      <c r="M1" s="19"/>
      <c r="N1" s="19"/>
      <c r="O1" s="23">
        <f>'JV III Consolidated'!$Q$1</f>
        <v>46023</v>
      </c>
      <c r="P1" s="19"/>
    </row>
    <row r="2" spans="1:16" ht="18" x14ac:dyDescent="0.35">
      <c r="B2" s="79" t="str">
        <f>'JV III Consolidated'!J2</f>
        <v>Lincoln JV III</v>
      </c>
      <c r="C2" s="19"/>
      <c r="D2" s="404"/>
      <c r="E2" s="19"/>
      <c r="F2" s="19"/>
      <c r="G2" s="19"/>
      <c r="H2" s="19"/>
      <c r="I2" s="19"/>
      <c r="J2" s="19"/>
      <c r="K2" s="19"/>
      <c r="L2" s="19"/>
      <c r="M2" s="19"/>
      <c r="N2" s="19"/>
      <c r="O2" s="404"/>
      <c r="P2" s="19"/>
    </row>
    <row r="3" spans="1:16" x14ac:dyDescent="0.35">
      <c r="G3" s="62"/>
    </row>
    <row r="4" spans="1:16" ht="18" x14ac:dyDescent="0.35">
      <c r="A4" s="8"/>
      <c r="B4" s="10" t="s">
        <v>537</v>
      </c>
      <c r="M4" s="84"/>
      <c r="N4" s="84"/>
    </row>
    <row r="5" spans="1:16" x14ac:dyDescent="0.35">
      <c r="C5" s="14" t="s">
        <v>0</v>
      </c>
      <c r="D5" s="14" t="s">
        <v>1</v>
      </c>
      <c r="E5" s="14" t="s">
        <v>2</v>
      </c>
      <c r="F5" s="14" t="s">
        <v>3</v>
      </c>
      <c r="G5" s="14" t="s">
        <v>4</v>
      </c>
      <c r="H5" s="14" t="s">
        <v>5</v>
      </c>
      <c r="I5" s="14" t="s">
        <v>6</v>
      </c>
      <c r="J5" s="14" t="s">
        <v>7</v>
      </c>
      <c r="K5" s="14" t="s">
        <v>8</v>
      </c>
      <c r="L5" s="14" t="s">
        <v>9</v>
      </c>
      <c r="M5" s="14" t="s">
        <v>10</v>
      </c>
      <c r="N5" s="14" t="s">
        <v>11</v>
      </c>
      <c r="O5" s="408" t="s">
        <v>12</v>
      </c>
      <c r="P5" s="14"/>
    </row>
    <row r="6" spans="1:16" x14ac:dyDescent="0.35">
      <c r="B6" s="223">
        <f>'361'!$B$1</f>
        <v>3610</v>
      </c>
      <c r="C6" s="47">
        <f>C14+C21+C28</f>
        <v>0</v>
      </c>
      <c r="D6" s="47">
        <f t="shared" ref="D6:N6" si="0">D14+D21+D28</f>
        <v>0</v>
      </c>
      <c r="E6" s="47">
        <f t="shared" si="0"/>
        <v>0</v>
      </c>
      <c r="F6" s="47">
        <f t="shared" si="0"/>
        <v>0</v>
      </c>
      <c r="G6" s="47">
        <f t="shared" si="0"/>
        <v>0</v>
      </c>
      <c r="H6" s="47">
        <f t="shared" si="0"/>
        <v>0</v>
      </c>
      <c r="I6" s="47">
        <f t="shared" si="0"/>
        <v>0</v>
      </c>
      <c r="J6" s="47">
        <f t="shared" si="0"/>
        <v>0</v>
      </c>
      <c r="K6" s="47">
        <f t="shared" si="0"/>
        <v>0</v>
      </c>
      <c r="L6" s="47">
        <f t="shared" si="0"/>
        <v>0</v>
      </c>
      <c r="M6" s="47">
        <f t="shared" si="0"/>
        <v>0</v>
      </c>
      <c r="N6" s="47">
        <f t="shared" si="0"/>
        <v>0</v>
      </c>
      <c r="O6" s="409">
        <f>SUM(C6:N6)</f>
        <v>0</v>
      </c>
      <c r="P6" s="78"/>
    </row>
    <row r="7" spans="1:16" x14ac:dyDescent="0.35">
      <c r="B7" s="223">
        <f>'362'!$B$1</f>
        <v>3620</v>
      </c>
      <c r="C7" s="7">
        <f t="shared" ref="C7:N7" si="1">C15+C22+C29</f>
        <v>0</v>
      </c>
      <c r="D7" s="7">
        <f t="shared" si="1"/>
        <v>0</v>
      </c>
      <c r="E7" s="7">
        <f t="shared" si="1"/>
        <v>0</v>
      </c>
      <c r="F7" s="7">
        <f t="shared" si="1"/>
        <v>0</v>
      </c>
      <c r="G7" s="7">
        <f t="shared" si="1"/>
        <v>0</v>
      </c>
      <c r="H7" s="7">
        <f t="shared" si="1"/>
        <v>0</v>
      </c>
      <c r="I7" s="7">
        <f t="shared" si="1"/>
        <v>0</v>
      </c>
      <c r="J7" s="7">
        <f t="shared" si="1"/>
        <v>0</v>
      </c>
      <c r="K7" s="7">
        <f t="shared" si="1"/>
        <v>0</v>
      </c>
      <c r="L7" s="7">
        <f t="shared" si="1"/>
        <v>0</v>
      </c>
      <c r="M7" s="7">
        <f t="shared" si="1"/>
        <v>0</v>
      </c>
      <c r="N7" s="7">
        <f t="shared" si="1"/>
        <v>0</v>
      </c>
      <c r="O7" s="409">
        <f t="shared" ref="O7:O8" si="2">SUM(C7:N7)</f>
        <v>0</v>
      </c>
      <c r="P7" s="78"/>
    </row>
    <row r="8" spans="1:16" x14ac:dyDescent="0.35">
      <c r="B8" s="223">
        <f>'364'!$B$1</f>
        <v>3640</v>
      </c>
      <c r="C8" s="16">
        <f t="shared" ref="C8:N8" si="3">C16+C23+C30</f>
        <v>0</v>
      </c>
      <c r="D8" s="16">
        <f t="shared" si="3"/>
        <v>0</v>
      </c>
      <c r="E8" s="16">
        <f t="shared" si="3"/>
        <v>0</v>
      </c>
      <c r="F8" s="16">
        <f t="shared" si="3"/>
        <v>0</v>
      </c>
      <c r="G8" s="16">
        <f t="shared" si="3"/>
        <v>0</v>
      </c>
      <c r="H8" s="16">
        <f t="shared" si="3"/>
        <v>0</v>
      </c>
      <c r="I8" s="16">
        <f t="shared" si="3"/>
        <v>0</v>
      </c>
      <c r="J8" s="16">
        <f t="shared" si="3"/>
        <v>0</v>
      </c>
      <c r="K8" s="16">
        <f t="shared" si="3"/>
        <v>0</v>
      </c>
      <c r="L8" s="16">
        <f t="shared" si="3"/>
        <v>0</v>
      </c>
      <c r="M8" s="16">
        <f t="shared" si="3"/>
        <v>0</v>
      </c>
      <c r="N8" s="16">
        <f t="shared" si="3"/>
        <v>0</v>
      </c>
      <c r="O8" s="410">
        <f t="shared" si="2"/>
        <v>0</v>
      </c>
      <c r="P8" s="78"/>
    </row>
    <row r="9" spans="1:16" x14ac:dyDescent="0.35">
      <c r="B9" s="91" t="s">
        <v>291</v>
      </c>
      <c r="C9" s="9">
        <f t="shared" ref="C9:O9" si="4">SUM(C6:C8)</f>
        <v>0</v>
      </c>
      <c r="D9" s="9">
        <f t="shared" si="4"/>
        <v>0</v>
      </c>
      <c r="E9" s="9">
        <f t="shared" si="4"/>
        <v>0</v>
      </c>
      <c r="F9" s="9">
        <f t="shared" si="4"/>
        <v>0</v>
      </c>
      <c r="G9" s="9">
        <f t="shared" si="4"/>
        <v>0</v>
      </c>
      <c r="H9" s="9">
        <f t="shared" si="4"/>
        <v>0</v>
      </c>
      <c r="I9" s="9">
        <f t="shared" si="4"/>
        <v>0</v>
      </c>
      <c r="J9" s="9">
        <f t="shared" si="4"/>
        <v>0</v>
      </c>
      <c r="K9" s="9">
        <f t="shared" si="4"/>
        <v>0</v>
      </c>
      <c r="L9" s="9">
        <f t="shared" si="4"/>
        <v>0</v>
      </c>
      <c r="M9" s="9">
        <f t="shared" si="4"/>
        <v>0</v>
      </c>
      <c r="N9" s="9">
        <f t="shared" si="4"/>
        <v>0</v>
      </c>
      <c r="O9" s="9">
        <f t="shared" si="4"/>
        <v>0</v>
      </c>
      <c r="P9" s="83"/>
    </row>
    <row r="10" spans="1:16" ht="16.5" thickBot="1" x14ac:dyDescent="0.4">
      <c r="A10" s="401"/>
      <c r="B10" s="401"/>
      <c r="C10" s="401"/>
      <c r="D10" s="401"/>
      <c r="E10" s="401"/>
      <c r="F10" s="401"/>
      <c r="G10" s="402"/>
      <c r="H10" s="401"/>
      <c r="I10" s="401"/>
      <c r="J10" s="401"/>
      <c r="K10" s="401"/>
      <c r="L10" s="401"/>
      <c r="M10" s="401"/>
      <c r="N10" s="401"/>
      <c r="O10" s="411"/>
    </row>
    <row r="11" spans="1:16" x14ac:dyDescent="0.35">
      <c r="G11" s="412"/>
    </row>
    <row r="12" spans="1:16" ht="17.5" x14ac:dyDescent="0.35">
      <c r="A12" s="10" t="s">
        <v>532</v>
      </c>
      <c r="B12" s="10" t="s">
        <v>547</v>
      </c>
      <c r="M12" s="84"/>
      <c r="N12" s="84"/>
    </row>
    <row r="13" spans="1:16" x14ac:dyDescent="0.35">
      <c r="C13" s="81" t="s">
        <v>0</v>
      </c>
      <c r="D13" s="81" t="s">
        <v>1</v>
      </c>
      <c r="E13" s="81" t="s">
        <v>2</v>
      </c>
      <c r="F13" s="81" t="s">
        <v>3</v>
      </c>
      <c r="G13" s="81" t="s">
        <v>4</v>
      </c>
      <c r="H13" s="81" t="s">
        <v>5</v>
      </c>
      <c r="I13" s="81" t="s">
        <v>6</v>
      </c>
      <c r="J13" s="81" t="s">
        <v>7</v>
      </c>
      <c r="K13" s="81" t="s">
        <v>8</v>
      </c>
      <c r="L13" s="81" t="s">
        <v>9</v>
      </c>
      <c r="M13" s="81" t="s">
        <v>10</v>
      </c>
      <c r="N13" s="81" t="s">
        <v>11</v>
      </c>
      <c r="O13" s="408" t="s">
        <v>12</v>
      </c>
      <c r="P13" s="14"/>
    </row>
    <row r="14" spans="1:16" x14ac:dyDescent="0.35">
      <c r="B14" s="223">
        <f>'361'!$B$1</f>
        <v>3610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409">
        <f>SUM(C14:N14)</f>
        <v>0</v>
      </c>
      <c r="P14" s="78"/>
    </row>
    <row r="15" spans="1:16" x14ac:dyDescent="0.35">
      <c r="B15" s="223">
        <f>'362'!$B$1</f>
        <v>3620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409">
        <f t="shared" ref="O15:O16" si="5">SUM(C15:N15)</f>
        <v>0</v>
      </c>
      <c r="P15" s="78"/>
    </row>
    <row r="16" spans="1:16" x14ac:dyDescent="0.35">
      <c r="B16" s="223">
        <f>'364'!$B$1</f>
        <v>3640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410">
        <f t="shared" si="5"/>
        <v>0</v>
      </c>
      <c r="P16" s="78"/>
    </row>
    <row r="17" spans="1:16" x14ac:dyDescent="0.35">
      <c r="B17" s="91" t="s">
        <v>291</v>
      </c>
      <c r="C17" s="9">
        <f t="shared" ref="C17:O17" si="6">SUM(C14:C16)</f>
        <v>0</v>
      </c>
      <c r="D17" s="9">
        <f t="shared" si="6"/>
        <v>0</v>
      </c>
      <c r="E17" s="9">
        <f t="shared" si="6"/>
        <v>0</v>
      </c>
      <c r="F17" s="9">
        <f t="shared" si="6"/>
        <v>0</v>
      </c>
      <c r="G17" s="9">
        <f t="shared" si="6"/>
        <v>0</v>
      </c>
      <c r="H17" s="9">
        <f t="shared" si="6"/>
        <v>0</v>
      </c>
      <c r="I17" s="9">
        <f t="shared" si="6"/>
        <v>0</v>
      </c>
      <c r="J17" s="9">
        <f t="shared" si="6"/>
        <v>0</v>
      </c>
      <c r="K17" s="9">
        <f t="shared" si="6"/>
        <v>0</v>
      </c>
      <c r="L17" s="9">
        <f t="shared" si="6"/>
        <v>0</v>
      </c>
      <c r="M17" s="9">
        <f t="shared" si="6"/>
        <v>0</v>
      </c>
      <c r="N17" s="9">
        <f t="shared" si="6"/>
        <v>0</v>
      </c>
      <c r="O17" s="9">
        <f t="shared" si="6"/>
        <v>0</v>
      </c>
      <c r="P17" s="83"/>
    </row>
    <row r="19" spans="1:16" ht="17.5" x14ac:dyDescent="0.35">
      <c r="A19" s="10" t="s">
        <v>532</v>
      </c>
      <c r="B19" s="10" t="s">
        <v>548</v>
      </c>
      <c r="C19" s="14"/>
      <c r="N19" s="84"/>
    </row>
    <row r="20" spans="1:16" x14ac:dyDescent="0.35">
      <c r="C20" s="81" t="s">
        <v>0</v>
      </c>
      <c r="D20" s="81" t="s">
        <v>1</v>
      </c>
      <c r="E20" s="81" t="s">
        <v>2</v>
      </c>
      <c r="F20" s="81" t="s">
        <v>3</v>
      </c>
      <c r="G20" s="81" t="s">
        <v>4</v>
      </c>
      <c r="H20" s="81" t="s">
        <v>5</v>
      </c>
      <c r="I20" s="81" t="s">
        <v>6</v>
      </c>
      <c r="J20" s="81" t="s">
        <v>7</v>
      </c>
      <c r="K20" s="81" t="s">
        <v>8</v>
      </c>
      <c r="L20" s="81" t="s">
        <v>9</v>
      </c>
      <c r="M20" s="81" t="s">
        <v>10</v>
      </c>
      <c r="N20" s="81" t="s">
        <v>11</v>
      </c>
      <c r="O20" s="408" t="s">
        <v>12</v>
      </c>
      <c r="P20" s="14"/>
    </row>
    <row r="21" spans="1:16" x14ac:dyDescent="0.35">
      <c r="B21" s="223">
        <f>'361'!$B$1</f>
        <v>3610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409">
        <f>SUM(C21:N21)</f>
        <v>0</v>
      </c>
      <c r="P21" s="78"/>
    </row>
    <row r="22" spans="1:16" x14ac:dyDescent="0.35">
      <c r="B22" s="223">
        <f>'362'!$B$1</f>
        <v>3620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409">
        <f t="shared" ref="O22:O23" si="7">SUM(C22:N22)</f>
        <v>0</v>
      </c>
      <c r="P22" s="78"/>
    </row>
    <row r="23" spans="1:16" x14ac:dyDescent="0.35">
      <c r="B23" s="223">
        <f>'364'!$B$1</f>
        <v>3640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409">
        <f t="shared" si="7"/>
        <v>0</v>
      </c>
      <c r="P23" s="400"/>
    </row>
    <row r="24" spans="1:16" x14ac:dyDescent="0.35">
      <c r="B24" s="91" t="s">
        <v>291</v>
      </c>
      <c r="C24" s="9">
        <f t="shared" ref="C24:O24" si="8">SUM(C21:C23)</f>
        <v>0</v>
      </c>
      <c r="D24" s="93">
        <f t="shared" si="8"/>
        <v>0</v>
      </c>
      <c r="E24" s="93">
        <f t="shared" si="8"/>
        <v>0</v>
      </c>
      <c r="F24" s="93">
        <f t="shared" si="8"/>
        <v>0</v>
      </c>
      <c r="G24" s="93">
        <f t="shared" si="8"/>
        <v>0</v>
      </c>
      <c r="H24" s="93">
        <f t="shared" si="8"/>
        <v>0</v>
      </c>
      <c r="I24" s="93">
        <f t="shared" si="8"/>
        <v>0</v>
      </c>
      <c r="J24" s="93">
        <f t="shared" si="8"/>
        <v>0</v>
      </c>
      <c r="K24" s="93">
        <f t="shared" si="8"/>
        <v>0</v>
      </c>
      <c r="L24" s="93">
        <f t="shared" si="8"/>
        <v>0</v>
      </c>
      <c r="M24" s="93">
        <f t="shared" si="8"/>
        <v>0</v>
      </c>
      <c r="N24" s="93">
        <f t="shared" si="8"/>
        <v>0</v>
      </c>
      <c r="O24" s="93">
        <f t="shared" si="8"/>
        <v>0</v>
      </c>
      <c r="P24" s="83"/>
    </row>
    <row r="26" spans="1:16" ht="17.5" x14ac:dyDescent="0.35">
      <c r="A26" s="10" t="s">
        <v>532</v>
      </c>
      <c r="B26" s="10" t="s">
        <v>541</v>
      </c>
      <c r="C26" s="14"/>
      <c r="N26" s="84"/>
    </row>
    <row r="27" spans="1:16" x14ac:dyDescent="0.35">
      <c r="C27" s="81" t="s">
        <v>0</v>
      </c>
      <c r="D27" s="81" t="s">
        <v>1</v>
      </c>
      <c r="E27" s="81" t="s">
        <v>2</v>
      </c>
      <c r="F27" s="81" t="s">
        <v>3</v>
      </c>
      <c r="G27" s="81" t="s">
        <v>4</v>
      </c>
      <c r="H27" s="81" t="s">
        <v>5</v>
      </c>
      <c r="I27" s="81" t="s">
        <v>6</v>
      </c>
      <c r="J27" s="81" t="s">
        <v>7</v>
      </c>
      <c r="K27" s="81" t="s">
        <v>8</v>
      </c>
      <c r="L27" s="81" t="s">
        <v>9</v>
      </c>
      <c r="M27" s="81" t="s">
        <v>10</v>
      </c>
      <c r="N27" s="81" t="s">
        <v>11</v>
      </c>
      <c r="O27" s="408" t="s">
        <v>12</v>
      </c>
      <c r="P27" s="14"/>
    </row>
    <row r="28" spans="1:16" x14ac:dyDescent="0.35">
      <c r="B28" s="223">
        <f>'361'!$B$1</f>
        <v>3610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409">
        <f>SUM(C28:N28)</f>
        <v>0</v>
      </c>
      <c r="P28" s="78"/>
    </row>
    <row r="29" spans="1:16" x14ac:dyDescent="0.35">
      <c r="B29" s="223">
        <f>'362'!$B$1</f>
        <v>3620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409">
        <f t="shared" ref="O29:O30" si="9">SUM(C29:N29)</f>
        <v>0</v>
      </c>
      <c r="P29" s="78"/>
    </row>
    <row r="30" spans="1:16" x14ac:dyDescent="0.35">
      <c r="B30" s="223">
        <f>'364'!$B$1</f>
        <v>3640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409">
        <f t="shared" si="9"/>
        <v>0</v>
      </c>
      <c r="P30" s="400"/>
    </row>
    <row r="31" spans="1:16" x14ac:dyDescent="0.35">
      <c r="B31" s="91" t="s">
        <v>291</v>
      </c>
      <c r="C31" s="9">
        <f t="shared" ref="C31:O31" si="10">SUM(C28:C30)</f>
        <v>0</v>
      </c>
      <c r="D31" s="93">
        <f t="shared" si="10"/>
        <v>0</v>
      </c>
      <c r="E31" s="93">
        <f t="shared" si="10"/>
        <v>0</v>
      </c>
      <c r="F31" s="93">
        <f t="shared" si="10"/>
        <v>0</v>
      </c>
      <c r="G31" s="93">
        <f t="shared" si="10"/>
        <v>0</v>
      </c>
      <c r="H31" s="93">
        <f t="shared" si="10"/>
        <v>0</v>
      </c>
      <c r="I31" s="93">
        <f t="shared" si="10"/>
        <v>0</v>
      </c>
      <c r="J31" s="93">
        <f t="shared" si="10"/>
        <v>0</v>
      </c>
      <c r="K31" s="93">
        <f t="shared" si="10"/>
        <v>0</v>
      </c>
      <c r="L31" s="93">
        <f t="shared" si="10"/>
        <v>0</v>
      </c>
      <c r="M31" s="93">
        <f t="shared" si="10"/>
        <v>0</v>
      </c>
      <c r="N31" s="93">
        <f t="shared" si="10"/>
        <v>0</v>
      </c>
      <c r="O31" s="93">
        <f t="shared" si="10"/>
        <v>0</v>
      </c>
      <c r="P31" s="83"/>
    </row>
  </sheetData>
  <sheetProtection selectLockedCells="1"/>
  <printOptions horizontalCentered="1" verticalCentered="1"/>
  <pageMargins left="0.25" right="0.25" top="0.75" bottom="0.75" header="0.3" footer="0.3"/>
  <pageSetup scale="45" fitToHeight="0" orientation="landscape" verticalDpi="300" r:id="rId1"/>
  <headerFooter>
    <oddFooter>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5">
    <tabColor rgb="FFFFC000"/>
    <pageSetUpPr fitToPage="1"/>
  </sheetPr>
  <dimension ref="B1:X36"/>
  <sheetViews>
    <sheetView view="pageBreakPreview" topLeftCell="A17" zoomScale="160" zoomScaleNormal="115" zoomScaleSheetLayoutView="160" workbookViewId="0">
      <selection activeCell="M30" sqref="M30"/>
    </sheetView>
  </sheetViews>
  <sheetFormatPr defaultColWidth="8.81640625" defaultRowHeight="16" x14ac:dyDescent="0.35"/>
  <cols>
    <col min="1" max="1" width="8.81640625" style="7"/>
    <col min="2" max="2" width="14.1796875" style="7" customWidth="1"/>
    <col min="3" max="3" width="18.54296875" style="85" bestFit="1" customWidth="1"/>
    <col min="4" max="4" width="18.54296875" style="85" customWidth="1"/>
    <col min="5" max="16" width="12.1796875" style="7" bestFit="1" customWidth="1"/>
    <col min="17" max="17" width="14.1796875" style="7" customWidth="1"/>
    <col min="18" max="18" width="5.54296875" style="7" customWidth="1"/>
    <col min="19" max="19" width="10.81640625" style="7" customWidth="1"/>
    <col min="20" max="20" width="10.453125" style="7" customWidth="1"/>
    <col min="21" max="21" width="9.81640625" style="7" customWidth="1"/>
    <col min="22" max="23" width="13.81640625" style="7" bestFit="1" customWidth="1"/>
    <col min="24" max="24" width="12" style="7" bestFit="1" customWidth="1"/>
    <col min="25" max="31" width="8.81640625" style="7"/>
    <col min="32" max="32" width="33.81640625" style="7" bestFit="1" customWidth="1"/>
    <col min="33" max="33" width="13.81640625" style="7" bestFit="1" customWidth="1"/>
    <col min="34" max="34" width="12" style="7" bestFit="1" customWidth="1"/>
    <col min="35" max="16384" width="8.81640625" style="7"/>
  </cols>
  <sheetData>
    <row r="1" spans="2:20" ht="29" x14ac:dyDescent="0.5">
      <c r="C1" s="33"/>
      <c r="D1" s="33"/>
      <c r="E1" s="18" t="s">
        <v>339</v>
      </c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23">
        <f>'JV III Consolidated'!$Q$1</f>
        <v>46023</v>
      </c>
      <c r="S1" s="7" t="s">
        <v>320</v>
      </c>
    </row>
    <row r="2" spans="2:20" ht="18" x14ac:dyDescent="0.35">
      <c r="C2" s="33"/>
      <c r="D2" s="33"/>
      <c r="E2" s="79" t="str">
        <f>'Cover Sheet'!A2</f>
        <v>Lincoln JV III</v>
      </c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</row>
    <row r="4" spans="2:20" ht="18" x14ac:dyDescent="0.35">
      <c r="D4" s="25" t="s">
        <v>319</v>
      </c>
      <c r="E4" s="25" t="s">
        <v>0</v>
      </c>
      <c r="F4" s="25" t="s">
        <v>1</v>
      </c>
      <c r="G4" s="25" t="s">
        <v>2</v>
      </c>
      <c r="H4" s="25" t="s">
        <v>3</v>
      </c>
      <c r="I4" s="25" t="s">
        <v>4</v>
      </c>
      <c r="J4" s="25" t="s">
        <v>5</v>
      </c>
      <c r="K4" s="25" t="s">
        <v>6</v>
      </c>
      <c r="L4" s="25" t="s">
        <v>7</v>
      </c>
      <c r="M4" s="25" t="s">
        <v>8</v>
      </c>
      <c r="N4" s="25" t="s">
        <v>9</v>
      </c>
      <c r="O4" s="25" t="s">
        <v>10</v>
      </c>
      <c r="P4" s="25" t="s">
        <v>11</v>
      </c>
      <c r="Q4" s="25" t="s">
        <v>12</v>
      </c>
      <c r="R4" s="89"/>
      <c r="S4" s="16" t="s">
        <v>295</v>
      </c>
    </row>
    <row r="5" spans="2:20" ht="18" x14ac:dyDescent="0.35"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</row>
    <row r="6" spans="2:20" x14ac:dyDescent="0.35">
      <c r="B6" s="223">
        <f>'361'!B1</f>
        <v>3610</v>
      </c>
      <c r="C6" s="86" t="s">
        <v>209</v>
      </c>
      <c r="D6" s="105">
        <v>6862.34</v>
      </c>
      <c r="E6" s="47">
        <f>ROUND(D6/12,0)</f>
        <v>572</v>
      </c>
      <c r="F6" s="47">
        <f>+E6</f>
        <v>572</v>
      </c>
      <c r="G6" s="47">
        <f t="shared" ref="G6:N6" si="0">+F6</f>
        <v>572</v>
      </c>
      <c r="H6" s="47">
        <f t="shared" si="0"/>
        <v>572</v>
      </c>
      <c r="I6" s="47">
        <f t="shared" si="0"/>
        <v>572</v>
      </c>
      <c r="J6" s="47">
        <f t="shared" si="0"/>
        <v>572</v>
      </c>
      <c r="K6" s="47">
        <f t="shared" si="0"/>
        <v>572</v>
      </c>
      <c r="L6" s="47">
        <f t="shared" si="0"/>
        <v>572</v>
      </c>
      <c r="M6" s="47">
        <f t="shared" si="0"/>
        <v>572</v>
      </c>
      <c r="N6" s="47">
        <f t="shared" si="0"/>
        <v>572</v>
      </c>
      <c r="O6" s="47">
        <f>N6*1.02</f>
        <v>583.44000000000005</v>
      </c>
      <c r="P6" s="47">
        <f t="shared" ref="P6:P7" si="1">+O6</f>
        <v>583.44000000000005</v>
      </c>
      <c r="Q6" s="47">
        <f>SUM(E6:P6)</f>
        <v>6886.880000000001</v>
      </c>
      <c r="R6" s="83"/>
      <c r="S6" s="87" t="s">
        <v>207</v>
      </c>
      <c r="T6" s="7" t="s">
        <v>48</v>
      </c>
    </row>
    <row r="7" spans="2:20" x14ac:dyDescent="0.35">
      <c r="B7" s="77"/>
      <c r="C7" s="86" t="s">
        <v>210</v>
      </c>
      <c r="D7" s="106">
        <v>6837.72</v>
      </c>
      <c r="E7" s="16">
        <f>ROUND(D7/12,0)</f>
        <v>570</v>
      </c>
      <c r="F7" s="16">
        <f t="shared" ref="F7:F24" si="2">+E7</f>
        <v>570</v>
      </c>
      <c r="G7" s="16">
        <f t="shared" ref="G7:G24" si="3">+F7</f>
        <v>570</v>
      </c>
      <c r="H7" s="16">
        <f t="shared" ref="H7:H24" si="4">+G7</f>
        <v>570</v>
      </c>
      <c r="I7" s="16">
        <f t="shared" ref="I7:I24" si="5">+H7</f>
        <v>570</v>
      </c>
      <c r="J7" s="16">
        <f t="shared" ref="J7:J24" si="6">+I7</f>
        <v>570</v>
      </c>
      <c r="K7" s="16">
        <f t="shared" ref="K7:K24" si="7">+J7</f>
        <v>570</v>
      </c>
      <c r="L7" s="16">
        <f t="shared" ref="L7:L24" si="8">+K7</f>
        <v>570</v>
      </c>
      <c r="M7" s="16">
        <f t="shared" ref="M7:M24" si="9">+L7</f>
        <v>570</v>
      </c>
      <c r="N7" s="16">
        <f t="shared" ref="N7:N24" si="10">+M7</f>
        <v>570</v>
      </c>
      <c r="O7" s="16">
        <f>N7*1.02</f>
        <v>581.4</v>
      </c>
      <c r="P7" s="16">
        <f t="shared" si="1"/>
        <v>581.4</v>
      </c>
      <c r="Q7" s="7">
        <f>SUM(E7:P7)</f>
        <v>6862.7999999999993</v>
      </c>
      <c r="R7" s="83"/>
      <c r="S7" s="87" t="s">
        <v>207</v>
      </c>
      <c r="T7" s="7" t="s">
        <v>48</v>
      </c>
    </row>
    <row r="8" spans="2:20" x14ac:dyDescent="0.35">
      <c r="B8" s="77"/>
      <c r="C8" s="90" t="s">
        <v>296</v>
      </c>
      <c r="D8" s="29">
        <f>SUM(D6:D7)</f>
        <v>13700.060000000001</v>
      </c>
      <c r="E8" s="29">
        <f>SUM(E6:E7)</f>
        <v>1142</v>
      </c>
      <c r="F8" s="29">
        <f t="shared" ref="F8:N8" si="11">SUM(F6:F7)</f>
        <v>1142</v>
      </c>
      <c r="G8" s="29">
        <f t="shared" si="11"/>
        <v>1142</v>
      </c>
      <c r="H8" s="29">
        <f t="shared" si="11"/>
        <v>1142</v>
      </c>
      <c r="I8" s="29">
        <f t="shared" si="11"/>
        <v>1142</v>
      </c>
      <c r="J8" s="29">
        <f t="shared" si="11"/>
        <v>1142</v>
      </c>
      <c r="K8" s="29">
        <f t="shared" si="11"/>
        <v>1142</v>
      </c>
      <c r="L8" s="29">
        <f t="shared" si="11"/>
        <v>1142</v>
      </c>
      <c r="M8" s="29">
        <f t="shared" si="11"/>
        <v>1142</v>
      </c>
      <c r="N8" s="29">
        <f t="shared" si="11"/>
        <v>1142</v>
      </c>
      <c r="O8" s="29">
        <f t="shared" ref="O8" si="12">SUM(O6:O7)</f>
        <v>1164.8400000000001</v>
      </c>
      <c r="P8" s="29">
        <f t="shared" ref="P8:Q8" si="13">SUM(P6:P7)</f>
        <v>1164.8400000000001</v>
      </c>
      <c r="Q8" s="29">
        <f t="shared" si="13"/>
        <v>13749.68</v>
      </c>
      <c r="R8" s="83"/>
      <c r="S8" s="87"/>
    </row>
    <row r="9" spans="2:20" x14ac:dyDescent="0.35">
      <c r="B9" s="77"/>
      <c r="C9" s="86" t="s">
        <v>211</v>
      </c>
      <c r="D9" s="105">
        <v>4159.1400000000003</v>
      </c>
      <c r="E9" s="47">
        <f>ROUND(D9/12,0)</f>
        <v>347</v>
      </c>
      <c r="F9" s="47">
        <f t="shared" si="2"/>
        <v>347</v>
      </c>
      <c r="G9" s="47">
        <f t="shared" si="3"/>
        <v>347</v>
      </c>
      <c r="H9" s="47">
        <f t="shared" si="4"/>
        <v>347</v>
      </c>
      <c r="I9" s="47">
        <f t="shared" si="5"/>
        <v>347</v>
      </c>
      <c r="J9" s="47">
        <f t="shared" si="6"/>
        <v>347</v>
      </c>
      <c r="K9" s="47">
        <f t="shared" si="7"/>
        <v>347</v>
      </c>
      <c r="L9" s="47">
        <f t="shared" si="8"/>
        <v>347</v>
      </c>
      <c r="M9" s="47">
        <f t="shared" si="9"/>
        <v>347</v>
      </c>
      <c r="N9" s="47">
        <f t="shared" si="10"/>
        <v>347</v>
      </c>
      <c r="O9" s="47">
        <f>N9*1.02</f>
        <v>353.94</v>
      </c>
      <c r="P9" s="47">
        <f t="shared" ref="P9:P10" si="14">+O9</f>
        <v>353.94</v>
      </c>
      <c r="Q9" s="47">
        <f>SUM(E9:P9)</f>
        <v>4177.88</v>
      </c>
      <c r="R9" s="83"/>
      <c r="S9" s="87" t="s">
        <v>208</v>
      </c>
      <c r="T9" s="7" t="s">
        <v>88</v>
      </c>
    </row>
    <row r="10" spans="2:20" x14ac:dyDescent="0.35">
      <c r="B10" s="77"/>
      <c r="C10" s="86" t="s">
        <v>212</v>
      </c>
      <c r="D10" s="106">
        <v>0</v>
      </c>
      <c r="E10" s="16">
        <f>ROUND(D10/12,0)</f>
        <v>0</v>
      </c>
      <c r="F10" s="16">
        <f t="shared" si="2"/>
        <v>0</v>
      </c>
      <c r="G10" s="16">
        <f t="shared" si="3"/>
        <v>0</v>
      </c>
      <c r="H10" s="16">
        <f t="shared" si="4"/>
        <v>0</v>
      </c>
      <c r="I10" s="16">
        <f t="shared" si="5"/>
        <v>0</v>
      </c>
      <c r="J10" s="16">
        <f t="shared" si="6"/>
        <v>0</v>
      </c>
      <c r="K10" s="16">
        <f t="shared" si="7"/>
        <v>0</v>
      </c>
      <c r="L10" s="16">
        <f t="shared" si="8"/>
        <v>0</v>
      </c>
      <c r="M10" s="16">
        <f t="shared" si="9"/>
        <v>0</v>
      </c>
      <c r="N10" s="16">
        <f t="shared" si="10"/>
        <v>0</v>
      </c>
      <c r="O10" s="16">
        <f>N10*1.02</f>
        <v>0</v>
      </c>
      <c r="P10" s="16">
        <f t="shared" si="14"/>
        <v>0</v>
      </c>
      <c r="Q10" s="16">
        <f>SUM(E10:P10)</f>
        <v>0</v>
      </c>
      <c r="R10" s="83"/>
      <c r="S10" s="87" t="s">
        <v>234</v>
      </c>
      <c r="T10" s="7" t="s">
        <v>50</v>
      </c>
    </row>
    <row r="11" spans="2:20" x14ac:dyDescent="0.35">
      <c r="B11" s="77"/>
      <c r="C11" s="91" t="s">
        <v>291</v>
      </c>
      <c r="D11" s="9">
        <f>SUM(D8:D10)</f>
        <v>17859.2</v>
      </c>
      <c r="E11" s="9">
        <f>SUM(E8:E10)</f>
        <v>1489</v>
      </c>
      <c r="F11" s="9">
        <f t="shared" ref="F11:N11" si="15">SUM(F8:F10)</f>
        <v>1489</v>
      </c>
      <c r="G11" s="9">
        <f t="shared" si="15"/>
        <v>1489</v>
      </c>
      <c r="H11" s="9">
        <f t="shared" si="15"/>
        <v>1489</v>
      </c>
      <c r="I11" s="9">
        <f t="shared" si="15"/>
        <v>1489</v>
      </c>
      <c r="J11" s="9">
        <f t="shared" si="15"/>
        <v>1489</v>
      </c>
      <c r="K11" s="9">
        <f t="shared" si="15"/>
        <v>1489</v>
      </c>
      <c r="L11" s="9">
        <f t="shared" si="15"/>
        <v>1489</v>
      </c>
      <c r="M11" s="9">
        <f t="shared" si="15"/>
        <v>1489</v>
      </c>
      <c r="N11" s="9">
        <f t="shared" si="15"/>
        <v>1489</v>
      </c>
      <c r="O11" s="9">
        <f t="shared" ref="O11" si="16">SUM(O8:O10)</f>
        <v>1518.7800000000002</v>
      </c>
      <c r="P11" s="9">
        <f t="shared" ref="P11:Q11" si="17">SUM(P8:P10)</f>
        <v>1518.7800000000002</v>
      </c>
      <c r="Q11" s="9">
        <f t="shared" si="17"/>
        <v>17927.560000000001</v>
      </c>
      <c r="R11" s="83"/>
      <c r="S11" s="87"/>
    </row>
    <row r="12" spans="2:20" x14ac:dyDescent="0.35">
      <c r="B12" s="77"/>
      <c r="C12" s="86"/>
      <c r="D12" s="83"/>
      <c r="R12" s="83"/>
      <c r="S12" s="87"/>
    </row>
    <row r="13" spans="2:20" x14ac:dyDescent="0.35">
      <c r="B13" s="223">
        <f>'362'!B1</f>
        <v>3620</v>
      </c>
      <c r="C13" s="86" t="s">
        <v>209</v>
      </c>
      <c r="D13" s="105">
        <v>8038.83</v>
      </c>
      <c r="E13" s="47">
        <f>ROUND(D13/12,0)</f>
        <v>670</v>
      </c>
      <c r="F13" s="47">
        <f t="shared" si="2"/>
        <v>670</v>
      </c>
      <c r="G13" s="47">
        <f t="shared" si="3"/>
        <v>670</v>
      </c>
      <c r="H13" s="47">
        <f t="shared" si="4"/>
        <v>670</v>
      </c>
      <c r="I13" s="47">
        <f t="shared" si="5"/>
        <v>670</v>
      </c>
      <c r="J13" s="47">
        <f t="shared" si="6"/>
        <v>670</v>
      </c>
      <c r="K13" s="47">
        <f t="shared" si="7"/>
        <v>670</v>
      </c>
      <c r="L13" s="47">
        <f t="shared" si="8"/>
        <v>670</v>
      </c>
      <c r="M13" s="47">
        <f t="shared" si="9"/>
        <v>670</v>
      </c>
      <c r="N13" s="47">
        <f t="shared" si="10"/>
        <v>670</v>
      </c>
      <c r="O13" s="47">
        <f>N13*1.02</f>
        <v>683.4</v>
      </c>
      <c r="P13" s="47">
        <f t="shared" ref="P13:P14" si="18">+O13</f>
        <v>683.4</v>
      </c>
      <c r="Q13" s="47">
        <f>SUM(E13:P13)</f>
        <v>8066.7999999999993</v>
      </c>
      <c r="R13" s="83"/>
      <c r="S13" s="87" t="s">
        <v>207</v>
      </c>
      <c r="T13" s="7" t="s">
        <v>48</v>
      </c>
    </row>
    <row r="14" spans="2:20" x14ac:dyDescent="0.35">
      <c r="B14" s="77"/>
      <c r="C14" s="86" t="s">
        <v>210</v>
      </c>
      <c r="D14" s="106">
        <v>8010</v>
      </c>
      <c r="E14" s="16">
        <f>ROUND(D14/12,0)</f>
        <v>668</v>
      </c>
      <c r="F14" s="16">
        <f t="shared" si="2"/>
        <v>668</v>
      </c>
      <c r="G14" s="16">
        <f t="shared" si="3"/>
        <v>668</v>
      </c>
      <c r="H14" s="16">
        <f t="shared" si="4"/>
        <v>668</v>
      </c>
      <c r="I14" s="16">
        <f t="shared" si="5"/>
        <v>668</v>
      </c>
      <c r="J14" s="16">
        <f t="shared" si="6"/>
        <v>668</v>
      </c>
      <c r="K14" s="16">
        <f t="shared" si="7"/>
        <v>668</v>
      </c>
      <c r="L14" s="16">
        <f t="shared" si="8"/>
        <v>668</v>
      </c>
      <c r="M14" s="16">
        <f t="shared" si="9"/>
        <v>668</v>
      </c>
      <c r="N14" s="16">
        <f t="shared" si="10"/>
        <v>668</v>
      </c>
      <c r="O14" s="16">
        <f>N14*1.02</f>
        <v>681.36</v>
      </c>
      <c r="P14" s="16">
        <f t="shared" si="18"/>
        <v>681.36</v>
      </c>
      <c r="Q14" s="7">
        <f>SUM(E14:P14)</f>
        <v>8042.7199999999993</v>
      </c>
      <c r="R14" s="83"/>
      <c r="S14" s="87" t="s">
        <v>207</v>
      </c>
      <c r="T14" s="7" t="s">
        <v>48</v>
      </c>
    </row>
    <row r="15" spans="2:20" x14ac:dyDescent="0.35">
      <c r="B15" s="77"/>
      <c r="C15" s="90" t="s">
        <v>296</v>
      </c>
      <c r="D15" s="29">
        <f>SUM(D13:D14)</f>
        <v>16048.83</v>
      </c>
      <c r="E15" s="29">
        <f>SUM(E13:E14)</f>
        <v>1338</v>
      </c>
      <c r="F15" s="29">
        <f t="shared" ref="F15" si="19">SUM(F13:F14)</f>
        <v>1338</v>
      </c>
      <c r="G15" s="29">
        <f t="shared" ref="G15" si="20">SUM(G13:G14)</f>
        <v>1338</v>
      </c>
      <c r="H15" s="29">
        <f t="shared" ref="H15" si="21">SUM(H13:H14)</f>
        <v>1338</v>
      </c>
      <c r="I15" s="29">
        <f t="shared" ref="I15" si="22">SUM(I13:I14)</f>
        <v>1338</v>
      </c>
      <c r="J15" s="29">
        <f t="shared" ref="J15" si="23">SUM(J13:J14)</f>
        <v>1338</v>
      </c>
      <c r="K15" s="29">
        <f t="shared" ref="K15" si="24">SUM(K13:K14)</f>
        <v>1338</v>
      </c>
      <c r="L15" s="29">
        <f t="shared" ref="L15" si="25">SUM(L13:L14)</f>
        <v>1338</v>
      </c>
      <c r="M15" s="29">
        <f t="shared" ref="M15" si="26">SUM(M13:M14)</f>
        <v>1338</v>
      </c>
      <c r="N15" s="29">
        <f t="shared" ref="N15:O15" si="27">SUM(N13:N14)</f>
        <v>1338</v>
      </c>
      <c r="O15" s="29">
        <f t="shared" si="27"/>
        <v>1364.76</v>
      </c>
      <c r="P15" s="29">
        <f t="shared" ref="P15:Q15" si="28">SUM(P13:P14)</f>
        <v>1364.76</v>
      </c>
      <c r="Q15" s="29">
        <f t="shared" si="28"/>
        <v>16109.519999999999</v>
      </c>
      <c r="R15" s="83"/>
      <c r="S15" s="87"/>
    </row>
    <row r="16" spans="2:20" x14ac:dyDescent="0.35">
      <c r="B16" s="77"/>
      <c r="C16" s="86" t="s">
        <v>211</v>
      </c>
      <c r="D16" s="105">
        <v>4832.16</v>
      </c>
      <c r="E16" s="47">
        <f>ROUND(D16/12,0)</f>
        <v>403</v>
      </c>
      <c r="F16" s="7">
        <f t="shared" si="2"/>
        <v>403</v>
      </c>
      <c r="G16" s="7">
        <f t="shared" si="3"/>
        <v>403</v>
      </c>
      <c r="H16" s="7">
        <f t="shared" si="4"/>
        <v>403</v>
      </c>
      <c r="I16" s="7">
        <f t="shared" si="5"/>
        <v>403</v>
      </c>
      <c r="J16" s="7">
        <f t="shared" si="6"/>
        <v>403</v>
      </c>
      <c r="K16" s="7">
        <f t="shared" si="7"/>
        <v>403</v>
      </c>
      <c r="L16" s="7">
        <f t="shared" si="8"/>
        <v>403</v>
      </c>
      <c r="M16" s="7">
        <f t="shared" si="9"/>
        <v>403</v>
      </c>
      <c r="N16" s="7">
        <f t="shared" si="10"/>
        <v>403</v>
      </c>
      <c r="O16" s="47">
        <f>N16*1.02</f>
        <v>411.06</v>
      </c>
      <c r="P16" s="7">
        <f t="shared" ref="P16:P17" si="29">+O16</f>
        <v>411.06</v>
      </c>
      <c r="Q16" s="47">
        <f>SUM(E16:P16)</f>
        <v>4852.1200000000008</v>
      </c>
      <c r="R16" s="83"/>
      <c r="S16" s="87" t="s">
        <v>208</v>
      </c>
      <c r="T16" s="7" t="s">
        <v>88</v>
      </c>
    </row>
    <row r="17" spans="2:24" x14ac:dyDescent="0.35">
      <c r="B17" s="77"/>
      <c r="C17" s="86" t="s">
        <v>212</v>
      </c>
      <c r="D17" s="106">
        <v>0</v>
      </c>
      <c r="E17" s="16">
        <f>ROUND(D17/12,0)</f>
        <v>0</v>
      </c>
      <c r="F17" s="7">
        <f t="shared" si="2"/>
        <v>0</v>
      </c>
      <c r="G17" s="7">
        <f t="shared" si="3"/>
        <v>0</v>
      </c>
      <c r="H17" s="7">
        <f t="shared" si="4"/>
        <v>0</v>
      </c>
      <c r="I17" s="7">
        <f t="shared" si="5"/>
        <v>0</v>
      </c>
      <c r="J17" s="7">
        <f t="shared" si="6"/>
        <v>0</v>
      </c>
      <c r="K17" s="7">
        <f t="shared" si="7"/>
        <v>0</v>
      </c>
      <c r="L17" s="7">
        <f t="shared" si="8"/>
        <v>0</v>
      </c>
      <c r="M17" s="7">
        <f t="shared" si="9"/>
        <v>0</v>
      </c>
      <c r="N17" s="7">
        <f t="shared" si="10"/>
        <v>0</v>
      </c>
      <c r="O17" s="16">
        <f>N17*1.02</f>
        <v>0</v>
      </c>
      <c r="P17" s="7">
        <f t="shared" si="29"/>
        <v>0</v>
      </c>
      <c r="Q17" s="16">
        <f>SUM(E17:P17)</f>
        <v>0</v>
      </c>
      <c r="R17" s="83"/>
      <c r="S17" s="87" t="s">
        <v>234</v>
      </c>
      <c r="T17" s="7" t="s">
        <v>50</v>
      </c>
    </row>
    <row r="18" spans="2:24" x14ac:dyDescent="0.35">
      <c r="B18" s="77"/>
      <c r="C18" s="91" t="s">
        <v>291</v>
      </c>
      <c r="D18" s="93">
        <f t="shared" ref="D18" si="30">SUM(D15:D17)</f>
        <v>20880.989999999998</v>
      </c>
      <c r="E18" s="93">
        <f>SUM(E15:E17)</f>
        <v>1741</v>
      </c>
      <c r="F18" s="93">
        <f t="shared" ref="F18" si="31">SUM(F15:F17)</f>
        <v>1741</v>
      </c>
      <c r="G18" s="93">
        <f t="shared" ref="G18" si="32">SUM(G15:G17)</f>
        <v>1741</v>
      </c>
      <c r="H18" s="93">
        <f t="shared" ref="H18" si="33">SUM(H15:H17)</f>
        <v>1741</v>
      </c>
      <c r="I18" s="93">
        <f t="shared" ref="I18" si="34">SUM(I15:I17)</f>
        <v>1741</v>
      </c>
      <c r="J18" s="93">
        <f t="shared" ref="J18" si="35">SUM(J15:J17)</f>
        <v>1741</v>
      </c>
      <c r="K18" s="93">
        <f t="shared" ref="K18" si="36">SUM(K15:K17)</f>
        <v>1741</v>
      </c>
      <c r="L18" s="93">
        <f t="shared" ref="L18" si="37">SUM(L15:L17)</f>
        <v>1741</v>
      </c>
      <c r="M18" s="93">
        <f t="shared" ref="M18" si="38">SUM(M15:M17)</f>
        <v>1741</v>
      </c>
      <c r="N18" s="93">
        <f t="shared" ref="N18" si="39">SUM(N15:N17)</f>
        <v>1741</v>
      </c>
      <c r="O18" s="93">
        <f t="shared" ref="O18" si="40">SUM(O15:O17)</f>
        <v>1775.82</v>
      </c>
      <c r="P18" s="93">
        <f t="shared" ref="P18:Q18" si="41">SUM(P15:P17)</f>
        <v>1775.82</v>
      </c>
      <c r="Q18" s="9">
        <f t="shared" si="41"/>
        <v>20961.64</v>
      </c>
      <c r="R18" s="83"/>
      <c r="S18" s="87"/>
    </row>
    <row r="19" spans="2:24" x14ac:dyDescent="0.35">
      <c r="B19" s="77"/>
      <c r="C19" s="86"/>
      <c r="D19" s="83"/>
      <c r="R19" s="83"/>
      <c r="S19" s="87"/>
    </row>
    <row r="20" spans="2:24" x14ac:dyDescent="0.35">
      <c r="B20" s="223">
        <f>'364'!B1</f>
        <v>3640</v>
      </c>
      <c r="C20" s="86" t="s">
        <v>209</v>
      </c>
      <c r="D20" s="105">
        <v>7937.25</v>
      </c>
      <c r="E20" s="47">
        <f>ROUND(D20/12,0)</f>
        <v>661</v>
      </c>
      <c r="F20" s="47">
        <f t="shared" si="2"/>
        <v>661</v>
      </c>
      <c r="G20" s="47">
        <f t="shared" si="3"/>
        <v>661</v>
      </c>
      <c r="H20" s="47">
        <f t="shared" si="4"/>
        <v>661</v>
      </c>
      <c r="I20" s="47">
        <f t="shared" si="5"/>
        <v>661</v>
      </c>
      <c r="J20" s="47">
        <f t="shared" si="6"/>
        <v>661</v>
      </c>
      <c r="K20" s="47">
        <f t="shared" si="7"/>
        <v>661</v>
      </c>
      <c r="L20" s="47">
        <f t="shared" si="8"/>
        <v>661</v>
      </c>
      <c r="M20" s="47">
        <f t="shared" si="9"/>
        <v>661</v>
      </c>
      <c r="N20" s="47">
        <f t="shared" si="10"/>
        <v>661</v>
      </c>
      <c r="O20" s="47">
        <f>N20*1.02</f>
        <v>674.22</v>
      </c>
      <c r="P20" s="47">
        <f t="shared" ref="P20:P21" si="42">+O20</f>
        <v>674.22</v>
      </c>
      <c r="Q20" s="47">
        <f>SUM(E20:P20)</f>
        <v>7958.4400000000005</v>
      </c>
      <c r="R20" s="83"/>
      <c r="S20" s="87" t="s">
        <v>207</v>
      </c>
      <c r="T20" s="7" t="s">
        <v>48</v>
      </c>
    </row>
    <row r="21" spans="2:24" x14ac:dyDescent="0.35">
      <c r="B21" s="77"/>
      <c r="C21" s="86" t="s">
        <v>210</v>
      </c>
      <c r="D21" s="106">
        <v>7908.78</v>
      </c>
      <c r="E21" s="16">
        <f>ROUND(D21/12,0)</f>
        <v>659</v>
      </c>
      <c r="F21" s="16">
        <f t="shared" si="2"/>
        <v>659</v>
      </c>
      <c r="G21" s="16">
        <f t="shared" si="3"/>
        <v>659</v>
      </c>
      <c r="H21" s="16">
        <f t="shared" si="4"/>
        <v>659</v>
      </c>
      <c r="I21" s="16">
        <f t="shared" si="5"/>
        <v>659</v>
      </c>
      <c r="J21" s="16">
        <f t="shared" si="6"/>
        <v>659</v>
      </c>
      <c r="K21" s="16">
        <f t="shared" si="7"/>
        <v>659</v>
      </c>
      <c r="L21" s="16">
        <f t="shared" si="8"/>
        <v>659</v>
      </c>
      <c r="M21" s="16">
        <f t="shared" si="9"/>
        <v>659</v>
      </c>
      <c r="N21" s="16">
        <f t="shared" si="10"/>
        <v>659</v>
      </c>
      <c r="O21" s="16">
        <f>N21*1.02</f>
        <v>672.18000000000006</v>
      </c>
      <c r="P21" s="16">
        <f t="shared" si="42"/>
        <v>672.18000000000006</v>
      </c>
      <c r="Q21" s="7">
        <f>SUM(E21:P21)</f>
        <v>7934.3600000000006</v>
      </c>
      <c r="R21" s="83"/>
      <c r="S21" s="87" t="s">
        <v>207</v>
      </c>
      <c r="T21" s="7" t="s">
        <v>48</v>
      </c>
    </row>
    <row r="22" spans="2:24" x14ac:dyDescent="0.35">
      <c r="B22" s="77"/>
      <c r="C22" s="90" t="s">
        <v>296</v>
      </c>
      <c r="D22" s="29">
        <f>SUM(D20:D21)</f>
        <v>15846.029999999999</v>
      </c>
      <c r="E22" s="29">
        <f>SUM(E20:E21)</f>
        <v>1320</v>
      </c>
      <c r="F22" s="29">
        <f t="shared" ref="F22" si="43">SUM(F20:F21)</f>
        <v>1320</v>
      </c>
      <c r="G22" s="29">
        <f t="shared" ref="G22" si="44">SUM(G20:G21)</f>
        <v>1320</v>
      </c>
      <c r="H22" s="29">
        <f t="shared" ref="H22" si="45">SUM(H20:H21)</f>
        <v>1320</v>
      </c>
      <c r="I22" s="29">
        <f t="shared" ref="I22" si="46">SUM(I20:I21)</f>
        <v>1320</v>
      </c>
      <c r="J22" s="29">
        <f t="shared" ref="J22" si="47">SUM(J20:J21)</f>
        <v>1320</v>
      </c>
      <c r="K22" s="29">
        <f t="shared" ref="K22" si="48">SUM(K20:K21)</f>
        <v>1320</v>
      </c>
      <c r="L22" s="29">
        <f t="shared" ref="L22" si="49">SUM(L20:L21)</f>
        <v>1320</v>
      </c>
      <c r="M22" s="29">
        <f t="shared" ref="M22" si="50">SUM(M20:M21)</f>
        <v>1320</v>
      </c>
      <c r="N22" s="29">
        <f t="shared" ref="N22:O22" si="51">SUM(N20:N21)</f>
        <v>1320</v>
      </c>
      <c r="O22" s="29">
        <f t="shared" si="51"/>
        <v>1346.4</v>
      </c>
      <c r="P22" s="29">
        <f t="shared" ref="P22:Q22" si="52">SUM(P20:P21)</f>
        <v>1346.4</v>
      </c>
      <c r="Q22" s="29">
        <f t="shared" si="52"/>
        <v>15892.800000000001</v>
      </c>
      <c r="R22" s="83"/>
      <c r="S22" s="87"/>
    </row>
    <row r="23" spans="2:24" x14ac:dyDescent="0.35">
      <c r="B23" s="77"/>
      <c r="C23" s="86" t="s">
        <v>211</v>
      </c>
      <c r="D23" s="105">
        <v>5003.38</v>
      </c>
      <c r="E23" s="47">
        <f>ROUND(D23/12,0)</f>
        <v>417</v>
      </c>
      <c r="F23" s="7">
        <f t="shared" si="2"/>
        <v>417</v>
      </c>
      <c r="G23" s="7">
        <f t="shared" si="3"/>
        <v>417</v>
      </c>
      <c r="H23" s="7">
        <f t="shared" si="4"/>
        <v>417</v>
      </c>
      <c r="I23" s="7">
        <f t="shared" si="5"/>
        <v>417</v>
      </c>
      <c r="J23" s="7">
        <f t="shared" si="6"/>
        <v>417</v>
      </c>
      <c r="K23" s="7">
        <f t="shared" si="7"/>
        <v>417</v>
      </c>
      <c r="L23" s="7">
        <f t="shared" si="8"/>
        <v>417</v>
      </c>
      <c r="M23" s="7">
        <f t="shared" si="9"/>
        <v>417</v>
      </c>
      <c r="N23" s="7">
        <f t="shared" si="10"/>
        <v>417</v>
      </c>
      <c r="O23" s="47">
        <f>N23*1.02</f>
        <v>425.34000000000003</v>
      </c>
      <c r="P23" s="7">
        <f t="shared" ref="P23:P24" si="53">+O23</f>
        <v>425.34000000000003</v>
      </c>
      <c r="Q23" s="47">
        <f>SUM(E23:P23)</f>
        <v>5020.68</v>
      </c>
      <c r="R23" s="83"/>
      <c r="S23" s="87" t="s">
        <v>208</v>
      </c>
      <c r="T23" s="7" t="s">
        <v>88</v>
      </c>
    </row>
    <row r="24" spans="2:24" x14ac:dyDescent="0.35">
      <c r="B24" s="77"/>
      <c r="C24" s="86" t="s">
        <v>212</v>
      </c>
      <c r="D24" s="106">
        <v>0</v>
      </c>
      <c r="E24" s="16">
        <f>ROUND(D24/12,0)</f>
        <v>0</v>
      </c>
      <c r="F24" s="7">
        <f t="shared" si="2"/>
        <v>0</v>
      </c>
      <c r="G24" s="7">
        <f t="shared" si="3"/>
        <v>0</v>
      </c>
      <c r="H24" s="7">
        <f t="shared" si="4"/>
        <v>0</v>
      </c>
      <c r="I24" s="7">
        <f t="shared" si="5"/>
        <v>0</v>
      </c>
      <c r="J24" s="7">
        <f t="shared" si="6"/>
        <v>0</v>
      </c>
      <c r="K24" s="7">
        <f t="shared" si="7"/>
        <v>0</v>
      </c>
      <c r="L24" s="7">
        <f t="shared" si="8"/>
        <v>0</v>
      </c>
      <c r="M24" s="7">
        <f t="shared" si="9"/>
        <v>0</v>
      </c>
      <c r="N24" s="7">
        <f t="shared" si="10"/>
        <v>0</v>
      </c>
      <c r="O24" s="16">
        <f>N24*1.02</f>
        <v>0</v>
      </c>
      <c r="P24" s="7">
        <f t="shared" si="53"/>
        <v>0</v>
      </c>
      <c r="Q24" s="16">
        <f>SUM(E24:P24)</f>
        <v>0</v>
      </c>
      <c r="R24" s="83"/>
      <c r="S24" s="87" t="s">
        <v>234</v>
      </c>
      <c r="T24" s="7" t="s">
        <v>50</v>
      </c>
    </row>
    <row r="25" spans="2:24" x14ac:dyDescent="0.35">
      <c r="B25" s="77"/>
      <c r="C25" s="91" t="s">
        <v>291</v>
      </c>
      <c r="D25" s="93">
        <f t="shared" ref="D25" si="54">SUM(D22:D24)</f>
        <v>20849.41</v>
      </c>
      <c r="E25" s="93">
        <f>SUM(E22:E24)</f>
        <v>1737</v>
      </c>
      <c r="F25" s="93">
        <f t="shared" ref="F25" si="55">SUM(F22:F24)</f>
        <v>1737</v>
      </c>
      <c r="G25" s="93">
        <f t="shared" ref="G25" si="56">SUM(G22:G24)</f>
        <v>1737</v>
      </c>
      <c r="H25" s="93">
        <f t="shared" ref="H25" si="57">SUM(H22:H24)</f>
        <v>1737</v>
      </c>
      <c r="I25" s="93">
        <f t="shared" ref="I25" si="58">SUM(I22:I24)</f>
        <v>1737</v>
      </c>
      <c r="J25" s="93">
        <f t="shared" ref="J25" si="59">SUM(J22:J24)</f>
        <v>1737</v>
      </c>
      <c r="K25" s="93">
        <f t="shared" ref="K25" si="60">SUM(K22:K24)</f>
        <v>1737</v>
      </c>
      <c r="L25" s="93">
        <f t="shared" ref="L25" si="61">SUM(L22:L24)</f>
        <v>1737</v>
      </c>
      <c r="M25" s="93">
        <f t="shared" ref="M25" si="62">SUM(M22:M24)</f>
        <v>1737</v>
      </c>
      <c r="N25" s="93">
        <f t="shared" ref="N25" si="63">SUM(N22:N24)</f>
        <v>1737</v>
      </c>
      <c r="O25" s="93">
        <f t="shared" ref="O25" si="64">SUM(O22:O24)</f>
        <v>1771.7400000000002</v>
      </c>
      <c r="P25" s="93">
        <f t="shared" ref="P25:Q25" si="65">SUM(P22:P24)</f>
        <v>1771.7400000000002</v>
      </c>
      <c r="Q25" s="9">
        <f t="shared" si="65"/>
        <v>20913.480000000003</v>
      </c>
      <c r="R25" s="83"/>
      <c r="S25" s="87"/>
    </row>
    <row r="26" spans="2:24" x14ac:dyDescent="0.35">
      <c r="B26" s="77"/>
      <c r="C26" s="86"/>
      <c r="D26" s="83"/>
      <c r="R26" s="83"/>
      <c r="S26" s="87"/>
    </row>
    <row r="27" spans="2:24" x14ac:dyDescent="0.35">
      <c r="B27" s="77"/>
      <c r="C27" s="91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83"/>
      <c r="S27" s="87"/>
    </row>
    <row r="28" spans="2:24" s="8" customFormat="1" ht="18" x14ac:dyDescent="0.35">
      <c r="B28" s="101"/>
      <c r="C28" s="102" t="s">
        <v>297</v>
      </c>
      <c r="D28" s="103">
        <f>SUM(D11,D18,D25)</f>
        <v>59589.600000000006</v>
      </c>
      <c r="E28" s="103">
        <f t="shared" ref="E28:Q28" si="66">SUM(E11,E18,E25)</f>
        <v>4967</v>
      </c>
      <c r="F28" s="103">
        <f t="shared" si="66"/>
        <v>4967</v>
      </c>
      <c r="G28" s="103">
        <f t="shared" si="66"/>
        <v>4967</v>
      </c>
      <c r="H28" s="103">
        <f t="shared" si="66"/>
        <v>4967</v>
      </c>
      <c r="I28" s="103">
        <f t="shared" si="66"/>
        <v>4967</v>
      </c>
      <c r="J28" s="103">
        <f t="shared" si="66"/>
        <v>4967</v>
      </c>
      <c r="K28" s="103">
        <f t="shared" si="66"/>
        <v>4967</v>
      </c>
      <c r="L28" s="103">
        <f t="shared" si="66"/>
        <v>4967</v>
      </c>
      <c r="M28" s="103">
        <f t="shared" si="66"/>
        <v>4967</v>
      </c>
      <c r="N28" s="103">
        <f t="shared" si="66"/>
        <v>4967</v>
      </c>
      <c r="O28" s="103">
        <f t="shared" si="66"/>
        <v>5066.34</v>
      </c>
      <c r="P28" s="103">
        <f t="shared" si="66"/>
        <v>5066.34</v>
      </c>
      <c r="Q28" s="103">
        <f t="shared" si="66"/>
        <v>59802.68</v>
      </c>
      <c r="R28" s="104"/>
      <c r="S28" s="51"/>
    </row>
    <row r="29" spans="2:24" x14ac:dyDescent="0.35">
      <c r="B29" s="77"/>
      <c r="C29" s="91"/>
      <c r="D29" s="91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2"/>
      <c r="R29" s="84"/>
      <c r="S29" s="87"/>
    </row>
    <row r="30" spans="2:24" ht="17.5" x14ac:dyDescent="0.35">
      <c r="C30" s="10" t="s">
        <v>341</v>
      </c>
      <c r="Q30" s="84"/>
      <c r="S30" s="453" t="b">
        <v>1</v>
      </c>
      <c r="T30" s="87" t="s">
        <v>233</v>
      </c>
      <c r="V30" s="482" t="s">
        <v>607</v>
      </c>
      <c r="W30" s="482"/>
      <c r="X30" s="482"/>
    </row>
    <row r="31" spans="2:24" ht="18" x14ac:dyDescent="0.35">
      <c r="C31" s="7"/>
      <c r="D31" s="7"/>
      <c r="E31" s="25" t="s">
        <v>0</v>
      </c>
      <c r="F31" s="25" t="s">
        <v>1</v>
      </c>
      <c r="G31" s="25" t="s">
        <v>2</v>
      </c>
      <c r="H31" s="25" t="s">
        <v>3</v>
      </c>
      <c r="I31" s="25" t="s">
        <v>4</v>
      </c>
      <c r="J31" s="25" t="s">
        <v>5</v>
      </c>
      <c r="K31" s="25" t="s">
        <v>6</v>
      </c>
      <c r="L31" s="25" t="s">
        <v>7</v>
      </c>
      <c r="M31" s="25" t="s">
        <v>8</v>
      </c>
      <c r="N31" s="25" t="s">
        <v>9</v>
      </c>
      <c r="O31" s="25" t="s">
        <v>10</v>
      </c>
      <c r="P31" s="25" t="s">
        <v>11</v>
      </c>
      <c r="Q31" s="25" t="s">
        <v>12</v>
      </c>
      <c r="S31" s="25" t="s">
        <v>608</v>
      </c>
      <c r="V31" s="422" t="s">
        <v>603</v>
      </c>
      <c r="W31" s="422" t="s">
        <v>604</v>
      </c>
      <c r="X31" s="422" t="s">
        <v>605</v>
      </c>
    </row>
    <row r="32" spans="2:24" x14ac:dyDescent="0.35">
      <c r="C32" s="7"/>
      <c r="D32" s="223">
        <f>B6</f>
        <v>3610</v>
      </c>
      <c r="E32" s="7">
        <f>+Q32/12</f>
        <v>3383.1484454249999</v>
      </c>
      <c r="F32" s="7">
        <f>+E32</f>
        <v>3383.1484454249999</v>
      </c>
      <c r="G32" s="7">
        <f>+F32</f>
        <v>3383.1484454249999</v>
      </c>
      <c r="H32" s="7">
        <f t="shared" ref="H32:P32" si="67">+G32</f>
        <v>3383.1484454249999</v>
      </c>
      <c r="I32" s="7">
        <f t="shared" si="67"/>
        <v>3383.1484454249999</v>
      </c>
      <c r="J32" s="7">
        <f t="shared" si="67"/>
        <v>3383.1484454249999</v>
      </c>
      <c r="K32" s="7">
        <f t="shared" si="67"/>
        <v>3383.1484454249999</v>
      </c>
      <c r="L32" s="7">
        <f t="shared" si="67"/>
        <v>3383.1484454249999</v>
      </c>
      <c r="M32" s="7">
        <f t="shared" si="67"/>
        <v>3383.1484454249999</v>
      </c>
      <c r="N32" s="7">
        <f t="shared" si="67"/>
        <v>3383.1484454249999</v>
      </c>
      <c r="O32" s="7">
        <f t="shared" si="67"/>
        <v>3383.1484454249999</v>
      </c>
      <c r="P32" s="7">
        <f t="shared" si="67"/>
        <v>3383.1484454249999</v>
      </c>
      <c r="Q32" s="204">
        <f>IF(S30=TRUE,S32,1.03*96120)</f>
        <v>40597.781345099997</v>
      </c>
      <c r="S32" s="454">
        <v>40597.781345099997</v>
      </c>
      <c r="V32" s="223">
        <v>3610</v>
      </c>
      <c r="W32" s="7">
        <v>99003.6</v>
      </c>
      <c r="X32" s="7">
        <v>75000</v>
      </c>
    </row>
    <row r="33" spans="2:24" x14ac:dyDescent="0.35">
      <c r="C33" s="7"/>
      <c r="D33" s="223">
        <f>B13</f>
        <v>3620</v>
      </c>
      <c r="E33" s="7">
        <f t="shared" ref="E33:E34" si="68">+Q33/12</f>
        <v>3549.5327952000002</v>
      </c>
      <c r="F33" s="7">
        <f t="shared" ref="F33:F34" si="69">+E33</f>
        <v>3549.5327952000002</v>
      </c>
      <c r="G33" s="7">
        <f t="shared" ref="G33:P33" si="70">+F33</f>
        <v>3549.5327952000002</v>
      </c>
      <c r="H33" s="7">
        <f t="shared" si="70"/>
        <v>3549.5327952000002</v>
      </c>
      <c r="I33" s="7">
        <f t="shared" si="70"/>
        <v>3549.5327952000002</v>
      </c>
      <c r="J33" s="7">
        <f t="shared" si="70"/>
        <v>3549.5327952000002</v>
      </c>
      <c r="K33" s="7">
        <f t="shared" si="70"/>
        <v>3549.5327952000002</v>
      </c>
      <c r="L33" s="7">
        <f t="shared" si="70"/>
        <v>3549.5327952000002</v>
      </c>
      <c r="M33" s="7">
        <f t="shared" si="70"/>
        <v>3549.5327952000002</v>
      </c>
      <c r="N33" s="7">
        <f t="shared" si="70"/>
        <v>3549.5327952000002</v>
      </c>
      <c r="O33" s="7">
        <f t="shared" si="70"/>
        <v>3549.5327952000002</v>
      </c>
      <c r="P33" s="7">
        <f t="shared" si="70"/>
        <v>3549.5327952000002</v>
      </c>
      <c r="Q33" s="204">
        <f>IF(S30=TRUE,S33,1.03*107880)</f>
        <v>42594.393542400001</v>
      </c>
      <c r="S33" s="454">
        <v>42594.393542400001</v>
      </c>
      <c r="T33" s="451"/>
      <c r="V33" s="223">
        <v>3620</v>
      </c>
      <c r="W33" s="7">
        <v>111116.40000000001</v>
      </c>
      <c r="X33" s="7">
        <v>74000</v>
      </c>
    </row>
    <row r="34" spans="2:24" x14ac:dyDescent="0.35">
      <c r="C34" s="7"/>
      <c r="D34" s="223">
        <f>B20</f>
        <v>3640</v>
      </c>
      <c r="E34" s="7">
        <f t="shared" si="68"/>
        <v>4492.3774439250001</v>
      </c>
      <c r="F34" s="7">
        <f t="shared" si="69"/>
        <v>4492.3774439250001</v>
      </c>
      <c r="G34" s="7">
        <f t="shared" ref="G34:P34" si="71">+F34</f>
        <v>4492.3774439250001</v>
      </c>
      <c r="H34" s="7">
        <f t="shared" si="71"/>
        <v>4492.3774439250001</v>
      </c>
      <c r="I34" s="7">
        <f t="shared" si="71"/>
        <v>4492.3774439250001</v>
      </c>
      <c r="J34" s="7">
        <f t="shared" si="71"/>
        <v>4492.3774439250001</v>
      </c>
      <c r="K34" s="7">
        <f t="shared" si="71"/>
        <v>4492.3774439250001</v>
      </c>
      <c r="L34" s="7">
        <f t="shared" si="71"/>
        <v>4492.3774439250001</v>
      </c>
      <c r="M34" s="7">
        <f t="shared" si="71"/>
        <v>4492.3774439250001</v>
      </c>
      <c r="N34" s="7">
        <f t="shared" si="71"/>
        <v>4492.3774439250001</v>
      </c>
      <c r="O34" s="7">
        <f t="shared" si="71"/>
        <v>4492.3774439250001</v>
      </c>
      <c r="P34" s="7">
        <f t="shared" si="71"/>
        <v>4492.3774439250001</v>
      </c>
      <c r="Q34" s="204">
        <f>IF(S30=TRUE,S34,1.03*107880)</f>
        <v>53908.529327100005</v>
      </c>
      <c r="S34" s="455">
        <v>53908.529327100005</v>
      </c>
      <c r="T34" s="87"/>
      <c r="V34" s="223">
        <v>3640</v>
      </c>
      <c r="W34" s="16">
        <v>111116.40000000001</v>
      </c>
      <c r="X34" s="16">
        <v>60000</v>
      </c>
    </row>
    <row r="35" spans="2:24" x14ac:dyDescent="0.35">
      <c r="C35" s="77"/>
      <c r="D35" s="91" t="s">
        <v>340</v>
      </c>
      <c r="E35" s="93">
        <f t="shared" ref="E35:Q35" si="72">SUM(E32:E34)</f>
        <v>11425.05868455</v>
      </c>
      <c r="F35" s="93">
        <f t="shared" si="72"/>
        <v>11425.05868455</v>
      </c>
      <c r="G35" s="93">
        <f t="shared" si="72"/>
        <v>11425.05868455</v>
      </c>
      <c r="H35" s="93">
        <f t="shared" si="72"/>
        <v>11425.05868455</v>
      </c>
      <c r="I35" s="93">
        <f t="shared" si="72"/>
        <v>11425.05868455</v>
      </c>
      <c r="J35" s="93">
        <f t="shared" si="72"/>
        <v>11425.05868455</v>
      </c>
      <c r="K35" s="93">
        <f t="shared" si="72"/>
        <v>11425.05868455</v>
      </c>
      <c r="L35" s="93">
        <f t="shared" si="72"/>
        <v>11425.05868455</v>
      </c>
      <c r="M35" s="93">
        <f t="shared" si="72"/>
        <v>11425.05868455</v>
      </c>
      <c r="N35" s="93">
        <f t="shared" si="72"/>
        <v>11425.05868455</v>
      </c>
      <c r="O35" s="93">
        <f t="shared" si="72"/>
        <v>11425.05868455</v>
      </c>
      <c r="P35" s="93">
        <f t="shared" si="72"/>
        <v>11425.05868455</v>
      </c>
      <c r="Q35" s="93">
        <f t="shared" si="72"/>
        <v>137100.7042146</v>
      </c>
      <c r="S35" s="450">
        <f>SUM(S32:S34)</f>
        <v>137100.7042146</v>
      </c>
      <c r="T35" s="87"/>
      <c r="W35" s="7">
        <v>321236.40000000002</v>
      </c>
      <c r="X35" s="7">
        <v>209000</v>
      </c>
    </row>
    <row r="36" spans="2:24" x14ac:dyDescent="0.35">
      <c r="B36" s="77"/>
      <c r="C36" s="91"/>
      <c r="D36" s="91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450"/>
      <c r="T36" s="87"/>
      <c r="V36" s="452" t="s">
        <v>606</v>
      </c>
      <c r="W36" s="7">
        <f>'JV III Consolidated'!Q131</f>
        <v>79039.968029567855</v>
      </c>
      <c r="X36" s="7">
        <v>79039.968029567899</v>
      </c>
    </row>
  </sheetData>
  <sheetProtection selectLockedCells="1"/>
  <mergeCells count="1">
    <mergeCell ref="V30:X30"/>
  </mergeCells>
  <printOptions horizontalCentered="1" verticalCentered="1"/>
  <pageMargins left="0.25" right="0.25" top="0" bottom="0" header="0.05" footer="0.25"/>
  <pageSetup scale="64" fitToHeight="0" orientation="landscape" r:id="rId1"/>
  <headerFooter>
    <oddHeader>&amp;R&amp;D</oddHeader>
    <oddFooter>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D8A6F-926E-4DB3-B1A3-E29FD7FC7E46}">
  <sheetPr>
    <tabColor rgb="FFFFC000"/>
  </sheetPr>
  <dimension ref="A1:P31"/>
  <sheetViews>
    <sheetView view="pageBreakPreview" zoomScale="160" zoomScaleNormal="130" zoomScaleSheetLayoutView="160" workbookViewId="0">
      <selection activeCell="J2" sqref="J2"/>
    </sheetView>
  </sheetViews>
  <sheetFormatPr defaultColWidth="8.81640625" defaultRowHeight="16" x14ac:dyDescent="0.35"/>
  <cols>
    <col min="1" max="1" width="17" style="7" customWidth="1"/>
    <col min="2" max="2" width="14.453125" style="7" customWidth="1"/>
    <col min="3" max="8" width="11.81640625" style="7" customWidth="1"/>
    <col min="9" max="9" width="10" style="7" bestFit="1" customWidth="1"/>
    <col min="10" max="14" width="9.54296875" style="7" bestFit="1" customWidth="1"/>
    <col min="15" max="15" width="12.453125" style="9" bestFit="1" customWidth="1"/>
    <col min="16" max="16" width="9.54296875" style="7" bestFit="1" customWidth="1"/>
    <col min="17" max="16384" width="8.81640625" style="7"/>
  </cols>
  <sheetData>
    <row r="1" spans="1:16" ht="29" x14ac:dyDescent="0.5">
      <c r="A1" s="8" t="s">
        <v>109</v>
      </c>
      <c r="C1" s="18" t="s">
        <v>47</v>
      </c>
      <c r="D1" s="404"/>
      <c r="E1" s="19"/>
      <c r="F1" s="19"/>
      <c r="G1" s="19"/>
      <c r="H1" s="19"/>
      <c r="I1" s="19"/>
      <c r="J1" s="19"/>
      <c r="K1" s="19"/>
      <c r="L1" s="19"/>
      <c r="M1" s="19"/>
      <c r="N1" s="19"/>
      <c r="O1" s="23">
        <f>'JV III Consolidated'!$Q$1</f>
        <v>46023</v>
      </c>
      <c r="P1" s="19"/>
    </row>
    <row r="2" spans="1:16" ht="18" x14ac:dyDescent="0.35">
      <c r="A2" s="7" t="s">
        <v>549</v>
      </c>
      <c r="C2" s="79" t="str">
        <f>'JV III Consolidated'!J2</f>
        <v>Lincoln JV III</v>
      </c>
      <c r="D2" s="404"/>
      <c r="E2" s="19"/>
      <c r="F2" s="19"/>
      <c r="G2" s="19"/>
      <c r="H2" s="19"/>
      <c r="I2" s="19"/>
      <c r="J2" s="19"/>
      <c r="K2" s="19"/>
      <c r="L2" s="19"/>
      <c r="M2" s="19"/>
      <c r="N2" s="19"/>
      <c r="O2" s="404"/>
      <c r="P2" s="19"/>
    </row>
    <row r="3" spans="1:16" x14ac:dyDescent="0.35">
      <c r="G3" s="62"/>
    </row>
    <row r="4" spans="1:16" ht="18" x14ac:dyDescent="0.35">
      <c r="A4" s="8"/>
      <c r="B4" s="10" t="s">
        <v>537</v>
      </c>
      <c r="M4" s="84"/>
      <c r="N4" s="84"/>
    </row>
    <row r="5" spans="1:16" x14ac:dyDescent="0.35">
      <c r="C5" s="14" t="s">
        <v>0</v>
      </c>
      <c r="D5" s="14" t="s">
        <v>1</v>
      </c>
      <c r="E5" s="14" t="s">
        <v>2</v>
      </c>
      <c r="F5" s="14" t="s">
        <v>3</v>
      </c>
      <c r="G5" s="14" t="s">
        <v>4</v>
      </c>
      <c r="H5" s="14" t="s">
        <v>5</v>
      </c>
      <c r="I5" s="14" t="s">
        <v>6</v>
      </c>
      <c r="J5" s="14" t="s">
        <v>7</v>
      </c>
      <c r="K5" s="14" t="s">
        <v>8</v>
      </c>
      <c r="L5" s="14" t="s">
        <v>9</v>
      </c>
      <c r="M5" s="14" t="s">
        <v>10</v>
      </c>
      <c r="N5" s="14" t="s">
        <v>11</v>
      </c>
      <c r="O5" s="408" t="s">
        <v>12</v>
      </c>
      <c r="P5" s="14"/>
    </row>
    <row r="6" spans="1:16" x14ac:dyDescent="0.35">
      <c r="B6" s="223">
        <f>'361'!$B$1</f>
        <v>3610</v>
      </c>
      <c r="C6" s="47">
        <f>C14+C21+C28</f>
        <v>0</v>
      </c>
      <c r="D6" s="47">
        <f t="shared" ref="D6:N6" si="0">D14+D21+D28</f>
        <v>0</v>
      </c>
      <c r="E6" s="47">
        <f t="shared" si="0"/>
        <v>0</v>
      </c>
      <c r="F6" s="47">
        <f t="shared" si="0"/>
        <v>0</v>
      </c>
      <c r="G6" s="47">
        <f t="shared" si="0"/>
        <v>0</v>
      </c>
      <c r="H6" s="47">
        <f t="shared" si="0"/>
        <v>0</v>
      </c>
      <c r="I6" s="47">
        <f t="shared" si="0"/>
        <v>0</v>
      </c>
      <c r="J6" s="47">
        <f t="shared" si="0"/>
        <v>0</v>
      </c>
      <c r="K6" s="47">
        <f t="shared" si="0"/>
        <v>0</v>
      </c>
      <c r="L6" s="47">
        <f t="shared" si="0"/>
        <v>0</v>
      </c>
      <c r="M6" s="47">
        <f t="shared" si="0"/>
        <v>0</v>
      </c>
      <c r="N6" s="47">
        <f t="shared" si="0"/>
        <v>0</v>
      </c>
      <c r="O6" s="409">
        <f>SUM(C6:N6)</f>
        <v>0</v>
      </c>
      <c r="P6" s="78"/>
    </row>
    <row r="7" spans="1:16" x14ac:dyDescent="0.35">
      <c r="B7" s="223">
        <f>'362'!$B$1</f>
        <v>3620</v>
      </c>
      <c r="C7" s="7">
        <f t="shared" ref="C7:N8" si="1">C15+C22+C29</f>
        <v>0</v>
      </c>
      <c r="D7" s="7">
        <f t="shared" si="1"/>
        <v>0</v>
      </c>
      <c r="E7" s="7">
        <f t="shared" si="1"/>
        <v>0</v>
      </c>
      <c r="F7" s="7">
        <f t="shared" si="1"/>
        <v>0</v>
      </c>
      <c r="G7" s="7">
        <f t="shared" si="1"/>
        <v>0</v>
      </c>
      <c r="H7" s="7">
        <f t="shared" si="1"/>
        <v>0</v>
      </c>
      <c r="I7" s="7">
        <f t="shared" si="1"/>
        <v>0</v>
      </c>
      <c r="J7" s="7">
        <f t="shared" si="1"/>
        <v>0</v>
      </c>
      <c r="K7" s="7">
        <f t="shared" si="1"/>
        <v>0</v>
      </c>
      <c r="L7" s="7">
        <f t="shared" si="1"/>
        <v>0</v>
      </c>
      <c r="M7" s="7">
        <f t="shared" si="1"/>
        <v>0</v>
      </c>
      <c r="N7" s="7">
        <f t="shared" si="1"/>
        <v>0</v>
      </c>
      <c r="O7" s="409">
        <f t="shared" ref="O7:O8" si="2">SUM(C7:N7)</f>
        <v>0</v>
      </c>
      <c r="P7" s="78"/>
    </row>
    <row r="8" spans="1:16" x14ac:dyDescent="0.35">
      <c r="B8" s="223">
        <f>'364'!$B$1</f>
        <v>3640</v>
      </c>
      <c r="C8" s="16">
        <f t="shared" si="1"/>
        <v>0</v>
      </c>
      <c r="D8" s="16">
        <f t="shared" si="1"/>
        <v>0</v>
      </c>
      <c r="E8" s="16">
        <f t="shared" si="1"/>
        <v>0</v>
      </c>
      <c r="F8" s="16">
        <f t="shared" si="1"/>
        <v>0</v>
      </c>
      <c r="G8" s="16">
        <f t="shared" si="1"/>
        <v>0</v>
      </c>
      <c r="H8" s="16">
        <f t="shared" si="1"/>
        <v>0</v>
      </c>
      <c r="I8" s="16">
        <f t="shared" si="1"/>
        <v>0</v>
      </c>
      <c r="J8" s="16">
        <f t="shared" si="1"/>
        <v>0</v>
      </c>
      <c r="K8" s="16">
        <f t="shared" si="1"/>
        <v>0</v>
      </c>
      <c r="L8" s="16">
        <f t="shared" si="1"/>
        <v>0</v>
      </c>
      <c r="M8" s="16">
        <f t="shared" si="1"/>
        <v>0</v>
      </c>
      <c r="N8" s="16">
        <f t="shared" si="1"/>
        <v>0</v>
      </c>
      <c r="O8" s="410">
        <f t="shared" si="2"/>
        <v>0</v>
      </c>
      <c r="P8" s="78"/>
    </row>
    <row r="9" spans="1:16" x14ac:dyDescent="0.35">
      <c r="B9" s="91" t="s">
        <v>291</v>
      </c>
      <c r="C9" s="9">
        <f t="shared" ref="C9:O9" si="3">SUM(C6:C8)</f>
        <v>0</v>
      </c>
      <c r="D9" s="9">
        <f t="shared" si="3"/>
        <v>0</v>
      </c>
      <c r="E9" s="9">
        <f t="shared" si="3"/>
        <v>0</v>
      </c>
      <c r="F9" s="9">
        <f t="shared" si="3"/>
        <v>0</v>
      </c>
      <c r="G9" s="9">
        <f t="shared" si="3"/>
        <v>0</v>
      </c>
      <c r="H9" s="9">
        <f t="shared" si="3"/>
        <v>0</v>
      </c>
      <c r="I9" s="9">
        <f t="shared" si="3"/>
        <v>0</v>
      </c>
      <c r="J9" s="9">
        <f t="shared" si="3"/>
        <v>0</v>
      </c>
      <c r="K9" s="9">
        <f t="shared" si="3"/>
        <v>0</v>
      </c>
      <c r="L9" s="9">
        <f t="shared" si="3"/>
        <v>0</v>
      </c>
      <c r="M9" s="9">
        <f t="shared" si="3"/>
        <v>0</v>
      </c>
      <c r="N9" s="9">
        <f t="shared" si="3"/>
        <v>0</v>
      </c>
      <c r="O9" s="9">
        <f t="shared" si="3"/>
        <v>0</v>
      </c>
      <c r="P9" s="83"/>
    </row>
    <row r="10" spans="1:16" ht="16.5" thickBot="1" x14ac:dyDescent="0.4">
      <c r="A10" s="401"/>
      <c r="B10" s="401"/>
      <c r="C10" s="401"/>
      <c r="D10" s="401"/>
      <c r="E10" s="401"/>
      <c r="F10" s="401"/>
      <c r="G10" s="402"/>
      <c r="H10" s="401"/>
      <c r="I10" s="401"/>
      <c r="J10" s="401"/>
      <c r="K10" s="401"/>
      <c r="L10" s="401"/>
      <c r="M10" s="401"/>
      <c r="N10" s="401"/>
      <c r="O10" s="411"/>
    </row>
    <row r="11" spans="1:16" x14ac:dyDescent="0.35">
      <c r="G11" s="412"/>
    </row>
    <row r="12" spans="1:16" ht="17.5" x14ac:dyDescent="0.35">
      <c r="A12" s="10"/>
      <c r="B12" s="10" t="s">
        <v>550</v>
      </c>
      <c r="M12" s="84"/>
      <c r="N12" s="84"/>
    </row>
    <row r="13" spans="1:16" x14ac:dyDescent="0.35">
      <c r="C13" s="81" t="s">
        <v>0</v>
      </c>
      <c r="D13" s="81" t="s">
        <v>1</v>
      </c>
      <c r="E13" s="81" t="s">
        <v>2</v>
      </c>
      <c r="F13" s="81" t="s">
        <v>3</v>
      </c>
      <c r="G13" s="81" t="s">
        <v>4</v>
      </c>
      <c r="H13" s="81" t="s">
        <v>5</v>
      </c>
      <c r="I13" s="81" t="s">
        <v>6</v>
      </c>
      <c r="J13" s="81" t="s">
        <v>7</v>
      </c>
      <c r="K13" s="81" t="s">
        <v>8</v>
      </c>
      <c r="L13" s="81" t="s">
        <v>9</v>
      </c>
      <c r="M13" s="81" t="s">
        <v>10</v>
      </c>
      <c r="N13" s="81" t="s">
        <v>11</v>
      </c>
      <c r="O13" s="408" t="s">
        <v>12</v>
      </c>
      <c r="P13" s="14"/>
    </row>
    <row r="14" spans="1:16" x14ac:dyDescent="0.35">
      <c r="B14" s="223">
        <f>'361'!$B$1</f>
        <v>3610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409">
        <f>SUM(C14:N14)</f>
        <v>0</v>
      </c>
      <c r="P14" s="78"/>
    </row>
    <row r="15" spans="1:16" x14ac:dyDescent="0.35">
      <c r="B15" s="223">
        <f>'362'!$B$1</f>
        <v>3620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409">
        <f t="shared" ref="O15:O16" si="4">SUM(C15:N15)</f>
        <v>0</v>
      </c>
      <c r="P15" s="78"/>
    </row>
    <row r="16" spans="1:16" x14ac:dyDescent="0.35">
      <c r="B16" s="223">
        <f>'364'!$B$1</f>
        <v>3640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410">
        <f t="shared" si="4"/>
        <v>0</v>
      </c>
      <c r="P16" s="78"/>
    </row>
    <row r="17" spans="1:16" x14ac:dyDescent="0.35">
      <c r="B17" s="91" t="s">
        <v>291</v>
      </c>
      <c r="C17" s="9">
        <f t="shared" ref="C17:O17" si="5">SUM(C14:C16)</f>
        <v>0</v>
      </c>
      <c r="D17" s="9">
        <f t="shared" si="5"/>
        <v>0</v>
      </c>
      <c r="E17" s="9">
        <f t="shared" si="5"/>
        <v>0</v>
      </c>
      <c r="F17" s="9">
        <f t="shared" si="5"/>
        <v>0</v>
      </c>
      <c r="G17" s="9">
        <f t="shared" si="5"/>
        <v>0</v>
      </c>
      <c r="H17" s="9">
        <f t="shared" si="5"/>
        <v>0</v>
      </c>
      <c r="I17" s="9">
        <f t="shared" si="5"/>
        <v>0</v>
      </c>
      <c r="J17" s="9">
        <f t="shared" si="5"/>
        <v>0</v>
      </c>
      <c r="K17" s="9">
        <f t="shared" si="5"/>
        <v>0</v>
      </c>
      <c r="L17" s="9">
        <f t="shared" si="5"/>
        <v>0</v>
      </c>
      <c r="M17" s="9">
        <f t="shared" si="5"/>
        <v>0</v>
      </c>
      <c r="N17" s="9">
        <f t="shared" si="5"/>
        <v>0</v>
      </c>
      <c r="O17" s="9">
        <f t="shared" si="5"/>
        <v>0</v>
      </c>
      <c r="P17" s="83"/>
    </row>
    <row r="19" spans="1:16" ht="17.5" x14ac:dyDescent="0.35">
      <c r="A19" s="10"/>
      <c r="B19" s="10" t="s">
        <v>551</v>
      </c>
      <c r="C19" s="14"/>
      <c r="N19" s="84"/>
    </row>
    <row r="20" spans="1:16" x14ac:dyDescent="0.35">
      <c r="C20" s="81" t="s">
        <v>0</v>
      </c>
      <c r="D20" s="81" t="s">
        <v>1</v>
      </c>
      <c r="E20" s="81" t="s">
        <v>2</v>
      </c>
      <c r="F20" s="81" t="s">
        <v>3</v>
      </c>
      <c r="G20" s="81" t="s">
        <v>4</v>
      </c>
      <c r="H20" s="81" t="s">
        <v>5</v>
      </c>
      <c r="I20" s="81" t="s">
        <v>6</v>
      </c>
      <c r="J20" s="81" t="s">
        <v>7</v>
      </c>
      <c r="K20" s="81" t="s">
        <v>8</v>
      </c>
      <c r="L20" s="81" t="s">
        <v>9</v>
      </c>
      <c r="M20" s="81" t="s">
        <v>10</v>
      </c>
      <c r="N20" s="81" t="s">
        <v>11</v>
      </c>
      <c r="O20" s="408" t="s">
        <v>12</v>
      </c>
      <c r="P20" s="14"/>
    </row>
    <row r="21" spans="1:16" x14ac:dyDescent="0.35">
      <c r="B21" s="223">
        <f>'361'!$B$1</f>
        <v>3610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409">
        <f>SUM(C21:N21)</f>
        <v>0</v>
      </c>
      <c r="P21" s="78"/>
    </row>
    <row r="22" spans="1:16" x14ac:dyDescent="0.35">
      <c r="B22" s="223">
        <f>'362'!$B$1</f>
        <v>3620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409">
        <f t="shared" ref="O22:O23" si="6">SUM(C22:N22)</f>
        <v>0</v>
      </c>
      <c r="P22" s="78"/>
    </row>
    <row r="23" spans="1:16" x14ac:dyDescent="0.35">
      <c r="B23" s="223">
        <f>'364'!$B$1</f>
        <v>3640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409">
        <f t="shared" si="6"/>
        <v>0</v>
      </c>
      <c r="P23" s="400"/>
    </row>
    <row r="24" spans="1:16" x14ac:dyDescent="0.35">
      <c r="B24" s="91" t="s">
        <v>291</v>
      </c>
      <c r="C24" s="9">
        <f t="shared" ref="C24:O24" si="7">SUM(C21:C23)</f>
        <v>0</v>
      </c>
      <c r="D24" s="93">
        <f t="shared" si="7"/>
        <v>0</v>
      </c>
      <c r="E24" s="93">
        <f t="shared" si="7"/>
        <v>0</v>
      </c>
      <c r="F24" s="93">
        <f t="shared" si="7"/>
        <v>0</v>
      </c>
      <c r="G24" s="93">
        <f t="shared" si="7"/>
        <v>0</v>
      </c>
      <c r="H24" s="93">
        <f t="shared" si="7"/>
        <v>0</v>
      </c>
      <c r="I24" s="93">
        <f t="shared" si="7"/>
        <v>0</v>
      </c>
      <c r="J24" s="93">
        <f t="shared" si="7"/>
        <v>0</v>
      </c>
      <c r="K24" s="93">
        <f t="shared" si="7"/>
        <v>0</v>
      </c>
      <c r="L24" s="93">
        <f t="shared" si="7"/>
        <v>0</v>
      </c>
      <c r="M24" s="93">
        <f t="shared" si="7"/>
        <v>0</v>
      </c>
      <c r="N24" s="93">
        <f t="shared" si="7"/>
        <v>0</v>
      </c>
      <c r="O24" s="93">
        <f t="shared" si="7"/>
        <v>0</v>
      </c>
      <c r="P24" s="83"/>
    </row>
    <row r="26" spans="1:16" ht="17.5" x14ac:dyDescent="0.35">
      <c r="A26" s="10"/>
      <c r="B26" s="10" t="s">
        <v>552</v>
      </c>
      <c r="C26" s="14"/>
      <c r="N26" s="84"/>
    </row>
    <row r="27" spans="1:16" x14ac:dyDescent="0.35">
      <c r="C27" s="81" t="s">
        <v>0</v>
      </c>
      <c r="D27" s="81" t="s">
        <v>1</v>
      </c>
      <c r="E27" s="81" t="s">
        <v>2</v>
      </c>
      <c r="F27" s="81" t="s">
        <v>3</v>
      </c>
      <c r="G27" s="81" t="s">
        <v>4</v>
      </c>
      <c r="H27" s="81" t="s">
        <v>5</v>
      </c>
      <c r="I27" s="81" t="s">
        <v>6</v>
      </c>
      <c r="J27" s="81" t="s">
        <v>7</v>
      </c>
      <c r="K27" s="81" t="s">
        <v>8</v>
      </c>
      <c r="L27" s="81" t="s">
        <v>9</v>
      </c>
      <c r="M27" s="81" t="s">
        <v>10</v>
      </c>
      <c r="N27" s="81" t="s">
        <v>11</v>
      </c>
      <c r="O27" s="408" t="s">
        <v>12</v>
      </c>
      <c r="P27" s="14"/>
    </row>
    <row r="28" spans="1:16" x14ac:dyDescent="0.35">
      <c r="B28" s="223">
        <f>'361'!$B$1</f>
        <v>3610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409">
        <f>SUM(C28:N28)</f>
        <v>0</v>
      </c>
      <c r="P28" s="78"/>
    </row>
    <row r="29" spans="1:16" x14ac:dyDescent="0.35">
      <c r="B29" s="223">
        <f>'362'!$B$1</f>
        <v>3620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409">
        <f t="shared" ref="O29:O30" si="8">SUM(C29:N29)</f>
        <v>0</v>
      </c>
      <c r="P29" s="78"/>
    </row>
    <row r="30" spans="1:16" x14ac:dyDescent="0.35">
      <c r="B30" s="223">
        <f>'364'!$B$1</f>
        <v>3640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409">
        <f t="shared" si="8"/>
        <v>0</v>
      </c>
      <c r="P30" s="400"/>
    </row>
    <row r="31" spans="1:16" x14ac:dyDescent="0.35">
      <c r="B31" s="91" t="s">
        <v>291</v>
      </c>
      <c r="C31" s="9">
        <f t="shared" ref="C31:O31" si="9">SUM(C28:C30)</f>
        <v>0</v>
      </c>
      <c r="D31" s="93">
        <f t="shared" si="9"/>
        <v>0</v>
      </c>
      <c r="E31" s="93">
        <f t="shared" si="9"/>
        <v>0</v>
      </c>
      <c r="F31" s="93">
        <f t="shared" si="9"/>
        <v>0</v>
      </c>
      <c r="G31" s="93">
        <f t="shared" si="9"/>
        <v>0</v>
      </c>
      <c r="H31" s="93">
        <f t="shared" si="9"/>
        <v>0</v>
      </c>
      <c r="I31" s="93">
        <f t="shared" si="9"/>
        <v>0</v>
      </c>
      <c r="J31" s="93">
        <f t="shared" si="9"/>
        <v>0</v>
      </c>
      <c r="K31" s="93">
        <f t="shared" si="9"/>
        <v>0</v>
      </c>
      <c r="L31" s="93">
        <f t="shared" si="9"/>
        <v>0</v>
      </c>
      <c r="M31" s="93">
        <f t="shared" si="9"/>
        <v>0</v>
      </c>
      <c r="N31" s="93">
        <f t="shared" si="9"/>
        <v>0</v>
      </c>
      <c r="O31" s="93">
        <f t="shared" si="9"/>
        <v>0</v>
      </c>
      <c r="P31" s="83"/>
    </row>
  </sheetData>
  <sheetProtection selectLockedCells="1"/>
  <printOptions horizontalCentered="1" verticalCentered="1"/>
  <pageMargins left="0.25" right="0.25" top="0.75" bottom="0.75" header="0.3" footer="0.3"/>
  <pageSetup scale="45" fitToHeight="0" orientation="landscape" verticalDpi="300" r:id="rId1"/>
  <headerFooter>
    <oddFooter>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9">
    <tabColor rgb="FFFF0000"/>
  </sheetPr>
  <dimension ref="B2:J55"/>
  <sheetViews>
    <sheetView workbookViewId="0"/>
  </sheetViews>
  <sheetFormatPr defaultColWidth="8.81640625" defaultRowHeight="12.5" x14ac:dyDescent="0.25"/>
  <cols>
    <col min="1" max="1" width="8.81640625" style="3"/>
    <col min="2" max="2" width="34.54296875" style="3" customWidth="1"/>
    <col min="3" max="3" width="19" style="3" bestFit="1" customWidth="1"/>
    <col min="4" max="4" width="19" style="3" customWidth="1"/>
    <col min="5" max="5" width="15.1796875" style="3" customWidth="1"/>
    <col min="6" max="6" width="16.1796875" style="3" customWidth="1"/>
    <col min="7" max="16384" width="8.81640625" style="3"/>
  </cols>
  <sheetData>
    <row r="2" spans="2:10" ht="17.5" thickBot="1" x14ac:dyDescent="0.45">
      <c r="B2" s="483" t="s">
        <v>273</v>
      </c>
      <c r="C2" s="483"/>
      <c r="D2" s="483"/>
      <c r="E2" s="483"/>
      <c r="F2" s="483"/>
      <c r="G2" s="484"/>
      <c r="H2" s="484"/>
      <c r="I2" s="484"/>
      <c r="J2" s="484"/>
    </row>
    <row r="3" spans="2:10" ht="18" thickTop="1" thickBot="1" x14ac:dyDescent="0.45">
      <c r="B3" s="228"/>
      <c r="C3" s="230">
        <v>43556</v>
      </c>
      <c r="D3" s="230">
        <v>45383</v>
      </c>
      <c r="E3" s="230">
        <v>45383</v>
      </c>
      <c r="F3" s="230">
        <v>45383</v>
      </c>
      <c r="G3" s="229"/>
      <c r="H3" s="229"/>
      <c r="I3" s="229"/>
      <c r="J3" s="229"/>
    </row>
    <row r="4" spans="2:10" ht="18" thickTop="1" thickBot="1" x14ac:dyDescent="0.45">
      <c r="B4" s="228" t="s">
        <v>266</v>
      </c>
      <c r="C4" s="231">
        <v>26500000</v>
      </c>
      <c r="D4" s="231">
        <v>23440000</v>
      </c>
      <c r="E4" s="231">
        <v>23440000</v>
      </c>
      <c r="F4" s="232">
        <f>+E4</f>
        <v>23440000</v>
      </c>
      <c r="G4" s="229"/>
      <c r="H4" s="229"/>
      <c r="I4" s="229"/>
      <c r="J4" s="229"/>
    </row>
    <row r="5" spans="2:10" ht="18" thickTop="1" thickBot="1" x14ac:dyDescent="0.45">
      <c r="B5" s="228"/>
      <c r="C5" s="233"/>
      <c r="D5" s="234">
        <v>5.5E-2</v>
      </c>
      <c r="E5" s="234">
        <v>0.06</v>
      </c>
      <c r="F5" s="234">
        <v>6.5000000000000002E-2</v>
      </c>
      <c r="G5" s="229"/>
      <c r="H5" s="229"/>
      <c r="I5" s="229"/>
      <c r="J5" s="229"/>
    </row>
    <row r="6" spans="2:10" ht="15.5" thickTop="1" thickBot="1" x14ac:dyDescent="0.4">
      <c r="B6" s="235" t="s">
        <v>265</v>
      </c>
      <c r="C6" s="236">
        <v>153376</v>
      </c>
      <c r="D6" s="236">
        <v>161241</v>
      </c>
      <c r="E6" s="236">
        <v>167931</v>
      </c>
      <c r="F6" s="236">
        <v>174762</v>
      </c>
    </row>
    <row r="7" spans="2:10" ht="15" thickTop="1" x14ac:dyDescent="0.35">
      <c r="B7" s="235"/>
      <c r="C7" s="237"/>
      <c r="D7" s="237"/>
      <c r="E7" s="237"/>
      <c r="F7" s="237"/>
    </row>
    <row r="8" spans="2:10" ht="13" x14ac:dyDescent="0.3">
      <c r="D8" s="238" t="s">
        <v>264</v>
      </c>
      <c r="E8" s="238" t="s">
        <v>264</v>
      </c>
      <c r="F8" s="238" t="s">
        <v>264</v>
      </c>
    </row>
    <row r="9" spans="2:10" ht="13" x14ac:dyDescent="0.3">
      <c r="C9" s="238" t="s">
        <v>261</v>
      </c>
      <c r="D9" s="238" t="s">
        <v>263</v>
      </c>
      <c r="E9" s="238" t="s">
        <v>263</v>
      </c>
      <c r="F9" s="238" t="s">
        <v>263</v>
      </c>
    </row>
    <row r="10" spans="2:10" ht="14.5" x14ac:dyDescent="0.35">
      <c r="B10" s="239" t="s">
        <v>217</v>
      </c>
      <c r="C10" s="238" t="s">
        <v>262</v>
      </c>
      <c r="D10" s="238" t="s">
        <v>262</v>
      </c>
      <c r="E10" s="238" t="s">
        <v>262</v>
      </c>
      <c r="F10" s="238" t="s">
        <v>262</v>
      </c>
    </row>
    <row r="11" spans="2:10" ht="14.5" x14ac:dyDescent="0.35">
      <c r="B11" s="235" t="s">
        <v>90</v>
      </c>
      <c r="C11" s="240">
        <f>+'JV III Consolidated'!Q109</f>
        <v>388439.72302956786</v>
      </c>
      <c r="D11" s="241">
        <f>+C11</f>
        <v>388439.72302956786</v>
      </c>
      <c r="E11" s="241">
        <f>+C11</f>
        <v>388439.72302956786</v>
      </c>
      <c r="F11" s="241">
        <f>+E11</f>
        <v>388439.72302956786</v>
      </c>
    </row>
    <row r="12" spans="2:10" ht="14.5" x14ac:dyDescent="0.35">
      <c r="B12" s="235" t="s">
        <v>218</v>
      </c>
      <c r="C12" s="240">
        <f>+C6*12</f>
        <v>1840512</v>
      </c>
      <c r="D12" s="241">
        <f>+D6*12</f>
        <v>1934892</v>
      </c>
      <c r="E12" s="241">
        <f>+E6*12</f>
        <v>2015172</v>
      </c>
      <c r="F12" s="241">
        <f>+F6*12</f>
        <v>2097144</v>
      </c>
    </row>
    <row r="13" spans="2:10" ht="15" thickBot="1" x14ac:dyDescent="0.4">
      <c r="B13" s="235" t="s">
        <v>216</v>
      </c>
      <c r="C13" s="242">
        <f>C11/C12</f>
        <v>0.21104981821882599</v>
      </c>
      <c r="D13" s="242">
        <f>D11/D12</f>
        <v>0.20075524785340362</v>
      </c>
      <c r="E13" s="242">
        <f>E11/E12</f>
        <v>0.19275760234340686</v>
      </c>
      <c r="F13" s="242">
        <f>F11/F12</f>
        <v>0.18522320023306357</v>
      </c>
    </row>
    <row r="14" spans="2:10" ht="13" thickTop="1" x14ac:dyDescent="0.25"/>
    <row r="15" spans="2:10" ht="15" thickBot="1" x14ac:dyDescent="0.4">
      <c r="B15" s="235" t="s">
        <v>275</v>
      </c>
      <c r="E15" s="243">
        <f>-E12+D12</f>
        <v>-80280</v>
      </c>
      <c r="F15" s="243">
        <f>-F12+E12</f>
        <v>-81972</v>
      </c>
    </row>
    <row r="16" spans="2:10" ht="13" thickTop="1" x14ac:dyDescent="0.25"/>
    <row r="17" spans="2:10" ht="15" thickBot="1" x14ac:dyDescent="0.4">
      <c r="B17" s="235" t="s">
        <v>276</v>
      </c>
      <c r="F17" s="244">
        <f>+F15+E15</f>
        <v>-162252</v>
      </c>
    </row>
    <row r="18" spans="2:10" ht="13" thickTop="1" x14ac:dyDescent="0.25"/>
    <row r="20" spans="2:10" ht="17.5" thickBot="1" x14ac:dyDescent="0.45">
      <c r="B20" s="483" t="s">
        <v>274</v>
      </c>
      <c r="C20" s="484"/>
      <c r="D20" s="483"/>
      <c r="E20" s="483"/>
      <c r="F20" s="483"/>
      <c r="G20" s="484"/>
      <c r="H20" s="484"/>
      <c r="I20" s="484"/>
      <c r="J20" s="484"/>
    </row>
    <row r="21" spans="2:10" ht="18" thickTop="1" thickBot="1" x14ac:dyDescent="0.45">
      <c r="B21" s="228"/>
      <c r="C21" s="245"/>
      <c r="D21" s="230">
        <v>45383</v>
      </c>
      <c r="E21" s="230">
        <v>45383</v>
      </c>
      <c r="F21" s="230">
        <v>45383</v>
      </c>
      <c r="G21" s="229"/>
      <c r="H21" s="229"/>
      <c r="I21" s="229"/>
      <c r="J21" s="229"/>
    </row>
    <row r="22" spans="2:10" ht="18" thickTop="1" thickBot="1" x14ac:dyDescent="0.45">
      <c r="B22" s="228" t="s">
        <v>266</v>
      </c>
      <c r="C22" s="233"/>
      <c r="D22" s="231">
        <v>21600000</v>
      </c>
      <c r="E22" s="231">
        <f>+D22</f>
        <v>21600000</v>
      </c>
      <c r="F22" s="232">
        <f>+E22</f>
        <v>21600000</v>
      </c>
      <c r="G22" s="229"/>
      <c r="H22" s="229"/>
      <c r="I22" s="229"/>
      <c r="J22" s="229"/>
    </row>
    <row r="23" spans="2:10" ht="18" thickTop="1" thickBot="1" x14ac:dyDescent="0.45">
      <c r="B23" s="228"/>
      <c r="C23" s="233"/>
      <c r="D23" s="234">
        <v>5.5E-2</v>
      </c>
      <c r="E23" s="234">
        <v>0.06</v>
      </c>
      <c r="F23" s="234">
        <v>6.5000000000000002E-2</v>
      </c>
      <c r="G23" s="229"/>
      <c r="H23" s="229"/>
      <c r="I23" s="229"/>
      <c r="J23" s="229"/>
    </row>
    <row r="24" spans="2:10" ht="15.5" thickTop="1" thickBot="1" x14ac:dyDescent="0.4">
      <c r="B24" s="235" t="s">
        <v>265</v>
      </c>
      <c r="C24" s="237"/>
      <c r="D24" s="236">
        <v>148583.32999999999</v>
      </c>
      <c r="E24" s="236">
        <v>154749.10999999999</v>
      </c>
      <c r="F24" s="236">
        <v>161043.79999999999</v>
      </c>
    </row>
    <row r="25" spans="2:10" ht="15" thickTop="1" x14ac:dyDescent="0.35">
      <c r="B25" s="235"/>
      <c r="C25" s="237"/>
      <c r="D25" s="237"/>
      <c r="E25" s="237"/>
      <c r="F25" s="237"/>
    </row>
    <row r="26" spans="2:10" ht="13" x14ac:dyDescent="0.3">
      <c r="D26" s="238" t="s">
        <v>264</v>
      </c>
      <c r="E26" s="238" t="s">
        <v>264</v>
      </c>
      <c r="F26" s="238" t="s">
        <v>264</v>
      </c>
    </row>
    <row r="27" spans="2:10" ht="13" x14ac:dyDescent="0.3">
      <c r="C27" s="238"/>
      <c r="D27" s="238" t="s">
        <v>263</v>
      </c>
      <c r="E27" s="238" t="s">
        <v>263</v>
      </c>
      <c r="F27" s="238" t="s">
        <v>263</v>
      </c>
    </row>
    <row r="28" spans="2:10" ht="14.5" x14ac:dyDescent="0.35">
      <c r="B28" s="239" t="s">
        <v>217</v>
      </c>
      <c r="C28" s="238"/>
      <c r="D28" s="238" t="s">
        <v>262</v>
      </c>
      <c r="E28" s="238" t="s">
        <v>262</v>
      </c>
      <c r="F28" s="238" t="s">
        <v>262</v>
      </c>
    </row>
    <row r="29" spans="2:10" ht="14.5" x14ac:dyDescent="0.35">
      <c r="B29" s="235" t="s">
        <v>90</v>
      </c>
      <c r="C29" s="240"/>
      <c r="D29" s="241">
        <f>+D11</f>
        <v>388439.72302956786</v>
      </c>
      <c r="E29" s="241">
        <f>+E11</f>
        <v>388439.72302956786</v>
      </c>
      <c r="F29" s="241">
        <f>+F11</f>
        <v>388439.72302956786</v>
      </c>
    </row>
    <row r="30" spans="2:10" ht="14.5" x14ac:dyDescent="0.35">
      <c r="B30" s="235" t="s">
        <v>218</v>
      </c>
      <c r="C30" s="240"/>
      <c r="D30" s="241">
        <f>+D24*12</f>
        <v>1782999.96</v>
      </c>
      <c r="E30" s="241">
        <f>+E24*12</f>
        <v>1856989.3199999998</v>
      </c>
      <c r="F30" s="241">
        <f>+F24*12</f>
        <v>1932525.5999999999</v>
      </c>
    </row>
    <row r="31" spans="2:10" ht="15" thickBot="1" x14ac:dyDescent="0.4">
      <c r="B31" s="235" t="s">
        <v>216</v>
      </c>
      <c r="C31" s="246"/>
      <c r="D31" s="242">
        <f>D29/D30</f>
        <v>0.2178573930139448</v>
      </c>
      <c r="E31" s="242">
        <f>E29/E30</f>
        <v>0.20917714434112519</v>
      </c>
      <c r="F31" s="242">
        <f>F29/F30</f>
        <v>0.20100107498165504</v>
      </c>
    </row>
    <row r="32" spans="2:10" ht="13" thickTop="1" x14ac:dyDescent="0.25"/>
    <row r="33" spans="2:7" ht="15" thickBot="1" x14ac:dyDescent="0.4">
      <c r="B33" s="235" t="s">
        <v>275</v>
      </c>
      <c r="E33" s="243">
        <f>-E30+D30</f>
        <v>-73989.35999999987</v>
      </c>
      <c r="F33" s="243">
        <f>-F30+E30</f>
        <v>-75536.280000000028</v>
      </c>
    </row>
    <row r="34" spans="2:7" ht="13" thickTop="1" x14ac:dyDescent="0.25"/>
    <row r="35" spans="2:7" ht="15" thickBot="1" x14ac:dyDescent="0.4">
      <c r="B35" s="235" t="s">
        <v>276</v>
      </c>
      <c r="F35" s="244">
        <f>+F33+E33</f>
        <v>-149525.6399999999</v>
      </c>
    </row>
    <row r="36" spans="2:7" ht="13" thickTop="1" x14ac:dyDescent="0.25"/>
    <row r="38" spans="2:7" ht="13" x14ac:dyDescent="0.3">
      <c r="B38" s="241" t="s">
        <v>278</v>
      </c>
    </row>
    <row r="39" spans="2:7" ht="13.5" thickBot="1" x14ac:dyDescent="0.35">
      <c r="B39" s="241" t="s">
        <v>277</v>
      </c>
      <c r="D39" s="243">
        <f>+D12-D30</f>
        <v>151892.04000000004</v>
      </c>
      <c r="E39" s="243">
        <f>+E12-E30</f>
        <v>158182.68000000017</v>
      </c>
      <c r="F39" s="243">
        <f>+F12-F30</f>
        <v>164618.40000000014</v>
      </c>
    </row>
    <row r="40" spans="2:7" ht="13" thickTop="1" x14ac:dyDescent="0.25"/>
    <row r="42" spans="2:7" ht="13" x14ac:dyDescent="0.3">
      <c r="C42" s="241" t="s">
        <v>279</v>
      </c>
      <c r="D42" s="247">
        <v>2024</v>
      </c>
      <c r="E42" s="247">
        <v>2025</v>
      </c>
      <c r="F42" s="247">
        <v>2026</v>
      </c>
    </row>
    <row r="43" spans="2:7" ht="13" x14ac:dyDescent="0.3">
      <c r="B43" s="241"/>
    </row>
    <row r="44" spans="2:7" ht="13" x14ac:dyDescent="0.3">
      <c r="B44" s="241" t="s">
        <v>90</v>
      </c>
      <c r="D44" s="248">
        <f>+D29</f>
        <v>388439.72302956786</v>
      </c>
      <c r="E44" s="3">
        <f>+D44</f>
        <v>388439.72302956786</v>
      </c>
      <c r="F44" s="3">
        <f>+E44</f>
        <v>388439.72302956786</v>
      </c>
    </row>
    <row r="45" spans="2:7" x14ac:dyDescent="0.25">
      <c r="B45" s="3" t="s">
        <v>282</v>
      </c>
      <c r="D45" s="248"/>
      <c r="E45" s="3">
        <v>-195000</v>
      </c>
      <c r="F45" s="3">
        <f>+E45</f>
        <v>-195000</v>
      </c>
      <c r="G45" s="3">
        <v>-1</v>
      </c>
    </row>
    <row r="46" spans="2:7" x14ac:dyDescent="0.25">
      <c r="B46" s="3" t="s">
        <v>283</v>
      </c>
      <c r="D46" s="249"/>
      <c r="E46" s="249">
        <v>-35000</v>
      </c>
      <c r="F46" s="249">
        <f>-35000*12</f>
        <v>-420000</v>
      </c>
      <c r="G46" s="3">
        <v>-2</v>
      </c>
    </row>
    <row r="47" spans="2:7" x14ac:dyDescent="0.25">
      <c r="D47" s="3">
        <f>SUM(D44:D46)</f>
        <v>388439.72302956786</v>
      </c>
      <c r="E47" s="3">
        <f>SUM(E44:E46)</f>
        <v>158439.72302956786</v>
      </c>
      <c r="F47" s="3">
        <f>SUM(F44:F46)</f>
        <v>-226560.27697043214</v>
      </c>
    </row>
    <row r="49" spans="2:6" x14ac:dyDescent="0.25">
      <c r="C49" s="250" t="s">
        <v>280</v>
      </c>
      <c r="D49" s="251">
        <v>7.4999999999999997E-2</v>
      </c>
      <c r="E49" s="251">
        <v>7.4999999999999997E-2</v>
      </c>
      <c r="F49" s="251">
        <v>7.4999999999999997E-2</v>
      </c>
    </row>
    <row r="50" spans="2:6" ht="13" x14ac:dyDescent="0.3">
      <c r="C50" s="250" t="s">
        <v>281</v>
      </c>
      <c r="D50" s="252">
        <f>+D47/D49</f>
        <v>5179196.3070609048</v>
      </c>
      <c r="E50" s="252">
        <f>+E47/E49</f>
        <v>2112529.6403942383</v>
      </c>
      <c r="F50" s="252">
        <f>+F47/F49</f>
        <v>-3020803.6929390952</v>
      </c>
    </row>
    <row r="54" spans="2:6" x14ac:dyDescent="0.25">
      <c r="B54" s="3">
        <v>-1</v>
      </c>
      <c r="C54" s="3" t="s">
        <v>285</v>
      </c>
    </row>
    <row r="55" spans="2:6" x14ac:dyDescent="0.25">
      <c r="B55" s="3">
        <v>-2</v>
      </c>
      <c r="C55" s="3" t="s">
        <v>284</v>
      </c>
    </row>
  </sheetData>
  <mergeCells count="2">
    <mergeCell ref="B2:J2"/>
    <mergeCell ref="B20:J20"/>
  </mergeCells>
  <pageMargins left="0.25" right="0.25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8bb4864-1f15-4dbc-8993-a0057cbdf711">
      <Terms xmlns="http://schemas.microsoft.com/office/infopath/2007/PartnerControls"/>
    </lcf76f155ced4ddcb4097134ff3c332f>
    <TaxCatchAll xmlns="af706855-280e-40fa-beb9-81c9773b0c79" xsi:nil="true"/>
  </documentManagement>
</p:properties>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4.xml>��
</file>

<file path=customXml/item15.xml>��
</file>

<file path=customXml/item16.xml>��
</file>

<file path=customXml/item17.xml>��
</file>

<file path=customXml/item18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79ED3C01625249A0FD35688815D133" ma:contentTypeVersion="15" ma:contentTypeDescription="Create a new document." ma:contentTypeScope="" ma:versionID="a51aef5a9874e8330807ea08ce1bcdcd">
  <xsd:schema xmlns:xsd="http://www.w3.org/2001/XMLSchema" xmlns:xs="http://www.w3.org/2001/XMLSchema" xmlns:p="http://schemas.microsoft.com/office/2006/metadata/properties" xmlns:ns2="d8bb4864-1f15-4dbc-8993-a0057cbdf711" xmlns:ns3="af706855-280e-40fa-beb9-81c9773b0c79" targetNamespace="http://schemas.microsoft.com/office/2006/metadata/properties" ma:root="true" ma:fieldsID="a66b4b197bc76c681623a7287e85f302" ns2:_="" ns3:_="">
    <xsd:import namespace="d8bb4864-1f15-4dbc-8993-a0057cbdf711"/>
    <xsd:import namespace="af706855-280e-40fa-beb9-81c9773b0c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bb4864-1f15-4dbc-8993-a0057cbdf7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1350d72-ffa9-4828-a2b2-a4e9b8ba52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706855-280e-40fa-beb9-81c9773b0c7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06b772e-d289-4ed7-8a08-1f1a9938d79c}" ma:internalName="TaxCatchAll" ma:showField="CatchAllData" ma:web="af706855-280e-40fa-beb9-81c9773b0c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9.xml>��
</file>

<file path=customXml/itemProps1.xml><?xml version="1.0" encoding="utf-8"?>
<ds:datastoreItem xmlns:ds="http://schemas.openxmlformats.org/officeDocument/2006/customXml" ds:itemID="{5F027A5D-9E1B-4567-8B2E-C5680422133D}">
  <ds:schemaRefs/>
</ds:datastoreItem>
</file>

<file path=customXml/itemProps2.xml><?xml version="1.0" encoding="utf-8"?>
<ds:datastoreItem xmlns:ds="http://schemas.openxmlformats.org/officeDocument/2006/customXml" ds:itemID="{D8D2C632-26FE-4380-B089-4AC80C9931A6}">
  <ds:schemaRefs/>
</ds:datastoreItem>
</file>

<file path=customXml/itemProps3.xml><?xml version="1.0" encoding="utf-8"?>
<ds:datastoreItem xmlns:ds="http://schemas.openxmlformats.org/officeDocument/2006/customXml" ds:itemID="{3D5B940E-E673-46ED-950D-46394E0246A7}">
  <ds:schemaRefs/>
</ds:datastoreItem>
</file>

<file path=customXml/itemProps4.xml><?xml version="1.0" encoding="utf-8"?>
<ds:datastoreItem xmlns:ds="http://schemas.openxmlformats.org/officeDocument/2006/customXml" ds:itemID="{C0A198D5-8928-4FDE-B515-9D2D122C16BF}">
  <ds:schemaRefs/>
</ds:datastoreItem>
</file>

<file path=customXml/itemProps5.xml><?xml version="1.0" encoding="utf-8"?>
<ds:datastoreItem xmlns:ds="http://schemas.openxmlformats.org/officeDocument/2006/customXml" ds:itemID="{D8EAA061-C13E-4D7E-8275-D16533BFFBB6}">
  <ds:schemaRefs/>
</ds:datastoreItem>
</file>

<file path=customXml/itemProps6.xml><?xml version="1.0" encoding="utf-8"?>
<ds:datastoreItem xmlns:ds="http://schemas.openxmlformats.org/officeDocument/2006/customXml" ds:itemID="{566D6D27-9AEE-4958-914D-804B7BE691D2}">
  <ds:schemaRefs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d8bb4864-1f15-4dbc-8993-a0057cbdf711"/>
    <ds:schemaRef ds:uri="http://schemas.openxmlformats.org/package/2006/metadata/core-properties"/>
    <ds:schemaRef ds:uri="http://purl.org/dc/terms/"/>
    <ds:schemaRef ds:uri="http://purl.org/dc/dcmitype/"/>
    <ds:schemaRef ds:uri="af706855-280e-40fa-beb9-81c9773b0c79"/>
    <ds:schemaRef ds:uri="http://schemas.microsoft.com/office/2006/metadata/properties"/>
    <ds:schemaRef ds:uri="http://purl.org/dc/elements/1.1/"/>
  </ds:schemaRefs>
</ds:datastoreItem>
</file>

<file path=customXml/itemProps7.xml><?xml version="1.0" encoding="utf-8"?>
<ds:datastoreItem xmlns:ds="http://schemas.openxmlformats.org/officeDocument/2006/customXml" ds:itemID="{832D9CE2-63FA-41E3-94F0-32402A1F42B9}">
  <ds:schemaRefs/>
</ds:datastoreItem>
</file>

<file path=customXml/itemProps8.xml><?xml version="1.0" encoding="utf-8"?>
<ds:datastoreItem xmlns:ds="http://schemas.openxmlformats.org/officeDocument/2006/customXml" ds:itemID="{B8B286FA-01F8-4420-8767-7E6450234879}">
  <ds:schemaRefs/>
</ds:datastoreItem>
</file>

<file path=customXml/itemProps9.xml><?xml version="1.0" encoding="utf-8"?>
<ds:datastoreItem xmlns:ds="http://schemas.openxmlformats.org/officeDocument/2006/customXml" ds:itemID="{96A10728-5972-4223-AD46-33C0C04C0614}">
  <ds:schemaRefs/>
</ds:datastoreItem>
</file>

<file path=customXml/itemProps10.xml><?xml version="1.0" encoding="utf-8"?>
<ds:datastoreItem xmlns:ds="http://schemas.openxmlformats.org/officeDocument/2006/customXml" ds:itemID="{17DFE264-E997-4DBF-B8D5-D3C503149DB8}">
  <ds:schemaRefs/>
</ds:datastoreItem>
</file>

<file path=customXml/itemProps11.xml><?xml version="1.0" encoding="utf-8"?>
<ds:datastoreItem xmlns:ds="http://schemas.openxmlformats.org/officeDocument/2006/customXml" ds:itemID="{3974F6FB-5584-472D-8EAB-049B463C7AF1}">
  <ds:schemaRefs/>
</ds:datastoreItem>
</file>

<file path=customXml/itemProps12.xml><?xml version="1.0" encoding="utf-8"?>
<ds:datastoreItem xmlns:ds="http://schemas.openxmlformats.org/officeDocument/2006/customXml" ds:itemID="{834F3B88-290E-4E63-BAB6-CCFA4078AC71}">
  <ds:schemaRefs/>
</ds:datastoreItem>
</file>

<file path=customXml/itemProps13.xml><?xml version="1.0" encoding="utf-8"?>
<ds:datastoreItem xmlns:ds="http://schemas.openxmlformats.org/officeDocument/2006/customXml" ds:itemID="{03F9506E-8183-413F-BFAA-2153A7441EC0}">
  <ds:schemaRefs>
    <ds:schemaRef ds:uri="http://schemas.microsoft.com/sharepoint/v3/contenttype/forms"/>
  </ds:schemaRefs>
</ds:datastoreItem>
</file>

<file path=customXml/itemProps14.xml><?xml version="1.0" encoding="utf-8"?>
<ds:datastoreItem xmlns:ds="http://schemas.openxmlformats.org/officeDocument/2006/customXml" ds:itemID="{1C935BF0-6F5A-4F8C-9EF3-E69E2BE82762}">
  <ds:schemaRefs/>
</ds:datastoreItem>
</file>

<file path=customXml/itemProps15.xml><?xml version="1.0" encoding="utf-8"?>
<ds:datastoreItem xmlns:ds="http://schemas.openxmlformats.org/officeDocument/2006/customXml" ds:itemID="{26C2C256-B1AC-4608-A616-53A3A13F71CD}">
  <ds:schemaRefs/>
</ds:datastoreItem>
</file>

<file path=customXml/itemProps16.xml><?xml version="1.0" encoding="utf-8"?>
<ds:datastoreItem xmlns:ds="http://schemas.openxmlformats.org/officeDocument/2006/customXml" ds:itemID="{AED19FAA-6816-40F8-991B-334B1847ABE8}">
  <ds:schemaRefs/>
</ds:datastoreItem>
</file>

<file path=customXml/itemProps17.xml><?xml version="1.0" encoding="utf-8"?>
<ds:datastoreItem xmlns:ds="http://schemas.openxmlformats.org/officeDocument/2006/customXml" ds:itemID="{85404416-C5AA-4D3C-B295-8A8D5F6F9BEF}">
  <ds:schemaRefs/>
</ds:datastoreItem>
</file>

<file path=customXml/itemProps18.xml><?xml version="1.0" encoding="utf-8"?>
<ds:datastoreItem xmlns:ds="http://schemas.openxmlformats.org/officeDocument/2006/customXml" ds:itemID="{A2BB06E1-CAA5-4896-B9AC-C8E04E2809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bb4864-1f15-4dbc-8993-a0057cbdf711"/>
    <ds:schemaRef ds:uri="af706855-280e-40fa-beb9-81c9773b0c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19.xml><?xml version="1.0" encoding="utf-8"?>
<ds:datastoreItem xmlns:ds="http://schemas.openxmlformats.org/officeDocument/2006/customXml" ds:itemID="{BC4E4729-4ACD-49E6-B1EE-B0B413E7A40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25</vt:i4>
      </vt:variant>
    </vt:vector>
  </HeadingPairs>
  <TitlesOfParts>
    <vt:vector size="44" baseType="lpstr">
      <vt:lpstr>Cover Sheet</vt:lpstr>
      <vt:lpstr>Source and Use of Cash</vt:lpstr>
      <vt:lpstr>Assumptions</vt:lpstr>
      <vt:lpstr>JV III Consolidated</vt:lpstr>
      <vt:lpstr>361</vt:lpstr>
      <vt:lpstr>362</vt:lpstr>
      <vt:lpstr>364</vt:lpstr>
      <vt:lpstr>Renew &amp; Vac - Rent, TI, LC</vt:lpstr>
      <vt:lpstr>Allocated Expenses</vt:lpstr>
      <vt:lpstr>Water Sewer</vt:lpstr>
      <vt:lpstr>Building Maint</vt:lpstr>
      <vt:lpstr>Sheet2</vt:lpstr>
      <vt:lpstr>In Place Revenue</vt:lpstr>
      <vt:lpstr>Tenant Recoveries</vt:lpstr>
      <vt:lpstr>Parking Lot Maint</vt:lpstr>
      <vt:lpstr>Landscaping</vt:lpstr>
      <vt:lpstr>INS RET</vt:lpstr>
      <vt:lpstr>Trash</vt:lpstr>
      <vt:lpstr>DSCR calc</vt:lpstr>
      <vt:lpstr>'Water Sewer'!PaiementsParAn</vt:lpstr>
      <vt:lpstr>PaiementsParAn</vt:lpstr>
      <vt:lpstr>'INS RET'!pmtType</vt:lpstr>
      <vt:lpstr>'Water Sewer'!pmtType</vt:lpstr>
      <vt:lpstr>'361'!Print_Area</vt:lpstr>
      <vt:lpstr>'362'!Print_Area</vt:lpstr>
      <vt:lpstr>'364'!Print_Area</vt:lpstr>
      <vt:lpstr>'Allocated Expenses'!Print_Area</vt:lpstr>
      <vt:lpstr>Assumptions!Print_Area</vt:lpstr>
      <vt:lpstr>'Building Maint'!Print_Area</vt:lpstr>
      <vt:lpstr>'Cover Sheet'!Print_Area</vt:lpstr>
      <vt:lpstr>'INS RET'!Print_Area</vt:lpstr>
      <vt:lpstr>'JV III Consolidated'!Print_Area</vt:lpstr>
      <vt:lpstr>'Renew &amp; Vac - Rent, TI, LC'!Print_Area</vt:lpstr>
      <vt:lpstr>'Water Sewer'!Print_Area</vt:lpstr>
      <vt:lpstr>'361'!Print_Titles</vt:lpstr>
      <vt:lpstr>'362'!Print_Titles</vt:lpstr>
      <vt:lpstr>'364'!Print_Titles</vt:lpstr>
      <vt:lpstr>'JV III Consolidated'!Print_Titles</vt:lpstr>
      <vt:lpstr>'INS RET'!rate</vt:lpstr>
      <vt:lpstr>'Water Sewer'!rate</vt:lpstr>
      <vt:lpstr>'INS RET'!roundOpt</vt:lpstr>
      <vt:lpstr>'Water Sewer'!roundOpt</vt:lpstr>
      <vt:lpstr>'Water Sewer'!TauxIntérêt</vt:lpstr>
      <vt:lpstr>TauxIntérêt</vt:lpstr>
    </vt:vector>
  </TitlesOfParts>
  <Company>Korman Commercial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Larry Tottchen</dc:creator>
  <cp:lastModifiedBy>Drew Winig</cp:lastModifiedBy>
  <cp:lastPrinted>2026-02-03T20:02:23Z</cp:lastPrinted>
  <dcterms:created xsi:type="dcterms:W3CDTF">2006-10-09T15:50:51Z</dcterms:created>
  <dcterms:modified xsi:type="dcterms:W3CDTF">2026-02-24T20:44:16Z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0x010100C879ED3C01625249A0FD35688815D133</vt:lpwstr>
  </property>
  <property fmtid="{D5CDD505-2E9C-101B-9397-08002B2CF9AE}" pid="3" name="MediaServiceImageTags">
    <vt:lpwstr/>
  </property>
</Properties>
</file>