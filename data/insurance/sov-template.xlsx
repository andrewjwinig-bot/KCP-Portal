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yperioncloudnam.sharepoint.com/sites/USRealEstate/Shared Documents/Florida Team/Clients/Korman Commercial Properties/2026/2. Exposures &amp; SOV/Renewal Info received from client/"/>
    </mc:Choice>
  </mc:AlternateContent>
  <xr:revisionPtr revIDLastSave="366" documentId="14_{38CDA98F-251C-49F0-9477-D436B690C981}" xr6:coauthVersionLast="47" xr6:coauthVersionMax="47" xr10:uidLastSave="{56303201-7B58-4F9C-8DF2-B9F58C1E7234}"/>
  <bookViews>
    <workbookView xWindow="-110" yWindow="-110" windowWidth="19420" windowHeight="11500" tabRatio="785" xr2:uid="{00000000-000D-0000-FFFF-FFFF00000000}"/>
  </bookViews>
  <sheets>
    <sheet name="Property" sheetId="25" r:id="rId1"/>
    <sheet name="Vacant Land" sheetId="2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U" localSheetId="0">#REF!</definedName>
    <definedName name="\U">#REF!</definedName>
    <definedName name="___FLQ1" localSheetId="0">#REF!</definedName>
    <definedName name="___FLQ1">#REF!</definedName>
    <definedName name="___INV1" localSheetId="0">#REF!</definedName>
    <definedName name="___INV1">#REF!</definedName>
    <definedName name="___QTR1" localSheetId="0">'[1]1999'!#REF!</definedName>
    <definedName name="___QTR1">'[1]1999'!#REF!</definedName>
    <definedName name="___QTR2" localSheetId="0">'[1]1999'!#REF!</definedName>
    <definedName name="___QTR2">'[1]1999'!#REF!</definedName>
    <definedName name="___QTR3" localSheetId="0">'[1]1999'!#REF!</definedName>
    <definedName name="___QTR3">'[1]1999'!#REF!</definedName>
    <definedName name="___QTR4" localSheetId="0">'[1]1999'!#REF!</definedName>
    <definedName name="___QTR4">'[1]1999'!#REF!</definedName>
    <definedName name="__FLQ1" localSheetId="0">#REF!</definedName>
    <definedName name="__FLQ1">#REF!</definedName>
    <definedName name="__INV1" localSheetId="0">#REF!</definedName>
    <definedName name="__INV1">#REF!</definedName>
    <definedName name="__QTR1" localSheetId="0">'[1]1999'!#REF!</definedName>
    <definedName name="__QTR1">'[1]1999'!#REF!</definedName>
    <definedName name="__QTR2" localSheetId="0">'[1]1999'!#REF!</definedName>
    <definedName name="__QTR2">'[1]1999'!#REF!</definedName>
    <definedName name="__QTR3" localSheetId="0">'[1]1999'!#REF!</definedName>
    <definedName name="__QTR3">'[1]1999'!#REF!</definedName>
    <definedName name="__QTR4" localSheetId="0">'[1]1999'!#REF!</definedName>
    <definedName name="__QTR4">'[1]1999'!#REF!</definedName>
    <definedName name="_1001" localSheetId="0">#REF!</definedName>
    <definedName name="_1001">#REF!</definedName>
    <definedName name="_1007" localSheetId="0">#REF!</definedName>
    <definedName name="_1007">#REF!</definedName>
    <definedName name="_201L" localSheetId="0">#REF!</definedName>
    <definedName name="_201L">#REF!</definedName>
    <definedName name="_201US" localSheetId="0">#REF!</definedName>
    <definedName name="_201US">#REF!</definedName>
    <definedName name="_2618" localSheetId="0">#REF!</definedName>
    <definedName name="_2618">#REF!</definedName>
    <definedName name="_2619" localSheetId="0">#REF!</definedName>
    <definedName name="_2619">#REF!</definedName>
    <definedName name="_3265" localSheetId="0">#REF!</definedName>
    <definedName name="_3265">#REF!</definedName>
    <definedName name="_CC2" localSheetId="0">#REF!</definedName>
    <definedName name="_CC2">#REF!</definedName>
    <definedName name="_CON1">[2]Sheet1!$A$20:$C$33</definedName>
    <definedName name="_ES2" localSheetId="0">#REF!</definedName>
    <definedName name="_ES2">#REF!</definedName>
    <definedName name="_Fill" localSheetId="0" hidden="1">#REF!</definedName>
    <definedName name="_Fill" hidden="1">#REF!</definedName>
    <definedName name="_FLQ1" localSheetId="0">#REF!</definedName>
    <definedName name="_FLQ1">#REF!</definedName>
    <definedName name="_INV1" localSheetId="0">#REF!</definedName>
    <definedName name="_INV1">#REF!</definedName>
    <definedName name="_Key1" localSheetId="0" hidden="1">#REF!</definedName>
    <definedName name="_Key1" hidden="1">#REF!</definedName>
    <definedName name="_LOB2" localSheetId="0">#REF!</definedName>
    <definedName name="_LOB2">#REF!</definedName>
    <definedName name="_Order1" hidden="1">255</definedName>
    <definedName name="_OT2" localSheetId="0">#REF!</definedName>
    <definedName name="_OT2">#REF!</definedName>
    <definedName name="_QTR1" localSheetId="0">'[1]1999'!#REF!</definedName>
    <definedName name="_QTR1">'[1]1999'!#REF!</definedName>
    <definedName name="_QTR2" localSheetId="0">'[1]1999'!#REF!</definedName>
    <definedName name="_QTR2">'[1]1999'!#REF!</definedName>
    <definedName name="_QTR3" localSheetId="0">'[1]1999'!#REF!</definedName>
    <definedName name="_QTR3">'[1]1999'!#REF!</definedName>
    <definedName name="_QTR4" localSheetId="0">'[1]1999'!#REF!</definedName>
    <definedName name="_QTR4">'[1]1999'!#REF!</definedName>
    <definedName name="_Sort" localSheetId="0" hidden="1">#REF!</definedName>
    <definedName name="_Sort" hidden="1">#REF!</definedName>
    <definedName name="Account" localSheetId="0">#REF!</definedName>
    <definedName name="Account">#REF!</definedName>
    <definedName name="Account_AAL" localSheetId="0">#REF!</definedName>
    <definedName name="Account_AAL">#REF!</definedName>
    <definedName name="Account_SD" localSheetId="0">#REF!</definedName>
    <definedName name="Account_SD">#REF!</definedName>
    <definedName name="ACCT_OVERVIEW">#REF!</definedName>
    <definedName name="acctname">#REF!</definedName>
    <definedName name="acctnum">#REF!</definedName>
    <definedName name="AEP">[3]Codes!$AT$2:$AT$3</definedName>
    <definedName name="AIRcol">#REF!</definedName>
    <definedName name="AppendagesOrnam">'[4]Location Fields Template'!$BI$2:$BI$5</definedName>
    <definedName name="ASNames">[3]Codes!$A$2:$A$7</definedName>
    <definedName name="Assd" localSheetId="0">#REF!</definedName>
    <definedName name="Assd">#REF!</definedName>
    <definedName name="attachAOP">#REF!</definedName>
    <definedName name="attachEQ">#REF!</definedName>
    <definedName name="attachFL">#REF!</definedName>
    <definedName name="attachHU">#REF!</definedName>
    <definedName name="attachWS">#REF!</definedName>
    <definedName name="Aud2_S" localSheetId="0">#REF!</definedName>
    <definedName name="Aud2_S">#REF!</definedName>
    <definedName name="aud2_SD" localSheetId="0">#REF!</definedName>
    <definedName name="aud2_SD">#REF!</definedName>
    <definedName name="BaseIsolation">'[4]Location Fields Template'!$BW$2:$BW$4</definedName>
    <definedName name="Basement1">'[4]Location Fields Template'!$L$2:$L$6</definedName>
    <definedName name="Basement2">'[4]Location Fields Template'!$M$2:$M$9</definedName>
    <definedName name="BDPL" localSheetId="0">#REF!</definedName>
    <definedName name="BDPL">#REF!</definedName>
    <definedName name="BIPreparedness">'[4]Location Fields Template'!$F$2:$F$5</definedName>
    <definedName name="BIRedundancy">'[4]Location Fields Template'!$G$2:$G$5</definedName>
    <definedName name="BOARD" localSheetId="0">[5]Comparisons_Month!#REF!</definedName>
    <definedName name="BOARD">[5]Comparisons_Month!#REF!</definedName>
    <definedName name="Brokerage_TY">[6]Pricing!$P$9</definedName>
    <definedName name="BuildingExterior">'[4]Location Fields Template'!$BE$2:$BE$4</definedName>
    <definedName name="BusinessDescription">'[4]Analysis Request Form (Nat-Cat)'!$F$20</definedName>
    <definedName name="BusinessDescriptionTR" localSheetId="0">'[4]Analysis Request Form (Terror)'!#REF!</definedName>
    <definedName name="BusinessDescriptionTR">'[4]Analysis Request Form (Terror)'!#REF!</definedName>
    <definedName name="CAPEX" localSheetId="0">#REF!</definedName>
    <definedName name="CAPEX">#REF!</definedName>
    <definedName name="Category">[3]Codes!$E$2:$E$17</definedName>
    <definedName name="Cedant" localSheetId="0">#REF!</definedName>
    <definedName name="Cedant">#REF!</definedName>
    <definedName name="CladdingType1">'[4]Location Fields Template'!$S$2:$S$10</definedName>
    <definedName name="CladdingType2">'[4]Location Fields Template'!$T$2:$T$11</definedName>
    <definedName name="Clientname">[3]Codes!$AA$2:$AA$92</definedName>
    <definedName name="ClientProspect">'[4]Analysis Request Form (Nat-Cat)'!$F$13</definedName>
    <definedName name="ClientProspectTR" localSheetId="0">'[4]Analysis Request Form (Terror)'!#REF!</definedName>
    <definedName name="ClientProspectTR">'[4]Analysis Request Form (Terror)'!#REF!</definedName>
    <definedName name="Clients">[3]Codes!$AA$2:$AA$92</definedName>
    <definedName name="combinddedFL">#REF!</definedName>
    <definedName name="combineddedAOP">#REF!</definedName>
    <definedName name="combineddedEQ">#REF!</definedName>
    <definedName name="combineddedFL">#REF!</definedName>
    <definedName name="combineddedWS">#REF!</definedName>
    <definedName name="CommercialAppurtenant">'[4]Location Fields Template'!$Y$2:$Y$4</definedName>
    <definedName name="CompanyName">'[4]Analysis Request Form (Nat-Cat)'!$F$10</definedName>
    <definedName name="CompanyNameTR" localSheetId="0">'[4]Analysis Request Form (Terror)'!#REF!</definedName>
    <definedName name="CompanyNameTR">'[4]Analysis Request Form (Terror)'!#REF!</definedName>
    <definedName name="Complete">[3]Codes!$U$2:$U$3</definedName>
    <definedName name="Const" localSheetId="0">#REF!</definedName>
    <definedName name="Const">#REF!</definedName>
    <definedName name="constdata" localSheetId="0">#REF!</definedName>
    <definedName name="constdata">#REF!</definedName>
    <definedName name="ConstQual1">'[4]Location Fields Template'!$I$2:$I$11</definedName>
    <definedName name="ConstQual2">'[4]Location Fields Template'!$J$2:$J$4</definedName>
    <definedName name="ConstQual3">'[4]Location Fields Template'!$K$2:$K$7</definedName>
    <definedName name="Construction_Classes">[7]Alpha_Sort!#REF!</definedName>
    <definedName name="ConstructionClass">'[4]Location Fields Template'!$A$2:$A$366</definedName>
    <definedName name="ConstructionQuality">'[4]Location Fields Template'!$BP$2:$BP$6</definedName>
    <definedName name="Contact">#REF!</definedName>
    <definedName name="ContentsRateGrade">'[4]Location Fields Template'!$E$2:$E$6</definedName>
    <definedName name="ContentVulnWater">'[4]Location Fields Template'!$AF$2:$AF$6</definedName>
    <definedName name="ContentVulnWind">'[4]Location Fields Template'!$AG$2:$AG$6</definedName>
    <definedName name="ConvRule">#REF!</definedName>
    <definedName name="COPL" localSheetId="0">#REF!</definedName>
    <definedName name="COPL">#REF!</definedName>
    <definedName name="CopyOfPolicyTR" localSheetId="0">'[4]Analysis Request Form (Terror)'!#REF!</definedName>
    <definedName name="CopyOfPolicyTR">'[4]Analysis Request Form (Terror)'!#REF!</definedName>
    <definedName name="Country">[3]Codes!$M$2:$M$29</definedName>
    <definedName name="CountryISO" localSheetId="0">#REF!</definedName>
    <definedName name="CountryISO">#REF!</definedName>
    <definedName name="County" localSheetId="0">#REF!</definedName>
    <definedName name="County">#REF!</definedName>
    <definedName name="cov1dedAOP">#REF!</definedName>
    <definedName name="cov1dedEQ">#REF!</definedName>
    <definedName name="cov1dedFL">#REF!</definedName>
    <definedName name="cov1dedWS">#REF!</definedName>
    <definedName name="cov2dedAOP">#REF!</definedName>
    <definedName name="cov2dedEQ">#REF!</definedName>
    <definedName name="cov2dedFL">#REF!</definedName>
    <definedName name="cov2dedWS">#REF!</definedName>
    <definedName name="cov3dedAOP">#REF!</definedName>
    <definedName name="cov3dedEQ">#REF!</definedName>
    <definedName name="cov3dedFL">#REF!</definedName>
    <definedName name="cov3dedWS">#REF!</definedName>
    <definedName name="CrippleWalls">'[4]Location Fields Template'!$BJ$2:$BJ$5</definedName>
    <definedName name="CTOP" localSheetId="0">#REF!</definedName>
    <definedName name="CTOP">#REF!</definedName>
    <definedName name="curaudeur" localSheetId="0">#REF!</definedName>
    <definedName name="curaudeur">#REF!</definedName>
    <definedName name="curaudeur2" localSheetId="0">#REF!</definedName>
    <definedName name="curaudeur2">#REF!</definedName>
    <definedName name="CURAUDUS" localSheetId="0">#REF!</definedName>
    <definedName name="CURAUDUS">#REF!</definedName>
    <definedName name="Curr" localSheetId="0">#REF!</definedName>
    <definedName name="Curr">#REF!</definedName>
    <definedName name="Currency">[3]Codes!$AC$2:$AC$8</definedName>
    <definedName name="DATA02" localSheetId="0">#REF!</definedName>
    <definedName name="DATA02">#REF!</definedName>
    <definedName name="DataApproved">'[4]Analysis Request Form (Nat-Cat)'!$K$94</definedName>
    <definedName name="DataApprovedTR">'[4]Analysis Request Form (Terror)'!$I$66</definedName>
    <definedName name="Dataformat">[3]Codes!$W$2:$W$5</definedName>
    <definedName name="DataIncluded">'[4]Analysis Request Form (Nat-Cat)'!$D$97</definedName>
    <definedName name="DataIncludedTR">'[4]Analysis Request Form (Terror)'!$D$70</definedName>
    <definedName name="DataReviewed">'[4]Analysis Request Form (Nat-Cat)'!$D$96</definedName>
    <definedName name="DataReviewedTR">'[4]Analysis Request Form (Terror)'!$D$69</definedName>
    <definedName name="DataVintage">'[4]Analysis Request Form (Nat-Cat)'!$K$92</definedName>
    <definedName name="DataVintageTR">'[4]Analysis Request Form (Terror)'!$I$64</definedName>
    <definedName name="Date">[3]Codes!$Y$2:$Y$732</definedName>
    <definedName name="Dates">#REF!</definedName>
    <definedName name="dedAOP">#REF!</definedName>
    <definedName name="dedEQ">#REF!</definedName>
    <definedName name="dedFL">#REF!</definedName>
    <definedName name="dedHU">#REF!</definedName>
    <definedName name="Deductibles">'[4]Analysis Request Form (Nat-Cat)'!$C$84</definedName>
    <definedName name="DeductiblesTR">'[4]Analysis Request Form (Terror)'!$C$55</definedName>
    <definedName name="dedWS">#REF!</definedName>
    <definedName name="DEPT" localSheetId="0">#REF!</definedName>
    <definedName name="DEPT">#REF!</definedName>
    <definedName name="Division">'[4]Analysis Request Form (Nat-Cat)'!$F$12</definedName>
    <definedName name="DivisionTR" localSheetId="0">'[4]Analysis Request Form (Terror)'!#REF!</definedName>
    <definedName name="DivisionTR">'[4]Analysis Request Form (Terror)'!#REF!</definedName>
    <definedName name="DQ">#REF!</definedName>
    <definedName name="Duns">#REF!</definedName>
    <definedName name="EDM">#REF!</definedName>
    <definedName name="EDM_Statistics" localSheetId="0">#REF!</definedName>
    <definedName name="EDM_Statistics">#REF!</definedName>
    <definedName name="Email" localSheetId="0">'[4]Analysis Request Form (Nat-Cat)'!#REF!</definedName>
    <definedName name="Email">'[4]Analysis Request Form (Nat-Cat)'!#REF!</definedName>
    <definedName name="EmailTR" localSheetId="0">'[4]Analysis Request Form (Terror)'!#REF!</definedName>
    <definedName name="EmailTR">'[4]Analysis Request Form (Terror)'!#REF!</definedName>
    <definedName name="EngineeredFoundation">'[4]Location Fields Template'!$BT$2:$BT$4</definedName>
    <definedName name="EQSLSusceptibility">'[4]Location Fields Template'!$BV$2:$BV$4</definedName>
    <definedName name="EquipmentEQBracing">'[4]Location Fields Template'!$BO$2:$BO$5</definedName>
    <definedName name="EquipmentSupport">'[4]Location Fields Template'!$BQ$2:$BQ$5</definedName>
    <definedName name="Excess_1">[6]Pricing!$D$37</definedName>
    <definedName name="Excess_2">[6]Pricing!$D$38</definedName>
    <definedName name="Excess_3">[6]Pricing!$D$39</definedName>
    <definedName name="Excess_4">[6]Pricing!$D$40</definedName>
    <definedName name="Excess_5">[6]Pricing!$D$41</definedName>
    <definedName name="ExcludedLocation" localSheetId="0">#REF!</definedName>
    <definedName name="ExcludedLocation">#REF!</definedName>
    <definedName name="expiredate">#REF!</definedName>
    <definedName name="expiredt">#REF!</definedName>
    <definedName name="ExposedValues">'[4]Analysis Request Form (Nat-Cat)'!$G$92</definedName>
    <definedName name="ExposedValuesTR">'[4]Analysis Request Form (Terror)'!$F$64</definedName>
    <definedName name="Exposure_by_RMS_LOB" localSheetId="0">#REF!</definedName>
    <definedName name="Exposure_by_RMS_LOB">#REF!</definedName>
    <definedName name="Exposure_Summary" localSheetId="0">#REF!</definedName>
    <definedName name="Exposure_Summary">#REF!</definedName>
    <definedName name="ExteriorWallsCladd">'[4]Location Fields Template'!$BD$2:$BD$5</definedName>
    <definedName name="ExternalOrnamentation">'[4]Location Fields Template'!$Z$2:$Z$5</definedName>
    <definedName name="File" localSheetId="0">#REF!</definedName>
    <definedName name="File">#REF!</definedName>
    <definedName name="FireFollowing">'[4]Analysis Request Form (Nat-Cat)'!$D$37</definedName>
    <definedName name="FiscalMonth" localSheetId="0">#REF!</definedName>
    <definedName name="FiscalMonth">#REF!</definedName>
    <definedName name="Flashing">'[4]Location Fields Template'!$N$2:$N$4</definedName>
    <definedName name="FLAUT" localSheetId="0">#REF!</definedName>
    <definedName name="FLAUT">#REF!</definedName>
    <definedName name="FloodProtection">'[4]Location Fields Template'!$AW$2:$AW$4</definedName>
    <definedName name="Frame_Foundation1">'[4]Location Fields Template'!$O$2:$O$4</definedName>
    <definedName name="Frame_Foundation2">'[4]Location Fields Template'!$P$2:$P$8</definedName>
    <definedName name="FrameBolted">'[4]Location Fields Template'!$BK$2:$BK$4</definedName>
    <definedName name="Geo_INTLTIV">#REF!</definedName>
    <definedName name="Geo_TIV">#REF!</definedName>
    <definedName name="Geo_USTIV">#REF!</definedName>
    <definedName name="geocode">#REF!</definedName>
    <definedName name="GeoNone">#REF!</definedName>
    <definedName name="GeoNone_comments">#REF!</definedName>
    <definedName name="GroundLevelEquip">'[4]Location Fields Template'!$AE$2:$AE$5</definedName>
    <definedName name="GroundShaking">'[4]Analysis Request Form (Nat-Cat)'!$D$36</definedName>
    <definedName name="Home">[8]Macros!$A$1:$D$2</definedName>
    <definedName name="inceptdate">#REF!</definedName>
    <definedName name="inceptdt">#REF!</definedName>
    <definedName name="inceptdt_donotdelete">#REF!</definedName>
    <definedName name="InclStormSurge">'[4]Analysis Request Form (Nat-Cat)'!$D$40</definedName>
    <definedName name="InteriorWalls">'[4]Location Fields Template'!$BG$2:$BG$4</definedName>
    <definedName name="INV" localSheetId="0">#REF!</definedName>
    <definedName name="INV">#REF!</definedName>
    <definedName name="INVAP" localSheetId="0">#REF!</definedName>
    <definedName name="INVAP">#REF!</definedName>
    <definedName name="LayAOP">#REF!</definedName>
    <definedName name="LayEQ">#REF!</definedName>
    <definedName name="LayFL">#REF!</definedName>
    <definedName name="LayHU">#REF!</definedName>
    <definedName name="LayWS">#REF!</definedName>
    <definedName name="limAOP">#REF!</definedName>
    <definedName name="limEQ">#REF!</definedName>
    <definedName name="limFL">#REF!</definedName>
    <definedName name="Limit_1">[6]Pricing!$C$37</definedName>
    <definedName name="Limit_2">[6]Pricing!$C$38</definedName>
    <definedName name="Limit_3">[6]Pricing!$C$39</definedName>
    <definedName name="Limit_4">[6]Pricing!$C$40</definedName>
    <definedName name="Limit_5">[6]Pricing!$C$41</definedName>
    <definedName name="Limits">'[4]Analysis Request Form (Nat-Cat)'!$J$84</definedName>
    <definedName name="LimitsTR">'[4]Analysis Request Form (Terror)'!$H$55</definedName>
    <definedName name="limWS">#REF!</definedName>
    <definedName name="List1" localSheetId="0">#REF!</definedName>
    <definedName name="List1">#REF!</definedName>
    <definedName name="LOB">[3]Codes!$AI$2:$AI$5</definedName>
    <definedName name="Location" localSheetId="0">#REF!</definedName>
    <definedName name="Location">#REF!</definedName>
    <definedName name="LocationAAL" localSheetId="0">'[4]Analysis Request Form (Nat-Cat)'!#REF!</definedName>
    <definedName name="LocationAAL">'[4]Analysis Request Form (Nat-Cat)'!#REF!</definedName>
    <definedName name="LocationAALTR" localSheetId="0">'[4]Analysis Request Form (Terror)'!#REF!</definedName>
    <definedName name="LocationAALTR">'[4]Analysis Request Form (Terror)'!#REF!</definedName>
    <definedName name="LocationPML" localSheetId="0">'[4]Analysis Request Form (Nat-Cat)'!#REF!</definedName>
    <definedName name="LocationPML">'[4]Analysis Request Form (Nat-Cat)'!#REF!</definedName>
    <definedName name="LocationPMLTR" localSheetId="0">'[4]Analysis Request Form (Terror)'!#REF!</definedName>
    <definedName name="LocationPMLTR">'[4]Analysis Request Form (Terror)'!#REF!</definedName>
    <definedName name="Machine">[3]Codes!$AG$2:$AG$19</definedName>
    <definedName name="maxdedAOP">#REF!</definedName>
    <definedName name="maxdedEQ">#REF!</definedName>
    <definedName name="maxdedFL">#REF!</definedName>
    <definedName name="maxdedWS">#REF!</definedName>
    <definedName name="MechElect">'[4]Location Fields Template'!$AJ$2:$AJ$5</definedName>
    <definedName name="Members">[9]Members!$A$2:$F$286</definedName>
    <definedName name="mindedAOP">#REF!</definedName>
    <definedName name="mindedEQ">#REF!</definedName>
    <definedName name="mindedFL">#REF!</definedName>
    <definedName name="mindedWS">#REF!</definedName>
    <definedName name="Mode">[3]Codes!$S$2:$S$3</definedName>
    <definedName name="Model">[3]Codes!$G$2:$G$4</definedName>
    <definedName name="Modelbuild">[3]Codes!$Q$2:$Q$7</definedName>
    <definedName name="Modelled_CAT_premium_1">[6]SoV!$GI$6</definedName>
    <definedName name="Modelled_CAT_premium_2">[6]SoV!$GI$7</definedName>
    <definedName name="Modelled_CAT_premium_3">[6]SoV!$GI$8</definedName>
    <definedName name="Modelled_CAT_premium_4">[6]SoV!$GI$9</definedName>
    <definedName name="Modelled_CAT_premium_5">[6]SoV!$GI$10</definedName>
    <definedName name="month" localSheetId="0">#REF!</definedName>
    <definedName name="month">#REF!</definedName>
    <definedName name="Name" localSheetId="0">#REF!</definedName>
    <definedName name="Name">#REF!</definedName>
    <definedName name="NewFollowUp">'[4]Analysis Request Form (Nat-Cat)'!$F$15</definedName>
    <definedName name="NewFollowUpTR" localSheetId="0">'[4]Analysis Request Form (Terror)'!#REF!</definedName>
    <definedName name="NewFollowUpTR">'[4]Analysis Request Form (Terror)'!#REF!</definedName>
    <definedName name="Number_of_Buildings">'[10]AIR Input Template'!#REF!</definedName>
    <definedName name="numloc">#REF!</definedName>
    <definedName name="NumLocations">'[4]Analysis Request Form (Nat-Cat)'!$G$91</definedName>
    <definedName name="NumLocationsTR">'[4]Analysis Request Form (Terror)'!$F$63</definedName>
    <definedName name="Occ" localSheetId="0">#REF!</definedName>
    <definedName name="Occ">#REF!</definedName>
    <definedName name="Occupancy_Types">[7]Alpha_Sort!#REF!</definedName>
    <definedName name="OccupancyType">'[4]Location Fields Template'!$C$2:$C$104</definedName>
    <definedName name="Office">'[4]Analysis Request Form (Nat-Cat)'!$F$28</definedName>
    <definedName name="OfficeTR" localSheetId="0">'[4]Analysis Request Form (Terror)'!#REF!</definedName>
    <definedName name="OfficeTR">'[4]Analysis Request Form (Terror)'!#REF!</definedName>
    <definedName name="OPDIVSUM" localSheetId="0">#REF!</definedName>
    <definedName name="OPDIVSUM">#REF!</definedName>
    <definedName name="OpeningProtection1">'[4]Location Fields Template'!$AB$2:$AB$11</definedName>
    <definedName name="OpeningProtection2">'[4]Location Fields Template'!$AC$2:$AC$7</definedName>
    <definedName name="OpeningProtection3">'[4]Location Fields Template'!$AD$2:$AD$9</definedName>
    <definedName name="OtherComments">'[4]Analysis Request Form (Nat-Cat)'!$G$55</definedName>
    <definedName name="OtherCommentsTR">'[4]Analysis Request Form (Terror)'!$F$48</definedName>
    <definedName name="OtherRequests">'[4]Analysis Request Form (Nat-Cat)'!$D$51</definedName>
    <definedName name="OtherRequestsTR">'[4]Analysis Request Form (Terror)'!$D$43</definedName>
    <definedName name="own">[2]Sheet1!$A$8:$B$15</definedName>
    <definedName name="partofAOP">#REF!</definedName>
    <definedName name="partofEQ">#REF!</definedName>
    <definedName name="partofFL">#REF!</definedName>
    <definedName name="partofWS">#REF!</definedName>
    <definedName name="PAUDUS" localSheetId="0">#REF!</definedName>
    <definedName name="PAUDUS">#REF!</definedName>
    <definedName name="Payroll">#REF!</definedName>
    <definedName name="PDATA02" localSheetId="0">#REF!</definedName>
    <definedName name="PDATA02">#REF!</definedName>
    <definedName name="Peril">[3]Codes!$I$2:$I$9</definedName>
    <definedName name="period">'[11]YTD TY &amp; LY'!$B$3</definedName>
    <definedName name="PMLGround">'[4]Analysis Request Form (Nat-Cat)'!$D$48</definedName>
    <definedName name="PMLGroundTR">'[4]Analysis Request Form (Terror)'!$D$40</definedName>
    <definedName name="PMLwTerms">'[4]Analysis Request Form (Nat-Cat)'!$D$50</definedName>
    <definedName name="PMLwTermsTR">'[4]Analysis Request Form (Terror)'!$D$42</definedName>
    <definedName name="Portfolio" localSheetId="0">#REF!</definedName>
    <definedName name="Portfolio">#REF!</definedName>
    <definedName name="PORTNAME" localSheetId="0">#REF!</definedName>
    <definedName name="PORTNAME">#REF!</definedName>
    <definedName name="Potent" localSheetId="0">#REF!</definedName>
    <definedName name="Potent">#REF!</definedName>
    <definedName name="Pounding">'[4]Location Fields Template'!$BR$2:$BR$4</definedName>
    <definedName name="Prim_INTLTIV">#REF!</definedName>
    <definedName name="Prim_TIV">#REF!</definedName>
    <definedName name="Prim_USTIV">#REF!</definedName>
    <definedName name="PrimaryContact">'[4]Analysis Request Form (Nat-Cat)'!$F$26</definedName>
    <definedName name="PrimaryContactTR" localSheetId="0">'[4]Analysis Request Form (Terror)'!#REF!</definedName>
    <definedName name="PrimaryContactTR">'[4]Analysis Request Form (Terror)'!#REF!</definedName>
    <definedName name="ProbabilisticTerror">'[4]Analysis Request Form (Terror)'!$D$35</definedName>
    <definedName name="processAP">#REF!</definedName>
    <definedName name="processCS">#REF!</definedName>
    <definedName name="processEQ">#REF!</definedName>
    <definedName name="processFL">#REF!</definedName>
    <definedName name="processWS">#REF!</definedName>
    <definedName name="Producer" localSheetId="0">#REF!</definedName>
    <definedName name="Producer">#REF!</definedName>
    <definedName name="PSUMINT">'[12]380'!$B$10:$AA$60</definedName>
    <definedName name="PSUMMARY02" localSheetId="0">#REF!</definedName>
    <definedName name="PSUMMARY02">#REF!</definedName>
    <definedName name="Ptrak" localSheetId="0">#REF!</definedName>
    <definedName name="Ptrak">#REF!</definedName>
    <definedName name="QS">#REF!</definedName>
    <definedName name="qsAOP">#REF!</definedName>
    <definedName name="qsEQ">#REF!</definedName>
    <definedName name="qsFL">#REF!</definedName>
    <definedName name="qsWS">#REF!</definedName>
    <definedName name="RATEAGENPL" localSheetId="0">#REF!</definedName>
    <definedName name="RATEAGENPL">#REF!</definedName>
    <definedName name="RECAP" localSheetId="0">#REF!</definedName>
    <definedName name="RECAP">#REF!</definedName>
    <definedName name="Redundancy">'[4]Location Fields Template'!$BB$2:$BB$4</definedName>
    <definedName name="Region">[3]Codes!$O$2:$O$23</definedName>
    <definedName name="RegionTR" localSheetId="0">'[4]Analysis Request Form (Terror)'!#REF!</definedName>
    <definedName name="RegionTR">'[4]Analysis Request Form (Terror)'!#REF!</definedName>
    <definedName name="Relationship">[3]Codes!$C$2:$C$5</definedName>
    <definedName name="RenewalRFP" localSheetId="0">'[4]Analysis Request Form (Terror)'!#REF!</definedName>
    <definedName name="RenewalRFP">'[4]Analysis Request Form (Terror)'!#REF!</definedName>
    <definedName name="RenewalRFPDate">'[4]Analysis Request Form (Nat-Cat)'!$F$16</definedName>
    <definedName name="RenewalRFPDateTR" localSheetId="0">'[4]Analysis Request Form (Terror)'!#REF!</definedName>
    <definedName name="RenewalRFPDateTR">'[4]Analysis Request Form (Terror)'!#REF!</definedName>
    <definedName name="ResidentialAppurtenant1">'[4]Location Fields Template'!$Q$2:$Q$6</definedName>
    <definedName name="ResidentialAppurtenant2">'[4]Location Fields Template'!$R$2:$R$6</definedName>
    <definedName name="ResistanceDoors">'[4]Location Fields Template'!$AA$2:$AA$6</definedName>
    <definedName name="RMScol">#REF!</definedName>
    <definedName name="RoofAgeCond1">'[4]Location Fields Template'!$AK$2:$AK$6</definedName>
    <definedName name="RoofAgeCond2">'[4]Location Fields Template'!$AL$2:$AL$5</definedName>
    <definedName name="RoofAnchor1">'[4]Location Fields Template'!$AM$2:$AM$7</definedName>
    <definedName name="RoofAnchor2">'[4]Location Fields Template'!$AN$2:$AN$7</definedName>
    <definedName name="RoofCovering1">'[4]Location Fields Template'!$AU$2:$AU$12</definedName>
    <definedName name="RoofCovering2">'[4]Location Fields Template'!$AV$2:$AV$18</definedName>
    <definedName name="RoofEquipment1">'[4]Location Fields Template'!$AH$2:$AH$4</definedName>
    <definedName name="RoofEquipment2">'[4]Location Fields Template'!$AI$2:$AI$6</definedName>
    <definedName name="RoofFraming">'[4]Location Fields Template'!$AO$2:$AO$7</definedName>
    <definedName name="RoofGeometry1">'[4]Location Fields Template'!$AP$2:$AP$10</definedName>
    <definedName name="RoofGeometry2">'[4]Location Fields Template'!$AQ$2:$AQ$11</definedName>
    <definedName name="RoofGeometry3">'[4]Location Fields Template'!$AR$2:$AR$6</definedName>
    <definedName name="RoofMaintenance">'[4]Location Fields Template'!$AS$2:$AS$4</definedName>
    <definedName name="RoofParapets">'[4]Location Fields Template'!$AT$2:$AT$4</definedName>
    <definedName name="RoofSheathing1">'[4]Location Fields Template'!$V$2:$V$8</definedName>
    <definedName name="RoofSheathing2">'[4]Location Fields Template'!$W$2:$W$5</definedName>
    <definedName name="RoofSheathing3">'[4]Location Fields Template'!$X$2:$X$12</definedName>
    <definedName name="sAccount">#REF!</definedName>
    <definedName name="Schemes">[3]Codes!$AE$2:$AE$6</definedName>
    <definedName name="SecondaryContacts">'[4]Analysis Request Form (Nat-Cat)'!$F$30</definedName>
    <definedName name="SecondaryContactsTR" localSheetId="0">'[4]Analysis Request Form (Terror)'!#REF!</definedName>
    <definedName name="SecondaryContactsTR">'[4]Analysis Request Form (Terror)'!#REF!</definedName>
    <definedName name="SeismicZone">'[4]Location Fields Template'!$BY$2:$BY$16</definedName>
    <definedName name="SetbacksOverhangs">'[4]Location Fields Template'!$BA$2:$BA$4</definedName>
    <definedName name="ShapeConfiguration">'[4]Location Fields Template'!$AY$2:$AY$4</definedName>
    <definedName name="ShortColumn">'[4]Location Fields Template'!$BF$2:$BF$4</definedName>
    <definedName name="SoftStory">'[4]Location Fields Template'!$AZ$2:$AZ$4</definedName>
    <definedName name="Sprinklers">'[4]Location Fields Template'!$D$2:$D$3</definedName>
    <definedName name="SprinklerType">'[4]Location Fields Template'!$BU$2:$BU$4</definedName>
    <definedName name="State" localSheetId="0">#REF!</definedName>
    <definedName name="State">#REF!</definedName>
    <definedName name="statedata" localSheetId="0">#REF!</definedName>
    <definedName name="statedata">#REF!</definedName>
    <definedName name="statenames" localSheetId="0">#REF!</definedName>
    <definedName name="statenames">#REF!</definedName>
    <definedName name="StructuralUpgrade">'[4]Location Fields Template'!$BN$2:$BN$4</definedName>
    <definedName name="subAOP">#REF!</definedName>
    <definedName name="subded1AOP">#REF!</definedName>
    <definedName name="subded1EQ">#REF!</definedName>
    <definedName name="subded1FL">#REF!</definedName>
    <definedName name="subded1WS">#REF!</definedName>
    <definedName name="subded2AMT">#REF!</definedName>
    <definedName name="subded2AOP">#REF!</definedName>
    <definedName name="subded2EQ">#REF!</definedName>
    <definedName name="subded2FL">#REF!</definedName>
    <definedName name="subded2WS">#REF!</definedName>
    <definedName name="subdedamt2WS">#REF!</definedName>
    <definedName name="subdedtypeAOP">#REF!</definedName>
    <definedName name="subdedtypeEQ">#REF!</definedName>
    <definedName name="subdedtypeFL">#REF!</definedName>
    <definedName name="subdedtypeWS">#REF!</definedName>
    <definedName name="subEQ">#REF!</definedName>
    <definedName name="subFL">#REF!</definedName>
    <definedName name="sublimAOP">#REF!</definedName>
    <definedName name="sublimEQ">#REF!</definedName>
    <definedName name="sublimFL">#REF!</definedName>
    <definedName name="sublimWS">#REF!</definedName>
    <definedName name="SubPeril">[3]Codes!$K$2:$K$4</definedName>
    <definedName name="subWS">#REF!</definedName>
    <definedName name="Sum_Layer_Cost" localSheetId="0">#REF!</definedName>
    <definedName name="Sum_Layer_Cost">#REF!</definedName>
    <definedName name="Tank">'[4]Location Fields Template'!$BS$2:$BS$4</definedName>
    <definedName name="Telephone" localSheetId="0">'[4]Analysis Request Form (Nat-Cat)'!#REF!</definedName>
    <definedName name="Telephone">'[4]Analysis Request Form (Nat-Cat)'!#REF!</definedName>
    <definedName name="TelephoneTR" localSheetId="0">'[4]Analysis Request Form (Terror)'!#REF!</definedName>
    <definedName name="TelephoneTR">'[4]Analysis Request Form (Terror)'!#REF!</definedName>
    <definedName name="Tier1">'[4]Location Fields Template'!$BX$2:$BX$7</definedName>
    <definedName name="TiltUpAnchor">'[4]Location Fields Template'!$BL$2:$BL$4</definedName>
    <definedName name="TIV">#REF!</definedName>
    <definedName name="TorOnly">'[4]Analysis Request Form (Nat-Cat)'!$D$44</definedName>
    <definedName name="Torsion">'[4]Location Fields Template'!$BC$2:$BC$4</definedName>
    <definedName name="TotINTLLoc">#REF!</definedName>
    <definedName name="TotINTLTIV">#REF!</definedName>
    <definedName name="TotLoc">#REF!</definedName>
    <definedName name="TotTIV">#REF!</definedName>
    <definedName name="TotUSLoc">#REF!</definedName>
    <definedName name="TotUSTIV">#REF!</definedName>
    <definedName name="Treedensity">'[4]Location Fields Template'!$AX$2:$AX$5</definedName>
    <definedName name="Type" localSheetId="0">#REF!</definedName>
    <definedName name="Type">#REF!</definedName>
    <definedName name="TypeBusiness">'[4]Analysis Request Form (Nat-Cat)'!$F$18</definedName>
    <definedName name="TypeBusinessTR" localSheetId="0">'[4]Analysis Request Form (Terror)'!#REF!</definedName>
    <definedName name="TypeBusinessTR">'[4]Analysis Request Form (Terror)'!#REF!</definedName>
    <definedName name="Underwriter" localSheetId="0">#REF!</definedName>
    <definedName name="Underwriter">#REF!</definedName>
    <definedName name="URMRetrofit">'[4]Location Fields Template'!$BM$2:$BM$4</definedName>
    <definedName name="USE1QSD" localSheetId="0">#REF!</definedName>
    <definedName name="USE1QSD">#REF!</definedName>
    <definedName name="USEQ1AAL" localSheetId="0">#REF!</definedName>
    <definedName name="USEQ1AAL">#REF!</definedName>
    <definedName name="USEQ1SD" localSheetId="0">#REF!</definedName>
    <definedName name="USEQ1SD">#REF!</definedName>
    <definedName name="USEQAAL" localSheetId="0">#REF!</definedName>
    <definedName name="USEQAAL">#REF!</definedName>
    <definedName name="USEQSD" localSheetId="0">#REF!</definedName>
    <definedName name="USEQSD">#REF!</definedName>
    <definedName name="VA">'[11]YTD TY &amp; LY'!$D$1:$Z$65536</definedName>
    <definedName name="WindMissiles">'[4]Location Fields Template'!$U$2:$U$8</definedName>
    <definedName name="xxCV1Val">#REF!</definedName>
    <definedName name="xxCV2Val">#REF!</definedName>
    <definedName name="xxCV3Val">#REF!</definedName>
    <definedName name="xxCV6Val">#REF!</definedName>
    <definedName name="xxCV9Val">#REF!</definedName>
    <definedName name="yearplus1">'[13]Dropdown Lists'!$A$4</definedName>
    <definedName name="z" localSheetId="0">#REF!</definedName>
    <definedName name="z">#REF!</definedName>
    <definedName name="ZIPCodes" localSheetId="0">#REF!</definedName>
    <definedName name="ZIPCod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25" l="1"/>
  <c r="Z31" i="25"/>
  <c r="Z32" i="25"/>
  <c r="T31" i="25" l="1"/>
  <c r="T32" i="25"/>
  <c r="T30" i="25"/>
  <c r="T29" i="25" l="1"/>
  <c r="T27" i="25"/>
  <c r="T12" i="25"/>
  <c r="T13" i="25"/>
  <c r="T14" i="25"/>
  <c r="T15" i="25"/>
  <c r="T16" i="25"/>
  <c r="T17" i="25"/>
  <c r="T18" i="25"/>
  <c r="T19" i="25"/>
  <c r="T20" i="25"/>
  <c r="T21" i="25"/>
  <c r="T22" i="25"/>
  <c r="T24" i="25"/>
  <c r="T25" i="25"/>
  <c r="T11" i="25"/>
  <c r="Y34" i="25"/>
  <c r="X34" i="25"/>
  <c r="W34" i="25"/>
  <c r="V34" i="25"/>
  <c r="U34" i="25"/>
  <c r="J72" i="26"/>
  <c r="Z29" i="25" l="1"/>
  <c r="Z27" i="25"/>
  <c r="Z23" i="25" l="1"/>
  <c r="Z24" i="25"/>
  <c r="Z25" i="25"/>
  <c r="Z20" i="25"/>
  <c r="Z21" i="25"/>
  <c r="Z22" i="25"/>
  <c r="Z16" i="25"/>
  <c r="Z17" i="25"/>
  <c r="Z18" i="25"/>
  <c r="Z19" i="25"/>
  <c r="Z12" i="25"/>
  <c r="Z10" i="25" l="1"/>
  <c r="Z11" i="25"/>
  <c r="Z13" i="25"/>
  <c r="Z14" i="25"/>
  <c r="Z15" i="25"/>
  <c r="Z8" i="25"/>
  <c r="T7" i="25"/>
  <c r="T8" i="25"/>
  <c r="T9" i="25"/>
  <c r="T10" i="25"/>
  <c r="T6" i="25"/>
  <c r="Z7" i="25" l="1"/>
  <c r="Z9" i="25"/>
  <c r="Z6" i="25"/>
  <c r="Z34" i="25" l="1"/>
</calcChain>
</file>

<file path=xl/sharedStrings.xml><?xml version="1.0" encoding="utf-8"?>
<sst xmlns="http://schemas.openxmlformats.org/spreadsheetml/2006/main" count="452" uniqueCount="233">
  <si>
    <t>State</t>
  </si>
  <si>
    <t>Property Statement of Values</t>
  </si>
  <si>
    <t xml:space="preserve">  V A L U E S</t>
  </si>
  <si>
    <t>Location ID</t>
  </si>
  <si>
    <t>Location Name</t>
  </si>
  <si>
    <t>Address (full street address)</t>
  </si>
  <si>
    <t>City</t>
  </si>
  <si>
    <t>Postal Code</t>
  </si>
  <si>
    <t>Country</t>
  </si>
  <si>
    <t>Construction Description</t>
  </si>
  <si>
    <t>Occupancy Description</t>
  </si>
  <si>
    <t>Year Built</t>
  </si>
  <si>
    <t>Year Upgrade</t>
  </si>
  <si>
    <t>Roof Age</t>
  </si>
  <si>
    <t># of Stories</t>
  </si>
  <si>
    <t># of Buildings</t>
  </si>
  <si>
    <t>Sprinklered</t>
  </si>
  <si>
    <t>Floor Area</t>
  </si>
  <si>
    <t>FEMA Flood Zone</t>
  </si>
  <si>
    <t>Building</t>
  </si>
  <si>
    <t>Contents</t>
  </si>
  <si>
    <t>BI Values</t>
  </si>
  <si>
    <t>Total</t>
  </si>
  <si>
    <t>Parking Sqft</t>
  </si>
  <si>
    <t>Price Per Square Ft</t>
  </si>
  <si>
    <t xml:space="preserve">LIK Management </t>
  </si>
  <si>
    <t>BELLMAWR JOINT VENTURE LLP T/A INTERSTATE BUSINESS PARK only land and sign left (sign value @ $33,650)</t>
  </si>
  <si>
    <t>EASTWICK JOINT VENTURE I</t>
  </si>
  <si>
    <t>NESHAMINY CONDO</t>
  </si>
  <si>
    <t>Trust Under the Will of David J. Friedman dated 3/10/1972 a/k/a SHOPS AT LAFAYETTE HILL</t>
  </si>
  <si>
    <t>2811 Cottman Avenue (Four Seasons)</t>
  </si>
  <si>
    <t>2801 Cottman Avenue (McDonald's)</t>
  </si>
  <si>
    <t>6382 Castor Avenue (post office)</t>
  </si>
  <si>
    <t>6412-22 Castor Avenue (Save-A-Lot)</t>
  </si>
  <si>
    <t>12300-40 Academy Road</t>
  </si>
  <si>
    <t>Philadelphia</t>
  </si>
  <si>
    <t>PA</t>
  </si>
  <si>
    <t>USA</t>
  </si>
  <si>
    <t>Masonry</t>
  </si>
  <si>
    <t>Fire Resistive</t>
  </si>
  <si>
    <t>Mercantile</t>
  </si>
  <si>
    <t>Office</t>
  </si>
  <si>
    <t>1948-50</t>
  </si>
  <si>
    <t>@ 1970 Tenant owns bldg.</t>
  </si>
  <si>
    <t>Central Station Alarm Operational non-sprinklered</t>
  </si>
  <si>
    <t>No</t>
  </si>
  <si>
    <t>Units</t>
  </si>
  <si>
    <t>Basement</t>
  </si>
  <si>
    <t>Y</t>
  </si>
  <si>
    <t>None</t>
  </si>
  <si>
    <t>Notes</t>
  </si>
  <si>
    <t>Contingent Insurance $500,00</t>
  </si>
  <si>
    <t>N</t>
  </si>
  <si>
    <t>NO</t>
  </si>
  <si>
    <t>12301-75 Academy Road</t>
  </si>
  <si>
    <t>Signange</t>
  </si>
  <si>
    <t>Partial</t>
  </si>
  <si>
    <t>Central Station Monitored fire alarm for Office Center Only</t>
  </si>
  <si>
    <t>Part 2 story Part 1 story
2 stories = 14400 sq ft.  Balance is 1 story /     1 passenger elevator</t>
  </si>
  <si>
    <t>1841 TO 1881 Street Road  
1817 Street Road (M&amp;T)</t>
  </si>
  <si>
    <t>Bensalem</t>
  </si>
  <si>
    <t>Potentially 2 buildings - want to split out?</t>
  </si>
  <si>
    <t>2815 Grays Ferry Ave.</t>
  </si>
  <si>
    <t>7201 Roosevelt Boulevard (K&amp;G Mens)</t>
  </si>
  <si>
    <t>Contingent Insurance $3937500</t>
  </si>
  <si>
    <t>Building A</t>
  </si>
  <si>
    <t>Building B</t>
  </si>
  <si>
    <t>Building C</t>
  </si>
  <si>
    <t xml:space="preserve">2577 Interplex Drive </t>
  </si>
  <si>
    <t xml:space="preserve">2607 Interplex Drive  </t>
  </si>
  <si>
    <t>2585 Interplex Drive</t>
  </si>
  <si>
    <t>Trevose</t>
  </si>
  <si>
    <t>Office/Flex</t>
  </si>
  <si>
    <t>non sprinklered - Central Station Alarm</t>
  </si>
  <si>
    <t>non sprinklered - Local Fire Alarm</t>
  </si>
  <si>
    <t>Sprinklered &amp; Central Station Alarm</t>
  </si>
  <si>
    <t>Sprinklered &amp; Central Station Alarm - 100%</t>
  </si>
  <si>
    <t>One Neshaminy Interplex</t>
  </si>
  <si>
    <t>Two Neshaminy Interplex</t>
  </si>
  <si>
    <t>Four Neshaminy Interplex</t>
  </si>
  <si>
    <t>one passenger elevator</t>
  </si>
  <si>
    <t>Six Neshaminy Interplex</t>
  </si>
  <si>
    <t>Five Neshaminy Interplex</t>
  </si>
  <si>
    <t>Fine Arts</t>
  </si>
  <si>
    <t>two passenger elevators    /                 '** Requires 18 Months actual loss sustained</t>
  </si>
  <si>
    <t>Seven Neshaminy Interplex</t>
  </si>
  <si>
    <t>Eight Neshaminy Interplex</t>
  </si>
  <si>
    <t>included in above</t>
  </si>
  <si>
    <t xml:space="preserve"> </t>
  </si>
  <si>
    <t>% Sprinklered</t>
  </si>
  <si>
    <t xml:space="preserve">Yes - Central Station Alarm </t>
  </si>
  <si>
    <t xml:space="preserve">Central Station Alarm - Partial / Balance non-sprinklered </t>
  </si>
  <si>
    <t>Trust #4</t>
  </si>
  <si>
    <t>Hyman Korman Co.</t>
  </si>
  <si>
    <t>Elbridge Partnership</t>
  </si>
  <si>
    <t>The Korman Co. T/A Parkwood Professional Building</t>
  </si>
  <si>
    <t>Parkwood Joint Venture T/A Parkwood Shopping Center {Appraisal Newmark Knight Frank 24 April 2020}</t>
  </si>
  <si>
    <t>Brookwood Shopping Center Joint Venture T/A Brookwood Shopping Center {Appraisal Cbre 24 Apr 2020)</t>
  </si>
  <si>
    <t xml:space="preserve">Grays Ferry Partners Lp T/A Grays Ferry Shopping Center    </t>
  </si>
  <si>
    <t>Revere Partnership</t>
  </si>
  <si>
    <t xml:space="preserve">Neshaminy Interplex Llc Formerly Lincoln Kor Center JV 
(Based On Core Logic Appraisal 8/2022)  </t>
  </si>
  <si>
    <t xml:space="preserve">Lincoln Sub. JV III </t>
  </si>
  <si>
    <t xml:space="preserve">Neshaminy Interplex Llc Formerly NI Associates Six Limited Partnership </t>
  </si>
  <si>
    <t xml:space="preserve">NESHAMINY INTERPLEX, LLC Formerly Lincoln Sub. JV V        </t>
  </si>
  <si>
    <t>OFFICE WORKS PARTNERSHIP  (Liability Only - Property Included In Above)</t>
  </si>
  <si>
    <t xml:space="preserve">NESHAMINY INTERPLEX, LLC Formerly Seven Neshaminy Interplex  </t>
  </si>
  <si>
    <t>NESHAMINY INTERPLEX, LLC formerly Neshaminy Eight LP T/A Eight Neshaminy Interplex    
(Based on Core Logic appraisal 8/2022</t>
  </si>
  <si>
    <t>Butler and Main, LLC</t>
  </si>
  <si>
    <t>Ambler</t>
  </si>
  <si>
    <t xml:space="preserve">PA </t>
  </si>
  <si>
    <t>14-22 N. Main Street</t>
  </si>
  <si>
    <t>Joisted Masonry</t>
  </si>
  <si>
    <t>Storage/Retail</t>
  </si>
  <si>
    <t>Storage/Retail/Residential</t>
  </si>
  <si>
    <t>Retail/Residential</t>
  </si>
  <si>
    <t>Route 42</t>
  </si>
  <si>
    <t xml:space="preserve">Bellmawr </t>
  </si>
  <si>
    <t>NJ</t>
  </si>
  <si>
    <t>Industrial</t>
  </si>
  <si>
    <t>All buildings sold - only land &amp; signs</t>
  </si>
  <si>
    <t xml:space="preserve">2448 Island Avenue </t>
  </si>
  <si>
    <t>Land lease do not own bldg.</t>
  </si>
  <si>
    <t>Buildings One, Two, Three, Four</t>
  </si>
  <si>
    <t>Outside Common Area</t>
  </si>
  <si>
    <t>Stores: 400-428 Germantown Pike,  (18,476 SF) ; Dwelling address:  3051 Edmonds Road (1,496 SF)</t>
  </si>
  <si>
    <t>Lafayette Hill</t>
  </si>
  <si>
    <t>13-14 stores, one separate dwelling 2 story bldg.
Managed ONLY Location</t>
  </si>
  <si>
    <t>Yes</t>
  </si>
  <si>
    <t xml:space="preserve"> The Korman Co.</t>
  </si>
  <si>
    <t>"Eastwick Property"  -  Philadelphia</t>
  </si>
  <si>
    <t>8123 ANGELO PL.</t>
  </si>
  <si>
    <t>8125 ANGELO PL.</t>
  </si>
  <si>
    <t>8127 ANGELO PL.</t>
  </si>
  <si>
    <t>8129 ANGELO PL.</t>
  </si>
  <si>
    <t>8131 ANGELO PL.</t>
  </si>
  <si>
    <t>8133 ANGELO PL.</t>
  </si>
  <si>
    <t>8135 ANGELO PL.</t>
  </si>
  <si>
    <t>2500 S. 82'ND ST.</t>
  </si>
  <si>
    <t>2502 S. 82'ND ST.</t>
  </si>
  <si>
    <t>2504 S. 82'ND ST.</t>
  </si>
  <si>
    <t>2506 S. 82'ND ST.</t>
  </si>
  <si>
    <t>2508 S. 82'ND ST.</t>
  </si>
  <si>
    <t>2510 S. 82'ND ST.</t>
  </si>
  <si>
    <t>Vacant Land</t>
  </si>
  <si>
    <t>Acres</t>
  </si>
  <si>
    <t>"State and Grant" Property</t>
  </si>
  <si>
    <r>
      <t>4930 GRANT AVE;</t>
    </r>
    <r>
      <rPr>
        <b/>
        <sz val="10"/>
        <rFont val="Arial"/>
        <family val="2"/>
      </rPr>
      <t xml:space="preserve"> 0.19332 acres</t>
    </r>
  </si>
  <si>
    <r>
      <t>9640 STATE ROAD;</t>
    </r>
    <r>
      <rPr>
        <b/>
        <sz val="10"/>
        <rFont val="Arial"/>
        <family val="2"/>
      </rPr>
      <t xml:space="preserve"> 0.107438 acres</t>
    </r>
  </si>
  <si>
    <t>The Korman Co.</t>
  </si>
  <si>
    <t>"Grays Ferry &amp; Airport Interplex" Property</t>
  </si>
  <si>
    <t>Grays Ferry Partners LP</t>
  </si>
  <si>
    <t>Eastwick JV XII (Airport Interplex)</t>
  </si>
  <si>
    <r>
      <t xml:space="preserve">3001 R Grays Ferry Ave; </t>
    </r>
    <r>
      <rPr>
        <b/>
        <sz val="10"/>
        <rFont val="Arial"/>
        <family val="2"/>
      </rPr>
      <t>22,491 sf</t>
    </r>
  </si>
  <si>
    <r>
      <t xml:space="preserve">3043 R Grays Ferry Ave; </t>
    </r>
    <r>
      <rPr>
        <b/>
        <sz val="10"/>
        <rFont val="Arial"/>
        <family val="2"/>
      </rPr>
      <t xml:space="preserve"> 1,341 sf</t>
    </r>
  </si>
  <si>
    <r>
      <t>8675 Tinicum Blvd;</t>
    </r>
    <r>
      <rPr>
        <b/>
        <sz val="10"/>
        <rFont val="Arial"/>
        <family val="2"/>
      </rPr>
      <t xml:space="preserve"> 0.83 acres</t>
    </r>
  </si>
  <si>
    <t>BENSALEMN TOWNSHIP - BUCKS COUNTY</t>
  </si>
  <si>
    <t>NV 2 SEC 1 AREA D</t>
  </si>
  <si>
    <t xml:space="preserve">    Buffer Lot at key Court &amp; Donallen Dr.</t>
  </si>
  <si>
    <t>The Korman Co</t>
  </si>
  <si>
    <t>2.09 Ac Lot #5 A (Neshaminy Interplex)</t>
  </si>
  <si>
    <t xml:space="preserve">Trevose </t>
  </si>
  <si>
    <t>Lincoln BLS- TIC</t>
  </si>
  <si>
    <r>
      <t>SILVION CORP. LOT 6 -</t>
    </r>
    <r>
      <rPr>
        <b/>
        <sz val="10"/>
        <rFont val="Arial"/>
        <family val="2"/>
      </rPr>
      <t>13.14</t>
    </r>
    <r>
      <rPr>
        <sz val="10"/>
        <rFont val="Arial"/>
        <family val="2"/>
      </rPr>
      <t xml:space="preserve"> Acres</t>
    </r>
  </si>
  <si>
    <t>PARKLAND MANOR  PLAN 1</t>
  </si>
  <si>
    <r>
      <t xml:space="preserve">      Lots #1-3-4     40 x 585 </t>
    </r>
    <r>
      <rPr>
        <b/>
        <sz val="10"/>
        <rFont val="Arial"/>
        <family val="2"/>
      </rPr>
      <t xml:space="preserve"> 1 </t>
    </r>
    <r>
      <rPr>
        <sz val="10"/>
        <rFont val="Arial"/>
        <family val="2"/>
      </rPr>
      <t>acre</t>
    </r>
  </si>
  <si>
    <r>
      <t>SILVION CORP. LOT 10</t>
    </r>
    <r>
      <rPr>
        <b/>
        <sz val="10"/>
        <rFont val="Arial"/>
        <family val="2"/>
      </rPr>
      <t>-2.42</t>
    </r>
    <r>
      <rPr>
        <sz val="10"/>
        <rFont val="Arial"/>
        <family val="2"/>
      </rPr>
      <t xml:space="preserve"> Acres</t>
    </r>
  </si>
  <si>
    <r>
      <t xml:space="preserve">PARKLAND MANOR  PL 2 LOT#8    40 x70 </t>
    </r>
    <r>
      <rPr>
        <b/>
        <sz val="10"/>
        <rFont val="Arial"/>
        <family val="2"/>
      </rPr>
      <t xml:space="preserve"> .64 </t>
    </r>
    <r>
      <rPr>
        <sz val="10"/>
        <rFont val="Arial"/>
        <family val="2"/>
      </rPr>
      <t>acre</t>
    </r>
  </si>
  <si>
    <r>
      <t>SILVION CORP. LOT 7</t>
    </r>
    <r>
      <rPr>
        <b/>
        <sz val="10"/>
        <rFont val="Arial"/>
        <family val="2"/>
      </rPr>
      <t>-4.80</t>
    </r>
    <r>
      <rPr>
        <sz val="10"/>
        <rFont val="Arial"/>
        <family val="2"/>
      </rPr>
      <t xml:space="preserve"> Acres</t>
    </r>
  </si>
  <si>
    <t>Middletown Twp</t>
  </si>
  <si>
    <t>"Cameron Properties"</t>
  </si>
  <si>
    <r>
      <t xml:space="preserve">CAMERON </t>
    </r>
    <r>
      <rPr>
        <b/>
        <sz val="10"/>
        <rFont val="Arial"/>
        <family val="2"/>
      </rPr>
      <t xml:space="preserve"> 62.673</t>
    </r>
    <r>
      <rPr>
        <sz val="10"/>
        <rFont val="Arial"/>
        <family val="2"/>
      </rPr>
      <t xml:space="preserve"> ACRES</t>
    </r>
  </si>
  <si>
    <t>NOCKAMIXON TOWNSHIP - BUCKS COUNTY</t>
  </si>
  <si>
    <r>
      <rPr>
        <b/>
        <sz val="10"/>
        <rFont val="Arial"/>
        <family val="2"/>
      </rPr>
      <t>18.889</t>
    </r>
    <r>
      <rPr>
        <sz val="10"/>
        <rFont val="Arial"/>
        <family val="2"/>
      </rPr>
      <t xml:space="preserve"> Ac ES of US 611 1080 ft N of T449</t>
    </r>
  </si>
  <si>
    <r>
      <rPr>
        <b/>
        <sz val="10"/>
        <rFont val="Arial"/>
        <family val="2"/>
      </rPr>
      <t>1.85</t>
    </r>
    <r>
      <rPr>
        <sz val="10"/>
        <rFont val="Arial"/>
        <family val="2"/>
      </rPr>
      <t xml:space="preserve"> Ac ES US 611 790 ft N T449</t>
    </r>
  </si>
  <si>
    <t>Nockamixon Twp</t>
  </si>
  <si>
    <t>PA LAND - TERRITORY 1</t>
  </si>
  <si>
    <t>PA LAND - TERRITORY 7</t>
  </si>
  <si>
    <t>Bucks County</t>
  </si>
  <si>
    <t xml:space="preserve"> MIDDLETOWN TOWNSHIP - BUCKS COUNTY -
"Bonanza Properties"</t>
  </si>
  <si>
    <t>Kosano Associates LP</t>
  </si>
  <si>
    <t>PA LAND - TERRITORY 13</t>
  </si>
  <si>
    <t>Majority in Blue Bell</t>
  </si>
  <si>
    <t>Land Owner</t>
  </si>
  <si>
    <t>WHITEMARSH - MONTGOMERY COUNTY</t>
  </si>
  <si>
    <t>"Sheaff Lane Properties"</t>
  </si>
  <si>
    <t>LOT 6 BROADACRES RD. -        25.28 ACRES</t>
  </si>
  <si>
    <r>
      <t xml:space="preserve">BUTLER PIKE  LOT </t>
    </r>
    <r>
      <rPr>
        <b/>
        <sz val="10"/>
        <rFont val="Arial"/>
        <family val="2"/>
      </rPr>
      <t>6.49</t>
    </r>
    <r>
      <rPr>
        <sz val="10"/>
        <rFont val="Arial"/>
        <family val="2"/>
      </rPr>
      <t xml:space="preserve"> ACRES</t>
    </r>
  </si>
  <si>
    <t>6015 SHEAFF LANE</t>
  </si>
  <si>
    <r>
      <t xml:space="preserve">10 TAMARACK RD LOT 7  </t>
    </r>
    <r>
      <rPr>
        <b/>
        <sz val="10"/>
        <rFont val="Arial"/>
        <family val="2"/>
      </rPr>
      <t>2.27</t>
    </r>
  </si>
  <si>
    <r>
      <t xml:space="preserve">12 TAMARACK RD LOT 8  </t>
    </r>
    <r>
      <rPr>
        <b/>
        <sz val="10"/>
        <rFont val="Arial"/>
        <family val="2"/>
      </rPr>
      <t>2.22</t>
    </r>
  </si>
  <si>
    <r>
      <t xml:space="preserve">14 TAMARACK RD LOT 10 </t>
    </r>
    <r>
      <rPr>
        <b/>
        <sz val="10"/>
        <rFont val="Arial"/>
        <family val="2"/>
      </rPr>
      <t xml:space="preserve"> 3.23</t>
    </r>
  </si>
  <si>
    <r>
      <t>16 TAMARACK RD LOT 11</t>
    </r>
    <r>
      <rPr>
        <b/>
        <sz val="10"/>
        <rFont val="Arial"/>
        <family val="2"/>
      </rPr>
      <t xml:space="preserve">  3.5</t>
    </r>
  </si>
  <si>
    <r>
      <t xml:space="preserve">18 TAMARACK RD LOT 12 </t>
    </r>
    <r>
      <rPr>
        <b/>
        <sz val="10"/>
        <rFont val="Arial"/>
        <family val="2"/>
      </rPr>
      <t xml:space="preserve"> 4.06</t>
    </r>
  </si>
  <si>
    <r>
      <t xml:space="preserve">20 TAMARACK RD LOT 13  </t>
    </r>
    <r>
      <rPr>
        <b/>
        <sz val="10"/>
        <rFont val="Arial"/>
        <family val="2"/>
      </rPr>
      <t>2.02</t>
    </r>
  </si>
  <si>
    <r>
      <t xml:space="preserve">22 TAMARACK RD LOT 14  </t>
    </r>
    <r>
      <rPr>
        <b/>
        <sz val="10"/>
        <rFont val="Arial"/>
        <family val="2"/>
      </rPr>
      <t>1.93</t>
    </r>
  </si>
  <si>
    <r>
      <t xml:space="preserve">24 TAMARACK RD LOT 15  </t>
    </r>
    <r>
      <rPr>
        <b/>
        <sz val="10"/>
        <rFont val="Arial"/>
        <family val="2"/>
      </rPr>
      <t>1.91</t>
    </r>
  </si>
  <si>
    <r>
      <t xml:space="preserve">26 TAMARACK RD LOT 16 </t>
    </r>
    <r>
      <rPr>
        <b/>
        <sz val="10"/>
        <rFont val="Arial"/>
        <family val="2"/>
      </rPr>
      <t xml:space="preserve"> 2.14</t>
    </r>
  </si>
  <si>
    <t>NJ LAND - TERRITORY 13</t>
  </si>
  <si>
    <t>Camden County</t>
  </si>
  <si>
    <t>Montgomery County</t>
  </si>
  <si>
    <t xml:space="preserve">GLOUCESTER TOWNSHIP </t>
  </si>
  <si>
    <t>"Cherrywood Properties"</t>
  </si>
  <si>
    <r>
      <t xml:space="preserve">1450 ERIAL RD. </t>
    </r>
    <r>
      <rPr>
        <b/>
        <sz val="10"/>
        <rFont val="Arial"/>
        <family val="2"/>
      </rPr>
      <t>1.4</t>
    </r>
    <r>
      <rPr>
        <sz val="10"/>
        <rFont val="Arial"/>
        <family val="2"/>
      </rPr>
      <t xml:space="preserve"> ACRES   R</t>
    </r>
  </si>
  <si>
    <t>COLLEGE DR. &amp; POWERLINE</t>
  </si>
  <si>
    <r>
      <t xml:space="preserve">       180 x 199  </t>
    </r>
    <r>
      <rPr>
        <b/>
        <sz val="10"/>
        <rFont val="Arial"/>
        <family val="2"/>
      </rPr>
      <t xml:space="preserve">0.823 </t>
    </r>
    <r>
      <rPr>
        <sz val="10"/>
        <rFont val="Arial"/>
        <family val="2"/>
      </rPr>
      <t>acres   R</t>
    </r>
  </si>
  <si>
    <t>14 RAINBOW PL.</t>
  </si>
  <si>
    <t>17 LAFAYETTE DR.</t>
  </si>
  <si>
    <r>
      <t xml:space="preserve">      OPEN SPACE    </t>
    </r>
    <r>
      <rPr>
        <b/>
        <sz val="10"/>
        <rFont val="Arial"/>
        <family val="2"/>
      </rPr>
      <t>4.97 acre</t>
    </r>
    <r>
      <rPr>
        <sz val="10"/>
        <rFont val="Arial"/>
        <family val="2"/>
      </rPr>
      <t>s  R</t>
    </r>
  </si>
  <si>
    <t xml:space="preserve">30 BLUEGRASS RD (2 LAFAYETTE DR)   </t>
  </si>
  <si>
    <r>
      <t xml:space="preserve">      PHEASANT CHASE   (</t>
    </r>
    <r>
      <rPr>
        <b/>
        <sz val="10"/>
        <rFont val="Arial"/>
        <family val="2"/>
      </rPr>
      <t xml:space="preserve">11.8 </t>
    </r>
    <r>
      <rPr>
        <sz val="10"/>
        <rFont val="Arial"/>
        <family val="2"/>
      </rPr>
      <t>ACRES)  R</t>
    </r>
  </si>
  <si>
    <r>
      <t xml:space="preserve">1028 Harbour Dr, Palmyra  </t>
    </r>
    <r>
      <rPr>
        <b/>
        <sz val="10"/>
        <rFont val="Arial"/>
        <family val="2"/>
      </rPr>
      <t>3.61</t>
    </r>
    <r>
      <rPr>
        <sz val="10"/>
        <rFont val="Arial"/>
        <family val="2"/>
      </rPr>
      <t xml:space="preserve">   R</t>
    </r>
  </si>
  <si>
    <t>BOROUGH OF BELLMAWR</t>
  </si>
  <si>
    <r>
      <t>Heller Road -</t>
    </r>
    <r>
      <rPr>
        <b/>
        <sz val="10"/>
        <rFont val="Arial"/>
        <family val="2"/>
      </rPr>
      <t xml:space="preserve"> 5.6 Ac</t>
    </r>
  </si>
  <si>
    <r>
      <t xml:space="preserve">460-480 Benigno Blvd -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Route 42</t>
    </r>
  </si>
  <si>
    <t>NJ LAND - TERRITORY 17</t>
  </si>
  <si>
    <t>Borough of Palmyra</t>
  </si>
  <si>
    <t xml:space="preserve">BOROUGH OF PALMYRA </t>
  </si>
  <si>
    <t>"Palmyra Harbour"</t>
  </si>
  <si>
    <r>
      <t>PALMYRA SHARP PC -</t>
    </r>
    <r>
      <rPr>
        <b/>
        <sz val="10"/>
        <rFont val="Arial"/>
        <family val="2"/>
      </rPr>
      <t>3.61</t>
    </r>
    <r>
      <rPr>
        <sz val="10"/>
        <rFont val="Arial"/>
        <family val="2"/>
      </rPr>
      <t xml:space="preserve"> Acres</t>
    </r>
  </si>
  <si>
    <t>Palmyra</t>
  </si>
  <si>
    <t>Bellmawr</t>
  </si>
  <si>
    <t>Vacand Land</t>
  </si>
  <si>
    <t xml:space="preserve">     The Korman Co.</t>
  </si>
  <si>
    <t xml:space="preserve">  Bellmawr JV, LLP</t>
  </si>
  <si>
    <t>Total Acres</t>
  </si>
  <si>
    <t xml:space="preserve"> 2815 Grays Ferry Ave.(per city of PHL 2814 Grays Ferry)  In Line Stores:  2891-3021 Grays Ferry Avenue</t>
  </si>
  <si>
    <t xml:space="preserve">8-10 N. Main Street </t>
  </si>
  <si>
    <t>9-19 W. Butler Pike</t>
  </si>
  <si>
    <t xml:space="preserve">Protection  (security guards, alarms etc.) </t>
  </si>
  <si>
    <t xml:space="preserve">Unarmed Security Guard </t>
  </si>
  <si>
    <t>Unarmed Security Guard and Card Keys</t>
  </si>
  <si>
    <t>Protection class 03</t>
  </si>
  <si>
    <t>Parital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</si>
</sst>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0000"/>
    <numFmt numFmtId="166" formatCode="_(* #,##0_);_(* \(#,##0\);_(* &quot;-&quot;??_);_(@_)"/>
    <numFmt numFmtId="167" formatCode="_(&quot;$&quot;* #,##0_);_(&quot;$&quot;* \(#,##0\);_(&quot;$&quot;* &quot;-&quot;??_);_(@_)"/>
    <numFmt numFmtId="168" formatCode="_(* #,##0.000_);_(* \(#,##0.00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4"/>
      <color indexed="8"/>
      <name val="Arial"/>
      <family val="2"/>
    </font>
    <font>
      <b/>
      <sz val="18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0"/>
      <name val="Aptos"/>
      <family val="2"/>
    </font>
    <font>
      <sz val="12"/>
      <name val="Aptos"/>
      <family val="2"/>
    </font>
    <font>
      <b/>
      <sz val="16"/>
      <color rgb="FF173F35"/>
      <name val="Aptos"/>
      <family val="2"/>
    </font>
    <font>
      <i/>
      <sz val="10"/>
      <name val="Aptos"/>
      <family val="2"/>
    </font>
    <font>
      <b/>
      <sz val="10"/>
      <name val="Aptos"/>
      <family val="2"/>
    </font>
    <font>
      <sz val="10"/>
      <color theme="1"/>
      <name val="Aptos"/>
      <family val="2"/>
    </font>
    <font>
      <sz val="10"/>
      <color theme="1"/>
      <name val="Arial"/>
      <family val="2"/>
    </font>
    <font>
      <b/>
      <sz val="10"/>
      <color rgb="FFFF0000"/>
      <name val="Aptos"/>
      <family val="2"/>
    </font>
    <font>
      <sz val="10"/>
      <color rgb="FFC00000"/>
      <name val="Aptos"/>
      <family val="2"/>
    </font>
    <font>
      <b/>
      <sz val="8"/>
      <name val="Aptos"/>
      <family val="2"/>
    </font>
    <font>
      <b/>
      <sz val="10"/>
      <color theme="1"/>
      <name val="Aptos"/>
      <family val="2"/>
    </font>
    <font>
      <b/>
      <sz val="8"/>
      <color theme="0"/>
      <name val="Aptos"/>
      <family val="2"/>
    </font>
    <font>
      <b/>
      <i/>
      <sz val="11"/>
      <color theme="0"/>
      <name val="Aptos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rgb="FF173F3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Border="0" applyAlignment="0"/>
    <xf numFmtId="0" fontId="4" fillId="0" borderId="0"/>
    <xf numFmtId="4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2" borderId="1" applyNumberFormat="0" applyFont="0" applyAlignment="0" applyProtection="0"/>
    <xf numFmtId="0" fontId="3" fillId="0" borderId="0" applyNumberFormat="0" applyBorder="0" applyAlignment="0"/>
    <xf numFmtId="0" fontId="3" fillId="0" borderId="0" applyNumberFormat="0" applyBorder="0" applyAlignment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0" borderId="0">
      <alignment horizontal="left"/>
    </xf>
    <xf numFmtId="0" fontId="7" fillId="0" borderId="0"/>
    <xf numFmtId="0" fontId="6" fillId="0" borderId="3"/>
    <xf numFmtId="0" fontId="6" fillId="0" borderId="4">
      <alignment horizontal="center" wrapText="1"/>
    </xf>
    <xf numFmtId="0" fontId="8" fillId="0" borderId="6">
      <alignment horizontal="center"/>
    </xf>
    <xf numFmtId="44" fontId="1" fillId="0" borderId="0" applyFont="0" applyFill="0" applyBorder="0" applyAlignment="0" applyProtection="0"/>
    <xf numFmtId="14" fontId="9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6" fillId="0" borderId="7">
      <alignment horizontal="center"/>
    </xf>
    <xf numFmtId="0" fontId="2" fillId="0" borderId="0"/>
    <xf numFmtId="0" fontId="17" fillId="0" borderId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</cellStyleXfs>
  <cellXfs count="84">
    <xf numFmtId="0" fontId="0" fillId="0" borderId="0" xfId="0"/>
    <xf numFmtId="0" fontId="13" fillId="0" borderId="0" xfId="5" applyFont="1" applyAlignment="1">
      <alignment horizontal="left" vertical="center"/>
    </xf>
    <xf numFmtId="0" fontId="12" fillId="0" borderId="0" xfId="5" applyFont="1" applyAlignment="1">
      <alignment horizontal="left"/>
    </xf>
    <xf numFmtId="0" fontId="16" fillId="0" borderId="0" xfId="27" applyFont="1" applyAlignment="1">
      <alignment horizontal="left"/>
    </xf>
    <xf numFmtId="0" fontId="16" fillId="0" borderId="0" xfId="27" applyFont="1" applyAlignment="1">
      <alignment horizontal="center"/>
    </xf>
    <xf numFmtId="165" fontId="16" fillId="0" borderId="0" xfId="27" applyNumberFormat="1" applyFont="1" applyAlignment="1">
      <alignment horizontal="right"/>
    </xf>
    <xf numFmtId="165" fontId="16" fillId="0" borderId="0" xfId="27" applyNumberFormat="1" applyFont="1" applyAlignment="1">
      <alignment horizontal="left"/>
    </xf>
    <xf numFmtId="0" fontId="16" fillId="0" borderId="0" xfId="27" applyFont="1" applyAlignment="1">
      <alignment horizontal="right"/>
    </xf>
    <xf numFmtId="164" fontId="16" fillId="0" borderId="0" xfId="27" applyNumberFormat="1" applyFont="1" applyAlignment="1">
      <alignment horizontal="right"/>
    </xf>
    <xf numFmtId="1" fontId="16" fillId="0" borderId="0" xfId="27" applyNumberFormat="1" applyFont="1" applyAlignment="1">
      <alignment horizontal="center"/>
    </xf>
    <xf numFmtId="0" fontId="16" fillId="0" borderId="0" xfId="27" applyFont="1"/>
    <xf numFmtId="0" fontId="14" fillId="0" borderId="0" xfId="27" applyFont="1" applyAlignment="1">
      <alignment horizontal="left"/>
    </xf>
    <xf numFmtId="0" fontId="11" fillId="0" borderId="0" xfId="27" applyFont="1" applyAlignment="1">
      <alignment horizontal="center"/>
    </xf>
    <xf numFmtId="165" fontId="11" fillId="0" borderId="0" xfId="27" applyNumberFormat="1" applyFont="1" applyAlignment="1">
      <alignment horizontal="right"/>
    </xf>
    <xf numFmtId="165" fontId="11" fillId="0" borderId="0" xfId="27" applyNumberFormat="1" applyFont="1" applyAlignment="1">
      <alignment horizontal="centerContinuous"/>
    </xf>
    <xf numFmtId="165" fontId="11" fillId="0" borderId="0" xfId="27" applyNumberFormat="1" applyFont="1" applyAlignment="1">
      <alignment horizontal="center"/>
    </xf>
    <xf numFmtId="0" fontId="11" fillId="0" borderId="0" xfId="27" applyFont="1" applyAlignment="1">
      <alignment horizontal="left"/>
    </xf>
    <xf numFmtId="164" fontId="11" fillId="0" borderId="0" xfId="27" applyNumberFormat="1" applyFont="1" applyAlignment="1">
      <alignment horizontal="right"/>
    </xf>
    <xf numFmtId="0" fontId="19" fillId="0" borderId="0" xfId="27" applyFont="1"/>
    <xf numFmtId="0" fontId="16" fillId="0" borderId="2" xfId="27" applyFont="1" applyBorder="1" applyAlignment="1">
      <alignment horizontal="left"/>
    </xf>
    <xf numFmtId="0" fontId="16" fillId="0" borderId="2" xfId="27" applyFont="1" applyBorder="1" applyAlignment="1">
      <alignment horizontal="center"/>
    </xf>
    <xf numFmtId="165" fontId="16" fillId="0" borderId="2" xfId="27" applyNumberFormat="1" applyFont="1" applyBorder="1" applyAlignment="1">
      <alignment horizontal="right"/>
    </xf>
    <xf numFmtId="165" fontId="16" fillId="0" borderId="2" xfId="27" applyNumberFormat="1" applyFont="1" applyBorder="1" applyAlignment="1">
      <alignment horizontal="left"/>
    </xf>
    <xf numFmtId="0" fontId="16" fillId="0" borderId="2" xfId="27" applyFont="1" applyBorder="1" applyAlignment="1">
      <alignment horizontal="right"/>
    </xf>
    <xf numFmtId="1" fontId="16" fillId="0" borderId="2" xfId="27" applyNumberFormat="1" applyFont="1" applyBorder="1" applyAlignment="1">
      <alignment horizontal="center"/>
    </xf>
    <xf numFmtId="164" fontId="16" fillId="0" borderId="2" xfId="27" applyNumberFormat="1" applyFont="1" applyBorder="1" applyAlignment="1">
      <alignment horizontal="right"/>
    </xf>
    <xf numFmtId="0" fontId="22" fillId="3" borderId="2" xfId="27" applyFont="1" applyFill="1" applyBorder="1" applyAlignment="1">
      <alignment horizontal="center" vertical="center" wrapText="1"/>
    </xf>
    <xf numFmtId="165" fontId="22" fillId="3" borderId="2" xfId="27" applyNumberFormat="1" applyFont="1" applyFill="1" applyBorder="1" applyAlignment="1">
      <alignment horizontal="center" vertical="center" wrapText="1"/>
    </xf>
    <xf numFmtId="14" fontId="22" fillId="3" borderId="2" xfId="27" applyNumberFormat="1" applyFont="1" applyFill="1" applyBorder="1" applyAlignment="1">
      <alignment horizontal="center" vertical="center"/>
    </xf>
    <xf numFmtId="14" fontId="22" fillId="3" borderId="2" xfId="27" applyNumberFormat="1" applyFont="1" applyFill="1" applyBorder="1" applyAlignment="1">
      <alignment horizontal="center" vertical="center" wrapText="1"/>
    </xf>
    <xf numFmtId="0" fontId="22" fillId="3" borderId="8" xfId="27" applyFont="1" applyFill="1" applyBorder="1" applyAlignment="1">
      <alignment horizontal="center" vertical="center" wrapText="1"/>
    </xf>
    <xf numFmtId="164" fontId="15" fillId="5" borderId="2" xfId="27" applyNumberFormat="1" applyFont="1" applyFill="1" applyBorder="1" applyAlignment="1">
      <alignment horizontal="right"/>
    </xf>
    <xf numFmtId="164" fontId="20" fillId="5" borderId="2" xfId="27" applyNumberFormat="1" applyFont="1" applyFill="1" applyBorder="1" applyAlignment="1">
      <alignment horizontal="center" vertical="center" wrapText="1"/>
    </xf>
    <xf numFmtId="0" fontId="20" fillId="5" borderId="2" xfId="27" applyFont="1" applyFill="1" applyBorder="1" applyAlignment="1">
      <alignment horizontal="center" vertical="center" wrapText="1"/>
    </xf>
    <xf numFmtId="0" fontId="16" fillId="0" borderId="8" xfId="27" applyFont="1" applyBorder="1" applyAlignment="1">
      <alignment horizontal="right"/>
    </xf>
    <xf numFmtId="0" fontId="16" fillId="0" borderId="2" xfId="27" applyFont="1" applyBorder="1" applyAlignment="1">
      <alignment horizontal="left" wrapText="1"/>
    </xf>
    <xf numFmtId="49" fontId="25" fillId="0" borderId="2" xfId="22" applyNumberFormat="1" applyFont="1" applyBorder="1" applyAlignment="1">
      <alignment horizontal="center"/>
    </xf>
    <xf numFmtId="165" fontId="25" fillId="0" borderId="2" xfId="22" applyNumberFormat="1" applyFont="1" applyBorder="1" applyAlignment="1">
      <alignment horizontal="center"/>
    </xf>
    <xf numFmtId="0" fontId="25" fillId="0" borderId="2" xfId="22" applyFont="1" applyBorder="1" applyAlignment="1">
      <alignment horizontal="center"/>
    </xf>
    <xf numFmtId="37" fontId="25" fillId="0" borderId="2" xfId="23" applyNumberFormat="1" applyFont="1" applyFill="1" applyBorder="1" applyAlignment="1">
      <alignment horizontal="center" wrapText="1"/>
    </xf>
    <xf numFmtId="1" fontId="25" fillId="0" borderId="2" xfId="23" applyNumberFormat="1" applyFont="1" applyFill="1" applyBorder="1" applyAlignment="1">
      <alignment horizontal="center" wrapText="1"/>
    </xf>
    <xf numFmtId="166" fontId="16" fillId="0" borderId="2" xfId="28" applyNumberFormat="1" applyFont="1" applyBorder="1" applyAlignment="1">
      <alignment horizontal="right"/>
    </xf>
    <xf numFmtId="166" fontId="16" fillId="0" borderId="8" xfId="28" applyNumberFormat="1" applyFont="1" applyBorder="1" applyAlignment="1">
      <alignment horizontal="right"/>
    </xf>
    <xf numFmtId="44" fontId="16" fillId="0" borderId="8" xfId="29" applyFont="1" applyBorder="1" applyAlignment="1">
      <alignment horizontal="right"/>
    </xf>
    <xf numFmtId="0" fontId="16" fillId="0" borderId="2" xfId="27" applyFont="1" applyBorder="1" applyAlignment="1">
      <alignment horizontal="center" wrapText="1"/>
    </xf>
    <xf numFmtId="0" fontId="16" fillId="0" borderId="8" xfId="27" applyFont="1" applyBorder="1" applyAlignment="1">
      <alignment horizontal="center"/>
    </xf>
    <xf numFmtId="164" fontId="11" fillId="0" borderId="0" xfId="27" applyNumberFormat="1" applyFont="1" applyAlignment="1">
      <alignment horizontal="center"/>
    </xf>
    <xf numFmtId="164" fontId="16" fillId="0" borderId="2" xfId="27" applyNumberFormat="1" applyFont="1" applyBorder="1" applyAlignment="1">
      <alignment horizontal="center"/>
    </xf>
    <xf numFmtId="164" fontId="21" fillId="0" borderId="2" xfId="27" applyNumberFormat="1" applyFont="1" applyBorder="1" applyAlignment="1">
      <alignment horizontal="center"/>
    </xf>
    <xf numFmtId="9" fontId="16" fillId="0" borderId="2" xfId="27" applyNumberFormat="1" applyFont="1" applyBorder="1" applyAlignment="1">
      <alignment horizontal="center" wrapText="1"/>
    </xf>
    <xf numFmtId="167" fontId="16" fillId="0" borderId="8" xfId="29" applyNumberFormat="1" applyFont="1" applyBorder="1" applyAlignment="1">
      <alignment horizontal="right"/>
    </xf>
    <xf numFmtId="164" fontId="16" fillId="0" borderId="8" xfId="27" applyNumberFormat="1" applyFont="1" applyBorder="1" applyAlignment="1">
      <alignment horizontal="center"/>
    </xf>
    <xf numFmtId="0" fontId="21" fillId="0" borderId="2" xfId="27" applyFont="1" applyBorder="1" applyAlignment="1">
      <alignment horizontal="right"/>
    </xf>
    <xf numFmtId="0" fontId="25" fillId="0" borderId="2" xfId="5" applyFont="1" applyBorder="1" applyAlignment="1">
      <alignment horizontal="center" wrapText="1"/>
    </xf>
    <xf numFmtId="0" fontId="10" fillId="0" borderId="2" xfId="22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6" fillId="5" borderId="8" xfId="27" applyFont="1" applyFill="1" applyBorder="1"/>
    <xf numFmtId="0" fontId="16" fillId="5" borderId="5" xfId="27" applyFont="1" applyFill="1" applyBorder="1"/>
    <xf numFmtId="0" fontId="25" fillId="0" borderId="2" xfId="0" applyFont="1" applyBorder="1" applyAlignment="1">
      <alignment horizontal="center"/>
    </xf>
    <xf numFmtId="165" fontId="16" fillId="0" borderId="2" xfId="27" applyNumberFormat="1" applyFont="1" applyBorder="1" applyAlignment="1">
      <alignment horizontal="center"/>
    </xf>
    <xf numFmtId="165" fontId="10" fillId="0" borderId="2" xfId="22" applyNumberFormat="1" applyBorder="1" applyAlignment="1">
      <alignment horizontal="center"/>
    </xf>
    <xf numFmtId="0" fontId="21" fillId="0" borderId="2" xfId="27" applyFont="1" applyBorder="1" applyAlignment="1">
      <alignment horizontal="center"/>
    </xf>
    <xf numFmtId="165" fontId="21" fillId="0" borderId="2" xfId="27" applyNumberFormat="1" applyFont="1" applyBorder="1" applyAlignment="1">
      <alignment horizontal="center"/>
    </xf>
    <xf numFmtId="49" fontId="2" fillId="0" borderId="2" xfId="22" applyNumberFormat="1" applyFont="1" applyBorder="1" applyAlignment="1">
      <alignment horizontal="center"/>
    </xf>
    <xf numFmtId="0" fontId="2" fillId="0" borderId="2" xfId="22" applyFont="1" applyBorder="1" applyAlignment="1">
      <alignment horizontal="center"/>
    </xf>
    <xf numFmtId="165" fontId="2" fillId="0" borderId="2" xfId="22" applyNumberFormat="1" applyFont="1" applyBorder="1" applyAlignment="1">
      <alignment horizontal="center"/>
    </xf>
    <xf numFmtId="0" fontId="21" fillId="5" borderId="5" xfId="27" applyFont="1" applyFill="1" applyBorder="1" applyAlignment="1">
      <alignment horizontal="right"/>
    </xf>
    <xf numFmtId="1" fontId="21" fillId="5" borderId="5" xfId="27" applyNumberFormat="1" applyFont="1" applyFill="1" applyBorder="1"/>
    <xf numFmtId="0" fontId="0" fillId="0" borderId="2" xfId="0" applyBorder="1"/>
    <xf numFmtId="166" fontId="0" fillId="0" borderId="2" xfId="28" applyNumberFormat="1" applyFont="1" applyBorder="1"/>
    <xf numFmtId="168" fontId="0" fillId="0" borderId="2" xfId="28" applyNumberFormat="1" applyFont="1" applyBorder="1"/>
    <xf numFmtId="166" fontId="0" fillId="0" borderId="2" xfId="0" applyNumberFormat="1" applyBorder="1"/>
    <xf numFmtId="1" fontId="16" fillId="6" borderId="2" xfId="27" applyNumberFormat="1" applyFont="1" applyFill="1" applyBorder="1" applyAlignment="1">
      <alignment horizontal="center"/>
    </xf>
    <xf numFmtId="0" fontId="16" fillId="6" borderId="2" xfId="27" applyFont="1" applyFill="1" applyBorder="1" applyAlignment="1">
      <alignment horizontal="center"/>
    </xf>
    <xf numFmtId="3" fontId="25" fillId="6" borderId="2" xfId="23" applyNumberFormat="1" applyFont="1" applyFill="1" applyBorder="1" applyAlignment="1">
      <alignment horizontal="center" wrapText="1"/>
    </xf>
    <xf numFmtId="3" fontId="16" fillId="0" borderId="2" xfId="27" applyNumberFormat="1" applyFont="1" applyBorder="1" applyAlignment="1">
      <alignment horizontal="right"/>
    </xf>
    <xf numFmtId="0" fontId="10" fillId="0" borderId="0" xfId="22"/>
    <xf numFmtId="9" fontId="25" fillId="0" borderId="2" xfId="23" applyNumberFormat="1" applyFont="1" applyFill="1" applyBorder="1" applyAlignment="1">
      <alignment horizontal="center" wrapText="1"/>
    </xf>
    <xf numFmtId="9" fontId="2" fillId="0" borderId="2" xfId="23" applyNumberFormat="1" applyFont="1" applyFill="1" applyBorder="1" applyAlignment="1">
      <alignment horizontal="center" wrapText="1"/>
    </xf>
    <xf numFmtId="44" fontId="16" fillId="0" borderId="2" xfId="29" applyFont="1" applyBorder="1" applyAlignment="1">
      <alignment horizontal="right"/>
    </xf>
    <xf numFmtId="0" fontId="16" fillId="5" borderId="8" xfId="27" applyFont="1" applyFill="1" applyBorder="1" applyAlignment="1">
      <alignment horizontal="center"/>
    </xf>
    <xf numFmtId="0" fontId="16" fillId="5" borderId="5" xfId="27" applyFont="1" applyFill="1" applyBorder="1" applyAlignment="1">
      <alignment horizontal="center"/>
    </xf>
    <xf numFmtId="0" fontId="18" fillId="0" borderId="0" xfId="27" applyFont="1" applyAlignment="1">
      <alignment horizontal="left"/>
    </xf>
    <xf numFmtId="0" fontId="23" fillId="4" borderId="2" xfId="27" applyFont="1" applyFill="1" applyBorder="1" applyAlignment="1">
      <alignment horizontal="center"/>
    </xf>
  </cellXfs>
  <cellStyles count="30">
    <cellStyle name="Comma" xfId="28" builtinId="3"/>
    <cellStyle name="Comma 2" xfId="1" xr:uid="{00000000-0005-0000-0000-000000000000}"/>
    <cellStyle name="Comma 2 2" xfId="13" xr:uid="{00000000-0005-0000-0000-000001000000}"/>
    <cellStyle name="Comma 3" xfId="6" xr:uid="{00000000-0005-0000-0000-000002000000}"/>
    <cellStyle name="Comma 4" xfId="11" xr:uid="{00000000-0005-0000-0000-000003000000}"/>
    <cellStyle name="Comma 5" xfId="23" xr:uid="{00000000-0005-0000-0000-000004000000}"/>
    <cellStyle name="Currency" xfId="29" builtinId="4"/>
    <cellStyle name="Currency 2" xfId="4" xr:uid="{00000000-0005-0000-0000-000006000000}"/>
    <cellStyle name="Currency 3" xfId="10" xr:uid="{00000000-0005-0000-0000-000007000000}"/>
    <cellStyle name="Currency 3 2" xfId="14" xr:uid="{00000000-0005-0000-0000-000008000000}"/>
    <cellStyle name="Currency 4" xfId="20" xr:uid="{00000000-0005-0000-0000-000009000000}"/>
    <cellStyle name="Currency 5" xfId="24" xr:uid="{00000000-0005-0000-0000-00000A000000}"/>
    <cellStyle name="Date" xfId="21" xr:uid="{00000000-0005-0000-0000-00000B000000}"/>
    <cellStyle name="Exposure Custom Header" xfId="16" xr:uid="{00000000-0005-0000-0000-00000C000000}"/>
    <cellStyle name="Exposure Template Heading" xfId="15" xr:uid="{00000000-0005-0000-0000-00000D000000}"/>
    <cellStyle name="Exposure Template Row Headings" xfId="17" xr:uid="{00000000-0005-0000-0000-00000E000000}"/>
    <cellStyle name="Exposure Template Table Heading" xfId="18" xr:uid="{00000000-0005-0000-0000-00000F000000}"/>
    <cellStyle name="Exposure Template Table Summary" xfId="25" xr:uid="{00000000-0005-0000-0000-000010000000}"/>
    <cellStyle name="Exposure Template Titles" xfId="19" xr:uid="{00000000-0005-0000-0000-000011000000}"/>
    <cellStyle name="Normal" xfId="0" builtinId="0"/>
    <cellStyle name="Normal 10" xfId="26" xr:uid="{00000000-0005-0000-0000-000013000000}"/>
    <cellStyle name="Normal 2" xfId="3" xr:uid="{00000000-0005-0000-0000-000014000000}"/>
    <cellStyle name="Normal 2 2" xfId="5" xr:uid="{00000000-0005-0000-0000-000015000000}"/>
    <cellStyle name="Normal 3" xfId="12" xr:uid="{00000000-0005-0000-0000-000016000000}"/>
    <cellStyle name="Normal 4" xfId="22" xr:uid="{00000000-0005-0000-0000-000017000000}"/>
    <cellStyle name="Normal 5" xfId="27" xr:uid="{53DABE1C-B3F6-4BCB-8935-A5D3D915C75B}"/>
    <cellStyle name="Note 2" xfId="7" xr:uid="{00000000-0005-0000-0000-000018000000}"/>
    <cellStyle name="STYLE2" xfId="8" xr:uid="{00000000-0005-0000-0000-000019000000}"/>
    <cellStyle name="STYLE3" xfId="2" xr:uid="{00000000-0005-0000-0000-00001A000000}"/>
    <cellStyle name="STYLE4" xfId="9" xr:uid="{00000000-0005-0000-0000-00001B000000}"/>
  </cellStyles>
  <dxfs count="0"/>
  <tableStyles count="0" defaultTableStyle="TableStyleMedium9" defaultPivotStyle="PivotStyleLight16"/>
  <colors>
    <mruColors>
      <color rgb="FF173F35"/>
      <color rgb="FFDFEC8A"/>
      <color rgb="FFBED3E4"/>
      <color rgb="FF8096B2"/>
      <color rgb="FF002C77"/>
      <color rgb="FFFFF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nv_rep\Reporting\Inventory%20Aging\1999\Jan%202000\4%20WK%20-%20Jan%202000%20%20INVENTORY%20AG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-LS-FP-02\Underwriting$\123DATA\CORPINS\Property\2007\modeling%20project\Golden%20West%20File%20converted%20to%20Wachovia%20Forma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003%20Projects\Carvill%20-%20Mitsui%2015-08-03%20BT\03%20Data%20Manipulation\03%20Excel%2015-12-03\02%20Carvills%20Little%20Helper%20FL%2015-12-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p\GPP1-Global%20Property%20Practice\Clients%20&amp;%20Prospects\Colonial%20Properties%20Trust\2013-06\SOV%20Coloni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nPlan\Davitt\Reports\Formats\Masters\Debrvet\2nd\Reports_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grant.baxter\Local%20Settings\Temporary%20Internet%20Files\Content.Outlook\K9TFF897\New%20model%20v3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northcu\OneDrive%20-%20MMC\Desktop\__Current%20Projects\Mutual%20Projects\Secondary%20Risk%20Characteristics\AIR\Testing_SRC_JN_Input%20Template%20AIR%20Touchstone%20v9.0%20CAT%20Model%20September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nPlan\Davitt\Temp\trend\Wklyfcst\Database\Feeds\OR_Template\OR_Report_1-6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-LS-FP-02\Underwriting$\DOCUME~1\lxjohn\LOCALS~1\Temp\FMIT_Exhibits_20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rsh--c.na18.content.force.com/sfc/servlet.shepherd/version/download/Input%20Template%20AIR%20CAT%20Model%20August%202016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sc\Inventory%20%20AP\inv_rep\Reporting\Markdown%20By%20Type\Vendor%20Allowanc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OR\Cap\01Track\Summary\Jan%2002%20304I%20Year%20En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FL%20-%20Marketing\Accounts\Graham%20Companies%20-%20April%201\2024-25\Values\Commercial\2023%2004%20SOV%20Commercial%20All%20Locations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Exec Summary"/>
      <sheetName val="Cover Memo"/>
      <sheetName val="AGING SCHEDULE"/>
      <sheetName val="Inputs"/>
      <sheetName val="1999"/>
      <sheetName val="1998"/>
      <sheetName val="1997"/>
      <sheetName val="1996"/>
      <sheetName val="Construction Codes"/>
      <sheetName val="Country Codes"/>
      <sheetName val="Occupancy Codes"/>
      <sheetName val=""/>
      <sheetName val="Rpt Builder"/>
      <sheetName val="Subper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yMiscExport"/>
      <sheetName val="Sheet1"/>
      <sheetName val="Results Summary"/>
      <sheetName val="Occupancy Codes"/>
      <sheetName val="Construction Codes"/>
      <sheetName val="Country Codes"/>
      <sheetName val="Location Fields Template"/>
      <sheetName val="DO NOT TOUCH"/>
      <sheetName val="Lookups"/>
      <sheetName val="Exposure_Options"/>
      <sheetName val="Results_Summary"/>
      <sheetName val="Occupancy_Codes"/>
      <sheetName val="Construction_Codes"/>
      <sheetName val="Country_Codes"/>
      <sheetName val="Location_Fields_Template"/>
      <sheetName val="DO_NOT_TOUCH"/>
      <sheetName val="Dropdown Lists"/>
      <sheetName val="make_elt"/>
      <sheetName val="KF Prep Sheet"/>
      <sheetName val="Codes"/>
      <sheetName val="Assumptions"/>
      <sheetName val="Lists"/>
      <sheetName val="Pricing"/>
      <sheetName val="Key Findings"/>
      <sheetName val="Statement of Values"/>
      <sheetName val="COPE Information"/>
      <sheetName val="ES Prep Sheet"/>
      <sheetName val="Config"/>
      <sheetName val="make_epcurve"/>
      <sheetName val="Members"/>
      <sheetName val="Curtis Johnson ELT"/>
      <sheetName val="SoV"/>
      <sheetName val="Location Model Results"/>
      <sheetName val="ReadMe"/>
      <sheetName val="Vineyard EP Data"/>
    </sheetNames>
    <sheetDataSet>
      <sheetData sheetId="0" refreshError="1"/>
      <sheetData sheetId="1">
        <row r="8">
          <cell r="A8" t="str">
            <v>BL</v>
          </cell>
          <cell r="B8" t="str">
            <v>Leased</v>
          </cell>
        </row>
        <row r="9">
          <cell r="A9" t="str">
            <v>GL</v>
          </cell>
          <cell r="B9" t="str">
            <v>Owned</v>
          </cell>
        </row>
        <row r="10">
          <cell r="A10" t="str">
            <v>ID</v>
          </cell>
          <cell r="B10" t="str">
            <v>Owned/Leased</v>
          </cell>
        </row>
        <row r="11">
          <cell r="A11" t="str">
            <v>IL</v>
          </cell>
          <cell r="B11" t="str">
            <v>Leased</v>
          </cell>
        </row>
        <row r="12">
          <cell r="A12" t="str">
            <v>IND</v>
          </cell>
          <cell r="B12" t="str">
            <v>Leased</v>
          </cell>
        </row>
        <row r="13">
          <cell r="A13" t="str">
            <v>O</v>
          </cell>
          <cell r="B13" t="str">
            <v>Owned</v>
          </cell>
        </row>
        <row r="14">
          <cell r="A14" t="str">
            <v>OL</v>
          </cell>
          <cell r="B14" t="str">
            <v>Leased</v>
          </cell>
        </row>
        <row r="15">
          <cell r="A15" t="str">
            <v>SFL</v>
          </cell>
          <cell r="B15" t="str">
            <v>Leased</v>
          </cell>
        </row>
        <row r="20">
          <cell r="A20" t="str">
            <v>BRK</v>
          </cell>
          <cell r="B20" t="str">
            <v>Brick (Class C)</v>
          </cell>
          <cell r="C20" t="str">
            <v>2- Joisted Masonry</v>
          </cell>
        </row>
        <row r="21">
          <cell r="A21" t="str">
            <v>BRK-SR</v>
          </cell>
          <cell r="B21" t="str">
            <v>Brick</v>
          </cell>
          <cell r="C21" t="str">
            <v>2- Joisted Masonry</v>
          </cell>
        </row>
        <row r="22">
          <cell r="A22" t="str">
            <v>CON</v>
          </cell>
          <cell r="B22" t="str">
            <v>Reinforced Concrete Frame (Class B)</v>
          </cell>
          <cell r="C22" t="str">
            <v>6- Fire Resistive</v>
          </cell>
        </row>
        <row r="23">
          <cell r="A23" t="str">
            <v>CON/STL</v>
          </cell>
          <cell r="B23" t="str">
            <v>Concete/Metal Frame Walls</v>
          </cell>
          <cell r="C23" t="str">
            <v>4- Masonry Non-Combustible</v>
          </cell>
        </row>
        <row r="24">
          <cell r="A24" t="str">
            <v>FSF</v>
          </cell>
          <cell r="B24" t="str">
            <v>Fireproofed Steel Frame (Class A)</v>
          </cell>
          <cell r="C24" t="str">
            <v>6- Fire Resistive</v>
          </cell>
        </row>
        <row r="25">
          <cell r="A25" t="str">
            <v>MBW</v>
          </cell>
          <cell r="B25" t="str">
            <v>Masonry Bearing Walls (Class C)</v>
          </cell>
          <cell r="C25" t="str">
            <v>4- Masonry Non-Combustible</v>
          </cell>
        </row>
        <row r="26">
          <cell r="A26" t="str">
            <v>MBW/BRK</v>
          </cell>
          <cell r="B26" t="str">
            <v>Masonry Bearing Walls/Brick</v>
          </cell>
          <cell r="C26" t="str">
            <v>4- Masonry Non-Combustible</v>
          </cell>
        </row>
        <row r="27">
          <cell r="A27" t="str">
            <v>MBW/STL</v>
          </cell>
          <cell r="B27" t="str">
            <v>Masonry Bearing Walls/Metal Frame Walls</v>
          </cell>
          <cell r="C27" t="str">
            <v>4- Masonry Non-Combustible</v>
          </cell>
        </row>
        <row r="28">
          <cell r="A28" t="str">
            <v>STL</v>
          </cell>
          <cell r="B28" t="str">
            <v>Metal Frame Walls (Class S)</v>
          </cell>
          <cell r="C28" t="str">
            <v>3- Non Combustible</v>
          </cell>
        </row>
        <row r="29">
          <cell r="A29" t="str">
            <v>STL/BRK</v>
          </cell>
          <cell r="B29" t="str">
            <v>Metal Frame Walls/Brick</v>
          </cell>
          <cell r="C29" t="str">
            <v>4- Masonry Non-Combustible</v>
          </cell>
        </row>
        <row r="30">
          <cell r="A30" t="str">
            <v>STL/MBW</v>
          </cell>
          <cell r="B30" t="str">
            <v>Metal Frame Walls/Masonry Bearing Walls</v>
          </cell>
          <cell r="C30" t="str">
            <v>4- Masonry Non-Combustible</v>
          </cell>
        </row>
        <row r="31">
          <cell r="A31" t="str">
            <v>WF</v>
          </cell>
          <cell r="B31" t="str">
            <v>Wood Frame (Class D)</v>
          </cell>
          <cell r="C31" t="str">
            <v>1- Frame</v>
          </cell>
        </row>
        <row r="32">
          <cell r="A32" t="str">
            <v>WF/MBW</v>
          </cell>
          <cell r="B32" t="str">
            <v>Wood Frame/Masonry Bearing Walls</v>
          </cell>
          <cell r="C32" t="str">
            <v>2- Joisted Masonry</v>
          </cell>
        </row>
        <row r="33">
          <cell r="A33" t="str">
            <v>WF/STL</v>
          </cell>
          <cell r="B33" t="str">
            <v>Wood Frame/Metal Frame Walls</v>
          </cell>
          <cell r="C33" t="str">
            <v>1- Frame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 &amp; Timelines"/>
      <sheetName val="Milestone Details"/>
      <sheetName val="Status Notes"/>
      <sheetName val="QA List"/>
      <sheetName val="FL - Exposure"/>
      <sheetName val="Account Exposure"/>
      <sheetName val="CRESTA Exposure"/>
      <sheetName val="QA - Key Losses FL"/>
      <sheetName val="Key Losses"/>
      <sheetName val="EP Curves Port OEP"/>
      <sheetName val="EP Curves Port AEP"/>
      <sheetName val="EP Curves PreCat Net - OEP"/>
      <sheetName val="EP Curves PostCat Net - OEP"/>
      <sheetName val="AAL by ACCOUNT"/>
      <sheetName val="QA-One Account"/>
      <sheetName val="Compare source data and EDM"/>
      <sheetName val="AAL by CRESTA - QA"/>
      <sheetName val="AAL by CRESTA"/>
      <sheetName val="Treaty QA"/>
      <sheetName val="Codes"/>
      <sheetName val="Admin_&amp;_Timelines"/>
      <sheetName val="Milestone_Details"/>
      <sheetName val="Status_Notes"/>
      <sheetName val="QA_List"/>
      <sheetName val="FL_-_Exposure"/>
      <sheetName val="Account_Exposure"/>
      <sheetName val="CRESTA_Exposure"/>
      <sheetName val="QA_-_Key_Losses_FL"/>
      <sheetName val="Key_Losses"/>
      <sheetName val="EP_Curves_Port_OEP"/>
      <sheetName val="EP_Curves_Port_AEP"/>
      <sheetName val="EP_Curves_PreCat_Net_-_OEP"/>
      <sheetName val="EP_Curves_PostCat_Net_-_OEP"/>
      <sheetName val="AAL_by_ACCOUNT"/>
      <sheetName val="QA-One_Account"/>
      <sheetName val="Compare_source_data_and_EDM"/>
      <sheetName val="AAL_by_CRESTA_-_QA"/>
      <sheetName val="AAL_by_CRESTA"/>
      <sheetName val="Treaty_QA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">
          <cell r="A2" t="str">
            <v>Roger Arnemann</v>
          </cell>
          <cell r="C2" t="str">
            <v>Matthew Grant</v>
          </cell>
          <cell r="E2" t="str">
            <v>Single Site Analysis</v>
          </cell>
          <cell r="G2" t="str">
            <v>DLM</v>
          </cell>
          <cell r="I2" t="str">
            <v>Multi-peril</v>
          </cell>
          <cell r="K2" t="str">
            <v>FF EQ</v>
          </cell>
          <cell r="M2" t="str">
            <v>Multi</v>
          </cell>
          <cell r="O2" t="str">
            <v>US</v>
          </cell>
          <cell r="Q2" t="str">
            <v xml:space="preserve"> 4.2</v>
          </cell>
          <cell r="S2" t="str">
            <v xml:space="preserve">Expected </v>
          </cell>
          <cell r="U2" t="str">
            <v>Yes</v>
          </cell>
          <cell r="W2" t="str">
            <v>Excel</v>
          </cell>
          <cell r="Y2">
            <v>37622</v>
          </cell>
          <cell r="AA2" t="str">
            <v>ACE</v>
          </cell>
          <cell r="AC2" t="str">
            <v>USD</v>
          </cell>
          <cell r="AE2" t="str">
            <v>ATC</v>
          </cell>
          <cell r="AG2" t="str">
            <v>ASLAB -01</v>
          </cell>
          <cell r="AI2" t="str">
            <v>Residential</v>
          </cell>
          <cell r="AT2" t="str">
            <v>AEP</v>
          </cell>
        </row>
        <row r="3">
          <cell r="A3" t="str">
            <v>Bevis Tetlow</v>
          </cell>
          <cell r="C3" t="str">
            <v>Fathia Grandjean</v>
          </cell>
          <cell r="E3" t="str">
            <v>Portfolio Risk Assessment</v>
          </cell>
          <cell r="G3" t="str">
            <v>ALM</v>
          </cell>
          <cell r="I3" t="str">
            <v>Earthquake</v>
          </cell>
          <cell r="K3" t="str">
            <v>Storm Surge</v>
          </cell>
          <cell r="M3" t="str">
            <v>UK</v>
          </cell>
          <cell r="O3" t="str">
            <v>California</v>
          </cell>
          <cell r="Q3" t="str">
            <v>4.2 Sp1</v>
          </cell>
          <cell r="S3" t="str">
            <v>Distributed</v>
          </cell>
          <cell r="U3" t="str">
            <v>No</v>
          </cell>
          <cell r="W3" t="str">
            <v>Access</v>
          </cell>
          <cell r="Y3">
            <v>37623</v>
          </cell>
          <cell r="AA3" t="str">
            <v>ACE EUROPEAN MARKETS</v>
          </cell>
          <cell r="AC3" t="str">
            <v>GBP</v>
          </cell>
          <cell r="AE3" t="str">
            <v>RMS</v>
          </cell>
          <cell r="AG3" t="str">
            <v>ASLAB -02</v>
          </cell>
          <cell r="AI3" t="str">
            <v>Commerical</v>
          </cell>
          <cell r="AT3" t="str">
            <v>OEP</v>
          </cell>
        </row>
        <row r="4">
          <cell r="A4" t="str">
            <v>Adam Alvarez</v>
          </cell>
          <cell r="C4" t="str">
            <v>Jason Futers</v>
          </cell>
          <cell r="E4" t="str">
            <v>Mortgage Portfolio Analysis</v>
          </cell>
          <cell r="G4" t="str">
            <v>DLM - IFM</v>
          </cell>
          <cell r="I4" t="str">
            <v>Hurricane</v>
          </cell>
          <cell r="K4" t="str">
            <v>Demand Surge</v>
          </cell>
          <cell r="M4" t="str">
            <v>US</v>
          </cell>
          <cell r="O4" t="str">
            <v>Pacific Northwest</v>
          </cell>
          <cell r="Q4" t="str">
            <v>4.2 Sp2</v>
          </cell>
          <cell r="W4" t="str">
            <v>Text</v>
          </cell>
          <cell r="Y4">
            <v>37624</v>
          </cell>
          <cell r="AA4" t="str">
            <v>AEGIS</v>
          </cell>
          <cell r="AC4" t="str">
            <v>EUR</v>
          </cell>
          <cell r="AE4" t="str">
            <v>RMS-IND</v>
          </cell>
          <cell r="AG4" t="str">
            <v>ASLAB -03</v>
          </cell>
          <cell r="AI4" t="str">
            <v>Industrial</v>
          </cell>
        </row>
        <row r="5">
          <cell r="A5" t="str">
            <v>Alexandra Karoutsou</v>
          </cell>
          <cell r="C5" t="str">
            <v>Anne Other</v>
          </cell>
          <cell r="E5" t="str">
            <v>Corporate Risk Analysis</v>
          </cell>
          <cell r="I5" t="str">
            <v>Windstorm</v>
          </cell>
          <cell r="M5" t="str">
            <v>Australia</v>
          </cell>
          <cell r="O5" t="str">
            <v>New Madrid</v>
          </cell>
          <cell r="Q5" t="str">
            <v>4.3 430</v>
          </cell>
          <cell r="W5" t="str">
            <v>EDM</v>
          </cell>
          <cell r="Y5">
            <v>37625</v>
          </cell>
          <cell r="AA5" t="str">
            <v>AGROTIKI INSURANCE CO.</v>
          </cell>
          <cell r="AC5" t="str">
            <v>YEN</v>
          </cell>
          <cell r="AE5" t="str">
            <v>ISO</v>
          </cell>
          <cell r="AG5" t="str">
            <v>ASLAB -04</v>
          </cell>
          <cell r="AI5" t="str">
            <v>All Lines</v>
          </cell>
        </row>
        <row r="6">
          <cell r="A6" t="str">
            <v>Julia Grant</v>
          </cell>
          <cell r="E6" t="str">
            <v>Data/Process Audit</v>
          </cell>
          <cell r="I6" t="str">
            <v>River Flood</v>
          </cell>
          <cell r="M6" t="str">
            <v>Belgium</v>
          </cell>
          <cell r="O6" t="str">
            <v>Caribbean</v>
          </cell>
          <cell r="Q6" t="str">
            <v>4.3 Sp1</v>
          </cell>
          <cell r="Y6">
            <v>37626</v>
          </cell>
          <cell r="AA6" t="str">
            <v>ALEA</v>
          </cell>
          <cell r="AC6" t="str">
            <v>DKK</v>
          </cell>
          <cell r="AE6" t="str">
            <v>EURO</v>
          </cell>
          <cell r="AG6" t="str">
            <v>ASLAB -05</v>
          </cell>
        </row>
        <row r="7">
          <cell r="A7" t="str">
            <v>Helen Wilson</v>
          </cell>
          <cell r="E7" t="str">
            <v>Loss Costs Analysis</v>
          </cell>
          <cell r="I7" t="str">
            <v>Terrorism</v>
          </cell>
          <cell r="M7" t="str">
            <v>Canada</v>
          </cell>
          <cell r="O7" t="str">
            <v>Hawaii</v>
          </cell>
          <cell r="Q7" t="str">
            <v>4.3 Sp2</v>
          </cell>
          <cell r="Y7">
            <v>37627</v>
          </cell>
          <cell r="AA7" t="str">
            <v>ALLIANZ</v>
          </cell>
          <cell r="AC7" t="str">
            <v>SEK</v>
          </cell>
          <cell r="AG7" t="str">
            <v>ASLAB -06</v>
          </cell>
        </row>
        <row r="8">
          <cell r="E8" t="str">
            <v>Underwriting Guidelines Development</v>
          </cell>
          <cell r="I8" t="str">
            <v>Tornado</v>
          </cell>
          <cell r="M8" t="str">
            <v>Caribbean</v>
          </cell>
          <cell r="O8" t="str">
            <v>Great Basin</v>
          </cell>
          <cell r="Y8">
            <v>37628</v>
          </cell>
          <cell r="AA8" t="str">
            <v>ALPHA INSURANCE COMPANY</v>
          </cell>
          <cell r="AC8" t="str">
            <v>MULTI</v>
          </cell>
          <cell r="AG8" t="str">
            <v>ASLAB -07</v>
          </cell>
        </row>
        <row r="9">
          <cell r="E9" t="str">
            <v>CAT Bond Analysis</v>
          </cell>
          <cell r="I9" t="str">
            <v>Workers Comp</v>
          </cell>
          <cell r="M9" t="str">
            <v>Chile</v>
          </cell>
          <cell r="O9" t="str">
            <v>Midwest</v>
          </cell>
          <cell r="Y9">
            <v>37629</v>
          </cell>
          <cell r="AA9" t="str">
            <v>ALWEN HOUGH AND JOHNSON</v>
          </cell>
          <cell r="AG9" t="str">
            <v>ASLAB -08</v>
          </cell>
        </row>
        <row r="10">
          <cell r="E10" t="str">
            <v>Strategic Capital Allocation</v>
          </cell>
          <cell r="M10" t="str">
            <v>Colombia</v>
          </cell>
          <cell r="O10" t="str">
            <v>Northeast US</v>
          </cell>
          <cell r="Y10">
            <v>37630</v>
          </cell>
          <cell r="AA10" t="str">
            <v>AMLIN</v>
          </cell>
          <cell r="AG10" t="str">
            <v>ASLAB -09</v>
          </cell>
        </row>
        <row r="11">
          <cell r="E11" t="str">
            <v>Reinsurance Analysis</v>
          </cell>
          <cell r="M11" t="str">
            <v>Denmark</v>
          </cell>
          <cell r="O11" t="str">
            <v>Northern Rockies</v>
          </cell>
          <cell r="Y11">
            <v>37631</v>
          </cell>
          <cell r="AA11" t="str">
            <v>AON</v>
          </cell>
          <cell r="AG11" t="str">
            <v>ASLAB -10</v>
          </cell>
        </row>
        <row r="12">
          <cell r="E12" t="str">
            <v>Worker's Comp</v>
          </cell>
          <cell r="M12" t="str">
            <v>France</v>
          </cell>
          <cell r="O12" t="str">
            <v>Southern Rockies</v>
          </cell>
          <cell r="Y12">
            <v>37632</v>
          </cell>
          <cell r="AA12" t="str">
            <v>ASCOT</v>
          </cell>
          <cell r="AG12" t="str">
            <v>ASLAB -11</v>
          </cell>
        </row>
        <row r="13">
          <cell r="E13" t="str">
            <v>MBS PML Analysis</v>
          </cell>
          <cell r="M13" t="str">
            <v>Germany</v>
          </cell>
          <cell r="O13" t="str">
            <v>Western Canada</v>
          </cell>
          <cell r="Y13">
            <v>37633</v>
          </cell>
          <cell r="AA13" t="str">
            <v>ASPIS PRONOIA</v>
          </cell>
          <cell r="AG13" t="str">
            <v>ASLAB -12</v>
          </cell>
        </row>
        <row r="14">
          <cell r="E14" t="str">
            <v>M&amp;A Consulting</v>
          </cell>
          <cell r="M14" t="str">
            <v>Greece</v>
          </cell>
          <cell r="O14" t="str">
            <v>Eastern Canada</v>
          </cell>
          <cell r="Y14">
            <v>37634</v>
          </cell>
          <cell r="AA14" t="str">
            <v>ATRIUM SYNDICATE</v>
          </cell>
          <cell r="AG14" t="str">
            <v>Roger Arnemann</v>
          </cell>
        </row>
        <row r="15">
          <cell r="E15" t="str">
            <v>New Business Formation Consulting</v>
          </cell>
          <cell r="M15" t="str">
            <v>Guam</v>
          </cell>
          <cell r="O15" t="str">
            <v>Mid Atlantic</v>
          </cell>
          <cell r="Y15">
            <v>37635</v>
          </cell>
          <cell r="AA15" t="str">
            <v>AXA CESSIONS</v>
          </cell>
          <cell r="AG15" t="str">
            <v>Bevis Tetlow</v>
          </cell>
        </row>
        <row r="16">
          <cell r="E16" t="str">
            <v>Data Stamping</v>
          </cell>
          <cell r="M16" t="str">
            <v>Indonesia</v>
          </cell>
          <cell r="O16" t="str">
            <v>South East</v>
          </cell>
          <cell r="Y16">
            <v>37636</v>
          </cell>
          <cell r="AA16" t="str">
            <v>AXA RE</v>
          </cell>
          <cell r="AG16" t="str">
            <v>Adam Alvarez</v>
          </cell>
        </row>
        <row r="17">
          <cell r="E17" t="str">
            <v>Other</v>
          </cell>
          <cell r="M17" t="str">
            <v>Ireland</v>
          </cell>
          <cell r="O17" t="str">
            <v>Florida</v>
          </cell>
          <cell r="Y17">
            <v>37637</v>
          </cell>
          <cell r="AA17" t="str">
            <v>AXIS SPECIALTY</v>
          </cell>
          <cell r="AG17" t="str">
            <v>Alexandra Karoutsou</v>
          </cell>
        </row>
        <row r="18">
          <cell r="M18" t="str">
            <v>Italy</v>
          </cell>
          <cell r="O18" t="str">
            <v>Texas</v>
          </cell>
          <cell r="Y18">
            <v>37638</v>
          </cell>
          <cell r="AA18" t="str">
            <v>BEAZLEY</v>
          </cell>
          <cell r="AG18" t="str">
            <v>Julia Grant</v>
          </cell>
        </row>
        <row r="19">
          <cell r="M19" t="str">
            <v>Japan</v>
          </cell>
          <cell r="O19" t="str">
            <v>Europe</v>
          </cell>
          <cell r="Y19">
            <v>37639</v>
          </cell>
          <cell r="AA19" t="str">
            <v>BENFIELD GREIG</v>
          </cell>
          <cell r="AG19" t="str">
            <v>Anne Other</v>
          </cell>
        </row>
        <row r="20">
          <cell r="M20" t="str">
            <v>Luxembourg</v>
          </cell>
          <cell r="Y20">
            <v>37640</v>
          </cell>
          <cell r="AA20" t="str">
            <v>BNP PARIBAS</v>
          </cell>
        </row>
        <row r="21">
          <cell r="M21" t="str">
            <v>Mexico</v>
          </cell>
          <cell r="Y21">
            <v>37641</v>
          </cell>
          <cell r="AA21" t="str">
            <v>BRIT</v>
          </cell>
        </row>
        <row r="22">
          <cell r="M22" t="str">
            <v>Netherlands</v>
          </cell>
          <cell r="Y22">
            <v>37642</v>
          </cell>
          <cell r="AA22" t="str">
            <v>CAPITA</v>
          </cell>
        </row>
        <row r="23">
          <cell r="M23" t="str">
            <v>New Zealand</v>
          </cell>
          <cell r="Y23">
            <v>37643</v>
          </cell>
          <cell r="AA23" t="str">
            <v>CARVILL REINSURANCE BROKERS</v>
          </cell>
        </row>
        <row r="24">
          <cell r="M24" t="str">
            <v>Philippines</v>
          </cell>
          <cell r="Y24">
            <v>37644</v>
          </cell>
          <cell r="AA24" t="str">
            <v>CCR</v>
          </cell>
        </row>
        <row r="25">
          <cell r="M25" t="str">
            <v>Portugal</v>
          </cell>
          <cell r="Y25">
            <v>37645</v>
          </cell>
          <cell r="AA25" t="str">
            <v>CENTRE SOLUTIONS</v>
          </cell>
        </row>
        <row r="26">
          <cell r="M26" t="str">
            <v>Puerto Rico</v>
          </cell>
          <cell r="Y26">
            <v>37646</v>
          </cell>
          <cell r="AA26" t="str">
            <v>CIS (COOP)</v>
          </cell>
        </row>
        <row r="27">
          <cell r="M27" t="str">
            <v>Sweden</v>
          </cell>
          <cell r="Y27">
            <v>37647</v>
          </cell>
          <cell r="AA27" t="str">
            <v>CLAL INSURANCE</v>
          </cell>
        </row>
        <row r="28">
          <cell r="M28" t="str">
            <v>Taiwan</v>
          </cell>
          <cell r="Y28">
            <v>37648</v>
          </cell>
          <cell r="AA28" t="str">
            <v>COLOGNE</v>
          </cell>
        </row>
        <row r="29">
          <cell r="M29" t="str">
            <v>Turkey</v>
          </cell>
          <cell r="Y29">
            <v>37649</v>
          </cell>
          <cell r="AA29" t="str">
            <v>CONVERIUM</v>
          </cell>
        </row>
        <row r="30">
          <cell r="Y30">
            <v>37650</v>
          </cell>
          <cell r="AA30" t="str">
            <v>COOPER GAY</v>
          </cell>
        </row>
        <row r="31">
          <cell r="Y31">
            <v>37651</v>
          </cell>
          <cell r="AA31" t="str">
            <v>CORNHILL</v>
          </cell>
        </row>
        <row r="32">
          <cell r="Y32">
            <v>37652</v>
          </cell>
          <cell r="AA32" t="str">
            <v>DANISH RE</v>
          </cell>
        </row>
        <row r="33">
          <cell r="Y33">
            <v>37653</v>
          </cell>
          <cell r="AA33" t="str">
            <v>ERC</v>
          </cell>
        </row>
        <row r="34">
          <cell r="Y34">
            <v>37654</v>
          </cell>
          <cell r="AA34" t="str">
            <v>ETHNIKI INSURANCE COMPANY</v>
          </cell>
        </row>
        <row r="35">
          <cell r="Y35">
            <v>37655</v>
          </cell>
          <cell r="AA35" t="str">
            <v>EUCLIDEAN</v>
          </cell>
        </row>
        <row r="36">
          <cell r="Y36">
            <v>37656</v>
          </cell>
          <cell r="AA36" t="str">
            <v>FARADAY</v>
          </cell>
        </row>
        <row r="37">
          <cell r="Y37">
            <v>37657</v>
          </cell>
          <cell r="AA37" t="str">
            <v>FITCH RATINGS LIMITED</v>
          </cell>
        </row>
        <row r="38">
          <cell r="Y38">
            <v>37658</v>
          </cell>
          <cell r="AA38" t="str">
            <v>FSA</v>
          </cell>
        </row>
        <row r="39">
          <cell r="Y39">
            <v>37659</v>
          </cell>
          <cell r="AA39" t="str">
            <v>GENERAL COLOGNE</v>
          </cell>
        </row>
        <row r="40">
          <cell r="Y40">
            <v>37660</v>
          </cell>
          <cell r="AA40" t="str">
            <v>GENERALI</v>
          </cell>
        </row>
        <row r="41">
          <cell r="Y41">
            <v>37661</v>
          </cell>
          <cell r="AA41" t="str">
            <v>GUY CARPENTER</v>
          </cell>
        </row>
        <row r="42">
          <cell r="Y42">
            <v>37662</v>
          </cell>
          <cell r="AA42" t="str">
            <v>HALIFAX</v>
          </cell>
        </row>
        <row r="43">
          <cell r="Y43">
            <v>37663</v>
          </cell>
          <cell r="AA43" t="str">
            <v>HEATH LAMBERT</v>
          </cell>
        </row>
        <row r="44">
          <cell r="Y44">
            <v>37664</v>
          </cell>
          <cell r="AA44" t="str">
            <v>HERITAGE</v>
          </cell>
        </row>
        <row r="45">
          <cell r="Y45">
            <v>37665</v>
          </cell>
          <cell r="AA45" t="str">
            <v>HISCOX</v>
          </cell>
        </row>
        <row r="46">
          <cell r="Y46">
            <v>37666</v>
          </cell>
          <cell r="AA46" t="str">
            <v>HSBC</v>
          </cell>
        </row>
        <row r="47">
          <cell r="Y47">
            <v>37667</v>
          </cell>
          <cell r="AA47" t="str">
            <v>INTERAMERICAN INSURANCE CO.</v>
          </cell>
        </row>
        <row r="48">
          <cell r="Y48">
            <v>37668</v>
          </cell>
          <cell r="AA48" t="str">
            <v>INTERISK - JAPAN</v>
          </cell>
        </row>
        <row r="49">
          <cell r="Y49">
            <v>37669</v>
          </cell>
          <cell r="AA49" t="str">
            <v>KILN</v>
          </cell>
        </row>
        <row r="50">
          <cell r="Y50">
            <v>37670</v>
          </cell>
          <cell r="AA50" t="str">
            <v>LAFARGE</v>
          </cell>
        </row>
        <row r="51">
          <cell r="Y51">
            <v>37671</v>
          </cell>
          <cell r="AA51" t="str">
            <v>LIBERTY SYNDICATES</v>
          </cell>
        </row>
        <row r="52">
          <cell r="Y52">
            <v>37672</v>
          </cell>
          <cell r="AA52" t="str">
            <v>LIMIT UNDERWRITING LTD</v>
          </cell>
        </row>
        <row r="53">
          <cell r="Y53">
            <v>37673</v>
          </cell>
          <cell r="AA53" t="str">
            <v>MANAGING AGENCY PARTNERS</v>
          </cell>
        </row>
        <row r="54">
          <cell r="Y54">
            <v>37674</v>
          </cell>
          <cell r="AA54" t="str">
            <v>MAPFRE</v>
          </cell>
        </row>
        <row r="55">
          <cell r="Y55">
            <v>37675</v>
          </cell>
          <cell r="AA55" t="str">
            <v>MARKEL</v>
          </cell>
        </row>
        <row r="56">
          <cell r="Y56">
            <v>37676</v>
          </cell>
          <cell r="AA56" t="str">
            <v>MARSH SA (PARIS)</v>
          </cell>
        </row>
        <row r="57">
          <cell r="Y57">
            <v>37677</v>
          </cell>
          <cell r="AA57" t="str">
            <v>MERRILL LYNCH - JAPAN</v>
          </cell>
        </row>
        <row r="58">
          <cell r="Y58">
            <v>37678</v>
          </cell>
          <cell r="AA58" t="str">
            <v>MIZUHO_DL FINANCIAL TECHNOLOGY (IBJ) - JAPAN</v>
          </cell>
        </row>
        <row r="59">
          <cell r="Y59">
            <v>37679</v>
          </cell>
          <cell r="AA59" t="str">
            <v>MS FRONTIER</v>
          </cell>
        </row>
        <row r="60">
          <cell r="Y60">
            <v>37680</v>
          </cell>
          <cell r="AA60" t="str">
            <v>MUNICH RE</v>
          </cell>
        </row>
        <row r="61">
          <cell r="Y61">
            <v>37681</v>
          </cell>
          <cell r="AA61" t="str">
            <v>NEXGEN</v>
          </cell>
        </row>
        <row r="62">
          <cell r="Y62">
            <v>37682</v>
          </cell>
          <cell r="AA62" t="str">
            <v>NFU AND AVON</v>
          </cell>
        </row>
        <row r="63">
          <cell r="Y63">
            <v>37683</v>
          </cell>
          <cell r="AA63" t="str">
            <v>NIPPON KOA</v>
          </cell>
        </row>
        <row r="64">
          <cell r="Y64">
            <v>37684</v>
          </cell>
          <cell r="AA64" t="str">
            <v>NISSAY DOWA</v>
          </cell>
        </row>
        <row r="65">
          <cell r="Y65">
            <v>37685</v>
          </cell>
          <cell r="AA65" t="str">
            <v>OYO-RMS</v>
          </cell>
        </row>
        <row r="66">
          <cell r="Y66">
            <v>37686</v>
          </cell>
          <cell r="AA66" t="str">
            <v>PHOENIX INSURANCE CO.</v>
          </cell>
        </row>
        <row r="67">
          <cell r="Y67">
            <v>37687</v>
          </cell>
          <cell r="AA67" t="str">
            <v>PLATINUM</v>
          </cell>
        </row>
        <row r="68">
          <cell r="Y68">
            <v>37688</v>
          </cell>
          <cell r="AA68" t="str">
            <v>QBE INTERNATIONAL</v>
          </cell>
        </row>
        <row r="69">
          <cell r="Y69">
            <v>37689</v>
          </cell>
          <cell r="AA69" t="str">
            <v>RENAISSANCE RE</v>
          </cell>
        </row>
        <row r="70">
          <cell r="Y70">
            <v>37690</v>
          </cell>
          <cell r="AA70" t="str">
            <v>ROYAL SUN ALLIANCE</v>
          </cell>
        </row>
        <row r="71">
          <cell r="Y71">
            <v>37691</v>
          </cell>
          <cell r="AA71" t="str">
            <v>SAHAR-ZION</v>
          </cell>
        </row>
        <row r="72">
          <cell r="Y72">
            <v>37692</v>
          </cell>
          <cell r="AA72" t="str">
            <v>SCOR</v>
          </cell>
        </row>
        <row r="73">
          <cell r="Y73">
            <v>37693</v>
          </cell>
          <cell r="AA73" t="str">
            <v>SECURA</v>
          </cell>
        </row>
        <row r="74">
          <cell r="Y74">
            <v>37694</v>
          </cell>
          <cell r="AA74" t="str">
            <v>SOCIETE GENERALE</v>
          </cell>
        </row>
        <row r="75">
          <cell r="Y75">
            <v>37695</v>
          </cell>
          <cell r="AA75" t="str">
            <v>SOMPO</v>
          </cell>
        </row>
        <row r="76">
          <cell r="Y76">
            <v>37696</v>
          </cell>
          <cell r="AA76" t="str">
            <v>ST PAUL</v>
          </cell>
        </row>
        <row r="77">
          <cell r="Y77">
            <v>37697</v>
          </cell>
          <cell r="AA77" t="str">
            <v>SVB</v>
          </cell>
        </row>
        <row r="78">
          <cell r="Y78">
            <v>37698</v>
          </cell>
          <cell r="AA78" t="str">
            <v>SWISS RE</v>
          </cell>
        </row>
        <row r="79">
          <cell r="Y79">
            <v>37699</v>
          </cell>
          <cell r="AA79" t="str">
            <v>TALBOT</v>
          </cell>
        </row>
        <row r="80">
          <cell r="Y80">
            <v>37700</v>
          </cell>
          <cell r="AA80" t="str">
            <v>TOKIO-MARINE</v>
          </cell>
        </row>
        <row r="81">
          <cell r="Y81">
            <v>37701</v>
          </cell>
          <cell r="AA81" t="str">
            <v>TRENWICK</v>
          </cell>
        </row>
        <row r="82">
          <cell r="Y82">
            <v>37702</v>
          </cell>
          <cell r="AA82" t="str">
            <v>VICTORIA RE</v>
          </cell>
        </row>
        <row r="83">
          <cell r="Y83">
            <v>37703</v>
          </cell>
          <cell r="AA83" t="str">
            <v>WELLINGTON</v>
          </cell>
        </row>
        <row r="84">
          <cell r="Y84">
            <v>37704</v>
          </cell>
          <cell r="AA84" t="str">
            <v>WHITE MOUNTAINS</v>
          </cell>
        </row>
        <row r="85">
          <cell r="Y85">
            <v>37705</v>
          </cell>
          <cell r="AA85" t="str">
            <v>WILLIS</v>
          </cell>
        </row>
        <row r="86">
          <cell r="Y86">
            <v>37706</v>
          </cell>
          <cell r="AA86" t="str">
            <v>WINTERTHUR</v>
          </cell>
        </row>
        <row r="87">
          <cell r="Y87">
            <v>37707</v>
          </cell>
          <cell r="AA87" t="str">
            <v>XL LE MANS RE</v>
          </cell>
        </row>
        <row r="88">
          <cell r="Y88">
            <v>37708</v>
          </cell>
          <cell r="AA88" t="str">
            <v>XL WINTERTHUR</v>
          </cell>
        </row>
        <row r="89">
          <cell r="Y89">
            <v>37709</v>
          </cell>
          <cell r="AA89" t="str">
            <v>XL/B'BANK</v>
          </cell>
        </row>
        <row r="90">
          <cell r="Y90">
            <v>37710</v>
          </cell>
          <cell r="AA90" t="str">
            <v>YASUDA</v>
          </cell>
        </row>
        <row r="91">
          <cell r="Y91">
            <v>37711</v>
          </cell>
          <cell r="AA91" t="str">
            <v>ZURICH</v>
          </cell>
        </row>
        <row r="92">
          <cell r="Y92">
            <v>37712</v>
          </cell>
        </row>
        <row r="93">
          <cell r="Y93">
            <v>37713</v>
          </cell>
        </row>
        <row r="94">
          <cell r="Y94">
            <v>37714</v>
          </cell>
        </row>
        <row r="95">
          <cell r="Y95">
            <v>37715</v>
          </cell>
        </row>
        <row r="96">
          <cell r="Y96">
            <v>37716</v>
          </cell>
        </row>
        <row r="97">
          <cell r="Y97">
            <v>37717</v>
          </cell>
        </row>
        <row r="98">
          <cell r="Y98">
            <v>37718</v>
          </cell>
        </row>
        <row r="99">
          <cell r="Y99">
            <v>37719</v>
          </cell>
        </row>
        <row r="100">
          <cell r="Y100">
            <v>37720</v>
          </cell>
        </row>
        <row r="101">
          <cell r="Y101">
            <v>37721</v>
          </cell>
        </row>
        <row r="102">
          <cell r="Y102">
            <v>37722</v>
          </cell>
        </row>
        <row r="103">
          <cell r="Y103">
            <v>37723</v>
          </cell>
        </row>
        <row r="104">
          <cell r="Y104">
            <v>37724</v>
          </cell>
        </row>
        <row r="105">
          <cell r="Y105">
            <v>37725</v>
          </cell>
        </row>
        <row r="106">
          <cell r="Y106">
            <v>37726</v>
          </cell>
        </row>
        <row r="107">
          <cell r="Y107">
            <v>37727</v>
          </cell>
        </row>
        <row r="108">
          <cell r="Y108">
            <v>37728</v>
          </cell>
        </row>
        <row r="109">
          <cell r="Y109">
            <v>37729</v>
          </cell>
        </row>
        <row r="110">
          <cell r="Y110">
            <v>37730</v>
          </cell>
        </row>
        <row r="111">
          <cell r="Y111">
            <v>37731</v>
          </cell>
        </row>
        <row r="112">
          <cell r="Y112">
            <v>37732</v>
          </cell>
        </row>
        <row r="113">
          <cell r="Y113">
            <v>37733</v>
          </cell>
        </row>
        <row r="114">
          <cell r="Y114">
            <v>37734</v>
          </cell>
        </row>
        <row r="115">
          <cell r="Y115">
            <v>37735</v>
          </cell>
        </row>
        <row r="116">
          <cell r="Y116">
            <v>37736</v>
          </cell>
        </row>
        <row r="117">
          <cell r="Y117">
            <v>37737</v>
          </cell>
        </row>
        <row r="118">
          <cell r="Y118">
            <v>37738</v>
          </cell>
        </row>
        <row r="119">
          <cell r="Y119">
            <v>37739</v>
          </cell>
        </row>
        <row r="120">
          <cell r="Y120">
            <v>37740</v>
          </cell>
        </row>
        <row r="121">
          <cell r="Y121">
            <v>37741</v>
          </cell>
        </row>
        <row r="122">
          <cell r="Y122">
            <v>37742</v>
          </cell>
        </row>
        <row r="123">
          <cell r="Y123">
            <v>37743</v>
          </cell>
        </row>
        <row r="124">
          <cell r="Y124">
            <v>37744</v>
          </cell>
        </row>
        <row r="125">
          <cell r="Y125">
            <v>37745</v>
          </cell>
        </row>
        <row r="126">
          <cell r="Y126">
            <v>37746</v>
          </cell>
        </row>
        <row r="127">
          <cell r="Y127">
            <v>37747</v>
          </cell>
        </row>
        <row r="128">
          <cell r="Y128">
            <v>37748</v>
          </cell>
        </row>
        <row r="129">
          <cell r="Y129">
            <v>37749</v>
          </cell>
        </row>
        <row r="130">
          <cell r="Y130">
            <v>37750</v>
          </cell>
        </row>
        <row r="131">
          <cell r="Y131">
            <v>37751</v>
          </cell>
        </row>
        <row r="132">
          <cell r="Y132">
            <v>37752</v>
          </cell>
        </row>
        <row r="133">
          <cell r="Y133">
            <v>37753</v>
          </cell>
        </row>
        <row r="134">
          <cell r="Y134">
            <v>37754</v>
          </cell>
        </row>
        <row r="135">
          <cell r="Y135">
            <v>37755</v>
          </cell>
        </row>
        <row r="136">
          <cell r="Y136">
            <v>37756</v>
          </cell>
        </row>
        <row r="137">
          <cell r="Y137">
            <v>37757</v>
          </cell>
        </row>
        <row r="138">
          <cell r="Y138">
            <v>37758</v>
          </cell>
        </row>
        <row r="139">
          <cell r="Y139">
            <v>37759</v>
          </cell>
        </row>
        <row r="140">
          <cell r="Y140">
            <v>37760</v>
          </cell>
        </row>
        <row r="141">
          <cell r="Y141">
            <v>37761</v>
          </cell>
        </row>
        <row r="142">
          <cell r="Y142">
            <v>37762</v>
          </cell>
        </row>
        <row r="143">
          <cell r="Y143">
            <v>37763</v>
          </cell>
        </row>
        <row r="144">
          <cell r="Y144">
            <v>37764</v>
          </cell>
        </row>
        <row r="145">
          <cell r="Y145">
            <v>37765</v>
          </cell>
        </row>
        <row r="146">
          <cell r="Y146">
            <v>37766</v>
          </cell>
        </row>
        <row r="147">
          <cell r="Y147">
            <v>37767</v>
          </cell>
        </row>
        <row r="148">
          <cell r="Y148">
            <v>37768</v>
          </cell>
        </row>
        <row r="149">
          <cell r="Y149">
            <v>37769</v>
          </cell>
        </row>
        <row r="150">
          <cell r="Y150">
            <v>37770</v>
          </cell>
        </row>
        <row r="151">
          <cell r="Y151">
            <v>37771</v>
          </cell>
        </row>
        <row r="152">
          <cell r="Y152">
            <v>37772</v>
          </cell>
        </row>
        <row r="153">
          <cell r="Y153">
            <v>37773</v>
          </cell>
        </row>
        <row r="154">
          <cell r="Y154">
            <v>37774</v>
          </cell>
        </row>
        <row r="155">
          <cell r="Y155">
            <v>37775</v>
          </cell>
        </row>
        <row r="156">
          <cell r="Y156">
            <v>37776</v>
          </cell>
        </row>
        <row r="157">
          <cell r="Y157">
            <v>37777</v>
          </cell>
        </row>
        <row r="158">
          <cell r="Y158">
            <v>37778</v>
          </cell>
        </row>
        <row r="159">
          <cell r="Y159">
            <v>37779</v>
          </cell>
        </row>
        <row r="160">
          <cell r="Y160">
            <v>37780</v>
          </cell>
        </row>
        <row r="161">
          <cell r="Y161">
            <v>37781</v>
          </cell>
        </row>
        <row r="162">
          <cell r="Y162">
            <v>37782</v>
          </cell>
        </row>
        <row r="163">
          <cell r="Y163">
            <v>37783</v>
          </cell>
        </row>
        <row r="164">
          <cell r="Y164">
            <v>37784</v>
          </cell>
        </row>
        <row r="165">
          <cell r="Y165">
            <v>37785</v>
          </cell>
        </row>
        <row r="166">
          <cell r="Y166">
            <v>37786</v>
          </cell>
        </row>
        <row r="167">
          <cell r="Y167">
            <v>37787</v>
          </cell>
        </row>
        <row r="168">
          <cell r="Y168">
            <v>37788</v>
          </cell>
        </row>
        <row r="169">
          <cell r="Y169">
            <v>37789</v>
          </cell>
        </row>
        <row r="170">
          <cell r="Y170">
            <v>37790</v>
          </cell>
        </row>
        <row r="171">
          <cell r="Y171">
            <v>37791</v>
          </cell>
        </row>
        <row r="172">
          <cell r="Y172">
            <v>37792</v>
          </cell>
        </row>
        <row r="173">
          <cell r="Y173">
            <v>37793</v>
          </cell>
        </row>
        <row r="174">
          <cell r="Y174">
            <v>37794</v>
          </cell>
        </row>
        <row r="175">
          <cell r="Y175">
            <v>37795</v>
          </cell>
        </row>
        <row r="176">
          <cell r="Y176">
            <v>37796</v>
          </cell>
        </row>
        <row r="177">
          <cell r="Y177">
            <v>37797</v>
          </cell>
        </row>
        <row r="178">
          <cell r="Y178">
            <v>37798</v>
          </cell>
        </row>
        <row r="179">
          <cell r="Y179">
            <v>37799</v>
          </cell>
        </row>
        <row r="180">
          <cell r="Y180">
            <v>37800</v>
          </cell>
        </row>
        <row r="181">
          <cell r="Y181">
            <v>37801</v>
          </cell>
        </row>
        <row r="182">
          <cell r="Y182">
            <v>37802</v>
          </cell>
        </row>
        <row r="183">
          <cell r="Y183">
            <v>37803</v>
          </cell>
        </row>
        <row r="184">
          <cell r="Y184">
            <v>37804</v>
          </cell>
        </row>
        <row r="185">
          <cell r="Y185">
            <v>37805</v>
          </cell>
        </row>
        <row r="186">
          <cell r="Y186">
            <v>37806</v>
          </cell>
        </row>
        <row r="187">
          <cell r="Y187">
            <v>37807</v>
          </cell>
        </row>
        <row r="188">
          <cell r="Y188">
            <v>37808</v>
          </cell>
        </row>
        <row r="189">
          <cell r="Y189">
            <v>37809</v>
          </cell>
        </row>
        <row r="190">
          <cell r="Y190">
            <v>37810</v>
          </cell>
        </row>
        <row r="191">
          <cell r="Y191">
            <v>37811</v>
          </cell>
        </row>
        <row r="192">
          <cell r="Y192">
            <v>37812</v>
          </cell>
        </row>
        <row r="193">
          <cell r="Y193">
            <v>37813</v>
          </cell>
        </row>
        <row r="194">
          <cell r="Y194">
            <v>37814</v>
          </cell>
        </row>
        <row r="195">
          <cell r="Y195">
            <v>37815</v>
          </cell>
        </row>
        <row r="196">
          <cell r="Y196">
            <v>37816</v>
          </cell>
        </row>
        <row r="197">
          <cell r="Y197">
            <v>37817</v>
          </cell>
        </row>
        <row r="198">
          <cell r="Y198">
            <v>37818</v>
          </cell>
        </row>
        <row r="199">
          <cell r="Y199">
            <v>37819</v>
          </cell>
        </row>
        <row r="200">
          <cell r="Y200">
            <v>37820</v>
          </cell>
        </row>
        <row r="201">
          <cell r="Y201">
            <v>37821</v>
          </cell>
        </row>
        <row r="202">
          <cell r="Y202">
            <v>37822</v>
          </cell>
        </row>
        <row r="203">
          <cell r="Y203">
            <v>37823</v>
          </cell>
        </row>
        <row r="204">
          <cell r="Y204">
            <v>37824</v>
          </cell>
        </row>
        <row r="205">
          <cell r="Y205">
            <v>37825</v>
          </cell>
        </row>
        <row r="206">
          <cell r="Y206">
            <v>37826</v>
          </cell>
        </row>
        <row r="207">
          <cell r="Y207">
            <v>37827</v>
          </cell>
        </row>
        <row r="208">
          <cell r="Y208">
            <v>37828</v>
          </cell>
        </row>
        <row r="209">
          <cell r="Y209">
            <v>37829</v>
          </cell>
        </row>
        <row r="210">
          <cell r="Y210">
            <v>37830</v>
          </cell>
        </row>
        <row r="211">
          <cell r="Y211">
            <v>37831</v>
          </cell>
        </row>
        <row r="212">
          <cell r="Y212">
            <v>37832</v>
          </cell>
        </row>
        <row r="213">
          <cell r="Y213">
            <v>37833</v>
          </cell>
        </row>
        <row r="214">
          <cell r="Y214">
            <v>37834</v>
          </cell>
        </row>
        <row r="215">
          <cell r="Y215">
            <v>37835</v>
          </cell>
        </row>
        <row r="216">
          <cell r="Y216">
            <v>37836</v>
          </cell>
        </row>
        <row r="217">
          <cell r="Y217">
            <v>37837</v>
          </cell>
        </row>
        <row r="218">
          <cell r="Y218">
            <v>37838</v>
          </cell>
        </row>
        <row r="219">
          <cell r="Y219">
            <v>37839</v>
          </cell>
        </row>
        <row r="220">
          <cell r="Y220">
            <v>37840</v>
          </cell>
        </row>
        <row r="221">
          <cell r="Y221">
            <v>37841</v>
          </cell>
        </row>
        <row r="222">
          <cell r="Y222">
            <v>37842</v>
          </cell>
        </row>
        <row r="223">
          <cell r="Y223">
            <v>37843</v>
          </cell>
        </row>
        <row r="224">
          <cell r="Y224">
            <v>37844</v>
          </cell>
        </row>
        <row r="225">
          <cell r="Y225">
            <v>37845</v>
          </cell>
        </row>
        <row r="226">
          <cell r="Y226">
            <v>37846</v>
          </cell>
        </row>
        <row r="227">
          <cell r="Y227">
            <v>37847</v>
          </cell>
        </row>
        <row r="228">
          <cell r="Y228">
            <v>37848</v>
          </cell>
        </row>
        <row r="229">
          <cell r="Y229">
            <v>37849</v>
          </cell>
        </row>
        <row r="230">
          <cell r="Y230">
            <v>37850</v>
          </cell>
        </row>
        <row r="231">
          <cell r="Y231">
            <v>37851</v>
          </cell>
        </row>
        <row r="232">
          <cell r="Y232">
            <v>37852</v>
          </cell>
        </row>
        <row r="233">
          <cell r="Y233">
            <v>37853</v>
          </cell>
        </row>
        <row r="234">
          <cell r="Y234">
            <v>37854</v>
          </cell>
        </row>
        <row r="235">
          <cell r="Y235">
            <v>37855</v>
          </cell>
        </row>
        <row r="236">
          <cell r="Y236">
            <v>37856</v>
          </cell>
        </row>
        <row r="237">
          <cell r="Y237">
            <v>37857</v>
          </cell>
        </row>
        <row r="238">
          <cell r="Y238">
            <v>37858</v>
          </cell>
        </row>
        <row r="239">
          <cell r="Y239">
            <v>37859</v>
          </cell>
        </row>
        <row r="240">
          <cell r="Y240">
            <v>37860</v>
          </cell>
        </row>
        <row r="241">
          <cell r="Y241">
            <v>37861</v>
          </cell>
        </row>
        <row r="242">
          <cell r="Y242">
            <v>37862</v>
          </cell>
        </row>
        <row r="243">
          <cell r="Y243">
            <v>37863</v>
          </cell>
        </row>
        <row r="244">
          <cell r="Y244">
            <v>37864</v>
          </cell>
        </row>
        <row r="245">
          <cell r="Y245">
            <v>37865</v>
          </cell>
        </row>
        <row r="246">
          <cell r="Y246">
            <v>37866</v>
          </cell>
        </row>
        <row r="247">
          <cell r="Y247">
            <v>37867</v>
          </cell>
        </row>
        <row r="248">
          <cell r="Y248">
            <v>37868</v>
          </cell>
        </row>
        <row r="249">
          <cell r="Y249">
            <v>37869</v>
          </cell>
        </row>
        <row r="250">
          <cell r="Y250">
            <v>37870</v>
          </cell>
        </row>
        <row r="251">
          <cell r="Y251">
            <v>37871</v>
          </cell>
        </row>
        <row r="252">
          <cell r="Y252">
            <v>37872</v>
          </cell>
        </row>
        <row r="253">
          <cell r="Y253">
            <v>37873</v>
          </cell>
        </row>
        <row r="254">
          <cell r="Y254">
            <v>37874</v>
          </cell>
        </row>
        <row r="255">
          <cell r="Y255">
            <v>37875</v>
          </cell>
        </row>
        <row r="256">
          <cell r="Y256">
            <v>37876</v>
          </cell>
        </row>
        <row r="257">
          <cell r="Y257">
            <v>37877</v>
          </cell>
        </row>
        <row r="258">
          <cell r="Y258">
            <v>37878</v>
          </cell>
        </row>
        <row r="259">
          <cell r="Y259">
            <v>37879</v>
          </cell>
        </row>
        <row r="260">
          <cell r="Y260">
            <v>37880</v>
          </cell>
        </row>
        <row r="261">
          <cell r="Y261">
            <v>37881</v>
          </cell>
        </row>
        <row r="262">
          <cell r="Y262">
            <v>37882</v>
          </cell>
        </row>
        <row r="263">
          <cell r="Y263">
            <v>37883</v>
          </cell>
        </row>
        <row r="264">
          <cell r="Y264">
            <v>37884</v>
          </cell>
        </row>
        <row r="265">
          <cell r="Y265">
            <v>37885</v>
          </cell>
        </row>
        <row r="266">
          <cell r="Y266">
            <v>37886</v>
          </cell>
        </row>
        <row r="267">
          <cell r="Y267">
            <v>37887</v>
          </cell>
        </row>
        <row r="268">
          <cell r="Y268">
            <v>37888</v>
          </cell>
        </row>
        <row r="269">
          <cell r="Y269">
            <v>37889</v>
          </cell>
        </row>
        <row r="270">
          <cell r="Y270">
            <v>37890</v>
          </cell>
        </row>
        <row r="271">
          <cell r="Y271">
            <v>37891</v>
          </cell>
        </row>
        <row r="272">
          <cell r="Y272">
            <v>37892</v>
          </cell>
        </row>
        <row r="273">
          <cell r="Y273">
            <v>37893</v>
          </cell>
        </row>
        <row r="274">
          <cell r="Y274">
            <v>37894</v>
          </cell>
        </row>
        <row r="275">
          <cell r="Y275">
            <v>37895</v>
          </cell>
        </row>
        <row r="276">
          <cell r="Y276">
            <v>37896</v>
          </cell>
        </row>
        <row r="277">
          <cell r="Y277">
            <v>37897</v>
          </cell>
        </row>
        <row r="278">
          <cell r="Y278">
            <v>37898</v>
          </cell>
        </row>
        <row r="279">
          <cell r="Y279">
            <v>37899</v>
          </cell>
        </row>
        <row r="280">
          <cell r="Y280">
            <v>37900</v>
          </cell>
        </row>
        <row r="281">
          <cell r="Y281">
            <v>37901</v>
          </cell>
        </row>
        <row r="282">
          <cell r="Y282">
            <v>37902</v>
          </cell>
        </row>
        <row r="283">
          <cell r="Y283">
            <v>37903</v>
          </cell>
        </row>
        <row r="284">
          <cell r="Y284">
            <v>37904</v>
          </cell>
        </row>
        <row r="285">
          <cell r="Y285">
            <v>37905</v>
          </cell>
        </row>
        <row r="286">
          <cell r="Y286">
            <v>37906</v>
          </cell>
        </row>
        <row r="287">
          <cell r="Y287">
            <v>37907</v>
          </cell>
        </row>
        <row r="288">
          <cell r="Y288">
            <v>37908</v>
          </cell>
        </row>
        <row r="289">
          <cell r="Y289">
            <v>37909</v>
          </cell>
        </row>
        <row r="290">
          <cell r="Y290">
            <v>37910</v>
          </cell>
        </row>
        <row r="291">
          <cell r="Y291">
            <v>37911</v>
          </cell>
        </row>
        <row r="292">
          <cell r="Y292">
            <v>37912</v>
          </cell>
        </row>
        <row r="293">
          <cell r="Y293">
            <v>37913</v>
          </cell>
        </row>
        <row r="294">
          <cell r="Y294">
            <v>37914</v>
          </cell>
        </row>
        <row r="295">
          <cell r="Y295">
            <v>37915</v>
          </cell>
        </row>
        <row r="296">
          <cell r="Y296">
            <v>37916</v>
          </cell>
        </row>
        <row r="297">
          <cell r="Y297">
            <v>37917</v>
          </cell>
        </row>
        <row r="298">
          <cell r="Y298">
            <v>37918</v>
          </cell>
        </row>
        <row r="299">
          <cell r="Y299">
            <v>37919</v>
          </cell>
        </row>
        <row r="300">
          <cell r="Y300">
            <v>37920</v>
          </cell>
        </row>
        <row r="301">
          <cell r="Y301">
            <v>37921</v>
          </cell>
        </row>
        <row r="302">
          <cell r="Y302">
            <v>37922</v>
          </cell>
        </row>
        <row r="303">
          <cell r="Y303">
            <v>37923</v>
          </cell>
        </row>
        <row r="304">
          <cell r="Y304">
            <v>37924</v>
          </cell>
        </row>
        <row r="305">
          <cell r="Y305">
            <v>37925</v>
          </cell>
        </row>
        <row r="306">
          <cell r="Y306">
            <v>37926</v>
          </cell>
        </row>
        <row r="307">
          <cell r="Y307">
            <v>37927</v>
          </cell>
        </row>
        <row r="308">
          <cell r="Y308">
            <v>37928</v>
          </cell>
        </row>
        <row r="309">
          <cell r="Y309">
            <v>37929</v>
          </cell>
        </row>
        <row r="310">
          <cell r="Y310">
            <v>37930</v>
          </cell>
        </row>
        <row r="311">
          <cell r="Y311">
            <v>37931</v>
          </cell>
        </row>
        <row r="312">
          <cell r="Y312">
            <v>37932</v>
          </cell>
        </row>
        <row r="313">
          <cell r="Y313">
            <v>37933</v>
          </cell>
        </row>
        <row r="314">
          <cell r="Y314">
            <v>37934</v>
          </cell>
        </row>
        <row r="315">
          <cell r="Y315">
            <v>37935</v>
          </cell>
        </row>
        <row r="316">
          <cell r="Y316">
            <v>37936</v>
          </cell>
        </row>
        <row r="317">
          <cell r="Y317">
            <v>37937</v>
          </cell>
        </row>
        <row r="318">
          <cell r="Y318">
            <v>37938</v>
          </cell>
        </row>
        <row r="319">
          <cell r="Y319">
            <v>37939</v>
          </cell>
        </row>
        <row r="320">
          <cell r="Y320">
            <v>37940</v>
          </cell>
        </row>
        <row r="321">
          <cell r="Y321">
            <v>37941</v>
          </cell>
        </row>
        <row r="322">
          <cell r="Y322">
            <v>37942</v>
          </cell>
        </row>
        <row r="323">
          <cell r="Y323">
            <v>37943</v>
          </cell>
        </row>
        <row r="324">
          <cell r="Y324">
            <v>37944</v>
          </cell>
        </row>
        <row r="325">
          <cell r="Y325">
            <v>37945</v>
          </cell>
        </row>
        <row r="326">
          <cell r="Y326">
            <v>37946</v>
          </cell>
        </row>
        <row r="327">
          <cell r="Y327">
            <v>37947</v>
          </cell>
        </row>
        <row r="328">
          <cell r="Y328">
            <v>37948</v>
          </cell>
        </row>
        <row r="329">
          <cell r="Y329">
            <v>37949</v>
          </cell>
        </row>
        <row r="330">
          <cell r="Y330">
            <v>37950</v>
          </cell>
        </row>
        <row r="331">
          <cell r="Y331">
            <v>37951</v>
          </cell>
        </row>
        <row r="332">
          <cell r="Y332">
            <v>37952</v>
          </cell>
        </row>
        <row r="333">
          <cell r="Y333">
            <v>37953</v>
          </cell>
        </row>
        <row r="334">
          <cell r="Y334">
            <v>37954</v>
          </cell>
        </row>
        <row r="335">
          <cell r="Y335">
            <v>37955</v>
          </cell>
        </row>
        <row r="336">
          <cell r="Y336">
            <v>37956</v>
          </cell>
        </row>
        <row r="337">
          <cell r="Y337">
            <v>37957</v>
          </cell>
        </row>
        <row r="338">
          <cell r="Y338">
            <v>37958</v>
          </cell>
        </row>
        <row r="339">
          <cell r="Y339">
            <v>37959</v>
          </cell>
        </row>
        <row r="340">
          <cell r="Y340">
            <v>37960</v>
          </cell>
        </row>
        <row r="341">
          <cell r="Y341">
            <v>37961</v>
          </cell>
        </row>
        <row r="342">
          <cell r="Y342">
            <v>37962</v>
          </cell>
        </row>
        <row r="343">
          <cell r="Y343">
            <v>37963</v>
          </cell>
        </row>
        <row r="344">
          <cell r="Y344">
            <v>37964</v>
          </cell>
        </row>
        <row r="345">
          <cell r="Y345">
            <v>37965</v>
          </cell>
        </row>
        <row r="346">
          <cell r="Y346">
            <v>37966</v>
          </cell>
        </row>
        <row r="347">
          <cell r="Y347">
            <v>37967</v>
          </cell>
        </row>
        <row r="348">
          <cell r="Y348">
            <v>37968</v>
          </cell>
        </row>
        <row r="349">
          <cell r="Y349">
            <v>37969</v>
          </cell>
        </row>
        <row r="350">
          <cell r="Y350">
            <v>37970</v>
          </cell>
        </row>
        <row r="351">
          <cell r="Y351">
            <v>37971</v>
          </cell>
        </row>
        <row r="352">
          <cell r="Y352">
            <v>37972</v>
          </cell>
        </row>
        <row r="353">
          <cell r="Y353">
            <v>37973</v>
          </cell>
        </row>
        <row r="354">
          <cell r="Y354">
            <v>37974</v>
          </cell>
        </row>
        <row r="355">
          <cell r="Y355">
            <v>37975</v>
          </cell>
        </row>
        <row r="356">
          <cell r="Y356">
            <v>37976</v>
          </cell>
        </row>
        <row r="357">
          <cell r="Y357">
            <v>37977</v>
          </cell>
        </row>
        <row r="358">
          <cell r="Y358">
            <v>37978</v>
          </cell>
        </row>
        <row r="359">
          <cell r="Y359">
            <v>37979</v>
          </cell>
        </row>
        <row r="360">
          <cell r="Y360">
            <v>37980</v>
          </cell>
        </row>
        <row r="361">
          <cell r="Y361">
            <v>37981</v>
          </cell>
        </row>
        <row r="362">
          <cell r="Y362">
            <v>37982</v>
          </cell>
        </row>
        <row r="363">
          <cell r="Y363">
            <v>37983</v>
          </cell>
        </row>
        <row r="364">
          <cell r="Y364">
            <v>37984</v>
          </cell>
        </row>
        <row r="365">
          <cell r="Y365">
            <v>37985</v>
          </cell>
        </row>
        <row r="366">
          <cell r="Y366">
            <v>37986</v>
          </cell>
        </row>
        <row r="367">
          <cell r="Y367">
            <v>37987</v>
          </cell>
        </row>
        <row r="368">
          <cell r="Y368">
            <v>37988</v>
          </cell>
        </row>
        <row r="369">
          <cell r="Y369">
            <v>37989</v>
          </cell>
        </row>
        <row r="370">
          <cell r="Y370">
            <v>37990</v>
          </cell>
        </row>
        <row r="371">
          <cell r="Y371">
            <v>37991</v>
          </cell>
        </row>
        <row r="372">
          <cell r="Y372">
            <v>37992</v>
          </cell>
        </row>
        <row r="373">
          <cell r="Y373">
            <v>37993</v>
          </cell>
        </row>
        <row r="374">
          <cell r="Y374">
            <v>37994</v>
          </cell>
        </row>
        <row r="375">
          <cell r="Y375">
            <v>37995</v>
          </cell>
        </row>
        <row r="376">
          <cell r="Y376">
            <v>37996</v>
          </cell>
        </row>
        <row r="377">
          <cell r="Y377">
            <v>37997</v>
          </cell>
        </row>
        <row r="378">
          <cell r="Y378">
            <v>37998</v>
          </cell>
        </row>
        <row r="379">
          <cell r="Y379">
            <v>37999</v>
          </cell>
        </row>
        <row r="380">
          <cell r="Y380">
            <v>38000</v>
          </cell>
        </row>
        <row r="381">
          <cell r="Y381">
            <v>38001</v>
          </cell>
        </row>
        <row r="382">
          <cell r="Y382">
            <v>38002</v>
          </cell>
        </row>
        <row r="383">
          <cell r="Y383">
            <v>38003</v>
          </cell>
        </row>
        <row r="384">
          <cell r="Y384">
            <v>38004</v>
          </cell>
        </row>
        <row r="385">
          <cell r="Y385">
            <v>38005</v>
          </cell>
        </row>
        <row r="386">
          <cell r="Y386">
            <v>38006</v>
          </cell>
        </row>
        <row r="387">
          <cell r="Y387">
            <v>38007</v>
          </cell>
        </row>
        <row r="388">
          <cell r="Y388">
            <v>38008</v>
          </cell>
        </row>
        <row r="389">
          <cell r="Y389">
            <v>38009</v>
          </cell>
        </row>
        <row r="390">
          <cell r="Y390">
            <v>38010</v>
          </cell>
        </row>
        <row r="391">
          <cell r="Y391">
            <v>38011</v>
          </cell>
        </row>
        <row r="392">
          <cell r="Y392">
            <v>38012</v>
          </cell>
        </row>
        <row r="393">
          <cell r="Y393">
            <v>38013</v>
          </cell>
        </row>
        <row r="394">
          <cell r="Y394">
            <v>38014</v>
          </cell>
        </row>
        <row r="395">
          <cell r="Y395">
            <v>38015</v>
          </cell>
        </row>
        <row r="396">
          <cell r="Y396">
            <v>38016</v>
          </cell>
        </row>
        <row r="397">
          <cell r="Y397">
            <v>38017</v>
          </cell>
        </row>
        <row r="398">
          <cell r="Y398">
            <v>38018</v>
          </cell>
        </row>
        <row r="399">
          <cell r="Y399">
            <v>38019</v>
          </cell>
        </row>
        <row r="400">
          <cell r="Y400">
            <v>38020</v>
          </cell>
        </row>
        <row r="401">
          <cell r="Y401">
            <v>38021</v>
          </cell>
        </row>
        <row r="402">
          <cell r="Y402">
            <v>38022</v>
          </cell>
        </row>
        <row r="403">
          <cell r="Y403">
            <v>38023</v>
          </cell>
        </row>
        <row r="404">
          <cell r="Y404">
            <v>38024</v>
          </cell>
        </row>
        <row r="405">
          <cell r="Y405">
            <v>38025</v>
          </cell>
        </row>
        <row r="406">
          <cell r="Y406">
            <v>38026</v>
          </cell>
        </row>
        <row r="407">
          <cell r="Y407">
            <v>38027</v>
          </cell>
        </row>
        <row r="408">
          <cell r="Y408">
            <v>38028</v>
          </cell>
        </row>
        <row r="409">
          <cell r="Y409">
            <v>38029</v>
          </cell>
        </row>
        <row r="410">
          <cell r="Y410">
            <v>38030</v>
          </cell>
        </row>
        <row r="411">
          <cell r="Y411">
            <v>38031</v>
          </cell>
        </row>
        <row r="412">
          <cell r="Y412">
            <v>38032</v>
          </cell>
        </row>
        <row r="413">
          <cell r="Y413">
            <v>38033</v>
          </cell>
        </row>
        <row r="414">
          <cell r="Y414">
            <v>38034</v>
          </cell>
        </row>
        <row r="415">
          <cell r="Y415">
            <v>38035</v>
          </cell>
        </row>
        <row r="416">
          <cell r="Y416">
            <v>38036</v>
          </cell>
        </row>
        <row r="417">
          <cell r="Y417">
            <v>38037</v>
          </cell>
        </row>
        <row r="418">
          <cell r="Y418">
            <v>38038</v>
          </cell>
        </row>
        <row r="419">
          <cell r="Y419">
            <v>38039</v>
          </cell>
        </row>
        <row r="420">
          <cell r="Y420">
            <v>38040</v>
          </cell>
        </row>
        <row r="421">
          <cell r="Y421">
            <v>38041</v>
          </cell>
        </row>
        <row r="422">
          <cell r="Y422">
            <v>38042</v>
          </cell>
        </row>
        <row r="423">
          <cell r="Y423">
            <v>38043</v>
          </cell>
        </row>
        <row r="424">
          <cell r="Y424">
            <v>38044</v>
          </cell>
        </row>
        <row r="425">
          <cell r="Y425">
            <v>38045</v>
          </cell>
        </row>
        <row r="426">
          <cell r="Y426">
            <v>38046</v>
          </cell>
        </row>
        <row r="427">
          <cell r="Y427">
            <v>38047</v>
          </cell>
        </row>
        <row r="428">
          <cell r="Y428">
            <v>38048</v>
          </cell>
        </row>
        <row r="429">
          <cell r="Y429">
            <v>38049</v>
          </cell>
        </row>
        <row r="430">
          <cell r="Y430">
            <v>38050</v>
          </cell>
        </row>
        <row r="431">
          <cell r="Y431">
            <v>38051</v>
          </cell>
        </row>
        <row r="432">
          <cell r="Y432">
            <v>38052</v>
          </cell>
        </row>
        <row r="433">
          <cell r="Y433">
            <v>38053</v>
          </cell>
        </row>
        <row r="434">
          <cell r="Y434">
            <v>38054</v>
          </cell>
        </row>
        <row r="435">
          <cell r="Y435">
            <v>38055</v>
          </cell>
        </row>
        <row r="436">
          <cell r="Y436">
            <v>38056</v>
          </cell>
        </row>
        <row r="437">
          <cell r="Y437">
            <v>38057</v>
          </cell>
        </row>
        <row r="438">
          <cell r="Y438">
            <v>38058</v>
          </cell>
        </row>
        <row r="439">
          <cell r="Y439">
            <v>38059</v>
          </cell>
        </row>
        <row r="440">
          <cell r="Y440">
            <v>38060</v>
          </cell>
        </row>
        <row r="441">
          <cell r="Y441">
            <v>38061</v>
          </cell>
        </row>
        <row r="442">
          <cell r="Y442">
            <v>38062</v>
          </cell>
        </row>
        <row r="443">
          <cell r="Y443">
            <v>38063</v>
          </cell>
        </row>
        <row r="444">
          <cell r="Y444">
            <v>38064</v>
          </cell>
        </row>
        <row r="445">
          <cell r="Y445">
            <v>38065</v>
          </cell>
        </row>
        <row r="446">
          <cell r="Y446">
            <v>38066</v>
          </cell>
        </row>
        <row r="447">
          <cell r="Y447">
            <v>38067</v>
          </cell>
        </row>
        <row r="448">
          <cell r="Y448">
            <v>38068</v>
          </cell>
        </row>
        <row r="449">
          <cell r="Y449">
            <v>38069</v>
          </cell>
        </row>
        <row r="450">
          <cell r="Y450">
            <v>38070</v>
          </cell>
        </row>
        <row r="451">
          <cell r="Y451">
            <v>38071</v>
          </cell>
        </row>
        <row r="452">
          <cell r="Y452">
            <v>38072</v>
          </cell>
        </row>
        <row r="453">
          <cell r="Y453">
            <v>38073</v>
          </cell>
        </row>
        <row r="454">
          <cell r="Y454">
            <v>38074</v>
          </cell>
        </row>
        <row r="455">
          <cell r="Y455">
            <v>38075</v>
          </cell>
        </row>
        <row r="456">
          <cell r="Y456">
            <v>38076</v>
          </cell>
        </row>
        <row r="457">
          <cell r="Y457">
            <v>38077</v>
          </cell>
        </row>
        <row r="458">
          <cell r="Y458">
            <v>38078</v>
          </cell>
        </row>
        <row r="459">
          <cell r="Y459">
            <v>38079</v>
          </cell>
        </row>
        <row r="460">
          <cell r="Y460">
            <v>38080</v>
          </cell>
        </row>
        <row r="461">
          <cell r="Y461">
            <v>38081</v>
          </cell>
        </row>
        <row r="462">
          <cell r="Y462">
            <v>38082</v>
          </cell>
        </row>
        <row r="463">
          <cell r="Y463">
            <v>38083</v>
          </cell>
        </row>
        <row r="464">
          <cell r="Y464">
            <v>38084</v>
          </cell>
        </row>
        <row r="465">
          <cell r="Y465">
            <v>38085</v>
          </cell>
        </row>
        <row r="466">
          <cell r="Y466">
            <v>38086</v>
          </cell>
        </row>
        <row r="467">
          <cell r="Y467">
            <v>38087</v>
          </cell>
        </row>
        <row r="468">
          <cell r="Y468">
            <v>38088</v>
          </cell>
        </row>
        <row r="469">
          <cell r="Y469">
            <v>38089</v>
          </cell>
        </row>
        <row r="470">
          <cell r="Y470">
            <v>38090</v>
          </cell>
        </row>
        <row r="471">
          <cell r="Y471">
            <v>38091</v>
          </cell>
        </row>
        <row r="472">
          <cell r="Y472">
            <v>38092</v>
          </cell>
        </row>
        <row r="473">
          <cell r="Y473">
            <v>38093</v>
          </cell>
        </row>
        <row r="474">
          <cell r="Y474">
            <v>38094</v>
          </cell>
        </row>
        <row r="475">
          <cell r="Y475">
            <v>38095</v>
          </cell>
        </row>
        <row r="476">
          <cell r="Y476">
            <v>38096</v>
          </cell>
        </row>
        <row r="477">
          <cell r="Y477">
            <v>38097</v>
          </cell>
        </row>
        <row r="478">
          <cell r="Y478">
            <v>38098</v>
          </cell>
        </row>
        <row r="479">
          <cell r="Y479">
            <v>38099</v>
          </cell>
        </row>
        <row r="480">
          <cell r="Y480">
            <v>38100</v>
          </cell>
        </row>
        <row r="481">
          <cell r="Y481">
            <v>38101</v>
          </cell>
        </row>
        <row r="482">
          <cell r="Y482">
            <v>38102</v>
          </cell>
        </row>
        <row r="483">
          <cell r="Y483">
            <v>38103</v>
          </cell>
        </row>
        <row r="484">
          <cell r="Y484">
            <v>38104</v>
          </cell>
        </row>
        <row r="485">
          <cell r="Y485">
            <v>38105</v>
          </cell>
        </row>
        <row r="486">
          <cell r="Y486">
            <v>38106</v>
          </cell>
        </row>
        <row r="487">
          <cell r="Y487">
            <v>38107</v>
          </cell>
        </row>
        <row r="488">
          <cell r="Y488">
            <v>38108</v>
          </cell>
        </row>
        <row r="489">
          <cell r="Y489">
            <v>38109</v>
          </cell>
        </row>
        <row r="490">
          <cell r="Y490">
            <v>38110</v>
          </cell>
        </row>
        <row r="491">
          <cell r="Y491">
            <v>38111</v>
          </cell>
        </row>
        <row r="492">
          <cell r="Y492">
            <v>38112</v>
          </cell>
        </row>
        <row r="493">
          <cell r="Y493">
            <v>38113</v>
          </cell>
        </row>
        <row r="494">
          <cell r="Y494">
            <v>38114</v>
          </cell>
        </row>
        <row r="495">
          <cell r="Y495">
            <v>38115</v>
          </cell>
        </row>
        <row r="496">
          <cell r="Y496">
            <v>38116</v>
          </cell>
        </row>
        <row r="497">
          <cell r="Y497">
            <v>38117</v>
          </cell>
        </row>
        <row r="498">
          <cell r="Y498">
            <v>38118</v>
          </cell>
        </row>
        <row r="499">
          <cell r="Y499">
            <v>38119</v>
          </cell>
        </row>
        <row r="500">
          <cell r="Y500">
            <v>38120</v>
          </cell>
        </row>
        <row r="501">
          <cell r="Y501">
            <v>38121</v>
          </cell>
        </row>
        <row r="502">
          <cell r="Y502">
            <v>38122</v>
          </cell>
        </row>
        <row r="503">
          <cell r="Y503">
            <v>38123</v>
          </cell>
        </row>
        <row r="504">
          <cell r="Y504">
            <v>38124</v>
          </cell>
        </row>
        <row r="505">
          <cell r="Y505">
            <v>38125</v>
          </cell>
        </row>
        <row r="506">
          <cell r="Y506">
            <v>38126</v>
          </cell>
        </row>
        <row r="507">
          <cell r="Y507">
            <v>38127</v>
          </cell>
        </row>
        <row r="508">
          <cell r="Y508">
            <v>38128</v>
          </cell>
        </row>
        <row r="509">
          <cell r="Y509">
            <v>38129</v>
          </cell>
        </row>
        <row r="510">
          <cell r="Y510">
            <v>38130</v>
          </cell>
        </row>
        <row r="511">
          <cell r="Y511">
            <v>38131</v>
          </cell>
        </row>
        <row r="512">
          <cell r="Y512">
            <v>38132</v>
          </cell>
        </row>
        <row r="513">
          <cell r="Y513">
            <v>38133</v>
          </cell>
        </row>
        <row r="514">
          <cell r="Y514">
            <v>38134</v>
          </cell>
        </row>
        <row r="515">
          <cell r="Y515">
            <v>38135</v>
          </cell>
        </row>
        <row r="516">
          <cell r="Y516">
            <v>38136</v>
          </cell>
        </row>
        <row r="517">
          <cell r="Y517">
            <v>38137</v>
          </cell>
        </row>
        <row r="518">
          <cell r="Y518">
            <v>38138</v>
          </cell>
        </row>
        <row r="519">
          <cell r="Y519">
            <v>38139</v>
          </cell>
        </row>
        <row r="520">
          <cell r="Y520">
            <v>38140</v>
          </cell>
        </row>
        <row r="521">
          <cell r="Y521">
            <v>38141</v>
          </cell>
        </row>
        <row r="522">
          <cell r="Y522">
            <v>38142</v>
          </cell>
        </row>
        <row r="523">
          <cell r="Y523">
            <v>38143</v>
          </cell>
        </row>
        <row r="524">
          <cell r="Y524">
            <v>38144</v>
          </cell>
        </row>
        <row r="525">
          <cell r="Y525">
            <v>38145</v>
          </cell>
        </row>
        <row r="526">
          <cell r="Y526">
            <v>38146</v>
          </cell>
        </row>
        <row r="527">
          <cell r="Y527">
            <v>38147</v>
          </cell>
        </row>
        <row r="528">
          <cell r="Y528">
            <v>38148</v>
          </cell>
        </row>
        <row r="529">
          <cell r="Y529">
            <v>38149</v>
          </cell>
        </row>
        <row r="530">
          <cell r="Y530">
            <v>38150</v>
          </cell>
        </row>
        <row r="531">
          <cell r="Y531">
            <v>38151</v>
          </cell>
        </row>
        <row r="532">
          <cell r="Y532">
            <v>38152</v>
          </cell>
        </row>
        <row r="533">
          <cell r="Y533">
            <v>38153</v>
          </cell>
        </row>
        <row r="534">
          <cell r="Y534">
            <v>38154</v>
          </cell>
        </row>
        <row r="535">
          <cell r="Y535">
            <v>38155</v>
          </cell>
        </row>
        <row r="536">
          <cell r="Y536">
            <v>38156</v>
          </cell>
        </row>
        <row r="537">
          <cell r="Y537">
            <v>38157</v>
          </cell>
        </row>
        <row r="538">
          <cell r="Y538">
            <v>38158</v>
          </cell>
        </row>
        <row r="539">
          <cell r="Y539">
            <v>38159</v>
          </cell>
        </row>
        <row r="540">
          <cell r="Y540">
            <v>38160</v>
          </cell>
        </row>
        <row r="541">
          <cell r="Y541">
            <v>38161</v>
          </cell>
        </row>
        <row r="542">
          <cell r="Y542">
            <v>38162</v>
          </cell>
        </row>
        <row r="543">
          <cell r="Y543">
            <v>38163</v>
          </cell>
        </row>
        <row r="544">
          <cell r="Y544">
            <v>38164</v>
          </cell>
        </row>
        <row r="545">
          <cell r="Y545">
            <v>38165</v>
          </cell>
        </row>
        <row r="546">
          <cell r="Y546">
            <v>38166</v>
          </cell>
        </row>
        <row r="547">
          <cell r="Y547">
            <v>38167</v>
          </cell>
        </row>
        <row r="548">
          <cell r="Y548">
            <v>38168</v>
          </cell>
        </row>
        <row r="549">
          <cell r="Y549">
            <v>38169</v>
          </cell>
        </row>
        <row r="550">
          <cell r="Y550">
            <v>38170</v>
          </cell>
        </row>
        <row r="551">
          <cell r="Y551">
            <v>38171</v>
          </cell>
        </row>
        <row r="552">
          <cell r="Y552">
            <v>38172</v>
          </cell>
        </row>
        <row r="553">
          <cell r="Y553">
            <v>38173</v>
          </cell>
        </row>
        <row r="554">
          <cell r="Y554">
            <v>38174</v>
          </cell>
        </row>
        <row r="555">
          <cell r="Y555">
            <v>38175</v>
          </cell>
        </row>
        <row r="556">
          <cell r="Y556">
            <v>38176</v>
          </cell>
        </row>
        <row r="557">
          <cell r="Y557">
            <v>38177</v>
          </cell>
        </row>
        <row r="558">
          <cell r="Y558">
            <v>38178</v>
          </cell>
        </row>
        <row r="559">
          <cell r="Y559">
            <v>38179</v>
          </cell>
        </row>
        <row r="560">
          <cell r="Y560">
            <v>38180</v>
          </cell>
        </row>
        <row r="561">
          <cell r="Y561">
            <v>38181</v>
          </cell>
        </row>
        <row r="562">
          <cell r="Y562">
            <v>38182</v>
          </cell>
        </row>
        <row r="563">
          <cell r="Y563">
            <v>38183</v>
          </cell>
        </row>
        <row r="564">
          <cell r="Y564">
            <v>38184</v>
          </cell>
        </row>
        <row r="565">
          <cell r="Y565">
            <v>38185</v>
          </cell>
        </row>
        <row r="566">
          <cell r="Y566">
            <v>38186</v>
          </cell>
        </row>
        <row r="567">
          <cell r="Y567">
            <v>38187</v>
          </cell>
        </row>
        <row r="568">
          <cell r="Y568">
            <v>38188</v>
          </cell>
        </row>
        <row r="569">
          <cell r="Y569">
            <v>38189</v>
          </cell>
        </row>
        <row r="570">
          <cell r="Y570">
            <v>38190</v>
          </cell>
        </row>
        <row r="571">
          <cell r="Y571">
            <v>38191</v>
          </cell>
        </row>
        <row r="572">
          <cell r="Y572">
            <v>38192</v>
          </cell>
        </row>
        <row r="573">
          <cell r="Y573">
            <v>38193</v>
          </cell>
        </row>
        <row r="574">
          <cell r="Y574">
            <v>38194</v>
          </cell>
        </row>
        <row r="575">
          <cell r="Y575">
            <v>38195</v>
          </cell>
        </row>
        <row r="576">
          <cell r="Y576">
            <v>38196</v>
          </cell>
        </row>
        <row r="577">
          <cell r="Y577">
            <v>38197</v>
          </cell>
        </row>
        <row r="578">
          <cell r="Y578">
            <v>38198</v>
          </cell>
        </row>
        <row r="579">
          <cell r="Y579">
            <v>38199</v>
          </cell>
        </row>
        <row r="580">
          <cell r="Y580">
            <v>38200</v>
          </cell>
        </row>
        <row r="581">
          <cell r="Y581">
            <v>38201</v>
          </cell>
        </row>
        <row r="582">
          <cell r="Y582">
            <v>38202</v>
          </cell>
        </row>
        <row r="583">
          <cell r="Y583">
            <v>38203</v>
          </cell>
        </row>
        <row r="584">
          <cell r="Y584">
            <v>38204</v>
          </cell>
        </row>
        <row r="585">
          <cell r="Y585">
            <v>38205</v>
          </cell>
        </row>
        <row r="586">
          <cell r="Y586">
            <v>38206</v>
          </cell>
        </row>
        <row r="587">
          <cell r="Y587">
            <v>38207</v>
          </cell>
        </row>
        <row r="588">
          <cell r="Y588">
            <v>38208</v>
          </cell>
        </row>
        <row r="589">
          <cell r="Y589">
            <v>38209</v>
          </cell>
        </row>
        <row r="590">
          <cell r="Y590">
            <v>38210</v>
          </cell>
        </row>
        <row r="591">
          <cell r="Y591">
            <v>38211</v>
          </cell>
        </row>
        <row r="592">
          <cell r="Y592">
            <v>38212</v>
          </cell>
        </row>
        <row r="593">
          <cell r="Y593">
            <v>38213</v>
          </cell>
        </row>
        <row r="594">
          <cell r="Y594">
            <v>38214</v>
          </cell>
        </row>
        <row r="595">
          <cell r="Y595">
            <v>38215</v>
          </cell>
        </row>
        <row r="596">
          <cell r="Y596">
            <v>38216</v>
          </cell>
        </row>
        <row r="597">
          <cell r="Y597">
            <v>38217</v>
          </cell>
        </row>
        <row r="598">
          <cell r="Y598">
            <v>38218</v>
          </cell>
        </row>
        <row r="599">
          <cell r="Y599">
            <v>38219</v>
          </cell>
        </row>
        <row r="600">
          <cell r="Y600">
            <v>38220</v>
          </cell>
        </row>
        <row r="601">
          <cell r="Y601">
            <v>38221</v>
          </cell>
        </row>
        <row r="602">
          <cell r="Y602">
            <v>38222</v>
          </cell>
        </row>
        <row r="603">
          <cell r="Y603">
            <v>38223</v>
          </cell>
        </row>
        <row r="604">
          <cell r="Y604">
            <v>38224</v>
          </cell>
        </row>
        <row r="605">
          <cell r="Y605">
            <v>38225</v>
          </cell>
        </row>
        <row r="606">
          <cell r="Y606">
            <v>38226</v>
          </cell>
        </row>
        <row r="607">
          <cell r="Y607">
            <v>38227</v>
          </cell>
        </row>
        <row r="608">
          <cell r="Y608">
            <v>38228</v>
          </cell>
        </row>
        <row r="609">
          <cell r="Y609">
            <v>38229</v>
          </cell>
        </row>
        <row r="610">
          <cell r="Y610">
            <v>38230</v>
          </cell>
        </row>
        <row r="611">
          <cell r="Y611">
            <v>38231</v>
          </cell>
        </row>
        <row r="612">
          <cell r="Y612">
            <v>38232</v>
          </cell>
        </row>
        <row r="613">
          <cell r="Y613">
            <v>38233</v>
          </cell>
        </row>
        <row r="614">
          <cell r="Y614">
            <v>38234</v>
          </cell>
        </row>
        <row r="615">
          <cell r="Y615">
            <v>38235</v>
          </cell>
        </row>
        <row r="616">
          <cell r="Y616">
            <v>38236</v>
          </cell>
        </row>
        <row r="617">
          <cell r="Y617">
            <v>38237</v>
          </cell>
        </row>
        <row r="618">
          <cell r="Y618">
            <v>38238</v>
          </cell>
        </row>
        <row r="619">
          <cell r="Y619">
            <v>38239</v>
          </cell>
        </row>
        <row r="620">
          <cell r="Y620">
            <v>38240</v>
          </cell>
        </row>
        <row r="621">
          <cell r="Y621">
            <v>38241</v>
          </cell>
        </row>
        <row r="622">
          <cell r="Y622">
            <v>38242</v>
          </cell>
        </row>
        <row r="623">
          <cell r="Y623">
            <v>38243</v>
          </cell>
        </row>
        <row r="624">
          <cell r="Y624">
            <v>38244</v>
          </cell>
        </row>
        <row r="625">
          <cell r="Y625">
            <v>38245</v>
          </cell>
        </row>
        <row r="626">
          <cell r="Y626">
            <v>38246</v>
          </cell>
        </row>
        <row r="627">
          <cell r="Y627">
            <v>38247</v>
          </cell>
        </row>
        <row r="628">
          <cell r="Y628">
            <v>38248</v>
          </cell>
        </row>
        <row r="629">
          <cell r="Y629">
            <v>38249</v>
          </cell>
        </row>
        <row r="630">
          <cell r="Y630">
            <v>38250</v>
          </cell>
        </row>
        <row r="631">
          <cell r="Y631">
            <v>38251</v>
          </cell>
        </row>
        <row r="632">
          <cell r="Y632">
            <v>38252</v>
          </cell>
        </row>
        <row r="633">
          <cell r="Y633">
            <v>38253</v>
          </cell>
        </row>
        <row r="634">
          <cell r="Y634">
            <v>38254</v>
          </cell>
        </row>
        <row r="635">
          <cell r="Y635">
            <v>38255</v>
          </cell>
        </row>
        <row r="636">
          <cell r="Y636">
            <v>38256</v>
          </cell>
        </row>
        <row r="637">
          <cell r="Y637">
            <v>38257</v>
          </cell>
        </row>
        <row r="638">
          <cell r="Y638">
            <v>38258</v>
          </cell>
        </row>
        <row r="639">
          <cell r="Y639">
            <v>38259</v>
          </cell>
        </row>
        <row r="640">
          <cell r="Y640">
            <v>38260</v>
          </cell>
        </row>
        <row r="641">
          <cell r="Y641">
            <v>38261</v>
          </cell>
        </row>
        <row r="642">
          <cell r="Y642">
            <v>38262</v>
          </cell>
        </row>
        <row r="643">
          <cell r="Y643">
            <v>38263</v>
          </cell>
        </row>
        <row r="644">
          <cell r="Y644">
            <v>38264</v>
          </cell>
        </row>
        <row r="645">
          <cell r="Y645">
            <v>38265</v>
          </cell>
        </row>
        <row r="646">
          <cell r="Y646">
            <v>38266</v>
          </cell>
        </row>
        <row r="647">
          <cell r="Y647">
            <v>38267</v>
          </cell>
        </row>
        <row r="648">
          <cell r="Y648">
            <v>38268</v>
          </cell>
        </row>
        <row r="649">
          <cell r="Y649">
            <v>38269</v>
          </cell>
        </row>
        <row r="650">
          <cell r="Y650">
            <v>38270</v>
          </cell>
        </row>
        <row r="651">
          <cell r="Y651">
            <v>38271</v>
          </cell>
        </row>
        <row r="652">
          <cell r="Y652">
            <v>38272</v>
          </cell>
        </row>
        <row r="653">
          <cell r="Y653">
            <v>38273</v>
          </cell>
        </row>
        <row r="654">
          <cell r="Y654">
            <v>38274</v>
          </cell>
        </row>
        <row r="655">
          <cell r="Y655">
            <v>38275</v>
          </cell>
        </row>
        <row r="656">
          <cell r="Y656">
            <v>38276</v>
          </cell>
        </row>
        <row r="657">
          <cell r="Y657">
            <v>38277</v>
          </cell>
        </row>
        <row r="658">
          <cell r="Y658">
            <v>38278</v>
          </cell>
        </row>
        <row r="659">
          <cell r="Y659">
            <v>38279</v>
          </cell>
        </row>
        <row r="660">
          <cell r="Y660">
            <v>38280</v>
          </cell>
        </row>
        <row r="661">
          <cell r="Y661">
            <v>38281</v>
          </cell>
        </row>
        <row r="662">
          <cell r="Y662">
            <v>38282</v>
          </cell>
        </row>
        <row r="663">
          <cell r="Y663">
            <v>38283</v>
          </cell>
        </row>
        <row r="664">
          <cell r="Y664">
            <v>38284</v>
          </cell>
        </row>
        <row r="665">
          <cell r="Y665">
            <v>38285</v>
          </cell>
        </row>
        <row r="666">
          <cell r="Y666">
            <v>38286</v>
          </cell>
        </row>
        <row r="667">
          <cell r="Y667">
            <v>38287</v>
          </cell>
        </row>
        <row r="668">
          <cell r="Y668">
            <v>38288</v>
          </cell>
        </row>
        <row r="669">
          <cell r="Y669">
            <v>38289</v>
          </cell>
        </row>
        <row r="670">
          <cell r="Y670">
            <v>38290</v>
          </cell>
        </row>
        <row r="671">
          <cell r="Y671">
            <v>38291</v>
          </cell>
        </row>
        <row r="672">
          <cell r="Y672">
            <v>38292</v>
          </cell>
        </row>
        <row r="673">
          <cell r="Y673">
            <v>38293</v>
          </cell>
        </row>
        <row r="674">
          <cell r="Y674">
            <v>38294</v>
          </cell>
        </row>
        <row r="675">
          <cell r="Y675">
            <v>38295</v>
          </cell>
        </row>
        <row r="676">
          <cell r="Y676">
            <v>38296</v>
          </cell>
        </row>
        <row r="677">
          <cell r="Y677">
            <v>38297</v>
          </cell>
        </row>
        <row r="678">
          <cell r="Y678">
            <v>38298</v>
          </cell>
        </row>
        <row r="679">
          <cell r="Y679">
            <v>38299</v>
          </cell>
        </row>
        <row r="680">
          <cell r="Y680">
            <v>38300</v>
          </cell>
        </row>
        <row r="681">
          <cell r="Y681">
            <v>38301</v>
          </cell>
        </row>
        <row r="682">
          <cell r="Y682">
            <v>38302</v>
          </cell>
        </row>
        <row r="683">
          <cell r="Y683">
            <v>38303</v>
          </cell>
        </row>
        <row r="684">
          <cell r="Y684">
            <v>38304</v>
          </cell>
        </row>
        <row r="685">
          <cell r="Y685">
            <v>38305</v>
          </cell>
        </row>
        <row r="686">
          <cell r="Y686">
            <v>38306</v>
          </cell>
        </row>
        <row r="687">
          <cell r="Y687">
            <v>38307</v>
          </cell>
        </row>
        <row r="688">
          <cell r="Y688">
            <v>38308</v>
          </cell>
        </row>
        <row r="689">
          <cell r="Y689">
            <v>38309</v>
          </cell>
        </row>
        <row r="690">
          <cell r="Y690">
            <v>38310</v>
          </cell>
        </row>
        <row r="691">
          <cell r="Y691">
            <v>38311</v>
          </cell>
        </row>
        <row r="692">
          <cell r="Y692">
            <v>38312</v>
          </cell>
        </row>
        <row r="693">
          <cell r="Y693">
            <v>38313</v>
          </cell>
        </row>
        <row r="694">
          <cell r="Y694">
            <v>38314</v>
          </cell>
        </row>
        <row r="695">
          <cell r="Y695">
            <v>38315</v>
          </cell>
        </row>
        <row r="696">
          <cell r="Y696">
            <v>38316</v>
          </cell>
        </row>
        <row r="697">
          <cell r="Y697">
            <v>38317</v>
          </cell>
        </row>
        <row r="698">
          <cell r="Y698">
            <v>38318</v>
          </cell>
        </row>
        <row r="699">
          <cell r="Y699">
            <v>38319</v>
          </cell>
        </row>
        <row r="700">
          <cell r="Y700">
            <v>38320</v>
          </cell>
        </row>
        <row r="701">
          <cell r="Y701">
            <v>38321</v>
          </cell>
        </row>
        <row r="702">
          <cell r="Y702">
            <v>38322</v>
          </cell>
        </row>
        <row r="703">
          <cell r="Y703">
            <v>38323</v>
          </cell>
        </row>
        <row r="704">
          <cell r="Y704">
            <v>38324</v>
          </cell>
        </row>
        <row r="705">
          <cell r="Y705">
            <v>38325</v>
          </cell>
        </row>
        <row r="706">
          <cell r="Y706">
            <v>38326</v>
          </cell>
        </row>
        <row r="707">
          <cell r="Y707">
            <v>38327</v>
          </cell>
        </row>
        <row r="708">
          <cell r="Y708">
            <v>38328</v>
          </cell>
        </row>
        <row r="709">
          <cell r="Y709">
            <v>38329</v>
          </cell>
        </row>
        <row r="710">
          <cell r="Y710">
            <v>38330</v>
          </cell>
        </row>
        <row r="711">
          <cell r="Y711">
            <v>38331</v>
          </cell>
        </row>
        <row r="712">
          <cell r="Y712">
            <v>38332</v>
          </cell>
        </row>
        <row r="713">
          <cell r="Y713">
            <v>38333</v>
          </cell>
        </row>
        <row r="714">
          <cell r="Y714">
            <v>38334</v>
          </cell>
        </row>
        <row r="715">
          <cell r="Y715">
            <v>38335</v>
          </cell>
        </row>
        <row r="716">
          <cell r="Y716">
            <v>38336</v>
          </cell>
        </row>
        <row r="717">
          <cell r="Y717">
            <v>38337</v>
          </cell>
        </row>
        <row r="718">
          <cell r="Y718">
            <v>38338</v>
          </cell>
        </row>
        <row r="719">
          <cell r="Y719">
            <v>38339</v>
          </cell>
        </row>
        <row r="720">
          <cell r="Y720">
            <v>38340</v>
          </cell>
        </row>
        <row r="721">
          <cell r="Y721">
            <v>38341</v>
          </cell>
        </row>
        <row r="722">
          <cell r="Y722">
            <v>38342</v>
          </cell>
        </row>
        <row r="723">
          <cell r="Y723">
            <v>38343</v>
          </cell>
        </row>
        <row r="724">
          <cell r="Y724">
            <v>38344</v>
          </cell>
        </row>
        <row r="725">
          <cell r="Y725">
            <v>38345</v>
          </cell>
        </row>
        <row r="726">
          <cell r="Y726">
            <v>38346</v>
          </cell>
        </row>
        <row r="727">
          <cell r="Y727">
            <v>38347</v>
          </cell>
        </row>
        <row r="728">
          <cell r="Y728">
            <v>38348</v>
          </cell>
        </row>
        <row r="729">
          <cell r="Y729">
            <v>38349</v>
          </cell>
        </row>
        <row r="730">
          <cell r="Y730">
            <v>38350</v>
          </cell>
        </row>
        <row r="731">
          <cell r="Y731">
            <v>38351</v>
          </cell>
        </row>
        <row r="732">
          <cell r="Y732">
            <v>38352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Worksheet"/>
      <sheetName val="Analysis Request Form (Nat-Cat)"/>
      <sheetName val="Analysis Request Form (Terror)"/>
      <sheetName val="Statement of Values (SOV)"/>
      <sheetName val="Value Summaries"/>
      <sheetName val="Location Fields Template"/>
      <sheetName val="Sheet1"/>
      <sheetName val="Risk Meter Results"/>
      <sheetName val="Data Format Instructions (ref)"/>
      <sheetName val="Construction Class (ref)"/>
      <sheetName val="Occupancy Type (ref)"/>
      <sheetName val="RMS IFM Occupancy Codes (ref)"/>
      <sheetName val="RMS IFM &amp;ISO FIRE (ref)"/>
      <sheetName val="Analysis Request Form (Nat- (2)"/>
      <sheetName val="Analysis_Request_Form_(Nat-Cat)"/>
      <sheetName val="Analysis_Request_Form_(Terror)"/>
      <sheetName val="Statement_of_Values_(SOV)"/>
      <sheetName val="Value_Summaries"/>
      <sheetName val="Location_Fields_Template"/>
      <sheetName val="Risk_Meter_Results"/>
      <sheetName val="Data_Format_Instructions_(ref)"/>
      <sheetName val="Construction_Class_(ref)"/>
      <sheetName val="Occupancy_Type_(ref)"/>
      <sheetName val="RMS_IFM_Occupancy_Codes_(ref)"/>
      <sheetName val="RMS_IFM_&amp;ISO_FIRE_(ref)"/>
      <sheetName val="Analysis_Request_Form_(Nat-_(2)"/>
    </sheetNames>
    <sheetDataSet>
      <sheetData sheetId="0"/>
      <sheetData sheetId="1"/>
      <sheetData sheetId="2">
        <row r="10">
          <cell r="F10" t="str">
            <v>Colonial Properties Trust</v>
          </cell>
        </row>
        <row r="13">
          <cell r="F13" t="str">
            <v>Client</v>
          </cell>
        </row>
        <row r="15">
          <cell r="F15" t="str">
            <v>New</v>
          </cell>
        </row>
        <row r="16">
          <cell r="F16">
            <v>41348</v>
          </cell>
        </row>
        <row r="18">
          <cell r="F18" t="str">
            <v>Property</v>
          </cell>
        </row>
        <row r="26">
          <cell r="F26" t="str">
            <v>Josh Ream</v>
          </cell>
        </row>
        <row r="28">
          <cell r="F28" t="str">
            <v>Atlanta, GA</v>
          </cell>
        </row>
        <row r="30">
          <cell r="F30" t="str">
            <v>Andrew Merdinger</v>
          </cell>
        </row>
        <row r="36">
          <cell r="D36" t="str">
            <v>x</v>
          </cell>
        </row>
        <row r="92">
          <cell r="K92">
            <v>40916</v>
          </cell>
        </row>
        <row r="94">
          <cell r="K94">
            <v>40922</v>
          </cell>
        </row>
        <row r="97">
          <cell r="D97" t="str">
            <v>x</v>
          </cell>
        </row>
      </sheetData>
      <sheetData sheetId="3"/>
      <sheetData sheetId="4"/>
      <sheetData sheetId="5"/>
      <sheetData sheetId="6">
        <row r="2">
          <cell r="A2" t="str">
            <v>Unknown   -RMS 0</v>
          </cell>
          <cell r="C2" t="str">
            <v>Unknown -ATC 0</v>
          </cell>
          <cell r="D2" t="str">
            <v>Yes 1</v>
          </cell>
          <cell r="E2" t="str">
            <v>Unknown damageable 0</v>
          </cell>
          <cell r="F2" t="str">
            <v>Unknown 0</v>
          </cell>
          <cell r="G2" t="str">
            <v>Unknown 0</v>
          </cell>
          <cell r="I2" t="str">
            <v>Unknown 0</v>
          </cell>
          <cell r="J2" t="str">
            <v>Unknown 0</v>
          </cell>
          <cell r="K2" t="str">
            <v>Unknown 0</v>
          </cell>
          <cell r="L2" t="str">
            <v>Unknown  0</v>
          </cell>
          <cell r="M2" t="str">
            <v>No Basement 0</v>
          </cell>
          <cell r="N2" t="str">
            <v>Unknown 0</v>
          </cell>
          <cell r="O2" t="str">
            <v>Unknown 0</v>
          </cell>
          <cell r="P2" t="str">
            <v>Unknown 0</v>
          </cell>
          <cell r="Q2" t="str">
            <v>Unknown 0</v>
          </cell>
          <cell r="R2" t="str">
            <v>Unknown 0</v>
          </cell>
          <cell r="S2" t="str">
            <v>Unknown 0</v>
          </cell>
          <cell r="T2" t="str">
            <v>Unknown 0</v>
          </cell>
          <cell r="U2" t="str">
            <v>Unknown 0</v>
          </cell>
          <cell r="V2" t="str">
            <v>Unknown 0</v>
          </cell>
          <cell r="W2" t="str">
            <v>Unknown 0</v>
          </cell>
          <cell r="X2" t="str">
            <v>Unknown = 0</v>
          </cell>
          <cell r="Y2" t="str">
            <v>Unknown 0</v>
          </cell>
          <cell r="Z2" t="str">
            <v>Unknown 0</v>
          </cell>
          <cell r="AA2" t="str">
            <v>Unknown 0</v>
          </cell>
          <cell r="AB2" t="str">
            <v>Unknown 0</v>
          </cell>
          <cell r="AC2" t="str">
            <v>Unknown 0</v>
          </cell>
          <cell r="AD2" t="str">
            <v>Unknown 0</v>
          </cell>
          <cell r="AE2" t="str">
            <v>Unknown 0</v>
          </cell>
          <cell r="AF2" t="str">
            <v>Unknown 0</v>
          </cell>
          <cell r="AG2" t="str">
            <v>Unknown 0</v>
          </cell>
          <cell r="AH2" t="str">
            <v>Unknown 0</v>
          </cell>
          <cell r="AI2" t="str">
            <v>Unknown 0</v>
          </cell>
          <cell r="AJ2" t="str">
            <v>Unknown 0</v>
          </cell>
          <cell r="AK2" t="str">
            <v>Unknown 0</v>
          </cell>
          <cell r="AL2" t="str">
            <v>Unknown 0</v>
          </cell>
          <cell r="AM2" t="str">
            <v>Unknown 0</v>
          </cell>
          <cell r="AN2" t="str">
            <v>Unknown 0</v>
          </cell>
          <cell r="AO2" t="str">
            <v>Unknown 0</v>
          </cell>
          <cell r="AP2" t="str">
            <v>Unknown 0</v>
          </cell>
          <cell r="AQ2" t="str">
            <v>Unknown 0</v>
          </cell>
          <cell r="AR2" t="str">
            <v>Unknown 0</v>
          </cell>
          <cell r="AS2" t="str">
            <v>Unknown 0</v>
          </cell>
          <cell r="AT2" t="str">
            <v>Unknown 0</v>
          </cell>
          <cell r="AU2" t="str">
            <v>Unknown 0</v>
          </cell>
          <cell r="AV2" t="str">
            <v>Unknown 0</v>
          </cell>
          <cell r="AW2" t="str">
            <v>Unknown 0</v>
          </cell>
          <cell r="AX2" t="str">
            <v>Unknown 0</v>
          </cell>
          <cell r="AY2" t="str">
            <v>Unknown 0</v>
          </cell>
          <cell r="AZ2" t="str">
            <v>Unknown 0</v>
          </cell>
          <cell r="BA2" t="str">
            <v>Unknown 0</v>
          </cell>
          <cell r="BB2" t="str">
            <v>Unknown 0</v>
          </cell>
          <cell r="BC2" t="str">
            <v>Unknown 0</v>
          </cell>
          <cell r="BD2" t="str">
            <v>Unknown 0</v>
          </cell>
          <cell r="BE2" t="str">
            <v>Unknown 0</v>
          </cell>
          <cell r="BF2" t="str">
            <v>Unknown 0</v>
          </cell>
          <cell r="BG2" t="str">
            <v>Unknown 0</v>
          </cell>
          <cell r="BI2" t="str">
            <v>Unknown 0</v>
          </cell>
          <cell r="BJ2" t="str">
            <v>Unknown 0</v>
          </cell>
          <cell r="BK2" t="str">
            <v>Unknown 0</v>
          </cell>
          <cell r="BL2" t="str">
            <v>Unknown 0</v>
          </cell>
          <cell r="BM2" t="str">
            <v>Unknown 0</v>
          </cell>
          <cell r="BN2" t="str">
            <v>Unknown 0</v>
          </cell>
          <cell r="BO2" t="str">
            <v>Unknown 0</v>
          </cell>
          <cell r="BP2" t="str">
            <v>Unknown 0</v>
          </cell>
          <cell r="BQ2" t="str">
            <v>Unknown 0</v>
          </cell>
          <cell r="BR2" t="str">
            <v>Unknown 0</v>
          </cell>
          <cell r="BS2" t="str">
            <v>Unknown 0</v>
          </cell>
          <cell r="BT2" t="str">
            <v>Unknown 0</v>
          </cell>
          <cell r="BU2" t="str">
            <v>Unknown 0</v>
          </cell>
          <cell r="BV2" t="str">
            <v>Unknown 0</v>
          </cell>
          <cell r="BW2" t="str">
            <v>Unknown 0</v>
          </cell>
          <cell r="BX2" t="str">
            <v>No Tier 0</v>
          </cell>
          <cell r="BY2" t="str">
            <v>Alaska 1</v>
          </cell>
        </row>
        <row r="3">
          <cell r="A3" t="str">
            <v>Adobe -RMS 2A2</v>
          </cell>
          <cell r="C3" t="str">
            <v>Acute Care Services Hospitals  -ATC 49</v>
          </cell>
          <cell r="D3" t="str">
            <v>No 0</v>
          </cell>
          <cell r="E3" t="str">
            <v>Highly damageable (e.g., glassware, paper) 1</v>
          </cell>
          <cell r="F3" t="str">
            <v>Poor 1</v>
          </cell>
          <cell r="G3" t="str">
            <v>Minimal 1</v>
          </cell>
          <cell r="I3" t="str">
            <v>North Atlantic &amp; US Obvious signs of deterioration or distress 1</v>
          </cell>
          <cell r="J3" t="str">
            <v>Obvious signs of deterioration or distress 1</v>
          </cell>
          <cell r="K3" t="str">
            <v>Certified design and construction 1</v>
          </cell>
          <cell r="L3" t="str">
            <v>No basement 1</v>
          </cell>
          <cell r="M3" t="str">
            <v>Germany &amp; UK Non-industrial basement with flood protection 2</v>
          </cell>
          <cell r="N3" t="str">
            <v>Flashing and coping quality complies with the wind design (ANS/SPRI ES-1) 1</v>
          </cell>
          <cell r="O3" t="str">
            <v>Bolted 1</v>
          </cell>
          <cell r="P3" t="str">
            <v>Engineered 1</v>
          </cell>
          <cell r="Q3" t="str">
            <v>None 1</v>
          </cell>
          <cell r="R3" t="str">
            <v>None 1</v>
          </cell>
          <cell r="S3" t="str">
            <v>Brick veneer 1</v>
          </cell>
          <cell r="T3" t="str">
            <v>Concrete or reinforced masonry 1</v>
          </cell>
          <cell r="U3" t="str">
            <v>None 1</v>
          </cell>
          <cell r="V3" t="str">
            <v>Batten decking / Skipped sheathing 1</v>
          </cell>
          <cell r="W3" t="str">
            <v>Designed for extreme wind loading 1</v>
          </cell>
          <cell r="X3" t="str">
            <v>Galvanized nails, unknown nailing schedule = 1</v>
          </cell>
          <cell r="Y3" t="str">
            <v>Large signs 1</v>
          </cell>
          <cell r="Z3" t="str">
            <v>Little ornamentation (no or few ornaments) 1</v>
          </cell>
          <cell r="AA3" t="str">
            <v>Designed for wind pressure and impact resistance 1</v>
          </cell>
          <cell r="AB3" t="str">
            <v>All openings designed for large missiles 1</v>
          </cell>
          <cell r="AC3" t="str">
            <v>Designed for extreme wind (e.g. metal shutters) 1</v>
          </cell>
          <cell r="AD3" t="str">
            <v>Engineered shutter 1</v>
          </cell>
          <cell r="AE3" t="str">
            <v>None 1</v>
          </cell>
          <cell r="AF3" t="str">
            <v>Low 1</v>
          </cell>
          <cell r="AG3" t="str">
            <v>Low 1</v>
          </cell>
          <cell r="AH3" t="str">
            <v>Properly installed with adequate anchorage 1</v>
          </cell>
          <cell r="AI3" t="str">
            <v>No equipment and/or no skylights 1</v>
          </cell>
          <cell r="AJ3" t="str">
            <v>None 1</v>
          </cell>
          <cell r="AK3" t="str">
            <v>0-5 years 1</v>
          </cell>
          <cell r="AL3" t="str">
            <v>0-5 years 1</v>
          </cell>
          <cell r="AM3" t="str">
            <v>Toe nailing / No anchorage 1</v>
          </cell>
          <cell r="AN3" t="str">
            <v>Metal or bolt anchors (high strength) 1</v>
          </cell>
          <cell r="AO3" t="str">
            <v>Poured/Cast In-place Concrete 1</v>
          </cell>
          <cell r="AP3" t="str">
            <v>Flat roof with parapets 1</v>
          </cell>
          <cell r="AQ3" t="str">
            <v>Gable roof high pitch (angle of inclination is greater than 30degrees) 1</v>
          </cell>
          <cell r="AR3" t="str">
            <v>High-pitched Roof (angle of inclination is greater than 45 degrees) 1</v>
          </cell>
          <cell r="AS3" t="str">
            <v>Building Maintenance Enforced 1</v>
          </cell>
          <cell r="AT3" t="str">
            <v>Presence of Parapets 1</v>
          </cell>
          <cell r="AU3" t="str">
            <v>Metal sheathing with exposed fasteners 1</v>
          </cell>
          <cell r="AV3" t="str">
            <v>Concrete fill 1</v>
          </cell>
          <cell r="AW3" t="str">
            <v>Yes (dikes, jetties, levees, or other like protections) 1</v>
          </cell>
          <cell r="AX3" t="str">
            <v>No trees 1</v>
          </cell>
          <cell r="AY3" t="str">
            <v>Regular 1</v>
          </cell>
          <cell r="AZ3" t="str">
            <v>No 1</v>
          </cell>
          <cell r="BA3" t="str">
            <v>No 1</v>
          </cell>
          <cell r="BB3" t="str">
            <v>Some Redundancy 1</v>
          </cell>
          <cell r="BC3" t="str">
            <v>No 1</v>
          </cell>
          <cell r="BD3" t="str">
            <v>No Cladding 1</v>
          </cell>
          <cell r="BE3" t="str">
            <v>Less than 50% wall open 1</v>
          </cell>
          <cell r="BF3" t="str">
            <v>No 1</v>
          </cell>
          <cell r="BG3" t="str">
            <v>No 1</v>
          </cell>
          <cell r="BI3" t="str">
            <v>Little or None 1</v>
          </cell>
          <cell r="BJ3" t="str">
            <v>No Cripple Walls 1</v>
          </cell>
          <cell r="BK3" t="str">
            <v>Bolted 1</v>
          </cell>
          <cell r="BL3" t="str">
            <v>Properly Anchored 1</v>
          </cell>
          <cell r="BM3" t="str">
            <v>No 1</v>
          </cell>
          <cell r="BN3" t="str">
            <v>No 1</v>
          </cell>
          <cell r="BO3" t="str">
            <v>Generally Well Braced 1</v>
          </cell>
          <cell r="BP3" t="str">
            <v>Good 1</v>
          </cell>
          <cell r="BQ3" t="str">
            <v>No Signs of Fatigue 1</v>
          </cell>
          <cell r="BR3" t="str">
            <v>No - the building is 3” or further away for each story 1</v>
          </cell>
          <cell r="BS3" t="str">
            <v>No 1</v>
          </cell>
          <cell r="BT3" t="str">
            <v>No 1</v>
          </cell>
          <cell r="BU3" t="str">
            <v>Wet 1</v>
          </cell>
          <cell r="BV3" t="str">
            <v>Low 1</v>
          </cell>
          <cell r="BW3" t="str">
            <v>No 1</v>
          </cell>
          <cell r="BX3" t="str">
            <v>Tier 1</v>
          </cell>
          <cell r="BY3" t="str">
            <v>California 2</v>
          </cell>
        </row>
        <row r="4">
          <cell r="A4" t="str">
            <v>Alluvium Tunnels -RMS 13</v>
          </cell>
          <cell r="C4" t="str">
            <v>Agriculture  -ATC 20</v>
          </cell>
          <cell r="E4" t="str">
            <v>Moderately damageable (e.g., computers) 2</v>
          </cell>
          <cell r="F4" t="str">
            <v>Average 2</v>
          </cell>
          <cell r="G4" t="str">
            <v>Average 2</v>
          </cell>
          <cell r="I4" t="str">
            <v>North Atlantic &amp; US Certified design &amp; construction  9</v>
          </cell>
          <cell r="J4" t="str">
            <v>Certified design &amp; construction 2</v>
          </cell>
          <cell r="K4" t="str">
            <v>Certificate of occupancy  2</v>
          </cell>
          <cell r="L4" t="str">
            <v>Basement with flood protection 2</v>
          </cell>
          <cell r="M4" t="str">
            <v>Germany &amp; UK Non-industrial basement without flood protection 3</v>
          </cell>
          <cell r="N4" t="str">
            <v>Does not comply with ES-1 2</v>
          </cell>
          <cell r="O4" t="str">
            <v>Unbolted 2</v>
          </cell>
          <cell r="P4" t="str">
            <v>Non-engineered 2</v>
          </cell>
          <cell r="Q4" t="str">
            <v>Fences/Carport 2</v>
          </cell>
          <cell r="R4" t="str">
            <v>Canopies, roof overhanges, carports, parapets, screen enclosures, pool cages, or lanais 2</v>
          </cell>
          <cell r="S4" t="str">
            <v>Metal sheathing 2</v>
          </cell>
          <cell r="T4" t="str">
            <v>Unreinforced masonry 2</v>
          </cell>
          <cell r="U4" t="str">
            <v>Small airborne missiles, e.g., gravel, foliage (structure is within 100 ft. of missiles) 2</v>
          </cell>
          <cell r="V4" t="str">
            <v>6d Nails – Any nail schedule 2</v>
          </cell>
          <cell r="W4" t="str">
            <v>Product evaluation report 2</v>
          </cell>
          <cell r="X4" t="str">
            <v>Galvanized nails, minimum nailing schedule 2</v>
          </cell>
          <cell r="Y4" t="str">
            <v>Extensive ornamentation 2</v>
          </cell>
          <cell r="Z4" t="str">
            <v>Average ornamentation (post-1950 bldgs with fewer ornaments than pre-1950 bldgs 2</v>
          </cell>
          <cell r="AA4" t="str">
            <v>Designed for wind pressure only 2</v>
          </cell>
          <cell r="AB4" t="str">
            <v>All openings designed for medium missiles 2</v>
          </cell>
          <cell r="AC4" t="str">
            <v>Not designed for extreme wind 2</v>
          </cell>
          <cell r="AD4" t="str">
            <v>Simple plywood shutter 2</v>
          </cell>
          <cell r="AE4" t="str">
            <v>Generally protected (the systems are located 5 ft above ground and/or have waterproof coverings) 2</v>
          </cell>
          <cell r="AF4" t="str">
            <v>Average 2</v>
          </cell>
          <cell r="AG4" t="str">
            <v>Average 2</v>
          </cell>
          <cell r="AH4" t="str">
            <v>Obvious signs of deficiencies in the installation 2</v>
          </cell>
          <cell r="AI4" t="str">
            <v>Equipment securely anchored to roof 2</v>
          </cell>
          <cell r="AJ4" t="str">
            <v>Generally Braced 2</v>
          </cell>
          <cell r="AK4" t="str">
            <v>6-10 years 2</v>
          </cell>
          <cell r="AL4" t="str">
            <v>5-10 years 2</v>
          </cell>
          <cell r="AM4" t="str">
            <v>Clips 2</v>
          </cell>
          <cell r="AN4" t="str">
            <v>Toe nailing 2</v>
          </cell>
          <cell r="AO4" t="str">
            <v>Precast Concrete 2</v>
          </cell>
          <cell r="AP4" t="str">
            <v>Flat roof without parapets 2</v>
          </cell>
          <cell r="AQ4" t="str">
            <v>Hip roof 2</v>
          </cell>
          <cell r="AR4" t="str">
            <v>Hipped Roof (angle of inclination is btwn 15 &amp; 45 degrees) 2</v>
          </cell>
          <cell r="AS4" t="str">
            <v>No Building Maintenance 2</v>
          </cell>
          <cell r="AT4" t="str">
            <v>No Parapets 2</v>
          </cell>
          <cell r="AU4" t="str">
            <v>Metal sheathing with concealed fasteners 2</v>
          </cell>
          <cell r="AV4" t="str">
            <v>Metal sheathing 2</v>
          </cell>
          <cell r="AW4" t="str">
            <v>None 2</v>
          </cell>
          <cell r="AX4" t="str">
            <v>Low tree risk (few and/or small trees adjacent to house) 2</v>
          </cell>
          <cell r="AY4" t="str">
            <v>Irregular 2</v>
          </cell>
          <cell r="AZ4" t="str">
            <v>Yes 2</v>
          </cell>
          <cell r="BA4" t="str">
            <v>Yes 2</v>
          </cell>
          <cell r="BB4" t="str">
            <v>Little or No redundancy 2</v>
          </cell>
          <cell r="BC4" t="str">
            <v>Yes 2</v>
          </cell>
          <cell r="BD4" t="str">
            <v>Glass or Precast Concrete 2</v>
          </cell>
          <cell r="BE4" t="str">
            <v>More than 50% wall open 2</v>
          </cell>
          <cell r="BF4" t="str">
            <v>Yes 2</v>
          </cell>
          <cell r="BG4" t="str">
            <v>Yes 2</v>
          </cell>
          <cell r="BI4" t="str">
            <v>Average 2</v>
          </cell>
          <cell r="BJ4" t="str">
            <v>Braced Cripple Walls 2</v>
          </cell>
          <cell r="BK4" t="str">
            <v>Unbolted 2</v>
          </cell>
          <cell r="BL4" t="str">
            <v>Not Properly Anchored 2</v>
          </cell>
          <cell r="BM4" t="str">
            <v>Yes 2</v>
          </cell>
          <cell r="BN4" t="str">
            <v>Yes 2</v>
          </cell>
          <cell r="BO4" t="str">
            <v>Somewhat braced 2</v>
          </cell>
          <cell r="BP4" t="str">
            <v>Average 2</v>
          </cell>
          <cell r="BQ4" t="str">
            <v>Few Signs of Fatigue 2</v>
          </cell>
          <cell r="BR4" t="str">
            <v>Yes - adjacent building is less than 3” for each story in the bldg 2</v>
          </cell>
          <cell r="BS4" t="str">
            <v>Yes 2</v>
          </cell>
          <cell r="BT4" t="str">
            <v>Yes 2</v>
          </cell>
          <cell r="BU4" t="str">
            <v>Dry 2</v>
          </cell>
          <cell r="BV4" t="str">
            <v>High 2</v>
          </cell>
          <cell r="BW4" t="str">
            <v>Yes 2</v>
          </cell>
          <cell r="BX4" t="str">
            <v>Tier 2</v>
          </cell>
          <cell r="BY4" t="str">
            <v>Great Basin 3</v>
          </cell>
        </row>
        <row r="5">
          <cell r="A5" t="str">
            <v>Automobiles (Dealers) -RMS 45</v>
          </cell>
          <cell r="C5" t="str">
            <v>Air  -ATC 28</v>
          </cell>
          <cell r="E5" t="str">
            <v>Damageable (e.g, general office furniture) 3</v>
          </cell>
          <cell r="F5" t="str">
            <v>Good 3</v>
          </cell>
          <cell r="G5" t="str">
            <v>Extensive 3</v>
          </cell>
          <cell r="I5" t="str">
            <v>US ONLY-Fortified for Existing Homes™, Bronze, Option 1   2</v>
          </cell>
          <cell r="K5" t="str">
            <v>No design review or inspection 3</v>
          </cell>
          <cell r="L5" t="str">
            <v>Basement without flood protection 3</v>
          </cell>
          <cell r="M5" t="str">
            <v>Germany &amp; UK Non-industrial basement as dwelling unit 4</v>
          </cell>
          <cell r="P5" t="str">
            <v>Poor wall-to-foundation anchorage 3</v>
          </cell>
          <cell r="Q5" t="str">
            <v>Screen enclosure/Lanai (more than 15% of Bldg. value) 3</v>
          </cell>
          <cell r="R5" t="str">
            <v>Skylights 3</v>
          </cell>
          <cell r="S5" t="str">
            <v>Wood 3</v>
          </cell>
          <cell r="T5" t="str">
            <v>Brick veneer 3</v>
          </cell>
          <cell r="U5" t="str">
            <v>Protective foliage 3</v>
          </cell>
          <cell r="V5" t="str">
            <v>8d Nails – Minimum nail schedule 3</v>
          </cell>
          <cell r="W5" t="str">
            <v>Not designed for extreme wind loading (no engineering review of the cladding) 3</v>
          </cell>
          <cell r="X5" t="str">
            <v>Galvanized nails, high wind nailing schedule 3</v>
          </cell>
          <cell r="Z5" t="str">
            <v>Heavy ornamentation (pre-1950 buildings) 3</v>
          </cell>
          <cell r="AA5" t="str">
            <v>Not Designed for Wind Protection 3</v>
          </cell>
          <cell r="AB5" t="str">
            <v>All openings designed for small missiles 3</v>
          </cell>
          <cell r="AC5" t="str">
            <v>Jalousie or awning windows 3</v>
          </cell>
          <cell r="AD5" t="str">
            <v>No shutter 3</v>
          </cell>
          <cell r="AE5" t="str">
            <v>Generally unprotected (the systems are not elevated or do not have covering) 3</v>
          </cell>
          <cell r="AF5" t="str">
            <v>High 3</v>
          </cell>
          <cell r="AG5" t="str">
            <v>High 3</v>
          </cell>
          <cell r="AI5" t="str">
            <v>Small roof area with poorly anchored equipment (less than 20% of roof area) 3</v>
          </cell>
          <cell r="AJ5" t="str">
            <v>Generally non-Braced 3</v>
          </cell>
          <cell r="AK5" t="str">
            <v>11 years or more 3</v>
          </cell>
          <cell r="AL5" t="str">
            <v>10 years or more 3</v>
          </cell>
          <cell r="AM5" t="str">
            <v>Single wraps 3</v>
          </cell>
          <cell r="AN5" t="str">
            <v>No anchorage 3</v>
          </cell>
          <cell r="AO5" t="str">
            <v>Heavy Steel Frames 3</v>
          </cell>
          <cell r="AP5" t="str">
            <v>Hip roof with slope less than or equal to 6:12 (26.5 degrees) 3</v>
          </cell>
          <cell r="AQ5" t="str">
            <v>Gable roof unknown pitch 3</v>
          </cell>
          <cell r="AR5" t="str">
            <v>Gable Roof (angle of inclination is btw 15&amp;45 degrees &amp; shape is gabled) 3</v>
          </cell>
          <cell r="AU5" t="str">
            <v>Built-up roof or single-ply membrane roof with the presence of gutters 3</v>
          </cell>
          <cell r="AV5" t="str">
            <v>Single ply membrane 3</v>
          </cell>
          <cell r="AX5" t="str">
            <v>High tree risk (multiple tall trees within striking distance of house) 3</v>
          </cell>
          <cell r="BD5" t="str">
            <v>Unreinforced Masonry 3</v>
          </cell>
          <cell r="BI5" t="str">
            <v>Extensive 3</v>
          </cell>
          <cell r="BJ5" t="str">
            <v>Unbraced Cripple Walls 3</v>
          </cell>
          <cell r="BO5" t="str">
            <v>Generally unbraced 3</v>
          </cell>
          <cell r="BP5" t="str">
            <v>Poor 3</v>
          </cell>
          <cell r="BQ5" t="str">
            <v>Obvious Signs of Fatigue 3</v>
          </cell>
          <cell r="BX5" t="str">
            <v>High Hazard 3</v>
          </cell>
          <cell r="BY5" t="str">
            <v>Hawaii 4</v>
          </cell>
        </row>
        <row r="6">
          <cell r="A6" t="str">
            <v>Automobiles (Personal) -RMS 44</v>
          </cell>
          <cell r="C6" t="str">
            <v>Airports (available for JPEQ only) -RMS IND 27</v>
          </cell>
          <cell r="E6" t="str">
            <v>Slightly damageable (e.g., stone, tires) 4</v>
          </cell>
          <cell r="I6" t="str">
            <v>US ONLY-Fortified for Existing Homes™, Bronze, Option 2   3</v>
          </cell>
          <cell r="K6" t="str">
            <v>Obvious signs of duress/distress 4</v>
          </cell>
          <cell r="L6" t="str">
            <v>Basement with unknown flood protection 4</v>
          </cell>
          <cell r="M6" t="str">
            <v>Germany &amp; UK Non-industrial basement as storage space 5</v>
          </cell>
          <cell r="P6" t="str">
            <v>No foundation 4</v>
          </cell>
          <cell r="Q6" t="str">
            <v>Screen enclosure/Lanai (less than 15% of Bldg. value) 4</v>
          </cell>
          <cell r="R6" t="str">
            <v>Skylights with covers 4</v>
          </cell>
          <cell r="S6" t="str">
            <v>EIFS / Stucco 4</v>
          </cell>
          <cell r="T6" t="str">
            <v>Metal sheathing 4</v>
          </cell>
          <cell r="U6" t="str">
            <v>Gravel ballast present 4</v>
          </cell>
          <cell r="V6" t="str">
            <v>8d Nails – High wind nail schedule 4</v>
          </cell>
          <cell r="X6" t="str">
            <v>6d nails, unknown nailing schedule 4</v>
          </cell>
          <cell r="AA6" t="str">
            <v>No door 4</v>
          </cell>
          <cell r="AB6" t="str">
            <v>All glazed openings designed for large missiles 4</v>
          </cell>
          <cell r="AC6" t="str">
            <v>Casement windows 4</v>
          </cell>
          <cell r="AD6" t="str">
            <v>Well-designed plywood shutter 4</v>
          </cell>
          <cell r="AF6" t="str">
            <v>Very High 4</v>
          </cell>
          <cell r="AG6" t="str">
            <v>Very High 4</v>
          </cell>
          <cell r="AI6" t="str">
            <v>Substantial roof area (more than 20% of roof area) 4</v>
          </cell>
          <cell r="AK6" t="str">
            <v>Obvious signs of deterioration and distress 4</v>
          </cell>
          <cell r="AM6" t="str">
            <v>Double wraps 4</v>
          </cell>
          <cell r="AN6" t="str">
            <v>Metal or bolt anchors (average strength) 4</v>
          </cell>
          <cell r="AO6" t="str">
            <v>Light Gauge Steel Purlins 4</v>
          </cell>
          <cell r="AP6" t="str">
            <v>Hip roof with slope greater than 6:12 (26.5 degrees) 4</v>
          </cell>
          <cell r="AQ6" t="str">
            <v>Flat roof (angle of inclination is less than 15 degrees) 4</v>
          </cell>
          <cell r="AR6" t="str">
            <v>Flat Roof (angle of inclination is less than 15 degrees) 4</v>
          </cell>
          <cell r="AU6" t="str">
            <v>Built-up roof or single-ply membrane roof without the presence of gutters 4</v>
          </cell>
          <cell r="AV6" t="str">
            <v>Built-up 4</v>
          </cell>
          <cell r="BP6" t="str">
            <v>IBHS “Fortified” Program 4</v>
          </cell>
          <cell r="BX6" t="str">
            <v>Medium Hazard 4</v>
          </cell>
          <cell r="BY6" t="str">
            <v>Midwest Dakotas 5</v>
          </cell>
        </row>
        <row r="7">
          <cell r="A7" t="str">
            <v>Boats, inside a Building (Marina) -RMS 54</v>
          </cell>
          <cell r="C7" t="str">
            <v>Casinos  -ATC 48</v>
          </cell>
          <cell r="I7" t="str">
            <v>US ONLY-Fortified for Existing Homes ™, Silver, Option 1   4</v>
          </cell>
          <cell r="K7" t="str">
            <v>IBHS Fortified program 5</v>
          </cell>
          <cell r="M7" t="str">
            <v>Germany Only-Industrial basement with unknown flood resilience 6</v>
          </cell>
          <cell r="P7" t="str">
            <v>Pier and beam, stacked block, CMU wall 5</v>
          </cell>
          <cell r="S7" t="str">
            <v>Impact rated glazing 5</v>
          </cell>
          <cell r="T7" t="str">
            <v>Wood 5</v>
          </cell>
          <cell r="U7" t="str">
            <v>Potential severe missile exposure (trees within striking distance of structure) 5</v>
          </cell>
          <cell r="V7" t="str">
            <v>10d Nails – High wind nail schedule 5</v>
          </cell>
          <cell r="X7" t="str">
            <v>6d nails, minimum nailing schedule 5</v>
          </cell>
          <cell r="AB7" t="str">
            <v>All glazed openings designed for medium missiles 5</v>
          </cell>
          <cell r="AC7" t="str">
            <v>Sliding windows 5</v>
          </cell>
          <cell r="AD7" t="str">
            <v>Laminated glass (non-impact rated) 5</v>
          </cell>
          <cell r="AM7" t="str">
            <v>Structural 5</v>
          </cell>
          <cell r="AN7" t="str">
            <v>Metal or bolt anchors (above average strength) (US WINDSTORM ONLY) 5</v>
          </cell>
          <cell r="AO7" t="str">
            <v>Wood Purlins 5</v>
          </cell>
          <cell r="AP7" t="str">
            <v>Gable roof with slope less than or equal to 6:12 (26.5degrees) 5</v>
          </cell>
          <cell r="AQ7" t="str">
            <v>Gable roof low pitch (angle of inclination is less than 10 degrees) 5</v>
          </cell>
          <cell r="AU7" t="str">
            <v>Concrete/clay tiles 5</v>
          </cell>
          <cell r="AV7" t="str">
            <v>Normal shingle (55 mph) 5</v>
          </cell>
          <cell r="BX7" t="str">
            <v>Low Hazard 5</v>
          </cell>
          <cell r="BY7" t="str">
            <v>Midwest Southern 6</v>
          </cell>
        </row>
        <row r="8">
          <cell r="A8" t="str">
            <v>Boats, Moored, 26 60 ft, motor -RMS 57</v>
          </cell>
          <cell r="C8" t="str">
            <v>Chemicals Processing   -ATC 15</v>
          </cell>
          <cell r="I8" t="str">
            <v>US ONLY-Fortified for Existing Homes ™, Silver, Option 2   5</v>
          </cell>
          <cell r="M8" t="str">
            <v>Germany Only-Industrial basement with low flood resilience 8</v>
          </cell>
          <cell r="P8" t="str">
            <v>Slab-on-grade, poured-in-place 6</v>
          </cell>
          <cell r="S8" t="str">
            <v>Glazing not designed for impact with gravel rooftop within 1000 ft 6</v>
          </cell>
          <cell r="T8" t="str">
            <v>EIFS (Not used for Europe Flood) 6</v>
          </cell>
          <cell r="U8" t="str">
            <v>HURRICANE ONLY (N/A to NORTH ATLANTIC OR CHINA) Isolated large trees 6</v>
          </cell>
          <cell r="V8" t="str">
            <v>Dimensional lumber/Tongue &amp; groove decking with a min of 2 nails per board 6</v>
          </cell>
          <cell r="X8" t="str">
            <v>6d nails, high-wind nailing schedule 6</v>
          </cell>
          <cell r="AB8" t="str">
            <v>All glazed openings designed for small missiles 6</v>
          </cell>
          <cell r="AD8" t="str">
            <v>Impact resistant glass 6</v>
          </cell>
          <cell r="AP8" t="str">
            <v>Gable roof with slope greater than 6:12 (26.5 degrees) 6</v>
          </cell>
          <cell r="AQ8" t="str">
            <v>Gable roof medium pitch (angle of inclination is between 10 and 30 degrees) 6</v>
          </cell>
          <cell r="AU8" t="str">
            <v>Wood shakes 6</v>
          </cell>
          <cell r="AV8" t="str">
            <v>Concrete/clay tiles 6</v>
          </cell>
          <cell r="BY8" t="str">
            <v>New Madrid 7</v>
          </cell>
        </row>
        <row r="9">
          <cell r="A9" t="str">
            <v>Boats, Moored, 26 60 ft, sail -RMS 58</v>
          </cell>
          <cell r="C9" t="str">
            <v>Communication (Radio and TV) -ATC 35</v>
          </cell>
          <cell r="I9" t="str">
            <v>US ONLY-Fortified for Existing Homes™, Gold, Option 1   6</v>
          </cell>
          <cell r="M9" t="str">
            <v>Germany Only-Industrial basement as storage space 9</v>
          </cell>
          <cell r="S9" t="str">
            <v>Glazing not designed for impact without gravel rooftop within 1000 ft 7</v>
          </cell>
          <cell r="T9" t="str">
            <v>Laminated glass 7</v>
          </cell>
          <cell r="X9" t="str">
            <v>8d nails, unknown nailing schedule 7</v>
          </cell>
          <cell r="AB9" t="str">
            <v>All glazed openings covered with plywood/oriented strand board (OSB) 7</v>
          </cell>
          <cell r="AD9" t="str">
            <v>Shutter designed for pressure only 7</v>
          </cell>
          <cell r="AP9" t="str">
            <v>Braced gable roof with slope less than or equal to 6:12 (26.5degrees) 7</v>
          </cell>
          <cell r="AQ9" t="str">
            <v>Monoslope roof 7</v>
          </cell>
          <cell r="AU9" t="str">
            <v>Normal shingle (55 mph) 7</v>
          </cell>
          <cell r="AV9" t="str">
            <v>Wood shingles 7</v>
          </cell>
          <cell r="BY9" t="str">
            <v>Northeast 8</v>
          </cell>
        </row>
        <row r="10">
          <cell r="A10" t="str">
            <v>Boats, Moored, Greater 60 ft, motor -RMS 59</v>
          </cell>
          <cell r="C10" t="str">
            <v>Construction (Storage and maintenence facilities of a construction company)    -ATC 18</v>
          </cell>
          <cell r="I10" t="str">
            <v>US ONLY-Fortified for Existing Homes™, Gold , Option 2   7</v>
          </cell>
          <cell r="S10" t="str">
            <v>Vinyl siding 8</v>
          </cell>
          <cell r="T10" t="str">
            <v>Non-protected glass 8</v>
          </cell>
          <cell r="X10" t="str">
            <v>8d nails, minimum nailing schedule 8</v>
          </cell>
          <cell r="AB10" t="str">
            <v>At least one glazed exterior opening does not have windborne debris protection 8</v>
          </cell>
          <cell r="AP10" t="str">
            <v>Braced gable roof with slope greater than 6:12 (26.5degrees) 8</v>
          </cell>
          <cell r="AQ10" t="str">
            <v>Braced Gable (medium or unknown pitch) 8</v>
          </cell>
          <cell r="AU10" t="str">
            <v>Normal shingle (55 mph) with Secondary Water Resistance 8</v>
          </cell>
          <cell r="AV10" t="str">
            <v>Rated shingle (110 mph) 8</v>
          </cell>
          <cell r="BY10" t="str">
            <v>Northern Rockies 9</v>
          </cell>
        </row>
        <row r="11">
          <cell r="A11" t="str">
            <v>Boats, Moored, Greater 60 ft, sail -RMS 60</v>
          </cell>
          <cell r="C11" t="str">
            <v>Dwelling (Caribbean, Mexico &amp; Central America Only)  -ATC 40</v>
          </cell>
          <cell r="I11" t="str">
            <v>US ONLY-Fortified…for Safer Living™ [Post 2001]   8</v>
          </cell>
          <cell r="T11" t="str">
            <v>Vinyl 9</v>
          </cell>
          <cell r="X11" t="str">
            <v>8d nails, high-wind nailing schedule 9</v>
          </cell>
          <cell r="AB11" t="str">
            <v>No glazed exterior openings have wind-borne debris protection 9</v>
          </cell>
          <cell r="AQ11" t="str">
            <v>Braced Gable (high pitch) 9</v>
          </cell>
          <cell r="AU11" t="str">
            <v>Shingle rated for high wind speeds (110 mph) 9</v>
          </cell>
          <cell r="AV11" t="str">
            <v>Rated shingle (110 mph) with Secondary Water Resistance  9</v>
          </cell>
          <cell r="BY11" t="str">
            <v>Pacific Northwest 10</v>
          </cell>
        </row>
        <row r="12">
          <cell r="A12" t="str">
            <v>Boats, Moored, Less than 26 ft, motor -RMS 55</v>
          </cell>
          <cell r="C12" t="str">
            <v>Education (K-12, Daycare,Nursery, and other elementary education services )  -ATC 25</v>
          </cell>
          <cell r="X12" t="str">
            <v>10d nails or screws 10</v>
          </cell>
          <cell r="AU12" t="str">
            <v>Shingle rated for high wind speeds (110 mph) with Secondary Water Resistance 10</v>
          </cell>
          <cell r="AV12" t="str">
            <v>Single ply membrane, ballasted (US ONLY) 10</v>
          </cell>
          <cell r="BY12" t="str">
            <v>Southeast 11</v>
          </cell>
        </row>
        <row r="13">
          <cell r="A13" t="str">
            <v>Boats, Moored, Less than 26 ft, sail -RMS 56</v>
          </cell>
          <cell r="C13" t="str">
            <v>Electrical   -ATC 30</v>
          </cell>
          <cell r="AV13" t="str">
            <v>Built-up, ballasted (US ONLY) 11</v>
          </cell>
          <cell r="BY13" t="str">
            <v>Southern Rockies 12</v>
          </cell>
        </row>
        <row r="14">
          <cell r="A14" t="str">
            <v>Broadcast Towers -RMS 32</v>
          </cell>
          <cell r="C14" t="str">
            <v>Emergency Response Services   -ATC 24</v>
          </cell>
          <cell r="AV14" t="str">
            <v>Normal single, laminate (US ONLY) 12</v>
          </cell>
          <cell r="BY14" t="str">
            <v>High Hazard 13</v>
          </cell>
        </row>
        <row r="15">
          <cell r="A15" t="str">
            <v>Canals -RMS 35</v>
          </cell>
          <cell r="C15" t="str">
            <v>Entertainment and Recreation   -ATC 10</v>
          </cell>
          <cell r="AV15" t="str">
            <v>(US ONLY) U.L. Standard 2218 Class 1 13</v>
          </cell>
          <cell r="BY15" t="str">
            <v>Medium Hazard 14</v>
          </cell>
        </row>
        <row r="16">
          <cell r="A16" t="str">
            <v>Cast-In-Place Reinforced Concrete With Concrete Roof Deck -RMS 3A</v>
          </cell>
          <cell r="C16" t="str">
            <v>Flood Control  -ATC 36</v>
          </cell>
          <cell r="AV16" t="str">
            <v>(US ONLY) U.L. Standard 2218 Class 2 14</v>
          </cell>
          <cell r="BY16" t="str">
            <v>Low Hazard 15</v>
          </cell>
        </row>
        <row r="17">
          <cell r="A17" t="str">
            <v>Concentrically Braced Steel Frame -RMS 4A4</v>
          </cell>
          <cell r="C17" t="str">
            <v>Food and Drugs Processing -ATC 14</v>
          </cell>
          <cell r="AV17" t="str">
            <v>(US ONLY) U.L. Standard 2218 Class 3 15</v>
          </cell>
        </row>
        <row r="18">
          <cell r="A18" t="str">
            <v>Concrete Dams -RMS 11</v>
          </cell>
          <cell r="C18" t="str">
            <v>Gasoline Service Station  -ATC 44</v>
          </cell>
          <cell r="AV18" t="str">
            <v>(US ONLY) U.L. Standard 2218 Class 4 16</v>
          </cell>
        </row>
        <row r="19">
          <cell r="A19" t="str">
            <v>Confined Masonry -RMS 2C2</v>
          </cell>
          <cell r="C19" t="str">
            <v>General Commercial -ATC 37</v>
          </cell>
        </row>
        <row r="20">
          <cell r="A20" t="str">
            <v>Conventional (&lt;100 ft) Electrical Transmission Line Towers -RMS 30</v>
          </cell>
          <cell r="C20" t="str">
            <v>General Industrial -ATC 38</v>
          </cell>
        </row>
        <row r="21">
          <cell r="A21" t="str">
            <v>Conventional Bridges (&lt;500 ft spans) with Continuous/Monolithic Spans -RMS 7</v>
          </cell>
          <cell r="C21" t="str">
            <v>General Services   -ATC 23</v>
          </cell>
        </row>
        <row r="22">
          <cell r="A22" t="str">
            <v>Conventional Bridges (&lt;500 ft spans) with Multiple Simple Spans -RMS 6</v>
          </cell>
          <cell r="C22" t="str">
            <v>Group Institutional Housing  -ATC 4</v>
          </cell>
        </row>
        <row r="23">
          <cell r="A23" t="str">
            <v>Conveyor Systems -RMS 29</v>
          </cell>
          <cell r="C23" t="str">
            <v>Health Care Service   -ATC 9</v>
          </cell>
        </row>
        <row r="24">
          <cell r="A24" t="str">
            <v>Cranes -RMS 28</v>
          </cell>
          <cell r="C24" t="str">
            <v>Heavy Fabrication and Assembly   -ATC 12</v>
          </cell>
        </row>
        <row r="25">
          <cell r="A25" t="str">
            <v>Cut &amp; Cover Tunnels -RMS 15</v>
          </cell>
          <cell r="C25" t="str">
            <v>High Technology   -ATC 17</v>
          </cell>
        </row>
        <row r="26">
          <cell r="A26" t="str">
            <v>Earth Retaining Structures (&gt;20 ft High) -RMS 36</v>
          </cell>
          <cell r="C26" t="str">
            <v>Highway   -ATC 26</v>
          </cell>
        </row>
        <row r="27">
          <cell r="A27" t="str">
            <v>Earthfill and Rockfill Dams -RMS 12</v>
          </cell>
          <cell r="C27" t="str">
            <v>Homeowner (Caribbean Hurricane Only)  -ATC 41</v>
          </cell>
        </row>
        <row r="28">
          <cell r="A28" t="str">
            <v>Eccentrically Braced Steel Frame -RMS 4A5</v>
          </cell>
          <cell r="C28" t="str">
            <v>Hotels - Large - ATC 51</v>
          </cell>
        </row>
        <row r="29">
          <cell r="A29" t="str">
            <v>Electrical Equipment -RMS 40</v>
          </cell>
          <cell r="C29" t="str">
            <v>Hotels - Small and Medium - ATC 52</v>
          </cell>
        </row>
        <row r="30">
          <cell r="A30" t="str">
            <v>Elevated Liquid Storage Tanks -RMS 20</v>
          </cell>
          <cell r="C30" t="str">
            <v>Light Fabrication and Assembly -ATC 13</v>
          </cell>
        </row>
        <row r="31">
          <cell r="A31" t="str">
            <v>Elevated Solid Storage Tanks -RMS 21</v>
          </cell>
          <cell r="C31" t="str">
            <v>Metal and Minerals Processing   -ATC 16</v>
          </cell>
        </row>
        <row r="32">
          <cell r="A32" t="str">
            <v>Floating Structures -RMS 61</v>
          </cell>
          <cell r="C32" t="str">
            <v>Mining   -ATC 21</v>
          </cell>
        </row>
        <row r="33">
          <cell r="A33" t="str">
            <v>Golf Course Grounds -RMS 53</v>
          </cell>
          <cell r="C33" t="str">
            <v>Miscellaneous -ATC 39</v>
          </cell>
        </row>
        <row r="34">
          <cell r="A34" t="str">
            <v>Heavy Timber Frame with Unreinforced Masonry Infill -RMS 1B2</v>
          </cell>
          <cell r="C34" t="str">
            <v>Multi-Family Dwelling– Condominium Unit Owner  -ATC 43</v>
          </cell>
        </row>
        <row r="35">
          <cell r="A35" t="str">
            <v>Heavy Timber Frame -RMS 1B1</v>
          </cell>
          <cell r="C35" t="str">
            <v>Multi-Family Dwelling– Homeowners Association  -ATC 42</v>
          </cell>
        </row>
        <row r="36">
          <cell r="A36" t="str">
            <v>Heavy Timber -RMS 1B</v>
          </cell>
          <cell r="C36" t="str">
            <v>Natural Gas   -ATC 33</v>
          </cell>
        </row>
        <row r="37">
          <cell r="A37" t="str">
            <v>High Industrial Concrete Chimneys -RMS 26</v>
          </cell>
          <cell r="C37" t="str">
            <v>OSHPD Acute Care Services Hospitals (California Only)  -ATC 50</v>
          </cell>
        </row>
        <row r="38">
          <cell r="A38" t="str">
            <v>High Industrial Masonry Chimneys -RMS 25</v>
          </cell>
          <cell r="C38" t="str">
            <v>Parking  -ATC 11</v>
          </cell>
        </row>
        <row r="39">
          <cell r="A39" t="str">
            <v>High Industrial Steel Chimneys -RMS 27</v>
          </cell>
          <cell r="C39" t="str">
            <v>Permanent Dwelling (multi-family housing)   -ATC 2</v>
          </cell>
        </row>
        <row r="40">
          <cell r="A40" t="str">
            <v>High Technology Lab Equipment -RMS 42</v>
          </cell>
          <cell r="C40" t="str">
            <v>Permanent Dwelling (single family housing) -ATC 1</v>
          </cell>
        </row>
        <row r="41">
          <cell r="A41" t="str">
            <v>Highways -RMS 23</v>
          </cell>
          <cell r="C41" t="str">
            <v>Personal and Repair Services   -ATC 7</v>
          </cell>
        </row>
        <row r="42">
          <cell r="A42" t="str">
            <v>Lift Slab -RMS 3B6</v>
          </cell>
          <cell r="C42" t="str">
            <v>Petroleum   -ATC 19</v>
          </cell>
        </row>
        <row r="43">
          <cell r="A43" t="str">
            <v>Light Metal Frame with Unreinforced Masonry Infill -RMS 4B2</v>
          </cell>
          <cell r="C43" t="str">
            <v>Professional, Technical and Business Services   -ATC 8</v>
          </cell>
        </row>
        <row r="44">
          <cell r="A44" t="str">
            <v>Light Metal Frame -RMS 4B1</v>
          </cell>
          <cell r="C44" t="str">
            <v>Railroad   -ATC 27</v>
          </cell>
        </row>
        <row r="45">
          <cell r="A45" t="str">
            <v>Light Metal -RMS 4B</v>
          </cell>
          <cell r="C45" t="str">
            <v>Religion and Nonprofit   -ATC 22</v>
          </cell>
        </row>
        <row r="46">
          <cell r="A46" t="str">
            <v>Light Wood Frame -RMS 1A</v>
          </cell>
          <cell r="C46" t="str">
            <v>Rental - General Commercial -ATC 53</v>
          </cell>
        </row>
        <row r="47">
          <cell r="A47" t="str">
            <v>Light Wood Post &amp; Beam -RMS 1A2</v>
          </cell>
          <cell r="C47" t="str">
            <v>Restaurants  -ATC 47</v>
          </cell>
        </row>
        <row r="48">
          <cell r="A48" t="str">
            <v>Light Wood Stud Walls -RMS 1A1</v>
          </cell>
          <cell r="C48" t="str">
            <v>Retail Trade   -ATC 5</v>
          </cell>
        </row>
        <row r="49">
          <cell r="A49" t="str">
            <v>Major (&gt;100 ft) Electrical Transmission Line Towers -RMS 31</v>
          </cell>
          <cell r="C49" t="str">
            <v>Sanitary Sewer   -ATC 32</v>
          </cell>
        </row>
        <row r="50">
          <cell r="A50" t="str">
            <v>Major Bridges (&gt;500 ft spans) -RMS 8</v>
          </cell>
          <cell r="C50" t="str">
            <v>Sea/Water   -ATC 29</v>
          </cell>
        </row>
        <row r="51">
          <cell r="A51" t="str">
            <v>Manufactured &amp; Mobile Home -RMS 5</v>
          </cell>
          <cell r="C51" t="str">
            <v>Telephone &amp; Telegraph   -ATC 34</v>
          </cell>
        </row>
        <row r="52">
          <cell r="A52" t="str">
            <v>Manufactured/Mobile Home with Tie-Downs -RMS 5B</v>
          </cell>
          <cell r="C52" t="str">
            <v>Temporary Lodging  -ATC 3</v>
          </cell>
        </row>
        <row r="53">
          <cell r="A53" t="str">
            <v>Manufactured/Mobile Home without Tie-Downs -RMS 5A</v>
          </cell>
          <cell r="C53" t="str">
            <v>Universities and Colleges -ATC 54</v>
          </cell>
        </row>
        <row r="54">
          <cell r="A54" t="str">
            <v>Masonry -RMS 2</v>
          </cell>
          <cell r="C54" t="str">
            <v>Unknown -ATC 0</v>
          </cell>
        </row>
        <row r="55">
          <cell r="A55" t="str">
            <v>Masonry with flat roof (Europe Windstorm) -RMS 2D3</v>
          </cell>
          <cell r="C55" t="str">
            <v>Unknown -RMS IND 0</v>
          </cell>
        </row>
        <row r="56">
          <cell r="A56" t="str">
            <v>Masonry with low slope tiled roof (Europe Windstorm) -RMS 2D2</v>
          </cell>
          <cell r="C56" t="str">
            <v>Water   -ATC 31</v>
          </cell>
        </row>
        <row r="57">
          <cell r="A57" t="str">
            <v>Masonry with steep tiled roof (Europe Windstorm) -RMS 2D1</v>
          </cell>
          <cell r="C57" t="str">
            <v>Wholesale Trade   -ATC 6</v>
          </cell>
        </row>
        <row r="58">
          <cell r="A58" t="str">
            <v>Masonry with thatch roof (Europe Windstorm) -RMS 2D4</v>
          </cell>
          <cell r="C58" t="str">
            <v>Unknown -RMS IND 0</v>
          </cell>
        </row>
        <row r="59">
          <cell r="A59" t="str">
            <v>Mechanical Equipment -RMS 41</v>
          </cell>
          <cell r="C59" t="str">
            <v>Chemical Processing - Primarily -Indoor -RMS IND 2011</v>
          </cell>
        </row>
        <row r="60">
          <cell r="A60" t="str">
            <v>MIXED (Greece only) -RMS 52</v>
          </cell>
          <cell r="C60" t="str">
            <v>Chemical Processing - Primarily Outdoor  -RMS IND 2001</v>
          </cell>
        </row>
        <row r="61">
          <cell r="A61" t="str">
            <v>Observation Towers -RMS 33</v>
          </cell>
          <cell r="C61" t="str">
            <v>Communications -RMS IND 7031</v>
          </cell>
        </row>
        <row r="62">
          <cell r="A62" t="str">
            <v>Office Equipment -RMS 39</v>
          </cell>
          <cell r="C62" t="str">
            <v>Dams, Reservoirs Only -RMS IND 7051</v>
          </cell>
        </row>
        <row r="63">
          <cell r="A63" t="str">
            <v>Offshore Towers -RMS 34</v>
          </cell>
          <cell r="C63" t="str">
            <v>Data Processing/Telecommunications -RMS IND 7021</v>
          </cell>
        </row>
        <row r="64">
          <cell r="A64" t="str">
            <v>On Ground Liquid Storage Tanks -RMS 18</v>
          </cell>
          <cell r="C64" t="str">
            <v>Electric Power - Nuclear Power Plants -RMS IND 6021</v>
          </cell>
        </row>
        <row r="65">
          <cell r="A65" t="str">
            <v>On Ground Solid Storage Tanks -RMS 19</v>
          </cell>
          <cell r="C65" t="str">
            <v>Electric Power - Solar Farms -RMS 6041</v>
          </cell>
        </row>
        <row r="66">
          <cell r="A66" t="str">
            <v>Pipelines at Grade -RMS 10</v>
          </cell>
          <cell r="C66" t="str">
            <v>Electric Power - Substations (Large) -RMS IND 6013</v>
          </cell>
        </row>
        <row r="67">
          <cell r="A67" t="str">
            <v>Precast Moment Resisting Frame -RMS 3B1</v>
          </cell>
          <cell r="C67" t="str">
            <v>Electric Power - Substations (Medium) -RMS IND 6012</v>
          </cell>
        </row>
        <row r="68">
          <cell r="A68" t="str">
            <v>Precast MRF with Shear Walls -RMS 3B2</v>
          </cell>
          <cell r="C68" t="str">
            <v>Electric Power - Substations (Small) -RMS IND 6011</v>
          </cell>
        </row>
        <row r="69">
          <cell r="A69" t="str">
            <v>Precast MRF with Unreinforced Masonry Infill -RMS 3B3</v>
          </cell>
          <cell r="C69" t="str">
            <v>Electric Power - Transmission &amp; Distribution Lines -RMS IND 6001</v>
          </cell>
        </row>
        <row r="70">
          <cell r="A70" t="str">
            <v>Precast Panel Bearing Wall -RMS 3B5</v>
          </cell>
          <cell r="C70" t="str">
            <v>Electric Power - Wind Farms (Large) -RMS IND 6032</v>
          </cell>
        </row>
        <row r="71">
          <cell r="A71" t="str">
            <v>Precast Reinforced Concrete With Concrete Roof Deck -RMS 3B</v>
          </cell>
          <cell r="C71" t="str">
            <v>Electric Power - Wind Farms (Medium) -RMS IND 6032</v>
          </cell>
        </row>
        <row r="72">
          <cell r="A72" t="str">
            <v>Railroad (Track and Bed) -RMS 22</v>
          </cell>
          <cell r="C72" t="str">
            <v>Electric Power - Wind Farms (Small) -RMS IND 6031</v>
          </cell>
        </row>
        <row r="73">
          <cell r="A73" t="str">
            <v>RCMRF with Shear Walls -RMS 3A2</v>
          </cell>
          <cell r="C73" t="str">
            <v>Electric Power Generation - Cogeneration Plants (Large) -RMS IND 5023</v>
          </cell>
        </row>
        <row r="74">
          <cell r="A74" t="str">
            <v>RCMRF with Unreinforced Masonry Infill -RMS 3A3</v>
          </cell>
          <cell r="C74" t="str">
            <v>Electric Power Generation - Cogeneration Plants (Medium) -RMS IND 5022</v>
          </cell>
        </row>
        <row r="75">
          <cell r="A75" t="str">
            <v>Reinforced Concrete Moment Resisting Frame (RCMRF) -RMS 3A1</v>
          </cell>
          <cell r="C75" t="str">
            <v>Electric Power Generation - Cogeneration Plants (Small) -RMS IND 5021</v>
          </cell>
        </row>
        <row r="76">
          <cell r="A76" t="str">
            <v>Reinforced Concrete -RMS 3</v>
          </cell>
          <cell r="C76" t="str">
            <v>Electric Power Generation - Fossil Fuel (Coal and Oil) Plants (Large) -RMS IND 5003</v>
          </cell>
        </row>
        <row r="77">
          <cell r="A77" t="str">
            <v>Reinforced Concrete Shear Wall -RMS 3A4</v>
          </cell>
          <cell r="C77" t="str">
            <v>Electric Power Generation - Fossil Fuel (Coal and Oil) Plants (Medium) -RMS IND 5002</v>
          </cell>
        </row>
        <row r="78">
          <cell r="A78" t="str">
            <v>Reinforced Concrete with flat roof (Europe Windstorm) -RMS 3C2</v>
          </cell>
          <cell r="C78" t="str">
            <v>Electric Power Generation - Fossil Fuel (Coal and Oil) Plants (Small) -RMS IND 5001</v>
          </cell>
        </row>
        <row r="79">
          <cell r="A79" t="str">
            <v>Reinforced Concrete with tiled roof (Europe Windstorm) -RMS 3C1</v>
          </cell>
          <cell r="C79" t="str">
            <v>Electric Power Generation - Gas Power (Large) -RMS IND 5033</v>
          </cell>
        </row>
        <row r="80">
          <cell r="A80" t="str">
            <v>Reinforced Concrete With Wood Or Metal Roof Deck (US&amp;CB HU Only) -RMS 3C</v>
          </cell>
          <cell r="C80" t="str">
            <v>Electric Power Generation - Gas Power (Medium) -RMS IND 5032</v>
          </cell>
        </row>
        <row r="81">
          <cell r="A81" t="str">
            <v>Reinforced Masonry -RMS 2C1</v>
          </cell>
          <cell r="C81" t="str">
            <v>Electric Power Generation - Gas Power (Small) -RMS IND 5031</v>
          </cell>
        </row>
        <row r="82">
          <cell r="A82" t="str">
            <v>Residential Equipment -RMS 38</v>
          </cell>
          <cell r="C82" t="str">
            <v>Electric Power Generation - Hydroelectric Plants -RMS IND 5011</v>
          </cell>
        </row>
        <row r="83">
          <cell r="A83" t="str">
            <v>Rock Tunnels -RMS 14</v>
          </cell>
          <cell r="C83" t="str">
            <v>Food and Beverage -RMS IND 7011</v>
          </cell>
        </row>
        <row r="84">
          <cell r="A84" t="str">
            <v>Rubble Stone Masonry -RMS 2A1</v>
          </cell>
          <cell r="C84" t="str">
            <v>Heavy Industrial - Cement Mills -RMS IND 1011</v>
          </cell>
        </row>
        <row r="85">
          <cell r="A85" t="str">
            <v>Runways -RMS 24</v>
          </cell>
          <cell r="C85" t="str">
            <v>Heavy Industrial - General -RMS IND 1051</v>
          </cell>
        </row>
        <row r="86">
          <cell r="A86" t="str">
            <v>Steel -RMS 4</v>
          </cell>
          <cell r="C86" t="str">
            <v>Heavy Industrial - Glass Plant -RMS IND 1041</v>
          </cell>
        </row>
        <row r="87">
          <cell r="A87" t="str">
            <v>Steel &amp; Reinforced Concrete (SRC)Composite Frame -RMS 3A6</v>
          </cell>
          <cell r="C87" t="str">
            <v>Heavy Industrial - Mining (Includes aboveground buildings &amp; equipment) -RMS IND 1001</v>
          </cell>
        </row>
        <row r="88">
          <cell r="A88" t="str">
            <v>Steel Frame With Concrete Roof Deck -RMS 4A</v>
          </cell>
          <cell r="C88" t="str">
            <v>Heavy Industrial - Paper and Pulp -RMS IND 1031</v>
          </cell>
        </row>
        <row r="89">
          <cell r="A89" t="str">
            <v>Steel frame with flat roof (Europe Windstorm) -RMS 4C2</v>
          </cell>
          <cell r="C89" t="str">
            <v>Heavy -Industrial - Steel Mills -RMS IND 1021</v>
          </cell>
        </row>
        <row r="90">
          <cell r="A90" t="str">
            <v>Steel frame with tiled roof (Europe Windstorm) -RMS 4C1</v>
          </cell>
          <cell r="C90" t="str">
            <v>Light -Industrial - Biomedical -RMS IND 3021</v>
          </cell>
        </row>
        <row r="91">
          <cell r="A91" t="str">
            <v>Steel Frame With Wood Or Metal Roof Deck -RMS 4C</v>
          </cell>
          <cell r="C91" t="str">
            <v>Light -Industrial - Electronics -RMS IND 3001</v>
          </cell>
        </row>
        <row r="92">
          <cell r="A92" t="str">
            <v>Steel Moment Resisting Frame (MRF) -RMS 4A1</v>
          </cell>
          <cell r="C92" t="str">
            <v>Light -Industrial - General Assembly -RMS IND 3041</v>
          </cell>
        </row>
        <row r="93">
          <cell r="A93" t="str">
            <v>Steel MRF with Shear Walls -RMS 4A2</v>
          </cell>
          <cell r="C93" t="str">
            <v>Light -Industrial - General Manufacturing -RMS IND 3051</v>
          </cell>
        </row>
        <row r="94">
          <cell r="A94" t="str">
            <v>Steel MRF with Unreinforced Masonry Infill -RMS 4A3</v>
          </cell>
          <cell r="C94" t="str">
            <v>Light -Industrial - Pharmaceuticals -RMS IND 3011</v>
          </cell>
        </row>
        <row r="95">
          <cell r="A95" t="str">
            <v>Structural Masonry -RMS 2C</v>
          </cell>
          <cell r="C95" t="str">
            <v>Light -Industrial - Semiconductor -RMS IND 3031</v>
          </cell>
        </row>
        <row r="96">
          <cell r="A96" t="str">
            <v>Tilt-up -RMS 3B4</v>
          </cell>
          <cell r="C96" t="str">
            <v>Light Industrial - Technological Risk -RMS IND 3061</v>
          </cell>
        </row>
        <row r="97">
          <cell r="A97" t="str">
            <v>Timber frame with flat roof (Europe Windstorm) -RMS 1C2</v>
          </cell>
          <cell r="C97" t="str">
            <v>Mechanical Equipment -RMS IND 7071</v>
          </cell>
        </row>
        <row r="98">
          <cell r="A98" t="str">
            <v>Timber frame with thatch roof (Europe Windstorm) -RMS 1C3</v>
          </cell>
          <cell r="C98" t="str">
            <v>Natural Gas Facilities -RMS IND 7001</v>
          </cell>
        </row>
        <row r="99">
          <cell r="A99" t="str">
            <v>Timber frame with tiled roof (Europe Windstorm) -RMS 1C1</v>
          </cell>
          <cell r="C99" t="str">
            <v>Petrochemical - Oil Refineries -RMS IND 4001</v>
          </cell>
        </row>
        <row r="100">
          <cell r="A100" t="str">
            <v>Trains, Trucks, Airplanes -RMS 43</v>
          </cell>
          <cell r="C100" t="str">
            <v>Petrochemical - Pipeline Below Ground -RMS IND 4021</v>
          </cell>
        </row>
        <row r="101">
          <cell r="A101" t="str">
            <v>Underground Liquid Storage Tanks -RMS 16</v>
          </cell>
          <cell r="C101" t="str">
            <v>Petrochemical - Pipelines -RMS IND 4011</v>
          </cell>
        </row>
        <row r="102">
          <cell r="A102" t="str">
            <v>Underground Pipelines -RMS 9</v>
          </cell>
          <cell r="C102" t="str">
            <v>Petrochemical - Tank Farms -RMS IND 4031</v>
          </cell>
        </row>
        <row r="103">
          <cell r="A103" t="str">
            <v>Underground Solid Storage Tanks -RMS 17</v>
          </cell>
          <cell r="C103" t="str">
            <v>Port and Harbor Facilities -RMS IND 7041</v>
          </cell>
        </row>
        <row r="104">
          <cell r="A104" t="str">
            <v>Unknown -RMS 0</v>
          </cell>
          <cell r="C104" t="str">
            <v>Water/Sewage Treatment Plants -RMS IND 7061</v>
          </cell>
        </row>
        <row r="105">
          <cell r="A105" t="str">
            <v>Unreinforced Concrete Block Masonry -RMS 2B3</v>
          </cell>
        </row>
        <row r="106">
          <cell r="A106" t="str">
            <v>Unreinforced Cut Stone Masonry -RMS 2B1</v>
          </cell>
        </row>
        <row r="107">
          <cell r="A107" t="str">
            <v>Unreinforced Masonry -RMS 2B</v>
          </cell>
        </row>
        <row r="108">
          <cell r="A108" t="str">
            <v>Unreinforced Solid Brick Masonry -RMS 2B2</v>
          </cell>
        </row>
        <row r="109">
          <cell r="A109" t="str">
            <v>Waffle or Flat Slab-RMS 3A5</v>
          </cell>
        </row>
        <row r="110">
          <cell r="A110" t="str">
            <v>Waterfront Structures -RMS 37</v>
          </cell>
        </row>
        <row r="111">
          <cell r="A111" t="str">
            <v>Weak Masonry -RMS 2A</v>
          </cell>
        </row>
        <row r="112">
          <cell r="A112" t="str">
            <v>Wood -RMS 1</v>
          </cell>
        </row>
        <row r="113">
          <cell r="A113" t="str">
            <v>Wood Frame Double Wall (Hawaii Only) -RMS 52B</v>
          </cell>
        </row>
        <row r="114">
          <cell r="A114" t="str">
            <v>Wood Frame Single Wall (Hawaii Only) -RMS 52A</v>
          </cell>
        </row>
        <row r="115">
          <cell r="A115" t="str">
            <v>Unknown- ISO FIRE 0</v>
          </cell>
        </row>
        <row r="116">
          <cell r="A116" t="str">
            <v>Alluvium Tunnels- ISO FIRE 17</v>
          </cell>
        </row>
        <row r="117">
          <cell r="A117" t="str">
            <v>Broadcast Towers- ISO FIRE 36</v>
          </cell>
        </row>
        <row r="118">
          <cell r="A118" t="str">
            <v>Canals- ISO FIRE 39</v>
          </cell>
        </row>
        <row r="119">
          <cell r="A119" t="str">
            <v>Concrete Dams- ISO FIRE 15</v>
          </cell>
        </row>
        <row r="120">
          <cell r="A120" t="str">
            <v>Conventional (&lt; 100 ft.) Electrical Transmission Line Towers- ISO FIRE 34</v>
          </cell>
        </row>
        <row r="121">
          <cell r="A121" t="str">
            <v>Conventional Bridges (&lt; 500 ft. spans) w/ Monolithic Spans- ISO FIRE 11</v>
          </cell>
        </row>
        <row r="122">
          <cell r="A122" t="str">
            <v>Conventional Bridges (&lt; 500 ft. spans) w/ Multiple Simple Spans- ISO FIRE 10</v>
          </cell>
        </row>
        <row r="123">
          <cell r="A123" t="str">
            <v>Conveyor Systems- ISO FIRE 33</v>
          </cell>
        </row>
        <row r="124">
          <cell r="A124" t="str">
            <v>Cranes- ISO FIRE 32</v>
          </cell>
        </row>
        <row r="125">
          <cell r="A125" t="str">
            <v>Cut &amp; Cover Tunnels- ISO FIRE 19</v>
          </cell>
        </row>
        <row r="126">
          <cell r="A126" t="str">
            <v>Earth Retaining Structures (&gt; 20 ft. high)- ISO FIRE 40</v>
          </cell>
        </row>
        <row r="127">
          <cell r="A127" t="str">
            <v>Earthfill and Rockfill Dams- ISO FIRE 16</v>
          </cell>
        </row>
        <row r="128">
          <cell r="A128" t="str">
            <v>Electrical Equipment- ISO FIRE 44</v>
          </cell>
        </row>
        <row r="129">
          <cell r="A129" t="str">
            <v>Elevated Liquid Storage Tanks- ISO FIRE 24</v>
          </cell>
        </row>
        <row r="130">
          <cell r="A130" t="str">
            <v>Elevated Solid Storage Tanks- ISO FIRE 25</v>
          </cell>
        </row>
        <row r="131">
          <cell r="A131" t="str">
            <v>Fire Resistive- ISO FIRE 6</v>
          </cell>
        </row>
        <row r="132">
          <cell r="A132" t="str">
            <v>Frame (Wood )- ISO FIRE 1</v>
          </cell>
        </row>
        <row r="133">
          <cell r="A133" t="str">
            <v>Heavy Timber Joisted Masonry- ISO FIRE 7</v>
          </cell>
        </row>
        <row r="134">
          <cell r="A134" t="str">
            <v>High Industrial Concrete Chimneys- ISO FIRE 30</v>
          </cell>
        </row>
        <row r="135">
          <cell r="A135" t="str">
            <v>High Industrial Masonry Chimneys- ISO FIRE 29</v>
          </cell>
        </row>
        <row r="136">
          <cell r="A136" t="str">
            <v>High Industrial Steel Chimneys- ISO FIRE 31</v>
          </cell>
        </row>
        <row r="137">
          <cell r="A137" t="str">
            <v>High Technology/Lab Equipment- ISO FIRE 46</v>
          </cell>
        </row>
        <row r="138">
          <cell r="A138" t="str">
            <v>Highways- ISO FIRE 27</v>
          </cell>
        </row>
        <row r="139">
          <cell r="A139" t="str">
            <v>Joisted Masonry- ISO FIRE 2</v>
          </cell>
        </row>
        <row r="140">
          <cell r="A140" t="str">
            <v>Major (&gt; 100 ft.) Electrical Transmission Line Towers- ISO FIRE 35</v>
          </cell>
        </row>
        <row r="141">
          <cell r="A141" t="str">
            <v>Major Bridges (&gt; 500 ft. spans)- ISO FIRE 12</v>
          </cell>
        </row>
        <row r="142">
          <cell r="A142" t="str">
            <v>Masonry Non Combustible- ISO FIRE 4</v>
          </cell>
        </row>
        <row r="143">
          <cell r="A143" t="str">
            <v>Mechanical Equipment- ISO FIRE 45</v>
          </cell>
        </row>
        <row r="144">
          <cell r="A144" t="str">
            <v>Modified Fire Resistive- ISO FIRE 5</v>
          </cell>
        </row>
        <row r="145">
          <cell r="A145" t="str">
            <v>Non Combustible- ISO FIRE 3</v>
          </cell>
        </row>
        <row r="146">
          <cell r="A146" t="str">
            <v>Observation Towers- ISO FIRE 37</v>
          </cell>
        </row>
        <row r="147">
          <cell r="A147" t="str">
            <v>Office Equipment- ISO FIRE 43</v>
          </cell>
        </row>
        <row r="148">
          <cell r="A148" t="str">
            <v>Offshore Towers- ISO FIRE 38</v>
          </cell>
        </row>
        <row r="149">
          <cell r="A149" t="str">
            <v>On Ground Liquid Storage Tanks- ISO FIRE 22</v>
          </cell>
        </row>
        <row r="150">
          <cell r="A150" t="str">
            <v>On Ground Solid Storage Tanks- ISO FIRE 23</v>
          </cell>
        </row>
        <row r="151">
          <cell r="A151" t="str">
            <v>Pipelines At Grade- ISO FIRE 14</v>
          </cell>
        </row>
        <row r="152">
          <cell r="A152" t="str">
            <v>Railroads (Track &amp; Bed)- ISO FIRE 26</v>
          </cell>
        </row>
        <row r="153">
          <cell r="A153" t="str">
            <v>Residential Equipment- ISO FIRE 42</v>
          </cell>
        </row>
        <row r="154">
          <cell r="A154" t="str">
            <v>Rock Tunnels- ISO FIRE 18</v>
          </cell>
        </row>
        <row r="155">
          <cell r="A155" t="str">
            <v>Runways- ISO FIRE 28</v>
          </cell>
        </row>
        <row r="156">
          <cell r="A156" t="str">
            <v>Superior Masonry Non Combustible- ISO FIRE 9</v>
          </cell>
        </row>
        <row r="157">
          <cell r="A157" t="str">
            <v>Superior Non Combustible- ISO FIRE 8</v>
          </cell>
        </row>
        <row r="158">
          <cell r="A158" t="str">
            <v>Trains, Trucks, Airplanes- ISO FIRE 47</v>
          </cell>
        </row>
        <row r="159">
          <cell r="A159" t="str">
            <v>Underground Liquid Storage Tanks- ISO FIRE 20</v>
          </cell>
        </row>
        <row r="160">
          <cell r="A160" t="str">
            <v>Underground Pipelines- ISO FIRE 13</v>
          </cell>
        </row>
        <row r="161">
          <cell r="A161" t="str">
            <v>Underground Solid Storage Tanks- ISO FIRE 21</v>
          </cell>
        </row>
        <row r="162">
          <cell r="A162" t="str">
            <v>Waterfront Structures- ISO FIRE 41</v>
          </cell>
        </row>
        <row r="163">
          <cell r="A163" t="str">
            <v>Unknown-RMS IND -0</v>
          </cell>
        </row>
        <row r="164">
          <cell r="A164" t="str">
            <v>Light Metal -(Argentina) -RMS IND -1</v>
          </cell>
        </row>
        <row r="165">
          <cell r="A165" t="str">
            <v>Unreinforced Masonry -(Argentina) -RMS IND -2</v>
          </cell>
        </row>
        <row r="166">
          <cell r="A166" t="str">
            <v>Reinforced Concrete -(Argentina) -RMS IND -3</v>
          </cell>
        </row>
        <row r="167">
          <cell r="A167" t="str">
            <v>Nonductile Concrete -(Argentina) -RMS IND -4</v>
          </cell>
        </row>
        <row r="168">
          <cell r="A168" t="str">
            <v>Reinforced Masonry -(Argentina) -RMS IND -5</v>
          </cell>
        </row>
        <row r="169">
          <cell r="A169" t="str">
            <v>Steel Frame -(Argentina) -RMS IND -6</v>
          </cell>
        </row>
        <row r="170">
          <cell r="A170" t="str">
            <v>Tilt-Up -(Argentina) -RMS IND -7</v>
          </cell>
        </row>
        <row r="171">
          <cell r="A171" t="str">
            <v>Light Metal -(Australia) -RMS IND -1</v>
          </cell>
        </row>
        <row r="172">
          <cell r="A172" t="str">
            <v>Unreinforced Masonry No wall -(Australia) -RMS IND -2</v>
          </cell>
        </row>
        <row r="173">
          <cell r="A173" t="str">
            <v>Reinforced Concrete -(Australia) -RMS IND -3</v>
          </cell>
        </row>
        <row r="174">
          <cell r="A174" t="str">
            <v>Nonductile Concrete -(Australia) -RMS IND -4</v>
          </cell>
        </row>
        <row r="175">
          <cell r="A175" t="str">
            <v>Reinforced Masonry -(Australia) -RMS IND -5</v>
          </cell>
        </row>
        <row r="176">
          <cell r="A176" t="str">
            <v>Steel Frame -(Australia) -RMS IND -6</v>
          </cell>
        </row>
        <row r="177">
          <cell r="A177" t="str">
            <v>Tilt-Up -(Australia) -RMS IND -7</v>
          </cell>
        </row>
        <row r="178">
          <cell r="A178" t="str">
            <v>Light Metal -(Belize) -RMS IND -1</v>
          </cell>
        </row>
        <row r="179">
          <cell r="A179" t="str">
            <v>Unreinforced Masonry -(Belize) -RMS IND -2</v>
          </cell>
        </row>
        <row r="180">
          <cell r="A180" t="str">
            <v>Reinforced Concrete -(Belize) -RMS IND -3</v>
          </cell>
        </row>
        <row r="181">
          <cell r="A181" t="str">
            <v>Nonductile Concrete -(Belize) -RMS IND -4</v>
          </cell>
        </row>
        <row r="182">
          <cell r="A182" t="str">
            <v>Reinforced Masonry -(Belize) -RMS IND -5</v>
          </cell>
        </row>
        <row r="183">
          <cell r="A183" t="str">
            <v>Steel Frame -(Belize) -RMS IND -6</v>
          </cell>
        </row>
        <row r="184">
          <cell r="A184" t="str">
            <v>Tilt-Up -(Belize) -RMS IND -7</v>
          </cell>
        </row>
        <row r="185">
          <cell r="A185" t="str">
            <v>Light Metal -(Bolivia) -RMS IND -1</v>
          </cell>
        </row>
        <row r="186">
          <cell r="A186" t="str">
            <v>Unreinforced Masonry -(Bolivia) -RMS IND -2</v>
          </cell>
        </row>
        <row r="187">
          <cell r="A187" t="str">
            <v>Reinforced Concrete -(Bolivia) -RMS IND -3</v>
          </cell>
        </row>
        <row r="188">
          <cell r="A188" t="str">
            <v>Nonductile Concrete -(Bolivia) -RMS IND -4</v>
          </cell>
        </row>
        <row r="189">
          <cell r="A189" t="str">
            <v>Reinforced Masonry -(Bolivia) -RMS IND -5</v>
          </cell>
        </row>
        <row r="190">
          <cell r="A190" t="str">
            <v>Steel Frame -(Bolivia) -RMS IND -6</v>
          </cell>
        </row>
        <row r="191">
          <cell r="A191" t="str">
            <v>Tilt-Up -(Bolivia) -RMS IND -7</v>
          </cell>
        </row>
        <row r="192">
          <cell r="A192" t="str">
            <v>Light Metal -(Brazil) -RMS IND -1</v>
          </cell>
        </row>
        <row r="193">
          <cell r="A193" t="str">
            <v>Unreinforced Masonry -(Brazil) -RMS IND -2</v>
          </cell>
        </row>
        <row r="194">
          <cell r="A194" t="str">
            <v>Reinforced Concrete -(Brazil) -RMS IND -3</v>
          </cell>
        </row>
        <row r="195">
          <cell r="A195" t="str">
            <v>Nonductile Concrete -(Brazil) -RMS IND -4</v>
          </cell>
        </row>
        <row r="196">
          <cell r="A196" t="str">
            <v>Reinforced Masonry -(Brazil) -RMS IND -5</v>
          </cell>
        </row>
        <row r="197">
          <cell r="A197" t="str">
            <v>Steel Frame -(Brazil) -RMS IND -6</v>
          </cell>
        </row>
        <row r="198">
          <cell r="A198" t="str">
            <v>Tilt-Up -(Brazil) -RMS IND -7</v>
          </cell>
        </row>
        <row r="199">
          <cell r="A199" t="str">
            <v>Light Metal -(Canada) -RMS IND -1</v>
          </cell>
        </row>
        <row r="200">
          <cell r="A200" t="str">
            <v>Unreinforced Masonry Wall -(Canada) -RMS IND -2</v>
          </cell>
        </row>
        <row r="201">
          <cell r="A201" t="str">
            <v>Reinforced Concrete -(Canada) -RMS IND -3</v>
          </cell>
        </row>
        <row r="202">
          <cell r="A202" t="str">
            <v>Nonductile Concrete -(Canada) -RMS IND -4</v>
          </cell>
        </row>
        <row r="203">
          <cell r="A203" t="str">
            <v>Reinforced Masonry -(Canada) -RMS IND -5</v>
          </cell>
        </row>
        <row r="204">
          <cell r="A204" t="str">
            <v>Steel Frame -(Canada) -RMS IND -6</v>
          </cell>
        </row>
        <row r="205">
          <cell r="A205" t="str">
            <v>Tilt-Up -(Canada) -RMS IND -7</v>
          </cell>
        </row>
        <row r="206">
          <cell r="A206" t="str">
            <v>Light Metal -(Caribbean)-RMS IND -1</v>
          </cell>
        </row>
        <row r="207">
          <cell r="A207" t="str">
            <v>Unreinforced Masonry Wall -(Caribbean)-RMS IND -2</v>
          </cell>
        </row>
        <row r="208">
          <cell r="A208" t="str">
            <v>Reinforced Concrete -(Caribbean)-RMS IND -3</v>
          </cell>
        </row>
        <row r="209">
          <cell r="A209" t="str">
            <v>Nonductile Concrete -(Caribbean)-RMS IND -4</v>
          </cell>
        </row>
        <row r="210">
          <cell r="A210" t="str">
            <v>Reinforced Masonry -(Caribbean)-RMS IND -5</v>
          </cell>
        </row>
        <row r="211">
          <cell r="A211" t="str">
            <v>Steel Frame -(Caribbean)-RMS IND -6</v>
          </cell>
        </row>
        <row r="212">
          <cell r="A212" t="str">
            <v>Tilt-Up -(Caribbean)-RMS IND -7</v>
          </cell>
        </row>
        <row r="213">
          <cell r="A213" t="str">
            <v>Unreinforced Masonry Wall -(Chile)-RMS IND -1</v>
          </cell>
        </row>
        <row r="214">
          <cell r="A214" t="str">
            <v>Reinforced Concrete -(Chile)-RMS IND -2</v>
          </cell>
        </row>
        <row r="215">
          <cell r="A215" t="str">
            <v>Nonductile Concrete -(Chile)-RMS IND -3</v>
          </cell>
        </row>
        <row r="216">
          <cell r="A216" t="str">
            <v>Reinforced Masonry -(Chile)-RMS IND -4</v>
          </cell>
        </row>
        <row r="217">
          <cell r="A217" t="str">
            <v>Steel Frame -(Chile)-RMS IND -5</v>
          </cell>
        </row>
        <row r="218">
          <cell r="A218" t="str">
            <v>Unreinforced Masonry -(China)-RMS IND -1</v>
          </cell>
        </row>
        <row r="219">
          <cell r="A219" t="str">
            <v>Reinforced Masonry -(China)-RMS IND -2</v>
          </cell>
        </row>
        <row r="220">
          <cell r="A220" t="str">
            <v>Concrete Frame -(China)-RMS IND -3</v>
          </cell>
        </row>
        <row r="221">
          <cell r="A221" t="str">
            <v>Reinforced Concrete Moment ResistingFrame with Unreinforced Masonry Infill -(China)-RMS IND -4</v>
          </cell>
        </row>
        <row r="222">
          <cell r="A222" t="str">
            <v>Steel Frame -(China)-RMS IND -5</v>
          </cell>
        </row>
        <row r="223">
          <cell r="A223" t="str">
            <v>Steel Moment Resisting Frame with Unreinforced Masonry Infill -(China)-RMS IND -6</v>
          </cell>
        </row>
        <row r="224">
          <cell r="A224" t="str">
            <v>Steel &amp; Reinforced Concrete Composite Frame -(China)-RMS IND -7</v>
          </cell>
        </row>
        <row r="225">
          <cell r="A225" t="str">
            <v>Precast Reinforced Concrete -(China)-RMS IND -8</v>
          </cell>
        </row>
        <row r="226">
          <cell r="A226" t="str">
            <v>Light Metal Frame -(China)-RMS IND -9</v>
          </cell>
        </row>
        <row r="227">
          <cell r="A227" t="str">
            <v>Factory Structure with Brick or Reinforced Concrete Columns -(China)-RMS IND -10</v>
          </cell>
        </row>
        <row r="228">
          <cell r="A228" t="str">
            <v>Light Metal -(Colombia) -RMS IND -1</v>
          </cell>
        </row>
        <row r="229">
          <cell r="A229" t="str">
            <v>Unreinforced Masonry -(Colombia) -RMS IND -2</v>
          </cell>
        </row>
        <row r="230">
          <cell r="A230" t="str">
            <v>Reinforced Concrete -(Colombia) -RMS IND -3</v>
          </cell>
        </row>
        <row r="231">
          <cell r="A231" t="str">
            <v>Nonductile Concrete -(Colombia) -RMS IND -4</v>
          </cell>
        </row>
        <row r="232">
          <cell r="A232" t="str">
            <v>Reinforced Masonry -(Colombia) -RMS IND -5</v>
          </cell>
        </row>
        <row r="233">
          <cell r="A233" t="str">
            <v>Steel Frame -(Colombia) -RMS IND -6</v>
          </cell>
        </row>
        <row r="234">
          <cell r="A234" t="str">
            <v>Tilt-Up -(Colombia) -RMS IND -7</v>
          </cell>
        </row>
        <row r="235">
          <cell r="A235" t="str">
            <v>Light Metal -(Costa Rica)-RMS IND -1</v>
          </cell>
        </row>
        <row r="236">
          <cell r="A236" t="str">
            <v>Unreinforced Masonry -(Costa Rica)-RMS IND -2</v>
          </cell>
        </row>
        <row r="237">
          <cell r="A237" t="str">
            <v>Reinforced Concrete -(Costa Rica)-RMS IND -3</v>
          </cell>
        </row>
        <row r="238">
          <cell r="A238" t="str">
            <v>Nonductile Concrete -(Costa Rica)-RMS IND -4</v>
          </cell>
        </row>
        <row r="239">
          <cell r="A239" t="str">
            <v>Reinforced Masonry -(Costa Rica)-RMS IND -5</v>
          </cell>
        </row>
        <row r="240">
          <cell r="A240" t="str">
            <v>Steel Frame -(Costa Rica)-RMS IND -6</v>
          </cell>
        </row>
        <row r="241">
          <cell r="A241" t="str">
            <v>Tilt-Up -(Costa Rica)-RMS IND -7</v>
          </cell>
        </row>
        <row r="242">
          <cell r="A242" t="str">
            <v>Light Metal -(Ecuador)-RMS IND -1</v>
          </cell>
        </row>
        <row r="243">
          <cell r="A243" t="str">
            <v>Unreinforced Masonry -(Ecuador)-RMS IND -2</v>
          </cell>
        </row>
        <row r="244">
          <cell r="A244" t="str">
            <v>Reinforced Concrete -(Ecuador)-RMS IND -3</v>
          </cell>
        </row>
        <row r="245">
          <cell r="A245" t="str">
            <v>Nonductile Concrete -(Ecuador)-RMS IND -4</v>
          </cell>
        </row>
        <row r="246">
          <cell r="A246" t="str">
            <v>Reinforced Masonry -(Ecuador)-RMS IND -5</v>
          </cell>
        </row>
        <row r="247">
          <cell r="A247" t="str">
            <v>Steel Frame -(Ecuador)-RMS IND -6</v>
          </cell>
        </row>
        <row r="248">
          <cell r="A248" t="str">
            <v>Tilt-Up -(Ecuador)-RMS IND -7</v>
          </cell>
        </row>
        <row r="249">
          <cell r="A249" t="str">
            <v>Light Metal -(El Salvador)-RMS IND -1</v>
          </cell>
        </row>
        <row r="250">
          <cell r="A250" t="str">
            <v>Unreinforced Masonry -(El Salvador)-RMS IND -2</v>
          </cell>
        </row>
        <row r="251">
          <cell r="A251" t="str">
            <v>Reinforced Concrete -(El Salvador)-RMS IND -3</v>
          </cell>
        </row>
        <row r="252">
          <cell r="A252" t="str">
            <v>Nonductile Concrete -(El Salvador)-RMS IND -4</v>
          </cell>
        </row>
        <row r="253">
          <cell r="A253" t="str">
            <v>Reinforced Masonry -(El Salvador)-RMS IND -5</v>
          </cell>
        </row>
        <row r="254">
          <cell r="A254" t="str">
            <v>Steel Frame -(El Salvador)-RMS IND -6</v>
          </cell>
        </row>
        <row r="255">
          <cell r="A255" t="str">
            <v>Tilt-Up -(El Salvador)-RMS IND -7</v>
          </cell>
        </row>
        <row r="256">
          <cell r="A256" t="str">
            <v>Light Metal -(Europe, Italy &amp; Portugal) -RMS IND -1</v>
          </cell>
        </row>
        <row r="257">
          <cell r="A257" t="str">
            <v>Unreinforced Masonry Wall -(Europe, Italy &amp; Portugal) -RMS IND -2</v>
          </cell>
        </row>
        <row r="258">
          <cell r="A258" t="str">
            <v>Reinforced Concrete -(Europe, Italy &amp; Portugal) -RMS IND -3</v>
          </cell>
        </row>
        <row r="259">
          <cell r="A259" t="str">
            <v>Nonductile Concrete -(Europe, Italy &amp; Portugal) -RMS IND -4</v>
          </cell>
        </row>
        <row r="260">
          <cell r="A260" t="str">
            <v>Reinforced Masonry -(Europe, Italy &amp; Portugal) -RMS IND -5</v>
          </cell>
        </row>
        <row r="261">
          <cell r="A261" t="str">
            <v>Steel Frame -(Europe, Italy &amp; Portugal) -RMS IND -6</v>
          </cell>
        </row>
        <row r="262">
          <cell r="A262" t="str">
            <v>Unreinforced Masonry -(Greece) -RMS IND -1</v>
          </cell>
        </row>
        <row r="263">
          <cell r="A263" t="str">
            <v>Reinforced Masonry -(Greece) -RMS IND -2</v>
          </cell>
        </row>
        <row r="264">
          <cell r="A264" t="str">
            <v>Concrete Frame -(Greece) -RMS IND -3</v>
          </cell>
        </row>
        <row r="265">
          <cell r="A265" t="str">
            <v>Reinforced Concrete Moment Resisting Frame with Unreinforced Masonry InfillWall -(Greece) -RMS IND -4</v>
          </cell>
        </row>
        <row r="266">
          <cell r="A266" t="str">
            <v>Steel Frame -(Greece) -RMS IND -5</v>
          </cell>
        </row>
        <row r="267">
          <cell r="A267" t="str">
            <v>Steel Moment Resisting Frame with Unreinforced Masonry Infill Wall -(Greece) -RMS IND -6</v>
          </cell>
        </row>
        <row r="268">
          <cell r="A268" t="str">
            <v>Light Metal Frame with Unreinforced Masonry Infill Wall -(Greece) -RMS IND -7</v>
          </cell>
        </row>
        <row r="269">
          <cell r="A269" t="str">
            <v>Mixed -(Greece) -RMS IND -8</v>
          </cell>
        </row>
        <row r="270">
          <cell r="A270" t="str">
            <v>Light Metal -(Guam) -RMS IND -1</v>
          </cell>
        </row>
        <row r="271">
          <cell r="A271" t="str">
            <v>Unreinforced Masonry Wall -(Guam) -RMS IND -2</v>
          </cell>
        </row>
        <row r="272">
          <cell r="A272" t="str">
            <v>Reinforced Concrete -(Guam) -RMS IND -3</v>
          </cell>
        </row>
        <row r="273">
          <cell r="A273" t="str">
            <v>Nonductile Concrete -(Guam) -RMS IND -4</v>
          </cell>
        </row>
        <row r="274">
          <cell r="A274" t="str">
            <v>Reinforced Masonry -(Guam) -RMS IND -5</v>
          </cell>
        </row>
        <row r="275">
          <cell r="A275" t="str">
            <v>Steel Frame -(Guam) -RMS IND -6</v>
          </cell>
        </row>
        <row r="276">
          <cell r="A276" t="str">
            <v>Tilt-Up -(Guam) -RMS IND -7</v>
          </cell>
        </row>
        <row r="277">
          <cell r="A277" t="str">
            <v>Light Metal -(Guatemala)-RMS IND -1</v>
          </cell>
        </row>
        <row r="278">
          <cell r="A278" t="str">
            <v>Unreinforced Masonry Wall -(Guatemala)-RMS IND -2</v>
          </cell>
        </row>
        <row r="279">
          <cell r="A279" t="str">
            <v>Reinforced Concrete -(Guatemala)-RMS IND -3</v>
          </cell>
        </row>
        <row r="280">
          <cell r="A280" t="str">
            <v>Nonductile Concrete -(Guatemala)-RMS IND -4</v>
          </cell>
        </row>
        <row r="281">
          <cell r="A281" t="str">
            <v>Reinforced Masonry -(Guatemala)-RMS IND -5</v>
          </cell>
        </row>
        <row r="282">
          <cell r="A282" t="str">
            <v>Steel Frame -(Guatemala)-RMS IND -6</v>
          </cell>
        </row>
        <row r="283">
          <cell r="A283" t="str">
            <v>Tilt-Up -(Guatemala)-RMS IND -7</v>
          </cell>
        </row>
        <row r="284">
          <cell r="A284" t="str">
            <v>Light Metal -(Honduras)-RMS IND -1</v>
          </cell>
        </row>
        <row r="285">
          <cell r="A285" t="str">
            <v>Unreinforced Masonry Wall -(Honduras)-RMS IND -2</v>
          </cell>
        </row>
        <row r="286">
          <cell r="A286" t="str">
            <v>Reinforced Concrete -(Honduras)-RMS IND -3</v>
          </cell>
        </row>
        <row r="287">
          <cell r="A287" t="str">
            <v>Nonductile Concrete -(Honduras)-RMS IND -4</v>
          </cell>
        </row>
        <row r="288">
          <cell r="A288" t="str">
            <v>Reinforced Masonry -(Honduras)-RMS IND -5</v>
          </cell>
        </row>
        <row r="289">
          <cell r="A289" t="str">
            <v>Steel Frame -(Honduras)-RMS IND -6</v>
          </cell>
        </row>
        <row r="290">
          <cell r="A290" t="str">
            <v>Tilt-Up -(Honduras)-RMS IND -7</v>
          </cell>
        </row>
        <row r="291">
          <cell r="A291" t="str">
            <v>Light Metal -(Indonesia)-RMS IND -1</v>
          </cell>
        </row>
        <row r="292">
          <cell r="A292" t="str">
            <v>Unreinforced Masonry Wall -(Indonesia)-RMS IND -2</v>
          </cell>
        </row>
        <row r="293">
          <cell r="A293" t="str">
            <v>Reinforced Concrete -(Indonesia)-RMS IND -3</v>
          </cell>
        </row>
        <row r="294">
          <cell r="A294" t="str">
            <v>Nonductile Concrete/Moment Resisting Frame with Infill Wall -(Indonesia)-RMS IND -4</v>
          </cell>
        </row>
        <row r="295">
          <cell r="A295" t="str">
            <v>Reinforced Masonry -(Indonesia)-RMS IND -5</v>
          </cell>
        </row>
        <row r="296">
          <cell r="A296" t="str">
            <v>Steel Frame -(Indonesia)-RMS IND -6</v>
          </cell>
        </row>
        <row r="297">
          <cell r="A297" t="str">
            <v>Tilt-Up -(Indonesia)-RMS IND -7</v>
          </cell>
        </row>
        <row r="298">
          <cell r="A298" t="str">
            <v>Reinforced Concrete -(Japan)-RMS IND -1</v>
          </cell>
        </row>
        <row r="299">
          <cell r="A299" t="str">
            <v>Steel Frame -(Japan)-RMS IND -2</v>
          </cell>
        </row>
        <row r="300">
          <cell r="A300" t="str">
            <v>Steel and Reinforced Concrete CompositeFrame -(Japan)-RMS IND -3</v>
          </cell>
        </row>
        <row r="301">
          <cell r="A301" t="str">
            <v>Light Metal -(Mexico)-RMS IND -1</v>
          </cell>
        </row>
        <row r="302">
          <cell r="A302" t="str">
            <v>Unreinforced Masonry Wall -(Mexico)-RMS IND -2</v>
          </cell>
        </row>
        <row r="303">
          <cell r="A303" t="str">
            <v>Reinforced Concrete -(Mexico)-RMS IND -3</v>
          </cell>
        </row>
        <row r="304">
          <cell r="A304" t="str">
            <v>Nonductile Concrete -(Mexico)-RMS IND -4</v>
          </cell>
        </row>
        <row r="305">
          <cell r="A305" t="str">
            <v>Reinforced Masonry -(Mexico)-RMS IND -5</v>
          </cell>
        </row>
        <row r="306">
          <cell r="A306" t="str">
            <v>Steel Frame -(Mexico)-RMS IND -6</v>
          </cell>
        </row>
        <row r="307">
          <cell r="A307" t="str">
            <v>Tilt-Up -(Mexico)-RMS IND -7</v>
          </cell>
        </row>
        <row r="308">
          <cell r="A308" t="str">
            <v>Light Metal -(New Zealand)-RMS IND -1</v>
          </cell>
        </row>
        <row r="309">
          <cell r="A309" t="str">
            <v>Unreinforced Masonry Wall -(New Zealand)-RMS IND -2</v>
          </cell>
        </row>
        <row r="310">
          <cell r="A310" t="str">
            <v>Reinforced Concrete -(New Zealand)-RMS IND -3</v>
          </cell>
        </row>
        <row r="311">
          <cell r="A311" t="str">
            <v>Nonductile Concrete -(New Zealand)-RMS IND -4</v>
          </cell>
        </row>
        <row r="312">
          <cell r="A312" t="str">
            <v>Reinforced Masonry -(New Zealand)-RMS IND -5</v>
          </cell>
        </row>
        <row r="313">
          <cell r="A313" t="str">
            <v>Steel Frame -(New Zealand)-RMS IND -6</v>
          </cell>
        </row>
        <row r="314">
          <cell r="A314" t="str">
            <v>Tilt-Up/Precast Concrete -(New Zealand)-RMS IND -7</v>
          </cell>
        </row>
        <row r="315">
          <cell r="A315" t="str">
            <v>Light Metal -(Nicaragua)-RMS IND -1</v>
          </cell>
        </row>
        <row r="316">
          <cell r="A316" t="str">
            <v>Unreinforced Masonry Wall -(Nicaragua)-RMS IND -2</v>
          </cell>
        </row>
        <row r="317">
          <cell r="A317" t="str">
            <v>Reinforced Concrete -(Nicaragua)-RMS IND -3</v>
          </cell>
        </row>
        <row r="318">
          <cell r="A318" t="str">
            <v>Nonductile Concrete -(Nicaragua)-RMS IND -4</v>
          </cell>
        </row>
        <row r="319">
          <cell r="A319" t="str">
            <v>Reinforced Masonry -(Nicaragua)-RMS IND -5</v>
          </cell>
        </row>
        <row r="320">
          <cell r="A320" t="str">
            <v>Steel Frame -(Nicaragua)-RMS IND -6</v>
          </cell>
        </row>
        <row r="321">
          <cell r="A321" t="str">
            <v>Tilt-Up -(Nicaragua)-RMS IND -7</v>
          </cell>
        </row>
        <row r="322">
          <cell r="A322" t="str">
            <v>Light Metal -(Panama)-RMS IND -1</v>
          </cell>
        </row>
        <row r="323">
          <cell r="A323" t="str">
            <v>Unreinforced Masonry Wall -(Panama)-RMS IND -2</v>
          </cell>
        </row>
        <row r="324">
          <cell r="A324" t="str">
            <v>Reinforced Concrete -(Panama)-RMS IND -3</v>
          </cell>
        </row>
        <row r="325">
          <cell r="A325" t="str">
            <v>Nonductile Concrete -(Panama)-RMS IND -4</v>
          </cell>
        </row>
        <row r="326">
          <cell r="A326" t="str">
            <v>Reinforced Masonry -(Panama)-RMS IND -5</v>
          </cell>
        </row>
        <row r="327">
          <cell r="A327" t="str">
            <v>Steel Frame -(Panama)-RMS IND -6</v>
          </cell>
        </row>
        <row r="328">
          <cell r="A328" t="str">
            <v>Tilt-Up -(Panama)-RMS IND -7</v>
          </cell>
        </row>
        <row r="329">
          <cell r="A329" t="str">
            <v>Light Metal -(Peru)-RMS IND -1</v>
          </cell>
        </row>
        <row r="330">
          <cell r="A330" t="str">
            <v>Unreinforced Masonry Wall -(Peru)-RMS IND -2</v>
          </cell>
        </row>
        <row r="331">
          <cell r="A331" t="str">
            <v>Reinforced Concrete -(Peru)-RMS IND -3</v>
          </cell>
        </row>
        <row r="332">
          <cell r="A332" t="str">
            <v>Nonductile Concrete -(Peru)-RMS IND -4</v>
          </cell>
        </row>
        <row r="333">
          <cell r="A333" t="str">
            <v>Reinforced Masonry -(Peru)-RMS IND -5</v>
          </cell>
        </row>
        <row r="334">
          <cell r="A334" t="str">
            <v>Steel Frame -(Peru)-RMS IND -6</v>
          </cell>
        </row>
        <row r="335">
          <cell r="A335" t="str">
            <v>Tilt-Up -(Peru)-RMS IND -7</v>
          </cell>
        </row>
        <row r="336">
          <cell r="A336" t="str">
            <v>Unreinforced Masonry -(Taiwan)-RMS IND -1</v>
          </cell>
        </row>
        <row r="337">
          <cell r="A337" t="str">
            <v>Reinforced Masonry -(Taiwan)-RMS IND -2</v>
          </cell>
        </row>
        <row r="338">
          <cell r="A338" t="str">
            <v>Concrete Frame -(Taiwan)-RMS IND -3</v>
          </cell>
        </row>
        <row r="339">
          <cell r="A339" t="str">
            <v>Reinforced Concrete Moment Resisting Frame with Unreinforced Masonry InfillWall -(Taiwan)-RMS IND -4</v>
          </cell>
        </row>
        <row r="340">
          <cell r="A340" t="str">
            <v>Steel Frame -(Taiwan)-RMS IND -5</v>
          </cell>
        </row>
        <row r="341">
          <cell r="A341" t="str">
            <v>Steel Moment Resisting Frame with Unreinforced Masonry Infill Wall -(Taiwan)-RMS IND -6</v>
          </cell>
        </row>
        <row r="342">
          <cell r="A342" t="str">
            <v>Steel &amp; Reinforced Concrete CompositeFrame-SRC -(Taiwan)-RMS IND -7</v>
          </cell>
        </row>
        <row r="343">
          <cell r="A343" t="str">
            <v>Precast Reinforced Concrete -(Taiwan)-RMS IND -8</v>
          </cell>
        </row>
        <row r="344">
          <cell r="A344" t="str">
            <v>Light Metal Frame -(Taiwan)-RMS IND -9</v>
          </cell>
        </row>
        <row r="345">
          <cell r="A345" t="str">
            <v>Unreinforced Masonry -(Turkey)-RMS IND -1</v>
          </cell>
        </row>
        <row r="346">
          <cell r="A346" t="str">
            <v>Concrete Frame -(Turkey)-RMS IND -2</v>
          </cell>
        </row>
        <row r="347">
          <cell r="A347" t="str">
            <v>Reinforced Concrete Moment Resisting Frame with Unreinforced Masonry InfillWall -(Turkey)-RMS IND -3</v>
          </cell>
        </row>
        <row r="348">
          <cell r="A348" t="str">
            <v>Precast Concrete -(Turkey)-RMS IND -4</v>
          </cell>
        </row>
        <row r="349">
          <cell r="A349" t="str">
            <v>Steel Frame -(Turkey)-RMS IND -5</v>
          </cell>
        </row>
        <row r="350">
          <cell r="A350" t="str">
            <v>Steel Moment Resisting Frame with Unreinforced Masonry Infill Wall -(Turkey)-RMS IND -6</v>
          </cell>
        </row>
        <row r="351">
          <cell r="A351" t="str">
            <v>Light Metal Frame with Unreinforced Masonry Infill -(Turkey)-RMS IND -7</v>
          </cell>
        </row>
        <row r="352">
          <cell r="A352" t="str">
            <v>Mixed -(Turkey)-RMS IND -8</v>
          </cell>
        </row>
        <row r="353">
          <cell r="A353" t="str">
            <v>Light Metal -(United States)-RMS IND -1</v>
          </cell>
        </row>
        <row r="354">
          <cell r="A354" t="str">
            <v>Unreinforced Masonry Wall -(United States)-RMS IND -2</v>
          </cell>
        </row>
        <row r="355">
          <cell r="A355" t="str">
            <v>Reinforced Concrete -(United States)-RMS IND -3</v>
          </cell>
        </row>
        <row r="356">
          <cell r="A356" t="str">
            <v>Nonductile Concrete -(United States)-RMS IND -4</v>
          </cell>
        </row>
        <row r="357">
          <cell r="A357" t="str">
            <v>Reinforced Masonry -(United States)-RMS IND -5</v>
          </cell>
        </row>
        <row r="358">
          <cell r="A358" t="str">
            <v>Steel Frame -(United States)-RMS IND -6</v>
          </cell>
        </row>
        <row r="359">
          <cell r="A359" t="str">
            <v>Tilt-Up -(United States)-RMS IND -7</v>
          </cell>
        </row>
        <row r="360">
          <cell r="A360" t="str">
            <v>Light Metal -(Venezuela) -RMS IND -1</v>
          </cell>
        </row>
        <row r="361">
          <cell r="A361" t="str">
            <v>Unreinforced Masonry Wall -(Venezuela) -RMS IND -2</v>
          </cell>
        </row>
        <row r="362">
          <cell r="A362" t="str">
            <v>Reinforced Concrete -(Venezuela) -RMS IND -3</v>
          </cell>
        </row>
        <row r="363">
          <cell r="A363" t="str">
            <v>Nonductile Concrete -(Venezuela) -RMS IND -4</v>
          </cell>
        </row>
        <row r="364">
          <cell r="A364" t="str">
            <v>Reinforced Masonry -(Venezuela) -RMS IND -5</v>
          </cell>
        </row>
        <row r="365">
          <cell r="A365" t="str">
            <v>Steel Frame -(Venezuela) -RMS IND -6</v>
          </cell>
        </row>
        <row r="366">
          <cell r="A366" t="str">
            <v>Tilt-Up -(Venezuela) -RMS IND -7</v>
          </cell>
        </row>
      </sheetData>
      <sheetData sheetId="7"/>
      <sheetData sheetId="8">
        <row r="2">
          <cell r="A2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Macros"/>
      <sheetName val="Selections"/>
      <sheetName val="Comparisons_Month"/>
      <sheetName val="Comparisons_Qtr"/>
      <sheetName val="Comp Sales"/>
      <sheetName val="End_Inv"/>
      <sheetName val="Cover Page 1"/>
      <sheetName val="Cover Page 2"/>
      <sheetName val="BREAK_BREAK"/>
      <sheetName val="Input"/>
      <sheetName val="EBITDA_1999"/>
      <sheetName val="EBITDA_2000"/>
      <sheetName val="CoPL"/>
      <sheetName val="OpDivPL"/>
      <sheetName val="DispOps"/>
      <sheetName val="Fx Rates"/>
      <sheetName val="Fx_conv."/>
      <sheetName val="Sales by Div"/>
      <sheetName val="G Mrgn by Div"/>
      <sheetName val="OpPft by Div"/>
      <sheetName val="Ebitda by Div"/>
      <sheetName val="Comp_99"/>
      <sheetName val="Comp_2000"/>
      <sheetName val="Base ReCalc."/>
      <sheetName val="SUM_pl"/>
      <sheetName val="Cover Page 1.1"/>
      <sheetName val="Cover Page 2.2"/>
      <sheetName val="Reports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SoV"/>
      <sheetName val="Rate Monitoring"/>
      <sheetName val="Occupancies and Rates"/>
      <sheetName val="US CAT Rates"/>
      <sheetName val="Curve Data"/>
      <sheetName val="CAT"/>
      <sheetName val="CAT_old"/>
      <sheetName val="Sheet2"/>
      <sheetName val="Import"/>
      <sheetName val="Fire Calculations"/>
      <sheetName val="Fire Calculations_LY"/>
      <sheetName val="To Do"/>
      <sheetName val="Sheet6"/>
      <sheetName val="Colour for Data Quality Graph"/>
      <sheetName val="RMS Output"/>
      <sheetName val="Lookups"/>
      <sheetName val="Rate_Monitoring"/>
      <sheetName val="Occupancies_and_Rates"/>
      <sheetName val="US_CAT_Rates"/>
      <sheetName val="Curve_Data"/>
      <sheetName val="Fire_Calculations"/>
      <sheetName val="Fire_Calculations_LY"/>
      <sheetName val="To_Do"/>
      <sheetName val="Colour_for_Data_Quality_Graph"/>
      <sheetName val="RMS_Output"/>
    </sheetNames>
    <sheetDataSet>
      <sheetData sheetId="0" refreshError="1">
        <row r="37">
          <cell r="C37">
            <v>1000000</v>
          </cell>
          <cell r="D37">
            <v>1000000</v>
          </cell>
        </row>
      </sheetData>
      <sheetData sheetId="1" refreshError="1">
        <row r="6">
          <cell r="GI6">
            <v>300.00000000000006</v>
          </cell>
        </row>
        <row r="7">
          <cell r="GI7">
            <v>0</v>
          </cell>
        </row>
        <row r="8">
          <cell r="GI8">
            <v>0</v>
          </cell>
        </row>
        <row r="9">
          <cell r="GI9">
            <v>0</v>
          </cell>
        </row>
        <row r="10">
          <cell r="GI1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 Input Template"/>
      <sheetName val="Dropdown List"/>
      <sheetName val="Country Codes"/>
      <sheetName val="Construction Classes"/>
      <sheetName val="Occupancy Types"/>
      <sheetName val="Int'l Secondary Modifiers"/>
      <sheetName val="Alpha_Sor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Cover Page"/>
      <sheetName val="ROIC Calc"/>
      <sheetName val="BdPL"/>
      <sheetName val="BdPL Q4"/>
      <sheetName val="OR1E_QTR"/>
      <sheetName val="OR1E_4QTRS"/>
      <sheetName val="Sales by Div Q4"/>
      <sheetName val="Sales by Div"/>
      <sheetName val="GM &amp; MD by Div"/>
      <sheetName val="Opt Exp by Div"/>
      <sheetName val="Opt Prft by Div"/>
      <sheetName val="On Order Status"/>
      <sheetName val="Receipts &amp; Inv."/>
      <sheetName val="BdPL Q3"/>
      <sheetName val="Sales by Div Q3"/>
      <sheetName val="BdPL Q2"/>
      <sheetName val="OR1E_YR"/>
      <sheetName val="BdPL Q1"/>
      <sheetName val="Sales by Div Q2"/>
      <sheetName val="Sales by Div Q1"/>
      <sheetName val="OR1E"/>
      <sheetName val="OR1E_H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bers"/>
      <sheetName val="IM"/>
      <sheetName val="Pivot"/>
      <sheetName val="Band"/>
      <sheetName val="Other"/>
      <sheetName val="Data"/>
      <sheetName val="Run"/>
      <sheetName val="Exh1"/>
      <sheetName val="Exh2"/>
      <sheetName val="Exh3"/>
      <sheetName val="Exh4"/>
      <sheetName val="Exh5"/>
    </sheetNames>
    <sheetDataSet>
      <sheetData sheetId="0" refreshError="1">
        <row r="2">
          <cell r="A2" t="str">
            <v>038</v>
          </cell>
          <cell r="B2">
            <v>1</v>
          </cell>
          <cell r="C2" t="str">
            <v>Gilchrist</v>
          </cell>
          <cell r="D2" t="str">
            <v>Town of Bell</v>
          </cell>
          <cell r="E2" t="str">
            <v>Flat</v>
          </cell>
          <cell r="F2">
            <v>500</v>
          </cell>
        </row>
        <row r="3">
          <cell r="A3" t="str">
            <v>044</v>
          </cell>
          <cell r="B3">
            <v>1</v>
          </cell>
          <cell r="C3" t="str">
            <v>Pinellas</v>
          </cell>
          <cell r="D3" t="str">
            <v>Town of Belleair Shore</v>
          </cell>
          <cell r="E3" t="str">
            <v>Flat</v>
          </cell>
          <cell r="F3">
            <v>500</v>
          </cell>
        </row>
        <row r="4">
          <cell r="A4" t="str">
            <v>055</v>
          </cell>
          <cell r="B4">
            <v>1</v>
          </cell>
          <cell r="C4" t="str">
            <v>Palm Beach</v>
          </cell>
          <cell r="D4" t="str">
            <v>City of Boynton Beach</v>
          </cell>
          <cell r="E4" t="str">
            <v>Flat</v>
          </cell>
          <cell r="F4">
            <v>5000</v>
          </cell>
        </row>
        <row r="5">
          <cell r="A5" t="str">
            <v>118</v>
          </cell>
          <cell r="B5">
            <v>1</v>
          </cell>
          <cell r="C5" t="str">
            <v>Broward</v>
          </cell>
          <cell r="D5" t="str">
            <v>City of Cooper City</v>
          </cell>
          <cell r="E5" t="str">
            <v>Flat</v>
          </cell>
          <cell r="F5">
            <v>1000</v>
          </cell>
        </row>
        <row r="6">
          <cell r="A6" t="str">
            <v>199</v>
          </cell>
          <cell r="B6">
            <v>1</v>
          </cell>
          <cell r="C6" t="str">
            <v>Okaloosa</v>
          </cell>
          <cell r="D6" t="str">
            <v>Fort Walton Beach Housing Authority</v>
          </cell>
          <cell r="E6" t="str">
            <v>Flat</v>
          </cell>
          <cell r="F6">
            <v>5000</v>
          </cell>
        </row>
        <row r="7">
          <cell r="A7" t="str">
            <v>214</v>
          </cell>
          <cell r="B7">
            <v>1</v>
          </cell>
          <cell r="C7" t="str">
            <v>Palm Beach</v>
          </cell>
          <cell r="D7" t="str">
            <v>Village of Golf</v>
          </cell>
          <cell r="E7" t="str">
            <v>Flat</v>
          </cell>
          <cell r="F7">
            <v>1000</v>
          </cell>
        </row>
        <row r="8">
          <cell r="A8" t="str">
            <v>269</v>
          </cell>
          <cell r="B8">
            <v>1</v>
          </cell>
          <cell r="C8" t="str">
            <v>Dade</v>
          </cell>
          <cell r="D8" t="str">
            <v>Indian Creek Village</v>
          </cell>
          <cell r="E8" t="str">
            <v>Flat</v>
          </cell>
          <cell r="F8">
            <v>500</v>
          </cell>
        </row>
        <row r="9">
          <cell r="A9" t="str">
            <v>286</v>
          </cell>
          <cell r="B9">
            <v>1</v>
          </cell>
          <cell r="C9" t="str">
            <v>Duval</v>
          </cell>
          <cell r="D9" t="str">
            <v>City of Jacksonville Beach</v>
          </cell>
          <cell r="E9" t="str">
            <v>Stoploss</v>
          </cell>
          <cell r="F9">
            <v>25000</v>
          </cell>
        </row>
        <row r="10">
          <cell r="A10" t="str">
            <v>294</v>
          </cell>
          <cell r="B10">
            <v>1</v>
          </cell>
          <cell r="C10" t="str">
            <v>Palm Beach</v>
          </cell>
          <cell r="D10" t="str">
            <v>Town of Jupiter Inlet Colony</v>
          </cell>
          <cell r="E10" t="str">
            <v>Flat</v>
          </cell>
          <cell r="F10">
            <v>1000</v>
          </cell>
        </row>
        <row r="11">
          <cell r="A11" t="str">
            <v>325</v>
          </cell>
          <cell r="B11">
            <v>1</v>
          </cell>
          <cell r="C11" t="str">
            <v>Broward</v>
          </cell>
          <cell r="D11" t="str">
            <v>City of Lauderdale Lakes</v>
          </cell>
          <cell r="E11" t="str">
            <v>Flat</v>
          </cell>
          <cell r="F11">
            <v>1000</v>
          </cell>
        </row>
        <row r="12">
          <cell r="A12" t="str">
            <v>398</v>
          </cell>
          <cell r="B12">
            <v>1</v>
          </cell>
          <cell r="C12" t="str">
            <v>Volusia</v>
          </cell>
          <cell r="D12" t="str">
            <v>City of New Smyrna Beach</v>
          </cell>
          <cell r="E12" t="str">
            <v>Flat</v>
          </cell>
          <cell r="F12">
            <v>1000</v>
          </cell>
        </row>
        <row r="13">
          <cell r="A13" t="str">
            <v>448</v>
          </cell>
          <cell r="B13">
            <v>1</v>
          </cell>
          <cell r="C13" t="str">
            <v>Putnam</v>
          </cell>
          <cell r="D13" t="str">
            <v>City of Palatka</v>
          </cell>
          <cell r="E13" t="str">
            <v>Flat</v>
          </cell>
          <cell r="F13">
            <v>1000</v>
          </cell>
        </row>
        <row r="14">
          <cell r="A14" t="str">
            <v>460</v>
          </cell>
          <cell r="B14">
            <v>1</v>
          </cell>
          <cell r="C14" t="str">
            <v>Manatee</v>
          </cell>
          <cell r="D14" t="str">
            <v>City of Palmetto</v>
          </cell>
          <cell r="E14" t="str">
            <v>Flat</v>
          </cell>
          <cell r="F14">
            <v>1000</v>
          </cell>
        </row>
        <row r="15">
          <cell r="A15" t="str">
            <v>461</v>
          </cell>
          <cell r="B15">
            <v>1</v>
          </cell>
          <cell r="C15" t="str">
            <v>Bay</v>
          </cell>
          <cell r="D15" t="str">
            <v>City of Panama City Beach</v>
          </cell>
          <cell r="E15" t="str">
            <v>Flat</v>
          </cell>
          <cell r="F15">
            <v>500</v>
          </cell>
        </row>
        <row r="16">
          <cell r="A16" t="str">
            <v>469</v>
          </cell>
          <cell r="B16">
            <v>1</v>
          </cell>
          <cell r="C16" t="str">
            <v>Broward</v>
          </cell>
          <cell r="D16" t="str">
            <v>Town of Pembroke Park</v>
          </cell>
          <cell r="E16" t="str">
            <v>Flat</v>
          </cell>
          <cell r="F16">
            <v>500</v>
          </cell>
        </row>
        <row r="17">
          <cell r="A17" t="str">
            <v>478</v>
          </cell>
          <cell r="B17">
            <v>1</v>
          </cell>
          <cell r="C17" t="str">
            <v>Pinellas</v>
          </cell>
          <cell r="D17" t="str">
            <v>City of Pinellas Park</v>
          </cell>
          <cell r="E17" t="str">
            <v>Stoploss</v>
          </cell>
          <cell r="F17">
            <v>25000</v>
          </cell>
        </row>
        <row r="18">
          <cell r="A18" t="str">
            <v>578</v>
          </cell>
          <cell r="B18">
            <v>1</v>
          </cell>
          <cell r="C18" t="str">
            <v>Dade</v>
          </cell>
          <cell r="D18" t="str">
            <v>Town of Surfside</v>
          </cell>
          <cell r="E18" t="str">
            <v>Flat</v>
          </cell>
          <cell r="F18">
            <v>500</v>
          </cell>
        </row>
        <row r="19">
          <cell r="A19" t="str">
            <v>630</v>
          </cell>
          <cell r="B19">
            <v>1</v>
          </cell>
          <cell r="C19" t="str">
            <v>Putnam</v>
          </cell>
          <cell r="D19" t="str">
            <v>Town of Welaka</v>
          </cell>
          <cell r="E19" t="str">
            <v>Flat</v>
          </cell>
          <cell r="F19">
            <v>500</v>
          </cell>
        </row>
        <row r="20">
          <cell r="A20" t="str">
            <v>634</v>
          </cell>
          <cell r="B20">
            <v>1</v>
          </cell>
          <cell r="C20" t="str">
            <v>Brevard</v>
          </cell>
          <cell r="D20" t="str">
            <v>City of West Melbourne</v>
          </cell>
          <cell r="E20" t="str">
            <v>Flat</v>
          </cell>
          <cell r="F20">
            <v>500</v>
          </cell>
        </row>
        <row r="21">
          <cell r="A21" t="str">
            <v>640</v>
          </cell>
          <cell r="B21">
            <v>1</v>
          </cell>
          <cell r="C21" t="str">
            <v>Hamilton</v>
          </cell>
          <cell r="D21" t="str">
            <v>Town of White Springs</v>
          </cell>
          <cell r="E21" t="str">
            <v>Flat</v>
          </cell>
          <cell r="F21">
            <v>500</v>
          </cell>
        </row>
        <row r="22">
          <cell r="A22" t="str">
            <v>702</v>
          </cell>
          <cell r="B22">
            <v>1</v>
          </cell>
          <cell r="C22" t="str">
            <v>Union</v>
          </cell>
          <cell r="D22" t="str">
            <v>Town of Worthington Springs</v>
          </cell>
          <cell r="E22" t="str">
            <v>Flat</v>
          </cell>
          <cell r="F22">
            <v>500</v>
          </cell>
        </row>
        <row r="23">
          <cell r="A23" t="str">
            <v>891</v>
          </cell>
          <cell r="B23">
            <v>1</v>
          </cell>
          <cell r="C23" t="str">
            <v>Clay</v>
          </cell>
          <cell r="D23" t="str">
            <v>First Coast Workforce Development, Inc.</v>
          </cell>
          <cell r="E23" t="str">
            <v>Flat</v>
          </cell>
          <cell r="F23">
            <v>500</v>
          </cell>
        </row>
        <row r="24">
          <cell r="A24" t="str">
            <v>001</v>
          </cell>
          <cell r="B24">
            <v>2</v>
          </cell>
          <cell r="C24" t="str">
            <v>Palm Beach</v>
          </cell>
          <cell r="D24" t="str">
            <v>Village of Wellington</v>
          </cell>
          <cell r="E24" t="str">
            <v>Stoploss</v>
          </cell>
          <cell r="F24">
            <v>25000</v>
          </cell>
        </row>
        <row r="25">
          <cell r="A25" t="str">
            <v>051</v>
          </cell>
          <cell r="B25">
            <v>2</v>
          </cell>
          <cell r="C25" t="str">
            <v>Palm Beach</v>
          </cell>
          <cell r="D25" t="str">
            <v>Boca Raton Housing Authority</v>
          </cell>
          <cell r="E25" t="str">
            <v>Flat</v>
          </cell>
          <cell r="F25">
            <v>2500</v>
          </cell>
        </row>
        <row r="26">
          <cell r="A26" t="str">
            <v>059</v>
          </cell>
          <cell r="B26">
            <v>2</v>
          </cell>
          <cell r="C26" t="str">
            <v>Suwannee</v>
          </cell>
          <cell r="D26" t="str">
            <v>Town of Branford</v>
          </cell>
          <cell r="E26" t="str">
            <v>Flat</v>
          </cell>
          <cell r="F26">
            <v>500</v>
          </cell>
        </row>
        <row r="27">
          <cell r="A27" t="str">
            <v>076</v>
          </cell>
          <cell r="B27">
            <v>2</v>
          </cell>
          <cell r="C27" t="str">
            <v>Lee</v>
          </cell>
          <cell r="D27" t="str">
            <v>Captiva Erosion Prevention District</v>
          </cell>
          <cell r="E27" t="str">
            <v>Flat</v>
          </cell>
          <cell r="F27">
            <v>500</v>
          </cell>
        </row>
        <row r="28">
          <cell r="A28" t="str">
            <v>119</v>
          </cell>
          <cell r="B28">
            <v>2</v>
          </cell>
          <cell r="C28" t="str">
            <v>Broward</v>
          </cell>
          <cell r="D28" t="str">
            <v>Coral Bay Community Development District c/o Alliance Prop</v>
          </cell>
          <cell r="E28" t="str">
            <v>Flat</v>
          </cell>
          <cell r="F28">
            <v>500</v>
          </cell>
        </row>
        <row r="29">
          <cell r="A29" t="str">
            <v>165</v>
          </cell>
          <cell r="B29">
            <v>2</v>
          </cell>
          <cell r="C29" t="str">
            <v>Collier</v>
          </cell>
          <cell r="D29" t="str">
            <v>City of Everglades City</v>
          </cell>
          <cell r="E29" t="str">
            <v>Flat</v>
          </cell>
          <cell r="F29">
            <v>500</v>
          </cell>
        </row>
        <row r="30">
          <cell r="A30" t="str">
            <v>190</v>
          </cell>
          <cell r="B30">
            <v>2</v>
          </cell>
          <cell r="C30" t="str">
            <v>Broward</v>
          </cell>
          <cell r="D30" t="str">
            <v>Housing Authority of the City of Fort Lauderdale</v>
          </cell>
          <cell r="E30" t="str">
            <v>Flat</v>
          </cell>
          <cell r="F30">
            <v>5000</v>
          </cell>
        </row>
        <row r="31">
          <cell r="A31" t="str">
            <v>231</v>
          </cell>
          <cell r="B31">
            <v>2</v>
          </cell>
          <cell r="C31" t="str">
            <v>Broward</v>
          </cell>
          <cell r="D31" t="str">
            <v>City of Hallandale Beach</v>
          </cell>
          <cell r="E31" t="str">
            <v>Stoploss</v>
          </cell>
          <cell r="F31">
            <v>25000</v>
          </cell>
        </row>
        <row r="32">
          <cell r="A32" t="str">
            <v>268</v>
          </cell>
          <cell r="B32">
            <v>2</v>
          </cell>
          <cell r="C32" t="str">
            <v>Brevard</v>
          </cell>
          <cell r="D32" t="str">
            <v>Town of Indialantic</v>
          </cell>
          <cell r="E32" t="str">
            <v>Flat</v>
          </cell>
          <cell r="F32">
            <v>500</v>
          </cell>
        </row>
        <row r="33">
          <cell r="A33" t="str">
            <v>279</v>
          </cell>
          <cell r="B33">
            <v>2</v>
          </cell>
          <cell r="C33" t="str">
            <v>Pinellas</v>
          </cell>
          <cell r="D33" t="str">
            <v>Town of Indian Shores</v>
          </cell>
          <cell r="E33" t="str">
            <v>Flat</v>
          </cell>
          <cell r="F33">
            <v>500</v>
          </cell>
        </row>
        <row r="34">
          <cell r="A34" t="str">
            <v>292</v>
          </cell>
          <cell r="B34">
            <v>2</v>
          </cell>
          <cell r="C34" t="str">
            <v>Hamilton</v>
          </cell>
          <cell r="D34" t="str">
            <v>Town of Jennings</v>
          </cell>
          <cell r="E34" t="str">
            <v>Flat</v>
          </cell>
          <cell r="F34">
            <v>500</v>
          </cell>
        </row>
        <row r="35">
          <cell r="A35" t="str">
            <v>353</v>
          </cell>
          <cell r="B35">
            <v>2</v>
          </cell>
          <cell r="C35" t="str">
            <v>Brevard</v>
          </cell>
          <cell r="D35" t="str">
            <v>Town of Malabar</v>
          </cell>
          <cell r="E35" t="str">
            <v>Flat</v>
          </cell>
          <cell r="F35">
            <v>500</v>
          </cell>
        </row>
        <row r="36">
          <cell r="A36" t="str">
            <v>456</v>
          </cell>
          <cell r="B36">
            <v>2</v>
          </cell>
          <cell r="C36" t="str">
            <v>Palm Beach</v>
          </cell>
          <cell r="D36" t="str">
            <v>Palm Beach Soil &amp; Water Conservation District</v>
          </cell>
          <cell r="E36" t="str">
            <v>Flat</v>
          </cell>
          <cell r="F36">
            <v>500</v>
          </cell>
        </row>
        <row r="37">
          <cell r="A37" t="str">
            <v>464</v>
          </cell>
          <cell r="B37">
            <v>2</v>
          </cell>
          <cell r="C37" t="str">
            <v>Hillsborough</v>
          </cell>
          <cell r="D37" t="str">
            <v>Parkway Center Community Development District</v>
          </cell>
          <cell r="E37" t="str">
            <v>Flat</v>
          </cell>
          <cell r="F37">
            <v>500</v>
          </cell>
        </row>
        <row r="38">
          <cell r="A38" t="str">
            <v>504</v>
          </cell>
          <cell r="B38">
            <v>2</v>
          </cell>
          <cell r="C38" t="str">
            <v>Union</v>
          </cell>
          <cell r="D38" t="str">
            <v>Town of Raiford</v>
          </cell>
          <cell r="E38" t="str">
            <v>Flat</v>
          </cell>
          <cell r="F38">
            <v>500</v>
          </cell>
        </row>
        <row r="39">
          <cell r="A39" t="str">
            <v>546</v>
          </cell>
          <cell r="B39">
            <v>2</v>
          </cell>
          <cell r="C39" t="str">
            <v>Pinellas</v>
          </cell>
          <cell r="D39" t="str">
            <v>City of Seminole</v>
          </cell>
          <cell r="E39" t="str">
            <v>Flat</v>
          </cell>
          <cell r="F39">
            <v>500</v>
          </cell>
        </row>
        <row r="40">
          <cell r="A40" t="str">
            <v>563</v>
          </cell>
          <cell r="B40">
            <v>2</v>
          </cell>
          <cell r="C40" t="str">
            <v>Dade</v>
          </cell>
          <cell r="D40" t="str">
            <v>City of South Miami</v>
          </cell>
          <cell r="E40" t="str">
            <v>Flat</v>
          </cell>
          <cell r="F40">
            <v>1000</v>
          </cell>
        </row>
        <row r="41">
          <cell r="A41" t="str">
            <v>582</v>
          </cell>
          <cell r="B41">
            <v>2</v>
          </cell>
          <cell r="C41" t="str">
            <v>Hillsborough</v>
          </cell>
          <cell r="D41" t="str">
            <v>Cheval West Community Development District</v>
          </cell>
          <cell r="E41" t="str">
            <v>Flat</v>
          </cell>
          <cell r="F41">
            <v>500</v>
          </cell>
        </row>
        <row r="42">
          <cell r="A42" t="str">
            <v>617</v>
          </cell>
          <cell r="B42">
            <v>2</v>
          </cell>
          <cell r="C42" t="str">
            <v>Indian River</v>
          </cell>
          <cell r="D42" t="str">
            <v>City of Vero Beach</v>
          </cell>
          <cell r="E42" t="str">
            <v>Stoploss</v>
          </cell>
          <cell r="F42">
            <v>25000</v>
          </cell>
        </row>
        <row r="43">
          <cell r="A43" t="str">
            <v>691</v>
          </cell>
          <cell r="B43">
            <v>2</v>
          </cell>
          <cell r="C43" t="str">
            <v>Hillsborough</v>
          </cell>
          <cell r="D43" t="str">
            <v>City of Plant City</v>
          </cell>
          <cell r="E43" t="str">
            <v>Flat</v>
          </cell>
          <cell r="F43">
            <v>1000</v>
          </cell>
        </row>
        <row r="44">
          <cell r="A44" t="str">
            <v>723</v>
          </cell>
          <cell r="B44">
            <v>2</v>
          </cell>
          <cell r="C44" t="str">
            <v>Okaloosa</v>
          </cell>
          <cell r="D44" t="str">
            <v>Okaloosa Gas District</v>
          </cell>
          <cell r="E44" t="str">
            <v>Flat</v>
          </cell>
          <cell r="F44">
            <v>1000</v>
          </cell>
        </row>
        <row r="45">
          <cell r="A45" t="str">
            <v>745</v>
          </cell>
          <cell r="B45">
            <v>2</v>
          </cell>
          <cell r="C45" t="str">
            <v>Broward</v>
          </cell>
          <cell r="D45" t="str">
            <v>Lakewood Ranch Community Development District #2</v>
          </cell>
          <cell r="E45" t="str">
            <v>Flat</v>
          </cell>
          <cell r="F45">
            <v>500</v>
          </cell>
        </row>
        <row r="46">
          <cell r="A46" t="str">
            <v>785</v>
          </cell>
          <cell r="B46">
            <v>2</v>
          </cell>
          <cell r="C46" t="str">
            <v>Pinellas</v>
          </cell>
          <cell r="D46" t="str">
            <v>Eastlake Oaks Community Development District</v>
          </cell>
          <cell r="E46" t="str">
            <v>Flat</v>
          </cell>
          <cell r="F46">
            <v>500</v>
          </cell>
        </row>
        <row r="47">
          <cell r="A47" t="str">
            <v>789</v>
          </cell>
          <cell r="B47">
            <v>2</v>
          </cell>
          <cell r="C47" t="str">
            <v>Dade</v>
          </cell>
          <cell r="D47" t="str">
            <v>Village of Pinecrest</v>
          </cell>
          <cell r="E47" t="str">
            <v>Flat</v>
          </cell>
          <cell r="F47">
            <v>1000</v>
          </cell>
        </row>
        <row r="48">
          <cell r="A48" t="str">
            <v>815</v>
          </cell>
          <cell r="B48">
            <v>2</v>
          </cell>
          <cell r="C48" t="str">
            <v>Union</v>
          </cell>
          <cell r="D48" t="str">
            <v>New River Public Library Cooperative</v>
          </cell>
          <cell r="E48" t="str">
            <v>Flat</v>
          </cell>
          <cell r="F48">
            <v>500</v>
          </cell>
        </row>
        <row r="49">
          <cell r="A49" t="str">
            <v>816</v>
          </cell>
          <cell r="B49">
            <v>2</v>
          </cell>
          <cell r="C49" t="str">
            <v>Dade</v>
          </cell>
          <cell r="D49" t="str">
            <v>Eastern Shores Special Taxing District c/o City of North Mia</v>
          </cell>
          <cell r="E49" t="str">
            <v>Flat</v>
          </cell>
          <cell r="F49">
            <v>500</v>
          </cell>
        </row>
        <row r="50">
          <cell r="A50" t="str">
            <v>817</v>
          </cell>
          <cell r="B50">
            <v>2</v>
          </cell>
          <cell r="C50" t="str">
            <v>Dade</v>
          </cell>
          <cell r="D50" t="str">
            <v>Eastern Shores First Addition Security Guard Spec c/o City o</v>
          </cell>
          <cell r="E50" t="str">
            <v>Flat</v>
          </cell>
          <cell r="F50">
            <v>500</v>
          </cell>
        </row>
        <row r="51">
          <cell r="A51" t="str">
            <v>830</v>
          </cell>
          <cell r="B51">
            <v>2</v>
          </cell>
          <cell r="C51" t="str">
            <v>Martin</v>
          </cell>
          <cell r="D51" t="str">
            <v>Children's Services Council of Martin County</v>
          </cell>
          <cell r="E51" t="str">
            <v>Flat</v>
          </cell>
          <cell r="F51">
            <v>500</v>
          </cell>
        </row>
        <row r="52">
          <cell r="A52" t="str">
            <v>027</v>
          </cell>
          <cell r="B52">
            <v>3</v>
          </cell>
          <cell r="C52" t="str">
            <v>Duval</v>
          </cell>
          <cell r="D52" t="str">
            <v>Town of Baldwin</v>
          </cell>
          <cell r="E52" t="str">
            <v>Flat</v>
          </cell>
          <cell r="F52">
            <v>500</v>
          </cell>
        </row>
        <row r="53">
          <cell r="A53" t="str">
            <v>037</v>
          </cell>
          <cell r="B53">
            <v>3</v>
          </cell>
          <cell r="C53" t="str">
            <v>Lee</v>
          </cell>
          <cell r="D53" t="str">
            <v>Bayside Improvement Community Development District</v>
          </cell>
          <cell r="E53" t="str">
            <v>Flat</v>
          </cell>
          <cell r="F53">
            <v>500</v>
          </cell>
        </row>
        <row r="54">
          <cell r="A54" t="str">
            <v>054</v>
          </cell>
          <cell r="B54">
            <v>3</v>
          </cell>
          <cell r="C54" t="str">
            <v>Hardee</v>
          </cell>
          <cell r="D54" t="str">
            <v>City of Bowling Green</v>
          </cell>
          <cell r="E54" t="str">
            <v>Flat</v>
          </cell>
          <cell r="F54">
            <v>500</v>
          </cell>
        </row>
        <row r="55">
          <cell r="A55" t="str">
            <v>072</v>
          </cell>
          <cell r="B55">
            <v>3</v>
          </cell>
          <cell r="C55" t="str">
            <v>Bay</v>
          </cell>
          <cell r="D55" t="str">
            <v>City of Callaway</v>
          </cell>
          <cell r="E55" t="str">
            <v>Flat</v>
          </cell>
          <cell r="F55">
            <v>1000</v>
          </cell>
        </row>
        <row r="56">
          <cell r="A56" t="str">
            <v>104</v>
          </cell>
          <cell r="B56">
            <v>3</v>
          </cell>
          <cell r="C56" t="str">
            <v>Palm Beach</v>
          </cell>
          <cell r="D56" t="str">
            <v>Town of Cloud Lake</v>
          </cell>
          <cell r="E56" t="str">
            <v>Flat</v>
          </cell>
          <cell r="F56">
            <v>500</v>
          </cell>
        </row>
        <row r="57">
          <cell r="A57" t="str">
            <v>123</v>
          </cell>
          <cell r="B57">
            <v>3</v>
          </cell>
          <cell r="C57" t="str">
            <v>Putnam</v>
          </cell>
          <cell r="D57" t="str">
            <v>City of Crescent City</v>
          </cell>
          <cell r="E57" t="str">
            <v>Flat</v>
          </cell>
          <cell r="F57">
            <v>1000</v>
          </cell>
        </row>
        <row r="58">
          <cell r="A58" t="str">
            <v>147</v>
          </cell>
          <cell r="B58">
            <v>3</v>
          </cell>
          <cell r="C58" t="str">
            <v>Polk</v>
          </cell>
          <cell r="D58" t="str">
            <v>Town of Dundee</v>
          </cell>
          <cell r="E58" t="str">
            <v>Flat</v>
          </cell>
          <cell r="F58">
            <v>500</v>
          </cell>
        </row>
        <row r="59">
          <cell r="A59" t="str">
            <v>159</v>
          </cell>
          <cell r="B59">
            <v>3</v>
          </cell>
          <cell r="C59" t="str">
            <v>Orange</v>
          </cell>
          <cell r="D59" t="str">
            <v>City of Edgewood</v>
          </cell>
          <cell r="E59" t="str">
            <v>Flat</v>
          </cell>
          <cell r="F59">
            <v>1000</v>
          </cell>
        </row>
        <row r="60">
          <cell r="A60" t="str">
            <v>169</v>
          </cell>
          <cell r="B60">
            <v>3</v>
          </cell>
          <cell r="C60" t="str">
            <v>Nassau</v>
          </cell>
          <cell r="D60" t="str">
            <v>Housing Authority of the City of Fernandina Beach</v>
          </cell>
          <cell r="E60" t="str">
            <v>Flat</v>
          </cell>
          <cell r="F60">
            <v>1000</v>
          </cell>
        </row>
        <row r="61">
          <cell r="A61" t="str">
            <v>201</v>
          </cell>
          <cell r="B61">
            <v>3</v>
          </cell>
          <cell r="C61" t="str">
            <v>Walton</v>
          </cell>
          <cell r="D61" t="str">
            <v>City of Freeport</v>
          </cell>
          <cell r="E61" t="str">
            <v>Flat</v>
          </cell>
          <cell r="F61">
            <v>500</v>
          </cell>
        </row>
        <row r="62">
          <cell r="A62" t="str">
            <v>228</v>
          </cell>
          <cell r="B62">
            <v>3</v>
          </cell>
          <cell r="C62" t="str">
            <v>Palm Beach</v>
          </cell>
          <cell r="D62" t="str">
            <v>Town of Gulf Stream</v>
          </cell>
          <cell r="E62" t="str">
            <v>Flat</v>
          </cell>
          <cell r="F62">
            <v>1000</v>
          </cell>
        </row>
        <row r="63">
          <cell r="A63" t="str">
            <v>239</v>
          </cell>
          <cell r="B63">
            <v>3</v>
          </cell>
          <cell r="C63" t="str">
            <v>Gadsden</v>
          </cell>
          <cell r="D63" t="str">
            <v>Town of Havana</v>
          </cell>
          <cell r="E63" t="str">
            <v>Flat</v>
          </cell>
          <cell r="F63">
            <v>1000</v>
          </cell>
        </row>
        <row r="64">
          <cell r="A64" t="str">
            <v>390</v>
          </cell>
          <cell r="B64">
            <v>3</v>
          </cell>
          <cell r="C64" t="str">
            <v>Jefferson</v>
          </cell>
          <cell r="D64" t="str">
            <v>City of Monticello</v>
          </cell>
          <cell r="E64" t="str">
            <v>Flat</v>
          </cell>
          <cell r="F64">
            <v>500</v>
          </cell>
        </row>
        <row r="65">
          <cell r="A65" t="str">
            <v>406</v>
          </cell>
          <cell r="B65">
            <v>3</v>
          </cell>
          <cell r="C65" t="str">
            <v>Broward</v>
          </cell>
          <cell r="D65" t="str">
            <v>City of North Lauderdale</v>
          </cell>
          <cell r="E65" t="str">
            <v>Flat</v>
          </cell>
          <cell r="F65">
            <v>2500</v>
          </cell>
        </row>
        <row r="66">
          <cell r="A66" t="str">
            <v>420</v>
          </cell>
          <cell r="B66">
            <v>3</v>
          </cell>
          <cell r="C66" t="str">
            <v>Volusia</v>
          </cell>
          <cell r="D66" t="str">
            <v>City of Oak Hill</v>
          </cell>
          <cell r="E66" t="str">
            <v>Flat</v>
          </cell>
          <cell r="F66">
            <v>500</v>
          </cell>
        </row>
        <row r="67">
          <cell r="A67" t="str">
            <v>470</v>
          </cell>
          <cell r="B67">
            <v>3</v>
          </cell>
          <cell r="C67" t="str">
            <v>Broward</v>
          </cell>
          <cell r="D67" t="str">
            <v>City of Pembroke Pines</v>
          </cell>
          <cell r="E67" t="str">
            <v>Stoploss</v>
          </cell>
          <cell r="F67">
            <v>25000</v>
          </cell>
        </row>
        <row r="68">
          <cell r="A68" t="str">
            <v>509</v>
          </cell>
          <cell r="B68">
            <v>3</v>
          </cell>
          <cell r="C68" t="str">
            <v>St. Lucie</v>
          </cell>
          <cell r="D68" t="str">
            <v>The Reserve Community Development District</v>
          </cell>
          <cell r="E68" t="str">
            <v>Flat</v>
          </cell>
          <cell r="F68">
            <v>500</v>
          </cell>
        </row>
        <row r="69">
          <cell r="A69" t="str">
            <v>513</v>
          </cell>
          <cell r="B69">
            <v>3</v>
          </cell>
          <cell r="C69" t="str">
            <v>Brevard</v>
          </cell>
          <cell r="D69" t="str">
            <v>City of Rockledge</v>
          </cell>
          <cell r="E69" t="str">
            <v>Flat</v>
          </cell>
          <cell r="F69">
            <v>500</v>
          </cell>
        </row>
        <row r="70">
          <cell r="A70" t="str">
            <v>524</v>
          </cell>
          <cell r="B70">
            <v>3</v>
          </cell>
          <cell r="C70" t="str">
            <v>Wakulla</v>
          </cell>
          <cell r="D70" t="str">
            <v>City of Saint Marks</v>
          </cell>
          <cell r="E70" t="str">
            <v>Flat</v>
          </cell>
          <cell r="F70">
            <v>500</v>
          </cell>
        </row>
        <row r="71">
          <cell r="A71" t="str">
            <v>564</v>
          </cell>
          <cell r="B71">
            <v>3</v>
          </cell>
          <cell r="C71" t="str">
            <v>Palm Beach</v>
          </cell>
          <cell r="D71" t="str">
            <v>Town of South Palm Beach</v>
          </cell>
          <cell r="E71" t="str">
            <v>Flat</v>
          </cell>
          <cell r="F71">
            <v>500</v>
          </cell>
        </row>
        <row r="72">
          <cell r="A72" t="str">
            <v>593</v>
          </cell>
          <cell r="B72">
            <v>3</v>
          </cell>
          <cell r="C72" t="str">
            <v>Taylor</v>
          </cell>
          <cell r="D72" t="str">
            <v>Taylor County Board of County Commissioners</v>
          </cell>
          <cell r="E72" t="str">
            <v>Flat</v>
          </cell>
          <cell r="F72">
            <v>1000</v>
          </cell>
        </row>
        <row r="73">
          <cell r="A73" t="str">
            <v>649</v>
          </cell>
          <cell r="B73">
            <v>3</v>
          </cell>
          <cell r="C73" t="str">
            <v>Citrus</v>
          </cell>
          <cell r="D73" t="str">
            <v>Withlacoochee Regional Planning Council</v>
          </cell>
          <cell r="E73" t="str">
            <v>Flat</v>
          </cell>
          <cell r="F73">
            <v>500</v>
          </cell>
        </row>
        <row r="74">
          <cell r="A74" t="str">
            <v>687</v>
          </cell>
          <cell r="B74">
            <v>3</v>
          </cell>
          <cell r="C74" t="str">
            <v>Orange</v>
          </cell>
          <cell r="D74" t="str">
            <v>South Seminole &amp; North Orange Cnty Wastewater Trans Authorit</v>
          </cell>
          <cell r="E74" t="str">
            <v>Flat</v>
          </cell>
          <cell r="F74">
            <v>500</v>
          </cell>
        </row>
        <row r="75">
          <cell r="A75" t="str">
            <v>696</v>
          </cell>
          <cell r="B75">
            <v>3</v>
          </cell>
          <cell r="C75" t="str">
            <v>Hillsborough</v>
          </cell>
          <cell r="D75" t="str">
            <v>Tampa-Hillsborough County Expressway Authority</v>
          </cell>
          <cell r="E75" t="str">
            <v>Flat</v>
          </cell>
          <cell r="F75">
            <v>500</v>
          </cell>
        </row>
        <row r="76">
          <cell r="A76" t="str">
            <v>709</v>
          </cell>
          <cell r="B76">
            <v>3</v>
          </cell>
          <cell r="C76" t="str">
            <v>Osceola</v>
          </cell>
          <cell r="D76" t="str">
            <v>Celebration Community Development District</v>
          </cell>
          <cell r="E76" t="str">
            <v>Flat</v>
          </cell>
          <cell r="F76">
            <v>1000</v>
          </cell>
        </row>
        <row r="77">
          <cell r="A77" t="str">
            <v>722</v>
          </cell>
          <cell r="B77">
            <v>3</v>
          </cell>
          <cell r="C77" t="str">
            <v>Okaloosa</v>
          </cell>
          <cell r="D77" t="str">
            <v>City of Valparaiso</v>
          </cell>
          <cell r="E77" t="str">
            <v>Flat</v>
          </cell>
          <cell r="F77">
            <v>500</v>
          </cell>
        </row>
        <row r="78">
          <cell r="A78" t="str">
            <v>726</v>
          </cell>
          <cell r="B78">
            <v>3</v>
          </cell>
          <cell r="C78" t="str">
            <v>Osceola</v>
          </cell>
          <cell r="D78" t="str">
            <v>Remington Community Development District</v>
          </cell>
          <cell r="E78" t="str">
            <v>Flat</v>
          </cell>
          <cell r="F78">
            <v>1000</v>
          </cell>
        </row>
        <row r="79">
          <cell r="A79" t="str">
            <v>783</v>
          </cell>
          <cell r="B79">
            <v>3</v>
          </cell>
          <cell r="C79" t="str">
            <v>Dade</v>
          </cell>
          <cell r="D79" t="str">
            <v>City of Aventura</v>
          </cell>
          <cell r="E79" t="str">
            <v>Flat</v>
          </cell>
          <cell r="F79">
            <v>500</v>
          </cell>
        </row>
        <row r="80">
          <cell r="A80" t="str">
            <v>787</v>
          </cell>
          <cell r="B80">
            <v>3</v>
          </cell>
          <cell r="C80" t="str">
            <v>Orange</v>
          </cell>
          <cell r="D80" t="str">
            <v>Metroplan Orlando</v>
          </cell>
          <cell r="E80" t="str">
            <v>Flat</v>
          </cell>
          <cell r="F80">
            <v>500</v>
          </cell>
        </row>
        <row r="81">
          <cell r="A81" t="str">
            <v>796</v>
          </cell>
          <cell r="B81">
            <v>3</v>
          </cell>
          <cell r="C81" t="str">
            <v>Taylor</v>
          </cell>
          <cell r="D81" t="str">
            <v>Taylor County Development Authority</v>
          </cell>
          <cell r="E81" t="str">
            <v>Flat</v>
          </cell>
          <cell r="F81">
            <v>500</v>
          </cell>
        </row>
        <row r="82">
          <cell r="A82" t="str">
            <v>806</v>
          </cell>
          <cell r="B82">
            <v>3</v>
          </cell>
          <cell r="C82" t="str">
            <v>Lafayette</v>
          </cell>
          <cell r="D82" t="str">
            <v>Town of Mayo</v>
          </cell>
          <cell r="E82" t="str">
            <v>Flat</v>
          </cell>
          <cell r="F82">
            <v>500</v>
          </cell>
        </row>
        <row r="83">
          <cell r="A83" t="str">
            <v>808</v>
          </cell>
          <cell r="B83">
            <v>3</v>
          </cell>
          <cell r="C83" t="str">
            <v>Broward</v>
          </cell>
          <cell r="D83" t="str">
            <v>Hollywood Housing Authority</v>
          </cell>
          <cell r="E83" t="str">
            <v>Flat</v>
          </cell>
          <cell r="F83">
            <v>5000</v>
          </cell>
        </row>
        <row r="84">
          <cell r="A84" t="str">
            <v>883</v>
          </cell>
          <cell r="B84">
            <v>3</v>
          </cell>
          <cell r="C84" t="str">
            <v>Franklin</v>
          </cell>
          <cell r="D84" t="str">
            <v>Franklin County Board of County Commissioners</v>
          </cell>
          <cell r="E84" t="str">
            <v>Flat</v>
          </cell>
          <cell r="F84">
            <v>1000</v>
          </cell>
        </row>
        <row r="85">
          <cell r="A85" t="str">
            <v>009</v>
          </cell>
          <cell r="B85">
            <v>4</v>
          </cell>
          <cell r="C85" t="str">
            <v>Manatee</v>
          </cell>
          <cell r="D85" t="str">
            <v>City of Anna Maria</v>
          </cell>
          <cell r="E85" t="str">
            <v>Flat</v>
          </cell>
          <cell r="F85">
            <v>1000</v>
          </cell>
        </row>
        <row r="86">
          <cell r="A86" t="str">
            <v>063</v>
          </cell>
          <cell r="B86">
            <v>4</v>
          </cell>
          <cell r="C86" t="str">
            <v>Bradford</v>
          </cell>
          <cell r="D86" t="str">
            <v>Town of Brooker</v>
          </cell>
          <cell r="E86" t="str">
            <v>Flat</v>
          </cell>
          <cell r="F86">
            <v>500</v>
          </cell>
        </row>
        <row r="87">
          <cell r="A87" t="str">
            <v>066</v>
          </cell>
          <cell r="B87">
            <v>4</v>
          </cell>
          <cell r="C87" t="str">
            <v>Broward</v>
          </cell>
          <cell r="D87" t="str">
            <v>Broward County Housing Authority</v>
          </cell>
          <cell r="E87" t="str">
            <v>Stoploss</v>
          </cell>
          <cell r="F87">
            <v>25000</v>
          </cell>
        </row>
        <row r="88">
          <cell r="A88" t="str">
            <v>075</v>
          </cell>
          <cell r="B88">
            <v>4</v>
          </cell>
          <cell r="C88" t="str">
            <v>St. Lucie</v>
          </cell>
          <cell r="D88" t="str">
            <v>Capron Trail Community Development District</v>
          </cell>
          <cell r="E88" t="str">
            <v>Flat</v>
          </cell>
          <cell r="F88">
            <v>500</v>
          </cell>
        </row>
        <row r="89">
          <cell r="A89" t="str">
            <v>105</v>
          </cell>
          <cell r="B89">
            <v>4</v>
          </cell>
          <cell r="C89" t="str">
            <v>Brevard</v>
          </cell>
          <cell r="D89" t="str">
            <v>City of Cocoa</v>
          </cell>
          <cell r="E89" t="str">
            <v>Flat</v>
          </cell>
          <cell r="F89">
            <v>1000</v>
          </cell>
        </row>
        <row r="90">
          <cell r="A90" t="str">
            <v>197</v>
          </cell>
          <cell r="B90">
            <v>4</v>
          </cell>
          <cell r="C90" t="str">
            <v>St. Lucie</v>
          </cell>
          <cell r="D90" t="str">
            <v>Fort Pierce Utilities Authority</v>
          </cell>
          <cell r="E90" t="str">
            <v>Stoploss</v>
          </cell>
          <cell r="F90">
            <v>100000</v>
          </cell>
        </row>
        <row r="91">
          <cell r="A91" t="str">
            <v>267</v>
          </cell>
          <cell r="B91">
            <v>4</v>
          </cell>
          <cell r="C91" t="str">
            <v>Palm Beach</v>
          </cell>
          <cell r="D91" t="str">
            <v>Town of Hypoluxo</v>
          </cell>
          <cell r="E91" t="str">
            <v>Flat</v>
          </cell>
          <cell r="F91">
            <v>500</v>
          </cell>
        </row>
        <row r="92">
          <cell r="A92" t="str">
            <v>314</v>
          </cell>
          <cell r="B92">
            <v>4</v>
          </cell>
          <cell r="C92" t="str">
            <v>Columbia</v>
          </cell>
          <cell r="D92" t="str">
            <v>City of Lake City</v>
          </cell>
          <cell r="E92" t="str">
            <v>Flat</v>
          </cell>
          <cell r="F92">
            <v>1000</v>
          </cell>
        </row>
        <row r="93">
          <cell r="A93" t="str">
            <v>324</v>
          </cell>
          <cell r="B93">
            <v>4</v>
          </cell>
          <cell r="C93" t="str">
            <v>Broward</v>
          </cell>
          <cell r="D93" t="str">
            <v>Town of Lauderdale-By-The-Sea</v>
          </cell>
          <cell r="E93" t="str">
            <v>Flat</v>
          </cell>
          <cell r="F93">
            <v>1000</v>
          </cell>
        </row>
        <row r="94">
          <cell r="A94" t="str">
            <v>350</v>
          </cell>
          <cell r="B94">
            <v>4</v>
          </cell>
          <cell r="C94" t="str">
            <v>Madison</v>
          </cell>
          <cell r="D94" t="str">
            <v>City of Madison</v>
          </cell>
          <cell r="E94" t="str">
            <v>Flat</v>
          </cell>
          <cell r="F94">
            <v>1000</v>
          </cell>
        </row>
        <row r="95">
          <cell r="A95" t="str">
            <v>371</v>
          </cell>
          <cell r="B95">
            <v>4</v>
          </cell>
          <cell r="C95" t="str">
            <v>Brevard</v>
          </cell>
          <cell r="D95" t="str">
            <v>Town of Melbourne Beach</v>
          </cell>
          <cell r="E95" t="str">
            <v>Flat</v>
          </cell>
          <cell r="F95">
            <v>500</v>
          </cell>
        </row>
        <row r="96">
          <cell r="A96" t="str">
            <v>373</v>
          </cell>
          <cell r="B96">
            <v>4</v>
          </cell>
          <cell r="C96" t="str">
            <v>Brevard</v>
          </cell>
          <cell r="D96" t="str">
            <v>Town of Melbourne Village</v>
          </cell>
          <cell r="E96" t="str">
            <v>Flat</v>
          </cell>
          <cell r="F96">
            <v>500</v>
          </cell>
        </row>
        <row r="97">
          <cell r="A97" t="str">
            <v>384</v>
          </cell>
          <cell r="B97">
            <v>4</v>
          </cell>
          <cell r="C97" t="str">
            <v>Lake</v>
          </cell>
          <cell r="D97" t="str">
            <v>City of Minneola</v>
          </cell>
          <cell r="E97" t="str">
            <v>Flat</v>
          </cell>
          <cell r="F97">
            <v>500</v>
          </cell>
        </row>
        <row r="98">
          <cell r="A98" t="str">
            <v>403</v>
          </cell>
          <cell r="B98">
            <v>4</v>
          </cell>
          <cell r="C98" t="str">
            <v>Dade</v>
          </cell>
          <cell r="D98" t="str">
            <v>City of North Bay Village</v>
          </cell>
          <cell r="E98" t="str">
            <v>Flat</v>
          </cell>
          <cell r="F98">
            <v>1000</v>
          </cell>
        </row>
        <row r="99">
          <cell r="A99" t="str">
            <v>489</v>
          </cell>
          <cell r="B99">
            <v>4</v>
          </cell>
          <cell r="C99" t="str">
            <v>Holmes</v>
          </cell>
          <cell r="D99" t="str">
            <v>Town of Ponce De Leon</v>
          </cell>
          <cell r="E99" t="str">
            <v>Flat</v>
          </cell>
          <cell r="F99">
            <v>500</v>
          </cell>
        </row>
        <row r="100">
          <cell r="A100" t="str">
            <v>506</v>
          </cell>
          <cell r="B100">
            <v>4</v>
          </cell>
          <cell r="C100" t="str">
            <v>Pinellas</v>
          </cell>
          <cell r="D100" t="str">
            <v>Town of Redington Beach</v>
          </cell>
          <cell r="E100" t="str">
            <v>Flat</v>
          </cell>
          <cell r="F100">
            <v>1000</v>
          </cell>
        </row>
        <row r="101">
          <cell r="A101" t="str">
            <v>514</v>
          </cell>
          <cell r="B101">
            <v>4</v>
          </cell>
          <cell r="C101" t="str">
            <v>Palm Beach</v>
          </cell>
          <cell r="D101" t="str">
            <v>Village of Royal Palm Beach</v>
          </cell>
          <cell r="E101" t="str">
            <v>Flat</v>
          </cell>
          <cell r="F101">
            <v>1000</v>
          </cell>
        </row>
        <row r="102">
          <cell r="A102" t="str">
            <v>527</v>
          </cell>
          <cell r="B102">
            <v>4</v>
          </cell>
          <cell r="C102" t="str">
            <v>Pasco</v>
          </cell>
          <cell r="D102" t="str">
            <v>City of San Antonio</v>
          </cell>
          <cell r="E102" t="str">
            <v>Flat</v>
          </cell>
          <cell r="F102">
            <v>500</v>
          </cell>
        </row>
        <row r="103">
          <cell r="A103" t="str">
            <v>552</v>
          </cell>
          <cell r="B103">
            <v>4</v>
          </cell>
          <cell r="C103" t="str">
            <v>Wakulla</v>
          </cell>
          <cell r="D103" t="str">
            <v>City of Sopchoppy</v>
          </cell>
          <cell r="E103" t="str">
            <v>Flat</v>
          </cell>
          <cell r="F103">
            <v>500</v>
          </cell>
        </row>
        <row r="104">
          <cell r="A104" t="str">
            <v>605</v>
          </cell>
          <cell r="B104">
            <v>4</v>
          </cell>
          <cell r="C104" t="str">
            <v>Pinellas</v>
          </cell>
          <cell r="D104" t="str">
            <v>City of Treasure Island</v>
          </cell>
          <cell r="E104" t="str">
            <v>Flat</v>
          </cell>
          <cell r="F104">
            <v>1000</v>
          </cell>
        </row>
        <row r="105">
          <cell r="A105" t="str">
            <v>637</v>
          </cell>
          <cell r="B105">
            <v>4</v>
          </cell>
          <cell r="C105" t="str">
            <v>Palm Beach</v>
          </cell>
          <cell r="D105" t="str">
            <v>Westgate/Belvedere Homes Community Redevelopment Agency</v>
          </cell>
          <cell r="E105" t="str">
            <v>Flat</v>
          </cell>
          <cell r="F105">
            <v>500</v>
          </cell>
        </row>
        <row r="106">
          <cell r="A106" t="str">
            <v>697</v>
          </cell>
          <cell r="B106">
            <v>4</v>
          </cell>
          <cell r="C106" t="str">
            <v>Volusia</v>
          </cell>
          <cell r="D106" t="str">
            <v>City of DeBary</v>
          </cell>
          <cell r="E106" t="str">
            <v>Flat</v>
          </cell>
          <cell r="F106">
            <v>500</v>
          </cell>
        </row>
        <row r="107">
          <cell r="A107" t="str">
            <v>823</v>
          </cell>
          <cell r="B107">
            <v>4</v>
          </cell>
          <cell r="C107" t="str">
            <v>Bay</v>
          </cell>
          <cell r="D107" t="str">
            <v>Panama City - Bay County Airport &amp; Industrial District</v>
          </cell>
          <cell r="E107" t="str">
            <v>Flat</v>
          </cell>
          <cell r="F107">
            <v>5000</v>
          </cell>
        </row>
        <row r="108">
          <cell r="A108" t="str">
            <v>005</v>
          </cell>
          <cell r="B108">
            <v>5</v>
          </cell>
          <cell r="C108" t="str">
            <v>Jackson</v>
          </cell>
          <cell r="D108" t="str">
            <v>Town of Alford</v>
          </cell>
          <cell r="E108" t="str">
            <v>Flat</v>
          </cell>
          <cell r="F108">
            <v>500</v>
          </cell>
        </row>
        <row r="109">
          <cell r="A109" t="str">
            <v>028</v>
          </cell>
          <cell r="B109">
            <v>5</v>
          </cell>
          <cell r="C109" t="str">
            <v>Brevard</v>
          </cell>
          <cell r="D109" t="str">
            <v>Barefoot Bay Recreation District</v>
          </cell>
          <cell r="E109" t="str">
            <v>Flat</v>
          </cell>
          <cell r="F109">
            <v>500</v>
          </cell>
        </row>
        <row r="110">
          <cell r="A110" t="str">
            <v>048</v>
          </cell>
          <cell r="B110">
            <v>5</v>
          </cell>
          <cell r="C110" t="str">
            <v>Calhoun</v>
          </cell>
          <cell r="D110" t="str">
            <v>City of Blountstown</v>
          </cell>
          <cell r="E110" t="str">
            <v>Flat</v>
          </cell>
          <cell r="F110">
            <v>500</v>
          </cell>
        </row>
        <row r="111">
          <cell r="A111" t="str">
            <v>092</v>
          </cell>
          <cell r="B111">
            <v>5</v>
          </cell>
          <cell r="C111" t="str">
            <v>Levy</v>
          </cell>
          <cell r="D111" t="str">
            <v>City of Chiefland</v>
          </cell>
          <cell r="E111" t="str">
            <v>Flat</v>
          </cell>
          <cell r="F111">
            <v>500</v>
          </cell>
        </row>
        <row r="112">
          <cell r="A112" t="str">
            <v>094</v>
          </cell>
          <cell r="B112">
            <v>5</v>
          </cell>
          <cell r="C112" t="str">
            <v>Washington</v>
          </cell>
          <cell r="D112" t="str">
            <v>Chipley Housing Authority</v>
          </cell>
          <cell r="E112" t="str">
            <v>Flat</v>
          </cell>
          <cell r="F112">
            <v>1000</v>
          </cell>
        </row>
        <row r="113">
          <cell r="A113" t="str">
            <v>211</v>
          </cell>
          <cell r="B113">
            <v>5</v>
          </cell>
          <cell r="C113" t="str">
            <v>Palm Beach</v>
          </cell>
          <cell r="D113" t="str">
            <v>Town of Glen Ridge</v>
          </cell>
          <cell r="E113" t="str">
            <v>Flat</v>
          </cell>
          <cell r="F113">
            <v>500</v>
          </cell>
        </row>
        <row r="114">
          <cell r="A114" t="str">
            <v>217</v>
          </cell>
          <cell r="B114">
            <v>5</v>
          </cell>
          <cell r="C114" t="str">
            <v>Palm Beach</v>
          </cell>
          <cell r="D114" t="str">
            <v>Greater Boca Raton Beach &amp; Park District</v>
          </cell>
          <cell r="E114" t="str">
            <v>Flat</v>
          </cell>
          <cell r="F114">
            <v>5000</v>
          </cell>
        </row>
        <row r="115">
          <cell r="A115" t="str">
            <v>233</v>
          </cell>
          <cell r="B115">
            <v>5</v>
          </cell>
          <cell r="C115" t="str">
            <v>Bradford</v>
          </cell>
          <cell r="D115" t="str">
            <v>City of Hampton</v>
          </cell>
          <cell r="E115" t="str">
            <v>Flat</v>
          </cell>
          <cell r="F115">
            <v>500</v>
          </cell>
        </row>
        <row r="116">
          <cell r="A116" t="str">
            <v>248</v>
          </cell>
          <cell r="B116">
            <v>5</v>
          </cell>
          <cell r="C116" t="str">
            <v>Dade</v>
          </cell>
          <cell r="D116" t="str">
            <v>City of Hialeah Gardens</v>
          </cell>
          <cell r="E116" t="str">
            <v>Flat</v>
          </cell>
          <cell r="F116">
            <v>1000</v>
          </cell>
        </row>
        <row r="117">
          <cell r="A117" t="str">
            <v>262</v>
          </cell>
          <cell r="B117">
            <v>5</v>
          </cell>
          <cell r="C117" t="str">
            <v>Manatee</v>
          </cell>
          <cell r="D117" t="str">
            <v>City of Holmes Beach</v>
          </cell>
          <cell r="E117" t="str">
            <v>Flat</v>
          </cell>
          <cell r="F117">
            <v>500</v>
          </cell>
        </row>
        <row r="118">
          <cell r="A118" t="str">
            <v>264</v>
          </cell>
          <cell r="B118">
            <v>5</v>
          </cell>
          <cell r="C118" t="str">
            <v>Citrus</v>
          </cell>
          <cell r="D118" t="str">
            <v>Homosassa Special Water District</v>
          </cell>
          <cell r="E118" t="str">
            <v>Flat</v>
          </cell>
          <cell r="F118">
            <v>500</v>
          </cell>
        </row>
        <row r="119">
          <cell r="A119" t="str">
            <v>290</v>
          </cell>
          <cell r="B119">
            <v>5</v>
          </cell>
          <cell r="C119" t="str">
            <v>Santa Rosa</v>
          </cell>
          <cell r="D119" t="str">
            <v>Town of Jay</v>
          </cell>
          <cell r="E119" t="str">
            <v>Flat</v>
          </cell>
          <cell r="F119">
            <v>1000</v>
          </cell>
        </row>
        <row r="120">
          <cell r="A120" t="str">
            <v>317</v>
          </cell>
          <cell r="B120">
            <v>5</v>
          </cell>
          <cell r="C120" t="str">
            <v>Volusia</v>
          </cell>
          <cell r="D120" t="str">
            <v>City of Lake Helen</v>
          </cell>
          <cell r="E120" t="str">
            <v>Flat</v>
          </cell>
          <cell r="F120">
            <v>500</v>
          </cell>
        </row>
        <row r="121">
          <cell r="A121" t="str">
            <v>341</v>
          </cell>
          <cell r="B121">
            <v>5</v>
          </cell>
          <cell r="C121" t="str">
            <v>Suwannee</v>
          </cell>
          <cell r="D121" t="str">
            <v>Housing Authority of the City of Live Oak</v>
          </cell>
          <cell r="E121" t="str">
            <v>Flat</v>
          </cell>
          <cell r="F121">
            <v>500</v>
          </cell>
        </row>
        <row r="122">
          <cell r="A122" t="str">
            <v>479</v>
          </cell>
          <cell r="B122">
            <v>5</v>
          </cell>
          <cell r="C122" t="str">
            <v>Pinellas</v>
          </cell>
          <cell r="D122" t="str">
            <v>Pinellas Park Water Management District</v>
          </cell>
          <cell r="E122" t="str">
            <v>Flat</v>
          </cell>
          <cell r="F122">
            <v>500</v>
          </cell>
        </row>
        <row r="123">
          <cell r="A123" t="str">
            <v>495</v>
          </cell>
          <cell r="B123">
            <v>5</v>
          </cell>
          <cell r="C123" t="str">
            <v>Collier</v>
          </cell>
          <cell r="D123" t="str">
            <v>Port of the Islands Community Improvement District</v>
          </cell>
          <cell r="E123" t="str">
            <v>Flat</v>
          </cell>
          <cell r="F123">
            <v>500</v>
          </cell>
        </row>
        <row r="124">
          <cell r="A124" t="str">
            <v>511</v>
          </cell>
          <cell r="B124">
            <v>5</v>
          </cell>
          <cell r="C124" t="str">
            <v>Palm Beach</v>
          </cell>
          <cell r="D124" t="str">
            <v>Riviera Beach Community Redevelopment Agency</v>
          </cell>
          <cell r="E124" t="str">
            <v>Flat</v>
          </cell>
          <cell r="F124">
            <v>1000</v>
          </cell>
        </row>
        <row r="125">
          <cell r="A125" t="str">
            <v>537</v>
          </cell>
          <cell r="B125">
            <v>5</v>
          </cell>
          <cell r="C125" t="str">
            <v>Broward</v>
          </cell>
          <cell r="D125" t="str">
            <v>Village of Sea Ranch Lakes</v>
          </cell>
          <cell r="E125" t="str">
            <v>Flat</v>
          </cell>
          <cell r="F125">
            <v>500</v>
          </cell>
        </row>
        <row r="126">
          <cell r="A126" t="str">
            <v>621</v>
          </cell>
          <cell r="B126">
            <v>5</v>
          </cell>
          <cell r="C126" t="str">
            <v>Volusia</v>
          </cell>
          <cell r="D126" t="str">
            <v>Volusia Council of Governments</v>
          </cell>
          <cell r="E126" t="str">
            <v>Flat</v>
          </cell>
          <cell r="F126">
            <v>500</v>
          </cell>
        </row>
        <row r="127">
          <cell r="A127" t="str">
            <v>632 Loc 029001</v>
          </cell>
          <cell r="B127">
            <v>5</v>
          </cell>
          <cell r="C127" t="str">
            <v>Pinellas</v>
          </cell>
          <cell r="D127" t="str">
            <v>Tampa Bay Water</v>
          </cell>
          <cell r="E127" t="str">
            <v>Flat</v>
          </cell>
          <cell r="F127">
            <v>5000</v>
          </cell>
        </row>
        <row r="128">
          <cell r="A128" t="str">
            <v>635</v>
          </cell>
          <cell r="B128">
            <v>5</v>
          </cell>
          <cell r="C128" t="str">
            <v>Dade</v>
          </cell>
          <cell r="D128" t="str">
            <v>City of West Miami</v>
          </cell>
          <cell r="E128" t="str">
            <v>Flat</v>
          </cell>
          <cell r="F128">
            <v>1000</v>
          </cell>
        </row>
        <row r="129">
          <cell r="A129" t="str">
            <v>638</v>
          </cell>
          <cell r="B129">
            <v>5</v>
          </cell>
          <cell r="C129" t="str">
            <v>Holmes</v>
          </cell>
          <cell r="D129" t="str">
            <v>Town of Westville</v>
          </cell>
          <cell r="E129" t="str">
            <v>Flat</v>
          </cell>
          <cell r="F129">
            <v>500</v>
          </cell>
        </row>
        <row r="130">
          <cell r="A130" t="str">
            <v>654</v>
          </cell>
          <cell r="B130">
            <v>5</v>
          </cell>
          <cell r="C130" t="str">
            <v>Hardee</v>
          </cell>
          <cell r="D130" t="str">
            <v>Town of Zolfo Springs</v>
          </cell>
          <cell r="E130" t="str">
            <v>Flat</v>
          </cell>
          <cell r="F130">
            <v>500</v>
          </cell>
        </row>
        <row r="131">
          <cell r="A131" t="str">
            <v>667</v>
          </cell>
          <cell r="B131">
            <v>5</v>
          </cell>
          <cell r="C131" t="str">
            <v>Broward</v>
          </cell>
          <cell r="D131" t="str">
            <v>City of Coral Springs</v>
          </cell>
          <cell r="E131" t="str">
            <v>Stoploss</v>
          </cell>
          <cell r="F131">
            <v>100000</v>
          </cell>
        </row>
        <row r="132">
          <cell r="A132" t="str">
            <v>708</v>
          </cell>
          <cell r="B132">
            <v>5</v>
          </cell>
          <cell r="C132" t="str">
            <v>Wakulla</v>
          </cell>
          <cell r="D132" t="str">
            <v>Wilderness Coast Public Libraries</v>
          </cell>
          <cell r="E132" t="str">
            <v>Flat</v>
          </cell>
          <cell r="F132">
            <v>500</v>
          </cell>
        </row>
        <row r="133">
          <cell r="A133" t="str">
            <v>784</v>
          </cell>
          <cell r="B133">
            <v>5</v>
          </cell>
          <cell r="C133" t="str">
            <v>Orange</v>
          </cell>
          <cell r="D133" t="str">
            <v>Orlando-Orange County Expressway Authority</v>
          </cell>
          <cell r="E133" t="str">
            <v>Flat</v>
          </cell>
          <cell r="F133">
            <v>500</v>
          </cell>
        </row>
        <row r="134">
          <cell r="A134" t="str">
            <v>818</v>
          </cell>
          <cell r="B134">
            <v>5</v>
          </cell>
          <cell r="C134" t="str">
            <v>Flagler</v>
          </cell>
          <cell r="D134" t="str">
            <v>Grand Haven Community Development District</v>
          </cell>
          <cell r="E134" t="str">
            <v>Flat</v>
          </cell>
          <cell r="F134">
            <v>500</v>
          </cell>
        </row>
        <row r="135">
          <cell r="A135" t="str">
            <v>863</v>
          </cell>
          <cell r="B135">
            <v>5</v>
          </cell>
          <cell r="C135" t="str">
            <v>Dade</v>
          </cell>
          <cell r="D135" t="str">
            <v>Beacon Tradeport Community Development District</v>
          </cell>
          <cell r="E135" t="str">
            <v>Flat</v>
          </cell>
          <cell r="F135">
            <v>500</v>
          </cell>
        </row>
        <row r="136">
          <cell r="A136" t="str">
            <v>867</v>
          </cell>
          <cell r="B136">
            <v>5</v>
          </cell>
          <cell r="C136" t="str">
            <v>Orange</v>
          </cell>
          <cell r="D136" t="str">
            <v>Valencia Water Control District</v>
          </cell>
          <cell r="E136" t="str">
            <v>Flat</v>
          </cell>
          <cell r="F136">
            <v>500</v>
          </cell>
        </row>
        <row r="137">
          <cell r="A137" t="str">
            <v>949</v>
          </cell>
          <cell r="B137">
            <v>5</v>
          </cell>
          <cell r="C137" t="str">
            <v>Dade</v>
          </cell>
          <cell r="D137" t="str">
            <v>Town of Miami Lakes</v>
          </cell>
          <cell r="E137" t="str">
            <v>Flat</v>
          </cell>
          <cell r="F137">
            <v>500</v>
          </cell>
        </row>
        <row r="138">
          <cell r="A138" t="str">
            <v>961</v>
          </cell>
          <cell r="B138">
            <v>5</v>
          </cell>
          <cell r="C138" t="str">
            <v>Gadsden</v>
          </cell>
          <cell r="D138" t="str">
            <v>Quincy - Gadsden Airport Authority</v>
          </cell>
          <cell r="E138" t="str">
            <v>Flat</v>
          </cell>
          <cell r="F138">
            <v>1000</v>
          </cell>
        </row>
        <row r="139">
          <cell r="A139" t="str">
            <v>012</v>
          </cell>
          <cell r="B139">
            <v>6</v>
          </cell>
          <cell r="C139" t="str">
            <v>Franklin</v>
          </cell>
          <cell r="D139" t="str">
            <v>City of Apalachicola</v>
          </cell>
          <cell r="E139" t="str">
            <v>Flat</v>
          </cell>
          <cell r="F139">
            <v>500</v>
          </cell>
        </row>
        <row r="140">
          <cell r="A140" t="str">
            <v>014</v>
          </cell>
          <cell r="B140">
            <v>6</v>
          </cell>
          <cell r="C140" t="str">
            <v>Orange</v>
          </cell>
          <cell r="D140" t="str">
            <v>City of Apopka</v>
          </cell>
          <cell r="E140" t="str">
            <v>Flat</v>
          </cell>
          <cell r="F140">
            <v>1000</v>
          </cell>
        </row>
        <row r="141">
          <cell r="A141" t="str">
            <v>017</v>
          </cell>
          <cell r="B141">
            <v>6</v>
          </cell>
          <cell r="C141" t="str">
            <v>Alachua</v>
          </cell>
          <cell r="D141" t="str">
            <v>City of Archer</v>
          </cell>
          <cell r="E141" t="str">
            <v>Flat</v>
          </cell>
          <cell r="F141">
            <v>500</v>
          </cell>
        </row>
        <row r="142">
          <cell r="A142" t="str">
            <v>043</v>
          </cell>
          <cell r="B142">
            <v>6</v>
          </cell>
          <cell r="C142" t="str">
            <v>Pinellas</v>
          </cell>
          <cell r="D142" t="str">
            <v>City of Belleair Bluffs</v>
          </cell>
          <cell r="E142" t="str">
            <v>Flat</v>
          </cell>
          <cell r="F142">
            <v>500</v>
          </cell>
        </row>
        <row r="143">
          <cell r="A143" t="str">
            <v>115</v>
          </cell>
          <cell r="B143">
            <v>6</v>
          </cell>
          <cell r="C143" t="str">
            <v>Hendry</v>
          </cell>
          <cell r="D143" t="str">
            <v>Collins-Slough Water Control District</v>
          </cell>
          <cell r="E143" t="str">
            <v>Flat</v>
          </cell>
          <cell r="F143">
            <v>500</v>
          </cell>
        </row>
        <row r="144">
          <cell r="A144" t="str">
            <v>131</v>
          </cell>
          <cell r="B144">
            <v>6</v>
          </cell>
          <cell r="C144" t="str">
            <v>Volusia</v>
          </cell>
          <cell r="D144" t="str">
            <v>City of Daytona Beach Shores</v>
          </cell>
          <cell r="E144" t="str">
            <v>Flat</v>
          </cell>
          <cell r="F144">
            <v>1000</v>
          </cell>
        </row>
        <row r="145">
          <cell r="A145" t="str">
            <v>150</v>
          </cell>
          <cell r="B145">
            <v>6</v>
          </cell>
          <cell r="C145" t="str">
            <v>Marion</v>
          </cell>
          <cell r="D145" t="str">
            <v>City of Dunnellon</v>
          </cell>
          <cell r="E145" t="str">
            <v>Flat</v>
          </cell>
          <cell r="F145">
            <v>500</v>
          </cell>
        </row>
        <row r="146">
          <cell r="A146" t="str">
            <v>195</v>
          </cell>
          <cell r="B146">
            <v>6</v>
          </cell>
          <cell r="C146" t="str">
            <v>Saint Lucie</v>
          </cell>
          <cell r="D146" t="str">
            <v>City of Fort Pierce</v>
          </cell>
          <cell r="E146" t="str">
            <v>Stoploss</v>
          </cell>
          <cell r="F146">
            <v>25000</v>
          </cell>
        </row>
        <row r="147">
          <cell r="A147" t="str">
            <v>198</v>
          </cell>
          <cell r="B147">
            <v>6</v>
          </cell>
          <cell r="C147" t="str">
            <v>Okaloosa</v>
          </cell>
          <cell r="D147" t="str">
            <v>City of Fort Walton Beach</v>
          </cell>
          <cell r="E147" t="str">
            <v>Stoploss</v>
          </cell>
          <cell r="F147">
            <v>25000</v>
          </cell>
        </row>
        <row r="148">
          <cell r="A148" t="str">
            <v>224</v>
          </cell>
          <cell r="B148">
            <v>6</v>
          </cell>
          <cell r="C148" t="str">
            <v>Santa Rosa</v>
          </cell>
          <cell r="D148" t="str">
            <v>City of Gulf Breeze</v>
          </cell>
          <cell r="E148" t="str">
            <v>Flat</v>
          </cell>
          <cell r="F148">
            <v>1000</v>
          </cell>
        </row>
        <row r="149">
          <cell r="A149" t="str">
            <v>240</v>
          </cell>
          <cell r="B149">
            <v>6</v>
          </cell>
          <cell r="C149" t="str">
            <v>Palm Beach</v>
          </cell>
          <cell r="D149" t="str">
            <v>Town of Haverhill</v>
          </cell>
          <cell r="E149" t="str">
            <v>Flat</v>
          </cell>
          <cell r="F149">
            <v>500</v>
          </cell>
        </row>
        <row r="150">
          <cell r="A150" t="str">
            <v>293</v>
          </cell>
          <cell r="B150">
            <v>6</v>
          </cell>
          <cell r="C150" t="str">
            <v>Palm Beach</v>
          </cell>
          <cell r="D150" t="str">
            <v>Town of Juno Beach</v>
          </cell>
          <cell r="E150" t="str">
            <v>Flat</v>
          </cell>
          <cell r="F150">
            <v>1000</v>
          </cell>
        </row>
        <row r="151">
          <cell r="A151" t="str">
            <v>304</v>
          </cell>
          <cell r="B151">
            <v>6</v>
          </cell>
          <cell r="C151" t="str">
            <v>Clay</v>
          </cell>
          <cell r="D151" t="str">
            <v>City of Keystone Heights</v>
          </cell>
          <cell r="E151" t="str">
            <v>Flat</v>
          </cell>
          <cell r="F151">
            <v>500</v>
          </cell>
        </row>
        <row r="152">
          <cell r="A152" t="str">
            <v>322</v>
          </cell>
          <cell r="B152">
            <v>6</v>
          </cell>
          <cell r="C152" t="str">
            <v>Polk</v>
          </cell>
          <cell r="D152" t="str">
            <v>Lakeland Area Mass Transit District</v>
          </cell>
          <cell r="E152" t="str">
            <v>Flat</v>
          </cell>
          <cell r="F152">
            <v>500</v>
          </cell>
        </row>
        <row r="153">
          <cell r="A153" t="str">
            <v>408</v>
          </cell>
          <cell r="B153">
            <v>6</v>
          </cell>
          <cell r="C153" t="str">
            <v>Dade</v>
          </cell>
          <cell r="D153" t="str">
            <v>City of North Miami Beach</v>
          </cell>
          <cell r="E153" t="str">
            <v>Stoploss</v>
          </cell>
          <cell r="F153">
            <v>25000</v>
          </cell>
        </row>
        <row r="154">
          <cell r="A154" t="str">
            <v>427</v>
          </cell>
          <cell r="B154">
            <v>6</v>
          </cell>
          <cell r="C154" t="str">
            <v>Palm Beach</v>
          </cell>
          <cell r="D154" t="str">
            <v>Town of Ocean Ridge</v>
          </cell>
          <cell r="E154" t="str">
            <v>Flat</v>
          </cell>
          <cell r="F154">
            <v>1000</v>
          </cell>
        </row>
        <row r="155">
          <cell r="A155" t="str">
            <v>434</v>
          </cell>
          <cell r="B155">
            <v>6</v>
          </cell>
          <cell r="C155" t="str">
            <v>Pinellas</v>
          </cell>
          <cell r="D155" t="str">
            <v>City of Oldsmar Attn: Accts Payable</v>
          </cell>
          <cell r="E155" t="str">
            <v>Stoploss</v>
          </cell>
          <cell r="F155">
            <v>25000</v>
          </cell>
        </row>
        <row r="156">
          <cell r="A156" t="str">
            <v>467</v>
          </cell>
          <cell r="B156">
            <v>6</v>
          </cell>
          <cell r="C156" t="str">
            <v>Walton</v>
          </cell>
          <cell r="D156" t="str">
            <v>City of Paxton</v>
          </cell>
          <cell r="E156" t="str">
            <v>Flat</v>
          </cell>
          <cell r="F156">
            <v>500</v>
          </cell>
        </row>
        <row r="157">
          <cell r="A157" t="str">
            <v>516</v>
          </cell>
          <cell r="B157">
            <v>6</v>
          </cell>
          <cell r="C157" t="str">
            <v>St. Johns</v>
          </cell>
          <cell r="D157" t="str">
            <v>City of Saint Augustine</v>
          </cell>
          <cell r="E157" t="str">
            <v>Stoploss</v>
          </cell>
          <cell r="F157">
            <v>25000</v>
          </cell>
        </row>
        <row r="158">
          <cell r="A158" t="str">
            <v>559</v>
          </cell>
          <cell r="B158">
            <v>6</v>
          </cell>
          <cell r="C158" t="str">
            <v>Broward</v>
          </cell>
          <cell r="D158" t="str">
            <v>South Florida Regional Planning Council</v>
          </cell>
          <cell r="E158" t="str">
            <v>Flat</v>
          </cell>
          <cell r="F158">
            <v>500</v>
          </cell>
        </row>
        <row r="159">
          <cell r="A159" t="str">
            <v>609</v>
          </cell>
          <cell r="B159">
            <v>6</v>
          </cell>
          <cell r="C159" t="str">
            <v>Sarasota</v>
          </cell>
          <cell r="D159" t="str">
            <v>Tri - Par Estates Park &amp; Recreation District</v>
          </cell>
          <cell r="E159" t="str">
            <v>Flat</v>
          </cell>
          <cell r="F159">
            <v>500</v>
          </cell>
        </row>
        <row r="160">
          <cell r="A160" t="str">
            <v>669</v>
          </cell>
          <cell r="B160">
            <v>6</v>
          </cell>
          <cell r="C160" t="str">
            <v>Brevard</v>
          </cell>
          <cell r="D160" t="str">
            <v>Bay Tree Community Development District</v>
          </cell>
          <cell r="E160" t="str">
            <v>Flat</v>
          </cell>
          <cell r="F160">
            <v>500</v>
          </cell>
        </row>
        <row r="161">
          <cell r="A161" t="str">
            <v>705</v>
          </cell>
          <cell r="B161">
            <v>6</v>
          </cell>
          <cell r="C161" t="str">
            <v>Broward</v>
          </cell>
          <cell r="D161" t="str">
            <v>Pompano Beach Community Redevelopment Agency</v>
          </cell>
          <cell r="E161" t="str">
            <v>Flat</v>
          </cell>
          <cell r="F161">
            <v>2500</v>
          </cell>
        </row>
        <row r="162">
          <cell r="A162" t="str">
            <v>707</v>
          </cell>
          <cell r="B162">
            <v>6</v>
          </cell>
          <cell r="C162" t="str">
            <v>Volusia</v>
          </cell>
          <cell r="D162" t="str">
            <v>Volusia County Metropolitan Planning Organization</v>
          </cell>
          <cell r="E162" t="str">
            <v>Flat</v>
          </cell>
          <cell r="F162">
            <v>500</v>
          </cell>
        </row>
        <row r="163">
          <cell r="A163" t="str">
            <v>713</v>
          </cell>
          <cell r="B163">
            <v>6</v>
          </cell>
          <cell r="C163" t="str">
            <v>Broward</v>
          </cell>
          <cell r="D163" t="str">
            <v>Lakewood Ranch Community Development District #1</v>
          </cell>
          <cell r="E163" t="str">
            <v>Flat</v>
          </cell>
          <cell r="F163">
            <v>500</v>
          </cell>
        </row>
        <row r="164">
          <cell r="A164" t="str">
            <v>732</v>
          </cell>
          <cell r="B164">
            <v>6</v>
          </cell>
          <cell r="C164" t="str">
            <v>Clay</v>
          </cell>
          <cell r="D164" t="str">
            <v>Julington Creek Plantation Community Development District</v>
          </cell>
          <cell r="E164" t="str">
            <v>Flat</v>
          </cell>
          <cell r="F164">
            <v>500</v>
          </cell>
        </row>
        <row r="165">
          <cell r="A165" t="str">
            <v>740</v>
          </cell>
          <cell r="B165">
            <v>6</v>
          </cell>
          <cell r="C165" t="str">
            <v>Lake</v>
          </cell>
          <cell r="D165" t="str">
            <v>Country Club of Mount Dora Community Development District</v>
          </cell>
          <cell r="E165" t="str">
            <v>Flat</v>
          </cell>
          <cell r="F165">
            <v>500</v>
          </cell>
        </row>
        <row r="166">
          <cell r="A166" t="str">
            <v>759</v>
          </cell>
          <cell r="B166">
            <v>6</v>
          </cell>
          <cell r="C166" t="str">
            <v>Broward</v>
          </cell>
          <cell r="D166" t="str">
            <v>Dania Housing Authority</v>
          </cell>
          <cell r="E166" t="str">
            <v>Flat</v>
          </cell>
          <cell r="F166">
            <v>500</v>
          </cell>
        </row>
        <row r="167">
          <cell r="A167" t="str">
            <v>778</v>
          </cell>
          <cell r="B167">
            <v>6</v>
          </cell>
          <cell r="C167" t="str">
            <v>Lee</v>
          </cell>
          <cell r="D167" t="str">
            <v>Town of Fort Myers Beach</v>
          </cell>
          <cell r="E167" t="str">
            <v>Flat</v>
          </cell>
          <cell r="F167">
            <v>500</v>
          </cell>
        </row>
        <row r="168">
          <cell r="A168" t="str">
            <v>793</v>
          </cell>
          <cell r="B168">
            <v>6</v>
          </cell>
          <cell r="C168" t="str">
            <v>Volusia</v>
          </cell>
          <cell r="D168" t="str">
            <v>Volusian Water Alliance</v>
          </cell>
          <cell r="E168" t="str">
            <v>Flat</v>
          </cell>
          <cell r="F168">
            <v>500</v>
          </cell>
        </row>
        <row r="169">
          <cell r="A169" t="str">
            <v>902</v>
          </cell>
          <cell r="B169">
            <v>6</v>
          </cell>
          <cell r="C169" t="str">
            <v>Orange</v>
          </cell>
          <cell r="D169" t="str">
            <v>Falcon Trace Community Development District</v>
          </cell>
          <cell r="E169" t="str">
            <v>Flat</v>
          </cell>
          <cell r="F169">
            <v>500</v>
          </cell>
        </row>
        <row r="170">
          <cell r="A170" t="str">
            <v>962</v>
          </cell>
          <cell r="B170">
            <v>6</v>
          </cell>
          <cell r="C170" t="str">
            <v>Brevard</v>
          </cell>
          <cell r="D170" t="str">
            <v>Florida Space Authority</v>
          </cell>
          <cell r="E170" t="str">
            <v>Flat</v>
          </cell>
          <cell r="F170">
            <v>1000</v>
          </cell>
        </row>
        <row r="171">
          <cell r="A171" t="str">
            <v>042</v>
          </cell>
          <cell r="B171">
            <v>7</v>
          </cell>
          <cell r="C171" t="str">
            <v>Pinellas</v>
          </cell>
          <cell r="D171" t="str">
            <v>City of Belleair Beach</v>
          </cell>
          <cell r="E171" t="str">
            <v>Flat</v>
          </cell>
          <cell r="F171">
            <v>1000</v>
          </cell>
        </row>
        <row r="172">
          <cell r="A172" t="str">
            <v>047</v>
          </cell>
          <cell r="B172">
            <v>7</v>
          </cell>
          <cell r="C172" t="str">
            <v>Dade</v>
          </cell>
          <cell r="D172" t="str">
            <v>Village of Biscayne Park</v>
          </cell>
          <cell r="E172" t="str">
            <v>Flat</v>
          </cell>
          <cell r="F172">
            <v>1000</v>
          </cell>
        </row>
        <row r="173">
          <cell r="A173" t="str">
            <v>071</v>
          </cell>
          <cell r="B173">
            <v>7</v>
          </cell>
          <cell r="C173" t="str">
            <v>Nassau</v>
          </cell>
          <cell r="D173" t="str">
            <v>Town of Callahan</v>
          </cell>
          <cell r="E173" t="str">
            <v>Flat</v>
          </cell>
          <cell r="F173">
            <v>500</v>
          </cell>
        </row>
        <row r="174">
          <cell r="A174" t="str">
            <v>128</v>
          </cell>
          <cell r="B174">
            <v>7</v>
          </cell>
          <cell r="C174" t="str">
            <v>Pasco</v>
          </cell>
          <cell r="D174" t="str">
            <v>City of Dade City</v>
          </cell>
          <cell r="E174" t="str">
            <v>Flat</v>
          </cell>
          <cell r="F174">
            <v>500</v>
          </cell>
        </row>
        <row r="175">
          <cell r="A175" t="str">
            <v>219</v>
          </cell>
          <cell r="B175">
            <v>7</v>
          </cell>
          <cell r="C175" t="str">
            <v>Palm Beach</v>
          </cell>
          <cell r="D175" t="str">
            <v>City of Greenacres</v>
          </cell>
          <cell r="E175" t="str">
            <v>Flat</v>
          </cell>
          <cell r="F175">
            <v>500</v>
          </cell>
        </row>
        <row r="176">
          <cell r="A176" t="str">
            <v>237</v>
          </cell>
          <cell r="B176">
            <v>7</v>
          </cell>
          <cell r="C176" t="str">
            <v>St. Johns</v>
          </cell>
          <cell r="D176" t="str">
            <v>Town of Hastings</v>
          </cell>
          <cell r="E176" t="str">
            <v>Flat</v>
          </cell>
          <cell r="F176">
            <v>500</v>
          </cell>
        </row>
        <row r="177">
          <cell r="A177" t="str">
            <v>354</v>
          </cell>
          <cell r="B177">
            <v>7</v>
          </cell>
          <cell r="C177" t="str">
            <v>Jackson</v>
          </cell>
          <cell r="D177" t="str">
            <v>Town of Malone</v>
          </cell>
          <cell r="E177" t="str">
            <v>Flat</v>
          </cell>
          <cell r="F177">
            <v>500</v>
          </cell>
        </row>
        <row r="178">
          <cell r="A178" t="str">
            <v>358</v>
          </cell>
          <cell r="B178">
            <v>7</v>
          </cell>
          <cell r="C178" t="str">
            <v>Manatee</v>
          </cell>
          <cell r="D178" t="str">
            <v>Manatee County Port Authority</v>
          </cell>
          <cell r="E178" t="str">
            <v>Stoploss</v>
          </cell>
          <cell r="F178">
            <v>25000</v>
          </cell>
        </row>
        <row r="179">
          <cell r="A179" t="str">
            <v>367</v>
          </cell>
          <cell r="B179">
            <v>7</v>
          </cell>
          <cell r="C179" t="str">
            <v>Marion</v>
          </cell>
          <cell r="D179" t="str">
            <v>Town of McIntosh</v>
          </cell>
          <cell r="E179" t="str">
            <v>Flat</v>
          </cell>
          <cell r="F179">
            <v>500</v>
          </cell>
        </row>
        <row r="180">
          <cell r="A180" t="str">
            <v>379</v>
          </cell>
          <cell r="B180">
            <v>7</v>
          </cell>
          <cell r="C180" t="str">
            <v>Dade</v>
          </cell>
          <cell r="D180" t="str">
            <v>City of Miami Springs</v>
          </cell>
          <cell r="E180" t="str">
            <v>Flat</v>
          </cell>
          <cell r="F180">
            <v>500</v>
          </cell>
        </row>
        <row r="181">
          <cell r="A181" t="str">
            <v>404</v>
          </cell>
          <cell r="B181">
            <v>7</v>
          </cell>
          <cell r="C181" t="str">
            <v>Alachua</v>
          </cell>
          <cell r="D181" t="str">
            <v>North Central Florida Regional Planning Council</v>
          </cell>
          <cell r="E181" t="str">
            <v>Flat</v>
          </cell>
          <cell r="F181">
            <v>500</v>
          </cell>
        </row>
        <row r="182">
          <cell r="A182" t="str">
            <v>415</v>
          </cell>
          <cell r="B182">
            <v>7</v>
          </cell>
          <cell r="C182" t="str">
            <v>St. Lucie</v>
          </cell>
          <cell r="D182" t="str">
            <v>North Saint Lucie River Water Control District</v>
          </cell>
          <cell r="E182" t="str">
            <v>Flat</v>
          </cell>
          <cell r="F182">
            <v>1000</v>
          </cell>
        </row>
        <row r="183">
          <cell r="A183" t="str">
            <v>432</v>
          </cell>
          <cell r="B183">
            <v>7</v>
          </cell>
          <cell r="C183" t="str">
            <v>Lake</v>
          </cell>
          <cell r="D183" t="str">
            <v>Lake County Water Authority</v>
          </cell>
          <cell r="E183" t="str">
            <v>Flat</v>
          </cell>
          <cell r="F183">
            <v>1000</v>
          </cell>
        </row>
        <row r="184">
          <cell r="A184" t="str">
            <v>458</v>
          </cell>
          <cell r="B184">
            <v>7</v>
          </cell>
          <cell r="C184" t="str">
            <v>Brevard</v>
          </cell>
          <cell r="D184" t="str">
            <v>Town of Palm Shores</v>
          </cell>
          <cell r="E184" t="str">
            <v>Flat</v>
          </cell>
          <cell r="F184">
            <v>500</v>
          </cell>
        </row>
        <row r="185">
          <cell r="A185" t="str">
            <v>471</v>
          </cell>
          <cell r="B185">
            <v>7</v>
          </cell>
          <cell r="C185" t="str">
            <v>Clay</v>
          </cell>
          <cell r="D185" t="str">
            <v>Town of Penney Farms</v>
          </cell>
          <cell r="E185" t="str">
            <v>Flat</v>
          </cell>
          <cell r="F185">
            <v>500</v>
          </cell>
        </row>
        <row r="186">
          <cell r="A186" t="str">
            <v>536</v>
          </cell>
          <cell r="B186">
            <v>7</v>
          </cell>
          <cell r="C186" t="str">
            <v>Brevard</v>
          </cell>
          <cell r="D186" t="str">
            <v>City of Satellite Beach</v>
          </cell>
          <cell r="E186" t="str">
            <v>Flat</v>
          </cell>
          <cell r="F186">
            <v>500</v>
          </cell>
        </row>
        <row r="187">
          <cell r="A187" t="str">
            <v>576</v>
          </cell>
          <cell r="B187">
            <v>7</v>
          </cell>
          <cell r="C187" t="str">
            <v>Broward</v>
          </cell>
          <cell r="D187" t="str">
            <v>City of Sunrise</v>
          </cell>
          <cell r="E187" t="str">
            <v>Stoploss</v>
          </cell>
          <cell r="F187">
            <v>100000</v>
          </cell>
        </row>
        <row r="188">
          <cell r="A188" t="str">
            <v>611</v>
          </cell>
          <cell r="B188">
            <v>7</v>
          </cell>
          <cell r="C188" t="str">
            <v>Broward</v>
          </cell>
          <cell r="D188" t="str">
            <v>Turtle Run Community Development District</v>
          </cell>
          <cell r="E188" t="str">
            <v>Flat</v>
          </cell>
          <cell r="F188">
            <v>500</v>
          </cell>
        </row>
        <row r="189">
          <cell r="A189" t="str">
            <v>625</v>
          </cell>
          <cell r="B189">
            <v>7</v>
          </cell>
          <cell r="C189" t="str">
            <v>Walton</v>
          </cell>
          <cell r="D189" t="str">
            <v>Walton County Board of County Commissioners</v>
          </cell>
          <cell r="E189" t="str">
            <v>Flat</v>
          </cell>
          <cell r="F189">
            <v>1000</v>
          </cell>
        </row>
        <row r="190">
          <cell r="A190" t="str">
            <v>747</v>
          </cell>
          <cell r="B190">
            <v>7</v>
          </cell>
          <cell r="C190" t="str">
            <v>Palm Beach</v>
          </cell>
          <cell r="D190" t="str">
            <v>Florida Inland Navigation District</v>
          </cell>
          <cell r="E190" t="str">
            <v>Flat</v>
          </cell>
          <cell r="F190">
            <v>500</v>
          </cell>
        </row>
        <row r="191">
          <cell r="A191" t="str">
            <v>755</v>
          </cell>
          <cell r="B191">
            <v>7</v>
          </cell>
          <cell r="C191" t="str">
            <v>Pinellas</v>
          </cell>
          <cell r="D191" t="str">
            <v>City of Largo</v>
          </cell>
          <cell r="E191" t="str">
            <v>Flat</v>
          </cell>
          <cell r="F191">
            <v>5000</v>
          </cell>
        </row>
        <row r="192">
          <cell r="A192" t="str">
            <v>802</v>
          </cell>
          <cell r="B192">
            <v>7</v>
          </cell>
          <cell r="C192" t="str">
            <v>Volusia</v>
          </cell>
          <cell r="D192" t="str">
            <v>Volusia Growth Management Commission</v>
          </cell>
          <cell r="E192" t="str">
            <v>Flat</v>
          </cell>
          <cell r="F192">
            <v>500</v>
          </cell>
        </row>
        <row r="193">
          <cell r="A193" t="str">
            <v>819</v>
          </cell>
          <cell r="B193">
            <v>7</v>
          </cell>
          <cell r="C193" t="str">
            <v>Palm Beach</v>
          </cell>
          <cell r="D193" t="str">
            <v>Florida Atlantic Research and Development Authority</v>
          </cell>
          <cell r="E193" t="str">
            <v>Flat</v>
          </cell>
          <cell r="F193">
            <v>500</v>
          </cell>
        </row>
        <row r="194">
          <cell r="A194" t="str">
            <v>073</v>
          </cell>
          <cell r="B194">
            <v>8</v>
          </cell>
          <cell r="C194" t="str">
            <v>Brevard</v>
          </cell>
          <cell r="D194" t="str">
            <v>City of Cape Canaveral</v>
          </cell>
          <cell r="E194" t="str">
            <v>Flat</v>
          </cell>
          <cell r="F194">
            <v>1000</v>
          </cell>
        </row>
        <row r="195">
          <cell r="A195" t="str">
            <v>077</v>
          </cell>
          <cell r="B195">
            <v>8</v>
          </cell>
          <cell r="C195" t="str">
            <v>Franklin</v>
          </cell>
          <cell r="D195" t="str">
            <v>City of Carrabelle</v>
          </cell>
          <cell r="E195" t="str">
            <v>Flat</v>
          </cell>
          <cell r="F195">
            <v>500</v>
          </cell>
        </row>
        <row r="196">
          <cell r="A196" t="str">
            <v>082</v>
          </cell>
          <cell r="B196">
            <v>8</v>
          </cell>
          <cell r="C196" t="str">
            <v>Levy</v>
          </cell>
          <cell r="D196" t="str">
            <v>City of Cedar Key</v>
          </cell>
          <cell r="E196" t="str">
            <v>Flat</v>
          </cell>
          <cell r="F196">
            <v>500</v>
          </cell>
        </row>
        <row r="197">
          <cell r="A197" t="str">
            <v>083</v>
          </cell>
          <cell r="B197">
            <v>8</v>
          </cell>
          <cell r="C197" t="str">
            <v>Levy</v>
          </cell>
          <cell r="D197" t="str">
            <v>Cedar Key Special Water &amp; Sewerage District</v>
          </cell>
          <cell r="E197" t="str">
            <v>Flat</v>
          </cell>
          <cell r="F197">
            <v>500</v>
          </cell>
        </row>
        <row r="198">
          <cell r="A198" t="str">
            <v>124</v>
          </cell>
          <cell r="B198">
            <v>8</v>
          </cell>
          <cell r="C198" t="str">
            <v>Okaloosa</v>
          </cell>
          <cell r="D198" t="str">
            <v>City of Crestview</v>
          </cell>
          <cell r="E198" t="str">
            <v>Flat</v>
          </cell>
          <cell r="F198">
            <v>500</v>
          </cell>
        </row>
        <row r="199">
          <cell r="A199" t="str">
            <v>156</v>
          </cell>
          <cell r="B199">
            <v>8</v>
          </cell>
          <cell r="C199" t="str">
            <v>Orange</v>
          </cell>
          <cell r="D199" t="str">
            <v>Town of Eatonville</v>
          </cell>
          <cell r="E199" t="str">
            <v>Flat</v>
          </cell>
          <cell r="F199">
            <v>5000</v>
          </cell>
        </row>
        <row r="200">
          <cell r="A200" t="str">
            <v>200</v>
          </cell>
          <cell r="B200">
            <v>8</v>
          </cell>
          <cell r="C200" t="str">
            <v>Columbia</v>
          </cell>
          <cell r="D200" t="str">
            <v>Town of Fort White</v>
          </cell>
          <cell r="E200" t="str">
            <v>Flat</v>
          </cell>
          <cell r="F200">
            <v>500</v>
          </cell>
        </row>
        <row r="201">
          <cell r="A201" t="str">
            <v>208</v>
          </cell>
          <cell r="B201">
            <v>8</v>
          </cell>
          <cell r="C201" t="str">
            <v>Hendry</v>
          </cell>
          <cell r="D201" t="str">
            <v>Gerber Groves Water Control District</v>
          </cell>
          <cell r="E201" t="str">
            <v>Flat</v>
          </cell>
          <cell r="F201">
            <v>500</v>
          </cell>
        </row>
        <row r="202">
          <cell r="A202" t="str">
            <v>222</v>
          </cell>
          <cell r="B202">
            <v>8</v>
          </cell>
          <cell r="C202" t="str">
            <v>Jackson</v>
          </cell>
          <cell r="D202" t="str">
            <v>Town of Greenwood</v>
          </cell>
          <cell r="E202" t="str">
            <v>Flat</v>
          </cell>
          <cell r="F202">
            <v>500</v>
          </cell>
        </row>
        <row r="203">
          <cell r="A203" t="str">
            <v>435</v>
          </cell>
          <cell r="B203">
            <v>8</v>
          </cell>
          <cell r="C203" t="str">
            <v>Miami-Dade</v>
          </cell>
          <cell r="D203" t="str">
            <v>City of Opa-locka</v>
          </cell>
          <cell r="E203" t="str">
            <v>Flat</v>
          </cell>
          <cell r="F203">
            <v>2500</v>
          </cell>
        </row>
        <row r="204">
          <cell r="A204" t="str">
            <v>480</v>
          </cell>
          <cell r="B204">
            <v>8</v>
          </cell>
          <cell r="C204" t="str">
            <v>Pinellas</v>
          </cell>
          <cell r="D204" t="str">
            <v>Pinellas Suncoast Transit Authority</v>
          </cell>
          <cell r="E204" t="str">
            <v>Flat</v>
          </cell>
          <cell r="F204">
            <v>1000</v>
          </cell>
        </row>
        <row r="205">
          <cell r="A205" t="str">
            <v>482</v>
          </cell>
          <cell r="B205">
            <v>8</v>
          </cell>
          <cell r="C205" t="str">
            <v>Broward</v>
          </cell>
          <cell r="D205" t="str">
            <v>City of Plantation</v>
          </cell>
          <cell r="E205" t="str">
            <v>Stoploss</v>
          </cell>
          <cell r="F205">
            <v>100000</v>
          </cell>
        </row>
        <row r="206">
          <cell r="A206" t="str">
            <v>492</v>
          </cell>
          <cell r="B206">
            <v>8</v>
          </cell>
          <cell r="C206" t="str">
            <v>St. Johns</v>
          </cell>
          <cell r="D206" t="str">
            <v>Municpal Service District of Ponte Vedra Beach</v>
          </cell>
          <cell r="E206" t="str">
            <v>Flat</v>
          </cell>
          <cell r="F206">
            <v>500</v>
          </cell>
        </row>
        <row r="207">
          <cell r="A207" t="str">
            <v>505</v>
          </cell>
          <cell r="B207">
            <v>8</v>
          </cell>
          <cell r="C207" t="str">
            <v>Marion</v>
          </cell>
          <cell r="D207" t="str">
            <v>Town of Reddick</v>
          </cell>
          <cell r="E207" t="str">
            <v>Flat</v>
          </cell>
          <cell r="F207">
            <v>500</v>
          </cell>
        </row>
        <row r="208">
          <cell r="A208" t="str">
            <v>522</v>
          </cell>
          <cell r="B208">
            <v>8</v>
          </cell>
          <cell r="C208" t="str">
            <v>St. Lucie</v>
          </cell>
          <cell r="D208" t="str">
            <v>Town of Saint Lucie Village</v>
          </cell>
          <cell r="E208" t="str">
            <v>Flat</v>
          </cell>
          <cell r="F208">
            <v>500</v>
          </cell>
        </row>
        <row r="209">
          <cell r="A209" t="str">
            <v>553</v>
          </cell>
          <cell r="B209">
            <v>8</v>
          </cell>
          <cell r="C209" t="str">
            <v>Palm Beach</v>
          </cell>
          <cell r="D209" t="str">
            <v>City of South Bay</v>
          </cell>
          <cell r="E209" t="str">
            <v>Flat</v>
          </cell>
          <cell r="F209">
            <v>1000</v>
          </cell>
        </row>
        <row r="210">
          <cell r="A210" t="str">
            <v>587</v>
          </cell>
          <cell r="B210">
            <v>8</v>
          </cell>
          <cell r="C210" t="str">
            <v>Pinellas</v>
          </cell>
          <cell r="D210" t="str">
            <v>Tampa Bay Regional Planning Council</v>
          </cell>
          <cell r="E210" t="str">
            <v>Flat</v>
          </cell>
          <cell r="F210">
            <v>500</v>
          </cell>
        </row>
        <row r="211">
          <cell r="A211" t="str">
            <v>620</v>
          </cell>
          <cell r="B211">
            <v>8</v>
          </cell>
          <cell r="C211" t="str">
            <v>Dade</v>
          </cell>
          <cell r="D211" t="str">
            <v>Village of Virginia Gardens</v>
          </cell>
          <cell r="E211" t="str">
            <v>Flat</v>
          </cell>
          <cell r="F211">
            <v>500</v>
          </cell>
        </row>
        <row r="212">
          <cell r="A212" t="str">
            <v>655</v>
          </cell>
          <cell r="B212">
            <v>8</v>
          </cell>
          <cell r="C212" t="str">
            <v>Hillsborough</v>
          </cell>
          <cell r="D212" t="str">
            <v>Cory Lakes Community Development District</v>
          </cell>
          <cell r="E212" t="str">
            <v>Flat</v>
          </cell>
          <cell r="F212">
            <v>500</v>
          </cell>
        </row>
        <row r="213">
          <cell r="A213" t="str">
            <v>704</v>
          </cell>
          <cell r="B213">
            <v>8</v>
          </cell>
          <cell r="C213" t="str">
            <v>Palm Beach</v>
          </cell>
          <cell r="D213" t="str">
            <v>Delray Beach Community Redevelopment Agency</v>
          </cell>
          <cell r="E213" t="str">
            <v>Flat</v>
          </cell>
          <cell r="F213">
            <v>1000</v>
          </cell>
        </row>
        <row r="214">
          <cell r="A214" t="str">
            <v>742</v>
          </cell>
          <cell r="B214">
            <v>8</v>
          </cell>
          <cell r="C214" t="str">
            <v>Alachua</v>
          </cell>
          <cell r="D214" t="str">
            <v>Florida Gas Utility</v>
          </cell>
          <cell r="E214" t="str">
            <v>Flat</v>
          </cell>
          <cell r="F214">
            <v>500</v>
          </cell>
        </row>
        <row r="215">
          <cell r="A215" t="str">
            <v>749</v>
          </cell>
          <cell r="B215">
            <v>8</v>
          </cell>
          <cell r="C215" t="str">
            <v>Pasco</v>
          </cell>
          <cell r="D215" t="str">
            <v>Northwood Community Development District</v>
          </cell>
          <cell r="E215" t="str">
            <v>Flat</v>
          </cell>
          <cell r="F215">
            <v>500</v>
          </cell>
        </row>
        <row r="216">
          <cell r="A216" t="str">
            <v>810</v>
          </cell>
          <cell r="B216">
            <v>8</v>
          </cell>
          <cell r="C216" t="str">
            <v>Escambia</v>
          </cell>
          <cell r="D216" t="str">
            <v>Pensacola - Escambia Governmental Center Authority</v>
          </cell>
          <cell r="E216" t="str">
            <v>Flat</v>
          </cell>
          <cell r="F216">
            <v>5000</v>
          </cell>
        </row>
        <row r="217">
          <cell r="A217" t="str">
            <v>857</v>
          </cell>
          <cell r="B217">
            <v>8</v>
          </cell>
          <cell r="C217" t="str">
            <v>Gadsden</v>
          </cell>
          <cell r="D217" t="str">
            <v>Gadsden County School Board</v>
          </cell>
          <cell r="E217" t="str">
            <v>Flat</v>
          </cell>
          <cell r="F217">
            <v>10000</v>
          </cell>
        </row>
        <row r="218">
          <cell r="A218" t="str">
            <v>019</v>
          </cell>
          <cell r="B218">
            <v>9</v>
          </cell>
          <cell r="C218" t="str">
            <v>Palm Beach</v>
          </cell>
          <cell r="D218" t="str">
            <v>City of Atlantis</v>
          </cell>
          <cell r="E218" t="str">
            <v>Flat</v>
          </cell>
          <cell r="F218">
            <v>500</v>
          </cell>
        </row>
        <row r="219">
          <cell r="A219" t="str">
            <v>095</v>
          </cell>
          <cell r="B219">
            <v>9</v>
          </cell>
          <cell r="C219" t="str">
            <v>Okaloosa</v>
          </cell>
          <cell r="D219" t="str">
            <v>Town of Cinco Bayou</v>
          </cell>
          <cell r="E219" t="str">
            <v>Flat</v>
          </cell>
          <cell r="F219">
            <v>1000</v>
          </cell>
        </row>
        <row r="220">
          <cell r="A220" t="str">
            <v>101</v>
          </cell>
          <cell r="B220">
            <v>9</v>
          </cell>
          <cell r="C220" t="str">
            <v>Lake</v>
          </cell>
          <cell r="D220" t="str">
            <v>City of Clermont</v>
          </cell>
          <cell r="E220" t="str">
            <v>Flat</v>
          </cell>
          <cell r="F220">
            <v>1000</v>
          </cell>
        </row>
        <row r="221">
          <cell r="A221" t="str">
            <v>106</v>
          </cell>
          <cell r="B221">
            <v>9</v>
          </cell>
          <cell r="C221" t="str">
            <v>Brevard</v>
          </cell>
          <cell r="D221" t="str">
            <v>City of Cocoa Beach</v>
          </cell>
          <cell r="E221" t="str">
            <v>Flat</v>
          </cell>
          <cell r="F221">
            <v>500</v>
          </cell>
        </row>
        <row r="222">
          <cell r="A222" t="str">
            <v>155</v>
          </cell>
          <cell r="B222">
            <v>9</v>
          </cell>
          <cell r="C222" t="str">
            <v>Franklin</v>
          </cell>
          <cell r="D222" t="str">
            <v>Eastpoint Water &amp; Sewerage District</v>
          </cell>
          <cell r="E222" t="str">
            <v>Flat</v>
          </cell>
          <cell r="F222">
            <v>500</v>
          </cell>
        </row>
        <row r="223">
          <cell r="A223" t="str">
            <v>221</v>
          </cell>
          <cell r="B223">
            <v>9</v>
          </cell>
          <cell r="C223" t="str">
            <v>Madison</v>
          </cell>
          <cell r="D223" t="str">
            <v>Town of Greenville</v>
          </cell>
          <cell r="E223" t="str">
            <v>Flat</v>
          </cell>
          <cell r="F223">
            <v>500</v>
          </cell>
        </row>
        <row r="224">
          <cell r="A224" t="str">
            <v>282</v>
          </cell>
          <cell r="B224">
            <v>9</v>
          </cell>
          <cell r="C224" t="str">
            <v>Putnam</v>
          </cell>
          <cell r="D224" t="str">
            <v>Town of Interlachen</v>
          </cell>
          <cell r="E224" t="str">
            <v>Flat</v>
          </cell>
          <cell r="F224">
            <v>500</v>
          </cell>
        </row>
        <row r="225">
          <cell r="A225" t="str">
            <v>288</v>
          </cell>
          <cell r="B225">
            <v>9</v>
          </cell>
          <cell r="C225" t="str">
            <v>Jackson</v>
          </cell>
          <cell r="D225" t="str">
            <v>City of Jacob City</v>
          </cell>
          <cell r="E225" t="str">
            <v>Flat</v>
          </cell>
          <cell r="F225">
            <v>500</v>
          </cell>
        </row>
        <row r="226">
          <cell r="A226" t="str">
            <v>291</v>
          </cell>
          <cell r="B226">
            <v>9</v>
          </cell>
          <cell r="C226" t="str">
            <v>Jefferson</v>
          </cell>
          <cell r="D226" t="str">
            <v>Jefferson County Board of County Commissioners</v>
          </cell>
          <cell r="E226" t="str">
            <v>Flat</v>
          </cell>
          <cell r="F226">
            <v>1000</v>
          </cell>
        </row>
        <row r="227">
          <cell r="A227" t="str">
            <v>332</v>
          </cell>
          <cell r="B227">
            <v>9</v>
          </cell>
          <cell r="C227" t="str">
            <v>Lee</v>
          </cell>
          <cell r="D227" t="str">
            <v>Lee County Housing Authority</v>
          </cell>
          <cell r="E227" t="str">
            <v>Flat</v>
          </cell>
          <cell r="F227">
            <v>500</v>
          </cell>
        </row>
        <row r="228">
          <cell r="A228" t="str">
            <v>345</v>
          </cell>
          <cell r="B228">
            <v>9</v>
          </cell>
          <cell r="C228" t="str">
            <v>Palm Beach</v>
          </cell>
          <cell r="D228" t="str">
            <v>Loxahatchee Groves Water Control District</v>
          </cell>
          <cell r="E228" t="str">
            <v>Flat</v>
          </cell>
          <cell r="F228">
            <v>1000</v>
          </cell>
        </row>
        <row r="229">
          <cell r="A229" t="str">
            <v>388</v>
          </cell>
          <cell r="B229">
            <v>9</v>
          </cell>
          <cell r="C229" t="str">
            <v>Monroe</v>
          </cell>
          <cell r="D229" t="str">
            <v>Florida Keys Mosquito Control District</v>
          </cell>
          <cell r="E229" t="str">
            <v>Flat</v>
          </cell>
          <cell r="F229">
            <v>500</v>
          </cell>
        </row>
        <row r="230">
          <cell r="A230" t="str">
            <v>421</v>
          </cell>
          <cell r="B230">
            <v>9</v>
          </cell>
          <cell r="C230" t="str">
            <v>Orange</v>
          </cell>
          <cell r="D230" t="str">
            <v>Town of Oakland</v>
          </cell>
          <cell r="E230" t="str">
            <v>Flat</v>
          </cell>
          <cell r="F230">
            <v>500</v>
          </cell>
        </row>
        <row r="231">
          <cell r="A231" t="str">
            <v>438</v>
          </cell>
          <cell r="B231">
            <v>9</v>
          </cell>
          <cell r="C231" t="str">
            <v>Clay</v>
          </cell>
          <cell r="D231" t="str">
            <v>Town of Orange Park</v>
          </cell>
          <cell r="E231" t="str">
            <v>Flat</v>
          </cell>
          <cell r="F231">
            <v>1000</v>
          </cell>
        </row>
        <row r="232">
          <cell r="A232" t="str">
            <v>439</v>
          </cell>
          <cell r="B232">
            <v>9</v>
          </cell>
          <cell r="C232" t="str">
            <v>Indian River</v>
          </cell>
          <cell r="D232" t="str">
            <v>Town of Orchid</v>
          </cell>
          <cell r="E232" t="str">
            <v>Flat</v>
          </cell>
          <cell r="F232">
            <v>500</v>
          </cell>
        </row>
        <row r="233">
          <cell r="A233" t="str">
            <v>472</v>
          </cell>
          <cell r="B233">
            <v>9</v>
          </cell>
          <cell r="C233" t="str">
            <v>Escambia</v>
          </cell>
          <cell r="D233" t="str">
            <v>Area Housing Commission of Pensacola</v>
          </cell>
          <cell r="E233" t="str">
            <v>Stoploss</v>
          </cell>
          <cell r="F233">
            <v>25000</v>
          </cell>
        </row>
        <row r="234">
          <cell r="A234" t="str">
            <v>507</v>
          </cell>
          <cell r="B234">
            <v>9</v>
          </cell>
          <cell r="C234" t="str">
            <v>Pinellas</v>
          </cell>
          <cell r="D234" t="str">
            <v>Town of Redington Shores</v>
          </cell>
          <cell r="E234" t="str">
            <v>Flat</v>
          </cell>
          <cell r="F234">
            <v>500</v>
          </cell>
        </row>
        <row r="235">
          <cell r="A235" t="str">
            <v>517</v>
          </cell>
          <cell r="B235">
            <v>9</v>
          </cell>
          <cell r="C235" t="str">
            <v>Saint Johns</v>
          </cell>
          <cell r="D235" t="str">
            <v>City of Saint Augustine Beach</v>
          </cell>
          <cell r="E235" t="str">
            <v>Flat</v>
          </cell>
          <cell r="F235">
            <v>500</v>
          </cell>
        </row>
        <row r="236">
          <cell r="A236" t="str">
            <v>539</v>
          </cell>
          <cell r="B236">
            <v>9</v>
          </cell>
          <cell r="C236" t="str">
            <v>Indian River</v>
          </cell>
          <cell r="D236" t="str">
            <v>City of Sebastian</v>
          </cell>
          <cell r="E236" t="str">
            <v>Stoploss</v>
          </cell>
          <cell r="F236">
            <v>25000</v>
          </cell>
        </row>
        <row r="237">
          <cell r="A237" t="str">
            <v>581</v>
          </cell>
          <cell r="B237">
            <v>9</v>
          </cell>
          <cell r="C237" t="str">
            <v>Dade</v>
          </cell>
          <cell r="D237" t="str">
            <v>City of Sweetwater</v>
          </cell>
          <cell r="E237" t="str">
            <v>Flat</v>
          </cell>
          <cell r="F237">
            <v>2500</v>
          </cell>
        </row>
        <row r="238">
          <cell r="A238" t="str">
            <v>616</v>
          </cell>
          <cell r="B238">
            <v>9</v>
          </cell>
          <cell r="C238" t="str">
            <v>Washington</v>
          </cell>
          <cell r="D238" t="str">
            <v>City of Vernon</v>
          </cell>
          <cell r="E238" t="str">
            <v>Flat</v>
          </cell>
          <cell r="F238">
            <v>500</v>
          </cell>
        </row>
        <row r="239">
          <cell r="A239" t="str">
            <v>629</v>
          </cell>
          <cell r="B239">
            <v>9</v>
          </cell>
          <cell r="C239" t="str">
            <v>Sumter</v>
          </cell>
          <cell r="D239" t="str">
            <v>City of Webster</v>
          </cell>
          <cell r="E239" t="str">
            <v>Flat</v>
          </cell>
          <cell r="F239">
            <v>500</v>
          </cell>
        </row>
        <row r="240">
          <cell r="A240" t="str">
            <v>639</v>
          </cell>
          <cell r="B240">
            <v>9</v>
          </cell>
          <cell r="C240" t="str">
            <v>Gulf</v>
          </cell>
          <cell r="D240" t="str">
            <v>City of Wewahitchka</v>
          </cell>
          <cell r="E240" t="str">
            <v>Flat</v>
          </cell>
          <cell r="F240">
            <v>1000</v>
          </cell>
        </row>
        <row r="241">
          <cell r="A241" t="str">
            <v>644</v>
          </cell>
          <cell r="B241">
            <v>9</v>
          </cell>
          <cell r="C241" t="str">
            <v>Orange</v>
          </cell>
          <cell r="D241" t="str">
            <v>Town of Windermere</v>
          </cell>
          <cell r="E241" t="str">
            <v>Flat</v>
          </cell>
          <cell r="F241">
            <v>500</v>
          </cell>
        </row>
        <row r="242">
          <cell r="A242" t="str">
            <v>648</v>
          </cell>
          <cell r="B242">
            <v>9</v>
          </cell>
          <cell r="C242" t="str">
            <v>Seminole</v>
          </cell>
          <cell r="D242" t="str">
            <v>City of Winter Springs</v>
          </cell>
          <cell r="E242" t="str">
            <v>Flat</v>
          </cell>
          <cell r="F242">
            <v>1000</v>
          </cell>
        </row>
        <row r="243">
          <cell r="A243" t="str">
            <v>690</v>
          </cell>
          <cell r="B243">
            <v>9</v>
          </cell>
          <cell r="C243" t="str">
            <v>Broward</v>
          </cell>
          <cell r="D243" t="str">
            <v>City of Margate</v>
          </cell>
          <cell r="E243" t="str">
            <v>Flat</v>
          </cell>
          <cell r="F243">
            <v>2500</v>
          </cell>
        </row>
        <row r="244">
          <cell r="A244" t="str">
            <v>692</v>
          </cell>
          <cell r="B244">
            <v>9</v>
          </cell>
          <cell r="C244" t="str">
            <v>Dade</v>
          </cell>
          <cell r="D244" t="str">
            <v>City of North Miami</v>
          </cell>
          <cell r="E244" t="str">
            <v>Flat</v>
          </cell>
          <cell r="F244">
            <v>5000</v>
          </cell>
        </row>
        <row r="245">
          <cell r="A245" t="str">
            <v>710</v>
          </cell>
          <cell r="B245">
            <v>9</v>
          </cell>
          <cell r="C245" t="str">
            <v>Osceola</v>
          </cell>
          <cell r="D245" t="str">
            <v>Enterprise Community Development District</v>
          </cell>
          <cell r="E245" t="str">
            <v>Flat</v>
          </cell>
          <cell r="F245">
            <v>1000</v>
          </cell>
        </row>
        <row r="246">
          <cell r="A246" t="str">
            <v>739</v>
          </cell>
          <cell r="B246">
            <v>9</v>
          </cell>
          <cell r="C246" t="str">
            <v>Volusia</v>
          </cell>
          <cell r="D246" t="str">
            <v>Indigo Community Development District</v>
          </cell>
          <cell r="E246" t="str">
            <v>Flat</v>
          </cell>
          <cell r="F246">
            <v>500</v>
          </cell>
        </row>
        <row r="247">
          <cell r="A247" t="str">
            <v>741</v>
          </cell>
          <cell r="B247">
            <v>9</v>
          </cell>
          <cell r="C247" t="str">
            <v>Manatee</v>
          </cell>
          <cell r="D247" t="str">
            <v>Tampa Palms Open Space &amp; Transportation District</v>
          </cell>
          <cell r="E247" t="str">
            <v>Flat</v>
          </cell>
          <cell r="F247">
            <v>500</v>
          </cell>
        </row>
        <row r="248">
          <cell r="A248" t="str">
            <v>836</v>
          </cell>
          <cell r="B248">
            <v>9</v>
          </cell>
          <cell r="C248" t="str">
            <v>Collier</v>
          </cell>
          <cell r="D248" t="str">
            <v>City of Marco Island</v>
          </cell>
          <cell r="E248" t="str">
            <v>Flat</v>
          </cell>
          <cell r="F248">
            <v>500</v>
          </cell>
        </row>
        <row r="249">
          <cell r="A249" t="str">
            <v>852</v>
          </cell>
          <cell r="B249">
            <v>9</v>
          </cell>
          <cell r="C249" t="str">
            <v>Pinellas</v>
          </cell>
          <cell r="D249" t="str">
            <v>Tampa Bay Estuary Program</v>
          </cell>
          <cell r="E249" t="str">
            <v>Flat</v>
          </cell>
          <cell r="F249">
            <v>500</v>
          </cell>
        </row>
        <row r="250">
          <cell r="A250" t="str">
            <v>854</v>
          </cell>
          <cell r="B250">
            <v>9</v>
          </cell>
          <cell r="C250" t="str">
            <v>Dade</v>
          </cell>
          <cell r="D250" t="str">
            <v>Miami-Dade Expressway Authority</v>
          </cell>
          <cell r="E250" t="str">
            <v>Flat</v>
          </cell>
          <cell r="F250">
            <v>500</v>
          </cell>
        </row>
        <row r="251">
          <cell r="A251" t="str">
            <v>913</v>
          </cell>
          <cell r="B251">
            <v>9</v>
          </cell>
          <cell r="C251" t="str">
            <v>Nassau</v>
          </cell>
          <cell r="D251" t="str">
            <v>Nassau County Board of County Commissioners</v>
          </cell>
          <cell r="E251" t="str">
            <v>Flat</v>
          </cell>
          <cell r="F251">
            <v>1000</v>
          </cell>
        </row>
        <row r="252">
          <cell r="A252" t="str">
            <v>942</v>
          </cell>
          <cell r="B252">
            <v>9</v>
          </cell>
          <cell r="C252" t="str">
            <v>Clay</v>
          </cell>
          <cell r="D252" t="str">
            <v>Fleming Island Plantation Community Development District</v>
          </cell>
          <cell r="E252" t="str">
            <v>Flat</v>
          </cell>
          <cell r="F252">
            <v>500</v>
          </cell>
        </row>
        <row r="253">
          <cell r="A253" t="str">
            <v>947</v>
          </cell>
          <cell r="B253">
            <v>9</v>
          </cell>
          <cell r="C253" t="str">
            <v>St. Lucie</v>
          </cell>
          <cell r="D253" t="str">
            <v>River Place on the Saint Lucie Community Development Distric</v>
          </cell>
          <cell r="E253" t="str">
            <v>Flat</v>
          </cell>
          <cell r="F253">
            <v>500</v>
          </cell>
        </row>
        <row r="254">
          <cell r="A254" t="str">
            <v>020</v>
          </cell>
          <cell r="B254">
            <v>10</v>
          </cell>
          <cell r="C254" t="str">
            <v>Polk</v>
          </cell>
          <cell r="D254" t="str">
            <v>City of Auburndale</v>
          </cell>
          <cell r="E254" t="str">
            <v>Flat</v>
          </cell>
          <cell r="F254">
            <v>1000</v>
          </cell>
        </row>
        <row r="255">
          <cell r="A255" t="str">
            <v>057</v>
          </cell>
          <cell r="B255">
            <v>10</v>
          </cell>
          <cell r="C255" t="str">
            <v>Manatee</v>
          </cell>
          <cell r="D255" t="str">
            <v>City of Bradenton Beach</v>
          </cell>
          <cell r="E255" t="str">
            <v>Flat</v>
          </cell>
          <cell r="F255">
            <v>1000</v>
          </cell>
        </row>
        <row r="256">
          <cell r="A256" t="str">
            <v>062</v>
          </cell>
          <cell r="B256">
            <v>10</v>
          </cell>
          <cell r="C256" t="str">
            <v>Levy</v>
          </cell>
          <cell r="D256" t="str">
            <v>Town of Bronson</v>
          </cell>
          <cell r="E256" t="str">
            <v>Flat</v>
          </cell>
          <cell r="F256">
            <v>500</v>
          </cell>
        </row>
        <row r="257">
          <cell r="A257" t="str">
            <v>079</v>
          </cell>
          <cell r="B257">
            <v>10</v>
          </cell>
          <cell r="C257" t="str">
            <v>Seminole</v>
          </cell>
          <cell r="D257" t="str">
            <v>City of Casselberry</v>
          </cell>
          <cell r="E257" t="str">
            <v>Flat</v>
          </cell>
          <cell r="F257">
            <v>500</v>
          </cell>
        </row>
        <row r="258">
          <cell r="A258" t="str">
            <v>149</v>
          </cell>
          <cell r="B258">
            <v>10</v>
          </cell>
          <cell r="C258" t="str">
            <v>Flagler</v>
          </cell>
          <cell r="D258" t="str">
            <v>Dunes Community Development District</v>
          </cell>
          <cell r="E258" t="str">
            <v>Flat</v>
          </cell>
          <cell r="F258">
            <v>1000</v>
          </cell>
        </row>
        <row r="259">
          <cell r="A259" t="str">
            <v>152</v>
          </cell>
          <cell r="B259">
            <v>10</v>
          </cell>
          <cell r="C259" t="str">
            <v>Orange</v>
          </cell>
          <cell r="D259" t="str">
            <v>East Central Florida Regional Planning Council</v>
          </cell>
          <cell r="E259" t="str">
            <v>Flat</v>
          </cell>
          <cell r="F259">
            <v>1000</v>
          </cell>
        </row>
        <row r="260">
          <cell r="A260" t="str">
            <v>189</v>
          </cell>
          <cell r="B260">
            <v>10</v>
          </cell>
          <cell r="C260" t="str">
            <v>Broward</v>
          </cell>
          <cell r="D260" t="str">
            <v>Fort Lauderdale Downtown Development Authority</v>
          </cell>
          <cell r="E260" t="str">
            <v>Flat</v>
          </cell>
          <cell r="F260">
            <v>500</v>
          </cell>
        </row>
        <row r="261">
          <cell r="A261" t="str">
            <v>220</v>
          </cell>
          <cell r="B261">
            <v>10</v>
          </cell>
          <cell r="C261" t="str">
            <v>Gadsden</v>
          </cell>
          <cell r="D261" t="str">
            <v>Town of Greensboro</v>
          </cell>
          <cell r="E261" t="str">
            <v>Flat</v>
          </cell>
          <cell r="F261">
            <v>1000</v>
          </cell>
        </row>
        <row r="262">
          <cell r="A262" t="str">
            <v>255</v>
          </cell>
          <cell r="B262">
            <v>10</v>
          </cell>
          <cell r="C262" t="str">
            <v>Nassau</v>
          </cell>
          <cell r="D262" t="str">
            <v>Town of Hilliard</v>
          </cell>
          <cell r="E262" t="str">
            <v>Flat</v>
          </cell>
          <cell r="F262">
            <v>500</v>
          </cell>
        </row>
        <row r="263">
          <cell r="A263" t="str">
            <v>289</v>
          </cell>
          <cell r="B263">
            <v>10</v>
          </cell>
          <cell r="C263" t="str">
            <v>Hamilton</v>
          </cell>
          <cell r="D263" t="str">
            <v>City of Jasper</v>
          </cell>
          <cell r="E263" t="str">
            <v>Flat</v>
          </cell>
          <cell r="F263">
            <v>500</v>
          </cell>
        </row>
        <row r="264">
          <cell r="A264" t="str">
            <v>422</v>
          </cell>
          <cell r="B264">
            <v>10</v>
          </cell>
          <cell r="C264" t="str">
            <v>Broward</v>
          </cell>
          <cell r="D264" t="str">
            <v>City of Oakland Park</v>
          </cell>
          <cell r="E264" t="str">
            <v>Flat</v>
          </cell>
          <cell r="F264">
            <v>500</v>
          </cell>
        </row>
        <row r="265">
          <cell r="A265" t="str">
            <v>443</v>
          </cell>
          <cell r="B265">
            <v>10</v>
          </cell>
          <cell r="C265" t="str">
            <v>Levy</v>
          </cell>
          <cell r="D265" t="str">
            <v>Town of Otter Creek</v>
          </cell>
          <cell r="E265" t="str">
            <v>Flat</v>
          </cell>
          <cell r="F265">
            <v>500</v>
          </cell>
        </row>
        <row r="266">
          <cell r="A266" t="str">
            <v>475</v>
          </cell>
          <cell r="B266">
            <v>10</v>
          </cell>
          <cell r="C266" t="str">
            <v>Volusia</v>
          </cell>
          <cell r="D266" t="str">
            <v>Town of Pierson</v>
          </cell>
          <cell r="E266" t="str">
            <v>Flat</v>
          </cell>
          <cell r="F266">
            <v>500</v>
          </cell>
        </row>
        <row r="267">
          <cell r="A267" t="str">
            <v>487</v>
          </cell>
          <cell r="B267">
            <v>10</v>
          </cell>
          <cell r="C267" t="str">
            <v>Putnam</v>
          </cell>
          <cell r="D267" t="str">
            <v>Town of Pomona Park</v>
          </cell>
          <cell r="E267" t="str">
            <v>Flat</v>
          </cell>
          <cell r="F267">
            <v>500</v>
          </cell>
        </row>
        <row r="268">
          <cell r="A268" t="str">
            <v>510</v>
          </cell>
          <cell r="B268">
            <v>10</v>
          </cell>
          <cell r="C268" t="str">
            <v>Charlotte</v>
          </cell>
          <cell r="D268" t="str">
            <v>Riverwood Community Development District</v>
          </cell>
          <cell r="E268" t="str">
            <v>Flat</v>
          </cell>
          <cell r="F268">
            <v>500</v>
          </cell>
        </row>
        <row r="269">
          <cell r="A269" t="str">
            <v>531</v>
          </cell>
          <cell r="B269">
            <v>10</v>
          </cell>
          <cell r="C269" t="str">
            <v>Lee</v>
          </cell>
          <cell r="D269" t="str">
            <v>City of Sanibel</v>
          </cell>
          <cell r="E269" t="str">
            <v>Flat</v>
          </cell>
          <cell r="F269">
            <v>500</v>
          </cell>
        </row>
        <row r="270">
          <cell r="A270" t="str">
            <v>540</v>
          </cell>
          <cell r="B270">
            <v>10</v>
          </cell>
          <cell r="C270" t="str">
            <v>Brevard</v>
          </cell>
          <cell r="D270" t="str">
            <v>Sebastian Inlet Tax District Commission</v>
          </cell>
          <cell r="E270" t="str">
            <v>Flat</v>
          </cell>
          <cell r="F270">
            <v>500</v>
          </cell>
        </row>
        <row r="271">
          <cell r="A271" t="str">
            <v>551</v>
          </cell>
          <cell r="B271">
            <v>10</v>
          </cell>
          <cell r="C271" t="str">
            <v>Jackson</v>
          </cell>
          <cell r="D271" t="str">
            <v>Town of Sneads</v>
          </cell>
          <cell r="E271" t="str">
            <v>Flat</v>
          </cell>
          <cell r="F271">
            <v>500</v>
          </cell>
        </row>
        <row r="272">
          <cell r="A272" t="str">
            <v>584</v>
          </cell>
          <cell r="B272">
            <v>10</v>
          </cell>
          <cell r="C272" t="str">
            <v>Broward</v>
          </cell>
          <cell r="D272" t="str">
            <v>City of Tamarac</v>
          </cell>
          <cell r="E272" t="str">
            <v>Stoploss</v>
          </cell>
          <cell r="F272">
            <v>25000</v>
          </cell>
        </row>
        <row r="273">
          <cell r="A273" t="str">
            <v>591</v>
          </cell>
          <cell r="B273">
            <v>10</v>
          </cell>
          <cell r="C273" t="str">
            <v>Pinellas</v>
          </cell>
          <cell r="D273" t="str">
            <v>City of Tarpon Springs</v>
          </cell>
          <cell r="E273" t="str">
            <v>Flat</v>
          </cell>
          <cell r="F273">
            <v>1000</v>
          </cell>
        </row>
        <row r="274">
          <cell r="A274" t="str">
            <v>628</v>
          </cell>
          <cell r="B274">
            <v>10</v>
          </cell>
          <cell r="C274" t="str">
            <v>Washington</v>
          </cell>
          <cell r="D274" t="str">
            <v>Town of Wausau</v>
          </cell>
          <cell r="E274" t="str">
            <v>Flat</v>
          </cell>
          <cell r="F274">
            <v>500</v>
          </cell>
        </row>
        <row r="275">
          <cell r="A275" t="str">
            <v>632</v>
          </cell>
          <cell r="B275">
            <v>10</v>
          </cell>
          <cell r="C275" t="str">
            <v>Pinellas</v>
          </cell>
          <cell r="D275" t="str">
            <v>Tampa Bay Water</v>
          </cell>
          <cell r="E275" t="str">
            <v>Flat</v>
          </cell>
          <cell r="F275">
            <v>5000</v>
          </cell>
        </row>
        <row r="276">
          <cell r="A276" t="str">
            <v>689</v>
          </cell>
          <cell r="B276">
            <v>10</v>
          </cell>
          <cell r="C276" t="str">
            <v>Jackson</v>
          </cell>
          <cell r="D276" t="str">
            <v>Town of Campbellton</v>
          </cell>
          <cell r="E276" t="str">
            <v>Flat</v>
          </cell>
          <cell r="F276">
            <v>500</v>
          </cell>
        </row>
        <row r="277">
          <cell r="A277" t="str">
            <v>693</v>
          </cell>
          <cell r="B277">
            <v>10</v>
          </cell>
          <cell r="C277" t="str">
            <v>Hillsborough</v>
          </cell>
          <cell r="D277" t="str">
            <v>Children's Board of Hillsborough County</v>
          </cell>
          <cell r="E277" t="str">
            <v>Flat</v>
          </cell>
          <cell r="F277">
            <v>500</v>
          </cell>
        </row>
        <row r="278">
          <cell r="A278" t="str">
            <v>738</v>
          </cell>
          <cell r="B278">
            <v>10</v>
          </cell>
          <cell r="C278" t="str">
            <v>Polk</v>
          </cell>
          <cell r="D278" t="str">
            <v>Golden Lakes Community Development District</v>
          </cell>
          <cell r="E278" t="str">
            <v>Flat</v>
          </cell>
          <cell r="F278">
            <v>500</v>
          </cell>
        </row>
        <row r="279">
          <cell r="A279" t="str">
            <v>770</v>
          </cell>
          <cell r="B279">
            <v>10</v>
          </cell>
          <cell r="C279" t="str">
            <v>Liberty</v>
          </cell>
          <cell r="D279" t="str">
            <v>Liberty County Board of County Commissioners</v>
          </cell>
          <cell r="E279" t="str">
            <v>Flat</v>
          </cell>
          <cell r="F279">
            <v>500</v>
          </cell>
        </row>
        <row r="280">
          <cell r="A280" t="str">
            <v>779</v>
          </cell>
          <cell r="B280">
            <v>10</v>
          </cell>
          <cell r="C280" t="str">
            <v>Hillsborough</v>
          </cell>
          <cell r="D280" t="str">
            <v>Palm Bay Community Development District</v>
          </cell>
          <cell r="E280" t="str">
            <v>Flat</v>
          </cell>
          <cell r="F280">
            <v>500</v>
          </cell>
        </row>
        <row r="281">
          <cell r="A281" t="str">
            <v>797</v>
          </cell>
          <cell r="B281">
            <v>10</v>
          </cell>
          <cell r="C281" t="str">
            <v>Brevard</v>
          </cell>
          <cell r="D281" t="str">
            <v>Technological Research &amp; Development Authority</v>
          </cell>
          <cell r="E281" t="str">
            <v>Flat</v>
          </cell>
          <cell r="F281">
            <v>500</v>
          </cell>
        </row>
        <row r="282">
          <cell r="A282" t="str">
            <v>843</v>
          </cell>
          <cell r="B282">
            <v>10</v>
          </cell>
          <cell r="C282" t="str">
            <v>Brevard</v>
          </cell>
          <cell r="D282" t="str">
            <v>Children's Services Council of Brevard County</v>
          </cell>
          <cell r="E282" t="str">
            <v>Flat</v>
          </cell>
          <cell r="F282">
            <v>500</v>
          </cell>
        </row>
        <row r="283">
          <cell r="A283" t="str">
            <v>850</v>
          </cell>
          <cell r="B283">
            <v>10</v>
          </cell>
          <cell r="C283" t="str">
            <v>Monroe</v>
          </cell>
          <cell r="D283" t="str">
            <v>Islamorada Village of Islands</v>
          </cell>
          <cell r="E283" t="str">
            <v>Flat</v>
          </cell>
          <cell r="F283">
            <v>500</v>
          </cell>
        </row>
        <row r="284">
          <cell r="A284" t="str">
            <v>915</v>
          </cell>
          <cell r="B284">
            <v>10</v>
          </cell>
          <cell r="C284" t="str">
            <v>Dade</v>
          </cell>
          <cell r="D284" t="str">
            <v>Miami-Dade County Industrial Development Authority</v>
          </cell>
          <cell r="E284" t="str">
            <v>Flat</v>
          </cell>
          <cell r="F284">
            <v>500</v>
          </cell>
        </row>
        <row r="285">
          <cell r="A285" t="str">
            <v>927</v>
          </cell>
          <cell r="B285">
            <v>10</v>
          </cell>
          <cell r="C285" t="str">
            <v>Lee</v>
          </cell>
          <cell r="D285" t="str">
            <v>City of Bonita Springs</v>
          </cell>
          <cell r="E285" t="str">
            <v>Flat</v>
          </cell>
          <cell r="F285">
            <v>500</v>
          </cell>
        </row>
        <row r="286">
          <cell r="A286" t="str">
            <v>946</v>
          </cell>
          <cell r="B286">
            <v>10</v>
          </cell>
          <cell r="C286" t="str">
            <v>Saint Johns</v>
          </cell>
          <cell r="D286" t="str">
            <v>Sampson Creek Community Development District</v>
          </cell>
          <cell r="E286" t="str">
            <v>Flat</v>
          </cell>
          <cell r="F286">
            <v>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 Input Template"/>
      <sheetName val="Country Codes"/>
      <sheetName val="Construction Classes"/>
      <sheetName val="Occupancy Types"/>
      <sheetName val="Int'l Secondary Modifiers"/>
      <sheetName val="Alpha_Sor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INK RAW DATA"/>
      <sheetName val="YTD TY &amp; LY"/>
      <sheetName val="VA - TY"/>
      <sheetName val="VA - LY"/>
    </sheetNames>
    <sheetDataSet>
      <sheetData sheetId="0" refreshError="1"/>
      <sheetData sheetId="1" refreshError="1"/>
      <sheetData sheetId="2">
        <row r="1">
          <cell r="D1">
            <v>1</v>
          </cell>
          <cell r="F1">
            <v>2</v>
          </cell>
          <cell r="H1">
            <v>3</v>
          </cell>
          <cell r="J1">
            <v>4</v>
          </cell>
          <cell r="L1">
            <v>5</v>
          </cell>
          <cell r="N1">
            <v>6</v>
          </cell>
          <cell r="P1">
            <v>7</v>
          </cell>
          <cell r="R1">
            <v>8</v>
          </cell>
          <cell r="T1">
            <v>9</v>
          </cell>
          <cell r="V1">
            <v>10</v>
          </cell>
          <cell r="X1">
            <v>11</v>
          </cell>
          <cell r="Z1">
            <v>12</v>
          </cell>
        </row>
        <row r="3">
          <cell r="B3">
            <v>12</v>
          </cell>
        </row>
        <row r="4">
          <cell r="D4" t="str">
            <v>February</v>
          </cell>
          <cell r="F4" t="str">
            <v>March</v>
          </cell>
          <cell r="H4" t="str">
            <v>April</v>
          </cell>
          <cell r="J4" t="str">
            <v>May</v>
          </cell>
          <cell r="L4" t="str">
            <v>June</v>
          </cell>
          <cell r="N4" t="str">
            <v>July</v>
          </cell>
          <cell r="P4" t="str">
            <v>August</v>
          </cell>
          <cell r="R4" t="str">
            <v>September</v>
          </cell>
          <cell r="T4" t="str">
            <v>October</v>
          </cell>
          <cell r="V4" t="str">
            <v>November</v>
          </cell>
          <cell r="X4" t="str">
            <v>December</v>
          </cell>
          <cell r="Z4" t="str">
            <v>January</v>
          </cell>
        </row>
        <row r="5">
          <cell r="D5">
            <v>0</v>
          </cell>
          <cell r="F5">
            <v>0</v>
          </cell>
          <cell r="H5">
            <v>-14433.263999999999</v>
          </cell>
          <cell r="J5">
            <v>0</v>
          </cell>
          <cell r="L5">
            <v>0</v>
          </cell>
          <cell r="N5">
            <v>-12408.319</v>
          </cell>
          <cell r="P5">
            <v>-56.497</v>
          </cell>
          <cell r="R5">
            <v>0</v>
          </cell>
          <cell r="T5">
            <v>-8888.7829999999994</v>
          </cell>
          <cell r="V5">
            <v>-2481</v>
          </cell>
          <cell r="X5">
            <v>-8078</v>
          </cell>
          <cell r="Z5">
            <v>-17316.012999999999</v>
          </cell>
        </row>
        <row r="6">
          <cell r="D6">
            <v>0</v>
          </cell>
          <cell r="F6">
            <v>0</v>
          </cell>
          <cell r="H6">
            <v>-551.24400000000003</v>
          </cell>
          <cell r="J6">
            <v>0</v>
          </cell>
          <cell r="L6">
            <v>0</v>
          </cell>
          <cell r="N6">
            <v>-2674.3609999999999</v>
          </cell>
          <cell r="P6">
            <v>0</v>
          </cell>
          <cell r="R6">
            <v>0</v>
          </cell>
          <cell r="T6">
            <v>-1178</v>
          </cell>
          <cell r="V6">
            <v>-558</v>
          </cell>
          <cell r="X6">
            <v>-2915</v>
          </cell>
          <cell r="Z6">
            <v>-5687.4070000000002</v>
          </cell>
        </row>
        <row r="7">
          <cell r="D7">
            <v>11.904999999999999</v>
          </cell>
          <cell r="F7">
            <v>0</v>
          </cell>
          <cell r="H7">
            <v>-2617.1959999999999</v>
          </cell>
          <cell r="J7">
            <v>0</v>
          </cell>
          <cell r="L7">
            <v>0</v>
          </cell>
          <cell r="N7">
            <v>-1479.598</v>
          </cell>
          <cell r="P7">
            <v>0</v>
          </cell>
          <cell r="R7">
            <v>0</v>
          </cell>
          <cell r="T7">
            <v>-469.33800000000002</v>
          </cell>
          <cell r="V7">
            <v>-413</v>
          </cell>
          <cell r="X7">
            <v>-458</v>
          </cell>
          <cell r="Z7">
            <v>-2588.1999999999998</v>
          </cell>
        </row>
        <row r="8">
          <cell r="D8">
            <v>0</v>
          </cell>
          <cell r="F8">
            <v>0</v>
          </cell>
          <cell r="H8">
            <v>-3414.5639999999999</v>
          </cell>
          <cell r="J8">
            <v>0</v>
          </cell>
          <cell r="L8">
            <v>0</v>
          </cell>
          <cell r="N8">
            <v>-1854.731</v>
          </cell>
          <cell r="P8">
            <v>0</v>
          </cell>
          <cell r="R8">
            <v>0</v>
          </cell>
          <cell r="T8">
            <v>-5264.52</v>
          </cell>
          <cell r="V8">
            <v>-553.22500000000002</v>
          </cell>
          <cell r="X8">
            <v>-2516.2139999999999</v>
          </cell>
          <cell r="Z8">
            <v>-6280.7759999999998</v>
          </cell>
        </row>
        <row r="9">
          <cell r="D9">
            <v>0</v>
          </cell>
          <cell r="F9">
            <v>0</v>
          </cell>
          <cell r="H9">
            <v>0</v>
          </cell>
          <cell r="J9">
            <v>0</v>
          </cell>
          <cell r="L9">
            <v>0</v>
          </cell>
          <cell r="N9">
            <v>0</v>
          </cell>
          <cell r="P9">
            <v>0</v>
          </cell>
          <cell r="R9">
            <v>0</v>
          </cell>
          <cell r="T9">
            <v>0</v>
          </cell>
          <cell r="V9">
            <v>0</v>
          </cell>
          <cell r="X9">
            <v>0</v>
          </cell>
          <cell r="Z9">
            <v>0</v>
          </cell>
        </row>
        <row r="10">
          <cell r="D10">
            <v>0</v>
          </cell>
          <cell r="F10">
            <v>0</v>
          </cell>
          <cell r="H10">
            <v>0</v>
          </cell>
          <cell r="J10">
            <v>0</v>
          </cell>
          <cell r="L10">
            <v>0</v>
          </cell>
          <cell r="N10">
            <v>0</v>
          </cell>
          <cell r="P10">
            <v>0</v>
          </cell>
          <cell r="R10">
            <v>0</v>
          </cell>
          <cell r="T10">
            <v>0</v>
          </cell>
          <cell r="V10">
            <v>0</v>
          </cell>
          <cell r="X10">
            <v>0</v>
          </cell>
          <cell r="Z10">
            <v>0</v>
          </cell>
        </row>
        <row r="11">
          <cell r="D11">
            <v>0</v>
          </cell>
          <cell r="F11">
            <v>0</v>
          </cell>
          <cell r="H11">
            <v>0</v>
          </cell>
          <cell r="J11">
            <v>0</v>
          </cell>
          <cell r="L11">
            <v>0</v>
          </cell>
          <cell r="N11">
            <v>0</v>
          </cell>
          <cell r="P11">
            <v>0</v>
          </cell>
          <cell r="R11">
            <v>0</v>
          </cell>
          <cell r="T11">
            <v>0</v>
          </cell>
          <cell r="V11">
            <v>0</v>
          </cell>
          <cell r="X11">
            <v>0</v>
          </cell>
          <cell r="Z11">
            <v>0</v>
          </cell>
        </row>
        <row r="12">
          <cell r="D12">
            <v>0</v>
          </cell>
          <cell r="F12">
            <v>0</v>
          </cell>
          <cell r="H12">
            <v>0</v>
          </cell>
          <cell r="J12">
            <v>0</v>
          </cell>
          <cell r="L12">
            <v>0</v>
          </cell>
          <cell r="N12">
            <v>0</v>
          </cell>
          <cell r="P12">
            <v>0</v>
          </cell>
          <cell r="R12">
            <v>0</v>
          </cell>
          <cell r="T12">
            <v>0</v>
          </cell>
          <cell r="V12">
            <v>0</v>
          </cell>
          <cell r="X12">
            <v>0</v>
          </cell>
          <cell r="Z12">
            <v>0</v>
          </cell>
        </row>
        <row r="13">
          <cell r="D13">
            <v>0</v>
          </cell>
          <cell r="F13">
            <v>0</v>
          </cell>
          <cell r="H13">
            <v>0</v>
          </cell>
          <cell r="J13">
            <v>0</v>
          </cell>
          <cell r="L13">
            <v>0</v>
          </cell>
          <cell r="N13">
            <v>0</v>
          </cell>
          <cell r="P13">
            <v>0</v>
          </cell>
          <cell r="R13">
            <v>0</v>
          </cell>
          <cell r="T13">
            <v>0</v>
          </cell>
          <cell r="V13">
            <v>0</v>
          </cell>
          <cell r="X13">
            <v>0</v>
          </cell>
          <cell r="Z13">
            <v>0</v>
          </cell>
        </row>
        <row r="14">
          <cell r="D14">
            <v>0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R14">
            <v>0</v>
          </cell>
          <cell r="T14">
            <v>0</v>
          </cell>
          <cell r="V14">
            <v>0</v>
          </cell>
          <cell r="X14">
            <v>0</v>
          </cell>
          <cell r="Z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  <cell r="P15">
            <v>0</v>
          </cell>
          <cell r="R15">
            <v>0</v>
          </cell>
          <cell r="T15">
            <v>0</v>
          </cell>
          <cell r="V15">
            <v>0</v>
          </cell>
          <cell r="X15">
            <v>0</v>
          </cell>
          <cell r="Z15">
            <v>0</v>
          </cell>
        </row>
        <row r="16">
          <cell r="D16">
            <v>0</v>
          </cell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  <cell r="P16">
            <v>0</v>
          </cell>
          <cell r="R16">
            <v>0</v>
          </cell>
          <cell r="T16">
            <v>0</v>
          </cell>
          <cell r="V16">
            <v>0</v>
          </cell>
          <cell r="X16">
            <v>0</v>
          </cell>
          <cell r="Z16">
            <v>0</v>
          </cell>
        </row>
        <row r="17">
          <cell r="D17">
            <v>0</v>
          </cell>
          <cell r="F17">
            <v>0</v>
          </cell>
          <cell r="H17">
            <v>0</v>
          </cell>
          <cell r="J17">
            <v>0</v>
          </cell>
          <cell r="L17">
            <v>0</v>
          </cell>
          <cell r="N17">
            <v>0</v>
          </cell>
          <cell r="P17">
            <v>0</v>
          </cell>
          <cell r="R17">
            <v>0</v>
          </cell>
          <cell r="T17">
            <v>0</v>
          </cell>
          <cell r="V17">
            <v>0</v>
          </cell>
          <cell r="X17">
            <v>0</v>
          </cell>
          <cell r="Z17">
            <v>0</v>
          </cell>
        </row>
        <row r="18">
          <cell r="D18">
            <v>0</v>
          </cell>
          <cell r="F18">
            <v>0</v>
          </cell>
          <cell r="H18">
            <v>0</v>
          </cell>
          <cell r="J18">
            <v>0</v>
          </cell>
          <cell r="L18">
            <v>0</v>
          </cell>
          <cell r="N18">
            <v>0</v>
          </cell>
          <cell r="P18">
            <v>0</v>
          </cell>
          <cell r="R18">
            <v>0</v>
          </cell>
          <cell r="T18">
            <v>0</v>
          </cell>
          <cell r="V18">
            <v>0</v>
          </cell>
          <cell r="X18">
            <v>0</v>
          </cell>
          <cell r="Z18">
            <v>0</v>
          </cell>
        </row>
        <row r="19"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  <cell r="X19">
            <v>0</v>
          </cell>
          <cell r="Z19">
            <v>0</v>
          </cell>
        </row>
        <row r="20">
          <cell r="D20">
            <v>0</v>
          </cell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R20">
            <v>0</v>
          </cell>
          <cell r="T20">
            <v>0</v>
          </cell>
          <cell r="V20">
            <v>0</v>
          </cell>
          <cell r="X20">
            <v>0</v>
          </cell>
          <cell r="Z20">
            <v>0</v>
          </cell>
        </row>
        <row r="21">
          <cell r="D21">
            <v>0</v>
          </cell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  <cell r="P21">
            <v>0</v>
          </cell>
          <cell r="R21">
            <v>0</v>
          </cell>
          <cell r="T21">
            <v>0</v>
          </cell>
          <cell r="V21">
            <v>0</v>
          </cell>
          <cell r="X21">
            <v>0</v>
          </cell>
          <cell r="Z21">
            <v>0</v>
          </cell>
        </row>
        <row r="22">
          <cell r="D22">
            <v>0</v>
          </cell>
          <cell r="F22">
            <v>0</v>
          </cell>
          <cell r="H22">
            <v>0</v>
          </cell>
          <cell r="J22">
            <v>0</v>
          </cell>
          <cell r="L22">
            <v>0</v>
          </cell>
          <cell r="N22">
            <v>0</v>
          </cell>
          <cell r="P22">
            <v>0</v>
          </cell>
          <cell r="R22">
            <v>0</v>
          </cell>
          <cell r="T22">
            <v>0</v>
          </cell>
          <cell r="V22">
            <v>0</v>
          </cell>
          <cell r="X22">
            <v>0</v>
          </cell>
          <cell r="Z22">
            <v>0</v>
          </cell>
        </row>
        <row r="23">
          <cell r="D23">
            <v>0</v>
          </cell>
          <cell r="F23">
            <v>0</v>
          </cell>
          <cell r="H23">
            <v>0</v>
          </cell>
          <cell r="J23">
            <v>0</v>
          </cell>
          <cell r="L23">
            <v>0</v>
          </cell>
          <cell r="N23">
            <v>0</v>
          </cell>
          <cell r="P23">
            <v>0</v>
          </cell>
          <cell r="R23">
            <v>0</v>
          </cell>
          <cell r="T23">
            <v>0</v>
          </cell>
          <cell r="V23">
            <v>0</v>
          </cell>
          <cell r="X23">
            <v>0</v>
          </cell>
          <cell r="Z23">
            <v>0</v>
          </cell>
        </row>
        <row r="24"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0</v>
          </cell>
          <cell r="P24">
            <v>0</v>
          </cell>
          <cell r="R24">
            <v>0</v>
          </cell>
          <cell r="T24">
            <v>0</v>
          </cell>
          <cell r="V24">
            <v>0</v>
          </cell>
          <cell r="X24">
            <v>0</v>
          </cell>
          <cell r="Z24">
            <v>0</v>
          </cell>
        </row>
        <row r="25">
          <cell r="D25">
            <v>0</v>
          </cell>
          <cell r="F25">
            <v>0</v>
          </cell>
          <cell r="H25">
            <v>0</v>
          </cell>
          <cell r="J25">
            <v>0</v>
          </cell>
          <cell r="L25">
            <v>0</v>
          </cell>
          <cell r="N25">
            <v>0</v>
          </cell>
          <cell r="P25">
            <v>0</v>
          </cell>
          <cell r="R25">
            <v>0</v>
          </cell>
          <cell r="T25">
            <v>0</v>
          </cell>
          <cell r="V25">
            <v>0</v>
          </cell>
          <cell r="X25">
            <v>0</v>
          </cell>
          <cell r="Z25">
            <v>0</v>
          </cell>
        </row>
        <row r="26">
          <cell r="D26">
            <v>0</v>
          </cell>
          <cell r="F26">
            <v>-45.238239999999998</v>
          </cell>
          <cell r="H26">
            <v>-200.03656000000001</v>
          </cell>
          <cell r="J26">
            <v>-78.47</v>
          </cell>
          <cell r="L26">
            <v>0</v>
          </cell>
          <cell r="N26">
            <v>-413.72868719999997</v>
          </cell>
          <cell r="P26">
            <v>0</v>
          </cell>
          <cell r="R26">
            <v>0</v>
          </cell>
          <cell r="T26">
            <v>-160.7941812</v>
          </cell>
          <cell r="V26">
            <v>-38.692096800000002</v>
          </cell>
          <cell r="X26">
            <v>0</v>
          </cell>
          <cell r="Z26">
            <v>-257.28561959999996</v>
          </cell>
        </row>
        <row r="27">
          <cell r="D27">
            <v>-66.82419999999999</v>
          </cell>
          <cell r="F27">
            <v>0</v>
          </cell>
          <cell r="H27">
            <v>-149.50619</v>
          </cell>
          <cell r="J27">
            <v>0</v>
          </cell>
          <cell r="L27">
            <v>-124.95775</v>
          </cell>
          <cell r="N27">
            <v>-2.2061728000000005</v>
          </cell>
          <cell r="P27">
            <v>0</v>
          </cell>
          <cell r="R27">
            <v>-121.13595480000001</v>
          </cell>
          <cell r="T27">
            <v>-137.0895232</v>
          </cell>
          <cell r="V27">
            <v>0</v>
          </cell>
          <cell r="X27">
            <v>-236.56900189999996</v>
          </cell>
          <cell r="Z27">
            <v>-1150.1063210000002</v>
          </cell>
        </row>
        <row r="28"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  <cell r="P28">
            <v>0</v>
          </cell>
          <cell r="R28">
            <v>0</v>
          </cell>
          <cell r="T28">
            <v>0</v>
          </cell>
          <cell r="V28">
            <v>0</v>
          </cell>
          <cell r="X28">
            <v>-82.067968800000003</v>
          </cell>
          <cell r="Z28">
            <v>-59.512254800000001</v>
          </cell>
        </row>
        <row r="29">
          <cell r="D29">
            <v>0</v>
          </cell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  <cell r="P29">
            <v>0</v>
          </cell>
          <cell r="R29">
            <v>0</v>
          </cell>
          <cell r="T29">
            <v>0</v>
          </cell>
          <cell r="V29">
            <v>0</v>
          </cell>
          <cell r="X29">
            <v>0</v>
          </cell>
          <cell r="Z29">
            <v>0</v>
          </cell>
        </row>
        <row r="30">
          <cell r="D30">
            <v>0</v>
          </cell>
          <cell r="F30">
            <v>0</v>
          </cell>
          <cell r="H30">
            <v>0</v>
          </cell>
          <cell r="J30">
            <v>0</v>
          </cell>
          <cell r="L30">
            <v>0</v>
          </cell>
          <cell r="N30">
            <v>0</v>
          </cell>
          <cell r="P30">
            <v>0</v>
          </cell>
          <cell r="R30">
            <v>0</v>
          </cell>
          <cell r="T30">
            <v>0</v>
          </cell>
          <cell r="V30">
            <v>0</v>
          </cell>
          <cell r="X30">
            <v>0</v>
          </cell>
          <cell r="Z30">
            <v>0</v>
          </cell>
        </row>
        <row r="31">
          <cell r="D31">
            <v>0</v>
          </cell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  <cell r="P31">
            <v>0</v>
          </cell>
          <cell r="R31">
            <v>0</v>
          </cell>
          <cell r="T31">
            <v>0</v>
          </cell>
          <cell r="V31">
            <v>0</v>
          </cell>
          <cell r="X31">
            <v>0</v>
          </cell>
          <cell r="Z31">
            <v>0</v>
          </cell>
        </row>
        <row r="32">
          <cell r="D32">
            <v>-37.5</v>
          </cell>
          <cell r="F32">
            <v>0</v>
          </cell>
          <cell r="H32">
            <v>-3758.2269999999999</v>
          </cell>
          <cell r="J32">
            <v>0</v>
          </cell>
          <cell r="L32">
            <v>-42.753999999999998</v>
          </cell>
          <cell r="N32">
            <v>-1774.104</v>
          </cell>
          <cell r="P32">
            <v>0</v>
          </cell>
          <cell r="R32">
            <v>0</v>
          </cell>
          <cell r="T32">
            <v>-3399.2959999999998</v>
          </cell>
          <cell r="V32">
            <v>-772.34199999999998</v>
          </cell>
          <cell r="X32">
            <v>-2621.587</v>
          </cell>
          <cell r="Z32">
            <v>-12377.788</v>
          </cell>
        </row>
        <row r="33">
          <cell r="D33">
            <v>-5.7</v>
          </cell>
          <cell r="F33">
            <v>0</v>
          </cell>
          <cell r="H33">
            <v>-15.755559999999999</v>
          </cell>
          <cell r="J33">
            <v>-6.66</v>
          </cell>
          <cell r="L33">
            <v>-4.4383999999999997</v>
          </cell>
          <cell r="N33">
            <v>-32.780639999999998</v>
          </cell>
          <cell r="P33">
            <v>0</v>
          </cell>
          <cell r="R33">
            <v>-125.79923840000001</v>
          </cell>
          <cell r="T33">
            <v>-70.348842399999995</v>
          </cell>
          <cell r="V33">
            <v>0</v>
          </cell>
          <cell r="X33">
            <v>-83.396024400000002</v>
          </cell>
          <cell r="Z33">
            <v>-136.56899999999999</v>
          </cell>
        </row>
        <row r="34">
          <cell r="D34">
            <v>0</v>
          </cell>
          <cell r="F34">
            <v>0</v>
          </cell>
          <cell r="H34">
            <v>0</v>
          </cell>
          <cell r="J34">
            <v>0</v>
          </cell>
          <cell r="L34">
            <v>0</v>
          </cell>
          <cell r="N34">
            <v>0</v>
          </cell>
          <cell r="P34">
            <v>0</v>
          </cell>
          <cell r="R34">
            <v>0</v>
          </cell>
          <cell r="T34">
            <v>0</v>
          </cell>
          <cell r="V34">
            <v>0</v>
          </cell>
          <cell r="X34">
            <v>0</v>
          </cell>
          <cell r="Z34">
            <v>0</v>
          </cell>
        </row>
        <row r="35">
          <cell r="D35">
            <v>0</v>
          </cell>
          <cell r="F35">
            <v>0</v>
          </cell>
          <cell r="H35">
            <v>0</v>
          </cell>
          <cell r="J35">
            <v>0</v>
          </cell>
          <cell r="L35">
            <v>0</v>
          </cell>
          <cell r="N35">
            <v>0</v>
          </cell>
          <cell r="P35">
            <v>0</v>
          </cell>
          <cell r="R35">
            <v>0</v>
          </cell>
          <cell r="T35">
            <v>0</v>
          </cell>
          <cell r="V35">
            <v>0</v>
          </cell>
          <cell r="X35">
            <v>0</v>
          </cell>
          <cell r="Z35">
            <v>0</v>
          </cell>
        </row>
        <row r="36">
          <cell r="D36">
            <v>0</v>
          </cell>
          <cell r="F36">
            <v>0</v>
          </cell>
          <cell r="H36">
            <v>0</v>
          </cell>
          <cell r="J36">
            <v>0</v>
          </cell>
          <cell r="L36">
            <v>0</v>
          </cell>
          <cell r="N36">
            <v>0</v>
          </cell>
          <cell r="P36">
            <v>0</v>
          </cell>
          <cell r="R36">
            <v>0</v>
          </cell>
          <cell r="T36">
            <v>0</v>
          </cell>
          <cell r="V36">
            <v>0</v>
          </cell>
          <cell r="X36">
            <v>0</v>
          </cell>
          <cell r="Z36">
            <v>0</v>
          </cell>
        </row>
        <row r="37">
          <cell r="D37">
            <v>0</v>
          </cell>
          <cell r="F37">
            <v>0</v>
          </cell>
          <cell r="H37">
            <v>0</v>
          </cell>
          <cell r="J37">
            <v>0</v>
          </cell>
          <cell r="L37">
            <v>0</v>
          </cell>
          <cell r="N37">
            <v>0</v>
          </cell>
          <cell r="P37">
            <v>0</v>
          </cell>
          <cell r="R37">
            <v>0</v>
          </cell>
          <cell r="T37">
            <v>0</v>
          </cell>
          <cell r="V37">
            <v>0</v>
          </cell>
          <cell r="X37">
            <v>0</v>
          </cell>
          <cell r="Z37">
            <v>0</v>
          </cell>
        </row>
        <row r="38">
          <cell r="D38">
            <v>0</v>
          </cell>
          <cell r="F38">
            <v>0</v>
          </cell>
          <cell r="H38">
            <v>0</v>
          </cell>
          <cell r="J38">
            <v>0</v>
          </cell>
          <cell r="L38">
            <v>0</v>
          </cell>
          <cell r="N38">
            <v>0</v>
          </cell>
          <cell r="P38">
            <v>0</v>
          </cell>
          <cell r="R38">
            <v>0</v>
          </cell>
          <cell r="T38">
            <v>0</v>
          </cell>
          <cell r="V38">
            <v>0</v>
          </cell>
          <cell r="X38">
            <v>0</v>
          </cell>
          <cell r="Z38">
            <v>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  <cell r="L39">
            <v>0</v>
          </cell>
          <cell r="N39">
            <v>0</v>
          </cell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  <cell r="Z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  <cell r="L40">
            <v>0</v>
          </cell>
          <cell r="N40">
            <v>0</v>
          </cell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  <cell r="Z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  <cell r="L41">
            <v>0</v>
          </cell>
          <cell r="N41">
            <v>0</v>
          </cell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  <cell r="Z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  <cell r="L42">
            <v>0</v>
          </cell>
          <cell r="N42">
            <v>0</v>
          </cell>
          <cell r="P42">
            <v>0</v>
          </cell>
          <cell r="R42">
            <v>0</v>
          </cell>
          <cell r="T42">
            <v>0</v>
          </cell>
          <cell r="V42">
            <v>0</v>
          </cell>
          <cell r="X42">
            <v>0</v>
          </cell>
          <cell r="Z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  <cell r="L43">
            <v>0</v>
          </cell>
          <cell r="N43">
            <v>0</v>
          </cell>
          <cell r="P43">
            <v>0</v>
          </cell>
          <cell r="R43">
            <v>0</v>
          </cell>
          <cell r="T43">
            <v>0</v>
          </cell>
          <cell r="V43">
            <v>0</v>
          </cell>
          <cell r="X43">
            <v>0</v>
          </cell>
          <cell r="Z43">
            <v>0</v>
          </cell>
        </row>
        <row r="46">
          <cell r="D46">
            <v>1</v>
          </cell>
          <cell r="G46">
            <v>2</v>
          </cell>
          <cell r="I46">
            <v>3</v>
          </cell>
          <cell r="K46">
            <v>4</v>
          </cell>
          <cell r="M46">
            <v>5</v>
          </cell>
          <cell r="O46">
            <v>6</v>
          </cell>
          <cell r="Q46">
            <v>7</v>
          </cell>
          <cell r="S46">
            <v>8</v>
          </cell>
          <cell r="U46">
            <v>9</v>
          </cell>
          <cell r="W46">
            <v>10</v>
          </cell>
          <cell r="Y46">
            <v>11</v>
          </cell>
        </row>
        <row r="47">
          <cell r="D47" t="str">
            <v>February</v>
          </cell>
          <cell r="E47" t="str">
            <v>YTD Feb</v>
          </cell>
          <cell r="F47" t="str">
            <v>March</v>
          </cell>
          <cell r="G47" t="str">
            <v>YTD Mar</v>
          </cell>
          <cell r="H47" t="str">
            <v>April</v>
          </cell>
          <cell r="I47" t="str">
            <v>YTD Apr</v>
          </cell>
          <cell r="J47" t="str">
            <v>May</v>
          </cell>
          <cell r="K47" t="str">
            <v>YTD May</v>
          </cell>
          <cell r="L47" t="str">
            <v>June</v>
          </cell>
          <cell r="M47" t="str">
            <v>YTD Jun</v>
          </cell>
          <cell r="N47" t="str">
            <v>July</v>
          </cell>
          <cell r="O47" t="str">
            <v>YTD Jul</v>
          </cell>
          <cell r="P47" t="str">
            <v>August</v>
          </cell>
          <cell r="Q47" t="str">
            <v>YTD Aug</v>
          </cell>
          <cell r="R47" t="str">
            <v>September</v>
          </cell>
          <cell r="S47" t="str">
            <v>YTD Sep</v>
          </cell>
          <cell r="T47" t="str">
            <v>October</v>
          </cell>
          <cell r="U47" t="str">
            <v>YTD Oct</v>
          </cell>
          <cell r="V47" t="str">
            <v>November</v>
          </cell>
          <cell r="W47" t="str">
            <v>YTD Nov</v>
          </cell>
          <cell r="X47" t="str">
            <v>December</v>
          </cell>
          <cell r="Y47" t="str">
            <v>YTD Dec</v>
          </cell>
          <cell r="Z47" t="str">
            <v>January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-9423.4850000000006</v>
          </cell>
          <cell r="I48">
            <v>-9423.4850000000006</v>
          </cell>
          <cell r="J48">
            <v>0</v>
          </cell>
          <cell r="K48">
            <v>-9423.4850000000006</v>
          </cell>
          <cell r="L48">
            <v>0</v>
          </cell>
          <cell r="M48">
            <v>-9423.4850000000006</v>
          </cell>
          <cell r="N48">
            <v>-9585.7890000000007</v>
          </cell>
          <cell r="O48">
            <v>-19009.274000000001</v>
          </cell>
          <cell r="P48">
            <v>0</v>
          </cell>
          <cell r="Q48">
            <v>-19009.274000000001</v>
          </cell>
          <cell r="R48">
            <v>0</v>
          </cell>
          <cell r="S48">
            <v>-19009.274000000001</v>
          </cell>
          <cell r="T48">
            <v>-16851.313999999998</v>
          </cell>
          <cell r="U48">
            <v>-35860.588000000003</v>
          </cell>
          <cell r="V48">
            <v>-148.63499999999999</v>
          </cell>
          <cell r="W48">
            <v>-36009.223000000005</v>
          </cell>
          <cell r="X48">
            <v>0</v>
          </cell>
          <cell r="Y48">
            <v>-36009.223000000005</v>
          </cell>
          <cell r="Z48">
            <v>-14466.550999999999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-1554.056</v>
          </cell>
          <cell r="I49">
            <v>-1554.056</v>
          </cell>
          <cell r="J49">
            <v>0</v>
          </cell>
          <cell r="K49">
            <v>-1554.056</v>
          </cell>
          <cell r="L49">
            <v>0</v>
          </cell>
          <cell r="M49">
            <v>-1554.056</v>
          </cell>
          <cell r="N49">
            <v>-2005.0509999999999</v>
          </cell>
          <cell r="O49">
            <v>-3559.107</v>
          </cell>
          <cell r="P49">
            <v>0</v>
          </cell>
          <cell r="Q49">
            <v>-3559.107</v>
          </cell>
          <cell r="R49">
            <v>0</v>
          </cell>
          <cell r="S49">
            <v>-3559.107</v>
          </cell>
          <cell r="T49">
            <v>-3947.0160000000001</v>
          </cell>
          <cell r="U49">
            <v>-7506.1229999999996</v>
          </cell>
          <cell r="V49">
            <v>0</v>
          </cell>
          <cell r="W49">
            <v>-7506.1229999999996</v>
          </cell>
          <cell r="X49">
            <v>0</v>
          </cell>
          <cell r="Y49">
            <v>-7506.1229999999996</v>
          </cell>
          <cell r="Z49">
            <v>-2531.5889999999999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-1506.605</v>
          </cell>
          <cell r="I50">
            <v>-1506.605</v>
          </cell>
          <cell r="J50">
            <v>0</v>
          </cell>
          <cell r="K50">
            <v>-1506.605</v>
          </cell>
          <cell r="L50">
            <v>0</v>
          </cell>
          <cell r="M50">
            <v>-1506.605</v>
          </cell>
          <cell r="N50">
            <v>-1267.9079999999999</v>
          </cell>
          <cell r="O50">
            <v>-2774.5129999999999</v>
          </cell>
          <cell r="P50">
            <v>0</v>
          </cell>
          <cell r="Q50">
            <v>-2774.5129999999999</v>
          </cell>
          <cell r="R50">
            <v>0</v>
          </cell>
          <cell r="S50">
            <v>-2774.5129999999999</v>
          </cell>
          <cell r="T50">
            <v>-2503.096</v>
          </cell>
          <cell r="U50">
            <v>-5277.6090000000004</v>
          </cell>
          <cell r="V50">
            <v>0</v>
          </cell>
          <cell r="W50">
            <v>-5277.6090000000004</v>
          </cell>
          <cell r="X50">
            <v>0</v>
          </cell>
          <cell r="Y50">
            <v>-5277.6090000000004</v>
          </cell>
          <cell r="Z50">
            <v>-2685.8939999999998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-2668.8719999999998</v>
          </cell>
          <cell r="I51">
            <v>-2668.8719999999998</v>
          </cell>
          <cell r="J51">
            <v>0</v>
          </cell>
          <cell r="K51">
            <v>-2668.8719999999998</v>
          </cell>
          <cell r="L51">
            <v>-21.172000000000001</v>
          </cell>
          <cell r="M51">
            <v>-2690.0439999999999</v>
          </cell>
          <cell r="N51">
            <v>-3044.9520000000002</v>
          </cell>
          <cell r="O51">
            <v>-5734.9960000000001</v>
          </cell>
          <cell r="P51">
            <v>0</v>
          </cell>
          <cell r="Q51">
            <v>-5734.9960000000001</v>
          </cell>
          <cell r="R51">
            <v>0</v>
          </cell>
          <cell r="S51">
            <v>-5734.9960000000001</v>
          </cell>
          <cell r="T51">
            <v>-5071.2380000000003</v>
          </cell>
          <cell r="U51">
            <v>-10806.234</v>
          </cell>
          <cell r="V51">
            <v>0</v>
          </cell>
          <cell r="W51">
            <v>-10806.234</v>
          </cell>
          <cell r="X51">
            <v>0</v>
          </cell>
          <cell r="Y51">
            <v>-10806.234</v>
          </cell>
          <cell r="Z51">
            <v>-4104.3029999999999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-15153.018</v>
          </cell>
          <cell r="J52">
            <v>0</v>
          </cell>
          <cell r="K52">
            <v>-15153.018</v>
          </cell>
          <cell r="L52">
            <v>0</v>
          </cell>
          <cell r="M52">
            <v>-15174.19</v>
          </cell>
          <cell r="N52">
            <v>0</v>
          </cell>
          <cell r="O52">
            <v>-31077.89</v>
          </cell>
          <cell r="P52">
            <v>0</v>
          </cell>
          <cell r="Q52">
            <v>-31077.89</v>
          </cell>
          <cell r="R52">
            <v>0</v>
          </cell>
          <cell r="S52">
            <v>-31077.89</v>
          </cell>
          <cell r="T52">
            <v>0</v>
          </cell>
          <cell r="U52">
            <v>-59450.554000000004</v>
          </cell>
          <cell r="V52">
            <v>0</v>
          </cell>
          <cell r="W52">
            <v>-59599.188999999998</v>
          </cell>
          <cell r="X52">
            <v>0</v>
          </cell>
          <cell r="Y52">
            <v>-59599.188999999998</v>
          </cell>
          <cell r="Z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  <row r="69">
          <cell r="D69">
            <v>0</v>
          </cell>
          <cell r="E69">
            <v>0</v>
          </cell>
          <cell r="F69">
            <v>-38.291080000000001</v>
          </cell>
          <cell r="G69">
            <v>-38.291080000000001</v>
          </cell>
          <cell r="H69">
            <v>-279.76436000000001</v>
          </cell>
          <cell r="I69">
            <v>-318.05544000000003</v>
          </cell>
          <cell r="J69">
            <v>-229.7784</v>
          </cell>
          <cell r="K69">
            <v>-547.83384000000001</v>
          </cell>
          <cell r="L69">
            <v>0</v>
          </cell>
          <cell r="M69">
            <v>-547.83384000000001</v>
          </cell>
          <cell r="N69">
            <v>-780.66059999999993</v>
          </cell>
          <cell r="O69">
            <v>-1328.4944399999999</v>
          </cell>
          <cell r="P69">
            <v>-108.9992</v>
          </cell>
          <cell r="Q69">
            <v>-1437.4936399999999</v>
          </cell>
          <cell r="R69">
            <v>-46.255879999999998</v>
          </cell>
          <cell r="S69">
            <v>-1483.7495199999998</v>
          </cell>
          <cell r="T69">
            <v>0</v>
          </cell>
          <cell r="U69">
            <v>-1483.7495199999998</v>
          </cell>
          <cell r="V69">
            <v>-131.86456000000001</v>
          </cell>
          <cell r="W69">
            <v>-1615.6140799999998</v>
          </cell>
          <cell r="X69">
            <v>0</v>
          </cell>
          <cell r="Y69">
            <v>-1615.6140799999998</v>
          </cell>
          <cell r="Z69">
            <v>-62.295679999999997</v>
          </cell>
        </row>
        <row r="70">
          <cell r="D70">
            <v>-146</v>
          </cell>
          <cell r="E70">
            <v>-146</v>
          </cell>
          <cell r="F70">
            <v>-186.95445999999998</v>
          </cell>
          <cell r="G70">
            <v>-332.95445999999998</v>
          </cell>
          <cell r="H70">
            <v>-261.83566999999999</v>
          </cell>
          <cell r="I70">
            <v>-594.79012999999998</v>
          </cell>
          <cell r="J70">
            <v>-143.97425000000001</v>
          </cell>
          <cell r="K70">
            <v>-738.76438000000007</v>
          </cell>
          <cell r="L70">
            <v>-5.5757399999999997</v>
          </cell>
          <cell r="M70">
            <v>-744.34012000000007</v>
          </cell>
          <cell r="N70">
            <v>-18.117139999999999</v>
          </cell>
          <cell r="O70">
            <v>-762.45725999999991</v>
          </cell>
          <cell r="P70">
            <v>0</v>
          </cell>
          <cell r="Q70">
            <v>-762.45725999999991</v>
          </cell>
          <cell r="R70">
            <v>-192.69517999999999</v>
          </cell>
          <cell r="S70">
            <v>-955.15243999999984</v>
          </cell>
          <cell r="T70">
            <v>-208.03539999999998</v>
          </cell>
          <cell r="U70">
            <v>-1163.1878399999998</v>
          </cell>
          <cell r="V70">
            <v>-182.5</v>
          </cell>
          <cell r="W70">
            <v>-1345.6878399999998</v>
          </cell>
          <cell r="X70">
            <v>0</v>
          </cell>
          <cell r="Y70">
            <v>-1345.6878399999998</v>
          </cell>
          <cell r="Z70">
            <v>-582.65242000000001</v>
          </cell>
        </row>
        <row r="71">
          <cell r="D71">
            <v>-39</v>
          </cell>
          <cell r="E71">
            <v>-39</v>
          </cell>
          <cell r="F71">
            <v>0</v>
          </cell>
          <cell r="G71">
            <v>-39</v>
          </cell>
          <cell r="H71">
            <v>-26.286110000000001</v>
          </cell>
          <cell r="I71">
            <v>-65.286110000000008</v>
          </cell>
          <cell r="J71">
            <v>-1.9014599999999999</v>
          </cell>
          <cell r="K71">
            <v>-67.187569999999994</v>
          </cell>
          <cell r="L71">
            <v>0</v>
          </cell>
          <cell r="M71">
            <v>-67.187569999999994</v>
          </cell>
          <cell r="N71">
            <v>0</v>
          </cell>
          <cell r="O71">
            <v>-67.187569999999994</v>
          </cell>
          <cell r="P71">
            <v>0</v>
          </cell>
          <cell r="Q71">
            <v>-67.187569999999994</v>
          </cell>
          <cell r="R71">
            <v>0</v>
          </cell>
          <cell r="S71">
            <v>-67.187569999999994</v>
          </cell>
          <cell r="T71">
            <v>-4.4055499999999999</v>
          </cell>
          <cell r="U71">
            <v>-71.593119999999999</v>
          </cell>
          <cell r="V71">
            <v>0</v>
          </cell>
          <cell r="W71">
            <v>-71.593119999999999</v>
          </cell>
          <cell r="X71">
            <v>0</v>
          </cell>
          <cell r="Y71">
            <v>-71.593119999999999</v>
          </cell>
          <cell r="Z71">
            <v>-70.158380000000008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</row>
        <row r="75">
          <cell r="D75">
            <v>0</v>
          </cell>
          <cell r="E75">
            <v>0</v>
          </cell>
          <cell r="F75">
            <v>-107.02800000000001</v>
          </cell>
          <cell r="G75">
            <v>-107.02800000000001</v>
          </cell>
          <cell r="H75">
            <v>-2518.7719999999999</v>
          </cell>
          <cell r="I75">
            <v>-2625.7999999999997</v>
          </cell>
          <cell r="J75">
            <v>0</v>
          </cell>
          <cell r="K75">
            <v>-2625.7999999999997</v>
          </cell>
          <cell r="L75">
            <v>-14.349</v>
          </cell>
          <cell r="M75">
            <v>-2640.1489999999999</v>
          </cell>
          <cell r="N75">
            <v>-3823.748</v>
          </cell>
          <cell r="O75">
            <v>-6463.8970000000008</v>
          </cell>
          <cell r="P75">
            <v>0</v>
          </cell>
          <cell r="Q75">
            <v>-6463.8970000000008</v>
          </cell>
          <cell r="R75">
            <v>0</v>
          </cell>
          <cell r="S75">
            <v>-6463.8970000000008</v>
          </cell>
          <cell r="T75">
            <v>-7057.3829999999998</v>
          </cell>
          <cell r="U75">
            <v>-13521.28</v>
          </cell>
          <cell r="V75">
            <v>-1347.152</v>
          </cell>
          <cell r="W75">
            <v>-14868.432000000001</v>
          </cell>
          <cell r="X75">
            <v>0</v>
          </cell>
          <cell r="Y75">
            <v>-14868.432000000001</v>
          </cell>
          <cell r="Z75">
            <v>-6984.8360000000002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-80.5334</v>
          </cell>
          <cell r="I76">
            <v>-80.5334</v>
          </cell>
          <cell r="J76">
            <v>0</v>
          </cell>
          <cell r="K76">
            <v>-80.5334</v>
          </cell>
          <cell r="L76">
            <v>0</v>
          </cell>
          <cell r="M76">
            <v>-80.5334</v>
          </cell>
          <cell r="N76">
            <v>0</v>
          </cell>
          <cell r="O76">
            <v>-80.5334</v>
          </cell>
          <cell r="P76">
            <v>-95.237880000000004</v>
          </cell>
          <cell r="Q76">
            <v>-175.77127999999999</v>
          </cell>
          <cell r="R76">
            <v>6.1978</v>
          </cell>
          <cell r="S76">
            <v>-169.57347999999999</v>
          </cell>
          <cell r="T76">
            <v>-30.069399999999998</v>
          </cell>
          <cell r="U76">
            <v>-199.64287999999999</v>
          </cell>
          <cell r="V76">
            <v>0</v>
          </cell>
          <cell r="W76">
            <v>-199.64287999999999</v>
          </cell>
          <cell r="X76">
            <v>0</v>
          </cell>
          <cell r="Y76">
            <v>-199.64287999999999</v>
          </cell>
          <cell r="Z76">
            <v>-188.80756</v>
          </cell>
        </row>
        <row r="77">
          <cell r="D77">
            <v>-37.5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</row>
        <row r="78">
          <cell r="D78">
            <v>-5.7</v>
          </cell>
          <cell r="E78">
            <v>-37.5</v>
          </cell>
          <cell r="F78">
            <v>0</v>
          </cell>
          <cell r="G78">
            <v>-5.7</v>
          </cell>
          <cell r="H78">
            <v>0</v>
          </cell>
          <cell r="I78">
            <v>-21.455559999999998</v>
          </cell>
          <cell r="J78">
            <v>0</v>
          </cell>
          <cell r="K78">
            <v>-25.893959999999996</v>
          </cell>
          <cell r="L78">
            <v>0</v>
          </cell>
          <cell r="M78">
            <v>-25.893959999999996</v>
          </cell>
          <cell r="N78">
            <v>0</v>
          </cell>
          <cell r="O78">
            <v>-58.674599999999998</v>
          </cell>
          <cell r="P78">
            <v>0</v>
          </cell>
          <cell r="Q78">
            <v>-58.674599999999998</v>
          </cell>
          <cell r="R78">
            <v>0</v>
          </cell>
          <cell r="S78">
            <v>-191</v>
          </cell>
          <cell r="T78">
            <v>0</v>
          </cell>
          <cell r="U78">
            <v>-191</v>
          </cell>
          <cell r="V78">
            <v>0</v>
          </cell>
          <cell r="W78">
            <v>-191</v>
          </cell>
          <cell r="X78">
            <v>0</v>
          </cell>
          <cell r="Y78">
            <v>-191</v>
          </cell>
          <cell r="Z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</row>
        <row r="80"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0</v>
          </cell>
          <cell r="P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X80">
            <v>0</v>
          </cell>
          <cell r="Z80">
            <v>0</v>
          </cell>
        </row>
        <row r="81">
          <cell r="D81">
            <v>0</v>
          </cell>
          <cell r="F81">
            <v>0</v>
          </cell>
          <cell r="H81">
            <v>0</v>
          </cell>
          <cell r="J81">
            <v>0</v>
          </cell>
          <cell r="L81">
            <v>0</v>
          </cell>
          <cell r="N81">
            <v>0</v>
          </cell>
          <cell r="P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X81">
            <v>0</v>
          </cell>
          <cell r="Z81">
            <v>0</v>
          </cell>
        </row>
        <row r="82">
          <cell r="D82">
            <v>0</v>
          </cell>
          <cell r="F82">
            <v>0</v>
          </cell>
          <cell r="H82">
            <v>0</v>
          </cell>
          <cell r="J82">
            <v>0</v>
          </cell>
          <cell r="L82">
            <v>0</v>
          </cell>
          <cell r="N82">
            <v>0</v>
          </cell>
          <cell r="P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X82">
            <v>0</v>
          </cell>
          <cell r="Z82">
            <v>0</v>
          </cell>
        </row>
        <row r="83"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0</v>
          </cell>
          <cell r="P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F84">
            <v>0</v>
          </cell>
          <cell r="H84">
            <v>0</v>
          </cell>
          <cell r="J84">
            <v>0</v>
          </cell>
          <cell r="L84">
            <v>0</v>
          </cell>
          <cell r="N84">
            <v>0</v>
          </cell>
          <cell r="P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F85">
            <v>0</v>
          </cell>
          <cell r="H85">
            <v>0</v>
          </cell>
          <cell r="J85">
            <v>0</v>
          </cell>
          <cell r="L85">
            <v>0</v>
          </cell>
          <cell r="N85">
            <v>0</v>
          </cell>
          <cell r="P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F86">
            <v>0</v>
          </cell>
          <cell r="H86">
            <v>0</v>
          </cell>
          <cell r="J86">
            <v>0</v>
          </cell>
          <cell r="L86">
            <v>0</v>
          </cell>
          <cell r="N86">
            <v>0</v>
          </cell>
          <cell r="P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F87">
            <v>0</v>
          </cell>
          <cell r="H87">
            <v>0</v>
          </cell>
          <cell r="J87">
            <v>0</v>
          </cell>
          <cell r="L87">
            <v>0</v>
          </cell>
          <cell r="N87">
            <v>0</v>
          </cell>
          <cell r="P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F88">
            <v>0</v>
          </cell>
          <cell r="H88">
            <v>0</v>
          </cell>
          <cell r="J88">
            <v>0</v>
          </cell>
          <cell r="L88">
            <v>0</v>
          </cell>
          <cell r="N88">
            <v>0</v>
          </cell>
          <cell r="P88">
            <v>0</v>
          </cell>
        </row>
      </sheetData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Division"/>
      <sheetName val="Corporate"/>
      <sheetName val="380"/>
      <sheetName val="Jan 02 304I Year End"/>
    </sheetNames>
    <sheetDataSet>
      <sheetData sheetId="0" refreshError="1"/>
      <sheetData sheetId="1" refreshError="1"/>
      <sheetData sheetId="2" refreshError="1"/>
      <sheetData sheetId="3" refreshError="1">
        <row r="10">
          <cell r="B10" t="str">
            <v xml:space="preserve">    Foot Locker US    </v>
          </cell>
          <cell r="C10">
            <v>1453</v>
          </cell>
          <cell r="D10">
            <v>40</v>
          </cell>
          <cell r="E10">
            <v>14</v>
          </cell>
          <cell r="F10">
            <v>43</v>
          </cell>
          <cell r="G10">
            <v>32</v>
          </cell>
          <cell r="H10">
            <v>89</v>
          </cell>
          <cell r="I10">
            <v>1427</v>
          </cell>
          <cell r="K10">
            <v>88</v>
          </cell>
          <cell r="M10">
            <v>3372.5924199999999</v>
          </cell>
          <cell r="N10">
            <v>9521.8040999999994</v>
          </cell>
          <cell r="O10">
            <v>7762.0838703999998</v>
          </cell>
          <cell r="P10">
            <v>20656.4803904</v>
          </cell>
          <cell r="R10">
            <v>35</v>
          </cell>
          <cell r="S10">
            <v>942.73530999999991</v>
          </cell>
          <cell r="U10">
            <v>21599.2157004</v>
          </cell>
          <cell r="V10">
            <v>25400</v>
          </cell>
          <cell r="W10">
            <v>23713.5</v>
          </cell>
          <cell r="X10">
            <v>3800.7842995999999</v>
          </cell>
          <cell r="Y10">
            <v>2114.2842995999999</v>
          </cell>
          <cell r="AA10">
            <v>78.828140137143052</v>
          </cell>
        </row>
        <row r="11">
          <cell r="B11" t="str">
            <v xml:space="preserve">       FL - Street Stores</v>
          </cell>
          <cell r="C11">
            <v>0</v>
          </cell>
          <cell r="D11">
            <v>0</v>
          </cell>
          <cell r="E11">
            <v>45</v>
          </cell>
          <cell r="F11">
            <v>4</v>
          </cell>
          <cell r="G11">
            <v>0</v>
          </cell>
          <cell r="H11">
            <v>49</v>
          </cell>
          <cell r="I11">
            <v>45</v>
          </cell>
          <cell r="K11">
            <v>49</v>
          </cell>
          <cell r="M11">
            <v>9664.406994421448</v>
          </cell>
          <cell r="N11">
            <v>922.28223000000003</v>
          </cell>
          <cell r="O11">
            <v>0</v>
          </cell>
          <cell r="P11">
            <v>10586.689224421449</v>
          </cell>
          <cell r="R11">
            <v>0</v>
          </cell>
          <cell r="S11">
            <v>0</v>
          </cell>
          <cell r="U11">
            <v>10586.689224421449</v>
          </cell>
          <cell r="V11">
            <v>9655</v>
          </cell>
          <cell r="W11">
            <v>10178</v>
          </cell>
          <cell r="X11">
            <v>-931.68922442144867</v>
          </cell>
          <cell r="Y11">
            <v>-408.68922442144867</v>
          </cell>
          <cell r="AA11">
            <v>62.151730903870337</v>
          </cell>
        </row>
        <row r="12">
          <cell r="B12" t="str">
            <v xml:space="preserve">       FL - Intangibles/Key Money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M12">
            <v>345</v>
          </cell>
          <cell r="N12">
            <v>0</v>
          </cell>
          <cell r="O12">
            <v>0</v>
          </cell>
          <cell r="P12">
            <v>345</v>
          </cell>
          <cell r="R12">
            <v>0</v>
          </cell>
          <cell r="S12">
            <v>0</v>
          </cell>
          <cell r="U12">
            <v>345</v>
          </cell>
          <cell r="V12">
            <v>345</v>
          </cell>
          <cell r="W12">
            <v>345</v>
          </cell>
          <cell r="X12">
            <v>0</v>
          </cell>
          <cell r="Y12">
            <v>0</v>
          </cell>
          <cell r="AA12">
            <v>0</v>
          </cell>
        </row>
        <row r="13">
          <cell r="B13" t="str">
            <v xml:space="preserve">    Lady Foot Locker    </v>
          </cell>
          <cell r="C13">
            <v>662</v>
          </cell>
          <cell r="D13">
            <v>32</v>
          </cell>
          <cell r="E13">
            <v>2</v>
          </cell>
          <cell r="F13">
            <v>8</v>
          </cell>
          <cell r="G13">
            <v>25</v>
          </cell>
          <cell r="H13">
            <v>35</v>
          </cell>
          <cell r="I13">
            <v>632</v>
          </cell>
          <cell r="K13">
            <v>35</v>
          </cell>
          <cell r="M13">
            <v>487.26097999999996</v>
          </cell>
          <cell r="N13">
            <v>1319.9004300000001</v>
          </cell>
          <cell r="O13">
            <v>5349.0368200000003</v>
          </cell>
          <cell r="P13">
            <v>7156.19823</v>
          </cell>
          <cell r="R13">
            <v>18</v>
          </cell>
          <cell r="S13">
            <v>375.86118999999997</v>
          </cell>
          <cell r="U13">
            <v>7532.0594199999996</v>
          </cell>
          <cell r="V13">
            <v>12750</v>
          </cell>
          <cell r="W13">
            <v>8219</v>
          </cell>
          <cell r="X13">
            <v>5217.9405800000004</v>
          </cell>
          <cell r="Y13">
            <v>686.94058000000041</v>
          </cell>
          <cell r="AA13">
            <v>117.06963403294368</v>
          </cell>
        </row>
        <row r="14">
          <cell r="B14" t="str">
            <v xml:space="preserve">    Kids Foot Locker    </v>
          </cell>
          <cell r="C14">
            <v>398</v>
          </cell>
          <cell r="D14">
            <v>8</v>
          </cell>
          <cell r="E14">
            <v>0</v>
          </cell>
          <cell r="F14">
            <v>5</v>
          </cell>
          <cell r="G14">
            <v>4</v>
          </cell>
          <cell r="H14">
            <v>9</v>
          </cell>
          <cell r="I14">
            <v>390</v>
          </cell>
          <cell r="K14">
            <v>8</v>
          </cell>
          <cell r="M14">
            <v>0</v>
          </cell>
          <cell r="N14">
            <v>310.37990000000002</v>
          </cell>
          <cell r="O14">
            <v>1031.6641331000001</v>
          </cell>
          <cell r="P14">
            <v>1342.0440331</v>
          </cell>
          <cell r="R14">
            <v>4</v>
          </cell>
          <cell r="S14">
            <v>98.005470000000003</v>
          </cell>
          <cell r="U14">
            <v>1440.0495031</v>
          </cell>
          <cell r="V14">
            <v>1764</v>
          </cell>
          <cell r="W14">
            <v>1834</v>
          </cell>
          <cell r="X14">
            <v>323.95049689999996</v>
          </cell>
          <cell r="Y14">
            <v>393.95049689999996</v>
          </cell>
          <cell r="AA14">
            <v>114.10904392764859</v>
          </cell>
        </row>
        <row r="15">
          <cell r="B15" t="str">
            <v>Total Foot Locker US</v>
          </cell>
          <cell r="C15">
            <v>2513</v>
          </cell>
          <cell r="D15">
            <v>80</v>
          </cell>
          <cell r="E15">
            <v>61</v>
          </cell>
          <cell r="F15">
            <v>60</v>
          </cell>
          <cell r="G15">
            <v>61</v>
          </cell>
          <cell r="H15">
            <v>182</v>
          </cell>
          <cell r="I15">
            <v>2494</v>
          </cell>
          <cell r="K15">
            <v>180</v>
          </cell>
          <cell r="M15">
            <v>13869.260394421446</v>
          </cell>
          <cell r="N15">
            <v>12074.36666</v>
          </cell>
          <cell r="O15">
            <v>14142.784823499998</v>
          </cell>
          <cell r="P15">
            <v>40086.411877921448</v>
          </cell>
          <cell r="R15">
            <v>57</v>
          </cell>
          <cell r="S15">
            <v>1416.6019699999999</v>
          </cell>
          <cell r="U15">
            <v>41503.013847921451</v>
          </cell>
          <cell r="V15">
            <v>49914</v>
          </cell>
          <cell r="W15">
            <v>44289.5</v>
          </cell>
          <cell r="X15">
            <v>8410.9861520785525</v>
          </cell>
          <cell r="Y15">
            <v>2786.4861520785516</v>
          </cell>
          <cell r="AA15">
            <v>71.344559194567481</v>
          </cell>
        </row>
        <row r="16">
          <cell r="B16" t="str">
            <v xml:space="preserve">    FL Canada</v>
          </cell>
          <cell r="C16">
            <v>129</v>
          </cell>
          <cell r="D16">
            <v>5</v>
          </cell>
          <cell r="E16">
            <v>1</v>
          </cell>
          <cell r="F16">
            <v>7</v>
          </cell>
          <cell r="G16">
            <v>4</v>
          </cell>
          <cell r="H16">
            <v>12</v>
          </cell>
          <cell r="I16">
            <v>125</v>
          </cell>
          <cell r="K16">
            <v>10</v>
          </cell>
          <cell r="M16">
            <v>131.80707225</v>
          </cell>
          <cell r="N16">
            <v>1390.3807352500003</v>
          </cell>
          <cell r="O16">
            <v>401.81952000000001</v>
          </cell>
          <cell r="P16">
            <v>1924.0073275000002</v>
          </cell>
          <cell r="R16">
            <v>3</v>
          </cell>
          <cell r="S16">
            <v>29.791905</v>
          </cell>
          <cell r="U16">
            <v>1953.7992325000002</v>
          </cell>
          <cell r="V16">
            <v>800</v>
          </cell>
          <cell r="W16">
            <v>1731.18</v>
          </cell>
          <cell r="X16">
            <v>-1153.7992325000002</v>
          </cell>
          <cell r="Y16">
            <v>-222.61923250000018</v>
          </cell>
          <cell r="AA16">
            <v>73.089321303160361</v>
          </cell>
        </row>
        <row r="17">
          <cell r="B17" t="str">
            <v xml:space="preserve">    FL Europe</v>
          </cell>
          <cell r="C17">
            <v>289</v>
          </cell>
          <cell r="D17">
            <v>4</v>
          </cell>
          <cell r="E17">
            <v>38</v>
          </cell>
          <cell r="F17">
            <v>14</v>
          </cell>
          <cell r="G17">
            <v>21</v>
          </cell>
          <cell r="H17">
            <v>73</v>
          </cell>
          <cell r="I17">
            <v>323</v>
          </cell>
          <cell r="K17">
            <v>32</v>
          </cell>
          <cell r="M17">
            <v>16054.521709999997</v>
          </cell>
          <cell r="N17">
            <v>6460.5615900000012</v>
          </cell>
          <cell r="O17">
            <v>2588.8171199999997</v>
          </cell>
          <cell r="P17">
            <v>25103.900419999998</v>
          </cell>
          <cell r="R17">
            <v>0</v>
          </cell>
          <cell r="S17">
            <v>0</v>
          </cell>
          <cell r="U17">
            <v>25103.900419999998</v>
          </cell>
          <cell r="V17">
            <v>21182</v>
          </cell>
          <cell r="W17">
            <v>27383.108720000004</v>
          </cell>
          <cell r="X17">
            <v>-3921.9004199999981</v>
          </cell>
          <cell r="Y17">
            <v>2279.2083000000057</v>
          </cell>
          <cell r="AA17">
            <v>119.61884377670462</v>
          </cell>
        </row>
        <row r="18">
          <cell r="B18" t="str">
            <v xml:space="preserve">       FLE  Intangibles/Key Money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K18">
            <v>0</v>
          </cell>
          <cell r="M18">
            <v>16947.486696250002</v>
          </cell>
          <cell r="N18">
            <v>4111.0064624999995</v>
          </cell>
          <cell r="O18">
            <v>0</v>
          </cell>
          <cell r="P18">
            <v>21058.493158750003</v>
          </cell>
          <cell r="R18">
            <v>0</v>
          </cell>
          <cell r="S18">
            <v>0</v>
          </cell>
          <cell r="U18">
            <v>21058.493158750003</v>
          </cell>
          <cell r="V18">
            <v>26823</v>
          </cell>
          <cell r="W18">
            <v>21058.493158749996</v>
          </cell>
          <cell r="X18">
            <v>5764.5068412499968</v>
          </cell>
          <cell r="Y18">
            <v>0</v>
          </cell>
          <cell r="AA18">
            <v>0</v>
          </cell>
        </row>
        <row r="19">
          <cell r="B19" t="str">
            <v xml:space="preserve">    FL Australia</v>
          </cell>
          <cell r="C19">
            <v>65</v>
          </cell>
          <cell r="D19">
            <v>2</v>
          </cell>
          <cell r="E19">
            <v>10</v>
          </cell>
          <cell r="F19">
            <v>1</v>
          </cell>
          <cell r="G19">
            <v>2</v>
          </cell>
          <cell r="H19">
            <v>13</v>
          </cell>
          <cell r="I19">
            <v>73</v>
          </cell>
          <cell r="K19">
            <v>5</v>
          </cell>
          <cell r="M19">
            <v>686.34031000000004</v>
          </cell>
          <cell r="N19">
            <v>93.902059999999992</v>
          </cell>
          <cell r="O19">
            <v>205.35402000000002</v>
          </cell>
          <cell r="P19">
            <v>985.59639000000004</v>
          </cell>
          <cell r="R19">
            <v>0</v>
          </cell>
          <cell r="S19">
            <v>0</v>
          </cell>
          <cell r="U19">
            <v>985.59639000000004</v>
          </cell>
          <cell r="V19">
            <v>1735</v>
          </cell>
          <cell r="W19">
            <v>1126.75</v>
          </cell>
          <cell r="X19">
            <v>749.40360999999996</v>
          </cell>
          <cell r="Y19">
            <v>141.15360999999996</v>
          </cell>
          <cell r="AA19">
            <v>60.428001555565729</v>
          </cell>
        </row>
        <row r="20">
          <cell r="B20" t="str">
            <v>FL Int'l Division</v>
          </cell>
          <cell r="C20">
            <v>483</v>
          </cell>
          <cell r="D20">
            <v>11</v>
          </cell>
          <cell r="E20">
            <v>49</v>
          </cell>
          <cell r="F20">
            <v>22</v>
          </cell>
          <cell r="G20">
            <v>27</v>
          </cell>
          <cell r="H20">
            <v>98</v>
          </cell>
          <cell r="I20">
            <v>521</v>
          </cell>
          <cell r="K20">
            <v>47</v>
          </cell>
          <cell r="M20">
            <v>33820.1557885</v>
          </cell>
          <cell r="N20">
            <v>12055.850847750002</v>
          </cell>
          <cell r="O20">
            <v>3195.9906599999999</v>
          </cell>
          <cell r="P20">
            <v>49071.997296249996</v>
          </cell>
          <cell r="R20">
            <v>3</v>
          </cell>
          <cell r="S20">
            <v>29.791905</v>
          </cell>
          <cell r="U20">
            <v>49101.789201250001</v>
          </cell>
          <cell r="V20">
            <v>50540</v>
          </cell>
          <cell r="W20">
            <v>51299.53187875</v>
          </cell>
          <cell r="X20">
            <v>1438.210798749998</v>
          </cell>
          <cell r="Y20">
            <v>2197.7426775000054</v>
          </cell>
          <cell r="AA20">
            <v>109.43719075413864</v>
          </cell>
        </row>
        <row r="22">
          <cell r="B22" t="str">
            <v>Foot Locker Worldwide</v>
          </cell>
          <cell r="C22">
            <v>2996</v>
          </cell>
          <cell r="D22">
            <v>91</v>
          </cell>
          <cell r="E22">
            <v>110</v>
          </cell>
          <cell r="F22">
            <v>82</v>
          </cell>
          <cell r="G22">
            <v>88</v>
          </cell>
          <cell r="H22">
            <v>280</v>
          </cell>
          <cell r="I22">
            <v>3015</v>
          </cell>
          <cell r="K22">
            <v>227</v>
          </cell>
          <cell r="M22">
            <v>47689.416182921443</v>
          </cell>
          <cell r="N22">
            <v>24130.21750775</v>
          </cell>
          <cell r="O22">
            <v>17338.775483499998</v>
          </cell>
          <cell r="P22">
            <v>89158.409174171451</v>
          </cell>
          <cell r="R22">
            <v>60</v>
          </cell>
          <cell r="S22">
            <v>1446.393875</v>
          </cell>
          <cell r="U22">
            <v>90604.80304917146</v>
          </cell>
          <cell r="V22">
            <v>100454</v>
          </cell>
          <cell r="W22">
            <v>95589.03187875</v>
          </cell>
          <cell r="X22">
            <v>9849.1969508285511</v>
          </cell>
          <cell r="Y22">
            <v>4984.2288295785565</v>
          </cell>
          <cell r="AA22">
            <v>85.623834444510194</v>
          </cell>
        </row>
        <row r="23">
          <cell r="B23" t="str">
            <v xml:space="preserve"> </v>
          </cell>
        </row>
        <row r="24">
          <cell r="B24" t="str">
            <v xml:space="preserve">    Champs US</v>
          </cell>
          <cell r="C24">
            <v>550</v>
          </cell>
          <cell r="D24">
            <v>14</v>
          </cell>
          <cell r="E24">
            <v>0</v>
          </cell>
          <cell r="F24">
            <v>13</v>
          </cell>
          <cell r="G24">
            <v>11</v>
          </cell>
          <cell r="H24">
            <v>24</v>
          </cell>
          <cell r="I24">
            <v>536</v>
          </cell>
          <cell r="K24">
            <v>24</v>
          </cell>
          <cell r="M24">
            <v>0</v>
          </cell>
          <cell r="N24">
            <v>2708.1963500000002</v>
          </cell>
          <cell r="O24">
            <v>5257.092560000001</v>
          </cell>
          <cell r="P24">
            <v>7965.2889100000011</v>
          </cell>
          <cell r="R24">
            <v>12</v>
          </cell>
          <cell r="S24">
            <v>533.80793999999992</v>
          </cell>
          <cell r="U24">
            <v>8499.0968500000017</v>
          </cell>
          <cell r="V24">
            <v>6431</v>
          </cell>
          <cell r="W24">
            <v>8626</v>
          </cell>
          <cell r="X24">
            <v>-2068.0968500000017</v>
          </cell>
          <cell r="Y24">
            <v>126.90314999999828</v>
          </cell>
          <cell r="AA24">
            <v>81.024367737883395</v>
          </cell>
        </row>
        <row r="25">
          <cell r="B25" t="str">
            <v>New Stores</v>
          </cell>
          <cell r="C25">
            <v>0</v>
          </cell>
          <cell r="D25">
            <v>0</v>
          </cell>
          <cell r="E25">
            <v>5</v>
          </cell>
          <cell r="F25">
            <v>0</v>
          </cell>
          <cell r="G25">
            <v>0</v>
          </cell>
          <cell r="H25">
            <v>5</v>
          </cell>
          <cell r="I25">
            <v>5</v>
          </cell>
          <cell r="K25">
            <v>5</v>
          </cell>
          <cell r="M25">
            <v>1748.6097500000001</v>
          </cell>
          <cell r="N25">
            <v>0</v>
          </cell>
          <cell r="O25">
            <v>0</v>
          </cell>
          <cell r="P25">
            <v>1748.6097500000001</v>
          </cell>
          <cell r="R25">
            <v>0</v>
          </cell>
          <cell r="S25">
            <v>0</v>
          </cell>
          <cell r="U25">
            <v>1748.6097500000001</v>
          </cell>
          <cell r="V25">
            <v>2000</v>
          </cell>
          <cell r="W25">
            <v>1634</v>
          </cell>
          <cell r="X25">
            <v>251.39024999999992</v>
          </cell>
          <cell r="Y25">
            <v>-114.60975000000008</v>
          </cell>
          <cell r="AA25">
            <v>89.949061213991769</v>
          </cell>
        </row>
        <row r="26">
          <cell r="B26" t="str">
            <v xml:space="preserve">    Champs Flooring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K26">
            <v>0</v>
          </cell>
          <cell r="M26">
            <v>0</v>
          </cell>
          <cell r="N26">
            <v>0</v>
          </cell>
          <cell r="O26">
            <v>2853</v>
          </cell>
          <cell r="P26">
            <v>2853</v>
          </cell>
          <cell r="R26">
            <v>0</v>
          </cell>
          <cell r="S26">
            <v>0</v>
          </cell>
          <cell r="U26">
            <v>2853</v>
          </cell>
          <cell r="V26">
            <v>2853</v>
          </cell>
          <cell r="W26">
            <v>2853</v>
          </cell>
          <cell r="X26">
            <v>0</v>
          </cell>
          <cell r="Y26">
            <v>0</v>
          </cell>
        </row>
        <row r="27">
          <cell r="B27" t="str">
            <v xml:space="preserve">    Champs Canada</v>
          </cell>
          <cell r="C27">
            <v>36</v>
          </cell>
          <cell r="D27">
            <v>3</v>
          </cell>
          <cell r="E27">
            <v>0</v>
          </cell>
          <cell r="F27">
            <v>6</v>
          </cell>
          <cell r="G27">
            <v>0</v>
          </cell>
          <cell r="H27">
            <v>6</v>
          </cell>
          <cell r="I27">
            <v>33</v>
          </cell>
          <cell r="K27">
            <v>6</v>
          </cell>
          <cell r="M27">
            <v>0</v>
          </cell>
          <cell r="N27">
            <v>1183.5064235999998</v>
          </cell>
          <cell r="O27">
            <v>0</v>
          </cell>
          <cell r="P27">
            <v>1183.5064235999998</v>
          </cell>
          <cell r="R27">
            <v>2</v>
          </cell>
          <cell r="S27">
            <v>36.026029949999995</v>
          </cell>
          <cell r="U27">
            <v>1219.5324535499999</v>
          </cell>
          <cell r="V27">
            <v>720</v>
          </cell>
          <cell r="W27">
            <v>1110.0450000000001</v>
          </cell>
          <cell r="X27">
            <v>-499.5324535499999</v>
          </cell>
          <cell r="Y27">
            <v>-109.48745354999983</v>
          </cell>
          <cell r="AA27">
            <v>62.27739337493999</v>
          </cell>
        </row>
        <row r="28">
          <cell r="B28" t="str">
            <v>Total Champs</v>
          </cell>
          <cell r="C28">
            <v>586</v>
          </cell>
          <cell r="D28">
            <v>17</v>
          </cell>
          <cell r="E28">
            <v>5</v>
          </cell>
          <cell r="F28">
            <v>19</v>
          </cell>
          <cell r="G28">
            <v>11</v>
          </cell>
          <cell r="H28">
            <v>35</v>
          </cell>
          <cell r="I28">
            <v>574</v>
          </cell>
          <cell r="K28">
            <v>35</v>
          </cell>
          <cell r="M28">
            <v>1748.6097500000001</v>
          </cell>
          <cell r="N28">
            <v>3891.7027736</v>
          </cell>
          <cell r="O28">
            <v>8110.092560000001</v>
          </cell>
          <cell r="P28">
            <v>13750.405083600001</v>
          </cell>
          <cell r="R28">
            <v>14</v>
          </cell>
          <cell r="S28">
            <v>569.83396994999987</v>
          </cell>
          <cell r="U28">
            <v>14320.239053550002</v>
          </cell>
          <cell r="V28">
            <v>12004</v>
          </cell>
          <cell r="W28">
            <v>14223.045</v>
          </cell>
          <cell r="X28">
            <v>-2316.2390535500017</v>
          </cell>
          <cell r="Y28">
            <v>-97.194053550001627</v>
          </cell>
          <cell r="AA28">
            <v>78.695103124386463</v>
          </cell>
        </row>
        <row r="30">
          <cell r="B30" t="str">
            <v xml:space="preserve">     Total Domestic</v>
          </cell>
          <cell r="C30">
            <v>3063</v>
          </cell>
          <cell r="D30">
            <v>94</v>
          </cell>
          <cell r="E30">
            <v>66</v>
          </cell>
          <cell r="F30">
            <v>73</v>
          </cell>
          <cell r="G30">
            <v>72</v>
          </cell>
          <cell r="H30">
            <v>211</v>
          </cell>
          <cell r="I30">
            <v>3035</v>
          </cell>
          <cell r="K30">
            <v>209</v>
          </cell>
          <cell r="M30">
            <v>15617.870144421446</v>
          </cell>
          <cell r="N30">
            <v>14782.56301</v>
          </cell>
          <cell r="O30">
            <v>22252.877383499999</v>
          </cell>
          <cell r="P30">
            <v>52653.310537921454</v>
          </cell>
          <cell r="R30">
            <v>69</v>
          </cell>
          <cell r="S30">
            <v>1950.4099099999999</v>
          </cell>
          <cell r="U30">
            <v>54603.720447921456</v>
          </cell>
          <cell r="V30">
            <v>61198</v>
          </cell>
          <cell r="W30">
            <v>57402.5</v>
          </cell>
          <cell r="X30">
            <v>6594.2795520785512</v>
          </cell>
          <cell r="Y30">
            <v>2798.7795520785498</v>
          </cell>
          <cell r="AA30">
            <v>73.336690306493466</v>
          </cell>
        </row>
        <row r="31">
          <cell r="B31" t="str">
            <v xml:space="preserve">     Total International</v>
          </cell>
          <cell r="C31">
            <v>519</v>
          </cell>
          <cell r="D31">
            <v>14</v>
          </cell>
          <cell r="E31">
            <v>49</v>
          </cell>
          <cell r="F31">
            <v>28</v>
          </cell>
          <cell r="G31">
            <v>27</v>
          </cell>
          <cell r="H31">
            <v>104</v>
          </cell>
          <cell r="I31">
            <v>554</v>
          </cell>
          <cell r="K31">
            <v>53</v>
          </cell>
          <cell r="M31">
            <v>33820.1557885</v>
          </cell>
          <cell r="N31">
            <v>13239.357271350002</v>
          </cell>
          <cell r="O31">
            <v>3195.9906599999999</v>
          </cell>
          <cell r="P31">
            <v>50255.503719849992</v>
          </cell>
          <cell r="R31">
            <v>5</v>
          </cell>
          <cell r="S31">
            <v>65.817934949999994</v>
          </cell>
          <cell r="U31">
            <v>50321.321654799998</v>
          </cell>
          <cell r="V31">
            <v>51260</v>
          </cell>
          <cell r="W31">
            <v>52409.576878749998</v>
          </cell>
          <cell r="X31">
            <v>938.67834519999815</v>
          </cell>
          <cell r="Y31">
            <v>2088.2552239500055</v>
          </cell>
          <cell r="AA31">
            <v>105.11131725887581</v>
          </cell>
        </row>
        <row r="32">
          <cell r="B32" t="str">
            <v xml:space="preserve">     Total Continuing</v>
          </cell>
          <cell r="C32">
            <v>3582</v>
          </cell>
          <cell r="D32">
            <v>108</v>
          </cell>
          <cell r="E32">
            <v>115</v>
          </cell>
          <cell r="F32">
            <v>101</v>
          </cell>
          <cell r="G32">
            <v>99</v>
          </cell>
          <cell r="H32">
            <v>315</v>
          </cell>
          <cell r="I32">
            <v>3589</v>
          </cell>
          <cell r="K32">
            <v>262</v>
          </cell>
          <cell r="M32">
            <v>49438.025932921446</v>
          </cell>
          <cell r="N32">
            <v>28021.920281350001</v>
          </cell>
          <cell r="O32">
            <v>25448.868043499999</v>
          </cell>
          <cell r="P32">
            <v>102908.81425777145</v>
          </cell>
          <cell r="R32">
            <v>74</v>
          </cell>
          <cell r="S32">
            <v>2016.22784495</v>
          </cell>
          <cell r="U32">
            <v>104925.04210272146</v>
          </cell>
          <cell r="V32">
            <v>112458</v>
          </cell>
          <cell r="W32">
            <v>109812.07687875</v>
          </cell>
          <cell r="X32">
            <v>7532.9578972785494</v>
          </cell>
          <cell r="Y32">
            <v>4887.0347760285549</v>
          </cell>
          <cell r="AA32">
            <v>84.697751396558516</v>
          </cell>
        </row>
        <row r="34">
          <cell r="B34" t="str">
            <v>Discontinued Operations</v>
          </cell>
        </row>
        <row r="35">
          <cell r="B35" t="str">
            <v xml:space="preserve">    Northern Canada</v>
          </cell>
          <cell r="C35">
            <v>370</v>
          </cell>
          <cell r="D35">
            <v>14</v>
          </cell>
          <cell r="E35">
            <v>0</v>
          </cell>
          <cell r="F35">
            <v>1</v>
          </cell>
          <cell r="G35">
            <v>1</v>
          </cell>
          <cell r="H35">
            <v>2</v>
          </cell>
          <cell r="I35">
            <v>356</v>
          </cell>
          <cell r="K35">
            <v>0</v>
          </cell>
          <cell r="M35">
            <v>0</v>
          </cell>
          <cell r="N35">
            <v>0</v>
          </cell>
          <cell r="O35">
            <v>219.3</v>
          </cell>
          <cell r="P35">
            <v>219.3</v>
          </cell>
          <cell r="R35">
            <v>0</v>
          </cell>
          <cell r="S35">
            <v>0</v>
          </cell>
          <cell r="U35">
            <v>219.3</v>
          </cell>
          <cell r="V35">
            <v>0</v>
          </cell>
          <cell r="W35">
            <v>219.3</v>
          </cell>
          <cell r="X35">
            <v>-219.3</v>
          </cell>
          <cell r="Y35">
            <v>0</v>
          </cell>
          <cell r="AA35">
            <v>0</v>
          </cell>
        </row>
        <row r="37">
          <cell r="B37" t="str">
            <v>Disposed Operations</v>
          </cell>
        </row>
        <row r="38">
          <cell r="B38" t="str">
            <v xml:space="preserve">    S.F. Music Box</v>
          </cell>
          <cell r="C38">
            <v>154</v>
          </cell>
          <cell r="D38">
            <v>4</v>
          </cell>
          <cell r="E38">
            <v>0</v>
          </cell>
          <cell r="F38">
            <v>1</v>
          </cell>
          <cell r="G38">
            <v>1</v>
          </cell>
          <cell r="H38">
            <v>2</v>
          </cell>
          <cell r="I38">
            <v>150</v>
          </cell>
          <cell r="K38">
            <v>2</v>
          </cell>
          <cell r="M38">
            <v>0</v>
          </cell>
          <cell r="N38">
            <v>10</v>
          </cell>
          <cell r="O38">
            <v>226.94800000000001</v>
          </cell>
          <cell r="P38">
            <v>236.94800000000001</v>
          </cell>
          <cell r="R38">
            <v>1</v>
          </cell>
          <cell r="S38">
            <v>9.391</v>
          </cell>
          <cell r="U38">
            <v>246.339</v>
          </cell>
          <cell r="V38">
            <v>0</v>
          </cell>
          <cell r="W38">
            <v>175</v>
          </cell>
          <cell r="X38">
            <v>-246.339</v>
          </cell>
          <cell r="Y38">
            <v>-71.338999999999999</v>
          </cell>
          <cell r="AA38">
            <v>0</v>
          </cell>
        </row>
        <row r="41">
          <cell r="B41" t="str">
            <v xml:space="preserve">     Total Continuing</v>
          </cell>
          <cell r="C41">
            <v>3582</v>
          </cell>
          <cell r="D41">
            <v>109</v>
          </cell>
          <cell r="E41">
            <v>127</v>
          </cell>
          <cell r="F41">
            <v>100</v>
          </cell>
          <cell r="G41">
            <v>97</v>
          </cell>
          <cell r="H41">
            <v>324</v>
          </cell>
          <cell r="I41">
            <v>3600</v>
          </cell>
          <cell r="K41">
            <v>265</v>
          </cell>
          <cell r="M41">
            <v>53574.402127849993</v>
          </cell>
          <cell r="N41">
            <v>27355.957418399998</v>
          </cell>
          <cell r="O41">
            <v>25540.0218704</v>
          </cell>
          <cell r="P41">
            <v>106470.38141664999</v>
          </cell>
          <cell r="R41">
            <v>78</v>
          </cell>
          <cell r="S41">
            <v>2475.2344149999999</v>
          </cell>
          <cell r="U41">
            <v>108945.61583165001</v>
          </cell>
          <cell r="V41">
            <v>112458</v>
          </cell>
          <cell r="W41">
            <v>114095.84493875</v>
          </cell>
          <cell r="X41">
            <v>3512.3841683500009</v>
          </cell>
          <cell r="Y41">
            <v>5150.2291071000036</v>
          </cell>
          <cell r="AA41">
            <v>71.79910318536551</v>
          </cell>
        </row>
        <row r="42">
          <cell r="B42" t="str">
            <v xml:space="preserve">     Total Discontinuing/Disposed</v>
          </cell>
          <cell r="C42">
            <v>524</v>
          </cell>
          <cell r="D42">
            <v>18</v>
          </cell>
          <cell r="E42">
            <v>0</v>
          </cell>
          <cell r="F42">
            <v>2</v>
          </cell>
          <cell r="G42">
            <v>2</v>
          </cell>
          <cell r="H42">
            <v>4</v>
          </cell>
          <cell r="I42">
            <v>506</v>
          </cell>
          <cell r="K42">
            <v>2</v>
          </cell>
          <cell r="M42">
            <v>0</v>
          </cell>
          <cell r="N42">
            <v>10</v>
          </cell>
          <cell r="O42">
            <v>446.24800000000005</v>
          </cell>
          <cell r="P42">
            <v>456.24800000000005</v>
          </cell>
          <cell r="R42">
            <v>1</v>
          </cell>
          <cell r="S42">
            <v>9.391</v>
          </cell>
          <cell r="U42">
            <v>465.63900000000001</v>
          </cell>
          <cell r="V42">
            <v>0</v>
          </cell>
          <cell r="W42">
            <v>394.3</v>
          </cell>
          <cell r="X42">
            <v>-465.63900000000001</v>
          </cell>
          <cell r="Y42">
            <v>-71.338999999999999</v>
          </cell>
          <cell r="AA42">
            <v>0</v>
          </cell>
        </row>
        <row r="43">
          <cell r="B43" t="str">
            <v xml:space="preserve">     Total 2001 Capital Forecast</v>
          </cell>
          <cell r="C43">
            <v>4106</v>
          </cell>
          <cell r="D43">
            <v>127</v>
          </cell>
          <cell r="E43">
            <v>127</v>
          </cell>
          <cell r="F43">
            <v>102</v>
          </cell>
          <cell r="G43">
            <v>99</v>
          </cell>
          <cell r="H43">
            <v>328</v>
          </cell>
          <cell r="I43">
            <v>4106</v>
          </cell>
          <cell r="K43">
            <v>267</v>
          </cell>
          <cell r="M43">
            <v>53574.402127849993</v>
          </cell>
          <cell r="N43">
            <v>27365.957418399998</v>
          </cell>
          <cell r="O43">
            <v>25986.269870399999</v>
          </cell>
          <cell r="P43">
            <v>106926.62941665</v>
          </cell>
          <cell r="R43">
            <v>79</v>
          </cell>
          <cell r="S43">
            <v>2484.625415</v>
          </cell>
          <cell r="U43">
            <v>109411.25483165</v>
          </cell>
          <cell r="V43">
            <v>112458</v>
          </cell>
          <cell r="W43">
            <v>114490.14493875</v>
          </cell>
          <cell r="X43">
            <v>3046.7451683500008</v>
          </cell>
          <cell r="Y43">
            <v>5078.8901071000037</v>
          </cell>
          <cell r="AA43">
            <v>84.883654671949628</v>
          </cell>
        </row>
        <row r="48">
          <cell r="K48" t="str">
            <v>Distribution Through Operating Review Meeting Book</v>
          </cell>
          <cell r="V48" t="str">
            <v>Distribution</v>
          </cell>
        </row>
        <row r="49">
          <cell r="M49" t="str">
            <v>Matt Serra</v>
          </cell>
          <cell r="O49" t="str">
            <v>Bernard Steenman</v>
          </cell>
          <cell r="V49" t="str">
            <v>Ben Hicks</v>
          </cell>
          <cell r="X49" t="str">
            <v>Lauren Peters</v>
          </cell>
        </row>
        <row r="50">
          <cell r="M50" t="str">
            <v>Bruce Hartman</v>
          </cell>
          <cell r="O50" t="str">
            <v>Daniel Demicell</v>
          </cell>
          <cell r="V50" t="str">
            <v>Brad Chafetz</v>
          </cell>
          <cell r="X50" t="str">
            <v>Matt Harker</v>
          </cell>
        </row>
        <row r="51">
          <cell r="M51" t="str">
            <v>Jeff Berk</v>
          </cell>
          <cell r="O51" t="str">
            <v>John Disa</v>
          </cell>
          <cell r="V51" t="str">
            <v>Bruce Hartman</v>
          </cell>
          <cell r="X51" t="str">
            <v>Matt Jeavons</v>
          </cell>
        </row>
        <row r="52">
          <cell r="M52" t="str">
            <v>Lauren Peters</v>
          </cell>
          <cell r="O52" t="str">
            <v>Nick Grayston</v>
          </cell>
          <cell r="V52" t="str">
            <v>Carol Rosenfeld</v>
          </cell>
          <cell r="X52" t="str">
            <v>Neils Boudeling</v>
          </cell>
        </row>
        <row r="53">
          <cell r="M53" t="str">
            <v>Peter Brown</v>
          </cell>
          <cell r="O53" t="str">
            <v>Simon Rider</v>
          </cell>
          <cell r="V53" t="str">
            <v>Chuck Beyer</v>
          </cell>
          <cell r="X53" t="str">
            <v>Nick Grayston</v>
          </cell>
        </row>
        <row r="54">
          <cell r="M54" t="str">
            <v>Laurie Petrucci</v>
          </cell>
          <cell r="O54" t="str">
            <v>Dominic Galvin</v>
          </cell>
          <cell r="V54" t="str">
            <v>Don Yost</v>
          </cell>
          <cell r="X54" t="str">
            <v>Rita Dickerson</v>
          </cell>
        </row>
        <row r="55">
          <cell r="B55" t="str">
            <v>Confidential proprietary information of Venator Group for use only by authorized</v>
          </cell>
          <cell r="M55" t="str">
            <v>Joe Bongiorno</v>
          </cell>
          <cell r="O55" t="str">
            <v>Larry Bresnick</v>
          </cell>
          <cell r="V55" t="str">
            <v>Gary Brown</v>
          </cell>
          <cell r="X55" t="str">
            <v>Samantha Dorfman</v>
          </cell>
        </row>
        <row r="56">
          <cell r="B56" t="str">
            <v>company associates in connection with their work.  Not to  be disclosed</v>
          </cell>
          <cell r="M56" t="str">
            <v>Gary Bahler</v>
          </cell>
          <cell r="O56" t="str">
            <v>Rick Mina</v>
          </cell>
          <cell r="V56" t="str">
            <v>Jeff Hidalgo</v>
          </cell>
          <cell r="X56" t="str">
            <v>Scott De Cent</v>
          </cell>
        </row>
        <row r="57">
          <cell r="B57" t="str">
            <v>outside the company.  Violation may result in legal or disciplinary action,</v>
          </cell>
          <cell r="M57" t="str">
            <v>Tim Finn</v>
          </cell>
          <cell r="O57" t="str">
            <v>Ron Halls</v>
          </cell>
          <cell r="V57" t="str">
            <v>Jim Lance</v>
          </cell>
          <cell r="X57" t="str">
            <v>Scott Orr</v>
          </cell>
        </row>
        <row r="58">
          <cell r="B58" t="str">
            <v xml:space="preserve"> including termination.</v>
          </cell>
          <cell r="V58" t="str">
            <v>John Pawley</v>
          </cell>
          <cell r="X58" t="str">
            <v>Terry Talley</v>
          </cell>
        </row>
        <row r="59">
          <cell r="V59" t="str">
            <v>Julia Park</v>
          </cell>
          <cell r="X59" t="str">
            <v>Tom Mabbett</v>
          </cell>
        </row>
        <row r="60">
          <cell r="V60" t="str">
            <v>Katriona Macbeath</v>
          </cell>
        </row>
      </sheetData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V Commercial Only"/>
      <sheetName val="Farm Equipment Detail"/>
      <sheetName val="Golf Equipment Detail"/>
      <sheetName val="Computer EDP Detail"/>
      <sheetName val="Dropdown List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E6DE-CC3B-460A-98A7-5C4C52A32B7A}">
  <sheetPr>
    <pageSetUpPr fitToPage="1"/>
  </sheetPr>
  <dimension ref="B1:AE89"/>
  <sheetViews>
    <sheetView showGridLines="0" tabSelected="1" zoomScale="85" zoomScaleNormal="85" workbookViewId="0">
      <pane ySplit="5" topLeftCell="A6" activePane="bottomLeft" state="frozen"/>
      <selection pane="bottomLeft" activeCell="C31" sqref="C31"/>
    </sheetView>
  </sheetViews>
  <sheetFormatPr defaultColWidth="9.1796875" defaultRowHeight="13" x14ac:dyDescent="0.3"/>
  <cols>
    <col min="1" max="1" width="2.54296875" style="10" customWidth="1"/>
    <col min="2" max="2" width="30.453125" style="3" bestFit="1" customWidth="1"/>
    <col min="3" max="4" width="49" style="3" customWidth="1"/>
    <col min="5" max="5" width="11.26953125" style="3" bestFit="1" customWidth="1"/>
    <col min="6" max="6" width="5.7265625" style="4" bestFit="1" customWidth="1"/>
    <col min="7" max="7" width="8.81640625" style="5" bestFit="1" customWidth="1"/>
    <col min="8" max="8" width="7.7265625" style="6" bestFit="1" customWidth="1"/>
    <col min="9" max="9" width="22.6328125" style="6" bestFit="1" customWidth="1"/>
    <col min="10" max="10" width="22.1796875" style="3" bestFit="1" customWidth="1"/>
    <col min="11" max="11" width="21.7265625" style="9" bestFit="1" customWidth="1"/>
    <col min="12" max="13" width="11.26953125" style="9" customWidth="1"/>
    <col min="14" max="14" width="8.1796875" style="4" bestFit="1" customWidth="1"/>
    <col min="15" max="15" width="9.453125" style="4" bestFit="1" customWidth="1"/>
    <col min="16" max="16" width="19.6328125" style="4" bestFit="1" customWidth="1"/>
    <col min="17" max="17" width="5.54296875" style="4" bestFit="1" customWidth="1"/>
    <col min="18" max="18" width="15.81640625" style="7" bestFit="1" customWidth="1"/>
    <col min="19" max="19" width="8.81640625" style="7" bestFit="1" customWidth="1"/>
    <col min="20" max="20" width="13.54296875" style="7" bestFit="1" customWidth="1"/>
    <col min="21" max="21" width="11.90625" style="8" bestFit="1" customWidth="1"/>
    <col min="22" max="23" width="9" style="8" bestFit="1" customWidth="1"/>
    <col min="24" max="24" width="8.81640625" style="8" bestFit="1" customWidth="1"/>
    <col min="25" max="25" width="10.90625" style="8" bestFit="1" customWidth="1"/>
    <col min="26" max="26" width="11.90625" style="8" bestFit="1" customWidth="1"/>
    <col min="27" max="27" width="12.26953125" style="4" bestFit="1" customWidth="1"/>
    <col min="28" max="28" width="9.54296875" style="4" bestFit="1" customWidth="1"/>
    <col min="29" max="29" width="12.08984375" style="4" bestFit="1" customWidth="1"/>
    <col min="30" max="30" width="20.26953125" style="76" customWidth="1"/>
    <col min="31" max="31" width="29" style="4" bestFit="1" customWidth="1"/>
    <col min="32" max="16384" width="9.1796875" style="10"/>
  </cols>
  <sheetData>
    <row r="1" spans="2:31" ht="21" x14ac:dyDescent="0.3">
      <c r="B1" s="1" t="s">
        <v>25</v>
      </c>
      <c r="K1" s="4"/>
      <c r="L1" s="4"/>
      <c r="M1" s="4"/>
    </row>
    <row r="2" spans="2:31" ht="16" x14ac:dyDescent="0.4">
      <c r="B2" s="2" t="s">
        <v>1</v>
      </c>
      <c r="K2" s="4"/>
      <c r="L2" s="4"/>
      <c r="M2" s="4"/>
    </row>
    <row r="3" spans="2:31" x14ac:dyDescent="0.3">
      <c r="K3" s="4"/>
      <c r="L3" s="4"/>
      <c r="M3" s="4"/>
    </row>
    <row r="4" spans="2:31" s="18" customFormat="1" ht="14.5" x14ac:dyDescent="0.35">
      <c r="B4" s="82"/>
      <c r="C4" s="82"/>
      <c r="D4" s="11"/>
      <c r="E4" s="12"/>
      <c r="F4" s="12"/>
      <c r="G4" s="13"/>
      <c r="H4" s="14"/>
      <c r="I4" s="15"/>
      <c r="J4" s="16"/>
      <c r="K4" s="12"/>
      <c r="L4" s="12"/>
      <c r="M4" s="12"/>
      <c r="N4" s="12"/>
      <c r="O4" s="12"/>
      <c r="P4" s="12"/>
      <c r="Q4" s="12"/>
      <c r="R4" s="17"/>
      <c r="S4" s="17"/>
      <c r="T4" s="17"/>
      <c r="U4" s="83" t="s">
        <v>2</v>
      </c>
      <c r="V4" s="83"/>
      <c r="W4" s="83"/>
      <c r="X4" s="83"/>
      <c r="Y4" s="83"/>
      <c r="Z4" s="83"/>
      <c r="AA4" s="12"/>
      <c r="AB4" s="12"/>
      <c r="AC4" s="46"/>
      <c r="AD4" s="46"/>
      <c r="AE4" s="12"/>
    </row>
    <row r="5" spans="2:31" ht="33.5" customHeight="1" x14ac:dyDescent="0.3">
      <c r="B5" s="26" t="s">
        <v>3</v>
      </c>
      <c r="C5" s="26" t="s">
        <v>4</v>
      </c>
      <c r="D5" s="26" t="s">
        <v>5</v>
      </c>
      <c r="E5" s="26" t="s">
        <v>6</v>
      </c>
      <c r="F5" s="26" t="s">
        <v>0</v>
      </c>
      <c r="G5" s="27" t="s">
        <v>7</v>
      </c>
      <c r="H5" s="27" t="s">
        <v>8</v>
      </c>
      <c r="I5" s="27" t="s">
        <v>9</v>
      </c>
      <c r="J5" s="26" t="s">
        <v>10</v>
      </c>
      <c r="K5" s="28" t="s">
        <v>11</v>
      </c>
      <c r="L5" s="29" t="s">
        <v>12</v>
      </c>
      <c r="M5" s="28" t="s">
        <v>13</v>
      </c>
      <c r="N5" s="26" t="s">
        <v>14</v>
      </c>
      <c r="O5" s="26" t="s">
        <v>15</v>
      </c>
      <c r="P5" s="26" t="s">
        <v>16</v>
      </c>
      <c r="Q5" s="26" t="s">
        <v>46</v>
      </c>
      <c r="R5" s="26" t="s">
        <v>17</v>
      </c>
      <c r="S5" s="30" t="s">
        <v>23</v>
      </c>
      <c r="T5" s="30" t="s">
        <v>24</v>
      </c>
      <c r="U5" s="32" t="s">
        <v>19</v>
      </c>
      <c r="V5" s="32" t="s">
        <v>20</v>
      </c>
      <c r="W5" s="33" t="s">
        <v>83</v>
      </c>
      <c r="X5" s="33" t="s">
        <v>55</v>
      </c>
      <c r="Y5" s="32" t="s">
        <v>21</v>
      </c>
      <c r="Z5" s="32" t="s">
        <v>22</v>
      </c>
      <c r="AA5" s="26" t="s">
        <v>89</v>
      </c>
      <c r="AB5" s="26" t="s">
        <v>47</v>
      </c>
      <c r="AC5" s="30" t="s">
        <v>18</v>
      </c>
      <c r="AD5" s="30" t="s">
        <v>228</v>
      </c>
      <c r="AE5" s="26" t="s">
        <v>50</v>
      </c>
    </row>
    <row r="6" spans="2:31" ht="39" x14ac:dyDescent="0.3">
      <c r="B6" s="23"/>
      <c r="C6" s="44" t="s">
        <v>92</v>
      </c>
      <c r="D6" s="44" t="s">
        <v>30</v>
      </c>
      <c r="E6" s="44" t="s">
        <v>35</v>
      </c>
      <c r="F6" s="44" t="s">
        <v>36</v>
      </c>
      <c r="G6" s="44">
        <v>19149</v>
      </c>
      <c r="H6" s="44" t="s">
        <v>37</v>
      </c>
      <c r="I6" s="44" t="s">
        <v>38</v>
      </c>
      <c r="J6" s="44" t="s">
        <v>40</v>
      </c>
      <c r="K6" s="44" t="s">
        <v>42</v>
      </c>
      <c r="L6" s="24"/>
      <c r="M6" s="24"/>
      <c r="N6" s="73">
        <v>1</v>
      </c>
      <c r="O6" s="73">
        <v>1</v>
      </c>
      <c r="P6" s="44" t="s">
        <v>44</v>
      </c>
      <c r="Q6" s="72">
        <v>1</v>
      </c>
      <c r="R6" s="41">
        <v>5000</v>
      </c>
      <c r="S6" s="41">
        <v>24000</v>
      </c>
      <c r="T6" s="43">
        <f t="shared" ref="T6:T10" si="0">U6/R6</f>
        <v>175</v>
      </c>
      <c r="U6" s="47">
        <v>875000</v>
      </c>
      <c r="V6" s="47"/>
      <c r="W6" s="47"/>
      <c r="X6" s="47"/>
      <c r="Y6" s="47">
        <v>266040</v>
      </c>
      <c r="Z6" s="48">
        <f>SUM(U6:Y6)</f>
        <v>1141040</v>
      </c>
      <c r="AA6" s="49"/>
      <c r="AB6" s="44" t="s">
        <v>48</v>
      </c>
      <c r="AC6" s="45" t="s">
        <v>45</v>
      </c>
      <c r="AD6" s="77" t="s">
        <v>88</v>
      </c>
      <c r="AE6" s="44"/>
    </row>
    <row r="7" spans="2:31" ht="26" x14ac:dyDescent="0.3">
      <c r="B7" s="23"/>
      <c r="C7" s="44" t="s">
        <v>92</v>
      </c>
      <c r="D7" s="44" t="s">
        <v>31</v>
      </c>
      <c r="E7" s="44" t="s">
        <v>35</v>
      </c>
      <c r="F7" s="44" t="s">
        <v>36</v>
      </c>
      <c r="G7" s="44">
        <v>19149</v>
      </c>
      <c r="H7" s="44" t="s">
        <v>37</v>
      </c>
      <c r="I7" s="44" t="s">
        <v>38</v>
      </c>
      <c r="J7" s="44" t="s">
        <v>40</v>
      </c>
      <c r="K7" s="44" t="s">
        <v>43</v>
      </c>
      <c r="L7" s="24"/>
      <c r="M7" s="24"/>
      <c r="N7" s="73">
        <v>1</v>
      </c>
      <c r="O7" s="73">
        <v>1</v>
      </c>
      <c r="P7" s="44" t="s">
        <v>49</v>
      </c>
      <c r="Q7" s="72">
        <v>1</v>
      </c>
      <c r="R7" s="41">
        <v>5000</v>
      </c>
      <c r="S7" s="41">
        <v>0</v>
      </c>
      <c r="T7" s="43">
        <f t="shared" si="0"/>
        <v>0</v>
      </c>
      <c r="U7" s="47">
        <v>0</v>
      </c>
      <c r="V7" s="47"/>
      <c r="W7" s="47"/>
      <c r="X7" s="47"/>
      <c r="Y7" s="47">
        <v>231888</v>
      </c>
      <c r="Z7" s="48">
        <f t="shared" ref="Z7:Z25" si="1">SUM(U7:Y7)</f>
        <v>231888</v>
      </c>
      <c r="AA7" s="49"/>
      <c r="AB7" s="44"/>
      <c r="AC7" s="45"/>
      <c r="AD7" s="77" t="s">
        <v>88</v>
      </c>
      <c r="AE7" s="44" t="s">
        <v>51</v>
      </c>
    </row>
    <row r="8" spans="2:31" x14ac:dyDescent="0.3">
      <c r="B8" s="23"/>
      <c r="C8" s="44" t="s">
        <v>93</v>
      </c>
      <c r="D8" s="44" t="s">
        <v>32</v>
      </c>
      <c r="E8" s="44" t="s">
        <v>35</v>
      </c>
      <c r="F8" s="44" t="s">
        <v>36</v>
      </c>
      <c r="G8" s="44">
        <v>19149</v>
      </c>
      <c r="H8" s="44" t="s">
        <v>37</v>
      </c>
      <c r="I8" s="44" t="s">
        <v>38</v>
      </c>
      <c r="J8" s="44" t="s">
        <v>40</v>
      </c>
      <c r="K8" s="44">
        <v>1951</v>
      </c>
      <c r="L8" s="24"/>
      <c r="M8" s="24"/>
      <c r="N8" s="73">
        <v>1</v>
      </c>
      <c r="O8" s="73">
        <v>1</v>
      </c>
      <c r="P8" s="44" t="s">
        <v>45</v>
      </c>
      <c r="Q8" s="72">
        <v>1</v>
      </c>
      <c r="R8" s="41">
        <v>1326</v>
      </c>
      <c r="S8" s="41"/>
      <c r="T8" s="43">
        <f t="shared" si="0"/>
        <v>175</v>
      </c>
      <c r="U8" s="47">
        <v>232050</v>
      </c>
      <c r="V8" s="47"/>
      <c r="W8" s="47"/>
      <c r="X8" s="47"/>
      <c r="Y8" s="47">
        <v>24995.040000000001</v>
      </c>
      <c r="Z8" s="48">
        <f t="shared" si="1"/>
        <v>257045.04</v>
      </c>
      <c r="AA8" s="49"/>
      <c r="AB8" s="44" t="s">
        <v>48</v>
      </c>
      <c r="AC8" s="45" t="s">
        <v>45</v>
      </c>
      <c r="AD8" s="77" t="s">
        <v>88</v>
      </c>
      <c r="AE8" s="44"/>
    </row>
    <row r="9" spans="2:31" ht="26" x14ac:dyDescent="0.3">
      <c r="B9" s="23"/>
      <c r="C9" s="44" t="s">
        <v>94</v>
      </c>
      <c r="D9" s="44" t="s">
        <v>33</v>
      </c>
      <c r="E9" s="44" t="s">
        <v>35</v>
      </c>
      <c r="F9" s="44" t="s">
        <v>36</v>
      </c>
      <c r="G9" s="44">
        <v>19149</v>
      </c>
      <c r="H9" s="44" t="s">
        <v>37</v>
      </c>
      <c r="I9" s="44" t="s">
        <v>39</v>
      </c>
      <c r="J9" s="44" t="s">
        <v>40</v>
      </c>
      <c r="K9" s="44">
        <v>1969</v>
      </c>
      <c r="L9" s="24"/>
      <c r="M9" s="24"/>
      <c r="N9" s="73">
        <v>1</v>
      </c>
      <c r="O9" s="73">
        <v>1</v>
      </c>
      <c r="P9" s="44" t="s">
        <v>90</v>
      </c>
      <c r="Q9" s="72">
        <v>1</v>
      </c>
      <c r="R9" s="41">
        <v>14821</v>
      </c>
      <c r="S9" s="41">
        <v>16080</v>
      </c>
      <c r="T9" s="43">
        <f t="shared" si="0"/>
        <v>175</v>
      </c>
      <c r="U9" s="47">
        <v>2593675</v>
      </c>
      <c r="V9" s="47"/>
      <c r="W9" s="47"/>
      <c r="X9" s="47"/>
      <c r="Y9" s="47">
        <v>247851.48</v>
      </c>
      <c r="Z9" s="48">
        <f t="shared" si="1"/>
        <v>2841526.48</v>
      </c>
      <c r="AA9" s="49">
        <v>1</v>
      </c>
      <c r="AB9" s="44" t="s">
        <v>52</v>
      </c>
      <c r="AC9" s="45" t="s">
        <v>53</v>
      </c>
      <c r="AD9" s="44"/>
      <c r="AE9" s="44"/>
    </row>
    <row r="10" spans="2:31" ht="26" x14ac:dyDescent="0.3">
      <c r="B10" s="23"/>
      <c r="C10" s="44" t="s">
        <v>95</v>
      </c>
      <c r="D10" s="44" t="s">
        <v>34</v>
      </c>
      <c r="E10" s="44" t="s">
        <v>35</v>
      </c>
      <c r="F10" s="44" t="s">
        <v>36</v>
      </c>
      <c r="G10" s="44">
        <v>19154</v>
      </c>
      <c r="H10" s="44" t="s">
        <v>37</v>
      </c>
      <c r="I10" s="44" t="s">
        <v>38</v>
      </c>
      <c r="J10" s="44" t="s">
        <v>41</v>
      </c>
      <c r="K10" s="44">
        <v>1970</v>
      </c>
      <c r="L10" s="24"/>
      <c r="M10" s="24"/>
      <c r="N10" s="73">
        <v>1</v>
      </c>
      <c r="O10" s="73">
        <v>1</v>
      </c>
      <c r="P10" s="44" t="s">
        <v>45</v>
      </c>
      <c r="Q10" s="72">
        <v>4</v>
      </c>
      <c r="R10" s="41">
        <v>8287</v>
      </c>
      <c r="S10" s="41"/>
      <c r="T10" s="43">
        <f t="shared" si="0"/>
        <v>175</v>
      </c>
      <c r="U10" s="47">
        <v>1450225</v>
      </c>
      <c r="V10" s="47"/>
      <c r="W10" s="47"/>
      <c r="X10" s="47"/>
      <c r="Y10" s="47">
        <v>71415.72</v>
      </c>
      <c r="Z10" s="48">
        <f t="shared" si="1"/>
        <v>1521640.72</v>
      </c>
      <c r="AA10" s="49"/>
      <c r="AB10" s="44" t="s">
        <v>48</v>
      </c>
      <c r="AC10" s="45" t="s">
        <v>53</v>
      </c>
      <c r="AD10" s="44" t="s">
        <v>229</v>
      </c>
      <c r="AE10" s="44"/>
    </row>
    <row r="11" spans="2:31" ht="39" x14ac:dyDescent="0.3">
      <c r="B11" s="23"/>
      <c r="C11" s="44" t="s">
        <v>96</v>
      </c>
      <c r="D11" s="44" t="s">
        <v>54</v>
      </c>
      <c r="E11" s="44" t="s">
        <v>35</v>
      </c>
      <c r="F11" s="44" t="s">
        <v>36</v>
      </c>
      <c r="G11" s="44">
        <v>19154</v>
      </c>
      <c r="H11" s="44" t="s">
        <v>37</v>
      </c>
      <c r="I11" s="44" t="s">
        <v>38</v>
      </c>
      <c r="J11" s="44" t="s">
        <v>40</v>
      </c>
      <c r="K11" s="44">
        <v>1963</v>
      </c>
      <c r="L11" s="24"/>
      <c r="M11" s="24"/>
      <c r="N11" s="73">
        <v>2</v>
      </c>
      <c r="O11" s="73">
        <v>7</v>
      </c>
      <c r="P11" s="44" t="s">
        <v>57</v>
      </c>
      <c r="Q11" s="72">
        <v>30</v>
      </c>
      <c r="R11" s="41">
        <v>73215</v>
      </c>
      <c r="S11" s="41">
        <v>190000</v>
      </c>
      <c r="T11" s="43">
        <f>U11/R11</f>
        <v>170.73004165813018</v>
      </c>
      <c r="U11" s="47">
        <v>12500000</v>
      </c>
      <c r="V11" s="47"/>
      <c r="W11" s="47"/>
      <c r="X11" s="47">
        <v>35000</v>
      </c>
      <c r="Y11" s="47">
        <v>1879264.44</v>
      </c>
      <c r="Z11" s="48">
        <f t="shared" si="1"/>
        <v>14414264.439999999</v>
      </c>
      <c r="AA11" s="49"/>
      <c r="AB11" s="44" t="s">
        <v>56</v>
      </c>
      <c r="AC11" s="45" t="s">
        <v>45</v>
      </c>
      <c r="AD11" s="44" t="s">
        <v>229</v>
      </c>
      <c r="AE11" s="44" t="s">
        <v>58</v>
      </c>
    </row>
    <row r="12" spans="2:31" ht="39" x14ac:dyDescent="0.3">
      <c r="B12" s="23"/>
      <c r="C12" s="44" t="s">
        <v>97</v>
      </c>
      <c r="D12" s="44" t="s">
        <v>59</v>
      </c>
      <c r="E12" s="44" t="s">
        <v>60</v>
      </c>
      <c r="F12" s="44" t="s">
        <v>36</v>
      </c>
      <c r="G12" s="44">
        <v>19020</v>
      </c>
      <c r="H12" s="44" t="s">
        <v>37</v>
      </c>
      <c r="I12" s="44" t="s">
        <v>38</v>
      </c>
      <c r="J12" s="44" t="s">
        <v>40</v>
      </c>
      <c r="K12" s="44">
        <v>1966</v>
      </c>
      <c r="L12" s="24"/>
      <c r="M12" s="24"/>
      <c r="N12" s="73">
        <v>1</v>
      </c>
      <c r="O12" s="73">
        <v>4</v>
      </c>
      <c r="P12" s="44" t="s">
        <v>91</v>
      </c>
      <c r="Q12" s="72">
        <v>13</v>
      </c>
      <c r="R12" s="41">
        <v>61572</v>
      </c>
      <c r="S12" s="41">
        <v>180000</v>
      </c>
      <c r="T12" s="43">
        <f t="shared" ref="T12:T25" si="2">U12/R12</f>
        <v>210.76323653608785</v>
      </c>
      <c r="U12" s="47">
        <v>12977114</v>
      </c>
      <c r="V12" s="47"/>
      <c r="W12" s="47"/>
      <c r="X12" s="47">
        <v>35000</v>
      </c>
      <c r="Y12" s="47">
        <v>1561099.32</v>
      </c>
      <c r="Z12" s="48">
        <f t="shared" si="1"/>
        <v>14573213.32</v>
      </c>
      <c r="AA12" s="49">
        <v>0.63</v>
      </c>
      <c r="AB12" s="44" t="s">
        <v>52</v>
      </c>
      <c r="AC12" s="45" t="s">
        <v>45</v>
      </c>
      <c r="AD12" s="44"/>
      <c r="AE12" s="44" t="s">
        <v>61</v>
      </c>
    </row>
    <row r="13" spans="2:31" ht="52" x14ac:dyDescent="0.3">
      <c r="B13" s="23"/>
      <c r="C13" s="44" t="s">
        <v>98</v>
      </c>
      <c r="D13" s="44" t="s">
        <v>62</v>
      </c>
      <c r="E13" s="44" t="s">
        <v>35</v>
      </c>
      <c r="F13" s="44" t="s">
        <v>36</v>
      </c>
      <c r="G13" s="44">
        <v>19146</v>
      </c>
      <c r="H13" s="44" t="s">
        <v>37</v>
      </c>
      <c r="I13" s="44" t="s">
        <v>38</v>
      </c>
      <c r="J13" s="44" t="s">
        <v>40</v>
      </c>
      <c r="K13" s="44">
        <v>1989</v>
      </c>
      <c r="L13" s="24"/>
      <c r="M13" s="24"/>
      <c r="N13" s="73">
        <v>1</v>
      </c>
      <c r="O13" s="73"/>
      <c r="P13" s="44" t="s">
        <v>90</v>
      </c>
      <c r="Q13" s="72">
        <v>11</v>
      </c>
      <c r="R13" s="41">
        <v>82305</v>
      </c>
      <c r="S13" s="41">
        <v>329700</v>
      </c>
      <c r="T13" s="43">
        <f t="shared" si="2"/>
        <v>194.60766660591702</v>
      </c>
      <c r="U13" s="47">
        <v>16017184</v>
      </c>
      <c r="V13" s="47"/>
      <c r="W13" s="47"/>
      <c r="X13" s="47">
        <v>35000</v>
      </c>
      <c r="Y13" s="47">
        <v>2279587.7999999998</v>
      </c>
      <c r="Z13" s="48">
        <f t="shared" si="1"/>
        <v>18331771.800000001</v>
      </c>
      <c r="AA13" s="49">
        <v>1</v>
      </c>
      <c r="AB13" s="44" t="s">
        <v>52</v>
      </c>
      <c r="AC13" s="45" t="s">
        <v>45</v>
      </c>
      <c r="AD13" s="44" t="s">
        <v>229</v>
      </c>
      <c r="AE13" s="44" t="s">
        <v>225</v>
      </c>
    </row>
    <row r="14" spans="2:31" x14ac:dyDescent="0.3">
      <c r="B14" s="23"/>
      <c r="C14" s="44" t="s">
        <v>99</v>
      </c>
      <c r="D14" s="44" t="s">
        <v>63</v>
      </c>
      <c r="E14" s="44" t="s">
        <v>35</v>
      </c>
      <c r="F14" s="44" t="s">
        <v>36</v>
      </c>
      <c r="G14" s="44">
        <v>19149</v>
      </c>
      <c r="H14" s="44" t="s">
        <v>37</v>
      </c>
      <c r="I14" s="44" t="s">
        <v>38</v>
      </c>
      <c r="J14" s="44" t="s">
        <v>40</v>
      </c>
      <c r="K14" s="44">
        <v>1958</v>
      </c>
      <c r="L14" s="24"/>
      <c r="M14" s="24"/>
      <c r="N14" s="73">
        <v>1</v>
      </c>
      <c r="O14" s="73"/>
      <c r="P14" s="44" t="s">
        <v>45</v>
      </c>
      <c r="Q14" s="72">
        <v>1</v>
      </c>
      <c r="R14" s="41">
        <v>22500</v>
      </c>
      <c r="S14" s="41">
        <v>63905</v>
      </c>
      <c r="T14" s="43">
        <f t="shared" si="2"/>
        <v>0</v>
      </c>
      <c r="U14" s="47"/>
      <c r="V14" s="47"/>
      <c r="W14" s="47"/>
      <c r="X14" s="47"/>
      <c r="Y14" s="47">
        <v>452274</v>
      </c>
      <c r="Z14" s="48">
        <f t="shared" si="1"/>
        <v>452274</v>
      </c>
      <c r="AA14" s="49"/>
      <c r="AB14" s="44"/>
      <c r="AC14" s="45" t="s">
        <v>45</v>
      </c>
      <c r="AD14" s="44"/>
      <c r="AE14" s="44" t="s">
        <v>64</v>
      </c>
    </row>
    <row r="15" spans="2:31" ht="26" x14ac:dyDescent="0.3">
      <c r="B15" s="23" t="s">
        <v>65</v>
      </c>
      <c r="C15" s="44" t="s">
        <v>100</v>
      </c>
      <c r="D15" s="44" t="s">
        <v>68</v>
      </c>
      <c r="E15" s="44" t="s">
        <v>71</v>
      </c>
      <c r="F15" s="44" t="s">
        <v>36</v>
      </c>
      <c r="G15" s="44">
        <v>19053</v>
      </c>
      <c r="H15" s="44" t="s">
        <v>37</v>
      </c>
      <c r="I15" s="44" t="s">
        <v>39</v>
      </c>
      <c r="J15" s="44" t="s">
        <v>72</v>
      </c>
      <c r="K15" s="44">
        <v>1978</v>
      </c>
      <c r="L15" s="24"/>
      <c r="M15" s="24"/>
      <c r="N15" s="73">
        <v>2</v>
      </c>
      <c r="O15" s="73">
        <v>1</v>
      </c>
      <c r="P15" s="44" t="s">
        <v>73</v>
      </c>
      <c r="Q15" s="72"/>
      <c r="R15" s="41">
        <v>15083</v>
      </c>
      <c r="S15" s="41"/>
      <c r="T15" s="43">
        <f t="shared" si="2"/>
        <v>347.68195982231651</v>
      </c>
      <c r="U15" s="47">
        <v>5244087</v>
      </c>
      <c r="V15" s="47"/>
      <c r="W15" s="47"/>
      <c r="X15" s="47"/>
      <c r="Y15" s="47">
        <v>415718.27999999997</v>
      </c>
      <c r="Z15" s="48">
        <f t="shared" si="1"/>
        <v>5659805.2800000003</v>
      </c>
      <c r="AA15" s="49"/>
      <c r="AB15" s="44"/>
      <c r="AC15" s="45" t="s">
        <v>53</v>
      </c>
      <c r="AD15" s="44" t="s">
        <v>229</v>
      </c>
      <c r="AE15" s="44"/>
    </row>
    <row r="16" spans="2:31" ht="26" x14ac:dyDescent="0.3">
      <c r="B16" s="23" t="s">
        <v>66</v>
      </c>
      <c r="C16" s="44" t="s">
        <v>100</v>
      </c>
      <c r="D16" s="44" t="s">
        <v>69</v>
      </c>
      <c r="E16" s="44" t="s">
        <v>71</v>
      </c>
      <c r="F16" s="44" t="s">
        <v>36</v>
      </c>
      <c r="G16" s="44">
        <v>19053</v>
      </c>
      <c r="H16" s="44" t="s">
        <v>37</v>
      </c>
      <c r="I16" s="44" t="s">
        <v>39</v>
      </c>
      <c r="J16" s="44" t="s">
        <v>72</v>
      </c>
      <c r="K16" s="44">
        <v>1978</v>
      </c>
      <c r="L16" s="24"/>
      <c r="M16" s="24"/>
      <c r="N16" s="73">
        <v>1</v>
      </c>
      <c r="O16" s="73">
        <v>1</v>
      </c>
      <c r="P16" s="44" t="s">
        <v>74</v>
      </c>
      <c r="Q16" s="72"/>
      <c r="R16" s="41">
        <v>12978</v>
      </c>
      <c r="S16" s="41"/>
      <c r="T16" s="43">
        <f t="shared" si="2"/>
        <v>347.6820003082139</v>
      </c>
      <c r="U16" s="47">
        <v>4512217</v>
      </c>
      <c r="V16" s="47"/>
      <c r="W16" s="47"/>
      <c r="X16" s="47"/>
      <c r="Y16" s="47">
        <v>318525.3</v>
      </c>
      <c r="Z16" s="48">
        <f t="shared" si="1"/>
        <v>4830742.3</v>
      </c>
      <c r="AA16" s="49"/>
      <c r="AB16" s="44"/>
      <c r="AC16" s="45" t="s">
        <v>53</v>
      </c>
      <c r="AD16" s="44" t="s">
        <v>229</v>
      </c>
      <c r="AE16" s="44"/>
    </row>
    <row r="17" spans="2:31" ht="26" x14ac:dyDescent="0.3">
      <c r="B17" s="23" t="s">
        <v>67</v>
      </c>
      <c r="C17" s="44" t="s">
        <v>100</v>
      </c>
      <c r="D17" s="44" t="s">
        <v>70</v>
      </c>
      <c r="E17" s="44" t="s">
        <v>71</v>
      </c>
      <c r="F17" s="44" t="s">
        <v>36</v>
      </c>
      <c r="G17" s="44">
        <v>19053</v>
      </c>
      <c r="H17" s="44" t="s">
        <v>37</v>
      </c>
      <c r="I17" s="44" t="s">
        <v>39</v>
      </c>
      <c r="J17" s="44" t="s">
        <v>72</v>
      </c>
      <c r="K17" s="44">
        <v>1978</v>
      </c>
      <c r="L17" s="24"/>
      <c r="M17" s="24"/>
      <c r="N17" s="73">
        <v>1</v>
      </c>
      <c r="O17" s="73">
        <v>1</v>
      </c>
      <c r="P17" s="44" t="s">
        <v>76</v>
      </c>
      <c r="Q17" s="72"/>
      <c r="R17" s="41">
        <v>18000</v>
      </c>
      <c r="S17" s="41"/>
      <c r="T17" s="43">
        <f t="shared" si="2"/>
        <v>347.70972222222224</v>
      </c>
      <c r="U17" s="47">
        <v>6258775</v>
      </c>
      <c r="V17" s="47"/>
      <c r="W17" s="47"/>
      <c r="X17" s="47"/>
      <c r="Y17" s="47">
        <v>326250</v>
      </c>
      <c r="Z17" s="48">
        <f t="shared" si="1"/>
        <v>6585025</v>
      </c>
      <c r="AA17" s="49"/>
      <c r="AB17" s="44"/>
      <c r="AC17" s="45" t="s">
        <v>53</v>
      </c>
      <c r="AD17" s="44" t="s">
        <v>230</v>
      </c>
      <c r="AE17" s="44"/>
    </row>
    <row r="18" spans="2:31" ht="26" x14ac:dyDescent="0.3">
      <c r="B18" s="23">
        <v>1</v>
      </c>
      <c r="C18" s="44" t="s">
        <v>101</v>
      </c>
      <c r="D18" s="44" t="s">
        <v>77</v>
      </c>
      <c r="E18" s="44" t="s">
        <v>71</v>
      </c>
      <c r="F18" s="44" t="s">
        <v>36</v>
      </c>
      <c r="G18" s="44">
        <v>19053</v>
      </c>
      <c r="H18" s="44" t="s">
        <v>37</v>
      </c>
      <c r="I18" s="44" t="s">
        <v>39</v>
      </c>
      <c r="J18" s="44" t="s">
        <v>41</v>
      </c>
      <c r="K18" s="44">
        <v>1977</v>
      </c>
      <c r="L18" s="24"/>
      <c r="M18" s="24"/>
      <c r="N18" s="74">
        <v>3</v>
      </c>
      <c r="O18" s="73">
        <v>1</v>
      </c>
      <c r="P18" s="44" t="s">
        <v>73</v>
      </c>
      <c r="Q18" s="72"/>
      <c r="R18" s="41">
        <v>41821</v>
      </c>
      <c r="S18" s="41"/>
      <c r="T18" s="43">
        <f t="shared" si="2"/>
        <v>145.77594988163841</v>
      </c>
      <c r="U18" s="47">
        <v>6096496</v>
      </c>
      <c r="V18" s="47"/>
      <c r="W18" s="47"/>
      <c r="X18" s="47"/>
      <c r="Y18" s="47">
        <v>371177.04</v>
      </c>
      <c r="Z18" s="48">
        <f t="shared" si="1"/>
        <v>6467673.04</v>
      </c>
      <c r="AA18" s="49"/>
      <c r="AB18" s="44"/>
      <c r="AC18" s="45" t="s">
        <v>53</v>
      </c>
      <c r="AD18" s="44" t="s">
        <v>230</v>
      </c>
      <c r="AE18" s="44" t="s">
        <v>80</v>
      </c>
    </row>
    <row r="19" spans="2:31" ht="26" x14ac:dyDescent="0.3">
      <c r="B19" s="23">
        <v>2</v>
      </c>
      <c r="C19" s="44" t="s">
        <v>101</v>
      </c>
      <c r="D19" s="44" t="s">
        <v>78</v>
      </c>
      <c r="E19" s="44" t="s">
        <v>71</v>
      </c>
      <c r="F19" s="44" t="s">
        <v>36</v>
      </c>
      <c r="G19" s="44">
        <v>19053</v>
      </c>
      <c r="H19" s="44" t="s">
        <v>37</v>
      </c>
      <c r="I19" s="44" t="s">
        <v>39</v>
      </c>
      <c r="J19" s="44" t="s">
        <v>41</v>
      </c>
      <c r="K19" s="44">
        <v>1979</v>
      </c>
      <c r="L19" s="24"/>
      <c r="M19" s="24"/>
      <c r="N19" s="74">
        <v>3</v>
      </c>
      <c r="O19" s="73">
        <v>1</v>
      </c>
      <c r="P19" s="44" t="s">
        <v>73</v>
      </c>
      <c r="Q19" s="72"/>
      <c r="R19" s="41">
        <v>49020</v>
      </c>
      <c r="S19" s="41"/>
      <c r="T19" s="43">
        <f t="shared" si="2"/>
        <v>145.77594859241125</v>
      </c>
      <c r="U19" s="47">
        <v>7145937</v>
      </c>
      <c r="V19" s="47"/>
      <c r="W19" s="47"/>
      <c r="X19" s="47"/>
      <c r="Y19" s="47">
        <v>573110.76</v>
      </c>
      <c r="Z19" s="48">
        <f t="shared" si="1"/>
        <v>7719047.7599999998</v>
      </c>
      <c r="AA19" s="49"/>
      <c r="AB19" s="24"/>
      <c r="AC19" s="45" t="s">
        <v>53</v>
      </c>
      <c r="AD19" s="44" t="s">
        <v>230</v>
      </c>
      <c r="AE19" s="44" t="s">
        <v>80</v>
      </c>
    </row>
    <row r="20" spans="2:31" ht="26" x14ac:dyDescent="0.3">
      <c r="B20" s="23">
        <v>4</v>
      </c>
      <c r="C20" s="44" t="s">
        <v>101</v>
      </c>
      <c r="D20" s="44" t="s">
        <v>79</v>
      </c>
      <c r="E20" s="44" t="s">
        <v>71</v>
      </c>
      <c r="F20" s="44" t="s">
        <v>36</v>
      </c>
      <c r="G20" s="44">
        <v>19053</v>
      </c>
      <c r="H20" s="44" t="s">
        <v>37</v>
      </c>
      <c r="I20" s="44" t="s">
        <v>39</v>
      </c>
      <c r="J20" s="44" t="s">
        <v>41</v>
      </c>
      <c r="K20" s="44">
        <v>1981</v>
      </c>
      <c r="L20" s="24"/>
      <c r="M20" s="24"/>
      <c r="N20" s="74">
        <v>3</v>
      </c>
      <c r="O20" s="73">
        <v>1</v>
      </c>
      <c r="P20" s="44" t="s">
        <v>73</v>
      </c>
      <c r="Q20" s="72"/>
      <c r="R20" s="41">
        <v>48794</v>
      </c>
      <c r="S20" s="41"/>
      <c r="T20" s="43">
        <f t="shared" si="2"/>
        <v>145.77595606017132</v>
      </c>
      <c r="U20" s="47">
        <v>7112992</v>
      </c>
      <c r="V20" s="47"/>
      <c r="W20" s="47"/>
      <c r="X20" s="47"/>
      <c r="Y20" s="47">
        <v>791371.67999999993</v>
      </c>
      <c r="Z20" s="48">
        <f t="shared" si="1"/>
        <v>7904363.6799999997</v>
      </c>
      <c r="AA20" s="49"/>
      <c r="AB20" s="24"/>
      <c r="AC20" s="45" t="s">
        <v>53</v>
      </c>
      <c r="AD20" s="44" t="s">
        <v>230</v>
      </c>
      <c r="AE20" s="44" t="s">
        <v>80</v>
      </c>
    </row>
    <row r="21" spans="2:31" ht="39" x14ac:dyDescent="0.3">
      <c r="B21" s="23"/>
      <c r="C21" s="44" t="s">
        <v>102</v>
      </c>
      <c r="D21" s="44" t="s">
        <v>81</v>
      </c>
      <c r="E21" s="44" t="s">
        <v>71</v>
      </c>
      <c r="F21" s="44" t="s">
        <v>36</v>
      </c>
      <c r="G21" s="44">
        <v>19053</v>
      </c>
      <c r="H21" s="44" t="s">
        <v>37</v>
      </c>
      <c r="I21" s="44" t="s">
        <v>39</v>
      </c>
      <c r="J21" s="44" t="s">
        <v>41</v>
      </c>
      <c r="K21" s="44">
        <v>1986</v>
      </c>
      <c r="L21" s="24"/>
      <c r="M21" s="24"/>
      <c r="N21" s="74">
        <v>6</v>
      </c>
      <c r="O21" s="73">
        <v>1</v>
      </c>
      <c r="P21" s="44" t="s">
        <v>76</v>
      </c>
      <c r="Q21" s="72"/>
      <c r="R21" s="41">
        <v>107890</v>
      </c>
      <c r="S21" s="41"/>
      <c r="T21" s="43">
        <f t="shared" si="2"/>
        <v>347.68196311057557</v>
      </c>
      <c r="U21" s="47">
        <v>37511407</v>
      </c>
      <c r="V21" s="47">
        <v>40000</v>
      </c>
      <c r="W21" s="47">
        <v>25000</v>
      </c>
      <c r="X21" s="47">
        <v>43500</v>
      </c>
      <c r="Y21" s="47">
        <v>2742947.46</v>
      </c>
      <c r="Z21" s="48">
        <f t="shared" si="1"/>
        <v>40362854.460000001</v>
      </c>
      <c r="AA21" s="49">
        <v>1</v>
      </c>
      <c r="AB21" s="24"/>
      <c r="AC21" s="45" t="s">
        <v>45</v>
      </c>
      <c r="AD21" s="44" t="s">
        <v>230</v>
      </c>
      <c r="AE21" s="44" t="s">
        <v>84</v>
      </c>
    </row>
    <row r="22" spans="2:31" ht="39" x14ac:dyDescent="0.3">
      <c r="B22" s="23"/>
      <c r="C22" s="44" t="s">
        <v>103</v>
      </c>
      <c r="D22" s="44" t="s">
        <v>82</v>
      </c>
      <c r="E22" s="44" t="s">
        <v>71</v>
      </c>
      <c r="F22" s="44" t="s">
        <v>36</v>
      </c>
      <c r="G22" s="44">
        <v>19053</v>
      </c>
      <c r="H22" s="44" t="s">
        <v>37</v>
      </c>
      <c r="I22" s="44" t="s">
        <v>39</v>
      </c>
      <c r="J22" s="44" t="s">
        <v>41</v>
      </c>
      <c r="K22" s="44">
        <v>1984</v>
      </c>
      <c r="L22" s="24"/>
      <c r="M22" s="24"/>
      <c r="N22" s="74">
        <v>3</v>
      </c>
      <c r="O22" s="73">
        <v>1</v>
      </c>
      <c r="P22" s="44" t="s">
        <v>73</v>
      </c>
      <c r="Q22" s="72"/>
      <c r="R22" s="41">
        <v>54008</v>
      </c>
      <c r="S22" s="41"/>
      <c r="T22" s="43">
        <f t="shared" si="2"/>
        <v>347.68195452525549</v>
      </c>
      <c r="U22" s="47">
        <v>18777607</v>
      </c>
      <c r="V22" s="47"/>
      <c r="W22" s="47"/>
      <c r="X22" s="47"/>
      <c r="Y22" s="47">
        <v>823261.5</v>
      </c>
      <c r="Z22" s="48">
        <f t="shared" si="1"/>
        <v>19600868.5</v>
      </c>
      <c r="AA22" s="49"/>
      <c r="AB22" s="24"/>
      <c r="AC22" s="45" t="s">
        <v>53</v>
      </c>
      <c r="AD22" s="44" t="s">
        <v>230</v>
      </c>
      <c r="AE22" s="44" t="s">
        <v>84</v>
      </c>
    </row>
    <row r="23" spans="2:31" ht="26" x14ac:dyDescent="0.3">
      <c r="B23" s="23"/>
      <c r="C23" s="44" t="s">
        <v>104</v>
      </c>
      <c r="D23" s="44" t="s">
        <v>82</v>
      </c>
      <c r="E23" s="44" t="s">
        <v>71</v>
      </c>
      <c r="F23" s="44" t="s">
        <v>36</v>
      </c>
      <c r="G23" s="44">
        <v>19053</v>
      </c>
      <c r="H23" s="44" t="s">
        <v>37</v>
      </c>
      <c r="I23" s="44" t="s">
        <v>39</v>
      </c>
      <c r="J23" s="44" t="s">
        <v>41</v>
      </c>
      <c r="K23" s="44"/>
      <c r="L23" s="24"/>
      <c r="M23" s="24"/>
      <c r="N23" s="74" t="s">
        <v>88</v>
      </c>
      <c r="O23" s="73"/>
      <c r="P23" s="44" t="s">
        <v>73</v>
      </c>
      <c r="Q23" s="72"/>
      <c r="R23" s="41" t="s">
        <v>87</v>
      </c>
      <c r="S23" s="41"/>
      <c r="T23" s="43"/>
      <c r="U23" s="47">
        <v>0</v>
      </c>
      <c r="V23" s="47">
        <v>250000</v>
      </c>
      <c r="W23" s="47"/>
      <c r="X23" s="47"/>
      <c r="Y23" s="47">
        <v>271260</v>
      </c>
      <c r="Z23" s="48">
        <f t="shared" si="1"/>
        <v>521260</v>
      </c>
      <c r="AA23" s="49"/>
      <c r="AB23" s="24"/>
      <c r="AC23" s="45" t="s">
        <v>45</v>
      </c>
      <c r="AD23" s="44" t="s">
        <v>230</v>
      </c>
      <c r="AE23" s="24"/>
    </row>
    <row r="24" spans="2:31" ht="26" x14ac:dyDescent="0.3">
      <c r="B24" s="23"/>
      <c r="C24" s="44" t="s">
        <v>105</v>
      </c>
      <c r="D24" s="44" t="s">
        <v>85</v>
      </c>
      <c r="E24" s="44" t="s">
        <v>71</v>
      </c>
      <c r="F24" s="44" t="s">
        <v>36</v>
      </c>
      <c r="G24" s="44">
        <v>19053</v>
      </c>
      <c r="H24" s="44" t="s">
        <v>37</v>
      </c>
      <c r="I24" s="44" t="s">
        <v>39</v>
      </c>
      <c r="J24" s="44" t="s">
        <v>41</v>
      </c>
      <c r="K24" s="44">
        <v>1987</v>
      </c>
      <c r="L24" s="24"/>
      <c r="M24" s="24"/>
      <c r="N24" s="74">
        <v>4</v>
      </c>
      <c r="O24" s="73">
        <v>1</v>
      </c>
      <c r="P24" s="44" t="s">
        <v>75</v>
      </c>
      <c r="Q24" s="72"/>
      <c r="R24" s="41">
        <v>61508</v>
      </c>
      <c r="S24" s="41"/>
      <c r="T24" s="43">
        <f t="shared" si="2"/>
        <v>347.68196007023477</v>
      </c>
      <c r="U24" s="47">
        <v>21385222</v>
      </c>
      <c r="V24" s="47"/>
      <c r="W24" s="47"/>
      <c r="X24" s="47"/>
      <c r="Y24" s="47">
        <v>1353765.5999999999</v>
      </c>
      <c r="Z24" s="48">
        <f t="shared" si="1"/>
        <v>22738987.600000001</v>
      </c>
      <c r="AA24" s="49"/>
      <c r="AB24" s="24"/>
      <c r="AC24" s="45" t="s">
        <v>45</v>
      </c>
      <c r="AD24" s="44" t="s">
        <v>230</v>
      </c>
      <c r="AE24" s="24"/>
    </row>
    <row r="25" spans="2:31" ht="39" x14ac:dyDescent="0.3">
      <c r="B25" s="23"/>
      <c r="C25" s="44" t="s">
        <v>106</v>
      </c>
      <c r="D25" s="44" t="s">
        <v>86</v>
      </c>
      <c r="E25" s="44" t="s">
        <v>71</v>
      </c>
      <c r="F25" s="44" t="s">
        <v>36</v>
      </c>
      <c r="G25" s="44">
        <v>19053</v>
      </c>
      <c r="H25" s="44" t="s">
        <v>37</v>
      </c>
      <c r="I25" s="44" t="s">
        <v>39</v>
      </c>
      <c r="J25" s="44" t="s">
        <v>41</v>
      </c>
      <c r="K25" s="44">
        <v>1988</v>
      </c>
      <c r="L25" s="24"/>
      <c r="M25" s="24"/>
      <c r="N25" s="74">
        <v>4</v>
      </c>
      <c r="O25" s="73">
        <v>1</v>
      </c>
      <c r="P25" s="44" t="s">
        <v>75</v>
      </c>
      <c r="Q25" s="72"/>
      <c r="R25" s="41">
        <v>127848</v>
      </c>
      <c r="S25" s="41">
        <v>57912</v>
      </c>
      <c r="T25" s="43">
        <f t="shared" si="2"/>
        <v>347.68196608472562</v>
      </c>
      <c r="U25" s="47">
        <v>44450444</v>
      </c>
      <c r="V25" s="47">
        <v>150000</v>
      </c>
      <c r="W25" s="47"/>
      <c r="X25" s="47"/>
      <c r="Y25" s="47">
        <v>2187109.98</v>
      </c>
      <c r="Z25" s="48">
        <f t="shared" si="1"/>
        <v>46787553.979999997</v>
      </c>
      <c r="AA25" s="49"/>
      <c r="AB25" s="24"/>
      <c r="AC25" s="45" t="s">
        <v>45</v>
      </c>
      <c r="AD25" s="44" t="s">
        <v>230</v>
      </c>
      <c r="AE25" s="24"/>
    </row>
    <row r="26" spans="2:31" ht="39" x14ac:dyDescent="0.3">
      <c r="B26" s="23"/>
      <c r="C26" s="44" t="s">
        <v>26</v>
      </c>
      <c r="D26" s="44" t="s">
        <v>115</v>
      </c>
      <c r="E26" s="44" t="s">
        <v>116</v>
      </c>
      <c r="F26" s="44" t="s">
        <v>117</v>
      </c>
      <c r="G26" s="44">
        <v>8006</v>
      </c>
      <c r="H26" s="44" t="s">
        <v>37</v>
      </c>
      <c r="I26" s="44" t="s">
        <v>39</v>
      </c>
      <c r="J26" s="44" t="s">
        <v>118</v>
      </c>
      <c r="K26" s="44"/>
      <c r="L26" s="24"/>
      <c r="M26" s="24"/>
      <c r="N26" s="74"/>
      <c r="O26" s="73"/>
      <c r="P26" s="44"/>
      <c r="Q26" s="72"/>
      <c r="R26" s="41"/>
      <c r="S26" s="42"/>
      <c r="T26" s="43"/>
      <c r="U26" s="51"/>
      <c r="V26" s="47"/>
      <c r="W26" s="47"/>
      <c r="X26" s="47"/>
      <c r="Y26" s="47"/>
      <c r="Z26" s="48"/>
      <c r="AA26" s="49"/>
      <c r="AB26" s="24"/>
      <c r="AC26" s="45"/>
      <c r="AD26" s="44"/>
      <c r="AE26" s="24" t="s">
        <v>119</v>
      </c>
    </row>
    <row r="27" spans="2:31" x14ac:dyDescent="0.3">
      <c r="B27" s="23"/>
      <c r="C27" s="44" t="s">
        <v>27</v>
      </c>
      <c r="D27" s="44" t="s">
        <v>120</v>
      </c>
      <c r="E27" s="44" t="s">
        <v>35</v>
      </c>
      <c r="F27" s="44" t="s">
        <v>36</v>
      </c>
      <c r="G27" s="44">
        <v>19153</v>
      </c>
      <c r="H27" s="44" t="s">
        <v>37</v>
      </c>
      <c r="I27" s="44" t="s">
        <v>38</v>
      </c>
      <c r="J27" s="44" t="s">
        <v>40</v>
      </c>
      <c r="K27" s="44"/>
      <c r="L27" s="24"/>
      <c r="M27" s="24"/>
      <c r="N27" s="74">
        <v>1</v>
      </c>
      <c r="O27" s="73"/>
      <c r="P27" s="44" t="s">
        <v>45</v>
      </c>
      <c r="Q27" s="72"/>
      <c r="R27" s="41">
        <v>2280</v>
      </c>
      <c r="S27" s="42"/>
      <c r="T27" s="43">
        <f>U27/R27</f>
        <v>213.05263157894737</v>
      </c>
      <c r="U27" s="51">
        <v>485760</v>
      </c>
      <c r="V27" s="47"/>
      <c r="W27" s="47"/>
      <c r="X27" s="47">
        <v>33500</v>
      </c>
      <c r="Y27" s="47">
        <v>48000</v>
      </c>
      <c r="Z27" s="48">
        <f>SUM(U27:Y27)</f>
        <v>567260</v>
      </c>
      <c r="AA27" s="49">
        <v>0</v>
      </c>
      <c r="AB27" s="24"/>
      <c r="AC27" s="45" t="s">
        <v>45</v>
      </c>
      <c r="AD27" s="44"/>
      <c r="AE27" s="40" t="s">
        <v>121</v>
      </c>
    </row>
    <row r="28" spans="2:31" x14ac:dyDescent="0.3">
      <c r="B28" s="23"/>
      <c r="C28" s="44" t="s">
        <v>28</v>
      </c>
      <c r="D28" s="44" t="s">
        <v>122</v>
      </c>
      <c r="E28" s="44" t="s">
        <v>71</v>
      </c>
      <c r="F28" s="44" t="s">
        <v>36</v>
      </c>
      <c r="G28" s="44">
        <v>19053</v>
      </c>
      <c r="H28" s="44" t="s">
        <v>37</v>
      </c>
      <c r="I28" s="44"/>
      <c r="J28" s="44"/>
      <c r="K28" s="44"/>
      <c r="L28" s="24"/>
      <c r="M28" s="24"/>
      <c r="N28" s="74"/>
      <c r="O28" s="73"/>
      <c r="P28" s="44"/>
      <c r="Q28" s="72"/>
      <c r="R28" s="41"/>
      <c r="S28" s="42"/>
      <c r="T28" s="43"/>
      <c r="U28" s="51"/>
      <c r="V28" s="47"/>
      <c r="W28" s="47"/>
      <c r="X28" s="47"/>
      <c r="Y28" s="47"/>
      <c r="Z28" s="48"/>
      <c r="AA28" s="49"/>
      <c r="AB28" s="24"/>
      <c r="AC28" s="45"/>
      <c r="AD28" s="44"/>
      <c r="AE28" s="40" t="s">
        <v>123</v>
      </c>
    </row>
    <row r="29" spans="2:31" ht="39" x14ac:dyDescent="0.3">
      <c r="B29" s="23"/>
      <c r="C29" s="44" t="s">
        <v>29</v>
      </c>
      <c r="D29" s="44" t="s">
        <v>124</v>
      </c>
      <c r="E29" s="44" t="s">
        <v>125</v>
      </c>
      <c r="F29" s="44" t="s">
        <v>36</v>
      </c>
      <c r="G29" s="44">
        <v>19444</v>
      </c>
      <c r="H29" s="44" t="s">
        <v>37</v>
      </c>
      <c r="I29" s="44" t="s">
        <v>111</v>
      </c>
      <c r="J29" s="44" t="s">
        <v>40</v>
      </c>
      <c r="K29" s="44">
        <v>1976</v>
      </c>
      <c r="L29" s="24"/>
      <c r="M29" s="24"/>
      <c r="N29" s="74"/>
      <c r="O29" s="73">
        <v>2</v>
      </c>
      <c r="P29" s="44" t="s">
        <v>45</v>
      </c>
      <c r="Q29" s="72"/>
      <c r="R29" s="41">
        <v>19969</v>
      </c>
      <c r="S29" s="42"/>
      <c r="T29" s="43">
        <f>U29/R29</f>
        <v>175.91506835595172</v>
      </c>
      <c r="U29" s="51">
        <v>3512848</v>
      </c>
      <c r="V29" s="51"/>
      <c r="W29" s="51"/>
      <c r="X29" s="51"/>
      <c r="Y29" s="51">
        <v>442900</v>
      </c>
      <c r="Z29" s="48">
        <f>SUM(U29:Y29)</f>
        <v>3955748</v>
      </c>
      <c r="AA29" s="49"/>
      <c r="AB29" s="24" t="s">
        <v>127</v>
      </c>
      <c r="AC29" s="45" t="s">
        <v>45</v>
      </c>
      <c r="AD29" s="44" t="s">
        <v>231</v>
      </c>
      <c r="AE29" s="39" t="s">
        <v>126</v>
      </c>
    </row>
    <row r="30" spans="2:31" x14ac:dyDescent="0.3">
      <c r="B30" s="23"/>
      <c r="C30" s="20" t="s">
        <v>107</v>
      </c>
      <c r="D30" s="44" t="s">
        <v>226</v>
      </c>
      <c r="E30" s="44" t="s">
        <v>108</v>
      </c>
      <c r="F30" s="44" t="s">
        <v>109</v>
      </c>
      <c r="G30" s="44">
        <v>19002</v>
      </c>
      <c r="H30" s="44" t="s">
        <v>37</v>
      </c>
      <c r="I30" s="59" t="s">
        <v>111</v>
      </c>
      <c r="J30" s="20" t="s">
        <v>114</v>
      </c>
      <c r="K30" s="24">
        <v>1930</v>
      </c>
      <c r="L30" s="24"/>
      <c r="M30" s="24"/>
      <c r="N30" s="73">
        <v>2</v>
      </c>
      <c r="O30" s="73">
        <v>1</v>
      </c>
      <c r="P30" s="24" t="s">
        <v>45</v>
      </c>
      <c r="Q30" s="72">
        <v>2</v>
      </c>
      <c r="R30" s="41">
        <v>1800</v>
      </c>
      <c r="S30" s="34"/>
      <c r="T30" s="43">
        <f>U30/R30</f>
        <v>199.40179461615153</v>
      </c>
      <c r="U30" s="50">
        <v>358923.23030907277</v>
      </c>
      <c r="V30" s="79"/>
      <c r="W30" s="25"/>
      <c r="X30" s="25"/>
      <c r="Y30" s="25">
        <v>32400</v>
      </c>
      <c r="Z30" s="48">
        <f t="shared" ref="Z30:Z32" si="3">SUM(U30:Y30)</f>
        <v>391323.23030907277</v>
      </c>
      <c r="AA30" s="49"/>
      <c r="AB30" s="24" t="s">
        <v>56</v>
      </c>
      <c r="AC30" s="45"/>
      <c r="AD30" s="78"/>
      <c r="AE30" s="24"/>
    </row>
    <row r="31" spans="2:31" x14ac:dyDescent="0.3">
      <c r="B31" s="23"/>
      <c r="C31" s="20" t="s">
        <v>107</v>
      </c>
      <c r="D31" s="44" t="s">
        <v>110</v>
      </c>
      <c r="E31" s="44" t="s">
        <v>108</v>
      </c>
      <c r="F31" s="44" t="s">
        <v>109</v>
      </c>
      <c r="G31" s="44">
        <v>19002</v>
      </c>
      <c r="H31" s="44" t="s">
        <v>37</v>
      </c>
      <c r="I31" s="59" t="s">
        <v>111</v>
      </c>
      <c r="J31" s="20" t="s">
        <v>112</v>
      </c>
      <c r="K31" s="24">
        <v>1925</v>
      </c>
      <c r="L31" s="24"/>
      <c r="M31" s="24"/>
      <c r="N31" s="73">
        <v>1</v>
      </c>
      <c r="O31" s="73">
        <v>1</v>
      </c>
      <c r="P31" s="24" t="s">
        <v>45</v>
      </c>
      <c r="Q31" s="72">
        <v>6</v>
      </c>
      <c r="R31" s="75">
        <v>7575</v>
      </c>
      <c r="S31" s="34"/>
      <c r="T31" s="43">
        <f t="shared" ref="T31:T32" si="4">U31/R31</f>
        <v>199.40179461615153</v>
      </c>
      <c r="U31" s="50">
        <v>1510468.5942173479</v>
      </c>
      <c r="V31" s="79"/>
      <c r="W31" s="25"/>
      <c r="X31" s="25"/>
      <c r="Y31" s="25">
        <v>119250</v>
      </c>
      <c r="Z31" s="48">
        <f t="shared" si="3"/>
        <v>1629718.5942173479</v>
      </c>
      <c r="AA31" s="49"/>
      <c r="AB31" s="24" t="s">
        <v>232</v>
      </c>
      <c r="AC31" s="45"/>
      <c r="AD31" s="78"/>
      <c r="AE31" s="24"/>
    </row>
    <row r="32" spans="2:31" x14ac:dyDescent="0.3">
      <c r="B32" s="23"/>
      <c r="C32" s="20" t="s">
        <v>107</v>
      </c>
      <c r="D32" s="44" t="s">
        <v>227</v>
      </c>
      <c r="E32" s="44" t="s">
        <v>108</v>
      </c>
      <c r="F32" s="44" t="s">
        <v>109</v>
      </c>
      <c r="G32" s="44">
        <v>19002</v>
      </c>
      <c r="H32" s="44" t="s">
        <v>37</v>
      </c>
      <c r="I32" s="59" t="s">
        <v>111</v>
      </c>
      <c r="J32" s="20" t="s">
        <v>113</v>
      </c>
      <c r="K32" s="24">
        <v>1945</v>
      </c>
      <c r="L32" s="24"/>
      <c r="M32" s="24"/>
      <c r="N32" s="73">
        <v>2</v>
      </c>
      <c r="O32" s="73">
        <v>1</v>
      </c>
      <c r="P32" s="24" t="s">
        <v>45</v>
      </c>
      <c r="Q32" s="72">
        <v>5</v>
      </c>
      <c r="R32" s="75">
        <v>5670</v>
      </c>
      <c r="S32" s="34"/>
      <c r="T32" s="43">
        <f t="shared" si="4"/>
        <v>199.40179461615156</v>
      </c>
      <c r="U32" s="50">
        <v>1130608.1754735794</v>
      </c>
      <c r="V32" s="79"/>
      <c r="W32" s="25"/>
      <c r="X32" s="25"/>
      <c r="Y32" s="25">
        <v>103550</v>
      </c>
      <c r="Z32" s="48">
        <f t="shared" si="3"/>
        <v>1234158.1754735794</v>
      </c>
      <c r="AA32" s="49"/>
      <c r="AB32" s="24" t="s">
        <v>45</v>
      </c>
      <c r="AC32" s="45"/>
      <c r="AD32" s="78"/>
      <c r="AE32" s="24"/>
    </row>
    <row r="33" spans="2:31" x14ac:dyDescent="0.3">
      <c r="B33" s="23"/>
      <c r="C33" s="35"/>
      <c r="D33" s="19"/>
      <c r="E33" s="20"/>
      <c r="F33" s="20"/>
      <c r="G33" s="59"/>
      <c r="H33" s="59"/>
      <c r="I33" s="59"/>
      <c r="J33" s="20"/>
      <c r="K33" s="24"/>
      <c r="L33" s="24"/>
      <c r="M33" s="24"/>
      <c r="N33" s="73"/>
      <c r="O33" s="73"/>
      <c r="P33" s="24"/>
      <c r="Q33" s="72"/>
      <c r="R33" s="23"/>
      <c r="S33" s="34"/>
      <c r="T33" s="43"/>
      <c r="U33" s="25"/>
      <c r="V33" s="25"/>
      <c r="W33" s="25"/>
      <c r="X33" s="25"/>
      <c r="Y33" s="25"/>
      <c r="Z33" s="48"/>
      <c r="AA33" s="49"/>
      <c r="AB33" s="24"/>
      <c r="AC33" s="45"/>
      <c r="AD33" s="78"/>
      <c r="AE33" s="24"/>
    </row>
    <row r="34" spans="2:31" ht="14.5" x14ac:dyDescent="0.35"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31">
        <f t="shared" ref="U34:Z34" si="5">SUM(U6:U33)</f>
        <v>212139040</v>
      </c>
      <c r="V34" s="31">
        <f t="shared" si="5"/>
        <v>440000</v>
      </c>
      <c r="W34" s="31">
        <f t="shared" si="5"/>
        <v>25000</v>
      </c>
      <c r="X34" s="31">
        <f t="shared" si="5"/>
        <v>182000</v>
      </c>
      <c r="Y34" s="31">
        <f t="shared" si="5"/>
        <v>17935013.399999999</v>
      </c>
      <c r="Z34" s="31">
        <f t="shared" si="5"/>
        <v>230721053.40000001</v>
      </c>
      <c r="AD34"/>
    </row>
    <row r="35" spans="2:31" ht="14.5" x14ac:dyDescent="0.35">
      <c r="D35"/>
      <c r="E35"/>
      <c r="F35"/>
      <c r="AD35"/>
    </row>
    <row r="36" spans="2:31" customFormat="1" ht="14.5" x14ac:dyDescent="0.35"/>
    <row r="37" spans="2:31" customFormat="1" ht="14.5" x14ac:dyDescent="0.35"/>
    <row r="38" spans="2:31" customFormat="1" ht="14.5" x14ac:dyDescent="0.35"/>
    <row r="39" spans="2:31" customFormat="1" ht="14.5" x14ac:dyDescent="0.35"/>
    <row r="40" spans="2:31" customFormat="1" ht="14.5" x14ac:dyDescent="0.35"/>
    <row r="41" spans="2:31" customFormat="1" ht="14.5" x14ac:dyDescent="0.35"/>
    <row r="42" spans="2:31" customFormat="1" ht="14.5" x14ac:dyDescent="0.35"/>
    <row r="43" spans="2:31" customFormat="1" ht="14.5" x14ac:dyDescent="0.35"/>
    <row r="44" spans="2:31" customFormat="1" ht="14.5" x14ac:dyDescent="0.35"/>
    <row r="45" spans="2:31" customFormat="1" ht="14.5" x14ac:dyDescent="0.35"/>
    <row r="46" spans="2:31" customFormat="1" ht="14.5" x14ac:dyDescent="0.35"/>
    <row r="47" spans="2:31" customFormat="1" ht="14.5" x14ac:dyDescent="0.35"/>
    <row r="48" spans="2:31" customFormat="1" ht="14.5" x14ac:dyDescent="0.35"/>
    <row r="49" spans="30:30" customFormat="1" ht="14.5" x14ac:dyDescent="0.35">
      <c r="AD49" s="76"/>
    </row>
    <row r="50" spans="30:30" customFormat="1" ht="14.5" x14ac:dyDescent="0.35">
      <c r="AD50" s="76"/>
    </row>
    <row r="51" spans="30:30" customFormat="1" ht="14.5" x14ac:dyDescent="0.35">
      <c r="AD51" s="76"/>
    </row>
    <row r="52" spans="30:30" customFormat="1" ht="14.5" x14ac:dyDescent="0.35">
      <c r="AD52" s="76"/>
    </row>
    <row r="53" spans="30:30" customFormat="1" ht="14.5" x14ac:dyDescent="0.35">
      <c r="AD53" s="76"/>
    </row>
    <row r="54" spans="30:30" customFormat="1" ht="14.5" x14ac:dyDescent="0.35">
      <c r="AD54" s="76"/>
    </row>
    <row r="55" spans="30:30" customFormat="1" ht="14.5" x14ac:dyDescent="0.35">
      <c r="AD55" s="76"/>
    </row>
    <row r="56" spans="30:30" customFormat="1" ht="14.5" x14ac:dyDescent="0.35">
      <c r="AD56" s="76"/>
    </row>
    <row r="57" spans="30:30" customFormat="1" ht="14.5" x14ac:dyDescent="0.35">
      <c r="AD57" s="76"/>
    </row>
    <row r="58" spans="30:30" customFormat="1" ht="14.5" x14ac:dyDescent="0.35">
      <c r="AD58" s="76"/>
    </row>
    <row r="59" spans="30:30" customFormat="1" ht="14.5" x14ac:dyDescent="0.35">
      <c r="AD59" s="76"/>
    </row>
    <row r="60" spans="30:30" customFormat="1" ht="14.5" x14ac:dyDescent="0.35">
      <c r="AD60" s="76"/>
    </row>
    <row r="61" spans="30:30" customFormat="1" ht="14.5" x14ac:dyDescent="0.35">
      <c r="AD61" s="76"/>
    </row>
    <row r="62" spans="30:30" customFormat="1" ht="14.5" x14ac:dyDescent="0.35">
      <c r="AD62" s="76"/>
    </row>
    <row r="63" spans="30:30" customFormat="1" ht="14.5" x14ac:dyDescent="0.35">
      <c r="AD63" s="76"/>
    </row>
    <row r="64" spans="30:30" customFormat="1" ht="14.5" x14ac:dyDescent="0.35">
      <c r="AD64" s="76"/>
    </row>
    <row r="65" spans="30:30" customFormat="1" ht="14.5" x14ac:dyDescent="0.35">
      <c r="AD65" s="76"/>
    </row>
    <row r="66" spans="30:30" customFormat="1" ht="14.5" x14ac:dyDescent="0.35">
      <c r="AD66" s="76"/>
    </row>
    <row r="67" spans="30:30" customFormat="1" ht="14.5" x14ac:dyDescent="0.35">
      <c r="AD67" s="76"/>
    </row>
    <row r="68" spans="30:30" customFormat="1" ht="14.5" x14ac:dyDescent="0.35">
      <c r="AD68" s="76"/>
    </row>
    <row r="69" spans="30:30" customFormat="1" ht="14.5" x14ac:dyDescent="0.35">
      <c r="AD69" s="76"/>
    </row>
    <row r="70" spans="30:30" customFormat="1" ht="14.5" x14ac:dyDescent="0.35">
      <c r="AD70" s="76"/>
    </row>
    <row r="71" spans="30:30" customFormat="1" ht="14.5" x14ac:dyDescent="0.35">
      <c r="AD71" s="76"/>
    </row>
    <row r="72" spans="30:30" customFormat="1" ht="14.5" x14ac:dyDescent="0.35">
      <c r="AD72" s="76"/>
    </row>
    <row r="73" spans="30:30" customFormat="1" ht="14.5" x14ac:dyDescent="0.35">
      <c r="AD73" s="76"/>
    </row>
    <row r="74" spans="30:30" customFormat="1" ht="14.5" x14ac:dyDescent="0.35">
      <c r="AD74" s="76"/>
    </row>
    <row r="75" spans="30:30" customFormat="1" ht="14.5" x14ac:dyDescent="0.35">
      <c r="AD75" s="76"/>
    </row>
    <row r="76" spans="30:30" customFormat="1" ht="14.5" x14ac:dyDescent="0.35">
      <c r="AD76" s="76"/>
    </row>
    <row r="77" spans="30:30" customFormat="1" ht="14.5" x14ac:dyDescent="0.35">
      <c r="AD77" s="76"/>
    </row>
    <row r="78" spans="30:30" customFormat="1" ht="14.5" x14ac:dyDescent="0.35">
      <c r="AD78" s="76"/>
    </row>
    <row r="79" spans="30:30" customFormat="1" ht="14.5" x14ac:dyDescent="0.35">
      <c r="AD79" s="76"/>
    </row>
    <row r="80" spans="30:30" customFormat="1" ht="14.5" x14ac:dyDescent="0.35">
      <c r="AD80" s="76"/>
    </row>
    <row r="81" spans="30:30" customFormat="1" ht="14.5" x14ac:dyDescent="0.35">
      <c r="AD81" s="76"/>
    </row>
    <row r="82" spans="30:30" customFormat="1" ht="14.5" x14ac:dyDescent="0.35">
      <c r="AD82" s="76"/>
    </row>
    <row r="83" spans="30:30" customFormat="1" ht="14.5" x14ac:dyDescent="0.35">
      <c r="AD83" s="76"/>
    </row>
    <row r="84" spans="30:30" customFormat="1" ht="14.5" x14ac:dyDescent="0.35">
      <c r="AD84" s="76"/>
    </row>
    <row r="85" spans="30:30" customFormat="1" ht="14.5" x14ac:dyDescent="0.35">
      <c r="AD85" s="76"/>
    </row>
    <row r="86" spans="30:30" customFormat="1" ht="14.5" x14ac:dyDescent="0.35">
      <c r="AD86" s="76"/>
    </row>
    <row r="87" spans="30:30" customFormat="1" ht="14.5" x14ac:dyDescent="0.35">
      <c r="AD87" s="76"/>
    </row>
    <row r="88" spans="30:30" customFormat="1" ht="14.5" x14ac:dyDescent="0.35">
      <c r="AD88" s="76"/>
    </row>
    <row r="89" spans="30:30" customFormat="1" ht="14.5" x14ac:dyDescent="0.35">
      <c r="AD89" s="76"/>
    </row>
  </sheetData>
  <dataConsolidate/>
  <mergeCells count="3">
    <mergeCell ref="B34:T34"/>
    <mergeCell ref="B4:C4"/>
    <mergeCell ref="U4:Z4"/>
  </mergeCells>
  <dataValidations count="16">
    <dataValidation type="decimal" operator="greaterThanOrEqual" allowBlank="1" showInputMessage="1" showErrorMessage="1" promptTitle="Floor Area" prompt="Enter the area in square feet or square meters." sqref="T13:U13 AC34 R90:T9694 AC90:AD9694 T6:T12 T14:T34 R6:S34 U30:U32" xr:uid="{9F233B8B-AD28-4236-86EB-2AD97C7BC146}">
      <formula1>0</formula1>
    </dataValidation>
    <dataValidation allowBlank="1" showInputMessage="1" showErrorMessage="1" promptTitle="Floors Occupied" prompt="-1 - Below grade_x000a_ 0 - Ground floor_x000a_ 1 - First level above ground floor_x000a_Negative #'s represent floors below grade.  Range of floors can be entered using commas and dashes (e.g., Floors Occupied = -1, 0, 3-5, 10) " sqref="N90:N9694 N6:N34" xr:uid="{5713C8A7-1091-477A-8F0C-F1ADE1C8E5FA}"/>
    <dataValidation type="textLength" allowBlank="1" showInputMessage="1" showErrorMessage="1" promptTitle="Location Name" prompt="Enter up to 40 letters / numbers " sqref="D30:D32 C90:C9694 C33:C34" xr:uid="{F6E497EB-5AF9-479B-8F6D-0108A8C9082A}">
      <formula1>0</formula1>
      <formula2>40</formula2>
    </dataValidation>
    <dataValidation type="textLength" allowBlank="1" showInputMessage="1" showErrorMessage="1" promptTitle="State Code " prompt="Enter 2 digit state abbreviation valid only in Australia, Canada and United States." sqref="F6:F29 G30:G32 F33:F34 F90:F9694" xr:uid="{13020800-EE39-4F6D-91C1-EB5D7E4EFE26}">
      <formula1>0</formula1>
      <formula2>2</formula2>
    </dataValidation>
    <dataValidation type="textLength" allowBlank="1" showInputMessage="1" showErrorMessage="1" promptTitle="Postal Code" prompt="Enter up to 12 letters / numbers " sqref="G6:G29 H30:H32 G33:G34 G90:G9694" xr:uid="{3EC05128-34D1-4ED0-AFA9-2342639EDE5F}">
      <formula1>1</formula1>
      <formula2>12</formula2>
    </dataValidation>
    <dataValidation type="whole" operator="greaterThanOrEqual" allowBlank="1" showInputMessage="1" showErrorMessage="1" promptTitle="Number of Buildings" prompt="Enter number of buildings at this location. Cannot = 0. If unknown, use 1 or leave field blank and system will default to 1." sqref="O34:Q34 O90:Q9694 AA90:AB9694 AA34:AB34 O6:O33" xr:uid="{37860AE5-43CB-48A4-BB77-76EBFD5CD082}">
      <formula1>1</formula1>
    </dataValidation>
    <dataValidation allowBlank="1" showInputMessage="1" showErrorMessage="1" promptTitle="FEMA Flood Zones" prompt="Enter FEMA Flood Zones A; A1-A30; A99; AE; AH; AO; AOVEL; AR; AR/A; AR/A1-A30; AR/AE; AR/AH; AR/AO; B; C; D; V; V1-V30; VE; VO; X; X shaded; Unknown" sqref="U9:U10 AC6:AD33" xr:uid="{577102EB-7F91-4ED7-BDEE-615DE43B8DDA}"/>
    <dataValidation type="decimal" operator="greaterThanOrEqual" allowBlank="1" showInputMessage="1" showErrorMessage="1" sqref="U14:U29 U6:U8 U11:U12 U33 U34:Z34 Z90:Z9694 V6:Z33" xr:uid="{F4E7A694-3D27-4B70-8FE3-3135BF88BA71}">
      <formula1>0</formula1>
    </dataValidation>
    <dataValidation allowBlank="1" showInputMessage="1" promptTitle="City" prompt="Enter up to 256 letters" sqref="E6:E29 F30:F32 E33:E34 E90:E9694" xr:uid="{270D67B7-5E70-4CFE-8BFE-F0C1346F6059}"/>
    <dataValidation allowBlank="1" showInputMessage="1" showErrorMessage="1" promptTitle="Street Name" prompt="Enter full address here (e.g. 123 East Main Street) - max characters is 256._x000a_" sqref="D6:D29 E30:E32 D90:D9694 D33:D34" xr:uid="{CA28F924-E094-4149-8F23-E80F18EAC421}"/>
    <dataValidation type="textLength" allowBlank="1" showInputMessage="1" showErrorMessage="1" promptTitle="Location Number" prompt="Enter up to 20 letters / numbers" sqref="C30:C32 B90:B9694 B6:B34" xr:uid="{A4DCCC32-ABFC-4E59-8D47-73BCC00905E4}">
      <formula1>0</formula1>
      <formula2>20</formula2>
    </dataValidation>
    <dataValidation type="decimal" operator="greaterThanOrEqual" allowBlank="1" showInputMessage="1" showErrorMessage="1" promptTitle="EQ Contents 2 Value" prompt="Contents 100% Replacement Cost" sqref="W90:W9694" xr:uid="{78AFB359-12AD-4535-A57A-5465758BF93E}">
      <formula1>0</formula1>
    </dataValidation>
    <dataValidation type="decimal" operator="greaterThanOrEqual" allowBlank="1" showInputMessage="1" showErrorMessage="1" promptTitle="EQ Building Value" prompt="Building 100% Replacement Cost " sqref="U34:Z34 U90:U9694" xr:uid="{3736AEDF-D5DA-4C89-9298-C86BE2C3E5DA}">
      <formula1>0</formula1>
    </dataValidation>
    <dataValidation type="decimal" operator="greaterThanOrEqual" allowBlank="1" showInputMessage="1" showErrorMessage="1" promptTitle="EQ Contents 1 Value" prompt="Contents 100% Replacement Cost " sqref="V90:V9694" xr:uid="{D912DDF8-A0CD-4D77-B99A-7EB8A119A358}">
      <formula1>0</formula1>
    </dataValidation>
    <dataValidation type="decimal" operator="greaterThanOrEqual" allowBlank="1" showInputMessage="1" showErrorMessage="1" promptTitle="EQ Business Interruption Value" prompt="Annual 100% Business Interruption Value " sqref="Y90:Y9694" xr:uid="{4F7EBCBE-549F-4F3F-BC1E-4C830684818F}">
      <formula1>0</formula1>
    </dataValidation>
    <dataValidation allowBlank="1" showInputMessage="1" showErrorMessage="1" promptTitle="EQ Contents 3 Value" prompt="Contents 100% Replacement Cost" sqref="X90:X9694" xr:uid="{92E4CA23-ADC1-43A2-9F17-F70D991314FE}"/>
  </dataValidations>
  <pageMargins left="0.7" right="0.7" top="0.75" bottom="0.75" header="0.3" footer="0.3"/>
  <pageSetup paperSize="5" scale="65" fitToWidth="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B80A-793D-4B9C-94C5-8851684112EF}">
  <dimension ref="A1:AD72"/>
  <sheetViews>
    <sheetView topLeftCell="A3" workbookViewId="0">
      <selection activeCell="C16" sqref="C16"/>
    </sheetView>
  </sheetViews>
  <sheetFormatPr defaultRowHeight="14.5" x14ac:dyDescent="0.35"/>
  <cols>
    <col min="1" max="1" width="4.1796875" customWidth="1"/>
    <col min="2" max="2" width="29" bestFit="1" customWidth="1"/>
    <col min="3" max="3" width="40.453125" bestFit="1" customWidth="1"/>
    <col min="4" max="4" width="40.7265625" bestFit="1" customWidth="1"/>
    <col min="5" max="5" width="18.81640625" bestFit="1" customWidth="1"/>
    <col min="6" max="6" width="4.6328125" bestFit="1" customWidth="1"/>
    <col min="7" max="7" width="5.81640625" bestFit="1" customWidth="1"/>
    <col min="8" max="8" width="6.26953125" bestFit="1" customWidth="1"/>
    <col min="9" max="9" width="24.1796875" customWidth="1"/>
    <col min="10" max="10" width="12.1796875" customWidth="1"/>
    <col min="11" max="11" width="36.26953125" customWidth="1"/>
  </cols>
  <sheetData>
    <row r="1" spans="1:30" s="10" customFormat="1" ht="21" x14ac:dyDescent="0.35">
      <c r="A1"/>
      <c r="B1" s="1" t="s">
        <v>25</v>
      </c>
      <c r="C1" s="3"/>
      <c r="D1" s="3"/>
      <c r="E1" s="3"/>
      <c r="F1" s="4"/>
      <c r="G1" s="5"/>
      <c r="H1" s="6"/>
      <c r="I1" s="6"/>
      <c r="J1" s="3"/>
      <c r="K1" s="4"/>
      <c r="L1" s="4"/>
      <c r="M1" s="4"/>
      <c r="N1" s="4"/>
      <c r="O1" s="4"/>
      <c r="P1" s="4"/>
      <c r="Q1" s="4"/>
      <c r="R1" s="7"/>
      <c r="S1" s="7"/>
      <c r="T1" s="7"/>
      <c r="U1" s="8"/>
      <c r="V1" s="8"/>
      <c r="W1" s="8"/>
      <c r="X1" s="8"/>
      <c r="Y1" s="8"/>
      <c r="Z1" s="8"/>
      <c r="AA1" s="4"/>
      <c r="AB1" s="4"/>
      <c r="AC1" s="4"/>
      <c r="AD1" s="4"/>
    </row>
    <row r="2" spans="1:30" s="10" customFormat="1" ht="16" x14ac:dyDescent="0.4">
      <c r="A2"/>
      <c r="B2" s="2" t="s">
        <v>1</v>
      </c>
      <c r="C2" s="3"/>
      <c r="D2" s="3"/>
      <c r="E2" s="3"/>
      <c r="F2" s="4"/>
      <c r="G2" s="5"/>
      <c r="H2" s="6"/>
      <c r="I2" s="6"/>
      <c r="J2" s="3"/>
      <c r="K2" s="4"/>
      <c r="L2" s="4"/>
      <c r="M2" s="4"/>
      <c r="N2" s="4"/>
      <c r="O2" s="4"/>
      <c r="P2" s="4"/>
      <c r="Q2" s="4"/>
      <c r="R2" s="7"/>
      <c r="S2" s="7"/>
      <c r="T2" s="7"/>
      <c r="U2" s="8"/>
      <c r="V2" s="8"/>
      <c r="W2" s="8"/>
      <c r="X2" s="8"/>
      <c r="Y2" s="8"/>
      <c r="Z2" s="8"/>
      <c r="AA2" s="4"/>
      <c r="AB2" s="4"/>
      <c r="AC2" s="4"/>
      <c r="AD2" s="4"/>
    </row>
    <row r="4" spans="1:30" ht="21" x14ac:dyDescent="0.35">
      <c r="B4" s="26" t="s">
        <v>182</v>
      </c>
      <c r="C4" s="26" t="s">
        <v>4</v>
      </c>
      <c r="D4" s="26" t="s">
        <v>5</v>
      </c>
      <c r="E4" s="26" t="s">
        <v>6</v>
      </c>
      <c r="F4" s="26" t="s">
        <v>0</v>
      </c>
      <c r="G4" s="27" t="s">
        <v>7</v>
      </c>
      <c r="H4" s="27" t="s">
        <v>8</v>
      </c>
      <c r="I4" s="26" t="s">
        <v>10</v>
      </c>
      <c r="J4" s="26" t="s">
        <v>144</v>
      </c>
      <c r="K4" s="26" t="s">
        <v>50</v>
      </c>
    </row>
    <row r="5" spans="1:30" x14ac:dyDescent="0.35">
      <c r="B5" s="23"/>
      <c r="C5" s="35"/>
      <c r="D5" s="19"/>
      <c r="E5" s="20"/>
      <c r="F5" s="20"/>
      <c r="G5" s="59"/>
      <c r="H5" s="59"/>
      <c r="I5" s="61"/>
      <c r="J5" s="71"/>
      <c r="K5" s="68"/>
    </row>
    <row r="6" spans="1:30" x14ac:dyDescent="0.35">
      <c r="B6" s="52"/>
      <c r="C6" s="53" t="s">
        <v>175</v>
      </c>
      <c r="D6" s="36" t="s">
        <v>35</v>
      </c>
      <c r="E6" s="36" t="s">
        <v>35</v>
      </c>
      <c r="F6" s="36" t="s">
        <v>36</v>
      </c>
      <c r="G6" s="37"/>
      <c r="H6" s="38" t="s">
        <v>37</v>
      </c>
      <c r="I6" s="61" t="s">
        <v>143</v>
      </c>
      <c r="J6" s="69">
        <v>6.2</v>
      </c>
      <c r="K6" s="68"/>
    </row>
    <row r="7" spans="1:30" x14ac:dyDescent="0.35">
      <c r="B7" s="52" t="s">
        <v>128</v>
      </c>
      <c r="C7" s="53" t="s">
        <v>129</v>
      </c>
      <c r="D7" s="20" t="s">
        <v>130</v>
      </c>
      <c r="E7" s="20"/>
      <c r="F7" s="20"/>
      <c r="G7" s="59"/>
      <c r="H7" s="59"/>
      <c r="I7" s="61"/>
      <c r="J7" s="69"/>
      <c r="K7" s="68"/>
    </row>
    <row r="8" spans="1:30" x14ac:dyDescent="0.35">
      <c r="B8" s="52"/>
      <c r="C8" s="53"/>
      <c r="D8" s="20" t="s">
        <v>131</v>
      </c>
      <c r="E8" s="20"/>
      <c r="F8" s="20"/>
      <c r="G8" s="59"/>
      <c r="H8" s="59"/>
      <c r="I8" s="61"/>
      <c r="J8" s="69"/>
      <c r="K8" s="68"/>
    </row>
    <row r="9" spans="1:30" x14ac:dyDescent="0.35">
      <c r="B9" s="52"/>
      <c r="C9" s="53"/>
      <c r="D9" s="20" t="s">
        <v>132</v>
      </c>
      <c r="E9" s="20"/>
      <c r="F9" s="20"/>
      <c r="G9" s="59"/>
      <c r="H9" s="59"/>
      <c r="I9" s="61"/>
      <c r="J9" s="69"/>
      <c r="K9" s="68"/>
    </row>
    <row r="10" spans="1:30" x14ac:dyDescent="0.35">
      <c r="B10" s="52"/>
      <c r="C10" s="53"/>
      <c r="D10" s="20" t="s">
        <v>133</v>
      </c>
      <c r="E10" s="20"/>
      <c r="F10" s="20"/>
      <c r="G10" s="59"/>
      <c r="H10" s="59"/>
      <c r="I10" s="61"/>
      <c r="J10" s="69"/>
      <c r="K10" s="68"/>
    </row>
    <row r="11" spans="1:30" x14ac:dyDescent="0.35">
      <c r="B11" s="52"/>
      <c r="C11" s="53"/>
      <c r="D11" s="20" t="s">
        <v>134</v>
      </c>
      <c r="E11" s="20"/>
      <c r="F11" s="20"/>
      <c r="G11" s="59"/>
      <c r="H11" s="59"/>
      <c r="I11" s="61"/>
      <c r="J11" s="69"/>
      <c r="K11" s="68"/>
    </row>
    <row r="12" spans="1:30" x14ac:dyDescent="0.35">
      <c r="B12" s="52"/>
      <c r="C12" s="53"/>
      <c r="D12" s="20" t="s">
        <v>135</v>
      </c>
      <c r="E12" s="20"/>
      <c r="F12" s="20"/>
      <c r="G12" s="59"/>
      <c r="H12" s="59"/>
      <c r="I12" s="61"/>
      <c r="J12" s="69"/>
      <c r="K12" s="68"/>
    </row>
    <row r="13" spans="1:30" x14ac:dyDescent="0.35">
      <c r="B13" s="52"/>
      <c r="C13" s="53"/>
      <c r="D13" s="20" t="s">
        <v>136</v>
      </c>
      <c r="E13" s="20"/>
      <c r="F13" s="20"/>
      <c r="G13" s="59"/>
      <c r="H13" s="59"/>
      <c r="I13" s="61"/>
      <c r="J13" s="69"/>
      <c r="K13" s="68"/>
    </row>
    <row r="14" spans="1:30" x14ac:dyDescent="0.35">
      <c r="B14" s="52"/>
      <c r="C14" s="53"/>
      <c r="D14" s="20" t="s">
        <v>137</v>
      </c>
      <c r="E14" s="20"/>
      <c r="F14" s="20"/>
      <c r="G14" s="59"/>
      <c r="H14" s="59"/>
      <c r="I14" s="61"/>
      <c r="J14" s="69"/>
      <c r="K14" s="68"/>
    </row>
    <row r="15" spans="1:30" x14ac:dyDescent="0.35">
      <c r="B15" s="52"/>
      <c r="C15" s="53"/>
      <c r="D15" s="20" t="s">
        <v>138</v>
      </c>
      <c r="E15" s="20"/>
      <c r="F15" s="20"/>
      <c r="G15" s="59"/>
      <c r="H15" s="59"/>
      <c r="I15" s="61"/>
      <c r="J15" s="69"/>
      <c r="K15" s="68"/>
    </row>
    <row r="16" spans="1:30" x14ac:dyDescent="0.35">
      <c r="B16" s="52"/>
      <c r="C16" s="53"/>
      <c r="D16" s="20" t="s">
        <v>139</v>
      </c>
      <c r="E16" s="20"/>
      <c r="F16" s="20"/>
      <c r="G16" s="59"/>
      <c r="H16" s="59"/>
      <c r="I16" s="61"/>
      <c r="J16" s="69"/>
      <c r="K16" s="68"/>
    </row>
    <row r="17" spans="2:11" x14ac:dyDescent="0.35">
      <c r="B17" s="52"/>
      <c r="C17" s="53"/>
      <c r="D17" s="20" t="s">
        <v>140</v>
      </c>
      <c r="E17" s="20"/>
      <c r="F17" s="20"/>
      <c r="G17" s="59"/>
      <c r="H17" s="59"/>
      <c r="I17" s="61"/>
      <c r="J17" s="69"/>
      <c r="K17" s="68"/>
    </row>
    <row r="18" spans="2:11" x14ac:dyDescent="0.35">
      <c r="B18" s="52"/>
      <c r="C18" s="53"/>
      <c r="D18" s="20" t="s">
        <v>141</v>
      </c>
      <c r="E18" s="20"/>
      <c r="F18" s="20"/>
      <c r="G18" s="59"/>
      <c r="H18" s="59"/>
      <c r="I18" s="61"/>
      <c r="J18" s="69"/>
      <c r="K18" s="68"/>
    </row>
    <row r="19" spans="2:11" x14ac:dyDescent="0.35">
      <c r="B19" s="52"/>
      <c r="C19" s="53"/>
      <c r="D19" s="20" t="s">
        <v>142</v>
      </c>
      <c r="E19" s="20"/>
      <c r="F19" s="20"/>
      <c r="G19" s="59"/>
      <c r="H19" s="59"/>
      <c r="I19" s="61"/>
      <c r="J19" s="69"/>
      <c r="K19" s="68"/>
    </row>
    <row r="20" spans="2:11" x14ac:dyDescent="0.35">
      <c r="B20" s="52" t="s">
        <v>148</v>
      </c>
      <c r="C20" s="53" t="s">
        <v>145</v>
      </c>
      <c r="D20" s="20" t="s">
        <v>146</v>
      </c>
      <c r="E20" s="63" t="s">
        <v>35</v>
      </c>
      <c r="F20" s="64" t="s">
        <v>36</v>
      </c>
      <c r="G20" s="65">
        <v>19114</v>
      </c>
      <c r="H20" s="59" t="s">
        <v>37</v>
      </c>
      <c r="I20" s="61"/>
      <c r="J20" s="69"/>
      <c r="K20" s="68"/>
    </row>
    <row r="21" spans="2:11" x14ac:dyDescent="0.35">
      <c r="B21" s="52"/>
      <c r="C21" s="53"/>
      <c r="D21" s="20" t="s">
        <v>147</v>
      </c>
      <c r="E21" s="20"/>
      <c r="F21" s="20"/>
      <c r="G21" s="59"/>
      <c r="H21" s="59"/>
      <c r="I21" s="61"/>
      <c r="J21" s="69"/>
      <c r="K21" s="68"/>
    </row>
    <row r="22" spans="2:11" x14ac:dyDescent="0.35">
      <c r="B22" s="52" t="s">
        <v>150</v>
      </c>
      <c r="C22" s="53" t="s">
        <v>149</v>
      </c>
      <c r="D22" s="20" t="s">
        <v>152</v>
      </c>
      <c r="E22" s="20"/>
      <c r="F22" s="20"/>
      <c r="G22" s="59"/>
      <c r="H22" s="59"/>
      <c r="I22" s="61"/>
      <c r="J22" s="69"/>
      <c r="K22" s="68"/>
    </row>
    <row r="23" spans="2:11" x14ac:dyDescent="0.35">
      <c r="B23" s="52" t="s">
        <v>150</v>
      </c>
      <c r="C23" s="53"/>
      <c r="D23" s="20" t="s">
        <v>153</v>
      </c>
      <c r="E23" s="20"/>
      <c r="F23" s="20"/>
      <c r="G23" s="59"/>
      <c r="H23" s="59"/>
      <c r="I23" s="61"/>
      <c r="J23" s="69"/>
      <c r="K23" s="68"/>
    </row>
    <row r="24" spans="2:11" x14ac:dyDescent="0.35">
      <c r="B24" s="52" t="s">
        <v>151</v>
      </c>
      <c r="C24" s="53"/>
      <c r="D24" s="20" t="s">
        <v>154</v>
      </c>
      <c r="E24" s="20"/>
      <c r="F24" s="20"/>
      <c r="G24" s="59"/>
      <c r="H24" s="59"/>
      <c r="I24" s="61"/>
      <c r="J24" s="69"/>
      <c r="K24" s="68"/>
    </row>
    <row r="25" spans="2:11" x14ac:dyDescent="0.35">
      <c r="B25" s="52"/>
      <c r="C25" s="53"/>
      <c r="D25" s="20"/>
      <c r="E25" s="20"/>
      <c r="F25" s="20"/>
      <c r="G25" s="59"/>
      <c r="H25" s="59"/>
      <c r="I25" s="61"/>
      <c r="J25" s="69"/>
      <c r="K25" s="68"/>
    </row>
    <row r="26" spans="2:11" x14ac:dyDescent="0.35">
      <c r="B26" s="52"/>
      <c r="C26" s="53" t="s">
        <v>176</v>
      </c>
      <c r="D26" s="36" t="s">
        <v>177</v>
      </c>
      <c r="E26" s="36"/>
      <c r="F26" s="36" t="s">
        <v>36</v>
      </c>
      <c r="G26" s="37"/>
      <c r="H26" s="38" t="s">
        <v>37</v>
      </c>
      <c r="I26" s="61" t="s">
        <v>143</v>
      </c>
      <c r="J26" s="69">
        <v>107.673</v>
      </c>
      <c r="K26" s="68"/>
    </row>
    <row r="27" spans="2:11" x14ac:dyDescent="0.35">
      <c r="B27" s="52" t="s">
        <v>158</v>
      </c>
      <c r="C27" s="53" t="s">
        <v>155</v>
      </c>
      <c r="D27" s="20" t="s">
        <v>156</v>
      </c>
      <c r="E27" s="54" t="s">
        <v>60</v>
      </c>
      <c r="F27" s="54" t="s">
        <v>36</v>
      </c>
      <c r="G27" s="54">
        <v>19053</v>
      </c>
      <c r="H27" s="59" t="s">
        <v>37</v>
      </c>
      <c r="I27" s="61"/>
      <c r="J27" s="69"/>
      <c r="K27" s="68"/>
    </row>
    <row r="28" spans="2:11" x14ac:dyDescent="0.35">
      <c r="B28" s="52"/>
      <c r="C28" s="53"/>
      <c r="D28" s="20" t="s">
        <v>157</v>
      </c>
      <c r="E28" s="20"/>
      <c r="F28" s="20"/>
      <c r="G28" s="59"/>
      <c r="H28" s="59"/>
      <c r="I28" s="61"/>
      <c r="J28" s="69"/>
      <c r="K28" s="68"/>
    </row>
    <row r="29" spans="2:11" x14ac:dyDescent="0.35">
      <c r="B29" s="52" t="s">
        <v>161</v>
      </c>
      <c r="C29" s="53"/>
      <c r="D29" s="20" t="s">
        <v>159</v>
      </c>
      <c r="E29" s="54" t="s">
        <v>160</v>
      </c>
      <c r="F29" s="54" t="s">
        <v>109</v>
      </c>
      <c r="G29" s="60">
        <v>19053</v>
      </c>
      <c r="H29" s="59"/>
      <c r="I29" s="61"/>
      <c r="J29" s="69"/>
      <c r="K29" s="68"/>
    </row>
    <row r="30" spans="2:11" ht="39.5" x14ac:dyDescent="0.35">
      <c r="B30" s="52" t="s">
        <v>158</v>
      </c>
      <c r="C30" s="53" t="s">
        <v>178</v>
      </c>
      <c r="D30" s="20" t="s">
        <v>162</v>
      </c>
      <c r="E30" s="54" t="s">
        <v>168</v>
      </c>
      <c r="F30" s="54" t="s">
        <v>36</v>
      </c>
      <c r="G30" s="54">
        <v>19047</v>
      </c>
      <c r="H30" s="54"/>
      <c r="I30" s="62"/>
      <c r="J30" s="69"/>
      <c r="K30" s="68"/>
    </row>
    <row r="31" spans="2:11" x14ac:dyDescent="0.35">
      <c r="B31" s="52"/>
      <c r="C31" s="53"/>
      <c r="D31" s="20" t="s">
        <v>163</v>
      </c>
      <c r="E31" s="20"/>
      <c r="F31" s="20"/>
      <c r="G31" s="59"/>
      <c r="H31" s="59"/>
      <c r="I31" s="61"/>
      <c r="J31" s="69"/>
      <c r="K31" s="68"/>
    </row>
    <row r="32" spans="2:11" x14ac:dyDescent="0.35">
      <c r="B32" s="52"/>
      <c r="C32" s="53"/>
      <c r="D32" s="20" t="s">
        <v>164</v>
      </c>
      <c r="E32" s="20"/>
      <c r="F32" s="20"/>
      <c r="G32" s="59"/>
      <c r="H32" s="59"/>
      <c r="I32" s="61"/>
      <c r="J32" s="69"/>
      <c r="K32" s="68"/>
    </row>
    <row r="33" spans="2:11" x14ac:dyDescent="0.35">
      <c r="B33" s="52"/>
      <c r="C33" s="53"/>
      <c r="D33" s="20" t="s">
        <v>165</v>
      </c>
      <c r="E33" s="20"/>
      <c r="F33" s="20"/>
      <c r="G33" s="59"/>
      <c r="H33" s="59"/>
      <c r="I33" s="61"/>
      <c r="J33" s="69"/>
      <c r="K33" s="68"/>
    </row>
    <row r="34" spans="2:11" x14ac:dyDescent="0.35">
      <c r="B34" s="52"/>
      <c r="C34" s="53"/>
      <c r="D34" s="20" t="s">
        <v>166</v>
      </c>
      <c r="E34" s="20"/>
      <c r="F34" s="20"/>
      <c r="G34" s="59"/>
      <c r="H34" s="59"/>
      <c r="I34" s="61"/>
      <c r="J34" s="69"/>
      <c r="K34" s="68"/>
    </row>
    <row r="35" spans="2:11" x14ac:dyDescent="0.35">
      <c r="B35" s="52"/>
      <c r="C35" s="53"/>
      <c r="D35" s="20" t="s">
        <v>167</v>
      </c>
      <c r="E35" s="20"/>
      <c r="F35" s="20"/>
      <c r="G35" s="59"/>
      <c r="H35" s="59"/>
      <c r="I35" s="61"/>
      <c r="J35" s="69"/>
      <c r="K35" s="68"/>
    </row>
    <row r="36" spans="2:11" x14ac:dyDescent="0.35">
      <c r="B36" s="23"/>
      <c r="C36" s="53" t="s">
        <v>169</v>
      </c>
      <c r="D36" s="20" t="s">
        <v>170</v>
      </c>
      <c r="E36" s="20"/>
      <c r="F36" s="20"/>
      <c r="G36" s="59"/>
      <c r="H36" s="59"/>
      <c r="I36" s="61"/>
      <c r="J36" s="69"/>
      <c r="K36" s="68"/>
    </row>
    <row r="37" spans="2:11" ht="26.5" x14ac:dyDescent="0.35">
      <c r="B37" s="52" t="s">
        <v>179</v>
      </c>
      <c r="C37" s="53" t="s">
        <v>171</v>
      </c>
      <c r="D37" s="20" t="s">
        <v>172</v>
      </c>
      <c r="E37" s="55" t="s">
        <v>174</v>
      </c>
      <c r="F37" s="55" t="s">
        <v>36</v>
      </c>
      <c r="G37" s="60">
        <v>18921</v>
      </c>
      <c r="H37" s="59"/>
      <c r="I37" s="61"/>
      <c r="J37" s="69"/>
      <c r="K37" s="68"/>
    </row>
    <row r="38" spans="2:11" x14ac:dyDescent="0.35">
      <c r="B38" s="52" t="s">
        <v>179</v>
      </c>
      <c r="C38" s="53"/>
      <c r="D38" s="20" t="s">
        <v>173</v>
      </c>
      <c r="E38" s="20"/>
      <c r="F38" s="20"/>
      <c r="G38" s="59"/>
      <c r="H38" s="59"/>
      <c r="I38" s="61"/>
      <c r="J38" s="69"/>
      <c r="K38" s="68"/>
    </row>
    <row r="39" spans="2:11" x14ac:dyDescent="0.35">
      <c r="B39" s="23"/>
      <c r="C39" s="53"/>
      <c r="D39" s="19"/>
      <c r="E39" s="20"/>
      <c r="F39" s="20"/>
      <c r="G39" s="59"/>
      <c r="H39" s="59"/>
      <c r="I39" s="61"/>
      <c r="J39" s="69"/>
      <c r="K39" s="68"/>
    </row>
    <row r="40" spans="2:11" x14ac:dyDescent="0.35">
      <c r="B40" s="23"/>
      <c r="C40" s="53" t="s">
        <v>180</v>
      </c>
      <c r="D40" s="36" t="s">
        <v>199</v>
      </c>
      <c r="E40" s="58" t="s">
        <v>181</v>
      </c>
      <c r="F40" s="58" t="s">
        <v>36</v>
      </c>
      <c r="G40" s="37">
        <v>19422</v>
      </c>
      <c r="H40" s="38" t="s">
        <v>37</v>
      </c>
      <c r="I40" s="61" t="s">
        <v>221</v>
      </c>
      <c r="J40" s="69">
        <v>55</v>
      </c>
      <c r="K40" s="68"/>
    </row>
    <row r="41" spans="2:11" x14ac:dyDescent="0.35">
      <c r="B41" s="52"/>
      <c r="C41" s="53" t="s">
        <v>183</v>
      </c>
      <c r="D41" s="36"/>
      <c r="E41" s="54"/>
      <c r="F41" s="54"/>
      <c r="G41" s="54"/>
      <c r="H41" s="59"/>
      <c r="I41" s="61"/>
      <c r="J41" s="70"/>
      <c r="K41" s="68"/>
    </row>
    <row r="42" spans="2:11" x14ac:dyDescent="0.35">
      <c r="B42" s="52" t="s">
        <v>222</v>
      </c>
      <c r="C42" s="53" t="s">
        <v>184</v>
      </c>
      <c r="D42" s="20" t="s">
        <v>185</v>
      </c>
      <c r="E42" s="20"/>
      <c r="F42" s="20"/>
      <c r="G42" s="59"/>
      <c r="H42" s="59"/>
      <c r="I42" s="61"/>
      <c r="J42" s="70"/>
      <c r="K42" s="68"/>
    </row>
    <row r="43" spans="2:11" x14ac:dyDescent="0.35">
      <c r="B43" s="52"/>
      <c r="C43" s="53"/>
      <c r="D43" s="20" t="s">
        <v>186</v>
      </c>
      <c r="E43" s="20"/>
      <c r="F43" s="20"/>
      <c r="G43" s="59"/>
      <c r="H43" s="59"/>
      <c r="I43" s="61"/>
      <c r="J43" s="70"/>
      <c r="K43" s="68"/>
    </row>
    <row r="44" spans="2:11" x14ac:dyDescent="0.35">
      <c r="B44" s="52"/>
      <c r="C44" s="53"/>
      <c r="D44" s="20" t="s">
        <v>187</v>
      </c>
      <c r="E44" s="20"/>
      <c r="F44" s="20"/>
      <c r="G44" s="59"/>
      <c r="H44" s="59"/>
      <c r="I44" s="61"/>
      <c r="J44" s="70"/>
      <c r="K44" s="68"/>
    </row>
    <row r="45" spans="2:11" x14ac:dyDescent="0.35">
      <c r="B45" s="23"/>
      <c r="C45" s="53"/>
      <c r="D45" s="20" t="s">
        <v>188</v>
      </c>
      <c r="E45" s="20"/>
      <c r="F45" s="20"/>
      <c r="G45" s="59"/>
      <c r="H45" s="59"/>
      <c r="I45" s="61"/>
      <c r="J45" s="70"/>
      <c r="K45" s="68"/>
    </row>
    <row r="46" spans="2:11" x14ac:dyDescent="0.35">
      <c r="B46" s="23"/>
      <c r="C46" s="53"/>
      <c r="D46" s="20" t="s">
        <v>189</v>
      </c>
      <c r="E46" s="20"/>
      <c r="F46" s="20"/>
      <c r="G46" s="59"/>
      <c r="H46" s="59"/>
      <c r="I46" s="61"/>
      <c r="J46" s="70"/>
      <c r="K46" s="68"/>
    </row>
    <row r="47" spans="2:11" x14ac:dyDescent="0.35">
      <c r="B47" s="23"/>
      <c r="C47" s="53"/>
      <c r="D47" s="20" t="s">
        <v>190</v>
      </c>
      <c r="E47" s="20"/>
      <c r="F47" s="20"/>
      <c r="G47" s="59"/>
      <c r="H47" s="59"/>
      <c r="I47" s="61"/>
      <c r="J47" s="70"/>
      <c r="K47" s="68"/>
    </row>
    <row r="48" spans="2:11" x14ac:dyDescent="0.35">
      <c r="B48" s="23"/>
      <c r="C48" s="53"/>
      <c r="D48" s="20" t="s">
        <v>191</v>
      </c>
      <c r="E48" s="20"/>
      <c r="F48" s="20"/>
      <c r="G48" s="59"/>
      <c r="H48" s="59"/>
      <c r="I48" s="61"/>
      <c r="J48" s="70"/>
      <c r="K48" s="68"/>
    </row>
    <row r="49" spans="2:11" x14ac:dyDescent="0.35">
      <c r="B49" s="23"/>
      <c r="C49" s="53"/>
      <c r="D49" s="20" t="s">
        <v>192</v>
      </c>
      <c r="E49" s="20"/>
      <c r="F49" s="20"/>
      <c r="G49" s="59"/>
      <c r="H49" s="59"/>
      <c r="I49" s="61"/>
      <c r="J49" s="70"/>
      <c r="K49" s="68"/>
    </row>
    <row r="50" spans="2:11" x14ac:dyDescent="0.35">
      <c r="B50" s="23"/>
      <c r="C50" s="53"/>
      <c r="D50" s="20" t="s">
        <v>193</v>
      </c>
      <c r="E50" s="20"/>
      <c r="F50" s="20"/>
      <c r="G50" s="59"/>
      <c r="H50" s="59"/>
      <c r="I50" s="61"/>
      <c r="J50" s="70"/>
      <c r="K50" s="68"/>
    </row>
    <row r="51" spans="2:11" x14ac:dyDescent="0.35">
      <c r="B51" s="23"/>
      <c r="C51" s="53"/>
      <c r="D51" s="20" t="s">
        <v>194</v>
      </c>
      <c r="E51" s="20"/>
      <c r="F51" s="20"/>
      <c r="G51" s="59"/>
      <c r="H51" s="59"/>
      <c r="I51" s="61"/>
      <c r="J51" s="70"/>
      <c r="K51" s="68"/>
    </row>
    <row r="52" spans="2:11" x14ac:dyDescent="0.35">
      <c r="B52" s="23"/>
      <c r="C52" s="53"/>
      <c r="D52" s="20" t="s">
        <v>195</v>
      </c>
      <c r="E52" s="20"/>
      <c r="F52" s="20"/>
      <c r="G52" s="59"/>
      <c r="H52" s="59"/>
      <c r="I52" s="61"/>
      <c r="J52" s="70"/>
      <c r="K52" s="68"/>
    </row>
    <row r="53" spans="2:11" x14ac:dyDescent="0.35">
      <c r="B53" s="23"/>
      <c r="C53" s="53"/>
      <c r="D53" s="20" t="s">
        <v>196</v>
      </c>
      <c r="E53" s="20"/>
      <c r="F53" s="20"/>
      <c r="G53" s="59"/>
      <c r="H53" s="59"/>
      <c r="I53" s="61"/>
      <c r="J53" s="70"/>
      <c r="K53" s="68"/>
    </row>
    <row r="54" spans="2:11" x14ac:dyDescent="0.35">
      <c r="B54" s="23"/>
      <c r="C54" s="53"/>
      <c r="D54" s="19"/>
      <c r="E54" s="20"/>
      <c r="F54" s="20"/>
      <c r="G54" s="59"/>
      <c r="H54" s="59"/>
      <c r="I54" s="61"/>
      <c r="J54" s="70"/>
      <c r="K54" s="68"/>
    </row>
    <row r="55" spans="2:11" x14ac:dyDescent="0.35">
      <c r="B55" s="23"/>
      <c r="C55" s="53" t="s">
        <v>197</v>
      </c>
      <c r="D55" s="36" t="s">
        <v>198</v>
      </c>
      <c r="E55" s="58" t="s">
        <v>220</v>
      </c>
      <c r="F55" s="58" t="s">
        <v>117</v>
      </c>
      <c r="G55" s="37">
        <v>8031</v>
      </c>
      <c r="H55" s="38" t="s">
        <v>37</v>
      </c>
      <c r="I55" s="61" t="s">
        <v>143</v>
      </c>
      <c r="J55" s="69">
        <v>38</v>
      </c>
      <c r="K55" s="68"/>
    </row>
    <row r="56" spans="2:11" x14ac:dyDescent="0.35">
      <c r="B56" s="23"/>
      <c r="C56" s="53" t="s">
        <v>200</v>
      </c>
      <c r="D56" s="20"/>
      <c r="E56" s="20"/>
      <c r="F56" s="20"/>
      <c r="G56" s="59"/>
      <c r="H56" s="59"/>
      <c r="I56" s="61"/>
      <c r="J56" s="70"/>
      <c r="K56" s="68"/>
    </row>
    <row r="57" spans="2:11" x14ac:dyDescent="0.35">
      <c r="B57" s="52" t="s">
        <v>222</v>
      </c>
      <c r="C57" s="53" t="s">
        <v>201</v>
      </c>
      <c r="D57" s="20" t="s">
        <v>202</v>
      </c>
      <c r="E57" s="20"/>
      <c r="F57" s="20"/>
      <c r="G57" s="59"/>
      <c r="H57" s="59"/>
      <c r="I57" s="61"/>
      <c r="J57" s="70"/>
      <c r="K57" s="68"/>
    </row>
    <row r="58" spans="2:11" x14ac:dyDescent="0.35">
      <c r="B58" s="23"/>
      <c r="C58" s="53"/>
      <c r="D58" s="20" t="s">
        <v>203</v>
      </c>
      <c r="E58" s="20"/>
      <c r="F58" s="20"/>
      <c r="G58" s="59"/>
      <c r="H58" s="59"/>
      <c r="I58" s="61"/>
      <c r="J58" s="70"/>
      <c r="K58" s="68"/>
    </row>
    <row r="59" spans="2:11" x14ac:dyDescent="0.35">
      <c r="B59" s="23"/>
      <c r="C59" s="53"/>
      <c r="D59" s="20" t="s">
        <v>204</v>
      </c>
      <c r="E59" s="20"/>
      <c r="F59" s="20"/>
      <c r="G59" s="59"/>
      <c r="H59" s="59"/>
      <c r="I59" s="61"/>
      <c r="J59" s="70"/>
      <c r="K59" s="68"/>
    </row>
    <row r="60" spans="2:11" x14ac:dyDescent="0.35">
      <c r="B60" s="23"/>
      <c r="C60" s="53"/>
      <c r="D60" s="20" t="s">
        <v>205</v>
      </c>
      <c r="E60" s="20"/>
      <c r="F60" s="20"/>
      <c r="G60" s="59"/>
      <c r="H60" s="59"/>
      <c r="I60" s="61"/>
      <c r="J60" s="70"/>
      <c r="K60" s="68"/>
    </row>
    <row r="61" spans="2:11" x14ac:dyDescent="0.35">
      <c r="B61" s="23"/>
      <c r="C61" s="53"/>
      <c r="D61" s="20" t="s">
        <v>206</v>
      </c>
      <c r="E61" s="20"/>
      <c r="F61" s="20"/>
      <c r="G61" s="59"/>
      <c r="H61" s="59"/>
      <c r="I61" s="61"/>
      <c r="J61" s="70"/>
      <c r="K61" s="68"/>
    </row>
    <row r="62" spans="2:11" x14ac:dyDescent="0.35">
      <c r="B62" s="23"/>
      <c r="C62" s="53"/>
      <c r="D62" s="20" t="s">
        <v>207</v>
      </c>
      <c r="E62" s="20"/>
      <c r="F62" s="20"/>
      <c r="G62" s="59"/>
      <c r="H62" s="59"/>
      <c r="I62" s="61"/>
      <c r="J62" s="70"/>
      <c r="K62" s="68"/>
    </row>
    <row r="63" spans="2:11" x14ac:dyDescent="0.35">
      <c r="B63" s="23"/>
      <c r="C63" s="53"/>
      <c r="D63" s="20" t="s">
        <v>208</v>
      </c>
      <c r="E63" s="20"/>
      <c r="F63" s="20"/>
      <c r="G63" s="59"/>
      <c r="H63" s="59"/>
      <c r="I63" s="61"/>
      <c r="J63" s="70"/>
      <c r="K63" s="68"/>
    </row>
    <row r="64" spans="2:11" x14ac:dyDescent="0.35">
      <c r="B64" s="23"/>
      <c r="C64" s="53"/>
      <c r="D64" s="20" t="s">
        <v>209</v>
      </c>
      <c r="E64" s="20"/>
      <c r="F64" s="20"/>
      <c r="G64" s="59"/>
      <c r="H64" s="59"/>
      <c r="I64" s="61"/>
      <c r="J64" s="70"/>
      <c r="K64" s="68"/>
    </row>
    <row r="65" spans="2:11" x14ac:dyDescent="0.35">
      <c r="B65" s="23"/>
      <c r="C65" s="53"/>
      <c r="D65" s="20" t="s">
        <v>210</v>
      </c>
      <c r="E65" s="20"/>
      <c r="F65" s="20"/>
      <c r="G65" s="59"/>
      <c r="H65" s="59"/>
      <c r="I65" s="61"/>
      <c r="J65" s="70"/>
      <c r="K65" s="68"/>
    </row>
    <row r="66" spans="2:11" x14ac:dyDescent="0.35">
      <c r="B66" s="52" t="s">
        <v>223</v>
      </c>
      <c r="C66" s="53" t="s">
        <v>211</v>
      </c>
      <c r="D66" s="20" t="s">
        <v>212</v>
      </c>
      <c r="E66" s="20"/>
      <c r="F66" s="20"/>
      <c r="G66" s="59"/>
      <c r="H66" s="59"/>
      <c r="I66" s="61"/>
      <c r="J66" s="70"/>
      <c r="K66" s="68"/>
    </row>
    <row r="67" spans="2:11" x14ac:dyDescent="0.35">
      <c r="B67" s="23"/>
      <c r="C67" s="53"/>
      <c r="D67" s="20" t="s">
        <v>213</v>
      </c>
      <c r="E67" s="20"/>
      <c r="F67" s="20"/>
      <c r="G67" s="59"/>
      <c r="H67" s="59"/>
      <c r="I67" s="61"/>
      <c r="J67" s="70"/>
      <c r="K67" s="68"/>
    </row>
    <row r="68" spans="2:11" x14ac:dyDescent="0.35">
      <c r="B68" s="23"/>
      <c r="C68" s="53"/>
      <c r="D68" s="20"/>
      <c r="E68" s="20"/>
      <c r="F68" s="20"/>
      <c r="G68" s="59"/>
      <c r="H68" s="59"/>
      <c r="I68" s="61"/>
      <c r="J68" s="70"/>
      <c r="K68" s="68"/>
    </row>
    <row r="69" spans="2:11" x14ac:dyDescent="0.35">
      <c r="B69" s="23"/>
      <c r="C69" s="53" t="s">
        <v>214</v>
      </c>
      <c r="D69" s="36" t="s">
        <v>215</v>
      </c>
      <c r="E69" s="55" t="s">
        <v>219</v>
      </c>
      <c r="F69" s="55" t="s">
        <v>117</v>
      </c>
      <c r="G69" s="60">
        <v>8065</v>
      </c>
      <c r="H69" s="59" t="s">
        <v>37</v>
      </c>
      <c r="I69" s="61" t="s">
        <v>143</v>
      </c>
      <c r="J69" s="69">
        <v>4</v>
      </c>
      <c r="K69" s="68"/>
    </row>
    <row r="70" spans="2:11" x14ac:dyDescent="0.35">
      <c r="B70" s="52" t="s">
        <v>222</v>
      </c>
      <c r="C70" s="53" t="s">
        <v>216</v>
      </c>
      <c r="D70" s="20"/>
      <c r="E70" s="55"/>
      <c r="F70" s="55"/>
      <c r="G70" s="60"/>
      <c r="H70" s="59"/>
      <c r="I70" s="61"/>
      <c r="J70" s="70"/>
      <c r="K70" s="68"/>
    </row>
    <row r="71" spans="2:11" x14ac:dyDescent="0.35">
      <c r="B71" s="23"/>
      <c r="C71" s="53" t="s">
        <v>217</v>
      </c>
      <c r="D71" s="20" t="s">
        <v>218</v>
      </c>
      <c r="E71" s="19"/>
      <c r="F71" s="20"/>
      <c r="G71" s="21"/>
      <c r="H71" s="22"/>
      <c r="I71" s="61"/>
      <c r="J71" s="70"/>
      <c r="K71" s="68"/>
    </row>
    <row r="72" spans="2:11" x14ac:dyDescent="0.35">
      <c r="B72" s="56"/>
      <c r="C72" s="57"/>
      <c r="D72" s="57"/>
      <c r="E72" s="57"/>
      <c r="F72" s="57"/>
      <c r="G72" s="57"/>
      <c r="H72" s="57"/>
      <c r="I72" s="66" t="s">
        <v>224</v>
      </c>
      <c r="J72" s="67">
        <f>SUM(J6:J71)</f>
        <v>210.87299999999999</v>
      </c>
      <c r="K72" s="57"/>
    </row>
  </sheetData>
  <dataValidations count="6">
    <dataValidation type="textLength" allowBlank="1" showInputMessage="1" showErrorMessage="1" promptTitle="Location Number" prompt="Enter up to 20 letters / numbers" sqref="B5:B72" xr:uid="{C3BDAFFD-410A-4E89-9F92-42FC7678AE43}">
      <formula1>0</formula1>
      <formula2>20</formula2>
    </dataValidation>
    <dataValidation allowBlank="1" showInputMessage="1" showErrorMessage="1" promptTitle="Street Name" prompt="Enter full address here (e.g. 123 East Main Street) - max characters is 256._x000a_" sqref="C30 C41 D5:D72" xr:uid="{C2C50C6D-1AD7-4378-A9EC-F023658F9DD7}"/>
    <dataValidation allowBlank="1" showInputMessage="1" promptTitle="City" prompt="Enter up to 256 letters" sqref="E5:E72" xr:uid="{07ADD087-AE61-43AB-8E9B-CF314E0DE0AF}"/>
    <dataValidation type="textLength" allowBlank="1" showInputMessage="1" showErrorMessage="1" promptTitle="Postal Code" prompt="Enter up to 12 letters / numbers " sqref="G5:G72" xr:uid="{758552F2-7A19-4C4A-9749-997510552A81}">
      <formula1>1</formula1>
      <formula2>12</formula2>
    </dataValidation>
    <dataValidation type="textLength" allowBlank="1" showInputMessage="1" showErrorMessage="1" promptTitle="State Code " prompt="Enter 2 digit state abbreviation valid only in Australia, Canada and United States." sqref="F5:F72" xr:uid="{129D7982-2982-4E93-A7AE-D5143623BADD}">
      <formula1>0</formula1>
      <formula2>2</formula2>
    </dataValidation>
    <dataValidation type="textLength" allowBlank="1" showInputMessage="1" showErrorMessage="1" promptTitle="Location Name" prompt="Enter up to 40 letters / numbers " sqref="D7:D19 D21:D25 C42:C54 C5:C40 C57:C72" xr:uid="{F0B42B8A-0236-4794-A28B-41EFF4BF1455}">
      <formula1>0</formula1>
      <formula2>40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EC2A2DD5F72A41ADF9045A0762AA39" ma:contentTypeVersion="13" ma:contentTypeDescription="Create a new document." ma:contentTypeScope="" ma:versionID="5bac8d44c476acbc538f33f7f1254029">
  <xsd:schema xmlns:xsd="http://www.w3.org/2001/XMLSchema" xmlns:xs="http://www.w3.org/2001/XMLSchema" xmlns:p="http://schemas.microsoft.com/office/2006/metadata/properties" xmlns:ns2="160d84d8-2383-41dc-8c18-dbda224bffe6" xmlns:ns3="5c9110a0-b9ba-4f82-a1bd-11889fa37357" targetNamespace="http://schemas.microsoft.com/office/2006/metadata/properties" ma:root="true" ma:fieldsID="93713fcb49c7646e1f19c309059747cf" ns2:_="" ns3:_="">
    <xsd:import namespace="160d84d8-2383-41dc-8c18-dbda224bffe6"/>
    <xsd:import namespace="5c9110a0-b9ba-4f82-a1bd-11889fa37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d84d8-2383-41dc-8c18-dbda224bff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812feb-4b4f-4a4c-af56-3f48b3b28a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110a0-b9ba-4f82-a1bd-11889fa373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9fbf6f-3dc3-47d1-b6f3-53fc6876c9fc}" ma:internalName="TaxCatchAll" ma:showField="CatchAllData" ma:web="5c9110a0-b9ba-4f82-a1bd-11889fa37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9110a0-b9ba-4f82-a1bd-11889fa37357" xsi:nil="true"/>
    <lcf76f155ced4ddcb4097134ff3c332f xmlns="160d84d8-2383-41dc-8c18-dbda224bff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E2ACB4-2F96-4C68-BA78-38F79339AD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d84d8-2383-41dc-8c18-dbda224bffe6"/>
    <ds:schemaRef ds:uri="5c9110a0-b9ba-4f82-a1bd-11889fa373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D530EB-62F0-44FC-B7BE-FD0C506101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14B929-2870-448A-94D7-7907E4E9F044}">
  <ds:schemaRefs>
    <ds:schemaRef ds:uri="http://schemas.microsoft.com/office/2006/metadata/properties"/>
    <ds:schemaRef ds:uri="http://schemas.microsoft.com/office/infopath/2007/PartnerControls"/>
    <ds:schemaRef ds:uri="49f82258-bcaf-4644-8631-cb42419fcd52"/>
    <ds:schemaRef ds:uri="5c9110a0-b9ba-4f82-a1bd-11889fa37357"/>
    <ds:schemaRef ds:uri="160d84d8-2383-41dc-8c18-dbda224bff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</vt:lpstr>
      <vt:lpstr>Vacant Land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useraccess</dc:creator>
  <cp:keywords/>
  <dc:description/>
  <cp:lastModifiedBy>Cecilia Lawrence</cp:lastModifiedBy>
  <cp:revision/>
  <dcterms:created xsi:type="dcterms:W3CDTF">2014-05-30T12:50:36Z</dcterms:created>
  <dcterms:modified xsi:type="dcterms:W3CDTF">2026-08-20T20:59:20Z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0x010100E1EC2A2DD5F72A41ADF9045A0762AA39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2023-09-08T14:26:47Z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eba6e178-e053-4aaf-8a05-f2408fd254d5</vt:lpwstr>
  </property>
  <property fmtid="{D5CDD505-2E9C-101B-9397-08002B2CF9AE}" pid="9" name="MSIP_Label_38f1469a-2c2a-4aee-b92b-090d4c5468ff_ContentBits">
    <vt:lpwstr>0</vt:lpwstr>
  </property>
  <property fmtid="{D5CDD505-2E9C-101B-9397-08002B2CF9AE}" pid="10" name="MediaServiceImageTags">
    <vt:lpwstr/>
  </property>
</Properties>
</file>